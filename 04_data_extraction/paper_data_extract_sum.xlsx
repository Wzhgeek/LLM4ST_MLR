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cc80f6eedf4221" /></Relationships>
</file>

<file path=xl/workbook.xml><?xml version="1.0" encoding="utf-8"?>
<x:workbook xmlns:x="http://schemas.openxmlformats.org/spreadsheetml/2006/main">
  <x:sheets>
    <x:sheet xmlns:r="http://schemas.openxmlformats.org/officeDocument/2006/relationships" name="00_使用说明" sheetId="1" r:id="R799144095af34402"/>
    <x:sheet xmlns:r="http://schemas.openxmlformats.org/officeDocument/2006/relationships" name="01_研究索引" sheetId="2" r:id="R665ec121c074481e"/>
    <x:sheet xmlns:r="http://schemas.openxmlformats.org/officeDocument/2006/relationships" name="辅助_概念过程证据" sheetId="3" r:id="R7bb9b3c9148e4131"/>
    <x:sheet xmlns:r="http://schemas.openxmlformats.org/officeDocument/2006/relationships" name="RQ1_应用任务" sheetId="4" r:id="R8225e827c2034b3f"/>
    <x:sheet xmlns:r="http://schemas.openxmlformats.org/officeDocument/2006/relationships" name="RQ1_评价设计" sheetId="5" r:id="R23db4c33baee4c21"/>
    <x:sheet xmlns:r="http://schemas.openxmlformats.org/officeDocument/2006/relationships" name="RQ1_结果" sheetId="6" r:id="Rb80cd483f8e84f1d"/>
    <x:sheet xmlns:r="http://schemas.openxmlformats.org/officeDocument/2006/relationships" name="RQ3_LLM角色" sheetId="7" r:id="R3d5ec870043645d6"/>
    <x:sheet xmlns:r="http://schemas.openxmlformats.org/officeDocument/2006/relationships" name="RQ4_模型配置" sheetId="8" r:id="Re3f3159d02fd4e2b"/>
    <x:sheet xmlns:r="http://schemas.openxmlformats.org/officeDocument/2006/relationships" name="RQ4_配置特征" sheetId="9" r:id="Rddb96ab7bcc34332"/>
    <x:sheet xmlns:r="http://schemas.openxmlformats.org/officeDocument/2006/relationships" name="RQ5_外部组件" sheetId="10" r:id="R522d65fc1104498e"/>
    <x:sheet xmlns:r="http://schemas.openxmlformats.org/officeDocument/2006/relationships" name="RQ6_局限" sheetId="11" r:id="Rc44d3cb533024d77"/>
    <x:sheet xmlns:r="http://schemas.openxmlformats.org/officeDocument/2006/relationships" name="RQ7_未来方向" sheetId="12" r:id="R5427d6348edf4f45"/>
    <x:sheet xmlns:r="http://schemas.openxmlformats.org/officeDocument/2006/relationships" name="公共_复现资源" sheetId="13" r:id="R687722b66e9f42f1"/>
    <x:sheet xmlns:r="http://schemas.openxmlformats.org/officeDocument/2006/relationships" name="QA_正式文献" sheetId="14" r:id="R09474700842c418f"/>
    <x:sheet xmlns:r="http://schemas.openxmlformats.org/officeDocument/2006/relationships" name="GQA_预印本" sheetId="15" r:id="Ra658a619631f4eff"/>
    <x:sheet xmlns:r="http://schemas.openxmlformats.org/officeDocument/2006/relationships" name="E_研究级" sheetId="16" r:id="R0187daba579d4b15"/>
    <x:sheet xmlns:r="http://schemas.openxmlformats.org/officeDocument/2006/relationships" name="E_评价级" sheetId="17" r:id="R84d2bd1fe1ee47fc"/>
    <x:sheet xmlns:r="http://schemas.openxmlformats.org/officeDocument/2006/relationships" name="QA_量表说明" sheetId="18" r:id="R7c406ef2d50441d6"/>
    <x:sheet xmlns:r="http://schemas.openxmlformats.org/officeDocument/2006/relationships" name="字段字典" sheetId="19" r:id="Ra8b9ec37a0314847"/>
    <x:sheet xmlns:r="http://schemas.openxmlformats.org/officeDocument/2006/relationships" name="受控词表" sheetId="20" r:id="R2294f14c80f244c5"/>
    <x:sheet xmlns:r="http://schemas.openxmlformats.org/officeDocument/2006/relationships" name="RQ2_过程重构" sheetId="21" r:id="Rd64b90dbffc446c2"/>
    <x:sheet xmlns:r="http://schemas.openxmlformats.org/officeDocument/2006/relationships" name="GQA_灰色" sheetId="22" r:id="Rf3ffee4c9b18455f"/>
    <x:sheet xmlns:r="http://schemas.openxmlformats.org/officeDocument/2006/relationships" name="公共_资源可得性" sheetId="23" r:id="Rbdddfac74ee4478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202A32"/>
      <x:name val="Arial"/>
    </x:font>
    <x:font>
      <x:b/>
      <x:sz val="10"/>
      <x:color rgb="FFFFFFFF"/>
      <x:name val="Arial"/>
    </x:font>
  </x:fonts>
  <x:fills count="3">
    <x:fill>
      <x:patternFill patternType="none"/>
    </x:fill>
    <x:fill>
      <x:patternFill patternType="gray125"/>
    </x:fill>
    <x:fill>
      <x:patternFill patternType="solid">
        <x:fgColor rgb="FF203B4A"/>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9e32f4b4194d82" /><Relationship Type="http://schemas.openxmlformats.org/officeDocument/2006/relationships/theme" Target="/xl/theme/theme1.xml" Id="Rd45ed0410b6f405d" /><Relationship Type="http://schemas.openxmlformats.org/officeDocument/2006/relationships/sharedStrings" Target="/xl/sharedStrings.xml" Id="Rd6bdfe9e13784738" /><Relationship Type="http://schemas.openxmlformats.org/officeDocument/2006/relationships/worksheet" Target="/xl/worksheets/sheet1.xml" Id="R799144095af34402" /><Relationship Type="http://schemas.openxmlformats.org/officeDocument/2006/relationships/worksheet" Target="/xl/worksheets/sheet2.xml" Id="R665ec121c074481e" /><Relationship Type="http://schemas.openxmlformats.org/officeDocument/2006/relationships/worksheet" Target="/xl/worksheets/sheet3.xml" Id="R7bb9b3c9148e4131" /><Relationship Type="http://schemas.openxmlformats.org/officeDocument/2006/relationships/worksheet" Target="/xl/worksheets/sheet4.xml" Id="R8225e827c2034b3f" /><Relationship Type="http://schemas.openxmlformats.org/officeDocument/2006/relationships/worksheet" Target="/xl/worksheets/sheet5.xml" Id="R23db4c33baee4c21" /><Relationship Type="http://schemas.openxmlformats.org/officeDocument/2006/relationships/worksheet" Target="/xl/worksheets/sheet6.xml" Id="Rb80cd483f8e84f1d" /><Relationship Type="http://schemas.openxmlformats.org/officeDocument/2006/relationships/worksheet" Target="/xl/worksheets/sheet7.xml" Id="R3d5ec870043645d6" /><Relationship Type="http://schemas.openxmlformats.org/officeDocument/2006/relationships/worksheet" Target="/xl/worksheets/sheet8.xml" Id="Re3f3159d02fd4e2b" /><Relationship Type="http://schemas.openxmlformats.org/officeDocument/2006/relationships/worksheet" Target="/xl/worksheets/sheet9.xml" Id="Rddb96ab7bcc34332" /><Relationship Type="http://schemas.openxmlformats.org/officeDocument/2006/relationships/worksheet" Target="/xl/worksheets/sheet10.xml" Id="R522d65fc1104498e" /><Relationship Type="http://schemas.openxmlformats.org/officeDocument/2006/relationships/worksheet" Target="/xl/worksheets/sheet11.xml" Id="Rc44d3cb533024d77" /><Relationship Type="http://schemas.openxmlformats.org/officeDocument/2006/relationships/worksheet" Target="/xl/worksheets/sheet12.xml" Id="R5427d6348edf4f45" /><Relationship Type="http://schemas.openxmlformats.org/officeDocument/2006/relationships/worksheet" Target="/xl/worksheets/sheet13.xml" Id="R687722b66e9f42f1" /><Relationship Type="http://schemas.openxmlformats.org/officeDocument/2006/relationships/worksheet" Target="/xl/worksheets/sheet14.xml" Id="R09474700842c418f" /><Relationship Type="http://schemas.openxmlformats.org/officeDocument/2006/relationships/worksheet" Target="/xl/worksheets/sheet15.xml" Id="Ra658a619631f4eff" /><Relationship Type="http://schemas.openxmlformats.org/officeDocument/2006/relationships/worksheet" Target="/xl/worksheets/sheet16.xml" Id="R0187daba579d4b15" /><Relationship Type="http://schemas.openxmlformats.org/officeDocument/2006/relationships/worksheet" Target="/xl/worksheets/sheet17.xml" Id="R84d2bd1fe1ee47fc" /><Relationship Type="http://schemas.openxmlformats.org/officeDocument/2006/relationships/worksheet" Target="/xl/worksheets/sheet18.xml" Id="R7c406ef2d50441d6" /><Relationship Type="http://schemas.openxmlformats.org/officeDocument/2006/relationships/worksheet" Target="/xl/worksheets/sheet19.xml" Id="Ra8b9ec37a0314847" /><Relationship Type="http://schemas.openxmlformats.org/officeDocument/2006/relationships/worksheet" Target="/xl/worksheets/sheet20.xml" Id="R2294f14c80f244c5" /><Relationship Type="http://schemas.openxmlformats.org/officeDocument/2006/relationships/worksheet" Target="/xl/worksheets/sheet21.xml" Id="Rd64b90dbffc446c2" /><Relationship Type="http://schemas.openxmlformats.org/officeDocument/2006/relationships/worksheet" Target="/xl/worksheets/sheet22.xml" Id="Rf3ffee4c9b18455f" /><Relationship Type="http://schemas.openxmlformats.org/officeDocument/2006/relationships/worksheet" Target="/xl/worksheets/sheet23.xml" Id="Rbdddfac74ee4478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1" hidden="0" customWidth="1"/>
    <x:col min="2" max="2" width="90" hidden="0" customWidth="1"/>
  </x:cols>
  <x:sheetData>
    <x:row r="1" ht="38" customHeight="1">
      <x:c r="A1" s="5" t="str">
        <x:v>LLM4ST data extraction</x:v>
      </x:c>
      <x:c r="B1" s="5"/>
    </x:row>
    <x:row r="2" ht="36" customHeight="1">
      <x:c r="A2" s="6" t="str">
        <x:v>Included sources</x:v>
      </x:c>
      <x:c r="B2" s="6" t="n">
        <x:v>61</x:v>
      </x:c>
    </x:row>
    <x:row r="3" ht="36" customHeight="1">
      <x:c r="A3" s="6" t="str">
        <x:v>Published sources</x:v>
      </x:c>
      <x:c r="B3" s="6" t="n">
        <x:v>43</x:v>
      </x:c>
    </x:row>
    <x:row r="4" ht="36" customHeight="1">
      <x:c r="A4" s="6" t="str">
        <x:v>Grey-literature sources</x:v>
      </x:c>
      <x:c r="B4" s="6" t="n">
        <x:v>18</x:v>
      </x:c>
    </x:row>
    <x:row r="5" ht="36" customHeight="1">
      <x:c r="A5" s="6" t="str">
        <x:v>Source identifiers</x:v>
      </x:c>
      <x:c r="B5" s="6" t="str">
        <x:v>S01-S53 and G1-G8 match the manuscript. EX1/EX2 denote excluded quality-assessment candidates.</x:v>
      </x:c>
    </x:row>
    <x:row r="6" ht="36" customHeight="1">
      <x:c r="A6" s="6" t="str">
        <x:v>Quality and maturity</x:v>
      </x:c>
      <x:c r="B6" s="6" t="str">
        <x:v>Final decisions are in the source index. Independent scores are retained under 02_primary_study_search/quality_assessment.</x:v>
      </x:c>
    </x:row>
    <x:row r="7" ht="36" customHeight="1">
      <x:c r="A7" s="6" t="str">
        <x:v>Process coding</x:v>
      </x:c>
      <x:c r="B7" s="6" t="str">
        <x:v>RQ2_过程重构 contains completed task-position coding. Detailed evidence references are in the RQ2 workbook.</x:v>
      </x:c>
    </x:row>
    <x:row r="8" ht="36" customHeight="1">
      <x:c r="A8" s="6" t="str">
        <x:v>Thematic coding</x:v>
      </x:c>
      <x:c r="B8" s="6" t="str">
        <x:v>RQ6 and RQ7 retain source statements and the final classifications used in the manuscript.</x:v>
      </x:c>
    </x:row>
    <x:row r="9" ht="36" customHeight="1">
      <x:c r="A9" s="6" t="str">
        <x:v>Missing values</x:v>
      </x:c>
      <x:c r="B9" s="6" t="str">
        <x:v>NR = not reported; NA = not applicable; Unclear = insufficient detail to determine a value.</x:v>
      </x:c>
    </x:row>
    <x:row r="10" ht="36" customHeight="1">
      <x:c r="A10" s="6" t="str">
        <x:v>Evidence</x:v>
      </x:c>
      <x:c r="B10" s="6" t="str">
        <x:v>Evidence excerpts retain the original wording. Interpretation and classification occupy separate fields.</x:v>
      </x:c>
    </x:row>
    <x:row r="11" ht="36" customHeight="1">
      <x:c r="A11" s="6" t="str">
        <x:v>Resources</x:v>
      </x:c>
      <x:c r="B11" s="6" t="str">
        <x:v>公共_资源可得性 classifies every included source; 公共_复现资源 retains resource-level descriptions.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52"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52" hidden="0" customWidth="1"/>
  </x:cols>
  <x:sheetData>
    <x:row r="1" ht="38" customHeight="1">
      <x:c r="A1" s="5" t="str">
        <x:v>study_id</x:v>
      </x:c>
      <x:c r="B1" s="5" t="str">
        <x:v>study_family_id</x:v>
      </x:c>
      <x:c r="C1" s="5" t="str">
        <x:v>source_id</x:v>
      </x:c>
      <x:c r="D1" s="5" t="str">
        <x:v>record_id</x:v>
      </x:c>
      <x:c r="E1" s="5" t="str">
        <x:v>version_id</x:v>
      </x:c>
      <x:c r="F1" s="5" t="str">
        <x:v>title</x:v>
      </x:c>
      <x:c r="G1" s="5" t="str">
        <x:v>authors</x:v>
      </x:c>
      <x:c r="H1" s="5" t="str">
        <x:v>year</x:v>
      </x:c>
      <x:c r="I1" s="5" t="str">
        <x:v>venue</x:v>
      </x:c>
      <x:c r="J1" s="5" t="str">
        <x:v>doi</x:v>
      </x:c>
      <x:c r="K1" s="5" t="str">
        <x:v>url</x:v>
      </x:c>
      <x:c r="L1" s="5" t="str">
        <x:v>archived_url</x:v>
      </x:c>
      <x:c r="M1" s="5" t="str">
        <x:v>source_type</x:v>
      </x:c>
      <x:c r="N1" s="5" t="str">
        <x:v>publication_status</x:v>
      </x:c>
      <x:c r="O1" s="5" t="str">
        <x:v>peer_review_status</x:v>
      </x:c>
      <x:c r="P1" s="5" t="str">
        <x:v>preprint_server</x:v>
      </x:c>
      <x:c r="Q1" s="5" t="str">
        <x:v>version_number</x:v>
      </x:c>
      <x:c r="R1" s="5" t="str">
        <x:v>publication_date</x:v>
      </x:c>
      <x:c r="S1" s="5" t="str">
        <x:v>access_date</x:v>
      </x:c>
      <x:c r="T1" s="5" t="str">
        <x:v>superseded</x:v>
      </x:c>
      <x:c r="U1" s="5" t="str">
        <x:v>corrected</x:v>
      </x:c>
      <x:c r="V1" s="5" t="str">
        <x:v>retracted</x:v>
      </x:c>
      <x:c r="W1" s="5" t="str">
        <x:v>qa_final_decision</x:v>
      </x:c>
      <x:c r="X1" s="5" t="str">
        <x:v>e_final_level</x:v>
      </x:c>
      <x:c r="Y1" s="5" t="str">
        <x:v>extraction_status</x:v>
      </x:c>
      <x:c r="Z1" s="5" t="str">
        <x:v>notes</x:v>
      </x:c>
    </x:row>
    <x:row r="2" ht="76" customHeight="1">
      <x:c r="A2" s="2" t="str">
        <x:v>S01</x:v>
      </x:c>
      <x:c r="B2" s="2" t="str">
        <x:v>S01</x:v>
      </x:c>
      <x:c r="C2" s="2" t="str">
        <x:v>merged_0002</x:v>
      </x:c>
      <x:c r="D2" s="2" t="str">
        <x:v>merged_0002</x:v>
      </x:c>
      <x:c r="E2" s="2" t="str">
        <x:v>merged_0002</x:v>
      </x:c>
      <x:c r="F2" s="6" t="str">
        <x:v>LiSSA: Toward Generic Traceability Link Recovery Through Retrieval- Augmented Generation</x:v>
      </x:c>
      <x:c r="G2" s="2" t="str">
        <x:v>Fuch\ss, Dominik; Hey, Tobias; Keim, Jan; Liu, Haoyu; Ewald, Niklas; Thirolf, Tobias; Koziolek, Anne</x:v>
      </x:c>
      <x:c r="H2" s="2" t="n">
        <x:v>2025</x:v>
      </x:c>
      <x:c r="I2" s="2" t="str">
        <x:v>Proceedings of the IEEE/ACM 47th International Conference on Software Engineering</x:v>
      </x:c>
      <x:c r="J2" s="2" t="str">
        <x:v>10.1109/icse55347.2025.00186</x:v>
      </x:c>
      <x:c r="K2" s="2" t="str">
        <x:v>https://doi.org/10.1109/ICSE55347.2025.00186</x:v>
      </x:c>
      <x:c r="L2" s="2" t="str">
        <x:v>https://doi.org/10.1109/ICSE55347.2025.00186</x:v>
      </x:c>
      <x:c r="M2" s="2" t="str">
        <x:v>Published</x:v>
      </x:c>
      <x:c r="N2" s="2" t="str">
        <x:v>Published conference paper</x:v>
      </x:c>
      <x:c r="O2" s="2" t="str">
        <x:v>Peer-reviewed</x:v>
      </x:c>
      <x:c r="P2" s="2" t="str">
        <x:v>NA</x:v>
      </x:c>
      <x:c r="Q2" s="2" t="str">
        <x:v>Version of record</x:v>
      </x:c>
      <x:c r="R2" s="2" t="str">
        <x:v>Unclear</x:v>
      </x:c>
      <x:c r="S2" s="2" t="str">
        <x:v>2026-07-26</x:v>
      </x:c>
      <x:c r="T2" s="2" t="str">
        <x:v>NR</x:v>
      </x:c>
      <x:c r="U2" s="2" t="str">
        <x:v>NR</x:v>
      </x:c>
      <x:c r="V2" s="2" t="str">
        <x:v>NR</x:v>
      </x:c>
      <x:c r="W2" s="2" t="str">
        <x:v>QA_INCLUDE_STANDARD</x:v>
      </x:c>
      <x:c r="X2" s="2" t="str">
        <x:v>EM3</x:v>
      </x:c>
      <x:c r="Y2" s="2" t="str">
        <x:v>Completed</x:v>
      </x:c>
      <x:c r="Z2" s="6" t="str">
        <x:v>NR</x:v>
      </x:c>
    </x:row>
    <x:row r="3" ht="76" customHeight="1">
      <x:c r="A3" s="2" t="str">
        <x:v>S02</x:v>
      </x:c>
      <x:c r="B3" s="2" t="str">
        <x:v>S02</x:v>
      </x:c>
      <x:c r="C3" s="2" t="str">
        <x:v>merged_0007</x:v>
      </x:c>
      <x:c r="D3" s="2" t="str">
        <x:v>merged_0007</x:v>
      </x:c>
      <x:c r="E3" s="2" t="str">
        <x:v>merged_0007</x:v>
      </x:c>
      <x:c r="F3" s="6" t="str">
        <x:v>Who's Who? LLM-assisted Software Traceability with Architecture Entity Recognition</x:v>
      </x:c>
      <x:c r="G3" s="2" t="str">
        <x:v>Fuch\ss, Dominik; Liu, Haoyu; Corallo, Sophie; Hey, Tobias; Keim, Jan; von Geisau, Johannes; Koziolek, Anne</x:v>
      </x:c>
      <x:c r="H3" s="2" t="n">
        <x:v>2026</x:v>
      </x:c>
      <x:c r="I3" s="2" t="str">
        <x:v>ACM Transactions on Autonomous and Adaptive Systems</x:v>
      </x:c>
      <x:c r="J3" s="2" t="str">
        <x:v>10.1145/3807453</x:v>
      </x:c>
      <x:c r="K3" s="2" t="str">
        <x:v>https://doi.org/10.1145/3807453</x:v>
      </x:c>
      <x:c r="L3" s="2" t="str">
        <x:v>https://doi.org/10.1145/3807453</x:v>
      </x:c>
      <x:c r="M3" s="2" t="str">
        <x:v>Published</x:v>
      </x:c>
      <x:c r="N3" s="2" t="str">
        <x:v>Published journal article</x:v>
      </x:c>
      <x:c r="O3" s="2" t="str">
        <x:v>Peer-reviewed</x:v>
      </x:c>
      <x:c r="P3" s="2" t="str">
        <x:v>NA</x:v>
      </x:c>
      <x:c r="Q3" s="2" t="str">
        <x:v>Version of record</x:v>
      </x:c>
      <x:c r="R3" s="2" t="str">
        <x:v>Unclear</x:v>
      </x:c>
      <x:c r="S3" s="2" t="str">
        <x:v>2026-07-26</x:v>
      </x:c>
      <x:c r="T3" s="2" t="str">
        <x:v>NR</x:v>
      </x:c>
      <x:c r="U3" s="2" t="str">
        <x:v>NR</x:v>
      </x:c>
      <x:c r="V3" s="2" t="str">
        <x:v>NR</x:v>
      </x:c>
      <x:c r="W3" s="2" t="str">
        <x:v>QA_INCLUDE_STANDARD</x:v>
      </x:c>
      <x:c r="X3" s="2" t="str">
        <x:v>EM3</x:v>
      </x:c>
      <x:c r="Y3" s="2" t="str">
        <x:v>Completed</x:v>
      </x:c>
      <x:c r="Z3" s="6" t="str">
        <x:v>NR</x:v>
      </x:c>
    </x:row>
    <x:row r="4" ht="76" customHeight="1">
      <x:c r="A4" s="2" t="str">
        <x:v>S03</x:v>
      </x:c>
      <x:c r="B4" s="2" t="str">
        <x:v>S03</x:v>
      </x:c>
      <x:c r="C4" s="2" t="str">
        <x:v>merged_0014</x:v>
      </x:c>
      <x:c r="D4" s="2" t="str">
        <x:v>merged_0014</x:v>
      </x:c>
      <x:c r="E4" s="2" t="str">
        <x:v>merged_0014</x:v>
      </x:c>
      <x:c r="F4" s="6" t="str">
        <x:v>Tracing Domain Services in Application Code using Generative AI</x:v>
      </x:c>
      <x:c r="G4" s="2" t="str">
        <x:v>Gandhi, Jay; Pradhan, Shrishti; Medicherla, Raveendra Kumar</x:v>
      </x:c>
      <x:c r="H4" s="2" t="n">
        <x:v>2026</x:v>
      </x:c>
      <x:c r="I4" s="2" t="str">
        <x:v>Proceedings of the 19th Innovations in Software Engineering Conference, ISEC 2026</x:v>
      </x:c>
      <x:c r="J4" s="2" t="str">
        <x:v>10.1145/3796563.3796592</x:v>
      </x:c>
      <x:c r="K4" s="2" t="str">
        <x:v>https://doi.org/10.1145/3796563.3796592</x:v>
      </x:c>
      <x:c r="L4" s="2" t="str">
        <x:v>https://doi.org/10.1145/3796563.3796592</x:v>
      </x:c>
      <x:c r="M4" s="2" t="str">
        <x:v>Published</x:v>
      </x:c>
      <x:c r="N4" s="2" t="str">
        <x:v>Published conference paper</x:v>
      </x:c>
      <x:c r="O4" s="2" t="str">
        <x:v>Peer-reviewed</x:v>
      </x:c>
      <x:c r="P4" s="2" t="str">
        <x:v>NA</x:v>
      </x:c>
      <x:c r="Q4" s="2" t="str">
        <x:v>Version of record</x:v>
      </x:c>
      <x:c r="R4" s="2" t="str">
        <x:v>Unclear</x:v>
      </x:c>
      <x:c r="S4" s="2" t="str">
        <x:v>2026-07-26</x:v>
      </x:c>
      <x:c r="T4" s="2" t="str">
        <x:v>NR</x:v>
      </x:c>
      <x:c r="U4" s="2" t="str">
        <x:v>NR</x:v>
      </x:c>
      <x:c r="V4" s="2" t="str">
        <x:v>NR</x:v>
      </x:c>
      <x:c r="W4" s="2" t="str">
        <x:v>QA_INCLUDE_STANDARD</x:v>
      </x:c>
      <x:c r="X4" s="2" t="str">
        <x:v>EM3</x:v>
      </x:c>
      <x:c r="Y4" s="2" t="str">
        <x:v>Completed</x:v>
      </x:c>
      <x:c r="Z4" s="6" t="str">
        <x:v>NR</x:v>
      </x:c>
    </x:row>
    <x:row r="5" ht="76" customHeight="1">
      <x:c r="A5" s="2" t="str">
        <x:v>S04</x:v>
      </x:c>
      <x:c r="B5" s="2" t="str">
        <x:v>S04</x:v>
      </x:c>
      <x:c r="C5" s="2" t="str">
        <x:v>merged_0075</x:v>
      </x:c>
      <x:c r="D5" s="2" t="str">
        <x:v>merged_0075</x:v>
      </x:c>
      <x:c r="E5" s="2" t="str">
        <x:v>merged_0075</x:v>
      </x:c>
      <x:c r="F5" s="6" t="str">
        <x:v>An LLM-based Approach to Recover Traceability Links between Security Requirements and Goal Models</x:v>
      </x:c>
      <x:c r="G5" s="2" t="str">
        <x:v>Hassine, Jameleddine</x:v>
      </x:c>
      <x:c r="H5" s="2" t="n">
        <x:v>2024</x:v>
      </x:c>
      <x:c r="I5" s="2" t="str">
        <x:v>Proceedings of the 28th International Conference on Evaluation and Assessment in Software Engineering</x:v>
      </x:c>
      <x:c r="J5" s="2" t="str">
        <x:v>10.1145/3661167.3661261</x:v>
      </x:c>
      <x:c r="K5" s="2" t="str">
        <x:v>https://doi.org/10.1145/3661167.3661261</x:v>
      </x:c>
      <x:c r="L5" s="2" t="str">
        <x:v>https://doi.org/10.1145/3661167.3661261</x:v>
      </x:c>
      <x:c r="M5" s="2" t="str">
        <x:v>Published</x:v>
      </x:c>
      <x:c r="N5" s="2" t="str">
        <x:v>Published conference paper</x:v>
      </x:c>
      <x:c r="O5" s="2" t="str">
        <x:v>Peer-reviewed</x:v>
      </x:c>
      <x:c r="P5" s="2" t="str">
        <x:v>NA</x:v>
      </x:c>
      <x:c r="Q5" s="2" t="str">
        <x:v>Version of record</x:v>
      </x:c>
      <x:c r="R5" s="2" t="str">
        <x:v>Unclear</x:v>
      </x:c>
      <x:c r="S5" s="2" t="str">
        <x:v>2026-07-26</x:v>
      </x:c>
      <x:c r="T5" s="2" t="str">
        <x:v>NR</x:v>
      </x:c>
      <x:c r="U5" s="2" t="str">
        <x:v>NR</x:v>
      </x:c>
      <x:c r="V5" s="2" t="str">
        <x:v>NR</x:v>
      </x:c>
      <x:c r="W5" s="2" t="str">
        <x:v>QA_INCLUDE_STANDARD</x:v>
      </x:c>
      <x:c r="X5" s="2" t="str">
        <x:v>EM3</x:v>
      </x:c>
      <x:c r="Y5" s="2" t="str">
        <x:v>Completed</x:v>
      </x:c>
      <x:c r="Z5" s="6" t="str">
        <x:v>NR</x:v>
      </x:c>
    </x:row>
    <x:row r="6" ht="76" customHeight="1">
      <x:c r="A6" s="2" t="str">
        <x:v>S05</x:v>
      </x:c>
      <x:c r="B6" s="2" t="str">
        <x:v>S05</x:v>
      </x:c>
      <x:c r="C6" s="2" t="str">
        <x:v>merged_0077</x:v>
      </x:c>
      <x:c r="D6" s="2" t="str">
        <x:v>merged_0077</x:v>
      </x:c>
      <x:c r="E6" s="2" t="str">
        <x:v>merged_0077</x:v>
      </x:c>
      <x:c r="F6" s="6" t="str">
        <x:v>Evaluating the Use of LLMs for Documentation to Code Traceability</x:v>
      </x:c>
      <x:c r="G6" s="2" t="str">
        <x:v>Alor, Ebube; Khatoonabadi, SayedHassan; Shihab, Emad</x:v>
      </x:c>
      <x:c r="H6" s="2" t="n">
        <x:v>2026</x:v>
      </x:c>
      <x:c r="I6" s="2" t="str">
        <x:v>ACM Transactions on Software Engineering and Methodology</x:v>
      </x:c>
      <x:c r="J6" s="2" t="str">
        <x:v>10.1145/3819820</x:v>
      </x:c>
      <x:c r="K6" s="2" t="str">
        <x:v>https://doi.org/10.1145/3819820</x:v>
      </x:c>
      <x:c r="L6" s="2" t="str">
        <x:v>https://doi.org/10.1145/3819820</x:v>
      </x:c>
      <x:c r="M6" s="2" t="str">
        <x:v>Published</x:v>
      </x:c>
      <x:c r="N6" s="2" t="str">
        <x:v>Published journal article</x:v>
      </x:c>
      <x:c r="O6" s="2" t="str">
        <x:v>Peer-reviewed</x:v>
      </x:c>
      <x:c r="P6" s="2" t="str">
        <x:v>NA</x:v>
      </x:c>
      <x:c r="Q6" s="2" t="str">
        <x:v>Version of record</x:v>
      </x:c>
      <x:c r="R6" s="2" t="str">
        <x:v>Unclear</x:v>
      </x:c>
      <x:c r="S6" s="2" t="str">
        <x:v>2026-07-26</x:v>
      </x:c>
      <x:c r="T6" s="2" t="str">
        <x:v>NR</x:v>
      </x:c>
      <x:c r="U6" s="2" t="str">
        <x:v>NR</x:v>
      </x:c>
      <x:c r="V6" s="2" t="str">
        <x:v>NR</x:v>
      </x:c>
      <x:c r="W6" s="2" t="str">
        <x:v>QA_INCLUDE_STANDARD</x:v>
      </x:c>
      <x:c r="X6" s="2" t="str">
        <x:v>EM3</x:v>
      </x:c>
      <x:c r="Y6" s="2" t="str">
        <x:v>Completed</x:v>
      </x:c>
      <x:c r="Z6" s="6" t="str">
        <x:v>NR</x:v>
      </x:c>
    </x:row>
    <x:row r="7" ht="76" customHeight="1">
      <x:c r="A7" s="2" t="str">
        <x:v>S06</x:v>
      </x:c>
      <x:c r="B7" s="2" t="str">
        <x:v>S06</x:v>
      </x:c>
      <x:c r="C7" s="2" t="str">
        <x:v>merged_0079</x:v>
      </x:c>
      <x:c r="D7" s="2" t="str">
        <x:v>merged_0079</x:v>
      </x:c>
      <x:c r="E7" s="2" t="str">
        <x:v>merged_0079</x:v>
      </x:c>
      <x:c r="F7" s="6" t="str">
        <x:v>LinkAnchor: An Autonomous LLM-Based Agent for Issue-to-Commit Link Recovery</x:v>
      </x:c>
      <x:c r="G7" s="2" t="str">
        <x:v>Akhavan, Arshia; Hoseinpour, Alireza; Heydarnoori, Abbas; Bagheri, Hamid; Keshani, Mehdi</x:v>
      </x:c>
      <x:c r="H7" s="2" t="n">
        <x:v>2026</x:v>
      </x:c>
      <x:c r="I7" s="2" t="str">
        <x:v>Proc. ACM Softw. Eng.</x:v>
      </x:c>
      <x:c r="J7" s="2" t="str">
        <x:v>10.1145/3808191</x:v>
      </x:c>
      <x:c r="K7" s="2" t="str">
        <x:v>https://doi.org/10.1145/3808191</x:v>
      </x:c>
      <x:c r="L7" s="2" t="str">
        <x:v>https://doi.org/10.1145/3808191</x:v>
      </x:c>
      <x:c r="M7" s="2" t="str">
        <x:v>Published</x:v>
      </x:c>
      <x:c r="N7" s="2" t="str">
        <x:v>Published journal article</x:v>
      </x:c>
      <x:c r="O7" s="2" t="str">
        <x:v>Peer-reviewed</x:v>
      </x:c>
      <x:c r="P7" s="2" t="str">
        <x:v>NA</x:v>
      </x:c>
      <x:c r="Q7" s="2" t="str">
        <x:v>Version of record</x:v>
      </x:c>
      <x:c r="R7" s="2" t="str">
        <x:v>Unclear</x:v>
      </x:c>
      <x:c r="S7" s="2" t="str">
        <x:v>2026-07-26</x:v>
      </x:c>
      <x:c r="T7" s="2" t="str">
        <x:v>NR</x:v>
      </x:c>
      <x:c r="U7" s="2" t="str">
        <x:v>NR</x:v>
      </x:c>
      <x:c r="V7" s="2" t="str">
        <x:v>NR</x:v>
      </x:c>
      <x:c r="W7" s="2" t="str">
        <x:v>QA_INCLUDE_STANDARD</x:v>
      </x:c>
      <x:c r="X7" s="2" t="str">
        <x:v>EM3</x:v>
      </x:c>
      <x:c r="Y7" s="2" t="str">
        <x:v>Completed</x:v>
      </x:c>
      <x:c r="Z7" s="6" t="str">
        <x:v>NR</x:v>
      </x:c>
    </x:row>
    <x:row r="8" ht="76" customHeight="1">
      <x:c r="A8" s="2" t="str">
        <x:v>S07</x:v>
      </x:c>
      <x:c r="B8" s="2" t="str">
        <x:v>S07</x:v>
      </x:c>
      <x:c r="C8" s="2" t="str">
        <x:v>merged_0110</x:v>
      </x:c>
      <x:c r="D8" s="2" t="str">
        <x:v>merged_0110</x:v>
      </x:c>
      <x:c r="E8" s="2" t="str">
        <x:v>merged_0110</x:v>
      </x:c>
      <x:c r="F8" s="6" t="str">
        <x:v>REST-at: An LLM-Based Tool for Automating Traceability between Requirements and Test Cases</x:v>
      </x:c>
      <x:c r="G8" s="2" t="str">
        <x:v>Leon-Quinstedt, Nicole; Lindgren, Bao; Yurdakul, Mert; Neto, Francisco Gomes de Oliveira</x:v>
      </x:c>
      <x:c r="H8" s="2" t="n">
        <x:v>2026</x:v>
      </x:c>
      <x:c r="I8" s="2" t="str">
        <x:v>Proceedings - 2026 7th ACM/IEEE International Conference on Automation of Software Test, AST 2026</x:v>
      </x:c>
      <x:c r="J8" s="2" t="str">
        <x:v>10.1145/3793654.3793746</x:v>
      </x:c>
      <x:c r="K8" s="2" t="str">
        <x:v>https://doi.org/10.1145/3793654.3793746</x:v>
      </x:c>
      <x:c r="L8" s="2" t="str">
        <x:v>https://doi.org/10.1145/3793654.3793746</x:v>
      </x:c>
      <x:c r="M8" s="2" t="str">
        <x:v>Published</x:v>
      </x:c>
      <x:c r="N8" s="2" t="str">
        <x:v>Published conference paper</x:v>
      </x:c>
      <x:c r="O8" s="2" t="str">
        <x:v>Peer-reviewed</x:v>
      </x:c>
      <x:c r="P8" s="2" t="str">
        <x:v>NA</x:v>
      </x:c>
      <x:c r="Q8" s="2" t="str">
        <x:v>Version of record</x:v>
      </x:c>
      <x:c r="R8" s="2" t="str">
        <x:v>Unclear</x:v>
      </x:c>
      <x:c r="S8" s="2" t="str">
        <x:v>2026-07-26</x:v>
      </x:c>
      <x:c r="T8" s="2" t="str">
        <x:v>NR</x:v>
      </x:c>
      <x:c r="U8" s="2" t="str">
        <x:v>NR</x:v>
      </x:c>
      <x:c r="V8" s="2" t="str">
        <x:v>NR</x:v>
      </x:c>
      <x:c r="W8" s="2" t="str">
        <x:v>QA_INCLUDE_STANDARD</x:v>
      </x:c>
      <x:c r="X8" s="2" t="str">
        <x:v>EM3</x:v>
      </x:c>
      <x:c r="Y8" s="2" t="str">
        <x:v>Completed</x:v>
      </x:c>
      <x:c r="Z8" s="6" t="str">
        <x:v>NR</x:v>
      </x:c>
    </x:row>
    <x:row r="9" ht="76" customHeight="1">
      <x:c r="A9" s="2" t="str">
        <x:v>S08</x:v>
      </x:c>
      <x:c r="B9" s="2" t="str">
        <x:v>S08</x:v>
      </x:c>
      <x:c r="C9" s="2" t="str">
        <x:v>merged_0256</x:v>
      </x:c>
      <x:c r="D9" s="2" t="str">
        <x:v>merged_0256</x:v>
      </x:c>
      <x:c r="E9" s="2" t="str">
        <x:v>merged_0256</x:v>
      </x:c>
      <x:c r="F9" s="6" t="str">
        <x:v>Supporting High-Level to Low-Level Requirements Coverage Reviewing with Large Language Models</x:v>
      </x:c>
      <x:c r="G9" s="2" t="str">
        <x:v>Preda, Anamaria-Roberta; Mayr-Dorn, Christoph; Mashkoor, Atif; Egyed, Alexander</x:v>
      </x:c>
      <x:c r="H9" s="2" t="n">
        <x:v>2024</x:v>
      </x:c>
      <x:c r="I9" s="2" t="str">
        <x:v>Proceedings - 2024 IEEE/ACM 21st International Conference on Mining Software Repositories, MSR 2024</x:v>
      </x:c>
      <x:c r="J9" s="2" t="str">
        <x:v>10.1145/3643991.3644922</x:v>
      </x:c>
      <x:c r="K9" s="2" t="str">
        <x:v>https://doi.org/10.1145/3643991.3644922</x:v>
      </x:c>
      <x:c r="L9" s="2" t="str">
        <x:v>https://doi.org/10.1145/3643991.3644922</x:v>
      </x:c>
      <x:c r="M9" s="2" t="str">
        <x:v>Published</x:v>
      </x:c>
      <x:c r="N9" s="2" t="str">
        <x:v>Published conference paper</x:v>
      </x:c>
      <x:c r="O9" s="2" t="str">
        <x:v>Peer-reviewed</x:v>
      </x:c>
      <x:c r="P9" s="2" t="str">
        <x:v>NA</x:v>
      </x:c>
      <x:c r="Q9" s="2" t="str">
        <x:v>Version of record</x:v>
      </x:c>
      <x:c r="R9" s="2" t="str">
        <x:v>Unclear</x:v>
      </x:c>
      <x:c r="S9" s="2" t="str">
        <x:v>2026-07-26</x:v>
      </x:c>
      <x:c r="T9" s="2" t="str">
        <x:v>NR</x:v>
      </x:c>
      <x:c r="U9" s="2" t="str">
        <x:v>NR</x:v>
      </x:c>
      <x:c r="V9" s="2" t="str">
        <x:v>NR</x:v>
      </x:c>
      <x:c r="W9" s="2" t="str">
        <x:v>QA_INCLUDE_STANDARD</x:v>
      </x:c>
      <x:c r="X9" s="2" t="str">
        <x:v>EM3</x:v>
      </x:c>
      <x:c r="Y9" s="2" t="str">
        <x:v>Completed</x:v>
      </x:c>
      <x:c r="Z9" s="6" t="str">
        <x:v>NR</x:v>
      </x:c>
    </x:row>
    <x:row r="10" ht="76" customHeight="1">
      <x:c r="A10" s="2" t="str">
        <x:v>S09</x:v>
      </x:c>
      <x:c r="B10" s="2" t="str">
        <x:v>S09</x:v>
      </x:c>
      <x:c r="C10" s="2" t="str">
        <x:v>merged_1114</x:v>
      </x:c>
      <x:c r="D10" s="2" t="str">
        <x:v>merged_1114</x:v>
      </x:c>
      <x:c r="E10" s="2" t="str">
        <x:v>merged_1114-v1</x:v>
      </x:c>
      <x:c r="F10" s="6" t="str">
        <x:v>Trust-Aware Multi-Agent Traceability: Confidence-Calibrated Knowledge Graphs for Consistent Software Artifact Management</x:v>
      </x:c>
      <x:c r="G10" s="2" t="str">
        <x:v>Essam, Mohamed; Wael, Kareem; Hassan, Azza; Haitham, Ahmed; Soliman, Mahmoud; Saber, Samer; Habib, Ibrahim</x:v>
      </x:c>
      <x:c r="H10" s="2" t="n">
        <x:v>2026</x:v>
      </x:c>
      <x:c r="I10" s="2" t="str">
        <x:v>arXiv</x:v>
      </x:c>
      <x:c r="J10" s="2" t="str">
        <x:v>10.48550/arxiv.2606.17203</x:v>
      </x:c>
      <x:c r="K10" s="2" t="str">
        <x:v>https://arxiv.org/abs/2606.17203</x:v>
      </x:c>
      <x:c r="L10" s="2" t="str">
        <x:v>https://arxiv.org/abs/2606.17203</x:v>
      </x:c>
      <x:c r="M10" s="2" t="str">
        <x:v>Grey literature</x:v>
      </x:c>
      <x:c r="N10" s="2" t="str">
        <x:v>Preprint</x:v>
      </x:c>
      <x:c r="O10" s="2" t="str">
        <x:v>Not peer-reviewed</x:v>
      </x:c>
      <x:c r="P10" s="2" t="str">
        <x:v>arXiv</x:v>
      </x:c>
      <x:c r="Q10" s="2" t="str">
        <x:v>v1</x:v>
      </x:c>
      <x:c r="R10" s="2" t="str">
        <x:v>2026-06-15</x:v>
      </x:c>
      <x:c r="S10" s="2" t="str">
        <x:v>2026-07-26</x:v>
      </x:c>
      <x:c r="T10" s="2" t="str">
        <x:v>No</x:v>
      </x:c>
      <x:c r="U10" s="2" t="str">
        <x:v>NR</x:v>
      </x:c>
      <x:c r="V10" s="2" t="str">
        <x:v>NR</x:v>
      </x:c>
      <x:c r="W10" s="2" t="str">
        <x:v>QA_INCLUDE_STANDARD</x:v>
      </x:c>
      <x:c r="X10" s="2" t="str">
        <x:v>EM3</x:v>
      </x:c>
      <x:c r="Y10" s="2" t="str">
        <x:v>Completed</x:v>
      </x:c>
      <x:c r="Z10" s="6" t="str">
        <x:v>NR</x:v>
      </x:c>
    </x:row>
    <x:row r="11" ht="76" customHeight="1">
      <x:c r="A11" s="2" t="str">
        <x:v>S10</x:v>
      </x:c>
      <x:c r="B11" s="2" t="str">
        <x:v>S10</x:v>
      </x:c>
      <x:c r="C11" s="2" t="str">
        <x:v>merged_1119</x:v>
      </x:c>
      <x:c r="D11" s="2" t="str">
        <x:v>merged_1119</x:v>
      </x:c>
      <x:c r="E11" s="2" t="str">
        <x:v>merged_1119-v2</x:v>
      </x:c>
      <x:c r="F11" s="6" t="str">
        <x:v>Think Harder and Don't Overlook Your Options: Revisiting Issue-Commit Linking with LLM-Assisted Retrieval</x:v>
      </x:c>
      <x:c r="G11" s="2" t="str">
        <x:v>Morgan, Cole; Asaduzzaman, Muhammad; Chowdhury, Shaiful; Wang, Shaowei</x:v>
      </x:c>
      <x:c r="H11" s="2" t="n">
        <x:v>2026</x:v>
      </x:c>
      <x:c r="I11" s="2" t="str">
        <x:v>arXiv</x:v>
      </x:c>
      <x:c r="J11" s="2" t="str">
        <x:v>10.48550/arxiv.2605.00447</x:v>
      </x:c>
      <x:c r="K11" s="2" t="str">
        <x:v>https://arxiv.org/abs/2605.00447</x:v>
      </x:c>
      <x:c r="L11" s="2" t="str">
        <x:v>https://arxiv.org/abs/2605.00447</x:v>
      </x:c>
      <x:c r="M11" s="2" t="str">
        <x:v>Grey literature</x:v>
      </x:c>
      <x:c r="N11" s="2" t="str">
        <x:v>Preprint</x:v>
      </x:c>
      <x:c r="O11" s="2" t="str">
        <x:v>Not peer-reviewed</x:v>
      </x:c>
      <x:c r="P11" s="2" t="str">
        <x:v>arXiv</x:v>
      </x:c>
      <x:c r="Q11" s="2" t="str">
        <x:v>v2</x:v>
      </x:c>
      <x:c r="R11" s="2" t="str">
        <x:v>2026-06-29</x:v>
      </x:c>
      <x:c r="S11" s="2" t="str">
        <x:v>2026-07-26</x:v>
      </x:c>
      <x:c r="T11" s="2" t="str">
        <x:v>No</x:v>
      </x:c>
      <x:c r="U11" s="2" t="str">
        <x:v>NR</x:v>
      </x:c>
      <x:c r="V11" s="2" t="str">
        <x:v>NR</x:v>
      </x:c>
      <x:c r="W11" s="2" t="str">
        <x:v>QA_INCLUDE_STANDARD</x:v>
      </x:c>
      <x:c r="X11" s="2" t="str">
        <x:v>EM3</x:v>
      </x:c>
      <x:c r="Y11" s="2" t="str">
        <x:v>Completed</x:v>
      </x:c>
      <x:c r="Z11" s="6" t="str">
        <x:v>NR</x:v>
      </x:c>
    </x:row>
    <x:row r="12" ht="76" customHeight="1">
      <x:c r="A12" s="2" t="str">
        <x:v>S11</x:v>
      </x:c>
      <x:c r="B12" s="2" t="str">
        <x:v>S11</x:v>
      </x:c>
      <x:c r="C12" s="2" t="str">
        <x:v>merged_1121</x:v>
      </x:c>
      <x:c r="D12" s="2" t="str">
        <x:v>merged_1121</x:v>
      </x:c>
      <x:c r="E12" s="2" t="str">
        <x:v>merged_1121-v1</x:v>
      </x:c>
      <x:c r="F12" s="6" t="str">
        <x:v>R2Code: A Self-Reflective LLM Framework for Requirements-to-Code Traceability</x:v>
      </x:c>
      <x:c r="G12" s="2" t="str">
        <x:v>Wang, Yifei; Keung, Jacky; Ma, Xiaoxue; Mao, Zhenyu; Chen, Kehui; Li, Yishu</x:v>
      </x:c>
      <x:c r="H12" s="2" t="n">
        <x:v>2026</x:v>
      </x:c>
      <x:c r="I12" s="2" t="str">
        <x:v>arXiv</x:v>
      </x:c>
      <x:c r="J12" s="2" t="str">
        <x:v>10.48550/arxiv.2604.22432</x:v>
      </x:c>
      <x:c r="K12" s="2" t="str">
        <x:v>https://arxiv.org/abs/2604.22432</x:v>
      </x:c>
      <x:c r="L12" s="2" t="str">
        <x:v>https://arxiv.org/abs/2604.22432</x:v>
      </x:c>
      <x:c r="M12" s="2" t="str">
        <x:v>Grey literature</x:v>
      </x:c>
      <x:c r="N12" s="2" t="str">
        <x:v>Preprint</x:v>
      </x:c>
      <x:c r="O12" s="2" t="str">
        <x:v>Not peer-reviewed</x:v>
      </x:c>
      <x:c r="P12" s="2" t="str">
        <x:v>arXiv</x:v>
      </x:c>
      <x:c r="Q12" s="2" t="str">
        <x:v>v1</x:v>
      </x:c>
      <x:c r="R12" s="2" t="str">
        <x:v>2026-04-24</x:v>
      </x:c>
      <x:c r="S12" s="2" t="str">
        <x:v>2026-07-26</x:v>
      </x:c>
      <x:c r="T12" s="2" t="str">
        <x:v>No</x:v>
      </x:c>
      <x:c r="U12" s="2" t="str">
        <x:v>NR</x:v>
      </x:c>
      <x:c r="V12" s="2" t="str">
        <x:v>NR</x:v>
      </x:c>
      <x:c r="W12" s="2" t="str">
        <x:v>QA_INCLUDE_STANDARD</x:v>
      </x:c>
      <x:c r="X12" s="2" t="str">
        <x:v>EM3</x:v>
      </x:c>
      <x:c r="Y12" s="2" t="str">
        <x:v>Completed</x:v>
      </x:c>
      <x:c r="Z12" s="6" t="str">
        <x:v>NR</x:v>
      </x:c>
    </x:row>
    <x:row r="13" ht="76" customHeight="1">
      <x:c r="A13" s="2" t="str">
        <x:v>S12</x:v>
      </x:c>
      <x:c r="B13" s="2" t="str">
        <x:v>S12</x:v>
      </x:c>
      <x:c r="C13" s="2" t="str">
        <x:v>merged_1133</x:v>
      </x:c>
      <x:c r="D13" s="2" t="str">
        <x:v>merged_1133</x:v>
      </x:c>
      <x:c r="E13" s="2" t="str">
        <x:v>merged_1133</x:v>
      </x:c>
      <x:c r="F13" s="6" t="str">
        <x:v>TraceLLM: Leveraging Large Language Models with Prompt Engineering for Enhanced Requirements Traceability</x:v>
      </x:c>
      <x:c r="G13" s="2" t="str">
        <x:v>Alturayeif, Nouf; Ahmad, Irfan; Hassine, Jameleddine</x:v>
      </x:c>
      <x:c r="H13" s="2" t="n">
        <x:v>2026</x:v>
      </x:c>
      <x:c r="I13" s="2" t="str">
        <x:v>Requirements Engineering</x:v>
      </x:c>
      <x:c r="J13" s="2" t="str">
        <x:v>10.1007/s00766-026-00460-1</x:v>
      </x:c>
      <x:c r="K13" s="2" t="str">
        <x:v>https://arxiv.org/abs/2602.01253</x:v>
      </x:c>
      <x:c r="L13" s="2" t="str">
        <x:v>https://arxiv.org/abs/2602.01253</x:v>
      </x:c>
      <x:c r="M13" s="2" t="str">
        <x:v>Published</x:v>
      </x:c>
      <x:c r="N13" s="2" t="str">
        <x:v>Published journal article</x:v>
      </x:c>
      <x:c r="O13" s="2" t="str">
        <x:v>Peer-reviewed</x:v>
      </x:c>
      <x:c r="P13" s="2" t="str">
        <x:v>NA</x:v>
      </x:c>
      <x:c r="Q13" s="2" t="str">
        <x:v>Version of record</x:v>
      </x:c>
      <x:c r="R13" s="2" t="str">
        <x:v>Unclear</x:v>
      </x:c>
      <x:c r="S13" s="2" t="str">
        <x:v>2026-07-26</x:v>
      </x:c>
      <x:c r="T13" s="2" t="str">
        <x:v>NR</x:v>
      </x:c>
      <x:c r="U13" s="2" t="str">
        <x:v>NR</x:v>
      </x:c>
      <x:c r="V13" s="2" t="str">
        <x:v>NR</x:v>
      </x:c>
      <x:c r="W13" s="2" t="str">
        <x:v>QA_INCLUDE_STANDARD</x:v>
      </x:c>
      <x:c r="X13" s="2" t="str">
        <x:v>EM3</x:v>
      </x:c>
      <x:c r="Y13" s="2" t="str">
        <x:v>Completed</x:v>
      </x:c>
      <x:c r="Z13" s="6" t="str">
        <x:v>NR</x:v>
      </x:c>
    </x:row>
    <x:row r="14" ht="76" customHeight="1">
      <x:c r="A14" s="2" t="str">
        <x:v>S13</x:v>
      </x:c>
      <x:c r="B14" s="2" t="str">
        <x:v>S13</x:v>
      </x:c>
      <x:c r="C14" s="2" t="str">
        <x:v>merged_1140</x:v>
      </x:c>
      <x:c r="D14" s="2" t="str">
        <x:v>merged_1140</x:v>
      </x:c>
      <x:c r="E14" s="2" t="str">
        <x:v>merged_1140</x:v>
      </x:c>
      <x:c r="F14" s="6" t="str">
        <x:v>Synergistic Enhancement of Requirement-to-Code Traceability: A Framework Combining Large Language Model based Data Augmentation and an Advanced Encoder</x:v>
      </x:c>
      <x:c r="G14" s="2" t="str">
        <x:v>Zhang, Jianzhang; Zhou, Jialong; Niu, Nan; Hua, Jinping; Liu, Chuang</x:v>
      </x:c>
      <x:c r="H14" s="2" t="n">
        <x:v>2025</x:v>
      </x:c>
      <x:c r="I14" s="2" t="str">
        <x:v>Information and Software Technology</x:v>
      </x:c>
      <x:c r="J14" s="2" t="str">
        <x:v>10.1016/j.infsof.2026.108045</x:v>
      </x:c>
      <x:c r="K14" s="2" t="str">
        <x:v>https://arxiv.org/abs/2509.20149</x:v>
      </x:c>
      <x:c r="L14" s="2" t="str">
        <x:v>https://arxiv.org/abs/2509.20149</x:v>
      </x:c>
      <x:c r="M14" s="2" t="str">
        <x:v>Published</x:v>
      </x:c>
      <x:c r="N14" s="2" t="str">
        <x:v>Published journal article</x:v>
      </x:c>
      <x:c r="O14" s="2" t="str">
        <x:v>Peer-reviewed</x:v>
      </x:c>
      <x:c r="P14" s="2" t="str">
        <x:v>NA</x:v>
      </x:c>
      <x:c r="Q14" s="2" t="str">
        <x:v>Version of record</x:v>
      </x:c>
      <x:c r="R14" s="2" t="str">
        <x:v>Unclear</x:v>
      </x:c>
      <x:c r="S14" s="2" t="str">
        <x:v>2026-07-26</x:v>
      </x:c>
      <x:c r="T14" s="2" t="str">
        <x:v>NR</x:v>
      </x:c>
      <x:c r="U14" s="2" t="str">
        <x:v>NR</x:v>
      </x:c>
      <x:c r="V14" s="2" t="str">
        <x:v>NR</x:v>
      </x:c>
      <x:c r="W14" s="2" t="str">
        <x:v>QA_INCLUDE_STANDARD</x:v>
      </x:c>
      <x:c r="X14" s="2" t="str">
        <x:v>EM3</x:v>
      </x:c>
      <x:c r="Y14" s="2" t="str">
        <x:v>Completed</x:v>
      </x:c>
      <x:c r="Z14" s="6" t="str">
        <x:v>NR</x:v>
      </x:c>
    </x:row>
    <x:row r="15" ht="76" customHeight="1">
      <x:c r="A15" s="2" t="str">
        <x:v>S14</x:v>
      </x:c>
      <x:c r="B15" s="2" t="str">
        <x:v>S14</x:v>
      </x:c>
      <x:c r="C15" s="2" t="str">
        <x:v>merged_1142</x:v>
      </x:c>
      <x:c r="D15" s="2" t="str">
        <x:v>merged_1142</x:v>
      </x:c>
      <x:c r="E15" s="2" t="str">
        <x:v>merged_1142-v1</x:v>
      </x:c>
      <x:c r="F15" s="6" t="str">
        <x:v>Natural Language-Programming Language Software Traceability Link Recovery Needs More than Textual Similarity</x:v>
      </x:c>
      <x:c r="G15" s="2" t="str">
        <x:v>Zou, Zhiyuan; Anonymous; Anonymous; Bi, Tingting; Jin, Huan</x:v>
      </x:c>
      <x:c r="H15" s="2" t="n">
        <x:v>2025</x:v>
      </x:c>
      <x:c r="I15" s="2" t="str">
        <x:v>arXiv</x:v>
      </x:c>
      <x:c r="J15" s="2" t="str">
        <x:v>10.48550/arxiv.2509.05585</x:v>
      </x:c>
      <x:c r="K15" s="2" t="str">
        <x:v>https://arxiv.org/abs/2509.05585</x:v>
      </x:c>
      <x:c r="L15" s="2" t="str">
        <x:v>https://arxiv.org/abs/2509.05585</x:v>
      </x:c>
      <x:c r="M15" s="2" t="str">
        <x:v>Grey literature</x:v>
      </x:c>
      <x:c r="N15" s="2" t="str">
        <x:v>Preprint</x:v>
      </x:c>
      <x:c r="O15" s="2" t="str">
        <x:v>Not peer-reviewed</x:v>
      </x:c>
      <x:c r="P15" s="2" t="str">
        <x:v>arXiv</x:v>
      </x:c>
      <x:c r="Q15" s="2" t="str">
        <x:v>v1</x:v>
      </x:c>
      <x:c r="R15" s="2" t="str">
        <x:v>2025-09-06</x:v>
      </x:c>
      <x:c r="S15" s="2" t="str">
        <x:v>2026-07-26</x:v>
      </x:c>
      <x:c r="T15" s="2" t="str">
        <x:v>No</x:v>
      </x:c>
      <x:c r="U15" s="2" t="str">
        <x:v>NR</x:v>
      </x:c>
      <x:c r="V15" s="2" t="str">
        <x:v>NR</x:v>
      </x:c>
      <x:c r="W15" s="2" t="str">
        <x:v>QA_INCLUDE_STANDARD</x:v>
      </x:c>
      <x:c r="X15" s="2" t="str">
        <x:v>EM3</x:v>
      </x:c>
      <x:c r="Y15" s="2" t="str">
        <x:v>Completed</x:v>
      </x:c>
      <x:c r="Z15" s="6" t="str">
        <x:v>NR</x:v>
      </x:c>
    </x:row>
    <x:row r="16" ht="76" customHeight="1">
      <x:c r="A16" s="2" t="str">
        <x:v>S15</x:v>
      </x:c>
      <x:c r="B16" s="2" t="str">
        <x:v>S15</x:v>
      </x:c>
      <x:c r="C16" s="2" t="str">
        <x:v>merged_1143</x:v>
      </x:c>
      <x:c r="D16" s="2" t="str">
        <x:v>merged_1143</x:v>
      </x:c>
      <x:c r="E16" s="2" t="str">
        <x:v>merged_1143</x:v>
      </x:c>
      <x:c r="F16" s="6" t="str">
        <x:v>Generative Goal Modeling</x:v>
      </x:c>
      <x:c r="G16" s="2" t="str">
        <x:v>Sharfuddin, Ateeq; Breaux, Travis</x:v>
      </x:c>
      <x:c r="H16" s="2" t="n">
        <x:v>2025</x:v>
      </x:c>
      <x:c r="I16" s="2" t="str">
        <x:v>Proceedings of the IEEE International Conference on Requirements Engineering</x:v>
      </x:c>
      <x:c r="J16" s="2" t="str">
        <x:v>10.1109/re63999.2025.00019</x:v>
      </x:c>
      <x:c r="K16" s="2" t="str">
        <x:v>https://arxiv.org/abs/2509.01048</x:v>
      </x:c>
      <x:c r="L16" s="2" t="str">
        <x:v>https://arxiv.org/abs/2509.01048</x:v>
      </x:c>
      <x:c r="M16" s="2" t="str">
        <x:v>Published</x:v>
      </x:c>
      <x:c r="N16" s="2" t="str">
        <x:v>Published conference paper</x:v>
      </x:c>
      <x:c r="O16" s="2" t="str">
        <x:v>Peer-reviewed</x:v>
      </x:c>
      <x:c r="P16" s="2" t="str">
        <x:v>NA</x:v>
      </x:c>
      <x:c r="Q16" s="2" t="str">
        <x:v>Version of record</x:v>
      </x:c>
      <x:c r="R16" s="2" t="str">
        <x:v>Unclear</x:v>
      </x:c>
      <x:c r="S16" s="2" t="str">
        <x:v>2026-07-26</x:v>
      </x:c>
      <x:c r="T16" s="2" t="str">
        <x:v>NR</x:v>
      </x:c>
      <x:c r="U16" s="2" t="str">
        <x:v>NR</x:v>
      </x:c>
      <x:c r="V16" s="2" t="str">
        <x:v>NR</x:v>
      </x:c>
      <x:c r="W16" s="2" t="str">
        <x:v>QA_INCLUDE_STANDARD</x:v>
      </x:c>
      <x:c r="X16" s="2" t="str">
        <x:v>EM3</x:v>
      </x:c>
      <x:c r="Y16" s="2" t="str">
        <x:v>Completed</x:v>
      </x:c>
      <x:c r="Z16" s="6" t="str">
        <x:v>NR</x:v>
      </x:c>
    </x:row>
    <x:row r="17" ht="76" customHeight="1">
      <x:c r="A17" s="2" t="str">
        <x:v>S16</x:v>
      </x:c>
      <x:c r="B17" s="2" t="str">
        <x:v>S16</x:v>
      </x:c>
      <x:c r="C17" s="2" t="str">
        <x:v>merged_1144</x:v>
      </x:c>
      <x:c r="D17" s="2" t="str">
        <x:v>merged_1144</x:v>
      </x:c>
      <x:c r="E17" s="2" t="str">
        <x:v>merged_1144</x:v>
      </x:c>
      <x:c r="F17" s="6" t="str">
        <x:v>Back to the Basics: Rethinking Issue-Commit Linking with LLM-Assisted Retrieval</x:v>
      </x:c>
      <x:c r="G17" s="2" t="str">
        <x:v>Huang, Huihui; Widyasari, Ratnadira; Zhang, Ting; Irsan, Ivana Clairine; Shi, Jieke; Ang, Han Wei; Liauw, Frank; Ouh, Eng Lieh; Shar, Lwin Khin; Kang, Hong Jin; Lo, David</x:v>
      </x:c>
      <x:c r="H17" s="2" t="n">
        <x:v>2025</x:v>
      </x:c>
      <x:c r="I17" s="2" t="str">
        <x:v>arXiv</x:v>
      </x:c>
      <x:c r="J17" s="2" t="str">
        <x:v>10.48550/arxiv.2507.09199</x:v>
      </x:c>
      <x:c r="K17" s="2" t="str">
        <x:v>https://arxiv.org/abs/2507.09199</x:v>
      </x:c>
      <x:c r="L17" s="2" t="str">
        <x:v>https://arxiv.org/abs/2507.09199</x:v>
      </x:c>
      <x:c r="M17" s="2" t="str">
        <x:v>Published</x:v>
      </x:c>
      <x:c r="N17" s="2" t="str">
        <x:v>Published conference paper</x:v>
      </x:c>
      <x:c r="O17" s="2" t="str">
        <x:v>Peer-reviewed</x:v>
      </x:c>
      <x:c r="P17" s="2" t="str">
        <x:v>NA</x:v>
      </x:c>
      <x:c r="Q17" s="2" t="str">
        <x:v>Version of record</x:v>
      </x:c>
      <x:c r="R17" s="2" t="str">
        <x:v>Unclear</x:v>
      </x:c>
      <x:c r="S17" s="2" t="str">
        <x:v>2026-07-26</x:v>
      </x:c>
      <x:c r="T17" s="2" t="str">
        <x:v>NR</x:v>
      </x:c>
      <x:c r="U17" s="2" t="str">
        <x:v>NR</x:v>
      </x:c>
      <x:c r="V17" s="2" t="str">
        <x:v>NR</x:v>
      </x:c>
      <x:c r="W17" s="2" t="str">
        <x:v>QA_INCLUDE_STANDARD</x:v>
      </x:c>
      <x:c r="X17" s="2" t="str">
        <x:v>EM3</x:v>
      </x:c>
      <x:c r="Y17" s="2" t="str">
        <x:v>Completed</x:v>
      </x:c>
      <x:c r="Z17" s="6" t="str">
        <x:v>NR</x:v>
      </x:c>
    </x:row>
    <x:row r="18" ht="76" customHeight="1">
      <x:c r="A18" s="2" t="str">
        <x:v>S17</x:v>
      </x:c>
      <x:c r="B18" s="2" t="str">
        <x:v>S17</x:v>
      </x:c>
      <x:c r="C18" s="2" t="str">
        <x:v>merged_1148</x:v>
      </x:c>
      <x:c r="D18" s="2" t="str">
        <x:v>merged_1148</x:v>
      </x:c>
      <x:c r="E18" s="2" t="str">
        <x:v>merged_1148-v1</x:v>
      </x:c>
      <x:c r="F18" s="6" t="str">
        <x:v>An LLM-Integrated Framework for Completion, Management, and Tracing of STPA</x:v>
      </x:c>
      <x:c r="G18" s="2" t="str">
        <x:v>Raeisdanaei, Ali; Kim, Juho; Liao, Michael; Kochhar, Sparsh</x:v>
      </x:c>
      <x:c r="H18" s="2" t="n">
        <x:v>2025</x:v>
      </x:c>
      <x:c r="I18" s="2" t="str">
        <x:v>arXiv</x:v>
      </x:c>
      <x:c r="J18" s="2" t="str">
        <x:v>10.48550/arxiv.2503.12043</x:v>
      </x:c>
      <x:c r="K18" s="2" t="str">
        <x:v>https://arxiv.org/abs/2503.12043</x:v>
      </x:c>
      <x:c r="L18" s="2" t="str">
        <x:v>https://arxiv.org/abs/2503.12043</x:v>
      </x:c>
      <x:c r="M18" s="2" t="str">
        <x:v>Grey literature</x:v>
      </x:c>
      <x:c r="N18" s="2" t="str">
        <x:v>Preprint</x:v>
      </x:c>
      <x:c r="O18" s="2" t="str">
        <x:v>Not peer-reviewed</x:v>
      </x:c>
      <x:c r="P18" s="2" t="str">
        <x:v>arXiv</x:v>
      </x:c>
      <x:c r="Q18" s="2" t="str">
        <x:v>v1</x:v>
      </x:c>
      <x:c r="R18" s="2" t="str">
        <x:v>2025-03-15</x:v>
      </x:c>
      <x:c r="S18" s="2" t="str">
        <x:v>2026-07-26</x:v>
      </x:c>
      <x:c r="T18" s="2" t="str">
        <x:v>No</x:v>
      </x:c>
      <x:c r="U18" s="2" t="str">
        <x:v>NR</x:v>
      </x:c>
      <x:c r="V18" s="2" t="str">
        <x:v>NR</x:v>
      </x:c>
      <x:c r="W18" s="2" t="str">
        <x:v>QA_INCLUDE_STANDARD</x:v>
      </x:c>
      <x:c r="X18" s="2" t="str">
        <x:v>EM3</x:v>
      </x:c>
      <x:c r="Y18" s="2" t="str">
        <x:v>Completed</x:v>
      </x:c>
      <x:c r="Z18" s="6" t="str">
        <x:v>NR</x:v>
      </x:c>
    </x:row>
    <x:row r="19" ht="76" customHeight="1">
      <x:c r="A19" s="2" t="str">
        <x:v>S18</x:v>
      </x:c>
      <x:c r="B19" s="2" t="str">
        <x:v>S18</x:v>
      </x:c>
      <x:c r="C19" s="2" t="str">
        <x:v>merged_1149</x:v>
      </x:c>
      <x:c r="D19" s="2" t="str">
        <x:v>merged_1149</x:v>
      </x:c>
      <x:c r="E19" s="2" t="str">
        <x:v>merged_1149</x:v>
      </x:c>
      <x:c r="F19" s="6" t="str">
        <x:v>Classifier or Prompt: A Case Study on Legal Requirements Traceability</x:v>
      </x:c>
      <x:c r="G19" s="2" t="str">
        <x:v>Etezadi, Romina; Abualhaija, Sallam; Arora, Chetan; Briand, Lionel</x:v>
      </x:c>
      <x:c r="H19" s="2" t="n">
        <x:v>2025</x:v>
      </x:c>
      <x:c r="I19" s="2" t="str">
        <x:v>Empirical Software Engineering</x:v>
      </x:c>
      <x:c r="J19" s="2" t="str">
        <x:v>10.1007/s10664-026-10827-1</x:v>
      </x:c>
      <x:c r="K19" s="2" t="str">
        <x:v>https://arxiv.org/abs/2502.04916</x:v>
      </x:c>
      <x:c r="L19" s="2" t="str">
        <x:v>https://arxiv.org/abs/2502.04916</x:v>
      </x:c>
      <x:c r="M19" s="2" t="str">
        <x:v>Published</x:v>
      </x:c>
      <x:c r="N19" s="2" t="str">
        <x:v>Published journal article</x:v>
      </x:c>
      <x:c r="O19" s="2" t="str">
        <x:v>Peer-reviewed</x:v>
      </x:c>
      <x:c r="P19" s="2" t="str">
        <x:v>NA</x:v>
      </x:c>
      <x:c r="Q19" s="2" t="str">
        <x:v>Version of record</x:v>
      </x:c>
      <x:c r="R19" s="2" t="str">
        <x:v>Unclear</x:v>
      </x:c>
      <x:c r="S19" s="2" t="str">
        <x:v>2026-07-26</x:v>
      </x:c>
      <x:c r="T19" s="2" t="str">
        <x:v>NR</x:v>
      </x:c>
      <x:c r="U19" s="2" t="str">
        <x:v>NR</x:v>
      </x:c>
      <x:c r="V19" s="2" t="str">
        <x:v>NR</x:v>
      </x:c>
      <x:c r="W19" s="2" t="str">
        <x:v>QA_INCLUDE_STANDARD</x:v>
      </x:c>
      <x:c r="X19" s="2" t="str">
        <x:v>EM3</x:v>
      </x:c>
      <x:c r="Y19" s="2" t="str">
        <x:v>Completed</x:v>
      </x:c>
      <x:c r="Z19" s="6" t="str">
        <x:v>NR</x:v>
      </x:c>
    </x:row>
    <x:row r="20" ht="76" customHeight="1">
      <x:c r="A20" s="2" t="str">
        <x:v>S19</x:v>
      </x:c>
      <x:c r="B20" s="2" t="str">
        <x:v>S19</x:v>
      </x:c>
      <x:c r="C20" s="2" t="str">
        <x:v>merged_1150</x:v>
      </x:c>
      <x:c r="D20" s="2" t="str">
        <x:v>merged_1150</x:v>
      </x:c>
      <x:c r="E20" s="2" t="str">
        <x:v>merged_1150</x:v>
      </x:c>
      <x:c r="F20" s="6" t="str">
        <x:v>On the Impact of Requirements Smells in Prompts: The Case of Automated Traceability</x:v>
      </x:c>
      <x:c r="G20" s="2" t="str">
        <x:v>Vogelsang, Andreas; Korn, Alexander; Broccia, Giovanna; Ferrari, Alessio; Fischbach, Jannik; Arora, Chetan</x:v>
      </x:c>
      <x:c r="H20" s="2" t="n">
        <x:v>2025</x:v>
      </x:c>
      <x:c r="I20" s="2" t="str">
        <x:v>2025 IEEE/ACM 47th International Conference on Software Engineering: New Ideas and Emerging Results (ICSE-NIER)</x:v>
      </x:c>
      <x:c r="J20" s="2" t="str">
        <x:v>10.1109/icse-nier66352.2025.00016</x:v>
      </x:c>
      <x:c r="K20" s="2" t="str">
        <x:v>https://arxiv.org/abs/2501.04810</x:v>
      </x:c>
      <x:c r="L20" s="2" t="str">
        <x:v>https://arxiv.org/abs/2501.04810</x:v>
      </x:c>
      <x:c r="M20" s="2" t="str">
        <x:v>Published</x:v>
      </x:c>
      <x:c r="N20" s="2" t="str">
        <x:v>Published conference paper</x:v>
      </x:c>
      <x:c r="O20" s="2" t="str">
        <x:v>Peer-reviewed</x:v>
      </x:c>
      <x:c r="P20" s="2" t="str">
        <x:v>NA</x:v>
      </x:c>
      <x:c r="Q20" s="2" t="str">
        <x:v>Version of record</x:v>
      </x:c>
      <x:c r="R20" s="2" t="str">
        <x:v>Unclear</x:v>
      </x:c>
      <x:c r="S20" s="2" t="str">
        <x:v>2026-07-26</x:v>
      </x:c>
      <x:c r="T20" s="2" t="str">
        <x:v>NR</x:v>
      </x:c>
      <x:c r="U20" s="2" t="str">
        <x:v>NR</x:v>
      </x:c>
      <x:c r="V20" s="2" t="str">
        <x:v>NR</x:v>
      </x:c>
      <x:c r="W20" s="2" t="str">
        <x:v>QA_INCLUDE_STANDARD</x:v>
      </x:c>
      <x:c r="X20" s="2" t="str">
        <x:v>EM3</x:v>
      </x:c>
      <x:c r="Y20" s="2" t="str">
        <x:v>Completed</x:v>
      </x:c>
      <x:c r="Z20" s="6" t="str">
        <x:v>NR</x:v>
      </x:c>
    </x:row>
    <x:row r="21" ht="76" customHeight="1">
      <x:c r="A21" s="2" t="str">
        <x:v>S20</x:v>
      </x:c>
      <x:c r="B21" s="2" t="str">
        <x:v>S20</x:v>
      </x:c>
      <x:c r="C21" s="2" t="str">
        <x:v>merged_1151</x:v>
      </x:c>
      <x:c r="D21" s="2" t="str">
        <x:v>merged_1151</x:v>
      </x:c>
      <x:c r="E21" s="2" t="str">
        <x:v>merged_1151-v1</x:v>
      </x:c>
      <x:c r="F21" s="6" t="str">
        <x:v>Leveraging Graph-RAG and Prompt Engineering to Enhance LLM-Based Automated Requirement Traceability and Compliance Checks</x:v>
      </x:c>
      <x:c r="G21" s="2" t="str">
        <x:v>Masoudifard, Arsalan; Sorond, Mohammad Mowlavi; Madadi, Moein; Sabokrou, Mohammad; Habibi, Elahe</x:v>
      </x:c>
      <x:c r="H21" s="2" t="n">
        <x:v>2024</x:v>
      </x:c>
      <x:c r="I21" s="2" t="str">
        <x:v>arXiv</x:v>
      </x:c>
      <x:c r="J21" s="2" t="str">
        <x:v>10.48550/arxiv.2412.08593</x:v>
      </x:c>
      <x:c r="K21" s="2" t="str">
        <x:v>https://arxiv.org/abs/2412.08593</x:v>
      </x:c>
      <x:c r="L21" s="2" t="str">
        <x:v>https://arxiv.org/abs/2412.08593</x:v>
      </x:c>
      <x:c r="M21" s="2" t="str">
        <x:v>Grey literature</x:v>
      </x:c>
      <x:c r="N21" s="2" t="str">
        <x:v>Preprint</x:v>
      </x:c>
      <x:c r="O21" s="2" t="str">
        <x:v>Not peer-reviewed</x:v>
      </x:c>
      <x:c r="P21" s="2" t="str">
        <x:v>arXiv</x:v>
      </x:c>
      <x:c r="Q21" s="2" t="str">
        <x:v>v1</x:v>
      </x:c>
      <x:c r="R21" s="2" t="str">
        <x:v>2024-12-11</x:v>
      </x:c>
      <x:c r="S21" s="2" t="str">
        <x:v>2026-07-26</x:v>
      </x:c>
      <x:c r="T21" s="2" t="str">
        <x:v>No</x:v>
      </x:c>
      <x:c r="U21" s="2" t="str">
        <x:v>NR</x:v>
      </x:c>
      <x:c r="V21" s="2" t="str">
        <x:v>NR</x:v>
      </x:c>
      <x:c r="W21" s="2" t="str">
        <x:v>QA_INCLUDE_STANDARD</x:v>
      </x:c>
      <x:c r="X21" s="2" t="str">
        <x:v>EM3</x:v>
      </x:c>
      <x:c r="Y21" s="2" t="str">
        <x:v>Completed</x:v>
      </x:c>
      <x:c r="Z21" s="6" t="str">
        <x:v>NR</x:v>
      </x:c>
    </x:row>
    <x:row r="22" ht="76" customHeight="1">
      <x:c r="A22" s="2" t="str">
        <x:v>S21</x:v>
      </x:c>
      <x:c r="B22" s="2" t="str">
        <x:v>S21</x:v>
      </x:c>
      <x:c r="C22" s="2" t="str">
        <x:v>merged_1152</x:v>
      </x:c>
      <x:c r="D22" s="2" t="str">
        <x:v>merged_1152</x:v>
      </x:c>
      <x:c r="E22" s="2" t="str">
        <x:v>merged_1152</x:v>
      </x:c>
      <x:c r="F22" s="6" t="str">
        <x:v>Prompts Matter: Insights and Strategies for Prompt Engineering in Automated Software Traceability</x:v>
      </x:c>
      <x:c r="G22" s="2" t="str">
        <x:v>Rodriguez, Alberto D.; Dearstyne, Katherine R.; Cleland-Huang, Jane</x:v>
      </x:c>
      <x:c r="H22" s="2" t="n">
        <x:v>2023</x:v>
      </x:c>
      <x:c r="I22" s="2" t="str">
        <x:v>Proceedings - 31st IEEE International Requirements Engineering Conference Workshops, REW 2023</x:v>
      </x:c>
      <x:c r="J22" s="2" t="str">
        <x:v>10.1109/rew57809.2023.00087</x:v>
      </x:c>
      <x:c r="K22" s="2" t="str">
        <x:v>https://arxiv.org/abs/2308.00229</x:v>
      </x:c>
      <x:c r="L22" s="2" t="str">
        <x:v>https://arxiv.org/abs/2308.00229</x:v>
      </x:c>
      <x:c r="M22" s="2" t="str">
        <x:v>Published</x:v>
      </x:c>
      <x:c r="N22" s="2" t="str">
        <x:v>Published workshop paper</x:v>
      </x:c>
      <x:c r="O22" s="2" t="str">
        <x:v>Peer-reviewed</x:v>
      </x:c>
      <x:c r="P22" s="2" t="str">
        <x:v>NA</x:v>
      </x:c>
      <x:c r="Q22" s="2" t="str">
        <x:v>Version of record</x:v>
      </x:c>
      <x:c r="R22" s="2" t="str">
        <x:v>Unclear</x:v>
      </x:c>
      <x:c r="S22" s="2" t="str">
        <x:v>2026-07-26</x:v>
      </x:c>
      <x:c r="T22" s="2" t="str">
        <x:v>NR</x:v>
      </x:c>
      <x:c r="U22" s="2" t="str">
        <x:v>NR</x:v>
      </x:c>
      <x:c r="V22" s="2" t="str">
        <x:v>NR</x:v>
      </x:c>
      <x:c r="W22" s="2" t="str">
        <x:v>QA_INCLUDE_STANDARD</x:v>
      </x:c>
      <x:c r="X22" s="2" t="str">
        <x:v>EM3</x:v>
      </x:c>
      <x:c r="Y22" s="2" t="str">
        <x:v>Completed</x:v>
      </x:c>
      <x:c r="Z22" s="6" t="str">
        <x:v>NR</x:v>
      </x:c>
    </x:row>
    <x:row r="23" ht="76" customHeight="1">
      <x:c r="A23" s="2" t="str">
        <x:v>S22</x:v>
      </x:c>
      <x:c r="B23" s="2" t="str">
        <x:v>S22</x:v>
      </x:c>
      <x:c r="C23" s="2" t="str">
        <x:v>merged_1154</x:v>
      </x:c>
      <x:c r="D23" s="2" t="str">
        <x:v>merged_1154</x:v>
      </x:c>
      <x:c r="E23" s="2" t="str">
        <x:v>merged_1154-v1</x:v>
      </x:c>
      <x:c r="F23" s="6" t="str">
        <x:v>Specification-Driven Development Benchmark: Security Knowledge Transition</x:v>
      </x:c>
      <x:c r="G23" s="2" t="str">
        <x:v>Grynets, Oleg; Salyk, Andrii; Lyashkevych, Vasyl; Kaskun, Oleh; Zhuravchak, Danyil</x:v>
      </x:c>
      <x:c r="H23" s="2" t="n">
        <x:v>2026</x:v>
      </x:c>
      <x:c r="I23" s="2" t="str">
        <x:v>arXiv</x:v>
      </x:c>
      <x:c r="J23" s="2" t="str">
        <x:v>10.48550/arxiv.2606.00167</x:v>
      </x:c>
      <x:c r="K23" s="2" t="str">
        <x:v>http://dx.doi.org/10.48550/arXiv.2606.00167</x:v>
      </x:c>
      <x:c r="L23" s="2" t="str">
        <x:v>http://dx.doi.org/10.48550/arXiv.2606.00167</x:v>
      </x:c>
      <x:c r="M23" s="2" t="str">
        <x:v>Grey literature</x:v>
      </x:c>
      <x:c r="N23" s="2" t="str">
        <x:v>Preprint</x:v>
      </x:c>
      <x:c r="O23" s="2" t="str">
        <x:v>Not peer-reviewed</x:v>
      </x:c>
      <x:c r="P23" s="2" t="str">
        <x:v>arXiv</x:v>
      </x:c>
      <x:c r="Q23" s="2" t="str">
        <x:v>v1</x:v>
      </x:c>
      <x:c r="R23" s="2" t="str">
        <x:v>2026-05-29</x:v>
      </x:c>
      <x:c r="S23" s="2" t="str">
        <x:v>2026-07-26</x:v>
      </x:c>
      <x:c r="T23" s="2" t="str">
        <x:v>No</x:v>
      </x:c>
      <x:c r="U23" s="2" t="str">
        <x:v>NR</x:v>
      </x:c>
      <x:c r="V23" s="2" t="str">
        <x:v>NR</x:v>
      </x:c>
      <x:c r="W23" s="2" t="str">
        <x:v>QA_INCLUDE_STANDARD</x:v>
      </x:c>
      <x:c r="X23" s="2" t="str">
        <x:v>EM3</x:v>
      </x:c>
      <x:c r="Y23" s="2" t="str">
        <x:v>Completed</x:v>
      </x:c>
      <x:c r="Z23" s="6" t="str">
        <x:v>NR</x:v>
      </x:c>
    </x:row>
    <x:row r="24" ht="76" customHeight="1">
      <x:c r="A24" s="2" t="str">
        <x:v>S23</x:v>
      </x:c>
      <x:c r="B24" s="2" t="str">
        <x:v>S23</x:v>
      </x:c>
      <x:c r="C24" s="2" t="str">
        <x:v>merged_1156</x:v>
      </x:c>
      <x:c r="D24" s="2" t="str">
        <x:v>merged_1156</x:v>
      </x:c>
      <x:c r="E24" s="2" t="str">
        <x:v>merged_1156</x:v>
      </x:c>
      <x:c r="F24" s="6" t="str">
        <x:v>Code Gradients: Towards Automated Traceability of LLM-Generated Code</x:v>
      </x:c>
      <x:c r="G24" s="2" t="str">
        <x:v>North, Marc; Atapour-Abarghouei, Amir; Bencomo, Nelly</x:v>
      </x:c>
      <x:c r="H24" s="2" t="n">
        <x:v>2024</x:v>
      </x:c>
      <x:c r="I24" s="2" t="str">
        <x:v>Proceedings of the IEEE International Conference on Requirements Engineering</x:v>
      </x:c>
      <x:c r="J24" s="2" t="str">
        <x:v>10.1109/re59067.2024.00038</x:v>
      </x:c>
      <x:c r="K24" s="2" t="str">
        <x:v>http://dx.doi.org/10.1109/RE59067.2024.00038</x:v>
      </x:c>
      <x:c r="L24" s="2" t="str">
        <x:v>http://dx.doi.org/10.1109/RE59067.2024.00038</x:v>
      </x:c>
      <x:c r="M24" s="2" t="str">
        <x:v>Published</x:v>
      </x:c>
      <x:c r="N24" s="2" t="str">
        <x:v>Published conference paper</x:v>
      </x:c>
      <x:c r="O24" s="2" t="str">
        <x:v>Peer-reviewed</x:v>
      </x:c>
      <x:c r="P24" s="2" t="str">
        <x:v>NA</x:v>
      </x:c>
      <x:c r="Q24" s="2" t="str">
        <x:v>Version of record</x:v>
      </x:c>
      <x:c r="R24" s="2" t="str">
        <x:v>Unclear</x:v>
      </x:c>
      <x:c r="S24" s="2" t="str">
        <x:v>2026-07-26</x:v>
      </x:c>
      <x:c r="T24" s="2" t="str">
        <x:v>NR</x:v>
      </x:c>
      <x:c r="U24" s="2" t="str">
        <x:v>NR</x:v>
      </x:c>
      <x:c r="V24" s="2" t="str">
        <x:v>NR</x:v>
      </x:c>
      <x:c r="W24" s="2" t="str">
        <x:v>QA_INCLUDE_STANDARD</x:v>
      </x:c>
      <x:c r="X24" s="2" t="str">
        <x:v>EM3</x:v>
      </x:c>
      <x:c r="Y24" s="2" t="str">
        <x:v>Completed</x:v>
      </x:c>
      <x:c r="Z24" s="6" t="str">
        <x:v>NR</x:v>
      </x:c>
    </x:row>
    <x:row r="25" ht="76" customHeight="1">
      <x:c r="A25" s="2" t="str">
        <x:v>S24</x:v>
      </x:c>
      <x:c r="B25" s="2" t="str">
        <x:v>S24</x:v>
      </x:c>
      <x:c r="C25" s="2" t="str">
        <x:v>merged_1172</x:v>
      </x:c>
      <x:c r="D25" s="2" t="str">
        <x:v>merged_1172</x:v>
      </x:c>
      <x:c r="E25" s="2" t="str">
        <x:v>merged_1172</x:v>
      </x:c>
      <x:c r="F25" s="6" t="str">
        <x:v>Automated Extraction and Cross-Document Analysis of Aerospace Project Requirements Using LLMs</x:v>
      </x:c>
      <x:c r="G25" s="2" t="str">
        <x:v>Ben Slimene, Imededdine; Roa, Maximo A.; Leidner, Daniel; Stelzer, Martin</x:v>
      </x:c>
      <x:c r="H25" s="2" t="n">
        <x:v>2026</x:v>
      </x:c>
      <x:c r="I25" s="2" t="str">
        <x:v>IEEE Aerospace Conference Proceedings</x:v>
      </x:c>
      <x:c r="J25" s="2" t="str">
        <x:v>10.1109/aero66936.2026.11519800</x:v>
      </x:c>
      <x:c r="K25" s="2" t="str">
        <x:v>http://dx.doi.org/10.1109/AERO66936.2026.11519800</x:v>
      </x:c>
      <x:c r="L25" s="2" t="str">
        <x:v>http://dx.doi.org/10.1109/AERO66936.2026.11519800</x:v>
      </x:c>
      <x:c r="M25" s="2" t="str">
        <x:v>Published</x:v>
      </x:c>
      <x:c r="N25" s="2" t="str">
        <x:v>Published conference paper</x:v>
      </x:c>
      <x:c r="O25" s="2" t="str">
        <x:v>Peer-reviewed</x:v>
      </x:c>
      <x:c r="P25" s="2" t="str">
        <x:v>NA</x:v>
      </x:c>
      <x:c r="Q25" s="2" t="str">
        <x:v>Version of record</x:v>
      </x:c>
      <x:c r="R25" s="2" t="str">
        <x:v>Unclear</x:v>
      </x:c>
      <x:c r="S25" s="2" t="str">
        <x:v>2026-07-26</x:v>
      </x:c>
      <x:c r="T25" s="2" t="str">
        <x:v>NR</x:v>
      </x:c>
      <x:c r="U25" s="2" t="str">
        <x:v>NR</x:v>
      </x:c>
      <x:c r="V25" s="2" t="str">
        <x:v>NR</x:v>
      </x:c>
      <x:c r="W25" s="2" t="str">
        <x:v>QA_INCLUDE_STANDARD</x:v>
      </x:c>
      <x:c r="X25" s="2" t="str">
        <x:v>EM3</x:v>
      </x:c>
      <x:c r="Y25" s="2" t="str">
        <x:v>Completed</x:v>
      </x:c>
      <x:c r="Z25" s="6" t="str">
        <x:v>NR</x:v>
      </x:c>
    </x:row>
    <x:row r="26" ht="76" customHeight="1">
      <x:c r="A26" s="2" t="str">
        <x:v>S25</x:v>
      </x:c>
      <x:c r="B26" s="2" t="str">
        <x:v>S25</x:v>
      </x:c>
      <x:c r="C26" s="2" t="str">
        <x:v>merged_1185</x:v>
      </x:c>
      <x:c r="D26" s="2" t="str">
        <x:v>merged_1185</x:v>
      </x:c>
      <x:c r="E26" s="2" t="str">
        <x:v>merged_1185</x:v>
      </x:c>
      <x:c r="F26" s="6" t="str">
        <x:v>Agentic RAG for Software Testing with Hybrid Vector-Graph and Multi-Agent Orchestration</x:v>
      </x:c>
      <x:c r="G26" s="2" t="str">
        <x:v>Hariharan, Mohanakrishnan; Arvapalli, Satish; Barma, Seshu; Sheela, Evangeline</x:v>
      </x:c>
      <x:c r="H26" s="2" t="n">
        <x:v>2025</x:v>
      </x:c>
      <x:c r="I26" s="2" t="str">
        <x:v>Proceedings of 2025 IEEE International Conference on Data and Software Engineering, ICoDSE 2025</x:v>
      </x:c>
      <x:c r="J26" s="2" t="str">
        <x:v>10.1109/icodse68111.2025.11351757</x:v>
      </x:c>
      <x:c r="K26" s="2" t="str">
        <x:v>http://dx.doi.org/10.48550/arXiv.2510.10824</x:v>
      </x:c>
      <x:c r="L26" s="2" t="str">
        <x:v>http://dx.doi.org/10.48550/arXiv.2510.10824</x:v>
      </x:c>
      <x:c r="M26" s="2" t="str">
        <x:v>Published</x:v>
      </x:c>
      <x:c r="N26" s="2" t="str">
        <x:v>Published conference paper</x:v>
      </x:c>
      <x:c r="O26" s="2" t="str">
        <x:v>Peer-reviewed</x:v>
      </x:c>
      <x:c r="P26" s="2" t="str">
        <x:v>NA</x:v>
      </x:c>
      <x:c r="Q26" s="2" t="str">
        <x:v>Version of record</x:v>
      </x:c>
      <x:c r="R26" s="2" t="str">
        <x:v>Unclear</x:v>
      </x:c>
      <x:c r="S26" s="2" t="str">
        <x:v>2026-07-26</x:v>
      </x:c>
      <x:c r="T26" s="2" t="str">
        <x:v>NR</x:v>
      </x:c>
      <x:c r="U26" s="2" t="str">
        <x:v>NR</x:v>
      </x:c>
      <x:c r="V26" s="2" t="str">
        <x:v>NR</x:v>
      </x:c>
      <x:c r="W26" s="2" t="str">
        <x:v>QA_INCLUDE_STANDARD</x:v>
      </x:c>
      <x:c r="X26" s="2" t="str">
        <x:v>EM4</x:v>
      </x:c>
      <x:c r="Y26" s="2" t="str">
        <x:v>Completed</x:v>
      </x:c>
      <x:c r="Z26" s="6" t="str">
        <x:v>NR</x:v>
      </x:c>
    </x:row>
    <x:row r="27" ht="76" customHeight="1">
      <x:c r="A27" s="2" t="str">
        <x:v>S26</x:v>
      </x:c>
      <x:c r="B27" s="2" t="str">
        <x:v>S26</x:v>
      </x:c>
      <x:c r="C27" s="2" t="str">
        <x:v>merged_1212</x:v>
      </x:c>
      <x:c r="D27" s="2" t="str">
        <x:v>merged_1212</x:v>
      </x:c>
      <x:c r="E27" s="2" t="str">
        <x:v>merged_1212</x:v>
      </x:c>
      <x:c r="F27" s="6" t="str">
        <x:v>Intelligent Traceability to Support Software Maintainability and Accountability</x:v>
      </x:c>
      <x:c r="G27" s="2" t="str">
        <x:v>Dearstyne, Katherine R.</x:v>
      </x:c>
      <x:c r="H27" s="2" t="n">
        <x:v>2025</x:v>
      </x:c>
      <x:c r="I27" s="2" t="str">
        <x:v>Proceedings of the IEEE International Conference on Requirements Engineering</x:v>
      </x:c>
      <x:c r="J27" s="2" t="str">
        <x:v>10.1109/re63999.2025.00076</x:v>
      </x:c>
      <x:c r="K27" s="2" t="str">
        <x:v>http://dx.doi.org/10.1109/RE63999.2025.00076</x:v>
      </x:c>
      <x:c r="L27" s="2" t="str">
        <x:v>http://dx.doi.org/10.1109/RE63999.2025.00076</x:v>
      </x:c>
      <x:c r="M27" s="2" t="str">
        <x:v>Published</x:v>
      </x:c>
      <x:c r="N27" s="2" t="str">
        <x:v>Published conference paper</x:v>
      </x:c>
      <x:c r="O27" s="2" t="str">
        <x:v>Peer-reviewed</x:v>
      </x:c>
      <x:c r="P27" s="2" t="str">
        <x:v>NA</x:v>
      </x:c>
      <x:c r="Q27" s="2" t="str">
        <x:v>Version of record</x:v>
      </x:c>
      <x:c r="R27" s="2" t="str">
        <x:v>Unclear</x:v>
      </x:c>
      <x:c r="S27" s="2" t="str">
        <x:v>2026-07-26</x:v>
      </x:c>
      <x:c r="T27" s="2" t="str">
        <x:v>NR</x:v>
      </x:c>
      <x:c r="U27" s="2" t="str">
        <x:v>NR</x:v>
      </x:c>
      <x:c r="V27" s="2" t="str">
        <x:v>NR</x:v>
      </x:c>
      <x:c r="W27" s="2" t="str">
        <x:v>QA_INCLUDE_WEAK</x:v>
      </x:c>
      <x:c r="X27" s="2" t="str">
        <x:v>EM3</x:v>
      </x:c>
      <x:c r="Y27" s="2" t="str">
        <x:v>Completed</x:v>
      </x:c>
      <x:c r="Z27" s="6" t="str">
        <x:v>NR</x:v>
      </x:c>
    </x:row>
    <x:row r="28" ht="76" customHeight="1">
      <x:c r="A28" s="2" t="str">
        <x:v>S27</x:v>
      </x:c>
      <x:c r="B28" s="2" t="str">
        <x:v>S27</x:v>
      </x:c>
      <x:c r="C28" s="2" t="str">
        <x:v>merged_1213</x:v>
      </x:c>
      <x:c r="D28" s="2" t="str">
        <x:v>merged_1213</x:v>
      </x:c>
      <x:c r="E28" s="2" t="str">
        <x:v>merged_1213</x:v>
      </x:c>
      <x:c r="F28" s="6" t="str">
        <x:v>Beyond Retrieval: A Study of Using LLM Ensembles for Candidate Filtering in Requirements Traceability</x:v>
      </x:c>
      <x:c r="G28" s="2" t="str">
        <x:v>Fuchc, Dominik; Schwedt, Stefan; Keim, Jan; Hey, Tobias</x:v>
      </x:c>
      <x:c r="H28" s="2" t="n">
        <x:v>2025</x:v>
      </x:c>
      <x:c r="I28" s="2" t="str">
        <x:v>Proceedings - 2025 IEEE 33rd International Requirements Engineering Conference Workshops, REW 2025</x:v>
      </x:c>
      <x:c r="J28" s="2" t="str">
        <x:v>10.1109/rew66121.2025.00006</x:v>
      </x:c>
      <x:c r="K28" s="2" t="str">
        <x:v>http://dx.doi.org/10.1109/REW66121.2025.00006</x:v>
      </x:c>
      <x:c r="L28" s="2" t="str">
        <x:v>http://dx.doi.org/10.1109/REW66121.2025.00006</x:v>
      </x:c>
      <x:c r="M28" s="2" t="str">
        <x:v>Published</x:v>
      </x:c>
      <x:c r="N28" s="2" t="str">
        <x:v>Published workshop paper</x:v>
      </x:c>
      <x:c r="O28" s="2" t="str">
        <x:v>Peer-reviewed</x:v>
      </x:c>
      <x:c r="P28" s="2" t="str">
        <x:v>NA</x:v>
      </x:c>
      <x:c r="Q28" s="2" t="str">
        <x:v>Version of record</x:v>
      </x:c>
      <x:c r="R28" s="2" t="str">
        <x:v>Unclear</x:v>
      </x:c>
      <x:c r="S28" s="2" t="str">
        <x:v>2026-07-26</x:v>
      </x:c>
      <x:c r="T28" s="2" t="str">
        <x:v>NR</x:v>
      </x:c>
      <x:c r="U28" s="2" t="str">
        <x:v>NR</x:v>
      </x:c>
      <x:c r="V28" s="2" t="str">
        <x:v>NR</x:v>
      </x:c>
      <x:c r="W28" s="2" t="str">
        <x:v>QA_INCLUDE_STANDARD</x:v>
      </x:c>
      <x:c r="X28" s="2" t="str">
        <x:v>EM3</x:v>
      </x:c>
      <x:c r="Y28" s="2" t="str">
        <x:v>Completed</x:v>
      </x:c>
      <x:c r="Z28" s="6" t="str">
        <x:v>NR</x:v>
      </x:c>
    </x:row>
    <x:row r="29" ht="76" customHeight="1">
      <x:c r="A29" s="2" t="str">
        <x:v>S28</x:v>
      </x:c>
      <x:c r="B29" s="2" t="str">
        <x:v>S28</x:v>
      </x:c>
      <x:c r="C29" s="2" t="str">
        <x:v>merged_1214</x:v>
      </x:c>
      <x:c r="D29" s="2" t="str">
        <x:v>merged_1214</x:v>
      </x:c>
      <x:c r="E29" s="2" t="str">
        <x:v>merged_1214</x:v>
      </x:c>
      <x:c r="F29" s="6" t="str">
        <x:v>Establishing Traceability Between Natural Language Requirements and Software Artifacts by Combining RAG and LLMs</x:v>
      </x:c>
      <x:c r="G29" s="2" t="str">
        <x:v>Ali, Syed Juned; Naganathan, Varun; Bork, Dominik</x:v>
      </x:c>
      <x:c r="H29" s="2" t="n">
        <x:v>2025</x:v>
      </x:c>
      <x:c r="I29" s="2" t="str">
        <x:v>Lecture Notes in Computer Science (including subseries Lecture Notes in Artificial Intelligence and Lecture Notes in Bioinformatics)</x:v>
      </x:c>
      <x:c r="J29" s="2" t="str">
        <x:v>10.1007/978-3-031-75872-0_16</x:v>
      </x:c>
      <x:c r="K29" s="2" t="str">
        <x:v>http://dx.doi.org/10.1007/978-3-031-75872-0_16</x:v>
      </x:c>
      <x:c r="L29" s="2" t="str">
        <x:v>http://dx.doi.org/10.1007/978-3-031-75872-0_16</x:v>
      </x:c>
      <x:c r="M29" s="2" t="str">
        <x:v>Published</x:v>
      </x:c>
      <x:c r="N29" s="2" t="str">
        <x:v>Published conference paper</x:v>
      </x:c>
      <x:c r="O29" s="2" t="str">
        <x:v>Peer-reviewed</x:v>
      </x:c>
      <x:c r="P29" s="2" t="str">
        <x:v>NA</x:v>
      </x:c>
      <x:c r="Q29" s="2" t="str">
        <x:v>Version of record</x:v>
      </x:c>
      <x:c r="R29" s="2" t="str">
        <x:v>Unclear</x:v>
      </x:c>
      <x:c r="S29" s="2" t="str">
        <x:v>2026-07-26</x:v>
      </x:c>
      <x:c r="T29" s="2" t="str">
        <x:v>NR</x:v>
      </x:c>
      <x:c r="U29" s="2" t="str">
        <x:v>NR</x:v>
      </x:c>
      <x:c r="V29" s="2" t="str">
        <x:v>NR</x:v>
      </x:c>
      <x:c r="W29" s="2" t="str">
        <x:v>QA_INCLUDE_STANDARD</x:v>
      </x:c>
      <x:c r="X29" s="2" t="str">
        <x:v>EM3</x:v>
      </x:c>
      <x:c r="Y29" s="2" t="str">
        <x:v>Completed</x:v>
      </x:c>
      <x:c r="Z29" s="6" t="str">
        <x:v>NR</x:v>
      </x:c>
    </x:row>
    <x:row r="30" ht="76" customHeight="1">
      <x:c r="A30" s="2" t="str">
        <x:v>S29</x:v>
      </x:c>
      <x:c r="B30" s="2" t="str">
        <x:v>S29</x:v>
      </x:c>
      <x:c r="C30" s="2" t="str">
        <x:v>merged_1215</x:v>
      </x:c>
      <x:c r="D30" s="2" t="str">
        <x:v>merged_1215</x:v>
      </x:c>
      <x:c r="E30" s="2" t="str">
        <x:v>merged_1215-v4</x:v>
      </x:c>
      <x:c r="F30" s="6" t="str">
        <x:v>TVR: Automotive System Requirements Traceability Validation and Recovery Through Retrieval-Augmented Generation</x:v>
      </x:c>
      <x:c r="G30" s="2" t="str">
        <x:v>Niu, Feifei; Pan, Rongqi; Briand, Lionel C.; Hu, Hanyang</x:v>
      </x:c>
      <x:c r="H30" s="2" t="n">
        <x:v>2026</x:v>
      </x:c>
      <x:c r="I30" s="2" t="str">
        <x:v>arXiv</x:v>
      </x:c>
      <x:c r="J30" s="2" t="str">
        <x:v>10.48550/arxiv.2504.15427</x:v>
      </x:c>
      <x:c r="K30" s="2" t="str">
        <x:v>http://dx.doi.org/10.48550/arXiv.2504.15427</x:v>
      </x:c>
      <x:c r="L30" s="2" t="str">
        <x:v>http://dx.doi.org/10.48550/arXiv.2504.15427</x:v>
      </x:c>
      <x:c r="M30" s="2" t="str">
        <x:v>Grey literature</x:v>
      </x:c>
      <x:c r="N30" s="2" t="str">
        <x:v>Preprint</x:v>
      </x:c>
      <x:c r="O30" s="2" t="str">
        <x:v>Not peer-reviewed</x:v>
      </x:c>
      <x:c r="P30" s="2" t="str">
        <x:v>arXiv</x:v>
      </x:c>
      <x:c r="Q30" s="2" t="str">
        <x:v>v4</x:v>
      </x:c>
      <x:c r="R30" s="2" t="str">
        <x:v>2026-01-10</x:v>
      </x:c>
      <x:c r="S30" s="2" t="str">
        <x:v>2026-07-26</x:v>
      </x:c>
      <x:c r="T30" s="2" t="str">
        <x:v>Yes</x:v>
      </x:c>
      <x:c r="U30" s="2" t="str">
        <x:v>NR</x:v>
      </x:c>
      <x:c r="V30" s="2" t="str">
        <x:v>NR</x:v>
      </x:c>
      <x:c r="W30" s="2" t="str">
        <x:v>QA_INCLUDE_STANDARD</x:v>
      </x:c>
      <x:c r="X30" s="2" t="str">
        <x:v>EM3</x:v>
      </x:c>
      <x:c r="Y30" s="2" t="str">
        <x:v>Completed</x:v>
      </x:c>
      <x:c r="Z30" s="6" t="str">
        <x:v>NR</x:v>
      </x:c>
    </x:row>
    <x:row r="31" ht="76" customHeight="1">
      <x:c r="A31" s="2" t="str">
        <x:v>S30</x:v>
      </x:c>
      <x:c r="B31" s="2" t="str">
        <x:v>S30</x:v>
      </x:c>
      <x:c r="C31" s="2" t="str">
        <x:v>merged_1218</x:v>
      </x:c>
      <x:c r="D31" s="2" t="str">
        <x:v>merged_1218</x:v>
      </x:c>
      <x:c r="E31" s="2" t="str">
        <x:v>merged_1218</x:v>
      </x:c>
      <x:c r="F31" s="6" t="str">
        <x:v>Navigating through Work Items in Issue Tracking Systems via Natural Language Queries</x:v>
      </x:c>
      <x:c r="G31" s="2" t="str">
        <x:v>Ly, Delina; Radhakrishnan, Sruthi; Aydemir, Fatma Basak; Dalpiaz, Fabiano</x:v>
      </x:c>
      <x:c r="H31" s="2" t="n">
        <x:v>2025</x:v>
      </x:c>
      <x:c r="I31" s="2" t="str">
        <x:v>Proceedings of the IEEE International Conference on Requirements Engineering</x:v>
      </x:c>
      <x:c r="J31" s="2" t="str">
        <x:v>10.1109/re63999.2025.00037</x:v>
      </x:c>
      <x:c r="K31" s="2" t="str">
        <x:v>http://dx.doi.org/10.1109/RE63999.2025.00037</x:v>
      </x:c>
      <x:c r="L31" s="2" t="str">
        <x:v>http://dx.doi.org/10.1109/RE63999.2025.00037</x:v>
      </x:c>
      <x:c r="M31" s="2" t="str">
        <x:v>Published</x:v>
      </x:c>
      <x:c r="N31" s="2" t="str">
        <x:v>Published conference paper</x:v>
      </x:c>
      <x:c r="O31" s="2" t="str">
        <x:v>Peer-reviewed</x:v>
      </x:c>
      <x:c r="P31" s="2" t="str">
        <x:v>NA</x:v>
      </x:c>
      <x:c r="Q31" s="2" t="str">
        <x:v>Version of record</x:v>
      </x:c>
      <x:c r="R31" s="2" t="str">
        <x:v>Unclear</x:v>
      </x:c>
      <x:c r="S31" s="2" t="str">
        <x:v>2026-07-26</x:v>
      </x:c>
      <x:c r="T31" s="2" t="str">
        <x:v>NR</x:v>
      </x:c>
      <x:c r="U31" s="2" t="str">
        <x:v>NR</x:v>
      </x:c>
      <x:c r="V31" s="2" t="str">
        <x:v>NR</x:v>
      </x:c>
      <x:c r="W31" s="2" t="str">
        <x:v>QA_INCLUDE_STANDARD</x:v>
      </x:c>
      <x:c r="X31" s="2" t="str">
        <x:v>EM3</x:v>
      </x:c>
      <x:c r="Y31" s="2" t="str">
        <x:v>Completed</x:v>
      </x:c>
      <x:c r="Z31" s="6" t="str">
        <x:v>NR</x:v>
      </x:c>
    </x:row>
    <x:row r="32" ht="76" customHeight="1">
      <x:c r="A32" s="2" t="str">
        <x:v>S31</x:v>
      </x:c>
      <x:c r="B32" s="2" t="str">
        <x:v>S31</x:v>
      </x:c>
      <x:c r="C32" s="2" t="str">
        <x:v>merged_1219</x:v>
      </x:c>
      <x:c r="D32" s="2" t="str">
        <x:v>merged_1219</x:v>
      </x:c>
      <x:c r="E32" s="2" t="str">
        <x:v>merged_1219</x:v>
      </x:c>
      <x:c r="F32" s="6" t="str">
        <x:v>Generating Context-Aware Learning Materials for Software Security via LLM Agents and Traceability</x:v>
      </x:c>
      <x:c r="G32" s="2" t="str">
        <x:v>Schuring, Ben Luca; Herrmann, Marc; Specht, Alexander; Ehl, Marco; Elsofi, Duaa Adel Ali; Grocer, Katharina; Jurjens, Jan; Schneider, Kurt</x:v>
      </x:c>
      <x:c r="H32" s="2" t="n">
        <x:v>2025</x:v>
      </x:c>
      <x:c r="I32" s="2" t="str">
        <x:v>Proceedings - 2025 IEEE 33rd International Requirements Engineering Conference Workshops, REW 2025</x:v>
      </x:c>
      <x:c r="J32" s="2" t="str">
        <x:v>10.1109/rew66121.2025.00038</x:v>
      </x:c>
      <x:c r="K32" s="2" t="str">
        <x:v>http://dx.doi.org/10.1109/REW66121.2025.00038</x:v>
      </x:c>
      <x:c r="L32" s="2" t="str">
        <x:v>http://dx.doi.org/10.1109/REW66121.2025.00038</x:v>
      </x:c>
      <x:c r="M32" s="2" t="str">
        <x:v>Published</x:v>
      </x:c>
      <x:c r="N32" s="2" t="str">
        <x:v>Published workshop paper</x:v>
      </x:c>
      <x:c r="O32" s="2" t="str">
        <x:v>Peer-reviewed</x:v>
      </x:c>
      <x:c r="P32" s="2" t="str">
        <x:v>NA</x:v>
      </x:c>
      <x:c r="Q32" s="2" t="str">
        <x:v>Version of record</x:v>
      </x:c>
      <x:c r="R32" s="2" t="str">
        <x:v>Unclear</x:v>
      </x:c>
      <x:c r="S32" s="2" t="str">
        <x:v>2026-07-26</x:v>
      </x:c>
      <x:c r="T32" s="2" t="str">
        <x:v>NR</x:v>
      </x:c>
      <x:c r="U32" s="2" t="str">
        <x:v>NR</x:v>
      </x:c>
      <x:c r="V32" s="2" t="str">
        <x:v>NR</x:v>
      </x:c>
      <x:c r="W32" s="2" t="str">
        <x:v>QA_INCLUDE_STANDARD</x:v>
      </x:c>
      <x:c r="X32" s="2" t="str">
        <x:v>EM3</x:v>
      </x:c>
      <x:c r="Y32" s="2" t="str">
        <x:v>Completed</x:v>
      </x:c>
      <x:c r="Z32" s="6" t="str">
        <x:v>NR</x:v>
      </x:c>
    </x:row>
    <x:row r="33" ht="76" customHeight="1">
      <x:c r="A33" s="2" t="str">
        <x:v>S32</x:v>
      </x:c>
      <x:c r="B33" s="2" t="str">
        <x:v>S32</x:v>
      </x:c>
      <x:c r="C33" s="2" t="str">
        <x:v>merged_1220</x:v>
      </x:c>
      <x:c r="D33" s="2" t="str">
        <x:v>merged_1220</x:v>
      </x:c>
      <x:c r="E33" s="2" t="str">
        <x:v>merged_1220</x:v>
      </x:c>
      <x:c r="F33" s="6" t="str">
        <x:v>Constructing Cross-Level Traceability Links in the Automotive Domain: A Case Study</x:v>
      </x:c>
      <x:c r="G33" s="2" t="str">
        <x:v>Xie, Wei; Zhao, Yi; Zhang, Min; Huang, Yinghua</x:v>
      </x:c>
      <x:c r="H33" s="2" t="n">
        <x:v>2025</x:v>
      </x:c>
      <x:c r="I33" s="2" t="str">
        <x:v>Proceedings - 2025 IEEE 33rd International Requirements Engineering Conference Workshops, REW 2025</x:v>
      </x:c>
      <x:c r="J33" s="2" t="str">
        <x:v>10.1109/rew66121.2025.00026</x:v>
      </x:c>
      <x:c r="K33" s="2" t="str">
        <x:v>http://dx.doi.org/10.1109/REW66121.2025.00026</x:v>
      </x:c>
      <x:c r="L33" s="2" t="str">
        <x:v>http://dx.doi.org/10.1109/REW66121.2025.00026</x:v>
      </x:c>
      <x:c r="M33" s="2" t="str">
        <x:v>Published</x:v>
      </x:c>
      <x:c r="N33" s="2" t="str">
        <x:v>Published workshop paper</x:v>
      </x:c>
      <x:c r="O33" s="2" t="str">
        <x:v>Peer-reviewed</x:v>
      </x:c>
      <x:c r="P33" s="2" t="str">
        <x:v>NA</x:v>
      </x:c>
      <x:c r="Q33" s="2" t="str">
        <x:v>Version of record</x:v>
      </x:c>
      <x:c r="R33" s="2" t="str">
        <x:v>Unclear</x:v>
      </x:c>
      <x:c r="S33" s="2" t="str">
        <x:v>2026-07-26</x:v>
      </x:c>
      <x:c r="T33" s="2" t="str">
        <x:v>NR</x:v>
      </x:c>
      <x:c r="U33" s="2" t="str">
        <x:v>NR</x:v>
      </x:c>
      <x:c r="V33" s="2" t="str">
        <x:v>NR</x:v>
      </x:c>
      <x:c r="W33" s="2" t="str">
        <x:v>QA_INCLUDE_WEAK</x:v>
      </x:c>
      <x:c r="X33" s="2" t="str">
        <x:v>EM2</x:v>
      </x:c>
      <x:c r="Y33" s="2" t="str">
        <x:v>Completed</x:v>
      </x:c>
      <x:c r="Z33" s="6" t="str">
        <x:v>NR</x:v>
      </x:c>
    </x:row>
    <x:row r="34" ht="76" customHeight="1">
      <x:c r="A34" s="2" t="str">
        <x:v>S33</x:v>
      </x:c>
      <x:c r="B34" s="2" t="str">
        <x:v>S33</x:v>
      </x:c>
      <x:c r="C34" s="2" t="str">
        <x:v>merged_1222</x:v>
      </x:c>
      <x:c r="D34" s="2" t="str">
        <x:v>merged_1222</x:v>
      </x:c>
      <x:c r="E34" s="2" t="str">
        <x:v>merged_1222</x:v>
      </x:c>
      <x:c r="F34" s="6" t="str">
        <x:v>Can we use LLMs to recover Trace Links between Source Code and Security Requirements?</x:v>
      </x:c>
      <x:c r="G34" s="2" t="str">
        <x:v>Paclack, Jan-Marc; Specht, Alexander; Herrmann, Marc; Elsofi, Duaa Adel Ali; Ehl, Marco; Grocer, Katharina; Jurjens, Jan; Schneider, Kurt</x:v>
      </x:c>
      <x:c r="H34" s="2" t="n">
        <x:v>2025</x:v>
      </x:c>
      <x:c r="I34" s="2" t="str">
        <x:v>Proceedings - 2025 IEEE 33rd International Requirements Engineering Conference Workshops, REW 2025</x:v>
      </x:c>
      <x:c r="J34" s="2" t="str">
        <x:v>10.1109/rew66121.2025.00035</x:v>
      </x:c>
      <x:c r="K34" s="2" t="str">
        <x:v>http://dx.doi.org/10.1109/REW66121.2025.00035</x:v>
      </x:c>
      <x:c r="L34" s="2" t="str">
        <x:v>http://dx.doi.org/10.1109/REW66121.2025.00035</x:v>
      </x:c>
      <x:c r="M34" s="2" t="str">
        <x:v>Published</x:v>
      </x:c>
      <x:c r="N34" s="2" t="str">
        <x:v>Published workshop paper</x:v>
      </x:c>
      <x:c r="O34" s="2" t="str">
        <x:v>Peer-reviewed</x:v>
      </x:c>
      <x:c r="P34" s="2" t="str">
        <x:v>NA</x:v>
      </x:c>
      <x:c r="Q34" s="2" t="str">
        <x:v>Version of record</x:v>
      </x:c>
      <x:c r="R34" s="2" t="str">
        <x:v>Unclear</x:v>
      </x:c>
      <x:c r="S34" s="2" t="str">
        <x:v>2026-07-26</x:v>
      </x:c>
      <x:c r="T34" s="2" t="str">
        <x:v>NR</x:v>
      </x:c>
      <x:c r="U34" s="2" t="str">
        <x:v>NR</x:v>
      </x:c>
      <x:c r="V34" s="2" t="str">
        <x:v>NR</x:v>
      </x:c>
      <x:c r="W34" s="2" t="str">
        <x:v>QA_INCLUDE_STANDARD</x:v>
      </x:c>
      <x:c r="X34" s="2" t="str">
        <x:v>EM3</x:v>
      </x:c>
      <x:c r="Y34" s="2" t="str">
        <x:v>Completed</x:v>
      </x:c>
      <x:c r="Z34" s="6" t="str">
        <x:v>NR</x:v>
      </x:c>
    </x:row>
    <x:row r="35" ht="76" customHeight="1">
      <x:c r="A35" s="2" t="str">
        <x:v>S34</x:v>
      </x:c>
      <x:c r="B35" s="2" t="str">
        <x:v>S34</x:v>
      </x:c>
      <x:c r="C35" s="2" t="str">
        <x:v>merged_1224</x:v>
      </x:c>
      <x:c r="D35" s="2" t="str">
        <x:v>merged_1224</x:v>
      </x:c>
      <x:c r="E35" s="2" t="str">
        <x:v>merged_1224-v1</x:v>
      </x:c>
      <x:c r="F35" s="6" t="str">
        <x:v>Behavioral Augmentation of UML Class Diagrams: An Empirical Study of Large Language Models for Method Generation</x:v>
      </x:c>
      <x:c r="G35" s="2" t="str">
        <x:v>Rouabhia, Djaber; Hadjadj, Ismail</x:v>
      </x:c>
      <x:c r="H35" s="2" t="n">
        <x:v>2025</x:v>
      </x:c>
      <x:c r="I35" s="2" t="str">
        <x:v>arXiv</x:v>
      </x:c>
      <x:c r="J35" s="2" t="str">
        <x:v>10.48550/arxiv.2506.00788</x:v>
      </x:c>
      <x:c r="K35" s="2" t="str">
        <x:v>http://dx.doi.org/10.48550/arXiv.2506.00788</x:v>
      </x:c>
      <x:c r="L35" s="2" t="str">
        <x:v>http://dx.doi.org/10.48550/arXiv.2506.00788</x:v>
      </x:c>
      <x:c r="M35" s="2" t="str">
        <x:v>Grey literature</x:v>
      </x:c>
      <x:c r="N35" s="2" t="str">
        <x:v>Preprint</x:v>
      </x:c>
      <x:c r="O35" s="2" t="str">
        <x:v>Not peer-reviewed</x:v>
      </x:c>
      <x:c r="P35" s="2" t="str">
        <x:v>arXiv</x:v>
      </x:c>
      <x:c r="Q35" s="2" t="str">
        <x:v>v1</x:v>
      </x:c>
      <x:c r="R35" s="2" t="str">
        <x:v>2025-06-01</x:v>
      </x:c>
      <x:c r="S35" s="2" t="str">
        <x:v>2026-07-26</x:v>
      </x:c>
      <x:c r="T35" s="2" t="str">
        <x:v>No</x:v>
      </x:c>
      <x:c r="U35" s="2" t="str">
        <x:v>NR</x:v>
      </x:c>
      <x:c r="V35" s="2" t="str">
        <x:v>NR</x:v>
      </x:c>
      <x:c r="W35" s="2" t="str">
        <x:v>QA_INCLUDE_STANDARD</x:v>
      </x:c>
      <x:c r="X35" s="2" t="str">
        <x:v>EM3</x:v>
      </x:c>
      <x:c r="Y35" s="2" t="str">
        <x:v>Completed</x:v>
      </x:c>
      <x:c r="Z35" s="6" t="str">
        <x:v>NR</x:v>
      </x:c>
    </x:row>
    <x:row r="36" ht="76" customHeight="1">
      <x:c r="A36" s="2" t="str">
        <x:v>S35</x:v>
      </x:c>
      <x:c r="B36" s="2" t="str">
        <x:v>S35</x:v>
      </x:c>
      <x:c r="C36" s="2" t="str">
        <x:v>merged_1225</x:v>
      </x:c>
      <x:c r="D36" s="2" t="str">
        <x:v>merged_1225</x:v>
      </x:c>
      <x:c r="E36" s="2" t="str">
        <x:v>merged_1225</x:v>
      </x:c>
      <x:c r="F36" s="6" t="str">
        <x:v>Tracing Feature Tests to Textual Requirements</x:v>
      </x:c>
      <x:c r="G36" s="2" t="str">
        <x:v>Dahiya, Mahima; Li, Mark; Horton, Glen; Scherz, Thomas; Niu, Nan</x:v>
      </x:c>
      <x:c r="H36" s="2" t="n">
        <x:v>2024</x:v>
      </x:c>
      <x:c r="I36" s="2" t="str">
        <x:v>Proceedings - 2024 IEEE International Conference on Information Reuse and Integration for Data Science, IRI 2024</x:v>
      </x:c>
      <x:c r="J36" s="2" t="str">
        <x:v>10.1109/iri62200.2024.00035</x:v>
      </x:c>
      <x:c r="K36" s="2" t="str">
        <x:v>http://dx.doi.org/10.1109/IRI62200.2024.00035</x:v>
      </x:c>
      <x:c r="L36" s="2" t="str">
        <x:v>http://dx.doi.org/10.1109/IRI62200.2024.00035</x:v>
      </x:c>
      <x:c r="M36" s="2" t="str">
        <x:v>Published</x:v>
      </x:c>
      <x:c r="N36" s="2" t="str">
        <x:v>Published conference paper</x:v>
      </x:c>
      <x:c r="O36" s="2" t="str">
        <x:v>Peer-reviewed</x:v>
      </x:c>
      <x:c r="P36" s="2" t="str">
        <x:v>NA</x:v>
      </x:c>
      <x:c r="Q36" s="2" t="str">
        <x:v>Version of record</x:v>
      </x:c>
      <x:c r="R36" s="2" t="str">
        <x:v>Unclear</x:v>
      </x:c>
      <x:c r="S36" s="2" t="str">
        <x:v>2026-07-26</x:v>
      </x:c>
      <x:c r="T36" s="2" t="str">
        <x:v>NR</x:v>
      </x:c>
      <x:c r="U36" s="2" t="str">
        <x:v>NR</x:v>
      </x:c>
      <x:c r="V36" s="2" t="str">
        <x:v>NR</x:v>
      </x:c>
      <x:c r="W36" s="2" t="str">
        <x:v>QA_INCLUDE_STANDARD</x:v>
      </x:c>
      <x:c r="X36" s="2" t="str">
        <x:v>EM2</x:v>
      </x:c>
      <x:c r="Y36" s="2" t="str">
        <x:v>Completed</x:v>
      </x:c>
      <x:c r="Z36" s="6" t="str">
        <x:v>NR</x:v>
      </x:c>
    </x:row>
    <x:row r="37" ht="76" customHeight="1">
      <x:c r="A37" s="2" t="str">
        <x:v>S36</x:v>
      </x:c>
      <x:c r="B37" s="2" t="str">
        <x:v>S36</x:v>
      </x:c>
      <x:c r="C37" s="2" t="str">
        <x:v>merged_1236</x:v>
      </x:c>
      <x:c r="D37" s="2" t="str">
        <x:v>merged_1236</x:v>
      </x:c>
      <x:c r="E37" s="2" t="str">
        <x:v>merged_1236</x:v>
      </x:c>
      <x:c r="F37" s="6" t="str">
        <x:v>DDD-Enforcer: An AI-Powered Multi-Agent System for Real-Time Domain-Driven Design Enforcement</x:v>
      </x:c>
      <x:c r="G37" s="2" t="str">
        <x:v>Dincoguz, Ahmet Baran; Kendir, Ali; Karakaya, Murat</x:v>
      </x:c>
      <x:c r="H37" s="2" t="n">
        <x:v>2026</x:v>
      </x:c>
      <x:c r="I37" s="2" t="str">
        <x:v>Proceedings - 5th International Conference on Informatics and Software Engineering, IISEC 2026</x:v>
      </x:c>
      <x:c r="J37" s="2" t="str">
        <x:v>10.1109/iisec69317.2026.11418529</x:v>
      </x:c>
      <x:c r="K37" s="2" t="str">
        <x:v>http://dx.doi.org/10.1109/IISEC69317.2026.11418529</x:v>
      </x:c>
      <x:c r="L37" s="2" t="str">
        <x:v>http://dx.doi.org/10.1109/IISEC69317.2026.11418529</x:v>
      </x:c>
      <x:c r="M37" s="2" t="str">
        <x:v>Published</x:v>
      </x:c>
      <x:c r="N37" s="2" t="str">
        <x:v>Published conference paper</x:v>
      </x:c>
      <x:c r="O37" s="2" t="str">
        <x:v>Peer-reviewed</x:v>
      </x:c>
      <x:c r="P37" s="2" t="str">
        <x:v>NA</x:v>
      </x:c>
      <x:c r="Q37" s="2" t="str">
        <x:v>Version of record</x:v>
      </x:c>
      <x:c r="R37" s="2" t="str">
        <x:v>Unclear</x:v>
      </x:c>
      <x:c r="S37" s="2" t="str">
        <x:v>2026-07-26</x:v>
      </x:c>
      <x:c r="T37" s="2" t="str">
        <x:v>NR</x:v>
      </x:c>
      <x:c r="U37" s="2" t="str">
        <x:v>NR</x:v>
      </x:c>
      <x:c r="V37" s="2" t="str">
        <x:v>NR</x:v>
      </x:c>
      <x:c r="W37" s="2" t="str">
        <x:v>QA_INCLUDE_STANDARD</x:v>
      </x:c>
      <x:c r="X37" s="2" t="str">
        <x:v>EM3</x:v>
      </x:c>
      <x:c r="Y37" s="2" t="str">
        <x:v>Completed</x:v>
      </x:c>
      <x:c r="Z37" s="6" t="str">
        <x:v>NR</x:v>
      </x:c>
    </x:row>
    <x:row r="38" ht="76" customHeight="1">
      <x:c r="A38" s="2" t="str">
        <x:v>S37</x:v>
      </x:c>
      <x:c r="B38" s="2" t="str">
        <x:v>S37</x:v>
      </x:c>
      <x:c r="C38" s="2" t="str">
        <x:v>merged_1238</x:v>
      </x:c>
      <x:c r="D38" s="2" t="str">
        <x:v>merged_1238</x:v>
      </x:c>
      <x:c r="E38" s="2" t="str">
        <x:v>merged_1238</x:v>
      </x:c>
      <x:c r="F38" s="6" t="str">
        <x:v>Iterative Requirements-Driven Business Process Modeling and Verification with Large Language Models</x:v>
      </x:c>
      <x:c r="G38" s="2" t="str">
        <x:v>Xie, Heng; Ni, Feng; Liu, Jiang; Fu, Rui; Dou, Yubo</x:v>
      </x:c>
      <x:c r="H38" s="2" t="n">
        <x:v>2026</x:v>
      </x:c>
      <x:c r="I38" s="2" t="str">
        <x:v>Applied Sciences (Switzerland)</x:v>
      </x:c>
      <x:c r="J38" s="2" t="str">
        <x:v>10.3390/app16010518</x:v>
      </x:c>
      <x:c r="K38" s="2" t="str">
        <x:v>http://dx.doi.org/10.3390/app16010518</x:v>
      </x:c>
      <x:c r="L38" s="2" t="str">
        <x:v>http://dx.doi.org/10.3390/app16010518</x:v>
      </x:c>
      <x:c r="M38" s="2" t="str">
        <x:v>Published</x:v>
      </x:c>
      <x:c r="N38" s="2" t="str">
        <x:v>Published journal article</x:v>
      </x:c>
      <x:c r="O38" s="2" t="str">
        <x:v>Peer-reviewed</x:v>
      </x:c>
      <x:c r="P38" s="2" t="str">
        <x:v>NA</x:v>
      </x:c>
      <x:c r="Q38" s="2" t="str">
        <x:v>Version of record</x:v>
      </x:c>
      <x:c r="R38" s="2" t="str">
        <x:v>Unclear</x:v>
      </x:c>
      <x:c r="S38" s="2" t="str">
        <x:v>2026-07-26</x:v>
      </x:c>
      <x:c r="T38" s="2" t="str">
        <x:v>NR</x:v>
      </x:c>
      <x:c r="U38" s="2" t="str">
        <x:v>NR</x:v>
      </x:c>
      <x:c r="V38" s="2" t="str">
        <x:v>NR</x:v>
      </x:c>
      <x:c r="W38" s="2" t="str">
        <x:v>QA_INCLUDE_STANDARD</x:v>
      </x:c>
      <x:c r="X38" s="2" t="str">
        <x:v>EM3</x:v>
      </x:c>
      <x:c r="Y38" s="2" t="str">
        <x:v>Completed</x:v>
      </x:c>
      <x:c r="Z38" s="6" t="str">
        <x:v>NR</x:v>
      </x:c>
    </x:row>
    <x:row r="39" ht="76" customHeight="1">
      <x:c r="A39" s="2" t="str">
        <x:v>S38</x:v>
      </x:c>
      <x:c r="B39" s="2" t="str">
        <x:v>S38</x:v>
      </x:c>
      <x:c r="C39" s="2" t="str">
        <x:v>merged_1241</x:v>
      </x:c>
      <x:c r="D39" s="2" t="str">
        <x:v>merged_1241</x:v>
      </x:c>
      <x:c r="E39" s="2" t="str">
        <x:v>merged_1241</x:v>
      </x:c>
      <x:c r="F39" s="6" t="str">
        <x:v>LusGen: Leveraging LLMs for Safety-Critical Lustre Design and Requirements Traceability</x:v>
      </x:c>
      <x:c r="G39" s="2" t="str">
        <x:v>Jiang, Yili; Yan, Zhuoran; Ge, Ning; Wang, Yuan; Weng, Jiahao; Hu, Chunming</x:v>
      </x:c>
      <x:c r="H39" s="2" t="n">
        <x:v>2026</x:v>
      </x:c>
      <x:c r="I39" s="2" t="str">
        <x:v>Fundamental Approaches to Software Engineering</x:v>
      </x:c>
      <x:c r="J39" s="2" t="str">
        <x:v>10.1007/978-3-032-22774-4_4</x:v>
      </x:c>
      <x:c r="K39" s="2" t="str">
        <x:v>http://dx.doi.org/10.1007/978-3-032-22774-4_4</x:v>
      </x:c>
      <x:c r="L39" s="2" t="str">
        <x:v>http://dx.doi.org/10.1007/978-3-032-22774-4_4</x:v>
      </x:c>
      <x:c r="M39" s="2" t="str">
        <x:v>Published</x:v>
      </x:c>
      <x:c r="N39" s="2" t="str">
        <x:v>Published conference paper</x:v>
      </x:c>
      <x:c r="O39" s="2" t="str">
        <x:v>Peer-reviewed</x:v>
      </x:c>
      <x:c r="P39" s="2" t="str">
        <x:v>NA</x:v>
      </x:c>
      <x:c r="Q39" s="2" t="str">
        <x:v>Version of record</x:v>
      </x:c>
      <x:c r="R39" s="2" t="str">
        <x:v>Unclear</x:v>
      </x:c>
      <x:c r="S39" s="2" t="str">
        <x:v>2026-07-26</x:v>
      </x:c>
      <x:c r="T39" s="2" t="str">
        <x:v>NR</x:v>
      </x:c>
      <x:c r="U39" s="2" t="str">
        <x:v>NR</x:v>
      </x:c>
      <x:c r="V39" s="2" t="str">
        <x:v>NR</x:v>
      </x:c>
      <x:c r="W39" s="2" t="str">
        <x:v>QA_INCLUDE_STANDARD</x:v>
      </x:c>
      <x:c r="X39" s="2" t="str">
        <x:v>EM3</x:v>
      </x:c>
      <x:c r="Y39" s="2" t="str">
        <x:v>Completed</x:v>
      </x:c>
      <x:c r="Z39" s="6" t="str">
        <x:v>NR</x:v>
      </x:c>
    </x:row>
    <x:row r="40" ht="76" customHeight="1">
      <x:c r="A40" s="2" t="str">
        <x:v>S39</x:v>
      </x:c>
      <x:c r="B40" s="2" t="str">
        <x:v>S39</x:v>
      </x:c>
      <x:c r="C40" s="2" t="str">
        <x:v>merged_1245</x:v>
      </x:c>
      <x:c r="D40" s="2" t="str">
        <x:v>merged_1245</x:v>
      </x:c>
      <x:c r="E40" s="2" t="str">
        <x:v>merged_1245</x:v>
      </x:c>
      <x:c r="F40" s="6" t="str">
        <x:v>Smells Like Trouble: Investigating the Impact of Requirements Quality on LLM-Supported Software Engineering</x:v>
      </x:c>
      <x:c r="G40" s="2" t="str">
        <x:v>Korn, Alexander</x:v>
      </x:c>
      <x:c r="H40" s="2" t="n">
        <x:v>2025</x:v>
      </x:c>
      <x:c r="I40" s="2" t="str">
        <x:v>Proceedings of the IEEE International Conference on Requirements Engineering</x:v>
      </x:c>
      <x:c r="J40" s="2" t="str">
        <x:v>10.1109/re63999.2025.00075</x:v>
      </x:c>
      <x:c r="K40" s="2" t="str">
        <x:v>http://dx.doi.org/10.1109/RE63999.2025.00075</x:v>
      </x:c>
      <x:c r="L40" s="2" t="str">
        <x:v>http://dx.doi.org/10.1109/RE63999.2025.00075</x:v>
      </x:c>
      <x:c r="M40" s="2" t="str">
        <x:v>Published</x:v>
      </x:c>
      <x:c r="N40" s="2" t="str">
        <x:v>Published conference paper</x:v>
      </x:c>
      <x:c r="O40" s="2" t="str">
        <x:v>Peer-reviewed</x:v>
      </x:c>
      <x:c r="P40" s="2" t="str">
        <x:v>NA</x:v>
      </x:c>
      <x:c r="Q40" s="2" t="str">
        <x:v>Version of record</x:v>
      </x:c>
      <x:c r="R40" s="2" t="str">
        <x:v>Unclear</x:v>
      </x:c>
      <x:c r="S40" s="2" t="str">
        <x:v>2026-07-26</x:v>
      </x:c>
      <x:c r="T40" s="2" t="str">
        <x:v>NR</x:v>
      </x:c>
      <x:c r="U40" s="2" t="str">
        <x:v>NR</x:v>
      </x:c>
      <x:c r="V40" s="2" t="str">
        <x:v>NR</x:v>
      </x:c>
      <x:c r="W40" s="2" t="str">
        <x:v>QA_INCLUDE_STANDARD</x:v>
      </x:c>
      <x:c r="X40" s="2" t="str">
        <x:v>EM3</x:v>
      </x:c>
      <x:c r="Y40" s="2" t="str">
        <x:v>Completed</x:v>
      </x:c>
      <x:c r="Z40" s="6" t="str">
        <x:v>NR</x:v>
      </x:c>
    </x:row>
    <x:row r="41" ht="76" customHeight="1">
      <x:c r="A41" s="2" t="str">
        <x:v>S40</x:v>
      </x:c>
      <x:c r="B41" s="2" t="str">
        <x:v>S40</x:v>
      </x:c>
      <x:c r="C41" s="2" t="str">
        <x:v>merged_1263</x:v>
      </x:c>
      <x:c r="D41" s="2" t="str">
        <x:v>merged_1263</x:v>
      </x:c>
      <x:c r="E41" s="2" t="str">
        <x:v>merged_1263</x:v>
      </x:c>
      <x:c r="F41" s="6" t="str">
        <x:v>A GraphRAG-Based Dual-Path Structural Diffusion Retrieval Framework for Requirement-Code Traceability Link Recovery</x:v>
      </x:c>
      <x:c r="G41" s="2" t="str">
        <x:v>Zhao, Zhiqi; Xu, Xiaoliang</x:v>
      </x:c>
      <x:c r="H41" s="2" t="n">
        <x:v>2026</x:v>
      </x:c>
      <x:c r="I41" s="2" t="str">
        <x:v>Information (Switzerland)</x:v>
      </x:c>
      <x:c r="J41" s="2" t="str">
        <x:v>10.3390/info17060541</x:v>
      </x:c>
      <x:c r="K41" s="2" t="str">
        <x:v>http://dx.doi.org/10.3390/info17060541</x:v>
      </x:c>
      <x:c r="L41" s="2" t="str">
        <x:v>http://dx.doi.org/10.3390/info17060541</x:v>
      </x:c>
      <x:c r="M41" s="2" t="str">
        <x:v>Published</x:v>
      </x:c>
      <x:c r="N41" s="2" t="str">
        <x:v>Published journal article</x:v>
      </x:c>
      <x:c r="O41" s="2" t="str">
        <x:v>Peer-reviewed</x:v>
      </x:c>
      <x:c r="P41" s="2" t="str">
        <x:v>NA</x:v>
      </x:c>
      <x:c r="Q41" s="2" t="str">
        <x:v>Version of record</x:v>
      </x:c>
      <x:c r="R41" s="2" t="str">
        <x:v>Unclear</x:v>
      </x:c>
      <x:c r="S41" s="2" t="str">
        <x:v>2026-07-26</x:v>
      </x:c>
      <x:c r="T41" s="2" t="str">
        <x:v>NR</x:v>
      </x:c>
      <x:c r="U41" s="2" t="str">
        <x:v>NR</x:v>
      </x:c>
      <x:c r="V41" s="2" t="str">
        <x:v>NR</x:v>
      </x:c>
      <x:c r="W41" s="2" t="str">
        <x:v>QA_INCLUDE_STANDARD</x:v>
      </x:c>
      <x:c r="X41" s="2" t="str">
        <x:v>EM3</x:v>
      </x:c>
      <x:c r="Y41" s="2" t="str">
        <x:v>Completed</x:v>
      </x:c>
      <x:c r="Z41" s="6" t="str">
        <x:v>NR</x:v>
      </x:c>
    </x:row>
    <x:row r="42" ht="76" customHeight="1">
      <x:c r="A42" s="2" t="str">
        <x:v>S41</x:v>
      </x:c>
      <x:c r="B42" s="2" t="str">
        <x:v>S41</x:v>
      </x:c>
      <x:c r="C42" s="2" t="str">
        <x:v>merged_1264</x:v>
      </x:c>
      <x:c r="D42" s="2" t="str">
        <x:v>merged_1264</x:v>
      </x:c>
      <x:c r="E42" s="2" t="str">
        <x:v>merged_1264</x:v>
      </x:c>
      <x:c r="F42" s="6" t="str">
        <x:v>SELink: A semantic-enhanced modular framework for issue–commit link recovery</x:v>
      </x:c>
      <x:c r="G42" s="2" t="str">
        <x:v>Zheng, Tao; Zhao, Yangyang; Guo, Jiamin; Nie, Liming; Jiang, Mingyue; Zhou, Yuming</x:v>
      </x:c>
      <x:c r="H42" s="2" t="n">
        <x:v>2026</x:v>
      </x:c>
      <x:c r="I42" s="2" t="str">
        <x:v>Information and Software Technology</x:v>
      </x:c>
      <x:c r="J42" s="2" t="str">
        <x:v>10.1016/j.infsof.2025.107973</x:v>
      </x:c>
      <x:c r="K42" s="2" t="str">
        <x:v>http://dx.doi.org/10.1016/j.infsof.2025.107973</x:v>
      </x:c>
      <x:c r="L42" s="2" t="str">
        <x:v>http://dx.doi.org/10.1016/j.infsof.2025.107973</x:v>
      </x:c>
      <x:c r="M42" s="2" t="str">
        <x:v>Published</x:v>
      </x:c>
      <x:c r="N42" s="2" t="str">
        <x:v>Published journal article</x:v>
      </x:c>
      <x:c r="O42" s="2" t="str">
        <x:v>Peer-reviewed</x:v>
      </x:c>
      <x:c r="P42" s="2" t="str">
        <x:v>NA</x:v>
      </x:c>
      <x:c r="Q42" s="2" t="str">
        <x:v>Version of record</x:v>
      </x:c>
      <x:c r="R42" s="2" t="str">
        <x:v>Unclear</x:v>
      </x:c>
      <x:c r="S42" s="2" t="str">
        <x:v>2026-07-26</x:v>
      </x:c>
      <x:c r="T42" s="2" t="str">
        <x:v>NR</x:v>
      </x:c>
      <x:c r="U42" s="2" t="str">
        <x:v>NR</x:v>
      </x:c>
      <x:c r="V42" s="2" t="str">
        <x:v>NR</x:v>
      </x:c>
      <x:c r="W42" s="2" t="str">
        <x:v>QA_INCLUDE_STANDARD</x:v>
      </x:c>
      <x:c r="X42" s="2" t="str">
        <x:v>EM3</x:v>
      </x:c>
      <x:c r="Y42" s="2" t="str">
        <x:v>Completed</x:v>
      </x:c>
      <x:c r="Z42" s="6" t="str">
        <x:v>NR</x:v>
      </x:c>
    </x:row>
    <x:row r="43" ht="76" customHeight="1">
      <x:c r="A43" s="2" t="str">
        <x:v>S42</x:v>
      </x:c>
      <x:c r="B43" s="2" t="str">
        <x:v>S42</x:v>
      </x:c>
      <x:c r="C43" s="2" t="str">
        <x:v>merged_1266</x:v>
      </x:c>
      <x:c r="D43" s="2" t="str">
        <x:v>merged_1266</x:v>
      </x:c>
      <x:c r="E43" s="2" t="str">
        <x:v>merged_1266</x:v>
      </x:c>
      <x:c r="F43" s="6" t="str">
        <x:v>Requirements Traceability Link Recovery via Retrieval-Augmented Generation</x:v>
      </x:c>
      <x:c r="G43" s="2" t="str">
        <x:v>Hey, Tobias; Fuchc, Dominik; Keim, Jan; Koziolek, Anne</x:v>
      </x:c>
      <x:c r="H43" s="2" t="n">
        <x:v>2025</x:v>
      </x:c>
      <x:c r="I43" s="2" t="str">
        <x:v>Requirements Engineering: Foundation for Software Quality</x:v>
      </x:c>
      <x:c r="J43" s="2" t="str">
        <x:v>10.1007/978-3-031-88531-0_27</x:v>
      </x:c>
      <x:c r="K43" s="2" t="str">
        <x:v>http://dx.doi.org/10.1007/978-3-031-88531-0_27</x:v>
      </x:c>
      <x:c r="L43" s="2" t="str">
        <x:v>http://dx.doi.org/10.1007/978-3-031-88531-0_27</x:v>
      </x:c>
      <x:c r="M43" s="2" t="str">
        <x:v>Published</x:v>
      </x:c>
      <x:c r="N43" s="2" t="str">
        <x:v>Published conference paper</x:v>
      </x:c>
      <x:c r="O43" s="2" t="str">
        <x:v>Peer-reviewed</x:v>
      </x:c>
      <x:c r="P43" s="2" t="str">
        <x:v>NA</x:v>
      </x:c>
      <x:c r="Q43" s="2" t="str">
        <x:v>Version of record</x:v>
      </x:c>
      <x:c r="R43" s="2" t="str">
        <x:v>Unclear</x:v>
      </x:c>
      <x:c r="S43" s="2" t="str">
        <x:v>2026-07-26</x:v>
      </x:c>
      <x:c r="T43" s="2" t="str">
        <x:v>NR</x:v>
      </x:c>
      <x:c r="U43" s="2" t="str">
        <x:v>NR</x:v>
      </x:c>
      <x:c r="V43" s="2" t="str">
        <x:v>NR</x:v>
      </x:c>
      <x:c r="W43" s="2" t="str">
        <x:v>QA_INCLUDE_STANDARD</x:v>
      </x:c>
      <x:c r="X43" s="2" t="str">
        <x:v>EM3</x:v>
      </x:c>
      <x:c r="Y43" s="2" t="str">
        <x:v>Completed</x:v>
      </x:c>
      <x:c r="Z43" s="6" t="str">
        <x:v>NR</x:v>
      </x:c>
    </x:row>
    <x:row r="44" ht="76" customHeight="1">
      <x:c r="A44" s="2" t="str">
        <x:v>S43</x:v>
      </x:c>
      <x:c r="B44" s="2" t="str">
        <x:v>S43</x:v>
      </x:c>
      <x:c r="C44" s="2" t="str">
        <x:v>merged_1270</x:v>
      </x:c>
      <x:c r="D44" s="2" t="str">
        <x:v>merged_1270</x:v>
      </x:c>
      <x:c r="E44" s="2" t="str">
        <x:v>merged_1270</x:v>
      </x:c>
      <x:c r="F44" s="6" t="str">
        <x:v>HGTRTracer: Advancing Requirements-Code Traceability with LLM-Augmented Attribution Reasoning and Heterogeneous Graph Transformer</x:v>
      </x:c>
      <x:c r="G44" s="2" t="str">
        <x:v>Jin, Huan; Yuan, Yingkai; Anonymous; Anonymous; Zou, Zhiyuan</x:v>
      </x:c>
      <x:c r="H44" s="2" t="n">
        <x:v>2025</x:v>
      </x:c>
      <x:c r="I44" s="2" t="str">
        <x:v>2025 32nd Asia-Pacific Software Engineering Conference (APSEC)</x:v>
      </x:c>
      <x:c r="J44" s="2" t="str">
        <x:v>10.1109/apsec66846.2025.00070</x:v>
      </x:c>
      <x:c r="K44" s="2" t="str">
        <x:v>http://dx.doi.org/10.1109/APSEC66846.2025.00070</x:v>
      </x:c>
      <x:c r="L44" s="2" t="str">
        <x:v>http://dx.doi.org/10.1109/APSEC66846.2025.00070</x:v>
      </x:c>
      <x:c r="M44" s="2" t="str">
        <x:v>Published</x:v>
      </x:c>
      <x:c r="N44" s="2" t="str">
        <x:v>Published conference paper</x:v>
      </x:c>
      <x:c r="O44" s="2" t="str">
        <x:v>Peer-reviewed</x:v>
      </x:c>
      <x:c r="P44" s="2" t="str">
        <x:v>NA</x:v>
      </x:c>
      <x:c r="Q44" s="2" t="str">
        <x:v>Version of record</x:v>
      </x:c>
      <x:c r="R44" s="2" t="str">
        <x:v>Unclear</x:v>
      </x:c>
      <x:c r="S44" s="2" t="str">
        <x:v>2026-07-26</x:v>
      </x:c>
      <x:c r="T44" s="2" t="str">
        <x:v>NR</x:v>
      </x:c>
      <x:c r="U44" s="2" t="str">
        <x:v>NR</x:v>
      </x:c>
      <x:c r="V44" s="2" t="str">
        <x:v>NR</x:v>
      </x:c>
      <x:c r="W44" s="2" t="str">
        <x:v>QA_INCLUDE_STANDARD</x:v>
      </x:c>
      <x:c r="X44" s="2" t="str">
        <x:v>EM3</x:v>
      </x:c>
      <x:c r="Y44" s="2" t="str">
        <x:v>Completed</x:v>
      </x:c>
      <x:c r="Z44" s="6" t="str">
        <x:v>NR</x:v>
      </x:c>
    </x:row>
    <x:row r="45" ht="76" customHeight="1">
      <x:c r="A45" s="2" t="str">
        <x:v>S44</x:v>
      </x:c>
      <x:c r="B45" s="2" t="str">
        <x:v>S44</x:v>
      </x:c>
      <x:c r="C45" s="2" t="str">
        <x:v>merged_1274</x:v>
      </x:c>
      <x:c r="D45" s="2" t="str">
        <x:v>merged_1274</x:v>
      </x:c>
      <x:c r="E45" s="2" t="str">
        <x:v>merged_1274</x:v>
      </x:c>
      <x:c r="F45" s="6" t="str">
        <x:v>Enhancing Requirement-to-Code Traceability via Chain-of-Thought Prompting in Large Language Models</x:v>
      </x:c>
      <x:c r="G45" s="2" t="str">
        <x:v>Wang, Wenqing; Wang, Ye; Zhao, Liping; Huang, Qiao; Jiang, Bo</x:v>
      </x:c>
      <x:c r="H45" s="2" t="n">
        <x:v>2025</x:v>
      </x:c>
      <x:c r="I45" s="2" t="str">
        <x:v>2025 32nd Asia-Pacific Software Engineering Conference (APSEC)</x:v>
      </x:c>
      <x:c r="J45" s="2" t="str">
        <x:v>10.1109/apsec66846.2025.00083</x:v>
      </x:c>
      <x:c r="K45" s="2" t="str">
        <x:v>http://dx.doi.org/10.1109/APSEC66846.2025.00083</x:v>
      </x:c>
      <x:c r="L45" s="2" t="str">
        <x:v>http://dx.doi.org/10.1109/APSEC66846.2025.00083</x:v>
      </x:c>
      <x:c r="M45" s="2" t="str">
        <x:v>Published</x:v>
      </x:c>
      <x:c r="N45" s="2" t="str">
        <x:v>Published conference paper</x:v>
      </x:c>
      <x:c r="O45" s="2" t="str">
        <x:v>Peer-reviewed</x:v>
      </x:c>
      <x:c r="P45" s="2" t="str">
        <x:v>NA</x:v>
      </x:c>
      <x:c r="Q45" s="2" t="str">
        <x:v>Version of record</x:v>
      </x:c>
      <x:c r="R45" s="2" t="str">
        <x:v>Unclear</x:v>
      </x:c>
      <x:c r="S45" s="2" t="str">
        <x:v>2026-07-26</x:v>
      </x:c>
      <x:c r="T45" s="2" t="str">
        <x:v>NR</x:v>
      </x:c>
      <x:c r="U45" s="2" t="str">
        <x:v>NR</x:v>
      </x:c>
      <x:c r="V45" s="2" t="str">
        <x:v>NR</x:v>
      </x:c>
      <x:c r="W45" s="2" t="str">
        <x:v>QA_INCLUDE_STANDARD</x:v>
      </x:c>
      <x:c r="X45" s="2" t="str">
        <x:v>EM3</x:v>
      </x:c>
      <x:c r="Y45" s="2" t="str">
        <x:v>Completed</x:v>
      </x:c>
      <x:c r="Z45" s="6" t="str">
        <x:v>NR</x:v>
      </x:c>
    </x:row>
    <x:row r="46" ht="76" customHeight="1">
      <x:c r="A46" s="2" t="str">
        <x:v>S45</x:v>
      </x:c>
      <x:c r="B46" s="2" t="str">
        <x:v>S45</x:v>
      </x:c>
      <x:c r="C46" s="2" t="str">
        <x:v>merged_1275</x:v>
      </x:c>
      <x:c r="D46" s="2" t="str">
        <x:v>merged_1275</x:v>
      </x:c>
      <x:c r="E46" s="2" t="str">
        <x:v>merged_1275</x:v>
      </x:c>
      <x:c r="F46" s="6" t="str">
        <x:v>Evaluating the Capabilities of LLMs in Traceability Maintenance for Automotive System and Software Requirements</x:v>
      </x:c>
      <x:c r="G46" s="2" t="str">
        <x:v>Hippargi, Vibhashree; Kamsties, Erik; Naumann, Jurgen</x:v>
      </x:c>
      <x:c r="H46" s="2" t="n">
        <x:v>2025</x:v>
      </x:c>
      <x:c r="I46" s="2" t="str">
        <x:v>CEUR Workshop Proceedings</x:v>
      </x:c>
      <x:c r="J46" s="2" t="str">
        <x:v>NR</x:v>
      </x:c>
      <x:c r="K46" s="2" t="str">
        <x:v>https://www.scopus.com/pages/publications/105006634399?origin=resultslist</x:v>
      </x:c>
      <x:c r="L46" s="2" t="str">
        <x:v>https://www.scopus.com/pages/publications/105006634399?origin=resultslist</x:v>
      </x:c>
      <x:c r="M46" s="2" t="str">
        <x:v>Published</x:v>
      </x:c>
      <x:c r="N46" s="2" t="str">
        <x:v>Published workshop paper</x:v>
      </x:c>
      <x:c r="O46" s="2" t="str">
        <x:v>Peer-reviewed</x:v>
      </x:c>
      <x:c r="P46" s="2" t="str">
        <x:v>NA</x:v>
      </x:c>
      <x:c r="Q46" s="2" t="str">
        <x:v>Version of record</x:v>
      </x:c>
      <x:c r="R46" s="2" t="str">
        <x:v>Unclear</x:v>
      </x:c>
      <x:c r="S46" s="2" t="str">
        <x:v>2026-07-26</x:v>
      </x:c>
      <x:c r="T46" s="2" t="str">
        <x:v>NR</x:v>
      </x:c>
      <x:c r="U46" s="2" t="str">
        <x:v>NR</x:v>
      </x:c>
      <x:c r="V46" s="2" t="str">
        <x:v>NR</x:v>
      </x:c>
      <x:c r="W46" s="2" t="str">
        <x:v>QA_INCLUDE_STANDARD</x:v>
      </x:c>
      <x:c r="X46" s="2" t="str">
        <x:v>EM3</x:v>
      </x:c>
      <x:c r="Y46" s="2" t="str">
        <x:v>Completed</x:v>
      </x:c>
      <x:c r="Z46" s="6" t="str">
        <x:v>NR</x:v>
      </x:c>
    </x:row>
    <x:row r="47" ht="76" customHeight="1">
      <x:c r="A47" s="2" t="str">
        <x:v>S46</x:v>
      </x:c>
      <x:c r="B47" s="2" t="str">
        <x:v>S46</x:v>
      </x:c>
      <x:c r="C47" s="2" t="str">
        <x:v>merged_1293</x:v>
      </x:c>
      <x:c r="D47" s="2" t="str">
        <x:v>merged_1293</x:v>
      </x:c>
      <x:c r="E47" s="2" t="str">
        <x:v>merged_1293</x:v>
      </x:c>
      <x:c r="F47" s="6" t="str">
        <x:v>Improving software development traceability with structured prompting</x:v>
      </x:c>
      <x:c r="G47" s="2" t="str">
        <x:v>Kim, Dae-Kyoo</x:v>
      </x:c>
      <x:c r="H47" s="2" t="n">
        <x:v>2025</x:v>
      </x:c>
      <x:c r="I47" s="2" t="str">
        <x:v>Journal of Computer Information Systems</x:v>
      </x:c>
      <x:c r="J47" s="2" t="str">
        <x:v>10.1080/08874417.2025.2470919</x:v>
      </x:c>
      <x:c r="K47" s="2" t="str">
        <x:v>https://doi.org/10.1080/08874417.2025.2470919</x:v>
      </x:c>
      <x:c r="L47" s="2" t="str">
        <x:v>https://doi.org/10.1080/08874417.2025.2470919</x:v>
      </x:c>
      <x:c r="M47" s="2" t="str">
        <x:v>Published</x:v>
      </x:c>
      <x:c r="N47" s="2" t="str">
        <x:v>Published journal article</x:v>
      </x:c>
      <x:c r="O47" s="2" t="str">
        <x:v>Peer-reviewed</x:v>
      </x:c>
      <x:c r="P47" s="2" t="str">
        <x:v>NA</x:v>
      </x:c>
      <x:c r="Q47" s="2" t="str">
        <x:v>Version of record</x:v>
      </x:c>
      <x:c r="R47" s="2" t="str">
        <x:v>Unclear</x:v>
      </x:c>
      <x:c r="S47" s="2" t="str">
        <x:v>2026-07-26</x:v>
      </x:c>
      <x:c r="T47" s="2" t="str">
        <x:v>NR</x:v>
      </x:c>
      <x:c r="U47" s="2" t="str">
        <x:v>NR</x:v>
      </x:c>
      <x:c r="V47" s="2" t="str">
        <x:v>NR</x:v>
      </x:c>
      <x:c r="W47" s="2" t="str">
        <x:v>QA_INCLUDE_STANDARD</x:v>
      </x:c>
      <x:c r="X47" s="2" t="str">
        <x:v>EM3</x:v>
      </x:c>
      <x:c r="Y47" s="2" t="str">
        <x:v>Completed</x:v>
      </x:c>
      <x:c r="Z47" s="6" t="str">
        <x:v>NR</x:v>
      </x:c>
    </x:row>
    <x:row r="48" ht="76" customHeight="1">
      <x:c r="A48" s="2" t="str">
        <x:v>S47</x:v>
      </x:c>
      <x:c r="B48" s="2" t="str">
        <x:v>S47</x:v>
      </x:c>
      <x:c r="C48" s="2" t="str">
        <x:v>merged_1302</x:v>
      </x:c>
      <x:c r="D48" s="2" t="str">
        <x:v>merged_1302</x:v>
      </x:c>
      <x:c r="E48" s="2" t="str">
        <x:v>merged_1302-v1</x:v>
      </x:c>
      <x:c r="F48" s="6" t="str">
        <x:v>SpecMap: Hierarchical LLM Agent for Datasheet-to-Code Traceability Link Recovery in Systems Engineering</x:v>
      </x:c>
      <x:c r="G48" s="2" t="str">
        <x:v>V Nipane; P Agrawal; A Singh</x:v>
      </x:c>
      <x:c r="H48" s="2" t="n">
        <x:v>2026</x:v>
      </x:c>
      <x:c r="I48" s="2" t="str">
        <x:v>NR</x:v>
      </x:c>
      <x:c r="J48" s="2" t="str">
        <x:v>NR</x:v>
      </x:c>
      <x:c r="K48" s="2" t="str">
        <x:v>https://arxiv.org/abs/2601.11688</x:v>
      </x:c>
      <x:c r="L48" s="2" t="str">
        <x:v>https://arxiv.org/abs/2601.11688</x:v>
      </x:c>
      <x:c r="M48" s="2" t="str">
        <x:v>Grey literature</x:v>
      </x:c>
      <x:c r="N48" s="2" t="str">
        <x:v>Preprint</x:v>
      </x:c>
      <x:c r="O48" s="2" t="str">
        <x:v>Not peer-reviewed</x:v>
      </x:c>
      <x:c r="P48" s="2" t="str">
        <x:v>arXiv</x:v>
      </x:c>
      <x:c r="Q48" s="2" t="str">
        <x:v>v1</x:v>
      </x:c>
      <x:c r="R48" s="2" t="str">
        <x:v>2026-01-16</x:v>
      </x:c>
      <x:c r="S48" s="2" t="str">
        <x:v>2026-07-26</x:v>
      </x:c>
      <x:c r="T48" s="2" t="str">
        <x:v>No</x:v>
      </x:c>
      <x:c r="U48" s="2" t="str">
        <x:v>NR</x:v>
      </x:c>
      <x:c r="V48" s="2" t="str">
        <x:v>NR</x:v>
      </x:c>
      <x:c r="W48" s="2" t="str">
        <x:v>QA_INCLUDE_STANDARD</x:v>
      </x:c>
      <x:c r="X48" s="2" t="str">
        <x:v>EM3</x:v>
      </x:c>
      <x:c r="Y48" s="2" t="str">
        <x:v>Completed</x:v>
      </x:c>
      <x:c r="Z48" s="6" t="str">
        <x:v>NR</x:v>
      </x:c>
    </x:row>
    <x:row r="49" ht="76" customHeight="1">
      <x:c r="A49" s="2" t="str">
        <x:v>S48</x:v>
      </x:c>
      <x:c r="B49" s="2" t="str">
        <x:v>S48</x:v>
      </x:c>
      <x:c r="C49" s="2" t="str">
        <x:v>merged_1441</x:v>
      </x:c>
      <x:c r="D49" s="2" t="str">
        <x:v>merged_1441</x:v>
      </x:c>
      <x:c r="E49" s="2" t="str">
        <x:v>merged_1441</x:v>
      </x:c>
      <x:c r="F49" s="6" t="str">
        <x:v>LHGLink: LLM—Enhanced Heterogeneous Graph Learning for Issue–Issue Link Prediction</x:v>
      </x:c>
      <x:c r="G49" s="2" t="str">
        <x:v>Zhao, Yangyang; Song, Zhenyu; Yang, Yibiao; Zhou, Yuming; Ding, Zuohua</x:v>
      </x:c>
      <x:c r="H49" s="2" t="n">
        <x:v>2026</x:v>
      </x:c>
      <x:c r="I49" s="2" t="str">
        <x:v>IEEE Transactions on Software Engineering</x:v>
      </x:c>
      <x:c r="J49" s="2" t="str">
        <x:v>10.1109/tse.2026.3707510</x:v>
      </x:c>
      <x:c r="K49" s="2" t="str">
        <x:v>https://www.scopus.com/pages/publications/105043415576?origin=resultslist</x:v>
      </x:c>
      <x:c r="L49" s="2" t="str">
        <x:v>https://www.scopus.com/pages/publications/105043415576?origin=resultslist</x:v>
      </x:c>
      <x:c r="M49" s="2" t="str">
        <x:v>Published</x:v>
      </x:c>
      <x:c r="N49" s="2" t="str">
        <x:v>Published journal article</x:v>
      </x:c>
      <x:c r="O49" s="2" t="str">
        <x:v>Peer-reviewed</x:v>
      </x:c>
      <x:c r="P49" s="2" t="str">
        <x:v>NA</x:v>
      </x:c>
      <x:c r="Q49" s="2" t="str">
        <x:v>Version of record</x:v>
      </x:c>
      <x:c r="R49" s="2" t="str">
        <x:v>Unclear</x:v>
      </x:c>
      <x:c r="S49" s="2" t="str">
        <x:v>2026-07-26</x:v>
      </x:c>
      <x:c r="T49" s="2" t="str">
        <x:v>NR</x:v>
      </x:c>
      <x:c r="U49" s="2" t="str">
        <x:v>NR</x:v>
      </x:c>
      <x:c r="V49" s="2" t="str">
        <x:v>NR</x:v>
      </x:c>
      <x:c r="W49" s="2" t="str">
        <x:v>QA_INCLUDE_STANDARD</x:v>
      </x:c>
      <x:c r="X49" s="2" t="str">
        <x:v>EM3</x:v>
      </x:c>
      <x:c r="Y49" s="2" t="str">
        <x:v>Completed</x:v>
      </x:c>
      <x:c r="Z49" s="6" t="str">
        <x:v>NR</x:v>
      </x:c>
    </x:row>
    <x:row r="50" ht="76" customHeight="1">
      <x:c r="A50" s="2" t="str">
        <x:v>S49</x:v>
      </x:c>
      <x:c r="B50" s="2" t="str">
        <x:v>S49</x:v>
      </x:c>
      <x:c r="C50" s="2" t="str">
        <x:v>merged_1486</x:v>
      </x:c>
      <x:c r="D50" s="2" t="str">
        <x:v>merged_1486</x:v>
      </x:c>
      <x:c r="E50" s="2" t="str">
        <x:v>merged_1486</x:v>
      </x:c>
      <x:c r="F50" s="6" t="str">
        <x:v>Requirements Engineering Using Generative AI: Prompts and Prompting Patterns</x:v>
      </x:c>
      <x:c r="G50" s="2" t="str">
        <x:v>Krishna RonankiBeatriz Cabrero-DanielJennifer HorkoffChristian Berger</x:v>
      </x:c>
      <x:c r="H50" s="2" t="n">
        <x:v>2024</x:v>
      </x:c>
      <x:c r="I50" s="2" t="str">
        <x:v>Generative AI for Effective Software Development</x:v>
      </x:c>
      <x:c r="J50" s="2" t="str">
        <x:v>10.1007/978-3-031-55642-5_5</x:v>
      </x:c>
      <x:c r="K50" s="2" t="str">
        <x:v>https://link.springer.com/chapter/10.1007/978-3-031-55642-5_5</x:v>
      </x:c>
      <x:c r="L50" s="2" t="str">
        <x:v>https://link.springer.com/chapter/10.1007/978-3-031-55642-5_5</x:v>
      </x:c>
      <x:c r="M50" s="2" t="str">
        <x:v>Published</x:v>
      </x:c>
      <x:c r="N50" s="2" t="str">
        <x:v>Published conference paper</x:v>
      </x:c>
      <x:c r="O50" s="2" t="str">
        <x:v>Peer-reviewed</x:v>
      </x:c>
      <x:c r="P50" s="2" t="str">
        <x:v>NA</x:v>
      </x:c>
      <x:c r="Q50" s="2" t="str">
        <x:v>Version of record</x:v>
      </x:c>
      <x:c r="R50" s="2" t="str">
        <x:v>Unclear</x:v>
      </x:c>
      <x:c r="S50" s="2" t="str">
        <x:v>2026-07-26</x:v>
      </x:c>
      <x:c r="T50" s="2" t="str">
        <x:v>NR</x:v>
      </x:c>
      <x:c r="U50" s="2" t="str">
        <x:v>NR</x:v>
      </x:c>
      <x:c r="V50" s="2" t="str">
        <x:v>NR</x:v>
      </x:c>
      <x:c r="W50" s="2" t="str">
        <x:v>QA_INCLUDE_STANDARD</x:v>
      </x:c>
      <x:c r="X50" s="2" t="str">
        <x:v>EM3</x:v>
      </x:c>
      <x:c r="Y50" s="2" t="str">
        <x:v>Completed</x:v>
      </x:c>
      <x:c r="Z50" s="6" t="str">
        <x:v>NR</x:v>
      </x:c>
    </x:row>
    <x:row r="51" ht="76" customHeight="1">
      <x:c r="A51" s="2" t="str">
        <x:v>S50</x:v>
      </x:c>
      <x:c r="B51" s="2" t="str">
        <x:v>S50</x:v>
      </x:c>
      <x:c r="C51" s="2" t="str">
        <x:v>snowball_00068</x:v>
      </x:c>
      <x:c r="D51" s="2" t="str">
        <x:v>snowball_00068</x:v>
      </x:c>
      <x:c r="E51" s="2" t="str">
        <x:v>snowball_00068</x:v>
      </x:c>
      <x:c r="F51" s="6" t="str">
        <x:v>Leveraging LLMs and Knowledge Graphs to Design Secure Automation Systems</x:v>
      </x:c>
      <x:c r="G51" s="2" t="str">
        <x:v>Ali M. Hosseini; Wolfgang Kästner; Thilo Sauter</x:v>
      </x:c>
      <x:c r="H51" s="2" t="n">
        <x:v>2025</x:v>
      </x:c>
      <x:c r="I51" s="2" t="str">
        <x:v>IEEE Open Journal of the Industrial Electronics Society</x:v>
      </x:c>
      <x:c r="J51" s="2" t="str">
        <x:v>10.1109/ojies.2025.3545811</x:v>
      </x:c>
      <x:c r="K51" s="2" t="str">
        <x:v>https://doi.org/10.1109/ojies.2025.3545811</x:v>
      </x:c>
      <x:c r="L51" s="2" t="str">
        <x:v>https://doi.org/10.1109/ojies.2025.3545811</x:v>
      </x:c>
      <x:c r="M51" s="2" t="str">
        <x:v>Published</x:v>
      </x:c>
      <x:c r="N51" s="2" t="str">
        <x:v>Published conference paper</x:v>
      </x:c>
      <x:c r="O51" s="2" t="str">
        <x:v>Peer-reviewed</x:v>
      </x:c>
      <x:c r="P51" s="2" t="str">
        <x:v>NA</x:v>
      </x:c>
      <x:c r="Q51" s="2" t="str">
        <x:v>Version of record</x:v>
      </x:c>
      <x:c r="R51" s="2" t="str">
        <x:v>Unclear</x:v>
      </x:c>
      <x:c r="S51" s="2" t="str">
        <x:v>2026-07-26</x:v>
      </x:c>
      <x:c r="T51" s="2" t="str">
        <x:v>NR</x:v>
      </x:c>
      <x:c r="U51" s="2" t="str">
        <x:v>NR</x:v>
      </x:c>
      <x:c r="V51" s="2" t="str">
        <x:v>NR</x:v>
      </x:c>
      <x:c r="W51" s="2" t="str">
        <x:v>QA_INCLUDE_STANDARD</x:v>
      </x:c>
      <x:c r="X51" s="2" t="str">
        <x:v>EM3</x:v>
      </x:c>
      <x:c r="Y51" s="2" t="str">
        <x:v>Completed</x:v>
      </x:c>
      <x:c r="Z51" s="6" t="str">
        <x:v>NR</x:v>
      </x:c>
    </x:row>
    <x:row r="52" ht="76" customHeight="1">
      <x:c r="A52" s="2" t="str">
        <x:v>S51</x:v>
      </x:c>
      <x:c r="B52" s="2" t="str">
        <x:v>S51</x:v>
      </x:c>
      <x:c r="C52" s="2" t="str">
        <x:v>snowball_00085</x:v>
      </x:c>
      <x:c r="D52" s="2" t="str">
        <x:v>snowball_00085</x:v>
      </x:c>
      <x:c r="E52" s="2" t="str">
        <x:v>snowball_00085</x:v>
      </x:c>
      <x:c r="F52" s="6" t="str">
        <x:v>Exploring LLMs for Verifying Technical System Specifications Against Requirements</x:v>
      </x:c>
      <x:c r="G52" s="2" t="str">
        <x:v>Lasse Matthias Reinpold; Marvin Schieseck; Lukas Peter Wagner; Felix Gehlhoff; Alexander Fay</x:v>
      </x:c>
      <x:c r="H52" s="2" t="n">
        <x:v>2024</x:v>
      </x:c>
      <x:c r="I52" s="2" t="str">
        <x:v>2024 IEEE 3rd Industrial Electronics Society Annual On-Line Conference (ONCON)</x:v>
      </x:c>
      <x:c r="J52" s="2" t="str">
        <x:v>10.1109/oncon62778.2024.10931625</x:v>
      </x:c>
      <x:c r="K52" s="2" t="str">
        <x:v>https://doi.org/10.1109/oncon62778.2024.10931625</x:v>
      </x:c>
      <x:c r="L52" s="2" t="str">
        <x:v>https://doi.org/10.1109/oncon62778.2024.10931625</x:v>
      </x:c>
      <x:c r="M52" s="2" t="str">
        <x:v>Published</x:v>
      </x:c>
      <x:c r="N52" s="2" t="str">
        <x:v>Published conference paper</x:v>
      </x:c>
      <x:c r="O52" s="2" t="str">
        <x:v>Peer-reviewed</x:v>
      </x:c>
      <x:c r="P52" s="2" t="str">
        <x:v>NA</x:v>
      </x:c>
      <x:c r="Q52" s="2" t="str">
        <x:v>Version of record</x:v>
      </x:c>
      <x:c r="R52" s="2" t="str">
        <x:v>Unclear</x:v>
      </x:c>
      <x:c r="S52" s="2" t="str">
        <x:v>2026-07-26</x:v>
      </x:c>
      <x:c r="T52" s="2" t="str">
        <x:v>NR</x:v>
      </x:c>
      <x:c r="U52" s="2" t="str">
        <x:v>NR</x:v>
      </x:c>
      <x:c r="V52" s="2" t="str">
        <x:v>NR</x:v>
      </x:c>
      <x:c r="W52" s="2" t="str">
        <x:v>QA_INCLUDE_STANDARD</x:v>
      </x:c>
      <x:c r="X52" s="2" t="str">
        <x:v>EM3</x:v>
      </x:c>
      <x:c r="Y52" s="2" t="str">
        <x:v>Completed</x:v>
      </x:c>
      <x:c r="Z52" s="6" t="str">
        <x:v>NR</x:v>
      </x:c>
    </x:row>
    <x:row r="53" ht="76" customHeight="1">
      <x:c r="A53" s="2" t="str">
        <x:v>S52</x:v>
      </x:c>
      <x:c r="B53" s="2" t="str">
        <x:v>S52</x:v>
      </x:c>
      <x:c r="C53" s="2" t="str">
        <x:v>snowball_00095</x:v>
      </x:c>
      <x:c r="D53" s="2" t="str">
        <x:v>snowball_00095</x:v>
      </x:c>
      <x:c r="E53" s="2" t="str">
        <x:v>snowball_00095</x:v>
      </x:c>
      <x:c r="F53" s="6" t="str">
        <x:v>Supporting Software Maintenance with Dynamically Generated Document Hierarchies</x:v>
      </x:c>
      <x:c r="G53" s="2" t="str">
        <x:v>Katherine R. Dearstyne; Alberto D. Rodriguez; Jane Cleland‐Huang</x:v>
      </x:c>
      <x:c r="H53" s="2" t="n">
        <x:v>2024</x:v>
      </x:c>
      <x:c r="I53" s="2" t="str">
        <x:v>2024 IEEE International Conference on Software Maintenance and Evolution (ICSME)</x:v>
      </x:c>
      <x:c r="J53" s="2" t="str">
        <x:v>10.1109/icsme58944.2024.00046</x:v>
      </x:c>
      <x:c r="K53" s="2" t="str">
        <x:v>https://doi.org/10.1109/icsme58944.2024.00046</x:v>
      </x:c>
      <x:c r="L53" s="2" t="str">
        <x:v>https://doi.org/10.1109/icsme58944.2024.00046</x:v>
      </x:c>
      <x:c r="M53" s="2" t="str">
        <x:v>Published</x:v>
      </x:c>
      <x:c r="N53" s="2" t="str">
        <x:v>Published conference paper</x:v>
      </x:c>
      <x:c r="O53" s="2" t="str">
        <x:v>Peer-reviewed</x:v>
      </x:c>
      <x:c r="P53" s="2" t="str">
        <x:v>NA</x:v>
      </x:c>
      <x:c r="Q53" s="2" t="str">
        <x:v>Version of record</x:v>
      </x:c>
      <x:c r="R53" s="2" t="str">
        <x:v>Unclear</x:v>
      </x:c>
      <x:c r="S53" s="2" t="str">
        <x:v>2026-07-26</x:v>
      </x:c>
      <x:c r="T53" s="2" t="str">
        <x:v>NR</x:v>
      </x:c>
      <x:c r="U53" s="2" t="str">
        <x:v>NR</x:v>
      </x:c>
      <x:c r="V53" s="2" t="str">
        <x:v>NR</x:v>
      </x:c>
      <x:c r="W53" s="2" t="str">
        <x:v>QA_INCLUDE_STANDARD</x:v>
      </x:c>
      <x:c r="X53" s="2" t="str">
        <x:v>EM4</x:v>
      </x:c>
      <x:c r="Y53" s="2" t="str">
        <x:v>Completed</x:v>
      </x:c>
      <x:c r="Z53" s="6" t="str">
        <x:v>NR</x:v>
      </x:c>
    </x:row>
    <x:row r="54" ht="76" customHeight="1">
      <x:c r="A54" s="2" t="str">
        <x:v>S53</x:v>
      </x:c>
      <x:c r="B54" s="2" t="str">
        <x:v>S53</x:v>
      </x:c>
      <x:c r="C54" s="2" t="str">
        <x:v>merged_1229</x:v>
      </x:c>
      <x:c r="D54" s="2" t="str">
        <x:v>merged_1229</x:v>
      </x:c>
      <x:c r="E54" s="2" t="str">
        <x:v>merged_1229</x:v>
      </x:c>
      <x:c r="F54" s="6" t="str">
        <x:v>Evaluating LLMs for Automated Requirement and Test Case Generation in Railway Signaling Systems</x:v>
      </x:c>
      <x:c r="G54" s="2" t="str">
        <x:v>Ionuț-Gabriel Oțelea; Bogdan Pintea; Răzvan Victor Rughiniș; Valentina Tîrșu</x:v>
      </x:c>
      <x:c r="H54" s="2" t="n">
        <x:v>2025</x:v>
      </x:c>
      <x:c r="I54" s="2" t="str">
        <x:v>2025 24th RoEduNet Conference: Networking in Education and Research (RoEduNet)</x:v>
      </x:c>
      <x:c r="J54" s="2" t="str">
        <x:v>10.1109/roedunet68395.2025.11208370</x:v>
      </x:c>
      <x:c r="K54" s="2" t="str">
        <x:v>https://doi.org/10.1109/roedunet68395.2025.11208370</x:v>
      </x:c>
      <x:c r="L54" s="2" t="str">
        <x:v>https://doi.org/10.1109/roedunet68395.2025.11208370</x:v>
      </x:c>
      <x:c r="M54" s="2" t="str">
        <x:v>Published</x:v>
      </x:c>
      <x:c r="N54" s="2" t="str">
        <x:v>Published conference paper</x:v>
      </x:c>
      <x:c r="O54" s="2" t="str">
        <x:v>Peer-reviewed</x:v>
      </x:c>
      <x:c r="P54" s="2" t="str">
        <x:v>NA</x:v>
      </x:c>
      <x:c r="Q54" s="2" t="str">
        <x:v>Version of record</x:v>
      </x:c>
      <x:c r="R54" s="2" t="str">
        <x:v>Unclear</x:v>
      </x:c>
      <x:c r="S54" s="2" t="str">
        <x:v>2026-07-28</x:v>
      </x:c>
      <x:c r="T54" s="2" t="str">
        <x:v>NR</x:v>
      </x:c>
      <x:c r="U54" s="2" t="str">
        <x:v>NR</x:v>
      </x:c>
      <x:c r="V54" s="2" t="str">
        <x:v>NR</x:v>
      </x:c>
      <x:c r="W54" s="2" t="str">
        <x:v>QA_INCLUDE_STANDARD</x:v>
      </x:c>
      <x:c r="X54" s="2" t="str">
        <x:v>EM3</x:v>
      </x:c>
      <x:c r="Y54" s="2" t="str">
        <x:v>Completed</x:v>
      </x:c>
      <x:c r="Z54" s="6" t="str">
        <x:v>NR</x:v>
      </x:c>
    </x:row>
    <x:row r="55" ht="76" customHeight="1">
      <x:c r="A55" s="2" t="str">
        <x:v>G1</x:v>
      </x:c>
      <x:c r="B55" s="2" t="str">
        <x:v>G1</x:v>
      </x:c>
      <x:c r="C55" s="2" t="str">
        <x:v>G1</x:v>
      </x:c>
      <x:c r="D55" s="2" t="str">
        <x:v>G1-R01</x:v>
      </x:c>
      <x:c r="E55" s="2" t="str">
        <x:v>v1</x:v>
      </x:c>
      <x:c r="F55" s="6" t="str">
        <x:v>Create Requirement Traceability Matrix in Seconds with ChatGPT</x:v>
      </x:c>
      <x:c r="G55" s="2" t="str">
        <x:v>Execute Automation</x:v>
      </x:c>
      <x:c r="H55" s="2" t="str">
        <x:v>2023</x:v>
      </x:c>
      <x:c r="I55" s="2" t="str">
        <x:v>YouTube (Execute Automation channel)</x:v>
      </x:c>
      <x:c r="J55" s="2" t="str">
        <x:v>NA</x:v>
      </x:c>
      <x:c r="K55" s="2" t="str">
        <x:v>https://www.youtube.com/watch?v=eTBCHSTvjPg</x:v>
      </x:c>
      <x:c r="L55" s="2" t="str">
        <x:v>NR</x:v>
      </x:c>
      <x:c r="M55" s="2" t="str">
        <x:v>Grey literature</x:v>
      </x:c>
      <x:c r="N55" s="2" t="str">
        <x:v>Other</x:v>
      </x:c>
      <x:c r="O55" s="2" t="str">
        <x:v>Not peer-reviewed</x:v>
      </x:c>
      <x:c r="P55" s="2" t="str">
        <x:v>NA</x:v>
      </x:c>
      <x:c r="Q55" s="2" t="str">
        <x:v>v1</x:v>
      </x:c>
      <x:c r="R55" s="2" t="str">
        <x:v>2023-05-17</x:v>
      </x:c>
      <x:c r="S55" s="2" t="str">
        <x:v>2026-10-15</x:v>
      </x:c>
      <x:c r="T55" s="2" t="str">
        <x:v>No</x:v>
      </x:c>
      <x:c r="U55" s="2" t="str">
        <x:v>No</x:v>
      </x:c>
      <x:c r="V55" s="2" t="str">
        <x:v>No</x:v>
      </x:c>
      <x:c r="W55" s="2" t="str">
        <x:v>QA_INCLUDE_STANDARD</x:v>
      </x:c>
      <x:c r="X55" s="2" t="str">
        <x:v>EM1</x:v>
      </x:c>
      <x:c r="Y55" s="2" t="str">
        <x:v>Completed</x:v>
      </x:c>
      <x:c r="Z55" s="6" t="str">
        <x:v>Practitioner tutorial on YouTube; one self-written example demonstrates the approach.</x:v>
      </x:c>
    </x:row>
    <x:row r="56" ht="76" customHeight="1">
      <x:c r="A56" s="2" t="str">
        <x:v>G2</x:v>
      </x:c>
      <x:c r="B56" s="2" t="str">
        <x:v>G2</x:v>
      </x:c>
      <x:c r="C56" s="2" t="str">
        <x:v>G2</x:v>
      </x:c>
      <x:c r="D56" s="2" t="str">
        <x:v>G2-R01</x:v>
      </x:c>
      <x:c r="E56" s="2" t="str">
        <x:v>v1</x:v>
      </x:c>
      <x:c r="F56" s="6" t="str">
        <x:v>Traceability and AI for Better Understanding, Communication, and QC of Trials</x:v>
      </x:c>
      <x:c r="G56" s="2" t="str">
        <x:v>Verisian</x:v>
      </x:c>
      <x:c r="H56" s="2" t="str">
        <x:v>2024</x:v>
      </x:c>
      <x:c r="I56" s="2" t="str">
        <x:v>Conference presentation, London (Verisian)</x:v>
      </x:c>
      <x:c r="J56" s="2" t="str">
        <x:v>NA</x:v>
      </x:c>
      <x:c r="K56" s="2" t="str">
        <x:v>https://www.youtube.com/watch?v=vPnksGd34fg</x:v>
      </x:c>
      <x:c r="L56" s="2" t="str">
        <x:v>NR</x:v>
      </x:c>
      <x:c r="M56" s="2" t="str">
        <x:v>Grey literature</x:v>
      </x:c>
      <x:c r="N56" s="2" t="str">
        <x:v>Other</x:v>
      </x:c>
      <x:c r="O56" s="2" t="str">
        <x:v>Not peer-reviewed</x:v>
      </x:c>
      <x:c r="P56" s="2" t="str">
        <x:v>NA</x:v>
      </x:c>
      <x:c r="Q56" s="2" t="str">
        <x:v>v1</x:v>
      </x:c>
      <x:c r="R56" s="2" t="str">
        <x:v>2024-09-25</x:v>
      </x:c>
      <x:c r="S56" s="2" t="str">
        <x:v>2026-10-15</x:v>
      </x:c>
      <x:c r="T56" s="2" t="str">
        <x:v>No</x:v>
      </x:c>
      <x:c r="U56" s="2" t="str">
        <x:v>No</x:v>
      </x:c>
      <x:c r="V56" s="2" t="str">
        <x:v>No</x:v>
      </x:c>
      <x:c r="W56" s="2" t="str">
        <x:v>QA_INCLUDE_STANDARD</x:v>
      </x:c>
      <x:c r="X56" s="2" t="str">
        <x:v>EM2</x:v>
      </x:c>
      <x:c r="Y56" s="2" t="str">
        <x:v>Completed</x:v>
      </x:c>
      <x:c r="Z56" s="6" t="str">
        <x:v>Conference session by the vendor co-founder; effect figures are partner estimates and the demonstration study is synthetic.</x:v>
      </x:c>
    </x:row>
    <x:row r="57" ht="76" customHeight="1">
      <x:c r="A57" s="2" t="str">
        <x:v>G3</x:v>
      </x:c>
      <x:c r="B57" s="2" t="str">
        <x:v>G3</x:v>
      </x:c>
      <x:c r="C57" s="2" t="str">
        <x:v>G3</x:v>
      </x:c>
      <x:c r="D57" s="2" t="str">
        <x:v>G3-R01</x:v>
      </x:c>
      <x:c r="E57" s="2" t="str">
        <x:v>v1</x:v>
      </x:c>
      <x:c r="F57" s="6" t="str">
        <x:v>ReqTrace: Intelligent Traceability System for Software Engineering Projects</x:v>
      </x:c>
      <x:c r="G57" s="2" t="str">
        <x:v>ReqTrace</x:v>
      </x:c>
      <x:c r="H57" s="2" t="str">
        <x:v>2025</x:v>
      </x:c>
      <x:c r="I57" s="2" t="str">
        <x:v>YouTube (ReqTrace project demonstration)</x:v>
      </x:c>
      <x:c r="J57" s="2" t="str">
        <x:v>NA</x:v>
      </x:c>
      <x:c r="K57" s="2" t="str">
        <x:v>https://www.youtube.com/watch?v=7zLTl-7vy3Q</x:v>
      </x:c>
      <x:c r="L57" s="2" t="str">
        <x:v>NR</x:v>
      </x:c>
      <x:c r="M57" s="2" t="str">
        <x:v>Grey literature</x:v>
      </x:c>
      <x:c r="N57" s="2" t="str">
        <x:v>Other</x:v>
      </x:c>
      <x:c r="O57" s="2" t="str">
        <x:v>Not peer-reviewed</x:v>
      </x:c>
      <x:c r="P57" s="2" t="str">
        <x:v>NA</x:v>
      </x:c>
      <x:c r="Q57" s="2" t="str">
        <x:v>v1</x:v>
      </x:c>
      <x:c r="R57" s="2" t="str">
        <x:v>2025-11-19</x:v>
      </x:c>
      <x:c r="S57" s="2" t="str">
        <x:v>2026-10-15</x:v>
      </x:c>
      <x:c r="T57" s="2" t="str">
        <x:v>No</x:v>
      </x:c>
      <x:c r="U57" s="2" t="str">
        <x:v>No</x:v>
      </x:c>
      <x:c r="V57" s="2" t="str">
        <x:v>No</x:v>
      </x:c>
      <x:c r="W57" s="2" t="str">
        <x:v>QA_INCLUDE_WEAK</x:v>
      </x:c>
      <x:c r="X57" s="2" t="str">
        <x:v>EM1</x:v>
      </x:c>
      <x:c r="Y57" s="2" t="str">
        <x:v>Completed</x:v>
      </x:c>
      <x:c r="Z57" s="6" t="str">
        <x:v>Short project walkthrough; the extraction model is not named and the login is restricted to one institutional domain.</x:v>
      </x:c>
    </x:row>
    <x:row r="58" ht="76" customHeight="1">
      <x:c r="A58" s="2" t="str">
        <x:v>G4</x:v>
      </x:c>
      <x:c r="B58" s="2" t="str">
        <x:v>G4</x:v>
      </x:c>
      <x:c r="C58" s="2" t="str">
        <x:v>G4</x:v>
      </x:c>
      <x:c r="D58" s="2" t="str">
        <x:v>G4-R01</x:v>
      </x:c>
      <x:c r="E58" s="2" t="str">
        <x:v>v1</x:v>
      </x:c>
      <x:c r="F58" s="6" t="str">
        <x:v>VectorCAST + AI (Reqs2x)</x:v>
      </x:c>
      <x:c r="G58" s="2" t="str">
        <x:v>Vector Informatik</x:v>
      </x:c>
      <x:c r="H58" s="2" t="str">
        <x:v>2026</x:v>
      </x:c>
      <x:c r="I58" s="2" t="str">
        <x:v>Vector Informatik product documentation</x:v>
      </x:c>
      <x:c r="J58" s="2" t="str">
        <x:v>NA</x:v>
      </x:c>
      <x:c r="K58" s="2" t="str">
        <x:v>https://www.vector.com/en/product/vectorcast/vectorcast-ai/</x:v>
      </x:c>
      <x:c r="L58" s="2" t="str">
        <x:v>NR</x:v>
      </x:c>
      <x:c r="M58" s="2" t="str">
        <x:v>Grey literature</x:v>
      </x:c>
      <x:c r="N58" s="2" t="str">
        <x:v>Other</x:v>
      </x:c>
      <x:c r="O58" s="2" t="str">
        <x:v>Not peer-reviewed</x:v>
      </x:c>
      <x:c r="P58" s="2" t="str">
        <x:v>NA</x:v>
      </x:c>
      <x:c r="Q58" s="2" t="str">
        <x:v>v1</x:v>
      </x:c>
      <x:c r="R58" s="2" t="str">
        <x:v>2026-03-18</x:v>
      </x:c>
      <x:c r="S58" s="2" t="str">
        <x:v>2026-10-15</x:v>
      </x:c>
      <x:c r="T58" s="2" t="str">
        <x:v>No</x:v>
      </x:c>
      <x:c r="U58" s="2" t="str">
        <x:v>No</x:v>
      </x:c>
      <x:c r="V58" s="2" t="str">
        <x:v>No</x:v>
      </x:c>
      <x:c r="W58" s="2" t="str">
        <x:v>QA_INCLUDE_WEAK</x:v>
      </x:c>
      <x:c r="X58" s="2" t="str">
        <x:v>EM0</x:v>
      </x:c>
      <x:c r="Y58" s="2" t="str">
        <x:v>Completed</x:v>
      </x:c>
      <x:c r="Z58" s="6" t="str">
        <x:v>Vendor product page; the page itself carries no publication date, the recorded date comes from the companion launch release.</x:v>
      </x:c>
    </x:row>
    <x:row r="59" ht="76" customHeight="1">
      <x:c r="A59" s="2" t="str">
        <x:v>G5</x:v>
      </x:c>
      <x:c r="B59" s="2" t="str">
        <x:v>G5</x:v>
      </x:c>
      <x:c r="C59" s="2" t="str">
        <x:v>G5</x:v>
      </x:c>
      <x:c r="D59" s="2" t="str">
        <x:v>G5-R01</x:v>
      </x:c>
      <x:c r="E59" s="2" t="str">
        <x:v>v1</x:v>
      </x:c>
      <x:c r="F59" s="6" t="str">
        <x:v>LLM Assisted Automatic Test Generation and Requirements Traceability</x:v>
      </x:c>
      <x:c r="G59" s="2" t="str">
        <x:v>LDRA</x:v>
      </x:c>
      <x:c r="H59" s="2" t="str">
        <x:v>2026</x:v>
      </x:c>
      <x:c r="I59" s="2" t="str">
        <x:v>Flight Software Workshop, Johns Hopkins Applied Physics Laboratory</x:v>
      </x:c>
      <x:c r="J59" s="2" t="str">
        <x:v>NA</x:v>
      </x:c>
      <x:c r="K59" s="2" t="str">
        <x:v>https://www.youtube.com/watch?v=7hTGXEeFCiY</x:v>
      </x:c>
      <x:c r="L59" s="2" t="str">
        <x:v>NR</x:v>
      </x:c>
      <x:c r="M59" s="2" t="str">
        <x:v>Grey literature</x:v>
      </x:c>
      <x:c r="N59" s="2" t="str">
        <x:v>Other</x:v>
      </x:c>
      <x:c r="O59" s="2" t="str">
        <x:v>Not peer-reviewed</x:v>
      </x:c>
      <x:c r="P59" s="2" t="str">
        <x:v>NA</x:v>
      </x:c>
      <x:c r="Q59" s="2" t="str">
        <x:v>v1</x:v>
      </x:c>
      <x:c r="R59" s="2" t="str">
        <x:v>2026-03-21</x:v>
      </x:c>
      <x:c r="S59" s="2" t="str">
        <x:v>2026-10-15</x:v>
      </x:c>
      <x:c r="T59" s="2" t="str">
        <x:v>No</x:v>
      </x:c>
      <x:c r="U59" s="2" t="str">
        <x:v>No</x:v>
      </x:c>
      <x:c r="V59" s="2" t="str">
        <x:v>No</x:v>
      </x:c>
      <x:c r="W59" s="2" t="str">
        <x:v>QA_INCLUDE_STANDARD</x:v>
      </x:c>
      <x:c r="X59" s="2" t="str">
        <x:v>EM2</x:v>
      </x:c>
      <x:c r="Y59" s="2" t="str">
        <x:v>Completed</x:v>
      </x:c>
      <x:c r="Z59" s="6" t="str">
        <x:v>Vendor methodology talk; shares the vendor and workshop series with G6, so the two are not independent industrial evidence.</x:v>
      </x:c>
    </x:row>
    <x:row r="60" ht="76" customHeight="1">
      <x:c r="A60" s="2" t="str">
        <x:v>G6</x:v>
      </x:c>
      <x:c r="B60" s="2" t="str">
        <x:v>G6</x:v>
      </x:c>
      <x:c r="C60" s="2" t="str">
        <x:v>G6</x:v>
      </x:c>
      <x:c r="D60" s="2" t="str">
        <x:v>G6-R01</x:v>
      </x:c>
      <x:c r="E60" s="2" t="str">
        <x:v>v1</x:v>
      </x:c>
      <x:c r="F60" s="6" t="str">
        <x:v>LLM-Assisted Automatic MC/DC Test Generation &amp; Requirements Traceability for Long-Duration NASA FSW</x:v>
      </x:c>
      <x:c r="G60" s="2" t="str">
        <x:v>LDRA</x:v>
      </x:c>
      <x:c r="H60" s="2" t="str">
        <x:v>2026</x:v>
      </x:c>
      <x:c r="I60" s="2" t="str">
        <x:v>Flight Software Workshop, Johns Hopkins Applied Physics Laboratory</x:v>
      </x:c>
      <x:c r="J60" s="2" t="str">
        <x:v>NA</x:v>
      </x:c>
      <x:c r="K60" s="2" t="str">
        <x:v>https://www.youtube.com/watch?v=p8Pvudm_dBk</x:v>
      </x:c>
      <x:c r="L60" s="2" t="str">
        <x:v>NR</x:v>
      </x:c>
      <x:c r="M60" s="2" t="str">
        <x:v>Grey literature</x:v>
      </x:c>
      <x:c r="N60" s="2" t="str">
        <x:v>Other</x:v>
      </x:c>
      <x:c r="O60" s="2" t="str">
        <x:v>Not peer-reviewed</x:v>
      </x:c>
      <x:c r="P60" s="2" t="str">
        <x:v>NA</x:v>
      </x:c>
      <x:c r="Q60" s="2" t="str">
        <x:v>v1</x:v>
      </x:c>
      <x:c r="R60" s="2" t="str">
        <x:v>2026-04-07</x:v>
      </x:c>
      <x:c r="S60" s="2" t="str">
        <x:v>2026-10-15</x:v>
      </x:c>
      <x:c r="T60" s="2" t="str">
        <x:v>No</x:v>
      </x:c>
      <x:c r="U60" s="2" t="str">
        <x:v>No</x:v>
      </x:c>
      <x:c r="V60" s="2" t="str">
        <x:v>No</x:v>
      </x:c>
      <x:c r="W60" s="2" t="str">
        <x:v>QA_INCLUDE_STANDARD</x:v>
      </x:c>
      <x:c r="X60" s="2" t="str">
        <x:v>EM2</x:v>
      </x:c>
      <x:c r="Y60" s="2" t="str">
        <x:v>Completed</x:v>
      </x:c>
      <x:c r="Z60" s="6" t="str">
        <x:v>Vendor talk with a demonstration on real Ada code; shares the vendor and workshop series with G5.</x:v>
      </x:c>
    </x:row>
    <x:row r="61" ht="76" customHeight="1">
      <x:c r="A61" s="2" t="str">
        <x:v>G7</x:v>
      </x:c>
      <x:c r="B61" s="2" t="str">
        <x:v>G7</x:v>
      </x:c>
      <x:c r="C61" s="2" t="str">
        <x:v>G7</x:v>
      </x:c>
      <x:c r="D61" s="2" t="str">
        <x:v>G7-R01</x:v>
      </x:c>
      <x:c r="E61" s="2" t="str">
        <x:v>v1</x:v>
      </x:c>
      <x:c r="F61" s="6" t="str">
        <x:v>AI-supported traceability and automation with Sphinx-Needs</x:v>
      </x:c>
      <x:c r="G61" s="2" t="str">
        <x:v>useblocks</x:v>
      </x:c>
      <x:c r="H61" s="2" t="str">
        <x:v>2026</x:v>
      </x:c>
      <x:c r="I61" s="2" t="str">
        <x:v>Open Community Experience 2026 (OC for Automotive)</x:v>
      </x:c>
      <x:c r="J61" s="2" t="str">
        <x:v>NA</x:v>
      </x:c>
      <x:c r="K61" s="2" t="str">
        <x:v>https://www.youtube.com/watch?v=vfTqhlTNA1s</x:v>
      </x:c>
      <x:c r="L61" s="2" t="str">
        <x:v>NR</x:v>
      </x:c>
      <x:c r="M61" s="2" t="str">
        <x:v>Grey literature</x:v>
      </x:c>
      <x:c r="N61" s="2" t="str">
        <x:v>Other</x:v>
      </x:c>
      <x:c r="O61" s="2" t="str">
        <x:v>Not peer-reviewed</x:v>
      </x:c>
      <x:c r="P61" s="2" t="str">
        <x:v>NA</x:v>
      </x:c>
      <x:c r="Q61" s="2" t="str">
        <x:v>v1</x:v>
      </x:c>
      <x:c r="R61" s="2" t="str">
        <x:v>2026-04-30</x:v>
      </x:c>
      <x:c r="S61" s="2" t="str">
        <x:v>2026-10-15</x:v>
      </x:c>
      <x:c r="T61" s="2" t="str">
        <x:v>No</x:v>
      </x:c>
      <x:c r="U61" s="2" t="str">
        <x:v>No</x:v>
      </x:c>
      <x:c r="V61" s="2" t="str">
        <x:v>No</x:v>
      </x:c>
      <x:c r="W61" s="2" t="str">
        <x:v>QA_INCLUDE_STANDARD</x:v>
      </x:c>
      <x:c r="X61" s="2" t="str">
        <x:v>EM2</x:v>
      </x:c>
      <x:c r="Y61" s="2" t="str">
        <x:v>Completed</x:v>
      </x:c>
      <x:c r="Z61" s="6" t="str">
        <x:v>Community conference session with a prototype agent and a self-run token comparison.</x:v>
      </x:c>
    </x:row>
    <x:row r="62" ht="76" customHeight="1">
      <x:c r="A62" s="2" t="str">
        <x:v>G8</x:v>
      </x:c>
      <x:c r="B62" s="2" t="str">
        <x:v>G8</x:v>
      </x:c>
      <x:c r="C62" s="2" t="str">
        <x:v>G8</x:v>
      </x:c>
      <x:c r="D62" s="2" t="str">
        <x:v>G8-R01</x:v>
      </x:c>
      <x:c r="E62" s="2" t="str">
        <x:v>v1</x:v>
      </x:c>
      <x:c r="F62" s="6" t="str">
        <x:v>Building an AI Traceability Agent for Flight Software</x:v>
      </x:c>
      <x:c r="G62" s="2" t="str">
        <x:v>Aggregate Intellect</x:v>
      </x:c>
      <x:c r="H62" s="2" t="str">
        <x:v>2026</x:v>
      </x:c>
      <x:c r="I62" s="2" t="str">
        <x:v>YouTube (Build w Agents, Aggregate Intellect)</x:v>
      </x:c>
      <x:c r="J62" s="2" t="str">
        <x:v>NA</x:v>
      </x:c>
      <x:c r="K62" s="2" t="str">
        <x:v>https://www.youtube.com/watch?v=_Lw7G8a8neI</x:v>
      </x:c>
      <x:c r="L62" s="2" t="str">
        <x:v>NR</x:v>
      </x:c>
      <x:c r="M62" s="2" t="str">
        <x:v>Grey literature</x:v>
      </x:c>
      <x:c r="N62" s="2" t="str">
        <x:v>Other</x:v>
      </x:c>
      <x:c r="O62" s="2" t="str">
        <x:v>Not peer-reviewed</x:v>
      </x:c>
      <x:c r="P62" s="2" t="str">
        <x:v>NA</x:v>
      </x:c>
      <x:c r="Q62" s="2" t="str">
        <x:v>v1</x:v>
      </x:c>
      <x:c r="R62" s="2" t="str">
        <x:v>2026-05-18</x:v>
      </x:c>
      <x:c r="S62" s="2" t="str">
        <x:v>2026-10-15</x:v>
      </x:c>
      <x:c r="T62" s="2" t="str">
        <x:v>No</x:v>
      </x:c>
      <x:c r="U62" s="2" t="str">
        <x:v>No</x:v>
      </x:c>
      <x:c r="V62" s="2" t="str">
        <x:v>No</x:v>
      </x:c>
      <x:c r="W62" s="2" t="str">
        <x:v>QA_INCLUDE_STANDARD</x:v>
      </x:c>
      <x:c r="X62" s="2" t="str">
        <x:v>EM2</x:v>
      </x:c>
      <x:c r="Y62" s="2" t="str">
        <x:v>Completed</x:v>
      </x:c>
      <x:c r="Z62" s="6" t="str">
        <x:v>Project demonstration on real flight-software artefacts; the run time is the only quantitative observation.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20" hidden="0" customWidth="1"/>
    <x:col min="7" max="7" width="52" hidden="0" customWidth="1"/>
    <x:col min="8" max="8" width="20" hidden="0" customWidth="1"/>
    <x:col min="9" max="9" width="20" hidden="0" customWidth="1"/>
    <x:col min="10" max="10" width="20" hidden="0" customWidth="1"/>
    <x:col min="11" max="11" width="20" hidden="0" customWidth="1"/>
    <x:col min="12" max="12" width="20" hidden="0" customWidth="1"/>
    <x:col min="13" max="13" width="52" hidden="0" customWidth="1"/>
    <x:col min="14" max="14" width="20" hidden="0" customWidth="1"/>
    <x:col min="15" max="15" width="19" hidden="0" customWidth="1"/>
    <x:col min="16" max="16" width="19" hidden="0" customWidth="1"/>
    <x:col min="17" max="17" width="19" hidden="0" customWidth="1"/>
    <x:col min="18" max="18" width="52" hidden="0" customWidth="1"/>
    <x:col min="19" max="19" width="52" hidden="0" customWidth="1"/>
    <x:col min="20" max="20" width="52" hidden="0" customWidth="1"/>
    <x:col min="21" max="21" width="52" hidden="0" customWidth="1"/>
    <x:col min="22" max="22" width="20" hidden="0" customWidth="1"/>
    <x:col min="23" max="23" width="52" hidden="0" customWidth="1"/>
  </x:cols>
  <x:sheetData>
    <x:row r="1" ht="38" customHeight="1">
      <x:c r="A1" s="5" t="str">
        <x:v>record_id</x:v>
      </x:c>
      <x:c r="B1" s="5" t="str">
        <x:v>study_id</x:v>
      </x:c>
      <x:c r="C1" s="5" t="str">
        <x:v>version_id</x:v>
      </x:c>
      <x:c r="D1" s="5" t="str">
        <x:v>review_stage</x:v>
      </x:c>
      <x:c r="E1" s="5" t="str">
        <x:v>reviewer_id</x:v>
      </x:c>
      <x:c r="F1" s="5" t="str">
        <x:v>claim_type</x:v>
      </x:c>
      <x:c r="G1" s="5" t="str">
        <x:v>term_verbatim</x:v>
      </x:c>
      <x:c r="H1" s="5" t="str">
        <x:v>object_a</x:v>
      </x:c>
      <x:c r="I1" s="5" t="str">
        <x:v>relation</x:v>
      </x:c>
      <x:c r="J1" s="5" t="str">
        <x:v>object_b</x:v>
      </x:c>
      <x:c r="K1" s="5" t="str">
        <x:v>llm_involvement</x:v>
      </x:c>
      <x:c r="L1" s="5" t="str">
        <x:v>necessity_status</x:v>
      </x:c>
      <x:c r="M1" s="5" t="str">
        <x:v>counterexample_description</x:v>
      </x:c>
      <x:c r="N1" s="5" t="str">
        <x:v>normalized_claim</x:v>
      </x:c>
      <x:c r="O1" s="5" t="str">
        <x:v>open_code</x:v>
      </x:c>
      <x:c r="P1" s="5" t="str">
        <x:v>axial_code</x:v>
      </x:c>
      <x:c r="Q1" s="5" t="str">
        <x:v>final_concept_code</x:v>
      </x:c>
      <x:c r="R1" s="5" t="str">
        <x:v>evidence_tag</x:v>
      </x:c>
      <x:c r="S1" s="5" t="str">
        <x:v>evidence_location</x:v>
      </x:c>
      <x:c r="T1" s="5" t="str">
        <x:v>evidence_verbatim</x:v>
      </x:c>
      <x:c r="U1" s="5" t="str">
        <x:v>reviewer_interpretation</x:v>
      </x:c>
      <x:c r="V1" s="5" t="str">
        <x:v>record_status</x:v>
      </x:c>
      <x:c r="W1" s="5" t="str">
        <x:v>notes</x:v>
      </x:c>
    </x:row>
    <x:row r="2" ht="76" customHeight="1">
      <x:c r="A2" s="2" t="str">
        <x:v>S01-CONCEPT-R01</x:v>
      </x:c>
      <x:c r="B2" s="2" t="str">
        <x:v>S01</x:v>
      </x:c>
      <x:c r="C2" s="2" t="str">
        <x:v>merged_0002</x:v>
      </x:c>
      <x:c r="D2" s="2" t="str">
        <x:v>Reviewer_A</x:v>
      </x:c>
      <x:c r="E2" s="2" t="str">
        <x:v>Reviewer_A</x:v>
      </x:c>
      <x:c r="F2" s="2" t="str">
        <x:v>definition</x:v>
      </x:c>
      <x:c r="G2" s="6" t="str">
        <x:v>Traceability Link Recovery (TLR)</x:v>
      </x:c>
      <x:c r="H2" s="2" t="str">
        <x:v>TLR</x:v>
      </x:c>
      <x:c r="I2" s="2" t="str">
        <x:v>identifies correspondences between elements in artifacts and makes them explicit</x:v>
      </x:c>
      <x:c r="J2" s="2" t="str">
        <x:v>correspondences between elements</x:v>
      </x:c>
      <x:c r="K2" s="2" t="str">
        <x:v>该定义未直接涉及LLM，但本文借助LLM实现TLR</x:v>
      </x:c>
      <x:c r="L2" s="2" t="str">
        <x:v>Not applicable</x:v>
      </x:c>
      <x:c r="M2" s="6" t="str">
        <x:v>NA</x:v>
      </x:c>
      <x:c r="N2" s="2" t="str">
        <x:v>TLR识别工件元素间的对应关系并显式化</x:v>
      </x:c>
      <x:c r="O2" s="2" t="str">
        <x:v>TLR_definition</x:v>
      </x:c>
      <x:c r="P2" s="2" t="str">
        <x:v>概念定义</x:v>
      </x:c>
      <x:c r="Q2" s="2" t="str">
        <x:v>NR</x:v>
      </x:c>
      <x:c r="R2" s="6" t="str">
        <x:v>SR</x:v>
      </x:c>
      <x:c r="S2" s="6" t="str">
        <x:v>p. 1; Section I. Introduction</x:v>
      </x:c>
      <x:c r="T2" s="6" t="str">
        <x:v>Traceability Link Recovery (TLR) identifies correspondences between elements in artifacts and makes them explicit.</x:v>
      </x:c>
      <x:c r="U2" s="6" t="str">
        <x:v>论文明确给出了TLR的定义</x:v>
      </x:c>
      <x:c r="V2" s="2" t="str">
        <x:v>Accepted</x:v>
      </x:c>
      <x:c r="W2" s="6" t="str">
        <x:v>NA</x:v>
      </x:c>
    </x:row>
    <x:row r="3" ht="76" customHeight="1">
      <x:c r="A3" s="2" t="str">
        <x:v>S01-CONCEPT-R02</x:v>
      </x:c>
      <x:c r="B3" s="2" t="str">
        <x:v>S01</x:v>
      </x:c>
      <x:c r="C3" s="2" t="str">
        <x:v>merged_0002</x:v>
      </x:c>
      <x:c r="D3" s="2" t="str">
        <x:v>Reviewer_A</x:v>
      </x:c>
      <x:c r="E3" s="2" t="str">
        <x:v>Reviewer_A</x:v>
      </x:c>
      <x:c r="F3" s="2" t="str">
        <x:v>scope</x:v>
      </x:c>
      <x:c r="G3" s="6" t="str">
        <x:v>RAG with LLMs</x:v>
      </x:c>
      <x:c r="H3" s="2" t="str">
        <x:v>RAG-based approach</x:v>
      </x:c>
      <x:c r="I3" s="2" t="str">
        <x:v>performs TLR between various artifacts</x:v>
      </x:c>
      <x:c r="J3" s="2" t="str">
        <x:v>trace links</x:v>
      </x:c>
      <x:c r="K3" s="2" t="str">
        <x:v>LLM通过RAG生成答案</x:v>
      </x:c>
      <x:c r="L3" s="2" t="str">
        <x:v>Not applicable</x:v>
      </x:c>
      <x:c r="M3" s="6" t="str">
        <x:v>NA</x:v>
      </x:c>
      <x:c r="N3" s="2" t="str">
        <x:v>RAG结合LLM用于多种工件间的TLR</x:v>
      </x:c>
      <x:c r="O3" s="2" t="str">
        <x:v>RAG_TLR_scope</x:v>
      </x:c>
      <x:c r="P3" s="2" t="str">
        <x:v>应用范围</x:v>
      </x:c>
      <x:c r="Q3" s="2" t="str">
        <x:v>NR</x:v>
      </x:c>
      <x:c r="R3" s="6" t="str">
        <x:v>SR</x:v>
      </x:c>
      <x:c r="S3" s="6" t="str">
        <x:v>p. 1; Section I. Introduction</x:v>
      </x:c>
      <x:c r="T3" s="6" t="str">
        <x:v>we propose using RAG with LLMs to perform TLR between various artifacts.</x:v>
      </x:c>
      <x:c r="U3" s="6" t="str">
        <x:v>提出RAG-LLM用于通用TLR的愿景</x:v>
      </x:c>
      <x:c r="V3" s="2" t="str">
        <x:v>Accepted</x:v>
      </x:c>
      <x:c r="W3" s="6" t="str">
        <x:v>NA</x:v>
      </x:c>
    </x:row>
    <x:row r="4" ht="76" customHeight="1">
      <x:c r="A4" s="2" t="str">
        <x:v>S01-CONCEPT-R03</x:v>
      </x:c>
      <x:c r="B4" s="2" t="str">
        <x:v>S01</x:v>
      </x:c>
      <x:c r="C4" s="2" t="str">
        <x:v>merged_0002</x:v>
      </x:c>
      <x:c r="D4" s="2" t="str">
        <x:v>Reviewer_A</x:v>
      </x:c>
      <x:c r="E4" s="2" t="str">
        <x:v>Reviewer_A</x:v>
      </x:c>
      <x:c r="F4" s="2" t="str">
        <x:v>necessary_step</x:v>
      </x:c>
      <x:c r="G4" s="6" t="str">
        <x:v>retrieving relevant artifacts based on IR techniques</x:v>
      </x:c>
      <x:c r="H4" s="2" t="str">
        <x:v>retrieval step</x:v>
      </x:c>
      <x:c r="I4" s="2" t="str">
        <x:v>is necessary to provide context for LLM</x:v>
      </x:c>
      <x:c r="J4" s="2" t="str">
        <x:v>LLM generation</x:v>
      </x:c>
      <x:c r="K4" s="2" t="str">
        <x:v>LLM需要检索到的工件来生成答案</x:v>
      </x:c>
      <x:c r="L4" s="2" t="str">
        <x:v>Necessary</x:v>
      </x:c>
      <x:c r="M4" s="6" t="str">
        <x:v>NA</x:v>
      </x:c>
      <x:c r="N4" s="2" t="str">
        <x:v>RAG中检索步骤是LLM生成答案的必要前提</x:v>
      </x:c>
      <x:c r="O4" s="2" t="str">
        <x:v>RAG_retrieval_necessary</x:v>
      </x:c>
      <x:c r="P4" s="2" t="str">
        <x:v>必要条件</x:v>
      </x:c>
      <x:c r="Q4" s="2" t="str">
        <x:v>NR</x:v>
      </x:c>
      <x:c r="R4" s="6" t="str">
        <x:v>SR</x:v>
      </x:c>
      <x:c r="S4" s="6" t="str">
        <x:v>p. 1; Section I. Introduction</x:v>
      </x:c>
      <x:c r="T4" s="6" t="str">
        <x:v>the first step is retrieving relevant artifacts based on information retrieval (IR) techniques. The LLM then generates the answer using the retrieved artifacts.</x:v>
      </x:c>
      <x:c r="U4" s="6" t="str">
        <x:v>检索是RAG流程的必要步骤</x:v>
      </x:c>
      <x:c r="V4" s="2" t="str">
        <x:v>Accepted</x:v>
      </x:c>
      <x:c r="W4" s="6" t="str">
        <x:v>NA</x:v>
      </x:c>
    </x:row>
    <x:row r="5" ht="76" customHeight="1">
      <x:c r="A5" s="2" t="str">
        <x:v>S01-CONCEPT-R04</x:v>
      </x:c>
      <x:c r="B5" s="2" t="str">
        <x:v>S01</x:v>
      </x:c>
      <x:c r="C5" s="2" t="str">
        <x:v>merged_0002</x:v>
      </x:c>
      <x:c r="D5" s="2" t="str">
        <x:v>Reviewer_A</x:v>
      </x:c>
      <x:c r="E5" s="2" t="str">
        <x:v>Reviewer_A</x:v>
      </x:c>
      <x:c r="F5" s="2" t="str">
        <x:v>boundary</x:v>
      </x:c>
      <x:c r="G5" s="6" t="str">
        <x:v>LLMs face the challenge that they do not know the project and its context</x:v>
      </x:c>
      <x:c r="H5" s="2" t="str">
        <x:v>LLM</x:v>
      </x:c>
      <x:c r="I5" s="2" t="str">
        <x:v>cannot handle the complete content of a larger software project</x:v>
      </x:c>
      <x:c r="J5" s="2" t="str">
        <x:v>project context</x:v>
      </x:c>
      <x:c r="K5" s="2" t="str">
        <x:v>LLM受限于输入长度，无法处理整个项目</x:v>
      </x:c>
      <x:c r="L5" s="2" t="str">
        <x:v>Not applicable</x:v>
      </x:c>
      <x:c r="M5" s="6" t="str">
        <x:v>NA</x:v>
      </x:c>
      <x:c r="N5" s="2" t="str">
        <x:v>LLM因输入长度限制无法处理大型项目的全部内容</x:v>
      </x:c>
      <x:c r="O5" s="2" t="str">
        <x:v>LLM_input_limit</x:v>
      </x:c>
      <x:c r="P5" s="2" t="str">
        <x:v>限制条件</x:v>
      </x:c>
      <x:c r="Q5" s="2" t="str">
        <x:v>NR</x:v>
      </x:c>
      <x:c r="R5" s="6" t="str">
        <x:v>SR</x:v>
      </x:c>
      <x:c r="S5" s="6" t="str">
        <x:v>p. 1; Section I. Introduction</x:v>
      </x:c>
      <x:c r="T5" s="6" t="str">
        <x:v>LLMs face the challenge that they do not know the project and its context. In particular, an LLM cannot handle the complete content of a larger software project due to the project’s size and limited input lengths.</x:v>
      </x:c>
      <x:c r="U5" s="6" t="str">
        <x:v>指出LLM应用于TLR时的输入长度边界</x:v>
      </x:c>
      <x:c r="V5" s="2" t="str">
        <x:v>Accepted</x:v>
      </x:c>
      <x:c r="W5" s="6" t="str">
        <x:v>NA</x:v>
      </x:c>
    </x:row>
    <x:row r="6" ht="76" customHeight="1">
      <x:c r="A6" s="2" t="str">
        <x:v>S01-CONCEPT-R05</x:v>
      </x:c>
      <x:c r="B6" s="2" t="str">
        <x:v>S01</x:v>
      </x:c>
      <x:c r="C6" s="2" t="str">
        <x:v>merged_0002</x:v>
      </x:c>
      <x:c r="D6" s="2" t="str">
        <x:v>Reviewer_A</x:v>
      </x:c>
      <x:c r="E6" s="2" t="str">
        <x:v>Reviewer_A</x:v>
      </x:c>
      <x:c r="F6" s="2" t="str">
        <x:v>optional_step</x:v>
      </x:c>
      <x:c r="G6" s="6" t="str">
        <x:v>preprocessing</x:v>
      </x:c>
      <x:c r="H6" s="2" t="str">
        <x:v>preprocessing artifacts</x:v>
      </x:c>
      <x:c r="I6" s="2" t="str">
        <x:v>can include splitting into sentences, chunks, methods</x:v>
      </x:c>
      <x:c r="J6" s="2" t="str">
        <x:v>elements</x:v>
      </x:c>
      <x:c r="K6" s="2" t="str">
        <x:v>预处理影响LLM的输入粒度</x:v>
      </x:c>
      <x:c r="L6" s="2" t="str">
        <x:v>Optional</x:v>
      </x:c>
      <x:c r="M6" s="6" t="str">
        <x:v>NA</x:v>
      </x:c>
      <x:c r="N6" s="2" t="str">
        <x:v>预处理工件为元素是可选的细粒度映射步骤</x:v>
      </x:c>
      <x:c r="O6" s="2" t="str">
        <x:v>preprocessing_optional</x:v>
      </x:c>
      <x:c r="P6" s="2" t="str">
        <x:v>可选步骤</x:v>
      </x:c>
      <x:c r="Q6" s="2" t="str">
        <x:v>NR</x:v>
      </x:c>
      <x:c r="R6" s="6" t="str">
        <x:v>SR</x:v>
      </x:c>
      <x:c r="S6" s="6" t="str">
        <x:v>p. 4; Section III-A. Preprocessing &amp; Embedding</x:v>
      </x:c>
      <x:c r="T6" s="6" t="str">
        <x:v>are typically preprocessed by splitting them into lines, sentences, paragraphs, or arbitrary chunks of text.</x:v>
      </x:c>
      <x:c r="U6" s="6" t="str">
        <x:v>预处理是LiSSA的可选配置</x:v>
      </x:c>
      <x:c r="V6" s="2" t="str">
        <x:v>Accepted</x:v>
      </x:c>
      <x:c r="W6" s="6" t="str">
        <x:v>NA</x:v>
      </x:c>
    </x:row>
    <x:row r="7" ht="76" customHeight="1">
      <x:c r="A7" s="2" t="str">
        <x:v>S02-CONCEPT-R01</x:v>
      </x:c>
      <x:c r="B7" s="2" t="str">
        <x:v>S02</x:v>
      </x:c>
      <x:c r="C7" s="2" t="str">
        <x:v>merged_0007</x:v>
      </x:c>
      <x:c r="D7" s="2" t="str">
        <x:v>Reviewer_A</x:v>
      </x:c>
      <x:c r="E7" s="2" t="str">
        <x:v>Reviewer_A</x:v>
      </x:c>
      <x:c r="F7" s="2" t="str">
        <x:v>scope</x:v>
      </x:c>
      <x:c r="G7" s="6" t="str">
        <x:v>ExArch</x:v>
      </x:c>
      <x:c r="H7" s="2" t="str">
        <x:v>ExArch</x:v>
      </x:c>
      <x:c r="I7" s="2" t="str">
        <x:v>extracts component names as simple SAMs from SAD and source code to eliminate the need for manual SAM creation</x:v>
      </x:c>
      <x:c r="J7" s="2" t="str">
        <x:v>NA</x:v>
      </x:c>
      <x:c r="K7" s="2" t="str">
        <x:v>ExArch利用LLM从软件架构文档和源代码中提取组件名称，生成简约的软件架构模型，用于后续传递性追踪链接恢复。</x:v>
      </x:c>
      <x:c r="L7" s="2" t="str">
        <x:v>Not applicable</x:v>
      </x:c>
      <x:c r="M7" s="6" t="str">
        <x:v>NA</x:v>
      </x:c>
      <x:c r="N7" s="2" t="str">
        <x:v>ExArch从架构文档和源代码中提取组件名称作为简约的软件架构模型，以消除对手动创建SAM的需求。</x:v>
      </x:c>
      <x:c r="O7" s="2" t="str">
        <x:v>LLM用于提取中间表示</x:v>
      </x:c>
      <x:c r="P7" s="2" t="str">
        <x:v>LLM辅助追踪链接生成</x:v>
      </x:c>
      <x:c r="Q7" s="2" t="str">
        <x:v>NR</x:v>
      </x:c>
      <x:c r="R7" s="6" t="str">
        <x:v>SR</x:v>
      </x:c>
      <x:c r="S7" s="6" t="str">
        <x:v>p. 1; Section 1</x:v>
      </x:c>
      <x:c r="T7" s="6" t="str">
        <x:v>LLM-based approaches: ExArch extracts component names as simple SAMs from SAD and source code to eliminate the need for manual</x:v>
      </x:c>
      <x:c r="U7" s="6" t="str">
        <x:v>明确了ExArch的目的和范围，即通过LLM自动生成中间模型来支持追踪，而不依赖手动建模。</x:v>
      </x:c>
      <x:c r="V7" s="2" t="str">
        <x:v>Accepted</x:v>
      </x:c>
      <x:c r="W7" s="6" t="str">
        <x:v>NA</x:v>
      </x:c>
    </x:row>
    <x:row r="8" ht="76" customHeight="1">
      <x:c r="A8" s="2" t="str">
        <x:v>S02-CONCEPT-R02</x:v>
      </x:c>
      <x:c r="B8" s="2" t="str">
        <x:v>S02</x:v>
      </x:c>
      <x:c r="C8" s="2" t="str">
        <x:v>merged_0007</x:v>
      </x:c>
      <x:c r="D8" s="2" t="str">
        <x:v>Reviewer_A</x:v>
      </x:c>
      <x:c r="E8" s="2" t="str">
        <x:v>Reviewer_A</x:v>
      </x:c>
      <x:c r="F8" s="2" t="str">
        <x:v>scope</x:v>
      </x:c>
      <x:c r="G8" s="6" t="str">
        <x:v>ArTEMiS</x:v>
      </x:c>
      <x:c r="H8" s="2" t="str">
        <x:v>ArTEMiS</x:v>
      </x:c>
      <x:c r="I8" s="2" t="str">
        <x:v>identifies architectural entities in documentation and matches them with (manually or automatically generated) SAM entities</x:v>
      </x:c>
      <x:c r="J8" s="2" t="str">
        <x:v>NA</x:v>
      </x:c>
      <x:c r="K8" s="2" t="str">
        <x:v>ArTEMiS使用LLM进行软件架构实体的命名实体识别，从SAD中提取架构相关组件及其提及行，再与SAM实体匹配。</x:v>
      </x:c>
      <x:c r="L8" s="2" t="str">
        <x:v>Not applicable</x:v>
      </x:c>
      <x:c r="M8" s="6" t="str">
        <x:v>NA</x:v>
      </x:c>
      <x:c r="N8" s="2" t="str">
        <x:v>ArTEMiS识别软件架构文档中的架构实体，并与手动或自动生成的SAM实体匹配以建立追踪链接。</x:v>
      </x:c>
      <x:c r="O8" s="2" t="str">
        <x:v>LLM用于命名实体识别</x:v>
      </x:c>
      <x:c r="P8" s="2" t="str">
        <x:v>LLM辅助架构实体识别</x:v>
      </x:c>
      <x:c r="Q8" s="2" t="str">
        <x:v>NR</x:v>
      </x:c>
      <x:c r="R8" s="6" t="str">
        <x:v>SR</x:v>
      </x:c>
      <x:c r="S8" s="6" t="str">
        <x:v>p. 1; Section 1</x:v>
      </x:c>
      <x:c r="T8" s="6" t="str">
        <x:v>ArTEMiS identifies architectural entities in documentation and matches them with (manually or automatically generated) SAM entities.</x:v>
      </x:c>
      <x:c r="U8" s="6" t="str">
        <x:v>定义了ArTEMiS的基本任务：从文档中识别架构实体并进行匹配，提供了LLM在架构NER中的应用范围。</x:v>
      </x:c>
      <x:c r="V8" s="2" t="str">
        <x:v>Accepted</x:v>
      </x:c>
      <x:c r="W8" s="6" t="str">
        <x:v>NA</x:v>
      </x:c>
    </x:row>
    <x:row r="9" ht="76" customHeight="1">
      <x:c r="A9" s="2" t="str">
        <x:v>S02-CONCEPT-R03</x:v>
      </x:c>
      <x:c r="B9" s="2" t="str">
        <x:v>S02</x:v>
      </x:c>
      <x:c r="C9" s="2" t="str">
        <x:v>merged_0007</x:v>
      </x:c>
      <x:c r="D9" s="2" t="str">
        <x:v>Reviewer_A</x:v>
      </x:c>
      <x:c r="E9" s="2" t="str">
        <x:v>Reviewer_A</x:v>
      </x:c>
      <x:c r="F9" s="2" t="str">
        <x:v>boundary</x:v>
      </x:c>
      <x:c r="G9" s="6" t="str">
        <x:v>simple SAM</x:v>
      </x:c>
      <x:c r="H9" s="2" t="str">
        <x:v>simple SAM (component names)</x:v>
      </x:c>
      <x:c r="I9" s="2" t="str">
        <x:v>provides exactly the information for TLR, not a full architecture recovery model</x:v>
      </x:c>
      <x:c r="J9" s="2" t="str">
        <x:v>NA</x:v>
      </x:c>
      <x:c r="K9" s="2" t="str">
        <x:v>LLM生成的组件名称仅形成简约的SAM，用于TLR而非全面的架构恢复。</x:v>
      </x:c>
      <x:c r="L9" s="2" t="str">
        <x:v>Not applicable</x:v>
      </x:c>
      <x:c r="M9" s="6" t="str">
        <x:v>NA</x:v>
      </x:c>
      <x:c r="N9" s="2" t="str">
        <x:v>生成的简单SAM（组件名称）仅提供TLR所需信息，不同于完整的架构恢复。</x:v>
      </x:c>
      <x:c r="O9" s="2" t="str">
        <x:v>任务边界：仅提供TLR所需信息</x:v>
      </x:c>
      <x:c r="P9" s="2" t="str">
        <x:v>LLM辅助TLR的范围限定</x:v>
      </x:c>
      <x:c r="Q9" s="2" t="str">
        <x:v>NR</x:v>
      </x:c>
      <x:c r="R9" s="6" t="str">
        <x:v>SR</x:v>
      </x:c>
      <x:c r="S9" s="6" t="str">
        <x:v>p. 2; Section 1</x:v>
      </x:c>
      <x:c r="T9" s="6" t="str">
        <x:v>the component names define a simple SAM that provides exactly the information for TLR. In contrast to the research field of architecture recovery that aims to recover more detailed architecture models, we focus on the information needed to enable state-of-the-art SAD-to-code TLR approaches such as TransArC.</x:v>
      </x:c>
      <x:c r="U9" s="6" t="str">
        <x:v>明确区分了ExArch生成简单SAM与全面架构恢复的不同目标，强调其仅服务于TLR任务。</x:v>
      </x:c>
      <x:c r="V9" s="2" t="str">
        <x:v>Accepted</x:v>
      </x:c>
      <x:c r="W9" s="6" t="str">
        <x:v>NA</x:v>
      </x:c>
    </x:row>
    <x:row r="10" ht="76" customHeight="1">
      <x:c r="A10" s="2" t="str">
        <x:v>S03-CONCEPT-R01</x:v>
      </x:c>
      <x:c r="B10" s="2" t="str">
        <x:v>S03</x:v>
      </x:c>
      <x:c r="C10" s="2" t="str">
        <x:v>merged_0014</x:v>
      </x:c>
      <x:c r="D10" s="2" t="str">
        <x:v>Reviewer_A</x:v>
      </x:c>
      <x:c r="E10" s="2" t="str">
        <x:v>Reviewer_A</x:v>
      </x:c>
      <x:c r="F10" s="2" t="str">
        <x:v>boundary</x:v>
      </x:c>
      <x:c r="G10" s="6" t="str">
        <x:v>matching between industrial domain models and code artifacts</x:v>
      </x:c>
      <x:c r="H10" s="2" t="str">
        <x:v>industrial domain models</x:v>
      </x:c>
      <x:c r="I10" s="2" t="str">
        <x:v>targets</x:v>
      </x:c>
      <x:c r="J10" s="2" t="str">
        <x:v>code artifacts</x:v>
      </x:c>
      <x:c r="K10" s="2" t="str">
        <x:v>该方法使用LLM生成代码的领域意图以桥接差距</x:v>
      </x:c>
      <x:c r="L10" s="2" t="str">
        <x:v>Unclear</x:v>
      </x:c>
      <x:c r="M10" s="6" t="str">
        <x:v>NA</x:v>
      </x:c>
      <x:c r="N10" s="2" t="str">
        <x:v>本文不针对需求/文档到代码的追溯，而是针对工业领域模型与代码的匹配。</x:v>
      </x:c>
      <x:c r="O10" s="2" t="str">
        <x:v>LLM4ST边界：领域模型到代码</x:v>
      </x:c>
      <x:c r="P10" s="2" t="str">
        <x:v>任务范围界定</x:v>
      </x:c>
      <x:c r="Q10" s="2" t="str">
        <x:v>NR</x:v>
      </x:c>
      <x:c r="R10" s="6" t="str">
        <x:v>SR</x:v>
      </x:c>
      <x:c r="S10" s="6" t="str">
        <x:v>p. 2; Section 2</x:v>
      </x:c>
      <x:c r="T10" s="6" t="str">
        <x:v>Unlike requirements/documentation traceability, this approach targets the matching between industrial domain models and code artifacts</x:v>
      </x:c>
      <x:c r="U10" s="6" t="str">
        <x:v>明确将本工作与常见需求/文档追溯区分，界定为工业领域模型与代码的匹配问题。</x:v>
      </x:c>
      <x:c r="V10" s="2" t="str">
        <x:v>Accepted</x:v>
      </x:c>
      <x:c r="W10" s="6" t="str">
        <x:v>NA</x:v>
      </x:c>
    </x:row>
    <x:row r="11" ht="76" customHeight="1">
      <x:c r="A11" s="2" t="str">
        <x:v>S04-CONCEPT-R01</x:v>
      </x:c>
      <x:c r="B11" s="2" t="str">
        <x:v>S04</x:v>
      </x:c>
      <x:c r="C11" s="2" t="str">
        <x:v>merged_0075</x:v>
      </x:c>
      <x:c r="D11" s="2" t="str">
        <x:v>Reviewer_A</x:v>
      </x:c>
      <x:c r="E11" s="2" t="str">
        <x:v>Reviewer_A</x:v>
      </x:c>
      <x:c r="F11" s="2" t="str">
        <x:v>definition</x:v>
      </x:c>
      <x:c r="G11" s="6" t="str">
        <x:v>LLM-based approach to generate security-related traceability links</x:v>
      </x:c>
      <x:c r="H11" s="2" t="str">
        <x:v>requirements</x:v>
      </x:c>
      <x:c r="I11" s="2" t="str">
        <x:v>to</x:v>
      </x:c>
      <x:c r="J11" s="2" t="str">
        <x:v>goal models</x:v>
      </x:c>
      <x:c r="K11" s="2" t="str">
        <x:v>GPT-3.5-turbo直接参与生成链接</x:v>
      </x:c>
      <x:c r="L11" s="2" t="str">
        <x:v>Not applicable</x:v>
      </x:c>
      <x:c r="M11" s="6" t="str">
        <x:v>NA</x:v>
      </x:c>
      <x:c r="N11" s="2" t="str">
        <x:v>LLM用于在需求与GRL目标模型间生成安全追溯链接</x:v>
      </x:c>
      <x:c r="O11" s="2" t="str">
        <x:v>LLM_用于_追溯链接生成</x:v>
      </x:c>
      <x:c r="P11" s="2" t="str">
        <x:v>LLM-based traceability</x:v>
      </x:c>
      <x:c r="Q11" s="2" t="str">
        <x:v>NR</x:v>
      </x:c>
      <x:c r="R11" s="6" t="str">
        <x:v>SR</x:v>
      </x:c>
      <x:c r="S11" s="6" t="str">
        <x:v>p. 1; Abstract</x:v>
      </x:c>
      <x:c r="T11" s="6" t="str">
        <x:v>paper, we propose an LLM-based approach to generate securityrelated traceability links between requirements (expressed in natural language) and goals (described as part of GRL models). We</x:v>
      </x:c>
      <x:c r="U11" s="6" t="str">
        <x:v>作者明确定义了一种使用LLM在需求与GRL目标模型间生成安全追溯链接的方法</x:v>
      </x:c>
      <x:c r="V11" s="2" t="str">
        <x:v>Accepted</x:v>
      </x:c>
      <x:c r="W11" s="6" t="str">
        <x:v>NR</x:v>
      </x:c>
    </x:row>
    <x:row r="12" ht="76" customHeight="1">
      <x:c r="A12" s="2" t="str">
        <x:v>S04-CONCEPT-R02</x:v>
      </x:c>
      <x:c r="B12" s="2" t="str">
        <x:v>S04</x:v>
      </x:c>
      <x:c r="C12" s="2" t="str">
        <x:v>merged_0075</x:v>
      </x:c>
      <x:c r="D12" s="2" t="str">
        <x:v>Reviewer_A</x:v>
      </x:c>
      <x:c r="E12" s="2" t="str">
        <x:v>Reviewer_A</x:v>
      </x:c>
      <x:c r="F12" s="2" t="str">
        <x:v>necessary_step</x:v>
      </x:c>
      <x:c r="G12" s="6" t="str">
        <x:v>Zero-Shot (0S) approach utilizing GPT-3.5-turbo</x:v>
      </x:c>
      <x:c r="H12" s="2" t="str">
        <x:v>LLM</x:v>
      </x:c>
      <x:c r="I12" s="2" t="str">
        <x:v>uses</x:v>
      </x:c>
      <x:c r="J12" s="2" t="str">
        <x:v>carefully crafted prompt</x:v>
      </x:c>
      <x:c r="K12" s="2" t="str">
        <x:v>GPT-3.5-turbo通过精心设计的提示生成链接</x:v>
      </x:c>
      <x:c r="L12" s="2" t="str">
        <x:v>Necessary</x:v>
      </x:c>
      <x:c r="M12" s="6" t="str">
        <x:v>NA</x:v>
      </x:c>
      <x:c r="N12" s="2" t="str">
        <x:v>零样本方法和精心设计的提示是生成追溯链接的必要步骤</x:v>
      </x:c>
      <x:c r="O12" s="2" t="str">
        <x:v>Prompt_Engineering</x:v>
      </x:c>
      <x:c r="P12" s="2" t="str">
        <x:v>Necessary_Procedure</x:v>
      </x:c>
      <x:c r="Q12" s="2" t="str">
        <x:v>NR</x:v>
      </x:c>
      <x:c r="R12" s="6" t="str">
        <x:v>SR</x:v>
      </x:c>
      <x:c r="S12" s="6" t="str">
        <x:v>p. 1; Abstract</x:v>
      </x:c>
      <x:c r="T12" s="6" t="str">
        <x:v>We employ a Zero-Shot (0S) approach utilizing GPT-3.5-turbo, enhanced by employing a meticulously crafted prompt.</x:v>
      </x:c>
      <x:c r="U12" s="6" t="str">
        <x:v>使用零样本GPT-3.5-turbo并精心设计提示被认为是方法成功的关键必要步骤</x:v>
      </x:c>
      <x:c r="V12" s="2" t="str">
        <x:v>Accepted</x:v>
      </x:c>
      <x:c r="W12" s="6" t="str">
        <x:v>NR</x:v>
      </x:c>
    </x:row>
    <x:row r="13" ht="76" customHeight="1">
      <x:c r="A13" s="2" t="str">
        <x:v>S04-CONCEPT-R03</x:v>
      </x:c>
      <x:c r="B13" s="2" t="str">
        <x:v>S04</x:v>
      </x:c>
      <x:c r="C13" s="2" t="str">
        <x:v>merged_0075</x:v>
      </x:c>
      <x:c r="D13" s="2" t="str">
        <x:v>Reviewer_A</x:v>
      </x:c>
      <x:c r="E13" s="2" t="str">
        <x:v>Reviewer_A</x:v>
      </x:c>
      <x:c r="F13" s="2" t="str">
        <x:v>boundary</x:v>
      </x:c>
      <x:c r="G13" s="6" t="str">
        <x:v>security-related traceability links</x:v>
      </x:c>
      <x:c r="H13" s="2" t="str">
        <x:v>requirements</x:v>
      </x:c>
      <x:c r="I13" s="2" t="str">
        <x:v>linked only to</x:v>
      </x:c>
      <x:c r="J13" s="2" t="str">
        <x:v>security-related goals</x:v>
      </x:c>
      <x:c r="K13" s="2" t="str">
        <x:v>LLM被指示仅输出安全相关的链接</x:v>
      </x:c>
      <x:c r="L13" s="2" t="str">
        <x:v>Not applicable</x:v>
      </x:c>
      <x:c r="M13" s="6" t="str">
        <x:v>NA</x:v>
      </x:c>
      <x:c r="N13" s="2" t="str">
        <x:v>方法仅针对安全相关的需求和目标生成链接，忽略非安全链接</x:v>
      </x:c>
      <x:c r="O13" s="2" t="str">
        <x:v>Security_Link_Only</x:v>
      </x:c>
      <x:c r="P13" s="2" t="str">
        <x:v>Scope_Limitation</x:v>
      </x:c>
      <x:c r="Q13" s="2" t="str">
        <x:v>NR</x:v>
      </x:c>
      <x:c r="R13" s="6" t="str">
        <x:v>SR</x:v>
      </x:c>
      <x:c r="S13" s="6" t="str">
        <x:v>p. 5; Figure 5 prompt</x:v>
      </x:c>
      <x:c r="T13" s="6" t="str">
        <x:v>"Note that one goal can be linked to many requirements and vice versa." "Provide the rationale for each generated link separately."</x:v>
      </x:c>
      <x:c r="U13" s="6" t="str">
        <x:v>提示中明确限定了只输出安全相关的链接，排除了非安全链接，界定了方法范围</x:v>
      </x:c>
      <x:c r="V13" s="2" t="str">
        <x:v>Accepted</x:v>
      </x:c>
      <x:c r="W13" s="6" t="str">
        <x:v>NR</x:v>
      </x:c>
    </x:row>
    <x:row r="14" ht="76" customHeight="1">
      <x:c r="A14" s="2" t="str">
        <x:v>S05-CONCEPT-R01</x:v>
      </x:c>
      <x:c r="B14" s="2" t="str">
        <x:v>S05</x:v>
      </x:c>
      <x:c r="C14" s="2" t="str">
        <x:v>merged_0077</x:v>
      </x:c>
      <x:c r="D14" s="2" t="str">
        <x:v>Reviewer_A</x:v>
      </x:c>
      <x:c r="E14" s="2" t="str">
        <x:v>Reviewer_A</x:v>
      </x:c>
      <x:c r="F14" s="2" t="str">
        <x:v>scope</x:v>
      </x:c>
      <x:c r="G14" s="6" t="str">
        <x:v>documentation-to-code traceability</x:v>
      </x:c>
      <x:c r="H14" s="2" t="str">
        <x:v>LLMs</x:v>
      </x:c>
      <x:c r="I14" s="2" t="str">
        <x:v>evaluated for</x:v>
      </x:c>
      <x:c r="J14" s="2" t="str">
        <x:v>traceability</x:v>
      </x:c>
      <x:c r="K14" s="2" t="str">
        <x:v>LLMs作为被评估的主体，用于执行文档到代码的追溯任务。</x:v>
      </x:c>
      <x:c r="L14" s="2" t="str">
        <x:v>Not applicable</x:v>
      </x:c>
      <x:c r="M14" s="6" t="str">
        <x:v>NA</x:v>
      </x:c>
      <x:c r="N14" s="2" t="str">
        <x:v>本研究范围限定为对LLMs在文档到代码追溯任务中的评估。</x:v>
      </x:c>
      <x:c r="O14" s="2" t="str">
        <x:v>scope_evaluation</x:v>
      </x:c>
      <x:c r="P14" s="2" t="str">
        <x:v>scope</x:v>
      </x:c>
      <x:c r="Q14" s="2" t="str">
        <x:v>NR</x:v>
      </x:c>
      <x:c r="R14" s="6" t="str">
        <x:v>SR</x:v>
      </x:c>
      <x:c r="S14" s="6" t="str">
        <x:v>p. 2; Section 1</x:v>
      </x:c>
      <x:c r="T14" s="6" t="str">
        <x:v>To address this knowledge gap, we conduct a comprehensive evaluation of LLMs for documentationto-code traceability tasks. We create two novel datasets from two modern open-source projects,</x:v>
      </x:c>
      <x:c r="U14" s="6" t="str">
        <x:v>论文明确声明其工作将全面评估LLMs在文档到代码追溯任务上的表现，界定了研究范围。</x:v>
      </x:c>
      <x:c r="V14" s="2" t="str">
        <x:v>Accepted</x:v>
      </x:c>
      <x:c r="W14" s="6" t="str">
        <x:v>NA</x:v>
      </x:c>
    </x:row>
    <x:row r="15" ht="76" customHeight="1">
      <x:c r="A15" s="2" t="str">
        <x:v>S05-CONCEPT-R02</x:v>
      </x:c>
      <x:c r="B15" s="2" t="str">
        <x:v>S05</x:v>
      </x:c>
      <x:c r="C15" s="2" t="str">
        <x:v>merged_0077</x:v>
      </x:c>
      <x:c r="D15" s="2" t="str">
        <x:v>Reviewer_A</x:v>
      </x:c>
      <x:c r="E15" s="2" t="str">
        <x:v>Reviewer_A</x:v>
      </x:c>
      <x:c r="F15" s="2" t="str">
        <x:v>definition</x:v>
      </x:c>
      <x:c r="G15" s="6" t="str">
        <x:v>trace link</x:v>
      </x:c>
      <x:c r="H15" s="2" t="str">
        <x:v>documentation segment</x:v>
      </x:c>
      <x:c r="I15" s="2" t="str">
        <x:v>connected to</x:v>
      </x:c>
      <x:c r="J15" s="2" t="str">
        <x:v>code artifact</x:v>
      </x:c>
      <x:c r="K15" s="2" t="str">
        <x:v>LLMs被用于识别文档片段与代码构件之间的显式提及或隐式关系。</x:v>
      </x:c>
      <x:c r="L15" s="2" t="str">
        <x:v>Not applicable</x:v>
      </x:c>
      <x:c r="M15" s="6" t="str">
        <x:v>NA</x:v>
      </x:c>
      <x:c r="N15" s="2" t="str">
        <x:v>追溯链接定义为文档片段与代码构件之间的连接，基于显式提及或隐式关系分析。</x:v>
      </x:c>
      <x:c r="O15" s="2" t="str">
        <x:v>definition_trace_link</x:v>
      </x:c>
      <x:c r="P15" s="2" t="str">
        <x:v>definition</x:v>
      </x:c>
      <x:c r="Q15" s="2" t="str">
        <x:v>NR</x:v>
      </x:c>
      <x:c r="R15" s="6" t="str">
        <x:v>SR</x:v>
      </x:c>
      <x:c r="S15" s="6" t="str">
        <x:v>p. 10; Section 3.3 Step 3</x:v>
      </x:c>
      <x:c r="T15" s="6" t="str">
        <x:v>• Analyzing Implicit Relationships</x:v>
      </x:c>
      <x:c r="U15" s="6" t="str">
        <x:v>在数据集创建过程中，作者定义了追溯链接的建立方式，包括识别显式提及和分析隐式关系。</x:v>
      </x:c>
      <x:c r="V15" s="2" t="str">
        <x:v>Accepted</x:v>
      </x:c>
      <x:c r="W15" s="6" t="str">
        <x:v>NA</x:v>
      </x:c>
    </x:row>
    <x:row r="16" ht="76" customHeight="1">
      <x:c r="A16" s="2" t="str">
        <x:v>S05-CONCEPT-R03</x:v>
      </x:c>
      <x:c r="B16" s="2" t="str">
        <x:v>S05</x:v>
      </x:c>
      <x:c r="C16" s="2" t="str">
        <x:v>merged_0077</x:v>
      </x:c>
      <x:c r="D16" s="2" t="str">
        <x:v>Reviewer_A</x:v>
      </x:c>
      <x:c r="E16" s="2" t="str">
        <x:v>Reviewer_A</x:v>
      </x:c>
      <x:c r="F16" s="2" t="str">
        <x:v>boundary</x:v>
      </x:c>
      <x:c r="G16" s="6" t="str">
        <x:v>trace link</x:v>
      </x:c>
      <x:c r="H16" s="2" t="str">
        <x:v>segments without code links</x:v>
      </x:c>
      <x:c r="I16" s="2" t="str">
        <x:v>excluded</x:v>
      </x:c>
      <x:c r="J16" s="2" t="str">
        <x:v>trace link creation</x:v>
      </x:c>
      <x:c r="K16" s="2" t="str">
        <x:v>LLMs不会为不含代码引用的文档片段生成链接。</x:v>
      </x:c>
      <x:c r="L16" s="2" t="str">
        <x:v>Not applicable</x:v>
      </x:c>
      <x:c r="M16" s="6" t="str">
        <x:v>NA</x:v>
      </x:c>
      <x:c r="N16" s="2" t="str">
        <x:v>不含任何代码链接的文档片段（如无关内容）被排除在有效追溯链接之外。</x:v>
      </x:c>
      <x:c r="O16" s="2" t="str">
        <x:v>boundary_no_link_segment</x:v>
      </x:c>
      <x:c r="P16" s="2" t="str">
        <x:v>boundary</x:v>
      </x:c>
      <x:c r="Q16" s="2" t="str">
        <x:v>NR</x:v>
      </x:c>
      <x:c r="R16" s="6" t="str">
        <x:v>SR</x:v>
      </x:c>
      <x:c r="S16" s="6" t="str">
        <x:v>p. 8; Section 3.3 Step 1</x:v>
      </x:c>
      <x:c r="T16" s="6" t="str">
        <x:v>Segments that contained filler text or lacked any links to code (e.g., the “Newsletter Signup” in the running example) were marked as having zero links and excluded from the dataset.</x:v>
      </x:c>
      <x:c r="U16" s="6" t="str">
        <x:v>论文明确界定了不含代码关系的文档片段不属于追溯链接的范畴，这类片段被排除在数据集之外。</x:v>
      </x:c>
      <x:c r="V16" s="2" t="str">
        <x:v>Accepted</x:v>
      </x:c>
      <x:c r="W16" s="6" t="str">
        <x:v>NA</x:v>
      </x:c>
    </x:row>
    <x:row r="17" ht="76" customHeight="1">
      <x:c r="A17" s="2" t="str">
        <x:v>S06-CONCEPT-R01</x:v>
      </x:c>
      <x:c r="B17" s="2" t="str">
        <x:v>S06</x:v>
      </x:c>
      <x:c r="C17" s="2" t="str">
        <x:v>merged_0079</x:v>
      </x:c>
      <x:c r="D17" s="2" t="str">
        <x:v>Reviewer_A</x:v>
      </x:c>
      <x:c r="E17" s="2" t="str">
        <x:v>Reviewer_A</x:v>
      </x:c>
      <x:c r="F17" s="2" t="str">
        <x:v>definition</x:v>
      </x:c>
      <x:c r="G17" s="6" t="str">
        <x:v>autonomous LLM-based agent</x:v>
      </x:c>
      <x:c r="H17" s="2" t="str">
        <x:v>LinkAnchor</x:v>
      </x:c>
      <x:c r="I17" s="2" t="str">
        <x:v>is a</x:v>
      </x:c>
      <x:c r="J17" s="2" t="str">
        <x:v>autonomous LLM-based agent for issue-to-commit link recovery</x:v>
      </x:c>
      <x:c r="K17" s="2" t="str">
        <x:v>LLM作为代理核心，自主完成链接恢复</x:v>
      </x:c>
      <x:c r="L17" s="2" t="str">
        <x:v>Necessary</x:v>
      </x:c>
      <x:c r="M17" s="6" t="str">
        <x:v>NA</x:v>
      </x:c>
      <x:c r="N17" s="2" t="str">
        <x:v>LinkAnchor是首个用于问题到提交链接恢复的自主LLM代理</x:v>
      </x:c>
      <x:c r="O17" s="2" t="str">
        <x:v>LLM agent</x:v>
      </x:c>
      <x:c r="P17" s="2" t="str">
        <x:v>LLM-based traceability tool</x:v>
      </x:c>
      <x:c r="Q17" s="2" t="str">
        <x:v>NR</x:v>
      </x:c>
      <x:c r="R17" s="6" t="str">
        <x:v>SR</x:v>
      </x:c>
      <x:c r="S17" s="6" t="str">
        <x:v>p. 1; Section I</x:v>
      </x:c>
      <x:c r="T17" s="6" t="str">
        <x:v>LinkAnchor, the first autonomous LLM-based agent designed for issue-to-commit link recovery. The lazy-access architecture</x:v>
      </x:c>
      <x:c r="U17" s="6" t="str">
        <x:v>论文明确将LinkAnchor定义为基于LLM的自主代理，这是其核心创新。</x:v>
      </x:c>
      <x:c r="V17" s="2" t="str">
        <x:v>Accepted</x:v>
      </x:c>
      <x:c r="W17" s="6" t="str">
        <x:v>NA</x:v>
      </x:c>
    </x:row>
    <x:row r="18" ht="76" customHeight="1">
      <x:c r="A18" s="2" t="str">
        <x:v>S06-CONCEPT-R02</x:v>
      </x:c>
      <x:c r="B18" s="2" t="str">
        <x:v>S06</x:v>
      </x:c>
      <x:c r="C18" s="2" t="str">
        <x:v>merged_0079</x:v>
      </x:c>
      <x:c r="D18" s="2" t="str">
        <x:v>Reviewer_A</x:v>
      </x:c>
      <x:c r="E18" s="2" t="str">
        <x:v>Reviewer_A</x:v>
      </x:c>
      <x:c r="F18" s="2" t="str">
        <x:v>necessary_step</x:v>
      </x:c>
      <x:c r="G18" s="6" t="str">
        <x:v>on-demand access</x:v>
      </x:c>
      <x:c r="H18" s="2" t="str">
        <x:v>LLM</x:v>
      </x:c>
      <x:c r="I18" s="2" t="str">
        <x:v>granted on-demand access to</x:v>
      </x:c>
      <x:c r="J18" s="2" t="str">
        <x:v>project data via specialized function calls</x:v>
      </x:c>
      <x:c r="K18" s="2" t="str">
        <x:v>LLM通过函数调用主动按需获取上下文数据</x:v>
      </x:c>
      <x:c r="L18" s="2" t="str">
        <x:v>Necessary</x:v>
      </x:c>
      <x:c r="M18" s="6" t="str">
        <x:v>NA</x:v>
      </x:c>
      <x:c r="N18" s="2" t="str">
        <x:v>通过按需函数调用赋予LLM访问项目数据的能力是解决上下文窗口限制的必要步骤</x:v>
      </x:c>
      <x:c r="O18" s="2" t="str">
        <x:v>on-demand data access</x:v>
      </x:c>
      <x:c r="P18" s="2" t="str">
        <x:v>agent architecture</x:v>
      </x:c>
      <x:c r="Q18" s="2" t="str">
        <x:v>NR</x:v>
      </x:c>
      <x:c r="R18" s="6" t="str">
        <x:v>SR</x:v>
      </x:c>
      <x:c r="S18" s="6" t="str">
        <x:v>p. 2; Section I (contributions)</x:v>
      </x:c>
      <x:c r="T18" s="6" t="str">
        <x:v>LinkAnchor leverages the interactive capabilities of modern LLM agents by granting them lazy, on-demand access through specialized function calls.</x:v>
      </x:c>
      <x:c r="U18" s="6" t="str">
        <x:v>按需数据访问是代理架构的必要组成部分，使LLM能动态获取所需信息而不超出令牌窗口。</x:v>
      </x:c>
      <x:c r="V18" s="2" t="str">
        <x:v>Accepted</x:v>
      </x:c>
      <x:c r="W18" s="6" t="str">
        <x:v>NA</x:v>
      </x:c>
    </x:row>
    <x:row r="19" ht="76" customHeight="1">
      <x:c r="A19" s="2" t="str">
        <x:v>S06-CONCEPT-R03</x:v>
      </x:c>
      <x:c r="B19" s="2" t="str">
        <x:v>S06</x:v>
      </x:c>
      <x:c r="C19" s="2" t="str">
        <x:v>merged_0079</x:v>
      </x:c>
      <x:c r="D19" s="2" t="str">
        <x:v>Reviewer_A</x:v>
      </x:c>
      <x:c r="E19" s="2" t="str">
        <x:v>Reviewer_A</x:v>
      </x:c>
      <x:c r="F19" s="2" t="str">
        <x:v>necessary_step</x:v>
      </x:c>
      <x:c r="G19" s="6" t="str">
        <x:v>search problem</x:v>
      </x:c>
      <x:c r="H19" s="2" t="str">
        <x:v>Issue-to-Commit Link Recovery</x:v>
      </x:c>
      <x:c r="I19" s="2" t="str">
        <x:v>formulated as</x:v>
      </x:c>
      <x:c r="J19" s="2" t="str">
        <x:v>search problem for the LLM</x:v>
      </x:c>
      <x:c r="K19" s="2" t="str">
        <x:v>LLM执行搜索以找到解决提交</x:v>
      </x:c>
      <x:c r="L19" s="2" t="str">
        <x:v>Necessary</x:v>
      </x:c>
      <x:c r="M19" s="6" t="str">
        <x:v>NA</x:v>
      </x:c>
      <x:c r="N19" s="2" t="str">
        <x:v>将ILR任务重构为LLM的搜索问题是避免成对评估的必要步骤</x:v>
      </x:c>
      <x:c r="O19" s="2" t="str">
        <x:v>search-based formulation</x:v>
      </x:c>
      <x:c r="P19" s="2" t="str">
        <x:v>task formulation</x:v>
      </x:c>
      <x:c r="Q19" s="2" t="str">
        <x:v>NR</x:v>
      </x:c>
      <x:c r="R19" s="6" t="str">
        <x:v>SR</x:v>
      </x:c>
      <x:c r="S19" s="6" t="str">
        <x:v>p. 2; Section I</x:v>
      </x:c>
      <x:c r="T19" s="6" t="str">
        <x:v>LinkAnchor formulates ILR as a search problem for the LLM, eliminating the need to exhaustively assess the relevance of every commit in the repository to the given issue</x:v>
      </x:c>
      <x:c r="U19" s="6" t="str">
        <x:v>通过将链接恢复转化为搜索问题，LLM避免了耗尽的逐对评估，这是效率提升的关键。</x:v>
      </x:c>
      <x:c r="V19" s="2" t="str">
        <x:v>Accepted</x:v>
      </x:c>
      <x:c r="W19" s="6" t="str">
        <x:v>NA</x:v>
      </x:c>
    </x:row>
    <x:row r="20" ht="76" customHeight="1">
      <x:c r="A20" s="2" t="str">
        <x:v>S06-CONCEPT-R04</x:v>
      </x:c>
      <x:c r="B20" s="2" t="str">
        <x:v>S06</x:v>
      </x:c>
      <x:c r="C20" s="2" t="str">
        <x:v>merged_0079</x:v>
      </x:c>
      <x:c r="D20" s="2" t="str">
        <x:v>Reviewer_A</x:v>
      </x:c>
      <x:c r="E20" s="2" t="str">
        <x:v>Reviewer_A</x:v>
      </x:c>
      <x:c r="F20" s="2" t="str">
        <x:v>optional_step</x:v>
      </x:c>
      <x:c r="G20" s="6" t="str">
        <x:v>safe-lifespan filtering</x:v>
      </x:c>
      <x:c r="H20" s="2" t="str">
        <x:v>Git-Extractor module</x:v>
      </x:c>
      <x:c r="I20" s="2" t="str">
        <x:v>limits queries to</x:v>
      </x:c>
      <x:c r="J20" s="2" t="str">
        <x:v>one week before issue creation through one week after issue resolution</x:v>
      </x:c>
      <x:c r="K20" s="2" t="str">
        <x:v>LLM查询时默认受限，但可主动调用list_commits突破限制</x:v>
      </x:c>
      <x:c r="L20" s="2" t="str">
        <x:v>Optional</x:v>
      </x:c>
      <x:c r="M20" s="6" t="str">
        <x:v>NA</x:v>
      </x:c>
      <x:c r="N20" s="2" t="str">
        <x:v>安全生命周期过滤是默认的搜索空间缩减步骤，但LLM可通过显式调用绕过</x:v>
      </x:c>
      <x:c r="O20" s="2" t="str">
        <x:v>time filtering</x:v>
      </x:c>
      <x:c r="P20" s="2" t="str">
        <x:v>search space reduction</x:v>
      </x:c>
      <x:c r="Q20" s="2" t="str">
        <x:v>NR</x:v>
      </x:c>
      <x:c r="R20" s="6" t="str">
        <x:v>SR</x:v>
      </x:c>
      <x:c r="S20" s="6" t="str">
        <x:v>p. 5; Section IV-B a)</x:v>
      </x:c>
      <x:c r="T20" s="6" t="str">
        <x:v>The Git-Extractor module limits all queries to the safe lifespan of the issue, defined as one week before issue creation through one week after issue resolution.</x:v>
      </x:c>
      <x:c r="U20" s="6" t="str">
        <x:v>这是一个可选的优化步骤，旨在减少令牌消耗，但非强制。</x:v>
      </x:c>
      <x:c r="V20" s="2" t="str">
        <x:v>Accepted</x:v>
      </x:c>
      <x:c r="W20" s="6" t="str">
        <x:v>NA</x:v>
      </x:c>
    </x:row>
    <x:row r="21" ht="76" customHeight="1">
      <x:c r="A21" s="2" t="str">
        <x:v>S06-CONCEPT-R05</x:v>
      </x:c>
      <x:c r="B21" s="2" t="str">
        <x:v>S06</x:v>
      </x:c>
      <x:c r="C21" s="2" t="str">
        <x:v>merged_0079</x:v>
      </x:c>
      <x:c r="D21" s="2" t="str">
        <x:v>Reviewer_A</x:v>
      </x:c>
      <x:c r="E21" s="2" t="str">
        <x:v>Reviewer_A</x:v>
      </x:c>
      <x:c r="F21" s="2" t="str">
        <x:v>boundary</x:v>
      </x:c>
      <x:c r="G21" s="6" t="str">
        <x:v>last commit</x:v>
      </x:c>
      <x:c r="H21" s="2" t="str">
        <x:v>LinkAnchor</x:v>
      </x:c>
      <x:c r="I21" s="2" t="str">
        <x:v>returns</x:v>
      </x:c>
      <x:c r="J21" s="2" t="str">
        <x:v>the last commit that resolves the issue</x:v>
      </x:c>
      <x:c r="K21" s="2" t="str">
        <x:v>LLM判断并返回最终解决提交的哈希</x:v>
      </x:c>
      <x:c r="L21" s="2" t="str">
        <x:v>Not applicable</x:v>
      </x:c>
      <x:c r="M21" s="6" t="str">
        <x:v>NA</x:v>
      </x:c>
      <x:c r="N21" s="2" t="str">
        <x:v>LinkAnchor仅输出解决问题链中的最后一个提交，不关注中间提交</x:v>
      </x:c>
      <x:c r="O21" s="2" t="str">
        <x:v>commit selection criterion</x:v>
      </x:c>
      <x:c r="P21" s="2" t="str">
        <x:v>output definition</x:v>
      </x:c>
      <x:c r="Q21" s="2" t="str">
        <x:v>NR</x:v>
      </x:c>
      <x:c r="R21" s="6" t="str">
        <x:v>SR</x:v>
      </x:c>
      <x:c r="S21" s="6" t="str">
        <x:v>p. 7; Section V-A 2)</x:v>
      </x:c>
      <x:c r="T21" s="6" t="str">
        <x:v>the most appropriate commit in such cases is the last one, as it completes the solution and marks the point at which the issue is fully resolved. Therefore, LinkAnchor returns the most appropriate answer, which is the last commit in such scenarios.</x:v>
      </x:c>
      <x:c r="U21" s="6" t="str">
        <x:v>这定义了链接恢复的输出范围：仅将最终完成解决的提交视为正确链接。</x:v>
      </x:c>
      <x:c r="V21" s="2" t="str">
        <x:v>Accepted</x:v>
      </x:c>
      <x:c r="W21" s="6" t="str">
        <x:v>NA</x:v>
      </x:c>
    </x:row>
    <x:row r="22" ht="76" customHeight="1">
      <x:c r="A22" s="2" t="str">
        <x:v>S07-CONCEPT-R01</x:v>
      </x:c>
      <x:c r="B22" s="2" t="str">
        <x:v>S07</x:v>
      </x:c>
      <x:c r="C22" s="2" t="str">
        <x:v>merged_0110</x:v>
      </x:c>
      <x:c r="D22" s="2" t="str">
        <x:v>Reviewer_A</x:v>
      </x:c>
      <x:c r="E22" s="2" t="str">
        <x:v>Reviewer_A</x:v>
      </x:c>
      <x:c r="F22" s="2" t="str">
        <x:v>scope</x:v>
      </x:c>
      <x:c r="G22" s="6" t="str">
        <x:v>REST-at</x:v>
      </x:c>
      <x:c r="H22" s="2" t="str">
        <x:v>requirements</x:v>
      </x:c>
      <x:c r="I22" s="2" t="str">
        <x:v>traceability link generation</x:v>
      </x:c>
      <x:c r="J22" s="2" t="str">
        <x:v>manual system-level tests</x:v>
      </x:c>
      <x:c r="K22" s="2" t="str">
        <x:v>LLM作为核心组件，根据提示模板生成追溯链接</x:v>
      </x:c>
      <x:c r="L22" s="2" t="str">
        <x:v>Necessary</x:v>
      </x:c>
      <x:c r="M22" s="6" t="str">
        <x:v>NA</x:v>
      </x:c>
      <x:c r="N22" s="2" t="str">
        <x:v>REST-at工具的范围是自动生成需求与手动系统级测试之间的追溯链接</x:v>
      </x:c>
      <x:c r="O22" s="2" t="str">
        <x:v>scope_tool</x:v>
      </x:c>
      <x:c r="P22" s="2" t="str">
        <x:v>tool_scope</x:v>
      </x:c>
      <x:c r="Q22" s="2" t="str">
        <x:v>NR</x:v>
      </x:c>
      <x:c r="R22" s="6" t="str">
        <x:v>SR</x:v>
      </x:c>
      <x:c r="S22" s="6" t="str">
        <x:v>p. 1; Abstract</x:v>
      </x:c>
      <x:c r="T22" s="6" t="str">
        <x:v>REST-at, a tool that facilitates alignment between requirements engineering and software testing (REST) by automatically generating trace links between requirements and manual system-level tests.</x:v>
      </x:c>
      <x:c r="U22" s="6" t="str">
        <x:v>论文明确界定了工具适用范围：需求到手动系统级测试的链接生成</x:v>
      </x:c>
      <x:c r="V22" s="2" t="str">
        <x:v>Accepted</x:v>
      </x:c>
      <x:c r="W22" s="6" t="str">
        <x:v>NA</x:v>
      </x:c>
    </x:row>
    <x:row r="23" ht="76" customHeight="1">
      <x:c r="A23" s="2" t="str">
        <x:v>S07-CONCEPT-R02</x:v>
      </x:c>
      <x:c r="B23" s="2" t="str">
        <x:v>S07</x:v>
      </x:c>
      <x:c r="C23" s="2" t="str">
        <x:v>merged_0110</x:v>
      </x:c>
      <x:c r="D23" s="2" t="str">
        <x:v>Reviewer_A</x:v>
      </x:c>
      <x:c r="E23" s="2" t="str">
        <x:v>Reviewer_A</x:v>
      </x:c>
      <x:c r="F23" s="2" t="str">
        <x:v>definition</x:v>
      </x:c>
      <x:c r="G23" s="6" t="str">
        <x:v>open-weight models</x:v>
      </x:c>
      <x:c r="H23" s="2" t="str">
        <x:v>open-weight models</x:v>
      </x:c>
      <x:c r="I23" s="2" t="str">
        <x:v>are models where</x:v>
      </x:c>
      <x:c r="J23" s="2" t="str">
        <x:v>the weights of the network are publicly available</x:v>
      </x:c>
      <x:c r="K23" s="2" t="str">
        <x:v>LLM类型分类</x:v>
      </x:c>
      <x:c r="L23" s="2" t="str">
        <x:v>NA</x:v>
      </x:c>
      <x:c r="M23" s="6" t="str">
        <x:v>NA</x:v>
      </x:c>
      <x:c r="N23" s="2" t="str">
        <x:v>开放权重模型是指网络权重公开，但源代码不公开的模型</x:v>
      </x:c>
      <x:c r="O23" s="2" t="str">
        <x:v>definition_open_weight</x:v>
      </x:c>
      <x:c r="P23" s="2" t="str">
        <x:v>model_type_definition</x:v>
      </x:c>
      <x:c r="Q23" s="2" t="str">
        <x:v>NR</x:v>
      </x:c>
      <x:c r="R23" s="6" t="str">
        <x:v>SR</x:v>
      </x:c>
      <x:c r="S23" s="6" t="str">
        <x:v>p. 2; Section 2</x:v>
      </x:c>
      <x:c r="T23" s="6" t="str">
        <x:v>open-weight models where the weights of the network are publicly available. Open-weight models allow developers to use and fine-tune the model but do not provide full transparency since the source code is unavailable</x:v>
      </x:c>
      <x:c r="U23" s="6" t="str">
        <x:v>论文区分了开源、闭源和开放权重模型</x:v>
      </x:c>
      <x:c r="V23" s="2" t="str">
        <x:v>Accepted</x:v>
      </x:c>
      <x:c r="W23" s="6" t="str">
        <x:v>NA</x:v>
      </x:c>
    </x:row>
    <x:row r="24" ht="76" customHeight="1">
      <x:c r="A24" s="2" t="str">
        <x:v>S07-CONCEPT-R03</x:v>
      </x:c>
      <x:c r="B24" s="2" t="str">
        <x:v>S07</x:v>
      </x:c>
      <x:c r="C24" s="2" t="str">
        <x:v>merged_0110</x:v>
      </x:c>
      <x:c r="D24" s="2" t="str">
        <x:v>Reviewer_A</x:v>
      </x:c>
      <x:c r="E24" s="2" t="str">
        <x:v>Reviewer_A</x:v>
      </x:c>
      <x:c r="F24" s="2" t="str">
        <x:v>boundary</x:v>
      </x:c>
      <x:c r="G24" s="6" t="str">
        <x:v>system-level artifacts expressed in natural language</x:v>
      </x:c>
      <x:c r="H24" s="2" t="str">
        <x:v>evaluation</x:v>
      </x:c>
      <x:c r="I24" s="2" t="str">
        <x:v>focuses on</x:v>
      </x:c>
      <x:c r="J24" s="2" t="str">
        <x:v>system-level artifacts expressed in natural language</x:v>
      </x:c>
      <x:c r="K24" s="2" t="str">
        <x:v>评估范围的限定</x:v>
      </x:c>
      <x:c r="L24" s="2" t="str">
        <x:v>NA</x:v>
      </x:c>
      <x:c r="M24" s="6" t="str">
        <x:v>NA</x:v>
      </x:c>
      <x:c r="N24" s="2" t="str">
        <x:v>当前评估仅限于自然语言表达的系统级工件，未来将扩展至源代码工件</x:v>
      </x:c>
      <x:c r="O24" s="2" t="str">
        <x:v>boundary_artifact_type</x:v>
      </x:c>
      <x:c r="P24" s="2" t="str">
        <x:v>evaluation_boundary</x:v>
      </x:c>
      <x:c r="Q24" s="2" t="str">
        <x:v>NR</x:v>
      </x:c>
      <x:c r="R24" s="6" t="str">
        <x:v>SR</x:v>
      </x:c>
      <x:c r="S24" s="6" t="str">
        <x:v>p. 3; Section 3</x:v>
      </x:c>
      <x:c r="T24" s="6" t="str">
        <x:v>Our current evaluation focuses on system-level artifacts expressed in natural language (Section 4). Our future work aims to examine how the tool performs when linking requirements to source code artifacts, such as unit tests.</x:v>
      </x:c>
      <x:c r="U24" s="6" t="str">
        <x:v>明确了评估的边界</x:v>
      </x:c>
      <x:c r="V24" s="2" t="str">
        <x:v>Accepted</x:v>
      </x:c>
      <x:c r="W24" s="6" t="str">
        <x:v>NA</x:v>
      </x:c>
    </x:row>
    <x:row r="25" ht="76" customHeight="1">
      <x:c r="A25" s="2" t="str">
        <x:v>S07-CONCEPT-R04</x:v>
      </x:c>
      <x:c r="B25" s="2" t="str">
        <x:v>S07</x:v>
      </x:c>
      <x:c r="C25" s="2" t="str">
        <x:v>merged_0110</x:v>
      </x:c>
      <x:c r="D25" s="2" t="str">
        <x:v>Reviewer_A</x:v>
      </x:c>
      <x:c r="E25" s="2" t="str">
        <x:v>Reviewer_A</x:v>
      </x:c>
      <x:c r="F25" s="2" t="str">
        <x:v>necessary_step</x:v>
      </x:c>
      <x:c r="G25" s="6" t="str">
        <x:v>submitting one requirement at a time, along with the complete set of test cases</x:v>
      </x:c>
      <x:c r="H25" s="2" t="str">
        <x:v>REST-at</x:v>
      </x:c>
      <x:c r="I25" s="2" t="str">
        <x:v>performs</x:v>
      </x:c>
      <x:c r="J25" s="2" t="str">
        <x:v>one requirement at a time with all test cases</x:v>
      </x:c>
      <x:c r="K25" s="2" t="str">
        <x:v>LLM交互方式：每次提交一个需求</x:v>
      </x:c>
      <x:c r="L25" s="2" t="str">
        <x:v>Necessary</x:v>
      </x:c>
      <x:c r="M25" s="6" t="str">
        <x:v>NA</x:v>
      </x:c>
      <x:c r="N25" s="2" t="str">
        <x:v>生成链接时，工具每次向LLM提交一个需求和全部测试用例</x:v>
      </x:c>
      <x:c r="O25" s="2" t="str">
        <x:v>step_one_by_one</x:v>
      </x:c>
      <x:c r="P25" s="2" t="str">
        <x:v>tool_operation</x:v>
      </x:c>
      <x:c r="Q25" s="2" t="str">
        <x:v>NR</x:v>
      </x:c>
      <x:c r="R25" s="6" t="str">
        <x:v>SR</x:v>
      </x:c>
      <x:c r="S25" s="6" t="str">
        <x:v>p. 3; Section 3</x:v>
      </x:c>
      <x:c r="T25" s="6" t="str">
        <x:v>To generate the trace links, the tool interacts with the LLM by submitting one requirement at a time, along with the complete set of test cases.</x:v>
      </x:c>
      <x:c r="U25" s="6" t="str">
        <x:v>描述了工具的必要操作步骤</x:v>
      </x:c>
      <x:c r="V25" s="2" t="str">
        <x:v>Accepted</x:v>
      </x:c>
      <x:c r="W25" s="6" t="str">
        <x:v>NA</x:v>
      </x:c>
    </x:row>
    <x:row r="26" ht="76" customHeight="1">
      <x:c r="A26" s="2" t="str">
        <x:v>S07-CONCEPT-R05</x:v>
      </x:c>
      <x:c r="B26" s="2" t="str">
        <x:v>S07</x:v>
      </x:c>
      <x:c r="C26" s="2" t="str">
        <x:v>merged_0110</x:v>
      </x:c>
      <x:c r="D26" s="2" t="str">
        <x:v>Reviewer_A</x:v>
      </x:c>
      <x:c r="E26" s="2" t="str">
        <x:v>Reviewer_A</x:v>
      </x:c>
      <x:c r="F26" s="2" t="str">
        <x:v>optional_step</x:v>
      </x:c>
      <x:c r="G26" s="6" t="str">
        <x:v>RAG (Retrieval Augmented Generation)</x:v>
      </x:c>
      <x:c r="H26" s="2" t="str">
        <x:v>REST-at</x:v>
      </x:c>
      <x:c r="I26" s="2" t="str">
        <x:v>aim to integrate</x:v>
      </x:c>
      <x:c r="J26" s="2" t="str">
        <x:v>RAG</x:v>
      </x:c>
      <x:c r="K26" s="2" t="str">
        <x:v>未来可能增强LLM能力</x:v>
      </x:c>
      <x:c r="L26" s="2" t="str">
        <x:v>Optional</x:v>
      </x:c>
      <x:c r="M26" s="6" t="str">
        <x:v>NA</x:v>
      </x:c>
      <x:c r="N26" s="2" t="str">
        <x:v>未来版本计划集成RAG以优化访问需求和测试库</x:v>
      </x:c>
      <x:c r="O26" s="2" t="str">
        <x:v>optional_rag</x:v>
      </x:c>
      <x:c r="P26" s="2" t="str">
        <x:v>future_enhancement</x:v>
      </x:c>
      <x:c r="Q26" s="2" t="str">
        <x:v>NR</x:v>
      </x:c>
      <x:c r="R26" s="6" t="str">
        <x:v>SR</x:v>
      </x:c>
      <x:c r="S26" s="6" t="str">
        <x:v>p. 3; Section 3</x:v>
      </x:c>
      <x:c r="T26" s="6" t="str">
        <x:v>Future versions of the tool aim to integrate RAG (Retrieval Augmented Generation) or agents to optimize access to the repository of requirements and tests</x:v>
      </x:c>
      <x:c r="U26" s="6" t="str">
        <x:v>可选增强功能</x:v>
      </x:c>
      <x:c r="V26" s="2" t="str">
        <x:v>Accepted</x:v>
      </x:c>
      <x:c r="W26" s="6" t="str">
        <x:v>NA</x:v>
      </x:c>
    </x:row>
    <x:row r="27" ht="76" customHeight="1">
      <x:c r="A27" s="2" t="str">
        <x:v>S08-CONCEPT-R01</x:v>
      </x:c>
      <x:c r="B27" s="2" t="str">
        <x:v>S08</x:v>
      </x:c>
      <x:c r="C27" s="2" t="str">
        <x:v>merged_0256</x:v>
      </x:c>
      <x:c r="D27" s="2" t="str">
        <x:v>Reviewer_A</x:v>
      </x:c>
      <x:c r="E27" s="2" t="str">
        <x:v>Reviewer_A</x:v>
      </x:c>
      <x:c r="F27" s="2" t="str">
        <x:v>definition</x:v>
      </x:c>
      <x:c r="G27" s="6" t="str">
        <x:v>coverage</x:v>
      </x:c>
      <x:c r="H27" s="2" t="str">
        <x:v>low-level requirements</x:v>
      </x:c>
      <x:c r="I27" s="2" t="str">
        <x:v>sufficiently address</x:v>
      </x:c>
      <x:c r="J27" s="2" t="str">
        <x:v>high-level requirement</x:v>
      </x:c>
      <x:c r="K27" s="2" t="str">
        <x:v>LLM用于判定是否覆盖</x:v>
      </x:c>
      <x:c r="L27" s="2" t="str">
        <x:v>Not applicable</x:v>
      </x:c>
      <x:c r="M27" s="6" t="str">
        <x:v>NA</x:v>
      </x:c>
      <x:c r="N27" s="2" t="str">
        <x:v>覆盖是指低层需求充分描述了高层需求的每个重要方面，确保系统特征的完整正确实现。</x:v>
      </x:c>
      <x:c r="O27" s="2" t="str">
        <x:v>coverage completeness</x:v>
      </x:c>
      <x:c r="P27" s="2" t="str">
        <x:v>traceability quality</x:v>
      </x:c>
      <x:c r="Q27" s="2" t="str">
        <x:v>NR</x:v>
      </x:c>
      <x:c r="R27" s="6" t="str">
        <x:v>SR</x:v>
      </x:c>
      <x:c r="S27" s="6" t="str">
        <x:v>p. 1; abstract</x:v>
      </x:c>
      <x:c r="T27" s="6" t="str">
        <x:v>The objective is to describe every important aspect of the high-level requirement in a low-level requirement, ensuring a complete and correct implementation of the system's features.</x:v>
      </x:c>
      <x:c r="U27" s="6" t="str">
        <x:v>论文定义了覆盖的完整性标准。</x:v>
      </x:c>
      <x:c r="V27" s="2" t="str">
        <x:v>Accepted</x:v>
      </x:c>
      <x:c r="W27" s="6" t="str">
        <x:v>NA</x:v>
      </x:c>
    </x:row>
    <x:row r="28" ht="76" customHeight="1">
      <x:c r="A28" s="2" t="str">
        <x:v>S08-CONCEPT-R02</x:v>
      </x:c>
      <x:c r="B28" s="2" t="str">
        <x:v>S08</x:v>
      </x:c>
      <x:c r="C28" s="2" t="str">
        <x:v>merged_0256</x:v>
      </x:c>
      <x:c r="D28" s="2" t="str">
        <x:v>Reviewer_A</x:v>
      </x:c>
      <x:c r="E28" s="2" t="str">
        <x:v>Reviewer_A</x:v>
      </x:c>
      <x:c r="F28" s="2" t="str">
        <x:v>scope</x:v>
      </x:c>
      <x:c r="G28" s="6" t="str">
        <x:v>HLR to LLR coverage</x:v>
      </x:c>
      <x:c r="H28" s="2" t="str">
        <x:v>different pairs of HLRs and LLRs</x:v>
      </x:c>
      <x:c r="I28" s="2" t="str">
        <x:v>treated the same</x:v>
      </x:c>
      <x:c r="J28" s="2" t="str">
        <x:v>as long as they are natural language-intensive artifacts</x:v>
      </x:c>
      <x:c r="K28" s="2" t="str">
        <x:v>LLM用于评估这些不同类型的覆盖</x:v>
      </x:c>
      <x:c r="L28" s="2" t="str">
        <x:v>Not applicable</x:v>
      </x:c>
      <x:c r="M28" s="6" t="str">
        <x:v>NA</x:v>
      </x:c>
      <x:c r="N28" s="2" t="str">
        <x:v>本研究将各类自然语言密集型的高层-底层需求对视为统一覆盖审查任务。</x:v>
      </x:c>
      <x:c r="O28" s="2" t="str">
        <x:v>artifact abstraction levels</x:v>
      </x:c>
      <x:c r="P28" s="2" t="str">
        <x:v>task scope</x:v>
      </x:c>
      <x:c r="Q28" s="2" t="str">
        <x:v>NR</x:v>
      </x:c>
      <x:c r="R28" s="6" t="str">
        <x:v>SR</x:v>
      </x:c>
      <x:c r="S28" s="6" t="str">
        <x:v>p. 2; Section 1</x:v>
      </x:c>
      <x:c r="T28" s="6" t="str">
        <x:v>we make no distinction between different pairs of HLRs and LLRs as long as they are natural language-intensive artifacts</x:v>
      </x:c>
      <x:c r="U28" s="6" t="str">
        <x:v>明确了任务边界，不区分不同类型的需求对。</x:v>
      </x:c>
      <x:c r="V28" s="2" t="str">
        <x:v>Accepted</x:v>
      </x:c>
      <x:c r="W28" s="6" t="str">
        <x:v>NA</x:v>
      </x:c>
    </x:row>
    <x:row r="29" ht="76" customHeight="1">
      <x:c r="A29" s="2" t="str">
        <x:v>S08-CONCEPT-R03</x:v>
      </x:c>
      <x:c r="B29" s="2" t="str">
        <x:v>S08</x:v>
      </x:c>
      <x:c r="C29" s="2" t="str">
        <x:v>merged_0256</x:v>
      </x:c>
      <x:c r="D29" s="2" t="str">
        <x:v>Reviewer_A</x:v>
      </x:c>
      <x:c r="E29" s="2" t="str">
        <x:v>Reviewer_A</x:v>
      </x:c>
      <x:c r="F29" s="2" t="str">
        <x:v>necessary_step</x:v>
      </x:c>
      <x:c r="G29" s="6" t="str">
        <x:v>fabricated LLRs</x:v>
      </x:c>
      <x:c r="H29" s="2" t="str">
        <x:v>evaluation of LLM</x:v>
      </x:c>
      <x:c r="I29" s="2" t="str">
        <x:v>requires</x:v>
      </x:c>
      <x:c r="J29" s="2" t="str">
        <x:v>fabricated adversarial traces</x:v>
      </x:c>
      <x:c r="K29" s="2" t="str">
        <x:v>LLM评估需要构造反例</x:v>
      </x:c>
      <x:c r="L29" s="2" t="str">
        <x:v>Necessary</x:v>
      </x:c>
      <x:c r="M29" s="6" t="str">
        <x:v>NA</x:v>
      </x:c>
      <x:c r="N29" s="2" t="str">
        <x:v>评估LLM覆盖检测能力必须包含对抗性反例（错误追溯）以测量精度。</x:v>
      </x:c>
      <x:c r="O29" s="2" t="str">
        <x:v>evaluation design</x:v>
      </x:c>
      <x:c r="P29" s="2" t="str">
        <x:v>necessity of negative samples</x:v>
      </x:c>
      <x:c r="Q29" s="2" t="str">
        <x:v>NR</x:v>
      </x:c>
      <x:c r="R29" s="6" t="str">
        <x:v>SR</x:v>
      </x:c>
      <x:c r="S29" s="6" t="str">
        <x:v>p. 5; Section 5.2.2</x:v>
      </x:c>
      <x:c r="T29" s="6" t="str">
        <x:v>Merely measuring whether an LLM correctly identifies them as covered is insufficient, as we also need to evaluate whether the LLM can correctly identify HLRs traced to incorrect LLRs.</x:v>
      </x:c>
      <x:c r="U29" s="6" t="str">
        <x:v>指出仅靠正例评估不够，必须构造错误链接来评估假阳性。</x:v>
      </x:c>
      <x:c r="V29" s="2" t="str">
        <x:v>Accepted</x:v>
      </x:c>
      <x:c r="W29" s="6" t="str">
        <x:v>NA</x:v>
      </x:c>
    </x:row>
    <x:row r="30" ht="76" customHeight="1">
      <x:c r="A30" s="2" t="str">
        <x:v>S08-CONCEPT-R04</x:v>
      </x:c>
      <x:c r="B30" s="2" t="str">
        <x:v>S08</x:v>
      </x:c>
      <x:c r="C30" s="2" t="str">
        <x:v>merged_0256</x:v>
      </x:c>
      <x:c r="D30" s="2" t="str">
        <x:v>Reviewer_A</x:v>
      </x:c>
      <x:c r="E30" s="2" t="str">
        <x:v>Reviewer_A</x:v>
      </x:c>
      <x:c r="F30" s="2" t="str">
        <x:v>counterexample</x:v>
      </x:c>
      <x:c r="G30" s="6" t="str">
        <x:v>coverage misidentification</x:v>
      </x:c>
      <x:c r="H30" s="2" t="str">
        <x:v>GPT-3.5</x:v>
      </x:c>
      <x:c r="I30" s="2" t="str">
        <x:v>incorrectly identifies</x:v>
      </x:c>
      <x:c r="J30" s="2" t="str">
        <x:v>coverage as complete when LLRs describe task linking instead of deleting resources</x:v>
      </x:c>
      <x:c r="K30" s="2" t="str">
        <x:v>LLM错误判断覆盖关系</x:v>
      </x:c>
      <x:c r="L30" s="2" t="str">
        <x:v>Not applicable</x:v>
      </x:c>
      <x:c r="M30" s="6" t="str">
        <x:v>GPT-3.5认为“任务链接”覆盖了“删除资源”，但实际不相关。</x:v>
      </x:c>
      <x:c r="N30" s="2" t="str">
        <x:v>模型可能通过不相关的术语关联而错误认为覆盖完整。</x:v>
      </x:c>
      <x:c r="O30" s="2" t="str">
        <x:v>semantic misinterpretation</x:v>
      </x:c>
      <x:c r="P30" s="2" t="str">
        <x:v>LLM failure mode</x:v>
      </x:c>
      <x:c r="Q30" s="2" t="str">
        <x:v>NR</x:v>
      </x:c>
      <x:c r="R30" s="6" t="str">
        <x:v>SR</x:v>
      </x:c>
      <x:c r="S30" s="6" t="str">
        <x:v>p. 7; Section 6.1</x:v>
      </x:c>
      <x:c r="T30" s="6" t="str">
        <x:v>it conducts incorrect reasoning by stating that “task linking” covers “deleting resources”.</x:v>
      </x:c>
      <x:c r="U30" s="6" t="str">
        <x:v>展示了LLM在覆盖推理中的典型错误，将表面相似的术语误认为覆盖。</x:v>
      </x:c>
      <x:c r="V30" s="2" t="str">
        <x:v>Accepted</x:v>
      </x:c>
      <x:c r="W30" s="6" t="str">
        <x:v>NA</x:v>
      </x:c>
    </x:row>
    <x:row r="31" ht="76" customHeight="1">
      <x:c r="A31" s="2" t="str">
        <x:v>S09-CONCEPT-R01</x:v>
      </x:c>
      <x:c r="B31" s="2" t="str">
        <x:v>S09</x:v>
      </x:c>
      <x:c r="C31" s="2" t="str">
        <x:v>merged_1114-v1</x:v>
      </x:c>
      <x:c r="D31" s="2" t="str">
        <x:v>Reviewer_A</x:v>
      </x:c>
      <x:c r="E31" s="2" t="str">
        <x:v>Reviewer_A</x:v>
      </x:c>
      <x:c r="F31" s="2" t="str">
        <x:v>definition</x:v>
      </x:c>
      <x:c r="G31" s="6" t="str">
        <x:v>Two-stage traceability link prediction pipeline</x:v>
      </x:c>
      <x:c r="H31" s="2" t="str">
        <x:v>embedding-based semantic retrieval</x:v>
      </x:c>
      <x:c r="I31" s="2" t="str">
        <x:v>combined with</x:v>
      </x:c>
      <x:c r="J31" s="2" t="str">
        <x:v>LLM-based multi-criteria analysis</x:v>
      </x:c>
      <x:c r="K31" s="2" t="str">
        <x:v>LLM在第二阶段执行多标准推理以生成置信度校准的可追溯链接。</x:v>
      </x:c>
      <x:c r="L31" s="2" t="str">
        <x:v>Necessary</x:v>
      </x:c>
      <x:c r="M31" s="6" t="str">
        <x:v>NA</x:v>
      </x:c>
      <x:c r="N31" s="2" t="str">
        <x:v>两阶段LLM辅助可追溯链接预测流程</x:v>
      </x:c>
      <x:c r="O31" s="2" t="str">
        <x:v>two_stage_pipeline</x:v>
      </x:c>
      <x:c r="P31" s="2" t="str">
        <x:v>LLM-based tracing method</x:v>
      </x:c>
      <x:c r="Q31" s="2" t="str">
        <x:v>NR</x:v>
      </x:c>
      <x:c r="R31" s="6" t="str">
        <x:v>SR</x:v>
      </x:c>
      <x:c r="S31" s="6" t="str">
        <x:v>p. 1; Abstract</x:v>
      </x:c>
      <x:c r="T31" s="6" t="str">
        <x:v>a two-stage traceability link prediction pipeline combining embedding-based retrieval with LLM-based multi-criteria analysis</x:v>
      </x:c>
      <x:c r="U31" s="6" t="str">
        <x:v>本文定义了一种两阶段可追溯链接预测方法，结合嵌入检索与LLM多标准分析，生成带有置信度评分的链接。</x:v>
      </x:c>
      <x:c r="V31" s="2" t="str">
        <x:v>Accepted</x:v>
      </x:c>
      <x:c r="W31" s="6" t="str">
        <x:v>NA</x:v>
      </x:c>
    </x:row>
    <x:row r="32" ht="76" customHeight="1">
      <x:c r="A32" s="2" t="str">
        <x:v>S09-CONCEPT-R02</x:v>
      </x:c>
      <x:c r="B32" s="2" t="str">
        <x:v>S09</x:v>
      </x:c>
      <x:c r="C32" s="2" t="str">
        <x:v>merged_1114-v1</x:v>
      </x:c>
      <x:c r="D32" s="2" t="str">
        <x:v>Reviewer_A</x:v>
      </x:c>
      <x:c r="E32" s="2" t="str">
        <x:v>Reviewer_A</x:v>
      </x:c>
      <x:c r="F32" s="2" t="str">
        <x:v>boundary</x:v>
      </x:c>
      <x:c r="G32" s="6" t="str">
        <x:v>calibrated confidence</x:v>
      </x:c>
      <x:c r="H32" s="2" t="str">
        <x:v>confidence scores</x:v>
      </x:c>
      <x:c r="I32" s="2" t="str">
        <x:v>must serve as</x:v>
      </x:c>
      <x:c r="J32" s="2" t="str">
        <x:v>first-class signal for downstream agents</x:v>
      </x:c>
      <x:c r="K32" s="2" t="str">
        <x:v>LLM输出的置信度经过校准后，成为下游智能体决策的一等信号。</x:v>
      </x:c>
      <x:c r="L32" s="2" t="str">
        <x:v>Necessary</x:v>
      </x:c>
      <x:c r="M32" s="6" t="str">
        <x:v>Without calibration, downstream agents cannot assess reliability, leading to inconsistencies.</x:v>
      </x:c>
      <x:c r="N32" s="2" t="str">
        <x:v>置信度校准是多智能体流水线有效协调的必要条件</x:v>
      </x:c>
      <x:c r="O32" s="2" t="str">
        <x:v>confidence_calibration_necessity</x:v>
      </x:c>
      <x:c r="P32" s="2" t="str">
        <x:v>LLM output usage</x:v>
      </x:c>
      <x:c r="Q32" s="2" t="str">
        <x:v>NR</x:v>
      </x:c>
      <x:c r="R32" s="6" t="str">
        <x:v>SR</x:v>
      </x:c>
      <x:c r="S32" s="6" t="str">
        <x:v>p. 1; Section I</x:v>
      </x:c>
      <x:c r="T32" s="6" t="str">
        <x:v>the confidence it assigns should not be merely a diagnostic byproduct; it should serve as a first-class signal that downstream agents consume when deciding whether to build upon, flag for review, or reject that link.</x:v>
      </x:c>
      <x:c r="U32" s="6" t="str">
        <x:v>作者声称LLM产生的置信度必须作为下游智能体决策的一等信号，而非副产品。</x:v>
      </x:c>
      <x:c r="V32" s="2" t="str">
        <x:v>Accepted</x:v>
      </x:c>
      <x:c r="W32" s="6" t="str">
        <x:v>NA</x:v>
      </x:c>
    </x:row>
    <x:row r="33" ht="76" customHeight="1">
      <x:c r="A33" s="2" t="str">
        <x:v>S09-CONCEPT-R03</x:v>
      </x:c>
      <x:c r="B33" s="2" t="str">
        <x:v>S09</x:v>
      </x:c>
      <x:c r="C33" s="2" t="str">
        <x:v>merged_1114-v1</x:v>
      </x:c>
      <x:c r="D33" s="2" t="str">
        <x:v>Reviewer_A</x:v>
      </x:c>
      <x:c r="E33" s="2" t="str">
        <x:v>Reviewer_A</x:v>
      </x:c>
      <x:c r="F33" s="2" t="str">
        <x:v>necessary_step</x:v>
      </x:c>
      <x:c r="G33" s="6" t="str">
        <x:v>LLM-based multi-criteria analysis</x:v>
      </x:c>
      <x:c r="H33" s="2" t="str">
        <x:v>LLM</x:v>
      </x:c>
      <x:c r="I33" s="2" t="str">
        <x:v>evaluates</x:v>
      </x:c>
      <x:c r="J33" s="2" t="str">
        <x:v>four reasoning criteria (requirement coverage, implementation specificity, terminology alignment, absence of contradiction)</x:v>
      </x:c>
      <x:c r="K33" s="2" t="str">
        <x:v>LLM通过结构化提示联合评估四个标准以产生链接决策、置信度和理由。</x:v>
      </x:c>
      <x:c r="L33" s="2" t="str">
        <x:v>Necessary</x:v>
      </x:c>
      <x:c r="M33" s="6" t="str">
        <x:v>NA</x:v>
      </x:c>
      <x:c r="N33" s="2" t="str">
        <x:v>LLM在第二阶段执行多标准推理以判断候选链接</x:v>
      </x:c>
      <x:c r="O33" s="2" t="str">
        <x:v>llm_multi_criteria</x:v>
      </x:c>
      <x:c r="P33" s="2" t="str">
        <x:v>LLM-based traceability step</x:v>
      </x:c>
      <x:c r="Q33" s="2" t="str">
        <x:v>NR</x:v>
      </x:c>
      <x:c r="R33" s="6" t="str">
        <x:v>SR</x:v>
      </x:c>
      <x:c r="S33" s="6" t="str">
        <x:v>p. 3; Section III-D</x:v>
      </x:c>
      <x:c r="T33" s="6" t="str">
        <x:v>candidate pair (r, c) with c ∈ Cr , a structured prompt P (r, c) directs the LLM to evaluate four reasoning criteria jointly:</x:v>
      </x:c>
      <x:c r="U33" s="6" t="str">
        <x:v>LLM在此步骤中不可或缺，它联合评估四个标准以生成链接和置信度。</x:v>
      </x:c>
      <x:c r="V33" s="2" t="str">
        <x:v>Accepted</x:v>
      </x:c>
      <x:c r="W33" s="6" t="str">
        <x:v>NA</x:v>
      </x:c>
    </x:row>
    <x:row r="34" ht="76" customHeight="1">
      <x:c r="A34" s="2" t="str">
        <x:v>S10-CONCEPT-R01</x:v>
      </x:c>
      <x:c r="B34" s="2" t="str">
        <x:v>S10</x:v>
      </x:c>
      <x:c r="C34" s="2" t="str">
        <x:v>merged_1119-v2</x:v>
      </x:c>
      <x:c r="D34" s="2" t="str">
        <x:v>Reviewer_A</x:v>
      </x:c>
      <x:c r="E34" s="2" t="str">
        <x:v>Reviewer_A</x:v>
      </x:c>
      <x:c r="F34" s="2" t="str">
        <x:v>optional_step</x:v>
      </x:c>
      <x:c r="G34" s="6" t="str">
        <x:v>LLM-based approaches</x:v>
      </x:c>
      <x:c r="H34" s="2" t="str">
        <x:v>LLM-based approaches</x:v>
      </x:c>
      <x:c r="I34" s="2" t="str">
        <x:v>do not rely on</x:v>
      </x:c>
      <x:c r="J34" s="2" t="str">
        <x:v>task-specific training data</x:v>
      </x:c>
      <x:c r="K34" s="2" t="str">
        <x:v>LLM可在无任务特定微调的情况下用于重排序，利用其通用推理能力。</x:v>
      </x:c>
      <x:c r="L34" s="2" t="str">
        <x:v>Optional</x:v>
      </x:c>
      <x:c r="M34" s="6" t="str">
        <x:v>NA</x:v>
      </x:c>
      <x:c r="N34" s="2" t="str">
        <x:v>LLM在issue-commit链接中可以不依赖任务特定训练数据，但并非必需品，简单模型亦可。</x:v>
      </x:c>
      <x:c r="O34" s="2" t="str">
        <x:v>LLM_optional_training_independent</x:v>
      </x:c>
      <x:c r="P34" s="2" t="str">
        <x:v>LLM特性</x:v>
      </x:c>
      <x:c r="Q34" s="2" t="str">
        <x:v>NR</x:v>
      </x:c>
      <x:c r="R34" s="6" t="str">
        <x:v>SR</x:v>
      </x:c>
      <x:c r="S34" s="6" t="str">
        <x:v>p. 8; Section 5.3, Motivation</x:v>
      </x:c>
      <x:c r="T34" s="6" t="str">
        <x:v>Unlike supervised reranking models, LLM-based approaches do not rely on task-specific training data but instead leverage generalpurpose reasoning capabilities learned during pre-training. The</x:v>
      </x:c>
      <x:c r="U34" s="6" t="str">
        <x:v>论文指出LLM重排序与有监督模型不同，无需针对该任务的专项训练，但后续实证发现简单模型亦可匹敌甚至超越LLM，故LLM非必要。</x:v>
      </x:c>
      <x:c r="V34" s="2" t="str">
        <x:v>Accepted</x:v>
      </x:c>
      <x:c r="W34" s="6" t="str">
        <x:v>NA</x:v>
      </x:c>
    </x:row>
    <x:row r="35" ht="76" customHeight="1">
      <x:c r="A35" s="2" t="str">
        <x:v>S10-CONCEPT-R02</x:v>
      </x:c>
      <x:c r="B35" s="2" t="str">
        <x:v>S10</x:v>
      </x:c>
      <x:c r="C35" s="2" t="str">
        <x:v>merged_1119-v2</x:v>
      </x:c>
      <x:c r="D35" s="2" t="str">
        <x:v>Reviewer_A</x:v>
      </x:c>
      <x:c r="E35" s="2" t="str">
        <x:v>Reviewer_A</x:v>
      </x:c>
      <x:c r="F35" s="2" t="str">
        <x:v>counterexample</x:v>
      </x:c>
      <x:c r="G35" s="6" t="str">
        <x:v>LLM-based approaches</x:v>
      </x:c>
      <x:c r="H35" s="2" t="str">
        <x:v>LLM-based approaches</x:v>
      </x:c>
      <x:c r="I35" s="2" t="str">
        <x:v>are not necessarily required</x:v>
      </x:c>
      <x:c r="J35" s="2" t="str">
        <x:v>simpler models</x:v>
      </x:c>
      <x:c r="K35" s="2" t="str">
        <x:v>实证表明，传统机器学习模型在issue-commit链接重排序中可达到与LLM媲美甚至更优的性能，故在采用LLM前应评估简单方案。</x:v>
      </x:c>
      <x:c r="L35" s="2" t="str">
        <x:v>Not applicable</x:v>
      </x:c>
      <x:c r="M35" s="6" t="str">
        <x:v>RCLinker (随机森林) 在三个数据集上Precision@1均高于GPT-5.1等LLM。</x:v>
      </x:c>
      <x:c r="N35" s="2" t="str">
        <x:v>对于issue-commit链接，简单模型如RCLinker即可达到最优性能，LLM并非必需。</x:v>
      </x:c>
      <x:c r="O35" s="2" t="str">
        <x:v>LLM_not_necessary_counterexample</x:v>
      </x:c>
      <x:c r="P35" s="2" t="str">
        <x:v>LLM必要性</x:v>
      </x:c>
      <x:c r="Q35" s="2" t="str">
        <x:v>NR</x:v>
      </x:c>
      <x:c r="R35" s="6" t="str">
        <x:v>SR</x:v>
      </x:c>
      <x:c r="S35" s="6" t="str">
        <x:v>p. 1; Abstract</x:v>
      </x:c>
      <x:c r="T35" s="6" t="str">
        <x:v>simpler models should be carefully considered before adopting computationally expensive LLM-based approaches.</x:v>
      </x:c>
      <x:c r="U35" s="6" t="str">
        <x:v>论文核心结论之一，来自所有重排序实验的综合发现，明确质疑了LLM在该任务上的不可替代性。</x:v>
      </x:c>
      <x:c r="V35" s="2" t="str">
        <x:v>Accepted</x:v>
      </x:c>
      <x:c r="W35" s="6" t="str">
        <x:v>NA</x:v>
      </x:c>
    </x:row>
    <x:row r="36" ht="76" customHeight="1">
      <x:c r="A36" s="2" t="str">
        <x:v>S11-CONCEPT-R01</x:v>
      </x:c>
      <x:c r="B36" s="2" t="str">
        <x:v>S11</x:v>
      </x:c>
      <x:c r="C36" s="2" t="str">
        <x:v>merged_1121-v1</x:v>
      </x:c>
      <x:c r="D36" s="2" t="str">
        <x:v>Reviewer_A</x:v>
      </x:c>
      <x:c r="E36" s="2" t="str">
        <x:v>Reviewer_A</x:v>
      </x:c>
      <x:c r="F36" s="2" t="str">
        <x:v>definition</x:v>
      </x:c>
      <x:c r="G36" s="6" t="str">
        <x:v>requirements-to-code traceability</x:v>
      </x:c>
      <x:c r="H36" s="2" t="str">
        <x:v>natural-language requirement statements</x:v>
      </x:c>
      <x:c r="I36" s="2" t="str">
        <x:v>linked to</x:v>
      </x:c>
      <x:c r="J36" s="2" t="str">
        <x:v>source code entities</x:v>
      </x:c>
      <x:c r="K36" s="2" t="str">
        <x:v>定义本身不特定于LLM，但论文中用LLM进行语义对齐和链接验证。</x:v>
      </x:c>
      <x:c r="L36" s="2" t="str">
        <x:v>Not applicable</x:v>
      </x:c>
      <x:c r="M36" s="6" t="str">
        <x:v>NA</x:v>
      </x:c>
      <x:c r="N36" s="2" t="str">
        <x:v>需求到代码可追溯性旨在建立和维护需求语句与源代码实体之间的显式链接。</x:v>
      </x:c>
      <x:c r="O36" s="2" t="str">
        <x:v>task_definition</x:v>
      </x:c>
      <x:c r="P36" s="2" t="str">
        <x:v>traceability</x:v>
      </x:c>
      <x:c r="Q36" s="2" t="str">
        <x:v>NR</x:v>
      </x:c>
      <x:c r="R36" s="6" t="str">
        <x:v>SR</x:v>
      </x:c>
      <x:c r="S36" s="6" t="str">
        <x:v>p. 2; Section II-A</x:v>
      </x:c>
      <x:c r="T36" s="6" t="str">
        <x:v>Requirements-to-code traceability aims to establish and maintain explicit links between natural-language requirement statements and the source code entities (e.g., files, classes, or methods) that implement them [16], [17].</x:v>
      </x:c>
      <x:c r="U36" s="6" t="str">
        <x:v>明确给出了需求到代码可追溯性的标准定义。</x:v>
      </x:c>
      <x:c r="V36" s="2" t="str">
        <x:v>Accepted</x:v>
      </x:c>
      <x:c r="W36" s="6" t="str">
        <x:v>NA</x:v>
      </x:c>
    </x:row>
    <x:row r="37" ht="76" customHeight="1">
      <x:c r="A37" s="2" t="str">
        <x:v>S11-CONCEPT-R02</x:v>
      </x:c>
      <x:c r="B37" s="2" t="str">
        <x:v>S11</x:v>
      </x:c>
      <x:c r="C37" s="2" t="str">
        <x:v>merged_1121-v1</x:v>
      </x:c>
      <x:c r="D37" s="2" t="str">
        <x:v>Reviewer_A</x:v>
      </x:c>
      <x:c r="E37" s="2" t="str">
        <x:v>Reviewer_A</x:v>
      </x:c>
      <x:c r="F37" s="2" t="str">
        <x:v>scope</x:v>
      </x:c>
      <x:c r="G37" s="6" t="str">
        <x:v>requirements-to-code traceability</x:v>
      </x:c>
      <x:c r="H37" s="2" t="str">
        <x:v>natural-language requirements</x:v>
      </x:c>
      <x:c r="I37" s="2" t="str">
        <x:v>mapped to</x:v>
      </x:c>
      <x:c r="J37" s="2" t="str">
        <x:v>source code corpus</x:v>
      </x:c>
      <x:c r="K37" s="2" t="str">
        <x:v>LLM作为核心组件进行评分、对齐和验证。</x:v>
      </x:c>
      <x:c r="L37" s="2" t="str">
        <x:v>Not applicable</x:v>
      </x:c>
      <x:c r="M37" s="6" t="str">
        <x:v>NA</x:v>
      </x:c>
      <x:c r="N37" s="2" t="str">
        <x:v>本文关注自然语言需求与源代码语料库之间的可追溯性问题，将LLM作为证据到决策映射的核心。</x:v>
      </x:c>
      <x:c r="O37" s="2" t="str">
        <x:v>problem_scope</x:v>
      </x:c>
      <x:c r="P37" s="2" t="str">
        <x:v>scope</x:v>
      </x:c>
      <x:c r="Q37" s="2" t="str">
        <x:v>NR</x:v>
      </x:c>
      <x:c r="R37" s="6" t="str">
        <x:v>SR</x:v>
      </x:c>
      <x:c r="S37" s="6" t="str">
        <x:v>p. 3; Section III-B</x:v>
      </x:c>
      <x:c r="T37" s="6" t="str">
        <x:v>This work considers the requirements-to-code traceability problem between a set of natural-language requirements and a source code corpus.</x:v>
      </x:c>
      <x:c r="U37" s="6" t="str">
        <x:v>界定了本文关注的需求到代码可追溯性问题范围。</x:v>
      </x:c>
      <x:c r="V37" s="2" t="str">
        <x:v>Accepted</x:v>
      </x:c>
      <x:c r="W37" s="6" t="str">
        <x:v>NA</x:v>
      </x:c>
    </x:row>
    <x:row r="38" ht="76" customHeight="1">
      <x:c r="A38" s="2" t="str">
        <x:v>S11-CONCEPT-R03</x:v>
      </x:c>
      <x:c r="B38" s="2" t="str">
        <x:v>S11</x:v>
      </x:c>
      <x:c r="C38" s="2" t="str">
        <x:v>merged_1121-v1</x:v>
      </x:c>
      <x:c r="D38" s="2" t="str">
        <x:v>Reviewer_A</x:v>
      </x:c>
      <x:c r="E38" s="2" t="str">
        <x:v>Reviewer_A</x:v>
      </x:c>
      <x:c r="F38" s="2" t="str">
        <x:v>necessary_step</x:v>
      </x:c>
      <x:c r="G38" s="6" t="str">
        <x:v>Hierarchical Semantic Decomposition</x:v>
      </x:c>
      <x:c r="H38" s="2" t="str">
        <x:v>requirement and code text</x:v>
      </x:c>
      <x:c r="I38" s="2" t="str">
        <x:v>decomposed into</x:v>
      </x:c>
      <x:c r="J38" s="2" t="str">
        <x:v>four-layer semantic representations</x:v>
      </x:c>
      <x:c r="K38" s="2" t="str">
        <x:v>LLM执行分解生成结构化JSON表示。</x:v>
      </x:c>
      <x:c r="L38" s="2" t="str">
        <x:v>Necessary</x:v>
      </x:c>
      <x:c r="M38" s="6" t="str">
        <x:v>NA</x:v>
      </x:c>
      <x:c r="N38" s="2" t="str">
        <x:v>为执行跨层语义对齐，必须先将需求和代码文本分解为意图、动作、条件、输出等结构化表示。</x:v>
      </x:c>
      <x:c r="O38" s="2" t="str">
        <x:v>semantic_decomposition</x:v>
      </x:c>
      <x:c r="P38" s="2" t="str">
        <x:v>representation</x:v>
      </x:c>
      <x:c r="Q38" s="2" t="str">
        <x:v>NR</x:v>
      </x:c>
      <x:c r="R38" s="6" t="str">
        <x:v>SR</x:v>
      </x:c>
      <x:c r="S38" s="6" t="str">
        <x:v>p. 4; Section III-C</x:v>
      </x:c>
      <x:c r="T38" s="6" t="str">
        <x:v>R2Code begins by converting both requirements and code entities into structured semantic representations, so that matching is performed over aligned semantic dimensions rather than raw text alone.</x:v>
      </x:c>
      <x:c r="U38" s="6" t="str">
        <x:v>结构化语义分解是R2Code对齐前必要的步骤。</x:v>
      </x:c>
      <x:c r="V38" s="2" t="str">
        <x:v>Accepted</x:v>
      </x:c>
      <x:c r="W38" s="6" t="str">
        <x:v>NA</x:v>
      </x:c>
    </x:row>
    <x:row r="39" ht="76" customHeight="1">
      <x:c r="A39" s="2" t="str">
        <x:v>S11-CONCEPT-R04</x:v>
      </x:c>
      <x:c r="B39" s="2" t="str">
        <x:v>S11</x:v>
      </x:c>
      <x:c r="C39" s="2" t="str">
        <x:v>merged_1121-v1</x:v>
      </x:c>
      <x:c r="D39" s="2" t="str">
        <x:v>Reviewer_A</x:v>
      </x:c>
      <x:c r="E39" s="2" t="str">
        <x:v>Reviewer_A</x:v>
      </x:c>
      <x:c r="F39" s="2" t="str">
        <x:v>optional_step</x:v>
      </x:c>
      <x:c r="G39" s="6" t="str">
        <x:v>term-level overlap</x:v>
      </x:c>
      <x:c r="H39" s="2" t="str">
        <x:v>requirement and explanation</x:v>
      </x:c>
      <x:c r="I39" s="2" t="str">
        <x:v>computed as overlap</x:v>
      </x:c>
      <x:c r="J39" s="2" t="str">
        <x:v>supportive evidence signal</x:v>
      </x:c>
      <x:c r="K39" s="2" t="str">
        <x:v>可作为辅助信号，但非主要决策因子。</x:v>
      </x:c>
      <x:c r="L39" s="2" t="str">
        <x:v>Optional</x:v>
      </x:c>
      <x:c r="M39" s="6" t="str">
        <x:v>NA</x:v>
      </x:c>
      <x:c r="N39" s="2" t="str">
        <x:v>需求与解释间的词项重叠仅作为辅助证据，不是主要决策因素。</x:v>
      </x:c>
      <x:c r="O39" s="2" t="str">
        <x:v>auxiliary_signal</x:v>
      </x:c>
      <x:c r="P39" s="2" t="str">
        <x:v>confidence_calibration</x:v>
      </x:c>
      <x:c r="Q39" s="2" t="str">
        <x:v>NR</x:v>
      </x:c>
      <x:c r="R39" s="6" t="str">
        <x:v>SR</x:v>
      </x:c>
      <x:c r="S39" s="6" t="str">
        <x:v>p. 5; Section III-D</x:v>
      </x:c>
      <x:c r="T39" s="6" t="str">
        <x:v>Overlap(r, E) is treated only as supportive evidence rather than a primary decision factor.</x:v>
      </x:c>
      <x:c r="U39" s="6" t="str">
        <x:v>明确该信号为可选辅助项。</x:v>
      </x:c>
      <x:c r="V39" s="2" t="str">
        <x:v>Accepted</x:v>
      </x:c>
      <x:c r="W39" s="6" t="str">
        <x:v>NA</x:v>
      </x:c>
    </x:row>
    <x:row r="40" ht="76" customHeight="1">
      <x:c r="A40" s="2" t="str">
        <x:v>S12-CONCEPT-R01</x:v>
      </x:c>
      <x:c r="B40" s="2" t="str">
        <x:v>S12</x:v>
      </x:c>
      <x:c r="C40" s="2" t="str">
        <x:v>merged_1133</x:v>
      </x:c>
      <x:c r="D40" s="2" t="str">
        <x:v>Reviewer_A</x:v>
      </x:c>
      <x:c r="E40" s="2" t="str">
        <x:v>Reviewer_A</x:v>
      </x:c>
      <x:c r="F40" s="2" t="str">
        <x:v>definition</x:v>
      </x:c>
      <x:c r="G40" s="6" t="str">
        <x:v>Large Language Models (LLMs)</x:v>
      </x:c>
      <x:c r="H40" s="2" t="str">
        <x:v>LLMs</x:v>
      </x:c>
      <x:c r="I40" s="2" t="str">
        <x:v>are</x:v>
      </x:c>
      <x:c r="J40" s="2" t="str">
        <x:v>decoder-only transformers with parameters ranging from 6B to 175B+, supporting in-context learning</x:v>
      </x:c>
      <x:c r="K40" s="2" t="str">
        <x:v>定义LLMs并指出其在上下文学习中的作用，是LLM4ST的基础模型定义</x:v>
      </x:c>
      <x:c r="L40" s="2" t="str">
        <x:v>Not applicable</x:v>
      </x:c>
      <x:c r="M40" s="6" t="str">
        <x:v>NA</x:v>
      </x:c>
      <x:c r="N40" s="2" t="str">
        <x:v>LLMs are large decoder-only transformers that enable in-context learning without fine-tuning.</x:v>
      </x:c>
      <x:c r="O40" s="2" t="str">
        <x:v>LLM definition</x:v>
      </x:c>
      <x:c r="P40" s="2" t="str">
        <x:v>model characteristics</x:v>
      </x:c>
      <x:c r="Q40" s="2" t="str">
        <x:v>NR</x:v>
      </x:c>
      <x:c r="R40" s="6" t="str">
        <x:v>SR</x:v>
      </x:c>
      <x:c r="S40" s="6" t="str">
        <x:v>p. 5; Section 2 (In-Context Learning with Large Language Models)</x:v>
      </x:c>
      <x:c r="T40" s="6" t="str">
        <x:v>In contrast to encoder-only models like BERT, LLMs such as GPT-3, GPT-4, Claude, and LLaMA are decoder-only transformers with vastly larger number of parameters, typically ranging from 6B to 175B+ parameters. These models support ICL, where predictions are conditioned on demonstrations and instructions embedded directly in the prompt, without updating model weights.</x:v>
      </x:c>
      <x:c r="U40" s="6" t="str">
        <x:v>论文明确将LLMs定义为具有数十亿至千亿参数、支持上下文学习的仅解码器Transformer模型，区别于编码器模型，这为LLM4ST提供了清晰的技术边界。</x:v>
      </x:c>
      <x:c r="V40" s="2" t="str">
        <x:v>Accepted</x:v>
      </x:c>
      <x:c r="W40" s="6" t="str">
        <x:v>NR</x:v>
      </x:c>
    </x:row>
    <x:row r="41" ht="76" customHeight="1">
      <x:c r="A41" s="2" t="str">
        <x:v>S12-CONCEPT-R02</x:v>
      </x:c>
      <x:c r="B41" s="2" t="str">
        <x:v>S12</x:v>
      </x:c>
      <x:c r="C41" s="2" t="str">
        <x:v>merged_1133</x:v>
      </x:c>
      <x:c r="D41" s="2" t="str">
        <x:v>Reviewer_A</x:v>
      </x:c>
      <x:c r="E41" s="2" t="str">
        <x:v>Reviewer_A</x:v>
      </x:c>
      <x:c r="F41" s="2" t="str">
        <x:v>boundary</x:v>
      </x:c>
      <x:c r="G41" s="6" t="str">
        <x:v>prompt engineering</x:v>
      </x:c>
      <x:c r="H41" s="2" t="str">
        <x:v>prompt engineering</x:v>
      </x:c>
      <x:c r="I41" s="2" t="str">
        <x:v>has no principled method to guarantee</x:v>
      </x:c>
      <x:c r="J41" s="2" t="str">
        <x:v>a globally optimal prompt</x:v>
      </x:c>
      <x:c r="K41" s="2" t="str">
        <x:v>提示工程是LLM4ST的关键，但存在无法保证全局最优的边界</x:v>
      </x:c>
      <x:c r="L41" s="2" t="str">
        <x:v>Not applicable</x:v>
      </x:c>
      <x:c r="M41" s="6" t="str">
        <x:v>NA</x:v>
      </x:c>
      <x:c r="N41" s="2" t="str">
        <x:v>No principled method exists to guarantee a globally optimal prompt; prompt engineering is iterative and human-in-the-loop.</x:v>
      </x:c>
      <x:c r="O41" s="2" t="str">
        <x:v>prompt optimization boundary</x:v>
      </x:c>
      <x:c r="P41" s="2" t="str">
        <x:v>limitation of prompt engineering</x:v>
      </x:c>
      <x:c r="Q41" s="2" t="str">
        <x:v>NR</x:v>
      </x:c>
      <x:c r="R41" s="6" t="str">
        <x:v>SR</x:v>
      </x:c>
      <x:c r="S41" s="6" t="str">
        <x:v>p. 7; Section 3 (first paragraph after Figure 1)</x:v>
      </x:c>
      <x:c r="T41" s="6" t="str">
        <x:v>TraceLLM provides a structured guide for prompt engineering, a process that is inherently iterative and human-in-the-loop [43], for which no principled method currently exists to guarantee finding a globally optimal prompt [44].</x:v>
      </x:c>
      <x:c r="U41" s="6" t="str">
        <x:v>提示工程存在固有边界：无法保证找到全局最优提示，这强调了迭代和人在回路中的必要性。</x:v>
      </x:c>
      <x:c r="V41" s="2" t="str">
        <x:v>Accepted</x:v>
      </x:c>
      <x:c r="W41" s="6" t="str">
        <x:v>NR</x:v>
      </x:c>
    </x:row>
    <x:row r="42" ht="76" customHeight="1">
      <x:c r="A42" s="2" t="str">
        <x:v>S12-CONCEPT-R03</x:v>
      </x:c>
      <x:c r="B42" s="2" t="str">
        <x:v>S12</x:v>
      </x:c>
      <x:c r="C42" s="2" t="str">
        <x:v>merged_1133</x:v>
      </x:c>
      <x:c r="D42" s="2" t="str">
        <x:v>Reviewer_A</x:v>
      </x:c>
      <x:c r="E42" s="2" t="str">
        <x:v>Reviewer_A</x:v>
      </x:c>
      <x:c r="F42" s="2" t="str">
        <x:v>necessary_step</x:v>
      </x:c>
      <x:c r="G42" s="6" t="str">
        <x:v>Core Prompt Design</x:v>
      </x:c>
      <x:c r="H42" s="2" t="str">
        <x:v>Core Prompt Design</x:v>
      </x:c>
      <x:c r="I42" s="2" t="str">
        <x:v>is a necessary stage</x:v>
      </x:c>
      <x:c r="J42" s="2" t="str">
        <x:v>in TraceLLM methodology</x:v>
      </x:c>
      <x:c r="K42" s="2" t="str">
        <x:v>LLM用于执行提示并分析输出以迭代优化</x:v>
      </x:c>
      <x:c r="L42" s="2" t="str">
        <x:v>Necessary</x:v>
      </x:c>
      <x:c r="M42" s="6" t="str">
        <x:v>NA</x:v>
      </x:c>
      <x:c r="N42" s="2" t="str">
        <x:v>Core Prompt Design is a necessary stage in TraceLLM for formulating effective prompts through iterative refinement.</x:v>
      </x:c>
      <x:c r="O42" s="2" t="str">
        <x:v>core prompt design</x:v>
      </x:c>
      <x:c r="P42" s="2" t="str">
        <x:v>prompt engineering process</x:v>
      </x:c>
      <x:c r="Q42" s="2" t="str">
        <x:v>NR</x:v>
      </x:c>
      <x:c r="R42" s="6" t="str">
        <x:v>SR</x:v>
      </x:c>
      <x:c r="S42" s="6" t="str">
        <x:v>p. 9; Section 3.2</x:v>
      </x:c>
      <x:c r="T42" s="6" t="str">
        <x:v>This stage focuses on formulating an effective core prompt for software artifacts traceability. The process involves designing, testing, and refining prompts iteratively based on the analysis of their output.</x:v>
      </x:c>
      <x:c r="U42" s="6" t="str">
        <x:v>在TraceLLM框架中，核心提示设计是一个必要步骤，通过迭代设计、测试和分析LLM输出来优化提示。</x:v>
      </x:c>
      <x:c r="V42" s="2" t="str">
        <x:v>Accepted</x:v>
      </x:c>
      <x:c r="W42" s="6" t="str">
        <x:v>NR</x:v>
      </x:c>
    </x:row>
    <x:row r="43" ht="76" customHeight="1">
      <x:c r="A43" s="2" t="str">
        <x:v>S12-CONCEPT-R04</x:v>
      </x:c>
      <x:c r="B43" s="2" t="str">
        <x:v>S12</x:v>
      </x:c>
      <x:c r="C43" s="2" t="str">
        <x:v>merged_1133</x:v>
      </x:c>
      <x:c r="D43" s="2" t="str">
        <x:v>Reviewer_A</x:v>
      </x:c>
      <x:c r="E43" s="2" t="str">
        <x:v>Reviewer_A</x:v>
      </x:c>
      <x:c r="F43" s="2" t="str">
        <x:v>definition</x:v>
      </x:c>
      <x:c r="G43" s="6" t="str">
        <x:v>Requirements traceability</x:v>
      </x:c>
      <x:c r="H43" s="2" t="str">
        <x:v>Requirements traceability</x:v>
      </x:c>
      <x:c r="I43" s="2" t="str">
        <x:v>refers to</x:v>
      </x:c>
      <x:c r="J43" s="2" t="str">
        <x:v>the ability to describe and follow the life of a requirement</x:v>
      </x:c>
      <x:c r="K43" s="2" t="str">
        <x:v>未直接涉及LLM，但为LLM4ST提供任务定义</x:v>
      </x:c>
      <x:c r="L43" s="2" t="str">
        <x:v>Not applicable</x:v>
      </x:c>
      <x:c r="M43" s="6" t="str">
        <x:v>NA</x:v>
      </x:c>
      <x:c r="N43" s="2" t="str">
        <x:v>Requirements traceability is the ability to describe and follow a requirement's life in forward and backward directions.</x:v>
      </x:c>
      <x:c r="O43" s="2" t="str">
        <x:v>traceability definition</x:v>
      </x:c>
      <x:c r="P43" s="2" t="str">
        <x:v>traceability concept</x:v>
      </x:c>
      <x:c r="Q43" s="2" t="str">
        <x:v>NR</x:v>
      </x:c>
      <x:c r="R43" s="6" t="str">
        <x:v>SR</x:v>
      </x:c>
      <x:c r="S43" s="6" t="str">
        <x:v>p. 2; Section 1</x:v>
      </x:c>
      <x:c r="T43" s="6" t="str">
        <x:v>Requirements traceability refers to the ability to describe and follow the life of a requirement, in both forward and backward directions (i.e., from its origins, through</x:v>
      </x:c>
      <x:c r="U43" s="6" t="str">
        <x:v>论文给出了需求可追溯性的标准定义，这是LLM4ST任务的核心概念。</x:v>
      </x:c>
      <x:c r="V43" s="2" t="str">
        <x:v>Accepted</x:v>
      </x:c>
      <x:c r="W43" s="6" t="str">
        <x:v>NR</x:v>
      </x:c>
    </x:row>
    <x:row r="44" ht="76" customHeight="1">
      <x:c r="A44" s="2" t="str">
        <x:v>S13-CONCEPT-R01</x:v>
      </x:c>
      <x:c r="B44" s="2" t="str">
        <x:v>S13</x:v>
      </x:c>
      <x:c r="C44" s="2" t="str">
        <x:v>merged_1140</x:v>
      </x:c>
      <x:c r="D44" s="2" t="str">
        <x:v>Reviewer_A</x:v>
      </x:c>
      <x:c r="E44" s="2" t="str">
        <x:v>Reviewer_A</x:v>
      </x:c>
      <x:c r="F44" s="2" t="str">
        <x:v>definition</x:v>
      </x:c>
      <x:c r="G44" s="6" t="str">
        <x:v>requirements traceability (RT)</x:v>
      </x:c>
      <x:c r="H44" s="2" t="str">
        <x:v>RT</x:v>
      </x:c>
      <x:c r="I44" s="2" t="str">
        <x:v>is defined as</x:v>
      </x:c>
      <x:c r="J44" s="2" t="str">
        <x:v>the ability to link a requirement backward to its origins and forward to corresponding artifacts such as design specifications, source code, and test cases</x:v>
      </x:c>
      <x:c r="K44" s="2" t="str">
        <x:v>定义本身未涉及LLM，仅界定可追溯性概念。</x:v>
      </x:c>
      <x:c r="L44" s="2" t="str">
        <x:v>Not applicable</x:v>
      </x:c>
      <x:c r="M44" s="6" t="str">
        <x:v>NA</x:v>
      </x:c>
      <x:c r="N44" s="2" t="str">
        <x:v>需求可追溯性是指将需求向后链接到其来源，向前链接到设计规范、源代码和测试用例等制品的能力。</x:v>
      </x:c>
      <x:c r="O44" s="2" t="str">
        <x:v>RT定义</x:v>
      </x:c>
      <x:c r="P44" s="2" t="str">
        <x:v>可追溯性基本定义</x:v>
      </x:c>
      <x:c r="Q44" s="2" t="str">
        <x:v>NR</x:v>
      </x:c>
      <x:c r="R44" s="6" t="str">
        <x:v>SR</x:v>
      </x:c>
      <x:c r="S44" s="6" t="str">
        <x:v>p. 3; Section 1 Introduction</x:v>
      </x:c>
      <x:c r="T44" s="6" t="str">
        <x:v>Formally, RT is the ability to link a requirement backward to its origins and forward to corresponding artifacts such as design specifications, source code, and test cases (Antoniol et al., 2025).</x:v>
      </x:c>
      <x:c r="U44" s="6" t="str">
        <x:v>论文对需求可追溯性的标准定义，明确了链接方向（向后与向前）和典型目标制品类型。</x:v>
      </x:c>
      <x:c r="V44" s="2" t="str">
        <x:v>Accepted</x:v>
      </x:c>
      <x:c r="W44" s="6" t="str">
        <x:v>NA</x:v>
      </x:c>
    </x:row>
    <x:row r="45" ht="76" customHeight="1">
      <x:c r="A45" s="2" t="str">
        <x:v>S13-CONCEPT-R02</x:v>
      </x:c>
      <x:c r="B45" s="2" t="str">
        <x:v>S13</x:v>
      </x:c>
      <x:c r="C45" s="2" t="str">
        <x:v>merged_1140</x:v>
      </x:c>
      <x:c r="D45" s="2" t="str">
        <x:v>Reviewer_A</x:v>
      </x:c>
      <x:c r="E45" s="2" t="str">
        <x:v>Reviewer_A</x:v>
      </x:c>
      <x:c r="F45" s="2" t="str">
        <x:v>scope</x:v>
      </x:c>
      <x:c r="G45" s="6" t="str">
        <x:v>requirement-to-code traceability</x:v>
      </x:c>
      <x:c r="H45" s="2" t="str">
        <x:v>this study</x:v>
      </x:c>
      <x:c r="I45" s="2" t="str">
        <x:v>focuses on</x:v>
      </x:c>
      <x:c r="J45" s="2" t="str">
        <x:v>advancing RTLR techniques for requirement-to-code traceability</x:v>
      </x:c>
      <x:c r="K45" s="2" t="str">
        <x:v>LLM用于数据增强以改善该特定可追溯任务。</x:v>
      </x:c>
      <x:c r="L45" s="2" t="str">
        <x:v>Not applicable</x:v>
      </x:c>
      <x:c r="M45" s="6" t="str">
        <x:v>NA</x:v>
      </x:c>
      <x:c r="N45" s="2" t="str">
        <x:v>本研究聚焦于需求到代码的可追溯性链接恢复技术。</x:v>
      </x:c>
      <x:c r="O45" s="2" t="str">
        <x:v>研究范围</x:v>
      </x:c>
      <x:c r="P45" s="2" t="str">
        <x:v>问题界定</x:v>
      </x:c>
      <x:c r="Q45" s="2" t="str">
        <x:v>NR</x:v>
      </x:c>
      <x:c r="R45" s="6" t="str">
        <x:v>SR</x:v>
      </x:c>
      <x:c r="S45" s="6" t="str">
        <x:v>p. 3; Section 1 Introduction</x:v>
      </x:c>
      <x:c r="T45" s="6" t="str">
        <x:v>Therefore, this study focuses specifically on advancing RTLR techniques for requirement-to-code traceability.</x:v>
      </x:c>
      <x:c r="U45" s="6" t="str">
        <x:v>明确论文的研究范围仅限于需求与源代码之间的可追溯性，排除了其他制品对。</x:v>
      </x:c>
      <x:c r="V45" s="2" t="str">
        <x:v>Accepted</x:v>
      </x:c>
      <x:c r="W45" s="6" t="str">
        <x:v>NA</x:v>
      </x:c>
    </x:row>
    <x:row r="46" ht="76" customHeight="1">
      <x:c r="A46" s="2" t="str">
        <x:v>S13-CONCEPT-R03</x:v>
      </x:c>
      <x:c r="B46" s="2" t="str">
        <x:v>S13</x:v>
      </x:c>
      <x:c r="C46" s="2" t="str">
        <x:v>merged_1140</x:v>
      </x:c>
      <x:c r="D46" s="2" t="str">
        <x:v>Reviewer_A</x:v>
      </x:c>
      <x:c r="E46" s="2" t="str">
        <x:v>Reviewer_A</x:v>
      </x:c>
      <x:c r="F46" s="2" t="str">
        <x:v>necessary_step</x:v>
      </x:c>
      <x:c r="G46" s="6" t="str">
        <x:v>LLM-driven data augmentation</x:v>
      </x:c>
      <x:c r="H46" s="2" t="str">
        <x:v>LLM-driven data augmentation</x:v>
      </x:c>
      <x:c r="I46" s="2" t="str">
        <x:v>is a necessary step</x:v>
      </x:c>
      <x:c r="J46" s="2" t="str">
        <x:v>in the proposed framework</x:v>
      </x:c>
      <x:c r="K46" s="2" t="str">
        <x:v>LLM被用于生成合成数据，是框架的第一阶段。</x:v>
      </x:c>
      <x:c r="L46" s="2" t="str">
        <x:v>Necessary</x:v>
      </x:c>
      <x:c r="M46" s="6" t="str">
        <x:v>NA</x:v>
      </x:c>
      <x:c r="N46" s="2" t="str">
        <x:v>LLM驱动的数据增强是所提框架的必要步骤，用于扩充训练数据集。</x:v>
      </x:c>
      <x:c r="O46" s="2" t="str">
        <x:v>LLM数据增强</x:v>
      </x:c>
      <x:c r="P46" s="2" t="str">
        <x:v>框架必要步骤</x:v>
      </x:c>
      <x:c r="Q46" s="2" t="str">
        <x:v>NR</x:v>
      </x:c>
      <x:c r="R46" s="6" t="str">
        <x:v>SR</x:v>
      </x:c>
      <x:c r="S46" s="6" t="str">
        <x:v>p. 8; Section 3 Methodology</x:v>
      </x:c>
      <x:c r="T46" s="6" t="str">
        <x:v>In the first stage, we systematically augment the original dataset, which consists of manually verified traceability links, by prompting LLMs to synthesize new code artifacts from existing requirements and, conversely, new requirement descriptions from existing code artifacts.</x:v>
      </x:c>
      <x:c r="U46" s="6" t="str">
        <x:v>框架的第一阶段明确要求使用LLM生成合成数据，没有此步骤则框架不完整。</x:v>
      </x:c>
      <x:c r="V46" s="2" t="str">
        <x:v>Accepted</x:v>
      </x:c>
      <x:c r="W46" s="6" t="str">
        <x:v>NA</x:v>
      </x:c>
    </x:row>
    <x:row r="47" ht="76" customHeight="1">
      <x:c r="A47" s="2" t="str">
        <x:v>S13-CONCEPT-R04</x:v>
      </x:c>
      <x:c r="B47" s="2" t="str">
        <x:v>S13</x:v>
      </x:c>
      <x:c r="C47" s="2" t="str">
        <x:v>merged_1140</x:v>
      </x:c>
      <x:c r="D47" s="2" t="str">
        <x:v>Reviewer_A</x:v>
      </x:c>
      <x:c r="E47" s="2" t="str">
        <x:v>Reviewer_A</x:v>
      </x:c>
      <x:c r="F47" s="2" t="str">
        <x:v>boundary</x:v>
      </x:c>
      <x:c r="G47" s="6" t="str">
        <x:v>prompt engineering strategy</x:v>
      </x:c>
      <x:c r="H47" s="2" t="str">
        <x:v>prompt engineering strategy</x:v>
      </x:c>
      <x:c r="I47" s="2" t="str">
        <x:v>is the dominant performance factor</x:v>
      </x:c>
      <x:c r="J47" s="2" t="str">
        <x:v>not the choice of a specific LLM</x:v>
      </x:c>
      <x:c r="K47" s="2" t="str">
        <x:v>LLM的选择不如提示策略关键。</x:v>
      </x:c>
      <x:c r="L47" s="2" t="str">
        <x:v>Not applicable</x:v>
      </x:c>
      <x:c r="M47" s="6" t="str">
        <x:v>NA</x:v>
      </x:c>
      <x:c r="N47" s="2" t="str">
        <x:v>提示工程策略是影响性能的主导因素，而非特定LLM的选择。</x:v>
      </x:c>
      <x:c r="O47" s="2" t="str">
        <x:v>提示策略主导</x:v>
      </x:c>
      <x:c r="P47" s="2" t="str">
        <x:v>关键影响因素</x:v>
      </x:c>
      <x:c r="Q47" s="2" t="str">
        <x:v>NR</x:v>
      </x:c>
      <x:c r="R47" s="6" t="str">
        <x:v>SR</x:v>
      </x:c>
      <x:c r="S47" s="6" t="str">
        <x:v>p. 4; Section 1 Introduction (contributions)</x:v>
      </x:c>
      <x:c r="T47" s="6" t="str">
        <x:v>Our comprehensive evaluation reveals that the prompt engineering strategy is the dominant performance factor, not the choice of a specific LLM, providing a practical guide for leveraging LLMs in this context.</x:v>
      </x:c>
      <x:c r="U47" s="6" t="str">
        <x:v>该声明划定了框架有效性的边界：性能主要取决于提示设计，与特定LLM无关。</x:v>
      </x:c>
      <x:c r="V47" s="2" t="str">
        <x:v>Accepted</x:v>
      </x:c>
      <x:c r="W47" s="6" t="str">
        <x:v>NA</x:v>
      </x:c>
    </x:row>
    <x:row r="48" ht="76" customHeight="1">
      <x:c r="A48" s="2" t="str">
        <x:v>S14-CONCEPT-R01</x:v>
      </x:c>
      <x:c r="B48" s="2" t="str">
        <x:v>S14</x:v>
      </x:c>
      <x:c r="C48" s="2" t="str">
        <x:v>merged_1142-v1</x:v>
      </x:c>
      <x:c r="D48" s="2" t="str">
        <x:v>Reviewer_A</x:v>
      </x:c>
      <x:c r="E48" s="2" t="str">
        <x:v>Reviewer_A</x:v>
      </x:c>
      <x:c r="F48" s="2" t="str">
        <x:v>optional_step</x:v>
      </x:c>
      <x:c r="G48" s="6" t="str">
        <x:v>prompt-based large language models</x:v>
      </x:c>
      <x:c r="H48" s="2" t="str">
        <x:v>prompt-based large language models</x:v>
      </x:c>
      <x:c r="I48" s="2" t="str">
        <x:v>have the potential to integrate</x:v>
      </x:c>
      <x:c r="J48" s="2" t="str">
        <x:v>multi-dimensional strategy information</x:v>
      </x:c>
      <x:c r="K48" s="2" t="str">
        <x:v>LLMs通过提示模板嵌入多种辅助策略信息，辅助TLR。</x:v>
      </x:c>
      <x:c r="L48" s="2" t="str">
        <x:v>Optional</x:v>
      </x:c>
      <x:c r="M48" s="6" t="str">
        <x:v>NA</x:v>
      </x:c>
      <x:c r="N48" s="2" t="str">
        <x:v>LLMs能够通过提示模板集成多维度策略信息，辅助TLR任务。</x:v>
      </x:c>
      <x:c r="O48" s="2" t="str">
        <x:v>LLM多策略集成</x:v>
      </x:c>
      <x:c r="P48" s="2" t="str">
        <x:v>LLM-策略增强TLR</x:v>
      </x:c>
      <x:c r="Q48" s="2" t="str">
        <x:v>NR</x:v>
      </x:c>
      <x:c r="R48" s="6" t="str">
        <x:v>SR</x:v>
      </x:c>
      <x:c r="S48" s="6" t="str">
        <x:v>p. 17; Section 4.2.1</x:v>
      </x:c>
      <x:c r="T48" s="6" t="str">
        <x:v>we argue that prompt-based large language models also have the potential to integrate multi-dimensional strategy information. These models can transform strategy information into fixed-format text, supplementing the prompt description and helping the large language model obtain more accurate links.</x:v>
      </x:c>
      <x:c r="U48" s="6" t="str">
        <x:v>该声明指出LLM可以通过提示模板集成多种策略信息，以改善TLR性能。</x:v>
      </x:c>
      <x:c r="V48" s="2" t="str">
        <x:v>Accepted</x:v>
      </x:c>
      <x:c r="W48" s="6" t="str">
        <x:v>NR</x:v>
      </x:c>
    </x:row>
    <x:row r="49" ht="76" customHeight="1">
      <x:c r="A49" s="2" t="str">
        <x:v>S14-CONCEPT-R02</x:v>
      </x:c>
      <x:c r="B49" s="2" t="str">
        <x:v>S14</x:v>
      </x:c>
      <x:c r="C49" s="2" t="str">
        <x:v>merged_1142-v1</x:v>
      </x:c>
      <x:c r="D49" s="2" t="str">
        <x:v>Reviewer_A</x:v>
      </x:c>
      <x:c r="E49" s="2" t="str">
        <x:v>Reviewer_A</x:v>
      </x:c>
      <x:c r="F49" s="2" t="str">
        <x:v>scope</x:v>
      </x:c>
      <x:c r="G49" s="6" t="str">
        <x:v>prompt-learning mechanism</x:v>
      </x:c>
      <x:c r="H49" s="2" t="str">
        <x:v>Gemini 2.5 Pro</x:v>
      </x:c>
      <x:c r="I49" s="2" t="str">
        <x:v>applied to develop</x:v>
      </x:c>
      <x:c r="J49" s="2" t="str">
        <x:v>efficient TLR solution that requires no labeled data</x:v>
      </x:c>
      <x:c r="K49" s="2" t="str">
        <x:v>LLM在无监督设定下通过提示学习实现TLR。</x:v>
      </x:c>
      <x:c r="L49" s="2" t="str">
        <x:v>Optional</x:v>
      </x:c>
      <x:c r="M49" s="6" t="str">
        <x:v>NA</x:v>
      </x:c>
      <x:c r="N49" s="2" t="str">
        <x:v>LLM-based TLR可以实现无监督的追溯链路恢复，无需标注数据。</x:v>
      </x:c>
      <x:c r="O49" s="2" t="str">
        <x:v>LLM无监督TLR</x:v>
      </x:c>
      <x:c r="P49" s="2" t="str">
        <x:v>LLM-无监督TLR</x:v>
      </x:c>
      <x:c r="Q49" s="2" t="str">
        <x:v>NR</x:v>
      </x:c>
      <x:c r="R49" s="6" t="str">
        <x:v>SR</x:v>
      </x:c>
      <x:c r="S49" s="6" t="str">
        <x:v>p. 4; Section 1 (Introduction, contributions)</x:v>
      </x:c>
      <x:c r="T49" s="6" t="str">
        <x:v>in the unsupervised setting, we introduced a prompt-learning mechanism that embeds multiple auxiliary strategies as additional information into prompt templates, and applied it to the Gemini 2.5 Pro model, thereby developing an efficient TLR solution that requires no labeled data.</x:v>
      </x:c>
      <x:c r="U49" s="6" t="str">
        <x:v>该声明强调LLM可以在无监督的设定下进行TLR，无需人工标注的链接数据。</x:v>
      </x:c>
      <x:c r="V49" s="2" t="str">
        <x:v>Accepted</x:v>
      </x:c>
      <x:c r="W49" s="6" t="str">
        <x:v>NR</x:v>
      </x:c>
    </x:row>
    <x:row r="50" ht="76" customHeight="1">
      <x:c r="A50" s="2" t="str">
        <x:v>S14-CONCEPT-R03</x:v>
      </x:c>
      <x:c r="B50" s="2" t="str">
        <x:v>S14</x:v>
      </x:c>
      <x:c r="C50" s="2" t="str">
        <x:v>merged_1142-v1</x:v>
      </x:c>
      <x:c r="D50" s="2" t="str">
        <x:v>Reviewer_A</x:v>
      </x:c>
      <x:c r="E50" s="2" t="str">
        <x:v>Reviewer_A</x:v>
      </x:c>
      <x:c r="F50" s="2" t="str">
        <x:v>boundary</x:v>
      </x:c>
      <x:c r="G50" s="6" t="str">
        <x:v>multi-strategy Gemini 2.5 Pro models</x:v>
      </x:c>
      <x:c r="H50" s="2" t="str">
        <x:v>multi-strategy Gemini 2.5 Pro models</x:v>
      </x:c>
      <x:c r="I50" s="2" t="str">
        <x:v>achieved average F1-score improvements of</x:v>
      </x:c>
      <x:c r="J50" s="2" t="str">
        <x:v>8.84%</x:v>
      </x:c>
      <x:c r="K50" s="2" t="str">
        <x:v>多策略集成的Gemini 2.5 Pro模型相比SOTA方法平均F1提升8.84%。</x:v>
      </x:c>
      <x:c r="L50" s="2" t="str">
        <x:v>NA</x:v>
      </x:c>
      <x:c r="M50" s="6" t="str">
        <x:v>NA</x:v>
      </x:c>
      <x:c r="N50" s="2" t="str">
        <x:v>多策略集成的Gemini 2.5 Pro模型在需求-代码TLR上相比HGNNLink平均F1提升8.84%。</x:v>
      </x:c>
      <x:c r="O50" s="2" t="str">
        <x:v>LLM性能提升</x:v>
      </x:c>
      <x:c r="P50" s="2" t="str">
        <x:v>LLM-TLR性能边界</x:v>
      </x:c>
      <x:c r="Q50" s="2" t="str">
        <x:v>NR</x:v>
      </x:c>
      <x:c r="R50" s="6" t="str">
        <x:v>SR</x:v>
      </x:c>
      <x:c r="S50" s="6" t="str">
        <x:v>p. 1; abstract</x:v>
      </x:c>
      <x:c r="T50" s="6" t="str">
        <x:v>compared to the current state-of-the-art method HGNNLink, the multi-strategy HGT and Gemini 2.5 Pro models achieved average F1-score improvements of 3.68% and 8.84%, respectively, across twelve open-source projects</x:v>
      </x:c>
      <x:c r="U50" s="6" t="str">
        <x:v>该声明表明LLM方法在需求-代码TLR任务上可以达到较高的性能提升。</x:v>
      </x:c>
      <x:c r="V50" s="2" t="str">
        <x:v>Accepted</x:v>
      </x:c>
      <x:c r="W50" s="6" t="str">
        <x:v>NR</x:v>
      </x:c>
    </x:row>
    <x:row r="51" ht="76" customHeight="1">
      <x:c r="A51" s="2" t="str">
        <x:v>S15-CONCEPT-R01</x:v>
      </x:c>
      <x:c r="B51" s="2" t="str">
        <x:v>S15</x:v>
      </x:c>
      <x:c r="C51" s="2" t="str">
        <x:v>merged_1143</x:v>
      </x:c>
      <x:c r="D51" s="2" t="str">
        <x:v>Reviewer_A</x:v>
      </x:c>
      <x:c r="E51" s="2" t="str">
        <x:v>Reviewer_A</x:v>
      </x:c>
      <x:c r="F51" s="2" t="str">
        <x:v>definition</x:v>
      </x:c>
      <x:c r="G51" s="6" t="str">
        <x:v>goal</x:v>
      </x:c>
      <x:c r="H51" s="2" t="str">
        <x:v>goal</x:v>
      </x:c>
      <x:c r="I51" s="2" t="str">
        <x:v>is defined as</x:v>
      </x:c>
      <x:c r="J51" s="2" t="str">
        <x:v>a prescriptive statement of intent that the system should satisfy through the cooperating of its agents</x:v>
      </x:c>
      <x:c r="K51" s="2" t="str">
        <x:v>LLM用于根据该定义从文本中提取目标。</x:v>
      </x:c>
      <x:c r="L51" s="2" t="str">
        <x:v>Not applicable</x:v>
      </x:c>
      <x:c r="M51" s="6" t="str">
        <x:v>NA</x:v>
      </x:c>
      <x:c r="N51" s="2" t="str">
        <x:v>目标是一个规定性的意图陈述，系统应通过其代理的合作来满足。</x:v>
      </x:c>
      <x:c r="O51" s="2" t="str">
        <x:v>goal definition</x:v>
      </x:c>
      <x:c r="P51" s="2" t="str">
        <x:v>conceptual definition</x:v>
      </x:c>
      <x:c r="Q51" s="2" t="str">
        <x:v>NR</x:v>
      </x:c>
      <x:c r="R51" s="6" t="str">
        <x:v>SR</x:v>
      </x:c>
      <x:c r="S51" s="6" t="str">
        <x:v>p. 4; Section III.B Goal Extraction, Prompt 1 in Fig. 3</x:v>
      </x:c>
      <x:c r="T51" s="6" t="str">
        <x:v>A goal describes a prescriptive statement of intent that the system should satisfy through the cooperating of its agents.</x:v>
      </x:c>
      <x:c r="U51" s="6" t="str">
        <x:v>论文采用了van Lamsweerde对目标的定义，作为提取目标的基础。</x:v>
      </x:c>
      <x:c r="V51" s="2" t="str">
        <x:v>Accepted</x:v>
      </x:c>
      <x:c r="W51" s="6" t="str">
        <x:v>Quoted from van Lamsweerde's textbook</x:v>
      </x:c>
    </x:row>
    <x:row r="52" ht="76" customHeight="1">
      <x:c r="A52" s="2" t="str">
        <x:v>S15-CONCEPT-R02</x:v>
      </x:c>
      <x:c r="B52" s="2" t="str">
        <x:v>S15</x:v>
      </x:c>
      <x:c r="C52" s="2" t="str">
        <x:v>merged_1143</x:v>
      </x:c>
      <x:c r="D52" s="2" t="str">
        <x:v>Reviewer_A</x:v>
      </x:c>
      <x:c r="E52" s="2" t="str">
        <x:v>Reviewer_A</x:v>
      </x:c>
      <x:c r="F52" s="2" t="str">
        <x:v>scope</x:v>
      </x:c>
      <x:c r="G52" s="6" t="str">
        <x:v>goals</x:v>
      </x:c>
      <x:c r="H52" s="2" t="str">
        <x:v>goal extraction</x:v>
      </x:c>
      <x:c r="I52" s="2" t="str">
        <x:v>is constrained by</x:v>
      </x:c>
      <x:c r="J52" s="2" t="str">
        <x:v>not include references to applications, products or services</x:v>
      </x:c>
      <x:c r="K52" s="2" t="str">
        <x:v>LLM被指令在提取目标时泛化，不提及具体产品。</x:v>
      </x:c>
      <x:c r="L52" s="2" t="str">
        <x:v>Optional</x:v>
      </x:c>
      <x:c r="M52" s="6" t="str">
        <x:v>NA</x:v>
      </x:c>
      <x:c r="N52" s="2" t="str">
        <x:v>目标应以通用术语编写，不提及具体应用、产品或服务。</x:v>
      </x:c>
      <x:c r="O52" s="2" t="str">
        <x:v>goal generalization</x:v>
      </x:c>
      <x:c r="P52" s="2" t="str">
        <x:v>scope constraint</x:v>
      </x:c>
      <x:c r="Q52" s="2" t="str">
        <x:v>NR</x:v>
      </x:c>
      <x:c r="R52" s="6" t="str">
        <x:v>SR</x:v>
      </x:c>
      <x:c r="S52" s="6" t="str">
        <x:v>p. 4; Section III.B Goal Extraction, Prompt 1</x:v>
      </x:c>
      <x:c r="T52" s="6" t="str">
        <x:v>Write goals in general terms and do not include references to applications, products or services in the goal statement.</x:v>
      </x:c>
      <x:c r="U52" s="6" t="str">
        <x:v>这是一个提取范围限制，意图使目标独立于特定系统。</x:v>
      </x:c>
      <x:c r="V52" s="2" t="str">
        <x:v>Accepted</x:v>
      </x:c>
      <x:c r="W52" s="6" t="str">
        <x:v>NA</x:v>
      </x:c>
    </x:row>
    <x:row r="53" ht="76" customHeight="1">
      <x:c r="A53" s="2" t="str">
        <x:v>S15-CONCEPT-R03</x:v>
      </x:c>
      <x:c r="B53" s="2" t="str">
        <x:v>S15</x:v>
      </x:c>
      <x:c r="C53" s="2" t="str">
        <x:v>merged_1143</x:v>
      </x:c>
      <x:c r="D53" s="2" t="str">
        <x:v>Reviewer_A</x:v>
      </x:c>
      <x:c r="E53" s="2" t="str">
        <x:v>Reviewer_A</x:v>
      </x:c>
      <x:c r="F53" s="2" t="str">
        <x:v>boundary</x:v>
      </x:c>
      <x:c r="G53" s="6" t="str">
        <x:v>requirements</x:v>
      </x:c>
      <x:c r="H53" s="2" t="str">
        <x:v>requirements</x:v>
      </x:c>
      <x:c r="I53" s="2" t="str">
        <x:v>can be derived from</x:v>
      </x:c>
      <x:c r="J53" s="2" t="str">
        <x:v>multiple speaker turns</x:v>
      </x:c>
      <x:c r="K53" s="2" t="str">
        <x:v>LLM能够跨多轮对话追溯目标，不受说话者角色限制。</x:v>
      </x:c>
      <x:c r="L53" s="2" t="str">
        <x:v>Not applicable</x:v>
      </x:c>
      <x:c r="M53" s="6" t="str">
        <x:v>NA</x:v>
      </x:c>
      <x:c r="N53" s="2" t="str">
        <x:v>需求可以跨越多个说话者轮次，并且不限于利益相关者的发言。</x:v>
      </x:c>
      <x:c r="O53" s="2" t="str">
        <x:v>multi-turn traceability</x:v>
      </x:c>
      <x:c r="P53" s="2" t="str">
        <x:v>traceability boundary</x:v>
      </x:c>
      <x:c r="Q53" s="2" t="str">
        <x:v>NR</x:v>
      </x:c>
      <x:c r="R53" s="6" t="str">
        <x:v>SR</x:v>
      </x:c>
      <x:c r="S53" s="6" t="str">
        <x:v>p. 3; Section III.B Goal Extraction, paragraph before Fig. 2</x:v>
      </x:c>
      <x:c r="T53" s="6" t="str">
        <x:v>one must recognize that requirements can span multiple speaker turns and may not be limited to stakeholder turns.</x:v>
      </x:c>
      <x:c r="U53" s="6" t="str">
        <x:v>指出来访中需求可能由对话双方共同构建，追溯需考虑多轮对话。</x:v>
      </x:c>
      <x:c r="V53" s="2" t="str">
        <x:v>Accepted</x:v>
      </x:c>
      <x:c r="W53" s="6" t="str">
        <x:v>NA</x:v>
      </x:c>
    </x:row>
    <x:row r="54" ht="76" customHeight="1">
      <x:c r="A54" s="2" t="str">
        <x:v>S16-CONCEPT-R01</x:v>
      </x:c>
      <x:c r="B54" s="2" t="str">
        <x:v>S16</x:v>
      </x:c>
      <x:c r="C54" s="2" t="str">
        <x:v>merged_1144</x:v>
      </x:c>
      <x:c r="D54" s="2" t="str">
        <x:v>Reviewer_A</x:v>
      </x:c>
      <x:c r="E54" s="2" t="str">
        <x:v>Reviewer_A</x:v>
      </x:c>
      <x:c r="F54" s="2" t="str">
        <x:v>definition</x:v>
      </x:c>
      <x:c r="G54" s="6" t="str">
        <x:v>issue-commit linking</x:v>
      </x:c>
      <x:c r="H54" s="2" t="str">
        <x:v>issues</x:v>
      </x:c>
      <x:c r="I54" s="2" t="str">
        <x:v>connects</x:v>
      </x:c>
      <x:c r="J54" s="2" t="str">
        <x:v>commits that fix them</x:v>
      </x:c>
      <x:c r="K54" s="2" t="str">
        <x:v>LLM不直接参与定义；定义描述任务。</x:v>
      </x:c>
      <x:c r="L54" s="2" t="str">
        <x:v>Not applicable</x:v>
      </x:c>
      <x:c r="M54" s="6" t="str">
        <x:v>NA</x:v>
      </x:c>
      <x:c r="N54" s="2" t="str">
        <x:v>Issue-commit链接是指将issue与其修复commit建立关系。</x:v>
      </x:c>
      <x:c r="O54" s="2" t="str">
        <x:v>issue_commit_linking</x:v>
      </x:c>
      <x:c r="P54" s="2" t="str">
        <x:v>traceability_task_definition</x:v>
      </x:c>
      <x:c r="Q54" s="2" t="str">
        <x:v>NR</x:v>
      </x:c>
      <x:c r="R54" s="6" t="str">
        <x:v>SR</x:v>
      </x:c>
      <x:c r="S54" s="6" t="str">
        <x:v>p. 1; abstract</x:v>
      </x:c>
      <x:c r="T54" s="6" t="str">
        <x:v>Issue-commit linking, which connects issues with commits that fix them, is crucial for software maintenance.</x:v>
      </x:c>
      <x:c r="U54" s="6" t="str">
        <x:v>给出了issue-commit链接的标准定义。</x:v>
      </x:c>
      <x:c r="V54" s="2" t="str">
        <x:v>Accepted</x:v>
      </x:c>
      <x:c r="W54" s="6" t="str">
        <x:v>NA</x:v>
      </x:c>
    </x:row>
    <x:row r="55" ht="76" customHeight="1">
      <x:c r="A55" s="2" t="str">
        <x:v>S16-CONCEPT-R02</x:v>
      </x:c>
      <x:c r="B55" s="2" t="str">
        <x:v>S16</x:v>
      </x:c>
      <x:c r="C55" s="2" t="str">
        <x:v>merged_1144</x:v>
      </x:c>
      <x:c r="D55" s="2" t="str">
        <x:v>Reviewer_A</x:v>
      </x:c>
      <x:c r="E55" s="2" t="str">
        <x:v>Reviewer_A</x:v>
      </x:c>
      <x:c r="F55" s="2" t="str">
        <x:v>necessary_step</x:v>
      </x:c>
      <x:c r="G55" s="6" t="str">
        <x:v>LLM-assisted reranking</x:v>
      </x:c>
      <x:c r="H55" s="2" t="str">
        <x:v>LLM</x:v>
      </x:c>
      <x:c r="I55" s="2" t="str">
        <x:v>bridges</x:v>
      </x:c>
      <x:c r="J55" s="2" t="str">
        <x:v>semantic gap between issues and commits</x:v>
      </x:c>
      <x:c r="K55" s="2" t="str">
        <x:v>LLM用于对向量数据库检索到的提交进行重排序，以弥合语义差距。</x:v>
      </x:c>
      <x:c r="L55" s="2" t="str">
        <x:v>Necessary</x:v>
      </x:c>
      <x:c r="M55" s="6" t="str">
        <x:v>NA</x:v>
      </x:c>
      <x:c r="N55" s="2" t="str">
        <x:v>LLM重排序是弥合issue-commit间语义差距的必要步骤。</x:v>
      </x:c>
      <x:c r="O55" s="2" t="str">
        <x:v>LLM_reranking</x:v>
      </x:c>
      <x:c r="P55" s="2" t="str">
        <x:v>semantic_gap_bridging</x:v>
      </x:c>
      <x:c r="Q55" s="2" t="str">
        <x:v>NR</x:v>
      </x:c>
      <x:c r="R55" s="6" t="str">
        <x:v>SR</x:v>
      </x:c>
      <x:c r="S55" s="6" t="str">
        <x:v>p. 2; Section 4.2</x:v>
      </x:c>
      <x:c r="T55" s="6" t="str">
        <x:v>We use LLMs for their strong ability to capture the semantic relationship between issues and commits, bridging the semantic gap</x:v>
      </x:c>
      <x:c r="U55" s="6" t="str">
        <x:v>论文声称LLM重排序步骤对于解决issue与commit之间的语义差距是必要的。</x:v>
      </x:c>
      <x:c r="V55" s="2" t="str">
        <x:v>Accepted</x:v>
      </x:c>
      <x:c r="W55" s="6" t="str">
        <x:v>NA</x:v>
      </x:c>
    </x:row>
    <x:row r="56" ht="76" customHeight="1">
      <x:c r="A56" s="2" t="str">
        <x:v>S17-CONCEPT-R01</x:v>
      </x:c>
      <x:c r="B56" s="2" t="str">
        <x:v>S17</x:v>
      </x:c>
      <x:c r="C56" s="2" t="str">
        <x:v>merged_1148-v1</x:v>
      </x:c>
      <x:c r="D56" s="2" t="str">
        <x:v>Reviewer_A</x:v>
      </x:c>
      <x:c r="E56" s="2" t="str">
        <x:v>Reviewer_A</x:v>
      </x:c>
      <x:c r="F56" s="2" t="str">
        <x:v>definition</x:v>
      </x:c>
      <x:c r="G56" s="6" t="str">
        <x:v>requirement traceability</x:v>
      </x:c>
      <x:c r="H56" s="2" t="str">
        <x:v>requirement</x:v>
      </x:c>
      <x:c r="I56" s="2" t="str">
        <x:v>ability to describe and follow the life</x:v>
      </x:c>
      <x:c r="J56" s="2" t="str">
        <x:v>its origins, through its development and specification, to its subsequent deployment and use</x:v>
      </x:c>
      <x:c r="K56" s="2" t="str">
        <x:v>该定义未直接涉及LLM，为传统可追溯性定义。</x:v>
      </x:c>
      <x:c r="L56" s="2" t="str">
        <x:v>Not applicable</x:v>
      </x:c>
      <x:c r="M56" s="6" t="str">
        <x:v>NA</x:v>
      </x:c>
      <x:c r="N56" s="2" t="str">
        <x:v>需求可追溯性定义为描述和跟随需求生命周期（从起源到部署使用）的能力。</x:v>
      </x:c>
      <x:c r="O56" s="2" t="str">
        <x:v>DEF_TRACE</x:v>
      </x:c>
      <x:c r="P56" s="2" t="str">
        <x:v>可追溯性定义</x:v>
      </x:c>
      <x:c r="Q56" s="2" t="str">
        <x:v>NR</x:v>
      </x:c>
      <x:c r="R56" s="6" t="str">
        <x:v>SR</x:v>
      </x:c>
      <x:c r="S56" s="6" t="str">
        <x:v>p. 1; Section I</x:v>
      </x:c>
      <x:c r="T56" s="6" t="str">
        <x:v>Gotel et al. [5] define requirement traceability as “the ability to describe and follow the life of a requirement (i.e., from its origins, through its development and specification, to its subsequent deployment and use” [5].</x:v>
      </x:c>
      <x:c r="U56" s="6" t="str">
        <x:v>直接引用经典定义，为LLM4ST研究提供可追溯性概念基础。</x:v>
      </x:c>
      <x:c r="V56" s="2" t="str">
        <x:v>Accepted</x:v>
      </x:c>
      <x:c r="W56" s="6" t="str">
        <x:v>NR</x:v>
      </x:c>
    </x:row>
    <x:row r="57" ht="76" customHeight="1">
      <x:c r="A57" s="2" t="str">
        <x:v>S17-CONCEPT-R02</x:v>
      </x:c>
      <x:c r="B57" s="2" t="str">
        <x:v>S17</x:v>
      </x:c>
      <x:c r="C57" s="2" t="str">
        <x:v>merged_1148-v1</x:v>
      </x:c>
      <x:c r="D57" s="2" t="str">
        <x:v>Reviewer_A</x:v>
      </x:c>
      <x:c r="E57" s="2" t="str">
        <x:v>Reviewer_A</x:v>
      </x:c>
      <x:c r="F57" s="2" t="str">
        <x:v>scope</x:v>
      </x:c>
      <x:c r="G57" s="6" t="str">
        <x:v>automated linking of artifacts</x:v>
      </x:c>
      <x:c r="H57" s="2" t="str">
        <x:v>LLM</x:v>
      </x:c>
      <x:c r="I57" s="2" t="str">
        <x:v>tests whether should be linked</x:v>
      </x:c>
      <x:c r="J57" s="2" t="str">
        <x:v>hazard-loss pairs</x:v>
      </x:c>
      <x:c r="K57" s="2" t="str">
        <x:v>LLM用于判断既有危害与损失之间是否应建立追溯链接。</x:v>
      </x:c>
      <x:c r="L57" s="2" t="str">
        <x:v>Optional</x:v>
      </x:c>
      <x:c r="M57" s="6" t="str">
        <x:v>NA</x:v>
      </x:c>
      <x:c r="N57" s="2" t="str">
        <x:v>LLM可用于自动检查危害与损失间的链接建议，以辅助人类工程师。</x:v>
      </x:c>
      <x:c r="O57" s="2" t="str">
        <x:v>SCOPE_LINKING</x:v>
      </x:c>
      <x:c r="P57" s="2" t="str">
        <x:v>LLM辅助链接建立</x:v>
      </x:c>
      <x:c r="Q57" s="2" t="str">
        <x:v>NR</x:v>
      </x:c>
      <x:c r="R57" s="6" t="str">
        <x:v>SR</x:v>
      </x:c>
      <x:c r="S57" s="6" t="str">
        <x:v>p. 6; Section IV-B</x:v>
      </x:c>
      <x:c r="T57" s="6" t="str">
        <x:v>we also explore the use of LLMs for uses other than purely generative ones, namely testing if a definition should be linked to another.</x:v>
      </x:c>
      <x:c r="U57" s="6" t="str">
        <x:v>明确将LLM应用范围扩展到非生成式任务，即追溯链接分类。</x:v>
      </x:c>
      <x:c r="V57" s="2" t="str">
        <x:v>Accepted</x:v>
      </x:c>
      <x:c r="W57" s="6" t="str">
        <x:v>NR</x:v>
      </x:c>
    </x:row>
    <x:row r="58" ht="76" customHeight="1">
      <x:c r="A58" s="2" t="str">
        <x:v>S18-CONCEPT-R01</x:v>
      </x:c>
      <x:c r="B58" s="2" t="str">
        <x:v>S18</x:v>
      </x:c>
      <x:c r="C58" s="2" t="str">
        <x:v>merged_1149</x:v>
      </x:c>
      <x:c r="D58" s="2" t="str">
        <x:v>Reviewer_A</x:v>
      </x:c>
      <x:c r="E58" s="2" t="str">
        <x:v>Reviewer_A</x:v>
      </x:c>
      <x:c r="F58" s="2" t="str">
        <x:v>definition</x:v>
      </x:c>
      <x:c r="G58" s="6" t="str">
        <x:v>LRT</x:v>
      </x:c>
      <x:c r="H58" s="2" t="str">
        <x:v>LRT</x:v>
      </x:c>
      <x:c r="I58" s="2" t="str">
        <x:v>is defined as</x:v>
      </x:c>
      <x:c r="J58" s="2" t="str">
        <x:v>task of classifying candidate links into trace links or not trace links</x:v>
      </x:c>
      <x:c r="K58" s="2" t="str">
        <x:v>定义本身未指定模型，但本文通过LLM执行分类。</x:v>
      </x:c>
      <x:c r="L58" s="2" t="str">
        <x:v>Not applicable</x:v>
      </x:c>
      <x:c r="M58" s="6" t="str">
        <x:v>NA</x:v>
      </x:c>
      <x:c r="N58" s="2" t="str">
        <x:v>LRT是将候选链接分类为追溯链接或非追溯链接的任务。</x:v>
      </x:c>
      <x:c r="O58" s="2" t="str">
        <x:v>LRT_definition</x:v>
      </x:c>
      <x:c r="P58" s="2" t="str">
        <x:v>task formulation</x:v>
      </x:c>
      <x:c r="Q58" s="2" t="str">
        <x:v>NR</x:v>
      </x:c>
      <x:c r="R58" s="6" t="str">
        <x:v>SR</x:v>
      </x:c>
      <x:c r="S58" s="6" t="str">
        <x:v>p. 5; Section 3.1</x:v>
      </x:c>
      <x:c r="T58" s="6" t="str">
        <x:v>LRT is then defined as the task of classifying the candidate links into trace links (denoted as → (ri , cj )) or not trace links (denoted as ̸→ (ri , cj )).</x:v>
      </x:c>
      <x:c r="U58" s="6" t="str">
        <x:v>明确给出LRT的形式化定义。</x:v>
      </x:c>
      <x:c r="V58" s="2" t="str">
        <x:v>Accepted</x:v>
      </x:c>
      <x:c r="W58" s="6" t="str">
        <x:v>NA</x:v>
      </x:c>
    </x:row>
    <x:row r="59" ht="76" customHeight="1">
      <x:c r="A59" s="2" t="str">
        <x:v>S18-CONCEPT-R02</x:v>
      </x:c>
      <x:c r="B59" s="2" t="str">
        <x:v>S18</x:v>
      </x:c>
      <x:c r="C59" s="2" t="str">
        <x:v>merged_1149</x:v>
      </x:c>
      <x:c r="D59" s="2" t="str">
        <x:v>Reviewer_A</x:v>
      </x:c>
      <x:c r="E59" s="2" t="str">
        <x:v>Reviewer_A</x:v>
      </x:c>
      <x:c r="F59" s="2" t="str">
        <x:v>scope</x:v>
      </x:c>
      <x:c r="G59" s="6" t="str">
        <x:v>automated approaches</x:v>
      </x:c>
      <x:c r="H59" s="2" t="str">
        <x:v>Kashif and Rice LRT</x:v>
      </x:c>
      <x:c r="I59" s="2" t="str">
        <x:v>are based on</x:v>
      </x:c>
      <x:c r="J59" s="2" t="str">
        <x:v>LLMs</x:v>
      </x:c>
      <x:c r="K59" s="2" t="str">
        <x:v>两种方法均声称基于LLM，但Kashif实际使用句子变换器而非生成式LLM。</x:v>
      </x:c>
      <x:c r="L59" s="2" t="str">
        <x:v>Necessary</x:v>
      </x:c>
      <x:c r="M59" s="6" t="str">
        <x:v>NA</x:v>
      </x:c>
      <x:c r="N59" s="2" t="str">
        <x:v>本文提出两种基于LLM的自动化方法。</x:v>
      </x:c>
      <x:c r="O59" s="2" t="str">
        <x:v>LLM-based methods</x:v>
      </x:c>
      <x:c r="P59" s="2" t="str">
        <x:v>methodology scope</x:v>
      </x:c>
      <x:c r="Q59" s="2" t="str">
        <x:v>NR</x:v>
      </x:c>
      <x:c r="R59" s="6" t="str">
        <x:v>SR</x:v>
      </x:c>
      <x:c r="S59" s="6" t="str">
        <x:v>p. 3; Section 1 (Contributions)</x:v>
      </x:c>
      <x:c r="T59" s="6" t="str">
        <x:v>We devise two automated approaches (Section 3) for predicting trace links between requirements and provisions based on LLMs.</x:v>
      </x:c>
      <x:c r="U59" s="6" t="str">
        <x:v>声明两种方法都基于LLM，但Kashif并非生成式LLM。</x:v>
      </x:c>
      <x:c r="V59" s="2" t="str">
        <x:v>Accepted</x:v>
      </x:c>
      <x:c r="W59" s="6" t="str">
        <x:v>NA</x:v>
      </x:c>
    </x:row>
    <x:row r="60" ht="76" customHeight="1">
      <x:c r="A60" s="2" t="str">
        <x:v>S18-CONCEPT-R03</x:v>
      </x:c>
      <x:c r="B60" s="2" t="str">
        <x:v>S18</x:v>
      </x:c>
      <x:c r="C60" s="2" t="str">
        <x:v>merged_1149</x:v>
      </x:c>
      <x:c r="D60" s="2" t="str">
        <x:v>Reviewer_A</x:v>
      </x:c>
      <x:c r="E60" s="2" t="str">
        <x:v>Reviewer_A</x:v>
      </x:c>
      <x:c r="F60" s="2" t="str">
        <x:v>necessary_step</x:v>
      </x:c>
      <x:c r="G60" s="6" t="str">
        <x:v>prompt design</x:v>
      </x:c>
      <x:c r="H60" s="2" t="str">
        <x:v>Rice LRT</x:v>
      </x:c>
      <x:c r="I60" s="2" t="str">
        <x:v>requires</x:v>
      </x:c>
      <x:c r="J60" s="2" t="str">
        <x:v>engineered prompt using Rice framework and few-shot examples</x:v>
      </x:c>
      <x:c r="K60" s="2" t="str">
        <x:v>提示工程是LLM应用于追溯的必要步骤。</x:v>
      </x:c>
      <x:c r="L60" s="2" t="str">
        <x:v>Necessary</x:v>
      </x:c>
      <x:c r="M60" s="6" t="str">
        <x:v>NA</x:v>
      </x:c>
      <x:c r="N60" s="2" t="str">
        <x:v>Rice LRT方法中，精心设计的提示是必要的。</x:v>
      </x:c>
      <x:c r="O60" s="2" t="str">
        <x:v>prompt_engineering_necessary</x:v>
      </x:c>
      <x:c r="P60" s="2" t="str">
        <x:v>prompt design step</x:v>
      </x:c>
      <x:c r="Q60" s="2" t="str">
        <x:v>NR</x:v>
      </x:c>
      <x:c r="R60" s="6" t="str">
        <x:v>SR</x:v>
      </x:c>
      <x:c r="S60" s="6" t="str">
        <x:v>p. 7; Section 3.3 Step 1</x:v>
      </x:c>
      <x:c r="T60" s="6" t="str">
        <x:v>To design the prompt, we followed the Rice (Role, Instruction, Context, Constraints, Examples) framework, with some small adaptations to the LRT task</x:v>
      </x:c>
      <x:c r="U60" s="6" t="str">
        <x:v>明确说明遵循Rice框架设计提示。</x:v>
      </x:c>
      <x:c r="V60" s="2" t="str">
        <x:v>Accepted</x:v>
      </x:c>
      <x:c r="W60" s="6" t="str">
        <x:v>NA</x:v>
      </x:c>
    </x:row>
    <x:row r="61" ht="76" customHeight="1">
      <x:c r="A61" s="2" t="str">
        <x:v>S18-CONCEPT-R04</x:v>
      </x:c>
      <x:c r="B61" s="2" t="str">
        <x:v>S18</x:v>
      </x:c>
      <x:c r="C61" s="2" t="str">
        <x:v>merged_1149</x:v>
      </x:c>
      <x:c r="D61" s="2" t="str">
        <x:v>Reviewer_A</x:v>
      </x:c>
      <x:c r="E61" s="2" t="str">
        <x:v>Reviewer_A</x:v>
      </x:c>
      <x:c r="F61" s="2" t="str">
        <x:v>necessary_step</x:v>
      </x:c>
      <x:c r="G61" s="6" t="str">
        <x:v>few-shot examples</x:v>
      </x:c>
      <x:c r="H61" s="2" t="str">
        <x:v>Rice LRT</x:v>
      </x:c>
      <x:c r="I61" s="2" t="str">
        <x:v>requires</x:v>
      </x:c>
      <x:c r="J61" s="2" t="str">
        <x:v>5 example requirements with trace links and rationale</x:v>
      </x:c>
      <x:c r="K61" s="2" t="str">
        <x:v>提供示例以激活LLM的推理能力。</x:v>
      </x:c>
      <x:c r="L61" s="2" t="str">
        <x:v>Necessary</x:v>
      </x:c>
      <x:c r="M61" s="6" t="str">
        <x:v>NA</x:v>
      </x:c>
      <x:c r="N61" s="2" t="str">
        <x:v>Rice LRT使用少样本示例来触发LLM推理。</x:v>
      </x:c>
      <x:c r="O61" s="2" t="str">
        <x:v>few_shot_examples_necessary</x:v>
      </x:c>
      <x:c r="P61" s="2" t="str">
        <x:v>few-shot prompting</x:v>
      </x:c>
      <x:c r="Q61" s="2" t="str">
        <x:v>NR</x:v>
      </x:c>
      <x:c r="R61" s="6" t="str">
        <x:v>SR</x:v>
      </x:c>
      <x:c r="S61" s="6" t="str">
        <x:v>p. 9; Section 3.3 Step 2</x:v>
      </x:c>
      <x:c r="T61" s="6" t="str">
        <x:v>To effectively trigger the reasoning of the LLM, we built five examples by exposing both the labels (i.e., trace links) and the rationale for selecting them.</x:v>
      </x:c>
      <x:c r="U61" s="6" t="str">
        <x:v>构建五个示例以提供标签和理由，激发LLM推理。</x:v>
      </x:c>
      <x:c r="V61" s="2" t="str">
        <x:v>Accepted</x:v>
      </x:c>
      <x:c r="W61" s="6" t="str">
        <x:v>NA</x:v>
      </x:c>
    </x:row>
    <x:row r="62" ht="76" customHeight="1">
      <x:c r="A62" s="2" t="str">
        <x:v>S18-CONCEPT-R05</x:v>
      </x:c>
      <x:c r="B62" s="2" t="str">
        <x:v>S18</x:v>
      </x:c>
      <x:c r="C62" s="2" t="str">
        <x:v>merged_1149</x:v>
      </x:c>
      <x:c r="D62" s="2" t="str">
        <x:v>Reviewer_A</x:v>
      </x:c>
      <x:c r="E62" s="2" t="str">
        <x:v>Reviewer_A</x:v>
      </x:c>
      <x:c r="F62" s="2" t="str">
        <x:v>boundary</x:v>
      </x:c>
      <x:c r="G62" s="6" t="str">
        <x:v>deeper semantic relationships</x:v>
      </x:c>
      <x:c r="H62" s="2" t="str">
        <x:v>LRT task</x:v>
      </x:c>
      <x:c r="I62" s="2" t="str">
        <x:v>requires</x:v>
      </x:c>
      <x:c r="J62" s="2" t="str">
        <x:v>capturing deeper semantic relationships beyond lexical overlap</x:v>
      </x:c>
      <x:c r="K62" s="2" t="str">
        <x:v>LLM被认为能够捕捉深层语义关系。</x:v>
      </x:c>
      <x:c r="L62" s="2" t="str">
        <x:v>Necessary</x:v>
      </x:c>
      <x:c r="M62" s="6" t="str">
        <x:v>NA</x:v>
      </x:c>
      <x:c r="N62" s="2" t="str">
        <x:v>LRT任务需要捕捉深层语义关系，传统词法方法不足。</x:v>
      </x:c>
      <x:c r="O62" s="2" t="str">
        <x:v>deep_semantics_required</x:v>
      </x:c>
      <x:c r="P62" s="2" t="str">
        <x:v>task boundary</x:v>
      </x:c>
      <x:c r="Q62" s="2" t="str">
        <x:v>NR</x:v>
      </x:c>
      <x:c r="R62" s="6" t="str">
        <x:v>SR</x:v>
      </x:c>
      <x:c r="S62" s="6" t="str">
        <x:v>p. 3; Section 1</x:v>
      </x:c>
      <x:c r="T62" s="6" t="str">
        <x:v>struggle to capture deeper semantic relationships, which are required in LRT, as the language used in legal texts often differs significantly</x:v>
      </x:c>
      <x:c r="U62" s="6" t="str">
        <x:v>强调LRT需要深层语义理解，传统方法不足。</x:v>
      </x:c>
      <x:c r="V62" s="2" t="str">
        <x:v>Accepted</x:v>
      </x:c>
      <x:c r="W62" s="6" t="str">
        <x:v>NA</x:v>
      </x:c>
    </x:row>
    <x:row r="63" ht="76" customHeight="1">
      <x:c r="A63" s="2" t="str">
        <x:v>S19-CONCEPT-R01</x:v>
      </x:c>
      <x:c r="B63" s="2" t="str">
        <x:v>S19</x:v>
      </x:c>
      <x:c r="C63" s="2" t="str">
        <x:v>merged_1150</x:v>
      </x:c>
      <x:c r="D63" s="2" t="str">
        <x:v>Reviewer_A</x:v>
      </x:c>
      <x:c r="E63" s="2" t="str">
        <x:v>Reviewer_A</x:v>
      </x:c>
      <x:c r="F63" s="2" t="str">
        <x:v>definition</x:v>
      </x:c>
      <x:c r="G63" s="6" t="str">
        <x:v>Requirements smells</x:v>
      </x:c>
      <x:c r="H63" s="2" t="str">
        <x:v>requirements smells</x:v>
      </x:c>
      <x:c r="I63" s="2" t="str">
        <x:v>refer to</x:v>
      </x:c>
      <x:c r="J63" s="2" t="str">
        <x:v>patterns or characteristics in software requirements that indicate potential issues, leading to problems in downstream development activities</x:v>
      </x:c>
      <x:c r="K63" s="2" t="str">
        <x:v>需求气味在用于提示LLM时可能影响输出质量，但定义本身不涉及LLM。</x:v>
      </x:c>
      <x:c r="L63" s="2" t="str">
        <x:v>Not applicable</x:v>
      </x:c>
      <x:c r="M63" s="6" t="str">
        <x:v>NA</x:v>
      </x:c>
      <x:c r="N63" s="2" t="str">
        <x:v>需求气味是软件需求中指示潜在问题的模式或特征。</x:v>
      </x:c>
      <x:c r="O63" s="2" t="str">
        <x:v>Requirements smells definition</x:v>
      </x:c>
      <x:c r="P63" s="2" t="str">
        <x:v>Conceptual definition</x:v>
      </x:c>
      <x:c r="Q63" s="2" t="str">
        <x:v>NR</x:v>
      </x:c>
      <x:c r="R63" s="6" t="str">
        <x:v>SR</x:v>
      </x:c>
      <x:c r="S63" s="6" t="str">
        <x:v>p. 1; Section I Introduction</x:v>
      </x:c>
      <x:c r="T63" s="6" t="str">
        <x:v>“Requirements smells” refer to patterns or characteristics in software requirements that indicate potential issues, leading to problems in downstream development activities [5].</x:v>
      </x:c>
      <x:c r="U63" s="6" t="str">
        <x:v>本文采用的需求气味标准定义。</x:v>
      </x:c>
      <x:c r="V63" s="2" t="str">
        <x:v>Accepted</x:v>
      </x:c>
      <x:c r="W63" s="6" t="str">
        <x:v>NA</x:v>
      </x:c>
    </x:row>
    <x:row r="64" ht="76" customHeight="1">
      <x:c r="A64" s="2" t="str">
        <x:v>S19-CONCEPT-R02</x:v>
      </x:c>
      <x:c r="B64" s="2" t="str">
        <x:v>S19</x:v>
      </x:c>
      <x:c r="C64" s="2" t="str">
        <x:v>merged_1150</x:v>
      </x:c>
      <x:c r="D64" s="2" t="str">
        <x:v>Reviewer_A</x:v>
      </x:c>
      <x:c r="E64" s="2" t="str">
        <x:v>Reviewer_A</x:v>
      </x:c>
      <x:c r="F64" s="2" t="str">
        <x:v>boundary</x:v>
      </x:c>
      <x:c r="G64" s="6" t="str">
        <x:v>requirements smells in prompts</x:v>
      </x:c>
      <x:c r="H64" s="2" t="str">
        <x:v>requirements smells</x:v>
      </x:c>
      <x:c r="I64" s="2" t="str">
        <x:v>impact on</x:v>
      </x:c>
      <x:c r="J64" s="2" t="str">
        <x:v>LLM performance in SE tasks</x:v>
      </x:c>
      <x:c r="K64" s="2" t="str">
        <x:v>LLM作为下游任务的执行者，其性能受提示中需求气味影响。</x:v>
      </x:c>
      <x:c r="L64" s="2" t="str">
        <x:v>Not applicable</x:v>
      </x:c>
      <x:c r="M64" s="6" t="str">
        <x:v>NA</x:v>
      </x:c>
      <x:c r="N64" s="2" t="str">
        <x:v>研究界限为需求气味在提示中对LLM性能的影响。</x:v>
      </x:c>
      <x:c r="O64" s="2" t="str">
        <x:v>Study boundary</x:v>
      </x:c>
      <x:c r="P64" s="2" t="str">
        <x:v>Scope</x:v>
      </x:c>
      <x:c r="Q64" s="2" t="str">
        <x:v>NR</x:v>
      </x:c>
      <x:c r="R64" s="6" t="str">
        <x:v>SR</x:v>
      </x:c>
      <x:c r="S64" s="6" t="str">
        <x:v>p. 1; Section I Introduction</x:v>
      </x:c>
      <x:c r="T64" s="6" t="str">
        <x:v>Our new idea is to examine the potential role of requirements smells—indicators of issues like ambiguity or inconsistency in natural language (NL) requirements—in prompt</x:v>
      </x:c>
      <x:c r="U64" s="6" t="str">
        <x:v>文章明确界定研究范围。</x:v>
      </x:c>
      <x:c r="V64" s="2" t="str">
        <x:v>Accepted</x:v>
      </x:c>
      <x:c r="W64" s="6" t="str">
        <x:v>NA</x:v>
      </x:c>
    </x:row>
    <x:row r="65" ht="76" customHeight="1">
      <x:c r="A65" s="2" t="str">
        <x:v>S19-CONCEPT-R03</x:v>
      </x:c>
      <x:c r="B65" s="2" t="str">
        <x:v>S19</x:v>
      </x:c>
      <x:c r="C65" s="2" t="str">
        <x:v>merged_1150</x:v>
      </x:c>
      <x:c r="D65" s="2" t="str">
        <x:v>Reviewer_A</x:v>
      </x:c>
      <x:c r="E65" s="2" t="str">
        <x:v>Reviewer_A</x:v>
      </x:c>
      <x:c r="F65" s="2" t="str">
        <x:v>scope</x:v>
      </x:c>
      <x:c r="G65" s="6" t="str">
        <x:v>Automated Traceability</x:v>
      </x:c>
      <x:c r="H65" s="2" t="str">
        <x:v>LLMs</x:v>
      </x:c>
      <x:c r="I65" s="2" t="str">
        <x:v>led to considerably better results in solving</x:v>
      </x:c>
      <x:c r="J65" s="2" t="str">
        <x:v>trace link recovery</x:v>
      </x:c>
      <x:c r="K65" s="2" t="str">
        <x:v>LLM直接用于解决追踪链路恢复任务。</x:v>
      </x:c>
      <x:c r="L65" s="2" t="str">
        <x:v>Not applicable</x:v>
      </x:c>
      <x:c r="M65" s="6" t="str">
        <x:v>NA</x:v>
      </x:c>
      <x:c r="N65" s="2" t="str">
        <x:v>LLM在自动化追踪链路恢复中取得了显著更好的结果。</x:v>
      </x:c>
      <x:c r="O65" s="2" t="str">
        <x:v>LLM role in traceability</x:v>
      </x:c>
      <x:c r="P65" s="2" t="str">
        <x:v>State of the art</x:v>
      </x:c>
      <x:c r="Q65" s="2" t="str">
        <x:v>NR</x:v>
      </x:c>
      <x:c r="R65" s="6" t="str">
        <x:v>SR</x:v>
      </x:c>
      <x:c r="S65" s="6" t="str">
        <x:v>p. 2; Section II Background and Related Work</x:v>
      </x:c>
      <x:c r="T65" s="6" t="str">
        <x:v>LLMs have led to considerably better results in solving trace link recovery (TLR) as a classification task [6].</x:v>
      </x:c>
      <x:c r="U65" s="6" t="str">
        <x:v>强调LLM在该任务上的有效性。</x:v>
      </x:c>
      <x:c r="V65" s="2" t="str">
        <x:v>Accepted</x:v>
      </x:c>
      <x:c r="W65" s="6" t="str">
        <x:v>NA</x:v>
      </x:c>
    </x:row>
    <x:row r="66" ht="76" customHeight="1">
      <x:c r="A66" s="2" t="str">
        <x:v>S20-CONCEPT-R01</x:v>
      </x:c>
      <x:c r="B66" s="2" t="str">
        <x:v>S20</x:v>
      </x:c>
      <x:c r="C66" s="2" t="str">
        <x:v>merged_1151-v1</x:v>
      </x:c>
      <x:c r="D66" s="2" t="str">
        <x:v>Reviewer_A</x:v>
      </x:c>
      <x:c r="E66" s="2" t="str">
        <x:v>Reviewer_A</x:v>
      </x:c>
      <x:c r="F66" s="2" t="str">
        <x:v>definition</x:v>
      </x:c>
      <x:c r="G66" s="6" t="str">
        <x:v>Traceability</x:v>
      </x:c>
      <x:c r="H66" s="2" t="str">
        <x:v>each requirement</x:v>
      </x:c>
      <x:c r="I66" s="2" t="str">
        <x:v>link to</x:v>
      </x:c>
      <x:c r="J66" s="2" t="str">
        <x:v>its origin, such as stakeholder needs or higher-level specifications</x:v>
      </x:c>
      <x:c r="K66" s="2" t="str">
        <x:v>论文使用LLM（GPT-4o和GPT-4o-mini）作为核心组件，通过Graph-RAG检索相关参考文本，并使用提示工程进行推理，以建立需求与高层规范之间的追溯链接并验证合规性。</x:v>
      </x:c>
      <x:c r="L66" s="2" t="str">
        <x:v>Not applicable</x:v>
      </x:c>
      <x:c r="M66" s="6" t="str">
        <x:v>NA</x:v>
      </x:c>
      <x:c r="N66" s="2" t="str">
        <x:v>需求追溯性是指将每个需求与其来源（如利益相关者需求或高层规范）以及相应的设计、实现和测试元素进行链接的能力。</x:v>
      </x:c>
      <x:c r="O66" s="2" t="str">
        <x:v>traceability definition</x:v>
      </x:c>
      <x:c r="P66" s="2" t="str">
        <x:v>traceability concept</x:v>
      </x:c>
      <x:c r="Q66" s="2" t="str">
        <x:v>NR</x:v>
      </x:c>
      <x:c r="R66" s="6" t="str">
        <x:v>SR</x:v>
      </x:c>
      <x:c r="S66" s="6" t="str">
        <x:v>p. 4; Section 2.1</x:v>
      </x:c>
      <x:c r="T66" s="6" t="str">
        <x:v>Traceability is a fundamental quality attribute of an SRS as defined in (Institute of Electrical and Electronics Engineers (IEEE), 1998). It refers to the ability to link each requirement to its origin, such as stakeholder needs or higher-level specifications, and to corresponding design, implementation, and testing elements.</x:v>
      </x:c>
      <x:c r="U66" s="6" t="str">
        <x:v>论文明确定义了软件需求追溯性，并将其作为SRS的基本质量属性，为本研究的合规检查奠定概念基础。</x:v>
      </x:c>
      <x:c r="V66" s="2" t="str">
        <x:v>Accepted</x:v>
      </x:c>
      <x:c r="W66" s="6" t="str">
        <x:v>NA</x:v>
      </x:c>
    </x:row>
    <x:row r="67" ht="76" customHeight="1">
      <x:c r="A67" s="2" t="str">
        <x:v>S20-CONCEPT-R02</x:v>
      </x:c>
      <x:c r="B67" s="2" t="str">
        <x:v>S20</x:v>
      </x:c>
      <x:c r="C67" s="2" t="str">
        <x:v>merged_1151-v1</x:v>
      </x:c>
      <x:c r="D67" s="2" t="str">
        <x:v>Reviewer_A</x:v>
      </x:c>
      <x:c r="E67" s="2" t="str">
        <x:v>Reviewer_A</x:v>
      </x:c>
      <x:c r="F67" s="2" t="str">
        <x:v>boundary</x:v>
      </x:c>
      <x:c r="G67" s="6" t="str">
        <x:v>Graph-RAG effectiveness</x:v>
      </x:c>
      <x:c r="H67" s="2" t="str">
        <x:v>effectiveness</x:v>
      </x:c>
      <x:c r="I67" s="2" t="str">
        <x:v>relies on</x:v>
      </x:c>
      <x:c r="J67" s="2" t="str">
        <x:v>complete and accurate input data</x:v>
      </x:c>
      <x:c r="K67" s="2" t="str">
        <x:v>Graph-RAG使用LLM进行实体提取和总结，因此输入数据的质量直接影响知识图谱的构建和后续检索。</x:v>
      </x:c>
      <x:c r="L67" s="2" t="str">
        <x:v>Necessary</x:v>
      </x:c>
      <x:c r="M67" s="6" t="str">
        <x:v>NA</x:v>
      </x:c>
      <x:c r="N67" s="2" t="str">
        <x:v>Graph-RAG框架的有效性严重依赖于输入数据的完整性和准确性。</x:v>
      </x:c>
      <x:c r="O67" s="2" t="str">
        <x:v>data quality boundary</x:v>
      </x:c>
      <x:c r="P67" s="2" t="str">
        <x:v>limitation</x:v>
      </x:c>
      <x:c r="Q67" s="2" t="str">
        <x:v>NR</x:v>
      </x:c>
      <x:c r="R67" s="6" t="str">
        <x:v>SR</x:v>
      </x:c>
      <x:c r="S67" s="6" t="str">
        <x:v>p. 21; Section 6.1</x:v>
      </x:c>
      <x:c r="T67" s="6" t="str">
        <x:v>The effectiveness of Graph-RAG systems heavily relies on the quality and completeness of the input data.</x:v>
      </x:c>
      <x:c r="U67" s="6" t="str">
        <x:v>论文明确指出Graph-RAG方法的一个关键局限性是对输入数据质量的依赖。</x:v>
      </x:c>
      <x:c r="V67" s="2" t="str">
        <x:v>Accepted</x:v>
      </x:c>
      <x:c r="W67" s="6" t="str">
        <x:v>NA</x:v>
      </x:c>
    </x:row>
    <x:row r="68" ht="76" customHeight="1">
      <x:c r="A68" s="2" t="str">
        <x:v>S20-CONCEPT-R03</x:v>
      </x:c>
      <x:c r="B68" s="2" t="str">
        <x:v>S20</x:v>
      </x:c>
      <x:c r="C68" s="2" t="str">
        <x:v>merged_1151-v1</x:v>
      </x:c>
      <x:c r="D68" s="2" t="str">
        <x:v>Reviewer_A</x:v>
      </x:c>
      <x:c r="E68" s="2" t="str">
        <x:v>Reviewer_A</x:v>
      </x:c>
      <x:c r="F68" s="2" t="str">
        <x:v>boundary</x:v>
      </x:c>
      <x:c r="G68" s="6" t="str">
        <x:v>External validity</x:v>
      </x:c>
      <x:c r="H68" s="2" t="str">
        <x:v>framework</x:v>
      </x:c>
      <x:c r="I68" s="2" t="str">
        <x:v>limited to</x:v>
      </x:c>
      <x:c r="J68" s="2" t="str">
        <x:v>regulated environments like finance and aerospace</x:v>
      </x:c>
      <x:c r="K68" s="2" t="str">
        <x:v>LLM在特定领域的表现可能无法推广到其他领域。</x:v>
      </x:c>
      <x:c r="L68" s="2" t="str">
        <x:v>Unclear</x:v>
      </x:c>
      <x:c r="M68" s="6" t="str">
        <x:v>NA</x:v>
      </x:c>
      <x:c r="N68" s="2" t="str">
        <x:v>本研究框架的外部有效性受限于所测试的金融和航空航天领域。</x:v>
      </x:c>
      <x:c r="O68" s="2" t="str">
        <x:v>domain limitation</x:v>
      </x:c>
      <x:c r="P68" s="2" t="str">
        <x:v>generalizability</x:v>
      </x:c>
      <x:c r="Q68" s="2" t="str">
        <x:v>NR</x:v>
      </x:c>
      <x:c r="R68" s="6" t="str">
        <x:v>SR</x:v>
      </x:c>
      <x:c r="S68" s="6" t="str">
        <x:v>p. 21; Section 6.2</x:v>
      </x:c>
      <x:c r="T68" s="6" t="str">
        <x:v>External Validity: The external validity is limited by the domain-specific nature of the study. Since the framework was tested in regulated environments like finance and</x:v>
      </x:c>
      <x:c r="U68" s="6" t="str">
        <x:v>论文承认其研究框架的普适性有限，仅在两个特定法规环境中进行了测试。</x:v>
      </x:c>
      <x:c r="V68" s="2" t="str">
        <x:v>Accepted</x:v>
      </x:c>
      <x:c r="W68" s="6" t="str">
        <x:v>NA</x:v>
      </x:c>
    </x:row>
    <x:row r="69" ht="76" customHeight="1">
      <x:c r="A69" s="2" t="str">
        <x:v>S21-CONCEPT-R01</x:v>
      </x:c>
      <x:c r="B69" s="2" t="str">
        <x:v>S21</x:v>
      </x:c>
      <x:c r="C69" s="2" t="str">
        <x:v>merged_1152</x:v>
      </x:c>
      <x:c r="D69" s="2" t="str">
        <x:v>Reviewer_A</x:v>
      </x:c>
      <x:c r="E69" s="2" t="str">
        <x:v>Reviewer_A</x:v>
      </x:c>
      <x:c r="F69" s="2" t="str">
        <x:v>scope</x:v>
      </x:c>
      <x:c r="G69" s="6" t="str">
        <x:v>LLMs have the potential to revolutionize automated traceability</x:v>
      </x:c>
      <x:c r="H69" s="2" t="str">
        <x:v>LLMs</x:v>
      </x:c>
      <x:c r="I69" s="2" t="str">
        <x:v>revolutionize</x:v>
      </x:c>
      <x:c r="J69" s="2" t="str">
        <x:v>automated traceability</x:v>
      </x:c>
      <x:c r="K69" s="2" t="str">
        <x:v>LLM作为核心方法参与可追溯性任务</x:v>
      </x:c>
      <x:c r="L69" s="2" t="str">
        <x:v>Not applicable</x:v>
      </x:c>
      <x:c r="M69" s="6" t="str">
        <x:v>NA</x:v>
      </x:c>
      <x:c r="N69" s="2" t="str">
        <x:v>LLM有潜力革新自动化可追溯性</x:v>
      </x:c>
      <x:c r="O69" s="2" t="str">
        <x:v>LLM_potential</x:v>
      </x:c>
      <x:c r="P69" s="2" t="str">
        <x:v>LLM_general_capability</x:v>
      </x:c>
      <x:c r="Q69" s="2" t="str">
        <x:v>NR</x:v>
      </x:c>
      <x:c r="R69" s="6" t="str">
        <x:v>SR</x:v>
      </x:c>
      <x:c r="S69" s="6" t="str">
        <x:v>p. 1; Abstract</x:v>
      </x:c>
      <x:c r="T69" s="6" t="str">
        <x:v>Large Language Models (LLMs) have the potential to revolutionize automated traceability by overcoming the challenges faced by previous methods and introducing new possibilities.</x:v>
      </x:c>
      <x:c r="U69" s="6" t="str">
        <x:v>论文声称LLM能够克服以往方法的挑战，为自动化可追溯性带来变革。</x:v>
      </x:c>
      <x:c r="V69" s="2" t="str">
        <x:v>Accepted</x:v>
      </x:c>
      <x:c r="W69" s="6" t="str">
        <x:v>NA</x:v>
      </x:c>
    </x:row>
    <x:row r="70" ht="76" customHeight="1">
      <x:c r="A70" s="2" t="str">
        <x:v>S21-CONCEPT-R02</x:v>
      </x:c>
      <x:c r="B70" s="2" t="str">
        <x:v>S21</x:v>
      </x:c>
      <x:c r="C70" s="2" t="str">
        <x:v>merged_1152</x:v>
      </x:c>
      <x:c r="D70" s="2" t="str">
        <x:v>Reviewer_A</x:v>
      </x:c>
      <x:c r="E70" s="2" t="str">
        <x:v>Reviewer_A</x:v>
      </x:c>
      <x:c r="F70" s="2" t="str">
        <x:v>optional_step</x:v>
      </x:c>
      <x:c r="G70" s="6" t="str">
        <x:v>chain-of-thought reasoning</x:v>
      </x:c>
      <x:c r="H70" s="2" t="str">
        <x:v>Requiring models to show intermediate reasoning steps</x:v>
      </x:c>
      <x:c r="I70" s="2" t="str">
        <x:v>boosts performance</x:v>
      </x:c>
      <x:c r="J70" s="2" t="str">
        <x:v>trace link prediction tasks</x:v>
      </x:c>
      <x:c r="K70" s="2" t="str">
        <x:v>LLM在分类时展示推理步骤，提升性能</x:v>
      </x:c>
      <x:c r="L70" s="2" t="str">
        <x:v>Optional</x:v>
      </x:c>
      <x:c r="M70" s="6" t="str">
        <x:v>NA</x:v>
      </x:c>
      <x:c r="N70" s="2" t="str">
        <x:v>要求模型展示中间推理步骤（链式思考）可提升某些任务的性能，并内建解释。</x:v>
      </x:c>
      <x:c r="O70" s="2" t="str">
        <x:v>chain_of_thought_boost</x:v>
      </x:c>
      <x:c r="P70" s="2" t="str">
        <x:v>prompting_technique</x:v>
      </x:c>
      <x:c r="Q70" s="2" t="str">
        <x:v>NR</x:v>
      </x:c>
      <x:c r="R70" s="6" t="str">
        <x:v>SR</x:v>
      </x:c>
      <x:c r="S70" s="6" t="str">
        <x:v>p. 7; Section VI-A Key Takeaways</x:v>
      </x:c>
      <x:c r="T70" s="6" t="str">
        <x:v>Requiring models to show intermediate reasoning steps boosts performance on some tasks and builds in explanations into the decision making process.</x:v>
      </x:c>
      <x:c r="U70" s="6" t="str">
        <x:v>链式思考提示是一种可选但有效的技术，可以提高LLM在可追溯性任务上的表现。</x:v>
      </x:c>
      <x:c r="V70" s="2" t="str">
        <x:v>Accepted</x:v>
      </x:c>
      <x:c r="W70" s="6" t="str">
        <x:v>NA</x:v>
      </x:c>
    </x:row>
    <x:row r="71" ht="76" customHeight="1">
      <x:c r="A71" s="2" t="str">
        <x:v>S21-CONCEPT-R03</x:v>
      </x:c>
      <x:c r="B71" s="2" t="str">
        <x:v>S21</x:v>
      </x:c>
      <x:c r="C71" s="2" t="str">
        <x:v>merged_1152</x:v>
      </x:c>
      <x:c r="D71" s="2" t="str">
        <x:v>Reviewer_A</x:v>
      </x:c>
      <x:c r="E71" s="2" t="str">
        <x:v>Reviewer_A</x:v>
      </x:c>
      <x:c r="F71" s="2" t="str">
        <x:v>boundary</x:v>
      </x:c>
      <x:c r="G71" s="6" t="str">
        <x:v>prompt sensitivity</x:v>
      </x:c>
      <x:c r="H71" s="2" t="str">
        <x:v>Small modifications to prompts</x:v>
      </x:c>
      <x:c r="I71" s="2" t="str">
        <x:v>lead to significant differences</x:v>
      </x:c>
      <x:c r="J71" s="2" t="str">
        <x:v>model outputs</x:v>
      </x:c>
      <x:c r="K71" s="2" t="str">
        <x:v>提示的微小变化会显著影响LLM的输出，说明提示工程的挑战。</x:v>
      </x:c>
      <x:c r="L71" s="2" t="str">
        <x:v>Not applicable</x:v>
      </x:c>
      <x:c r="M71" s="6" t="str">
        <x:v>NA</x:v>
      </x:c>
      <x:c r="N71" s="2" t="str">
        <x:v>对提示的微小修改可导致模型输出显著不同，强调了精心设计提示的重要性。</x:v>
      </x:c>
      <x:c r="O71" s="2" t="str">
        <x:v>prompt_sensitivity</x:v>
      </x:c>
      <x:c r="P71" s="2" t="str">
        <x:v>challenge</x:v>
      </x:c>
      <x:c r="Q71" s="2" t="str">
        <x:v>NR</x:v>
      </x:c>
      <x:c r="R71" s="6" t="str">
        <x:v>SR</x:v>
      </x:c>
      <x:c r="S71" s="6" t="str">
        <x:v>p. 6; Section VI-A Key Takeaways</x:v>
      </x:c>
      <x:c r="T71" s="6" t="str">
        <x:v>Small modifications to prompts can lead to significant differences in model outputs, emphasizing the importance of carefully crafting prompts.</x:v>
      </x:c>
      <x:c r="U71" s="6" t="str">
        <x:v>提示的敏感性是LLM应用于可追溯性的一个边界，需要仔细设计。</x:v>
      </x:c>
      <x:c r="V71" s="2" t="str">
        <x:v>Accepted</x:v>
      </x:c>
      <x:c r="W71" s="6" t="str">
        <x:v>NA</x:v>
      </x:c>
    </x:row>
    <x:row r="72" ht="76" customHeight="1">
      <x:c r="A72" s="2" t="str">
        <x:v>S22-CONCEPT-R01</x:v>
      </x:c>
      <x:c r="B72" s="2" t="str">
        <x:v>S22</x:v>
      </x:c>
      <x:c r="C72" s="2" t="str">
        <x:v>merged_1154-v1</x:v>
      </x:c>
      <x:c r="D72" s="2" t="str">
        <x:v>Reviewer_A</x:v>
      </x:c>
      <x:c r="E72" s="2" t="str">
        <x:v>Reviewer_A</x:v>
      </x:c>
      <x:c r="F72" s="2" t="str">
        <x:v>definition</x:v>
      </x:c>
      <x:c r="G72" s="6" t="str">
        <x:v>security knowledge transition</x:v>
      </x:c>
      <x:c r="H72" s="2" t="str">
        <x:v>security-relevant knowledge</x:v>
      </x:c>
      <x:c r="I72" s="2" t="str">
        <x:v>controlled transformation and preservation</x:v>
      </x:c>
      <x:c r="J72" s="2" t="str">
        <x:v>chain of specification, generation, implementation, and verification artifacts</x:v>
      </x:c>
      <x:c r="K72" s="2" t="str">
        <x:v>LLM参与转换和保存安全知识的过程</x:v>
      </x:c>
      <x:c r="L72" s="2" t="str">
        <x:v>Not applicable</x:v>
      </x:c>
      <x:c r="M72" s="6" t="str">
        <x:v>NA</x:v>
      </x:c>
      <x:c r="N72" s="2" t="str">
        <x:v>安全知识过渡被定义为在规格、生成、实现和验证工件链中受控地转换和保存安全相关知识。</x:v>
      </x:c>
      <x:c r="O72" s="2" t="str">
        <x:v>SKT_definition</x:v>
      </x:c>
      <x:c r="P72" s="2" t="str">
        <x:v>Concept definition</x:v>
      </x:c>
      <x:c r="Q72" s="2" t="str">
        <x:v>NR</x:v>
      </x:c>
      <x:c r="R72" s="6" t="str">
        <x:v>SR</x:v>
      </x:c>
      <x:c r="S72" s="6" t="str">
        <x:v>p. 1; Section I Introduction</x:v>
      </x:c>
      <x:c r="T72" s="6" t="str">
        <x:v>security knowledge transition is defined as the controlled transformation and preservation of security-relevant knowledge across the chain of specification, generation, implementation, and verification artifacts</x:v>
      </x:c>
      <x:c r="U72" s="6" t="str">
        <x:v>论文明确给出了安全知识过渡的定义，将安全知识视为一个生命周期工件，在规格到验证的链中进行受控转换。</x:v>
      </x:c>
      <x:c r="V72" s="2" t="str">
        <x:v>Accepted</x:v>
      </x:c>
      <x:c r="W72" s="6" t="str">
        <x:v>NA</x:v>
      </x:c>
    </x:row>
    <x:row r="73" ht="76" customHeight="1">
      <x:c r="A73" s="2" t="str">
        <x:v>S22-CONCEPT-R02</x:v>
      </x:c>
      <x:c r="B73" s="2" t="str">
        <x:v>S22</x:v>
      </x:c>
      <x:c r="C73" s="2" t="str">
        <x:v>merged_1154-v1</x:v>
      </x:c>
      <x:c r="D73" s="2" t="str">
        <x:v>Reviewer_A</x:v>
      </x:c>
      <x:c r="E73" s="2" t="str">
        <x:v>Reviewer_A</x:v>
      </x:c>
      <x:c r="F73" s="2" t="str">
        <x:v>necessary_step</x:v>
      </x:c>
      <x:c r="G73" s="6" t="str">
        <x:v>traceability chain</x:v>
      </x:c>
      <x:c r="H73" s="2" t="str">
        <x:v>System entity</x:v>
      </x:c>
      <x:c r="I73" s="2" t="str">
        <x:v>must be traceable to</x:v>
      </x:c>
      <x:c r="J73" s="2" t="str">
        <x:v>Evidence via chain</x:v>
      </x:c>
      <x:c r="K73" s="2" t="str">
        <x:v>LLM在生成安全模型时需要建立这种可追溯性链条</x:v>
      </x:c>
      <x:c r="L73" s="2" t="str">
        <x:v>Necessary</x:v>
      </x:c>
      <x:c r="M73" s="6" t="str">
        <x:v>NA</x:v>
      </x:c>
      <x:c r="N73" s="2" t="str">
        <x:v>安全模型基于可追溯性链：系统实体→威胁/风险→安全需求→实现规则→代码元素→验证场景→证据。</x:v>
      </x:c>
      <x:c r="O73" s="2" t="str">
        <x:v>traceability_chain</x:v>
      </x:c>
      <x:c r="P73" s="2" t="str">
        <x:v>Traceability model</x:v>
      </x:c>
      <x:c r="Q73" s="2" t="str">
        <x:v>NR</x:v>
      </x:c>
      <x:c r="R73" s="6" t="str">
        <x:v>SR</x:v>
      </x:c>
      <x:c r="S73" s="6" t="str">
        <x:v>p. 4; Section IV Multilayer Specification Security Model</x:v>
      </x:c>
      <x:c r="T73" s="6" t="str">
        <x:v>The model is based on the following traceability chain: “System entity → Threat/Risk → Security requirement → Implementation rule → Code element → Verification scenario → Evidence”.</x:v>
      </x:c>
      <x:c r="U73" s="6" t="str">
        <x:v>可追溯性链是安全模型的核心结构，要求每个元素可追溯，这被认为是必要的。</x:v>
      </x:c>
      <x:c r="V73" s="2" t="str">
        <x:v>Accepted</x:v>
      </x:c>
      <x:c r="W73" s="6" t="str">
        <x:v>NA</x:v>
      </x:c>
    </x:row>
    <x:row r="74" ht="76" customHeight="1">
      <x:c r="A74" s="2" t="str">
        <x:v>S23-CONCEPT-R01</x:v>
      </x:c>
      <x:c r="B74" s="2" t="str">
        <x:v>S23</x:v>
      </x:c>
      <x:c r="C74" s="2" t="str">
        <x:v>merged_1156</x:v>
      </x:c>
      <x:c r="D74" s="2" t="str">
        <x:v>Reviewer_A</x:v>
      </x:c>
      <x:c r="E74" s="2" t="str">
        <x:v>Reviewer_A</x:v>
      </x:c>
      <x:c r="F74" s="2" t="str">
        <x:v>definition</x:v>
      </x:c>
      <x:c r="G74" s="6" t="str">
        <x:v>traceability</x:v>
      </x:c>
      <x:c r="H74" s="2" t="str">
        <x:v>requirements</x:v>
      </x:c>
      <x:c r="I74" s="2" t="str">
        <x:v>can be traced to</x:v>
      </x:c>
      <x:c r="J74" s="2" t="str">
        <x:v>LLM-generated code</x:v>
      </x:c>
      <x:c r="K74" s="2" t="str">
        <x:v>LLM生成代码时产生从需求到代码的连续映射，该映射可用于提供溯源性</x:v>
      </x:c>
      <x:c r="L74" s="2" t="str">
        <x:v>Not applicable</x:v>
      </x:c>
      <x:c r="M74" s="6" t="str">
        <x:v>NA</x:v>
      </x:c>
      <x:c r="N74" s="2" t="str">
        <x:v>将LLM从需求生成代码的连续映射视为一种需求到代码的溯源性机会。</x:v>
      </x:c>
      <x:c r="O74" s="2" t="str">
        <x:v>traceability via LLM mapping</x:v>
      </x:c>
      <x:c r="P74" s="2" t="str">
        <x:v>traceability establishment</x:v>
      </x:c>
      <x:c r="Q74" s="2" t="str">
        <x:v>NR</x:v>
      </x:c>
      <x:c r="R74" s="6" t="str">
        <x:v>SR</x:v>
      </x:c>
      <x:c r="S74" s="6" t="str">
        <x:v>p. 1; Section I</x:v>
      </x:c>
      <x:c r="T74" s="6" t="str">
        <x:v>continuous mapping from requirements to code. This represents a great opportunity within requirements engineering to use this (a) Beginning of a response from CodeLlama LLM to an</x:v>
      </x:c>
      <x:c r="U74" s="6" t="str">
        <x:v>论文将LLM代码生成中的连续映射定义为实现需求到代码溯源性的基础。</x:v>
      </x:c>
      <x:c r="V74" s="2" t="str">
        <x:v>Accepted</x:v>
      </x:c>
      <x:c r="W74" s="6" t="str">
        <x:v>NR</x:v>
      </x:c>
    </x:row>
    <x:row r="75" ht="76" customHeight="1">
      <x:c r="A75" s="2" t="str">
        <x:v>S23-CONCEPT-R02</x:v>
      </x:c>
      <x:c r="B75" s="2" t="str">
        <x:v>S23</x:v>
      </x:c>
      <x:c r="C75" s="2" t="str">
        <x:v>merged_1156</x:v>
      </x:c>
      <x:c r="D75" s="2" t="str">
        <x:v>Reviewer_A</x:v>
      </x:c>
      <x:c r="E75" s="2" t="str">
        <x:v>Reviewer_A</x:v>
      </x:c>
      <x:c r="F75" s="2" t="str">
        <x:v>scope</x:v>
      </x:c>
      <x:c r="G75" s="6" t="str">
        <x:v>ignored requirement</x:v>
      </x:c>
      <x:c r="H75" s="2" t="str">
        <x:v>lower pooled gradient</x:v>
      </x:c>
      <x:c r="I75" s="2" t="str">
        <x:v>correlates with</x:v>
      </x:c>
      <x:c r="J75" s="2" t="str">
        <x:v>requirement not being met</x:v>
      </x:c>
      <x:c r="K75" s="2" t="str">
        <x:v>LLM输出梯度大小用于判断代码生成时哪些需求被忽略</x:v>
      </x:c>
      <x:c r="L75" s="2" t="str">
        <x:v>Necessary</x:v>
      </x:c>
      <x:c r="M75" s="6" t="str">
        <x:v>NA</x:v>
      </x:c>
      <x:c r="N75" s="2" t="str">
        <x:v>LLM输出梯度大小可以指示LLM在生成代码时忽略了哪个需求。</x:v>
      </x:c>
      <x:c r="O75" s="2" t="str">
        <x:v>gradient-based requirement tracing</x:v>
      </x:c>
      <x:c r="P75" s="2" t="str">
        <x:v>traceability indicator</x:v>
      </x:c>
      <x:c r="Q75" s="2" t="str">
        <x:v>NR</x:v>
      </x:c>
      <x:c r="R75" s="6" t="str">
        <x:v>SR</x:v>
      </x:c>
      <x:c r="S75" s="6" t="str">
        <x:v>p. 2; Section I-A</x:v>
      </x:c>
      <x:c r="T75" s="6" t="str">
        <x:v>Our hypothesis is that a lower pooled gradient for a requirement in the input correlates with that requirement not being met by the generated code.</x:v>
      </x:c>
      <x:c r="U75" s="6" t="str">
        <x:v>论文提出核心假设：低梯度与需求未被满足正相关，以此为基础建立了LLM输出梯度作为需求满足度的可解释性代理指标。</x:v>
      </x:c>
      <x:c r="V75" s="2" t="str">
        <x:v>Accepted</x:v>
      </x:c>
      <x:c r="W75" s="6" t="str">
        <x:v>NR</x:v>
      </x:c>
    </x:row>
    <x:row r="76" ht="76" customHeight="1">
      <x:c r="A76" s="2" t="str">
        <x:v>S23-CONCEPT-R03</x:v>
      </x:c>
      <x:c r="B76" s="2" t="str">
        <x:v>S23</x:v>
      </x:c>
      <x:c r="C76" s="2" t="str">
        <x:v>merged_1156</x:v>
      </x:c>
      <x:c r="D76" s="2" t="str">
        <x:v>Reviewer_A</x:v>
      </x:c>
      <x:c r="E76" s="2" t="str">
        <x:v>Reviewer_A</x:v>
      </x:c>
      <x:c r="F76" s="2" t="str">
        <x:v>boundary</x:v>
      </x:c>
      <x:c r="G76" s="6" t="str">
        <x:v>traceability links</x:v>
      </x:c>
      <x:c r="H76" s="2" t="str">
        <x:v>our work</x:v>
      </x:c>
      <x:c r="I76" s="2" t="str">
        <x:v>differs from</x:v>
      </x:c>
      <x:c r="J76" s="2" t="str">
        <x:v>post-hoc traceability recovery</x:v>
      </x:c>
      <x:c r="K76" s="2" t="str">
        <x:v>在代码生成过程中实时追踪，而非事后恢复</x:v>
      </x:c>
      <x:c r="L76" s="2" t="str">
        <x:v>Optional</x:v>
      </x:c>
      <x:c r="M76" s="6" t="str">
        <x:v>NA</x:v>
      </x:c>
      <x:c r="N76" s="2" t="str">
        <x:v>本研究区别于事后追溯，聚焦于代码生成过程中的实时溯源性追踪。</x:v>
      </x:c>
      <x:c r="O76" s="2" t="str">
        <x:v>runtime traceability</x:v>
      </x:c>
      <x:c r="P76" s="2" t="str">
        <x:v>traceability timing</x:v>
      </x:c>
      <x:c r="Q76" s="2" t="str">
        <x:v>NR</x:v>
      </x:c>
      <x:c r="R76" s="6" t="str">
        <x:v>SR</x:v>
      </x:c>
      <x:c r="S76" s="6" t="str">
        <x:v>p. 3; Section II-A</x:v>
      </x:c>
      <x:c r="T76" s="6" t="str">
        <x:v>we aim to track and maintain the traceability links between requirements and code as the code is being generated, rather than recovering traceability links post-hoc.</x:v>
      </x:c>
      <x:c r="U76" s="6" t="str">
        <x:v>论文明确划定边界：在代码生成阶段建立和维护需求-代码溯源性链接，而非传统的事后恢复。</x:v>
      </x:c>
      <x:c r="V76" s="2" t="str">
        <x:v>Accepted</x:v>
      </x:c>
      <x:c r="W76" s="6" t="str">
        <x:v>NR</x:v>
      </x:c>
    </x:row>
    <x:row r="77" ht="76" customHeight="1">
      <x:c r="A77" s="2" t="str">
        <x:v>S23-CONCEPT-R04</x:v>
      </x:c>
      <x:c r="B77" s="2" t="str">
        <x:v>S23</x:v>
      </x:c>
      <x:c r="C77" s="2" t="str">
        <x:v>merged_1156</x:v>
      </x:c>
      <x:c r="D77" s="2" t="str">
        <x:v>Reviewer_A</x:v>
      </x:c>
      <x:c r="E77" s="2" t="str">
        <x:v>Reviewer_A</x:v>
      </x:c>
      <x:c r="F77" s="2" t="str">
        <x:v>necessary_step</x:v>
      </x:c>
      <x:c r="G77" s="6" t="str">
        <x:v>automated</x:v>
      </x:c>
      <x:c r="H77" s="2" t="str">
        <x:v>gradient calculation</x:v>
      </x:c>
      <x:c r="I77" s="2" t="str">
        <x:v>enables</x:v>
      </x:c>
      <x:c r="J77" s="2" t="str">
        <x:v>automated identification of ignored requirements</x:v>
      </x:c>
      <x:c r="K77" s="2" t="str">
        <x:v>依赖LLM可微性以自动计算梯度</x:v>
      </x:c>
      <x:c r="L77" s="2" t="str">
        <x:v>Necessary</x:v>
      </x:c>
      <x:c r="M77" s="6" t="str">
        <x:v>NA</x:v>
      </x:c>
      <x:c r="N77" s="2" t="str">
        <x:v>自动计算梯度以识别被忽略的需求是实现无测试溯源的必经步骤。</x:v>
      </x:c>
      <x:c r="O77" s="2" t="str">
        <x:v>automation</x:v>
      </x:c>
      <x:c r="P77" s="2" t="str">
        <x:v>automation requirement</x:v>
      </x:c>
      <x:c r="Q77" s="2" t="str">
        <x:v>NR</x:v>
      </x:c>
      <x:c r="R77" s="6" t="str">
        <x:v>SR</x:v>
      </x:c>
      <x:c r="S77" s="6" t="str">
        <x:v>p. 4; Section III-A</x:v>
      </x:c>
      <x:c r="T77" s="6" t="str">
        <x:v>Importantly, we aim to do this in an automated way, without running, testing, or even reading the model’s generated code.</x:v>
      </x:c>
      <x:c r="U77" s="6" t="str">
        <x:v>论文强调自动化梯度计算是其方法的关键必要环节，避免了人工或测试介入。</x:v>
      </x:c>
      <x:c r="V77" s="2" t="str">
        <x:v>Accepted</x:v>
      </x:c>
      <x:c r="W77" s="6" t="str">
        <x:v>NR</x:v>
      </x:c>
    </x:row>
    <x:row r="78" ht="76" customHeight="1">
      <x:c r="A78" s="2" t="str">
        <x:v>S23-CONCEPT-R05</x:v>
      </x:c>
      <x:c r="B78" s="2" t="str">
        <x:v>S23</x:v>
      </x:c>
      <x:c r="C78" s="2" t="str">
        <x:v>merged_1156</x:v>
      </x:c>
      <x:c r="D78" s="2" t="str">
        <x:v>Reviewer_A</x:v>
      </x:c>
      <x:c r="E78" s="2" t="str">
        <x:v>Reviewer_A</x:v>
      </x:c>
      <x:c r="F78" s="2" t="str">
        <x:v>counterexample</x:v>
      </x:c>
      <x:c r="G78" s="6" t="str">
        <x:v>random segment selection</x:v>
      </x:c>
      <x:c r="H78" s="2" t="str">
        <x:v>random reprompting</x:v>
      </x:c>
      <x:c r="I78" s="2" t="str">
        <x:v>can improve code without gradient insight</x:v>
      </x:c>
      <x:c r="J78" s="2" t="str">
        <x:v>gradient-based selection</x:v>
      </x:c>
      <x:c r="K78" s="2" t="str">
        <x:v>LLM被随机选择的需求段重提示，仍可能改进代码</x:v>
      </x:c>
      <x:c r="L78" s="2" t="str">
        <x:v>Optional</x:v>
      </x:c>
      <x:c r="M78" s="6" t="str">
        <x:v>随机选择需求段进行重提示在某些情况下也能改善代码，质疑梯度选择的必要性。</x:v>
      </x:c>
      <x:c r="N78" s="2" t="str">
        <x:v>随机选择需求段进行重提示在某些情况下也能改善代码，质疑梯度选择的必要性。</x:v>
      </x:c>
      <x:c r="O78" s="2" t="str">
        <x:v>random baseline effectiveness</x:v>
      </x:c>
      <x:c r="P78" s="2" t="str">
        <x:v>counterevidence</x:v>
      </x:c>
      <x:c r="Q78" s="2" t="str">
        <x:v>NR</x:v>
      </x:c>
      <x:c r="R78" s="6" t="str">
        <x:v>SR</x:v>
      </x:c>
      <x:c r="S78" s="6" t="str">
        <x:v>p. 7; Section IV-D</x:v>
      </x:c>
      <x:c r="T78" s="6" t="str">
        <x:v>randomly choosing a requirment segment and asking the model to focus on it while rewriting the code does, in some cases, improve the code.</x:v>
      </x:c>
      <x:c r="U78" s="6" t="str">
        <x:v>论文举出反例：随机选择需求段作为重提示也可提升代码，表明梯度并非改动的唯一机制，自身技术解释力存在边界。</x:v>
      </x:c>
      <x:c r="V78" s="2" t="str">
        <x:v>Accepted</x:v>
      </x:c>
      <x:c r="W78" s="6" t="str">
        <x:v>NR</x:v>
      </x:c>
    </x:row>
    <x:row r="79" ht="76" customHeight="1">
      <x:c r="A79" s="2" t="str">
        <x:v>S24-CONCEPT-R01</x:v>
      </x:c>
      <x:c r="B79" s="2" t="str">
        <x:v>S24</x:v>
      </x:c>
      <x:c r="C79" s="2" t="str">
        <x:v>merged_1172</x:v>
      </x:c>
      <x:c r="D79" s="2" t="str">
        <x:v>Reviewer_A</x:v>
      </x:c>
      <x:c r="E79" s="2" t="str">
        <x:v>Reviewer_A</x:v>
      </x:c>
      <x:c r="F79" s="2" t="str">
        <x:v>scope</x:v>
      </x:c>
      <x:c r="G79" s="6" t="str">
        <x:v>traceability</x:v>
      </x:c>
      <x:c r="H79" s="2" t="str">
        <x:v>TRD-Req</x:v>
      </x:c>
      <x:c r="I79" s="2" t="str">
        <x:v>should trace to</x:v>
      </x:c>
      <x:c r="J79" s="2" t="str">
        <x:v>SRD-Req</x:v>
      </x:c>
      <x:c r="K79" s="2" t="str">
        <x:v>LLM用于诱导解析规则，为追溯链创建准备标准化的需求块，但实际追溯链由确定性算法计算。</x:v>
      </x:c>
      <x:c r="L79" s="2" t="str">
        <x:v>Necessary</x:v>
      </x:c>
      <x:c r="M79" s="6" t="str">
        <x:v>NA</x:v>
      </x:c>
      <x:c r="N79" s="2" t="str">
        <x:v>每个子系统需求（TRD-Req）都应追溯到系统需求（SRD-Req）。</x:v>
      </x:c>
      <x:c r="O79" s="2" t="str">
        <x:v>TRD-SRD_traceability_policy</x:v>
      </x:c>
      <x:c r="P79" s="2" t="str">
        <x:v>Traceability requirement</x:v>
      </x:c>
      <x:c r="Q79" s="2" t="str">
        <x:v>NR</x:v>
      </x:c>
      <x:c r="R79" s="6" t="str">
        <x:v>SR</x:v>
      </x:c>
      <x:c r="S79" s="6" t="str">
        <x:v>p. 3; Section 2, Traceability builder</x:v>
      </x:c>
      <x:c r="T79" s="6" t="str">
        <x:v>If no parent is cited at all, the TRD-Req is flagged as missing trace (by policy, every TRD-Req should trace to an SRD-Req) [1].</x:v>
      </x:c>
      <x:c r="U79" s="6" t="str">
        <x:v>该语句明确定义了追溯性策略：所有TRD需求必须追溯到SRD需求，否则标记为缺失追溯。</x:v>
      </x:c>
      <x:c r="V79" s="2" t="str">
        <x:v>Accepted</x:v>
      </x:c>
      <x:c r="W79" s="6" t="str">
        <x:v>NA</x:v>
      </x:c>
    </x:row>
    <x:row r="80" ht="76" customHeight="1">
      <x:c r="A80" s="2" t="str">
        <x:v>S25-CONCEPT-R01</x:v>
      </x:c>
      <x:c r="B80" s="2" t="str">
        <x:v>S25</x:v>
      </x:c>
      <x:c r="C80" s="2" t="str">
        <x:v>merged_1185</x:v>
      </x:c>
      <x:c r="D80" s="2" t="str">
        <x:v>Reviewer_A</x:v>
      </x:c>
      <x:c r="E80" s="2" t="str">
        <x:v>Reviewer_A</x:v>
      </x:c>
      <x:c r="F80" s="2" t="str">
        <x:v>definition</x:v>
      </x:c>
      <x:c r="G80" s="6" t="str">
        <x:v>traceability framework</x:v>
      </x:c>
      <x:c r="H80" s="2" t="str">
        <x:v>traceability framework</x:v>
      </x:c>
      <x:c r="I80" s="2" t="str">
        <x:v>maintains bidirectional relationships</x:v>
      </x:c>
      <x:c r="J80" s="2" t="str">
        <x:v>throughout the quality engineering lifecycle</x:v>
      </x:c>
      <x:c r="K80" s="2" t="str">
        <x:v>框架利用LLM生成的工件自动建立双向追踪关系</x:v>
      </x:c>
      <x:c r="L80" s="2" t="str">
        <x:v>Necessary</x:v>
      </x:c>
      <x:c r="M80" s="6" t="str">
        <x:v>NA</x:v>
      </x:c>
      <x:c r="N80" s="2" t="str">
        <x:v>可追溯性框架在整个QE生命周期中维护双向关系</x:v>
      </x:c>
      <x:c r="O80" s="2" t="str">
        <x:v>traceability_framework_definition</x:v>
      </x:c>
      <x:c r="P80" s="2" t="str">
        <x:v>概念定义</x:v>
      </x:c>
      <x:c r="Q80" s="2" t="str">
        <x:v>NR</x:v>
      </x:c>
      <x:c r="R80" s="6" t="str">
        <x:v>SR</x:v>
      </x:c>
      <x:c r="S80" s="6" t="str">
        <x:v>p. 4; Section II.F Comprehensive Traceability Framework</x:v>
      </x:c>
      <x:c r="T80" s="6" t="str">
        <x:v>The traceability framework maintains bidirectional relationships throughout the entire quality engineering lifecycle, enabling complete visibility into transformation decisions and regulatory compliance demonstration.</x:v>
      </x:c>
      <x:c r="U80" s="6" t="str">
        <x:v>提供了可追溯性框架的明确定义，强调双向关系维护。</x:v>
      </x:c>
      <x:c r="V80" s="2" t="str">
        <x:v>Accepted</x:v>
      </x:c>
      <x:c r="W80" s="6" t="str">
        <x:v>NA</x:v>
      </x:c>
    </x:row>
    <x:row r="81" ht="76" customHeight="1">
      <x:c r="A81" s="2" t="str">
        <x:v>S25-CONCEPT-R02</x:v>
      </x:c>
      <x:c r="B81" s="2" t="str">
        <x:v>S25</x:v>
      </x:c>
      <x:c r="C81" s="2" t="str">
        <x:v>merged_1185</x:v>
      </x:c>
      <x:c r="D81" s="2" t="str">
        <x:v>Reviewer_A</x:v>
      </x:c>
      <x:c r="E81" s="2" t="str">
        <x:v>Reviewer_A</x:v>
      </x:c>
      <x:c r="F81" s="2" t="str">
        <x:v>scope</x:v>
      </x:c>
      <x:c r="G81" s="6" t="str">
        <x:v>Comprehensive Traceability</x:v>
      </x:c>
      <x:c r="H81" s="2" t="str">
        <x:v>Agentic RAG</x:v>
      </x:c>
      <x:c r="I81" s="2" t="str">
        <x:v>provides bidirectional relationship tracking</x:v>
      </x:c>
      <x:c r="J81" s="2" t="str">
        <x:v>throughout the entire quality engineering life cycle</x:v>
      </x:c>
      <x:c r="K81" s="2" t="str">
        <x:v>Agentic RAG系统整合LLM以实现全面的关系追踪</x:v>
      </x:c>
      <x:c r="L81" s="2" t="str">
        <x:v>Necessary</x:v>
      </x:c>
      <x:c r="M81" s="6" t="str">
        <x:v>NA</x:v>
      </x:c>
      <x:c r="N81" s="2" t="str">
        <x:v>全面可追溯性是Agentic RAG的关键特性，在整个生命周期中提供双向关系追踪。</x:v>
      </x:c>
      <x:c r="O81" s="2" t="str">
        <x:v>comprehensive_traceability_scope</x:v>
      </x:c>
      <x:c r="P81" s="2" t="str">
        <x:v>范围声明</x:v>
      </x:c>
      <x:c r="Q81" s="2" t="str">
        <x:v>NR</x:v>
      </x:c>
      <x:c r="R81" s="6" t="str">
        <x:v>SR</x:v>
      </x:c>
      <x:c r="S81" s="6" t="str">
        <x:v>p. 1; Section I.B Research Contributions</x:v>
      </x:c>
      <x:c r="T81" s="6" t="str">
        <x:v>Comprehensive Traceability: Bidirectional relationship tracking throughout the entire quality engineering life cycle</x:v>
      </x:c>
      <x:c r="U81" s="6" t="str">
        <x:v>明确将全面可追溯性列为关键贡献，说明其覆盖整个生命周期。</x:v>
      </x:c>
      <x:c r="V81" s="2" t="str">
        <x:v>Accepted</x:v>
      </x:c>
      <x:c r="W81" s="6" t="str">
        <x:v>NA</x:v>
      </x:c>
    </x:row>
    <x:row r="82" ht="76" customHeight="1">
      <x:c r="A82" s="2" t="str">
        <x:v>S25-CONCEPT-R03</x:v>
      </x:c>
      <x:c r="B82" s="2" t="str">
        <x:v>S25</x:v>
      </x:c>
      <x:c r="C82" s="2" t="str">
        <x:v>merged_1185</x:v>
      </x:c>
      <x:c r="D82" s="2" t="str">
        <x:v>Reviewer_A</x:v>
      </x:c>
      <x:c r="E82" s="2" t="str">
        <x:v>Reviewer_A</x:v>
      </x:c>
      <x:c r="F82" s="2" t="str">
        <x:v>necessary_step</x:v>
      </x:c>
      <x:c r="G82" s="6" t="str">
        <x:v>Traceability Matrix Generation</x:v>
      </x:c>
      <x:c r="H82" s="2" t="str">
        <x:v>system</x:v>
      </x:c>
      <x:c r="I82" s="2" t="str">
        <x:v>automatically generates matrices linking</x:v>
      </x:c>
      <x:c r="J82" s="2" t="str">
        <x:v>Requirements for test cases; Test cases to execution results; Business logic for validation scenarios; Change requests to impact analysis</x:v>
      </x:c>
      <x:c r="K82" s="2" t="str">
        <x:v>系统基于LLM的分析结果自动生成这些矩阵</x:v>
      </x:c>
      <x:c r="L82" s="2" t="str">
        <x:v>Necessary</x:v>
      </x:c>
      <x:c r="M82" s="6" t="str">
        <x:v>NA</x:v>
      </x:c>
      <x:c r="N82" s="2" t="str">
        <x:v>追溯矩阵生成是实现可追溯性的必要步骤，自动链接多种制品。</x:v>
      </x:c>
      <x:c r="O82" s="2" t="str">
        <x:v>traceability_matrix_generation</x:v>
      </x:c>
      <x:c r="P82" s="2" t="str">
        <x:v>必要步骤</x:v>
      </x:c>
      <x:c r="Q82" s="2" t="str">
        <x:v>NR</x:v>
      </x:c>
      <x:c r="R82" s="6" t="str">
        <x:v>SR</x:v>
      </x:c>
      <x:c r="S82" s="6" t="str">
        <x:v>p. 4; Section II.F.1 Traceability Matrix Generation</x:v>
      </x:c>
      <x:c r="T82" s="6" t="str">
        <x:v>The system automatically generates and maintains traceability matrices linking: • Requirements for test cases • Test cases to execution results • Business logic for validation scenarios • Change requests to impact analysis</x:v>
      </x:c>
      <x:c r="U82" s="6" t="str">
        <x:v>详细描述了追溯矩阵生成必须覆盖的链接类型。</x:v>
      </x:c>
      <x:c r="V82" s="2" t="str">
        <x:v>Accepted</x:v>
      </x:c>
      <x:c r="W82" s="6" t="str">
        <x:v>NA</x:v>
      </x:c>
    </x:row>
    <x:row r="83" ht="76" customHeight="1">
      <x:c r="A83" s="2" t="str">
        <x:v>S25-CONCEPT-R04</x:v>
      </x:c>
      <x:c r="B83" s="2" t="str">
        <x:v>S25</x:v>
      </x:c>
      <x:c r="C83" s="2" t="str">
        <x:v>merged_1185</x:v>
      </x:c>
      <x:c r="D83" s="2" t="str">
        <x:v>Reviewer_A</x:v>
      </x:c>
      <x:c r="E83" s="2" t="str">
        <x:v>Reviewer_A</x:v>
      </x:c>
      <x:c r="F83" s="2" t="str">
        <x:v>counterexample</x:v>
      </x:c>
      <x:c r="G83" s="6" t="str">
        <x:v>Context Fragmentation</x:v>
      </x:c>
      <x:c r="H83" s="2" t="str">
        <x:v>Traditional RAG systems</x:v>
      </x:c>
      <x:c r="I83" s="2" t="str">
        <x:v>lose critical business relationships</x:v>
      </x:c>
      <x:c r="J83" s="2" t="str">
        <x:v>during retrieval processes</x:v>
      </x:c>
      <x:c r="K83" s="2" t="str">
        <x:v>传统RAG系统因上下文碎片化导致追溯性差，反衬Agentic RAG的优势</x:v>
      </x:c>
      <x:c r="L83" s="2" t="str">
        <x:v>Not applicable</x:v>
      </x:c>
      <x:c r="M83" s="6" t="str">
        <x:v>传统RAG丢失关键业务关系，造成追溯性不足</x:v>
      </x:c>
      <x:c r="N83" s="2" t="str">
        <x:v>传统RAG系统的上下文碎片化是一个反例，阻碍了有效的可追溯性。</x:v>
      </x:c>
      <x:c r="O83" s="2" t="str">
        <x:v>context_fragmentation_counterexample</x:v>
      </x:c>
      <x:c r="P83" s="2" t="str">
        <x:v>反例</x:v>
      </x:c>
      <x:c r="Q83" s="2" t="str">
        <x:v>NR</x:v>
      </x:c>
      <x:c r="R83" s="6" t="str">
        <x:v>SR</x:v>
      </x:c>
      <x:c r="S83" s="6" t="str">
        <x:v>p. 3; Section I.F Limitations of Current Approaches</x:v>
      </x:c>
      <x:c r="T83" s="6" t="str">
        <x:v>Context Fragmentation: Traditional RAG systems lose critical business relationships during retrieval processes</x:v>
      </x:c>
      <x:c r="U83" s="6" t="str">
        <x:v>通过指出传统RAG的局限性，强化了引入Agentic RAG的必要性。</x:v>
      </x:c>
      <x:c r="V83" s="2" t="str">
        <x:v>Accepted</x:v>
      </x:c>
      <x:c r="W83" s="6" t="str">
        <x:v>NA</x:v>
      </x:c>
    </x:row>
    <x:row r="84" ht="76" customHeight="1">
      <x:c r="A84" s="2" t="str">
        <x:v>S26-CONCEPT-R01</x:v>
      </x:c>
      <x:c r="B84" s="2" t="str">
        <x:v>S26</x:v>
      </x:c>
      <x:c r="C84" s="2" t="str">
        <x:v>merged_1212</x:v>
      </x:c>
      <x:c r="D84" s="2" t="str">
        <x:v>Reviewer_A</x:v>
      </x:c>
      <x:c r="E84" s="2" t="str">
        <x:v>Reviewer_A</x:v>
      </x:c>
      <x:c r="F84" s="2" t="str">
        <x:v>scope</x:v>
      </x:c>
      <x:c r="G84" s="6" t="str">
        <x:v>Large Language Models</x:v>
      </x:c>
      <x:c r="H84" s="2" t="str">
        <x:v>LLMs</x:v>
      </x:c>
      <x:c r="I84" s="2" t="str">
        <x:v>address</x:v>
      </x:c>
      <x:c r="J84" s="2" t="str">
        <x:v>traceability challenges</x:v>
      </x:c>
      <x:c r="K84" s="2" t="str">
        <x:v>LLM用于解决可追溯性挑战</x:v>
      </x:c>
      <x:c r="L84" s="2" t="str">
        <x:v>Not applicable</x:v>
      </x:c>
      <x:c r="M84" s="6" t="str">
        <x:v>NA</x:v>
      </x:c>
      <x:c r="N84" s="2" t="str">
        <x:v>本研究探讨LLM如何解决可追溯性的基本挑战</x:v>
      </x:c>
      <x:c r="O84" s="2" t="str">
        <x:v>LLM4ST_scope</x:v>
      </x:c>
      <x:c r="P84" s="2" t="str">
        <x:v>研究范围</x:v>
      </x:c>
      <x:c r="Q84" s="2" t="str">
        <x:v>NR</x:v>
      </x:c>
      <x:c r="R84" s="6" t="str">
        <x:v>SR</x:v>
      </x:c>
      <x:c r="S84" s="6" t="str">
        <x:v>p. 1; Abstract</x:v>
      </x:c>
      <x:c r="T84" s="6" t="str">
        <x:v>This research investigates how Large Language Models (LLMs) can address fundamental traceability challenges across four key areas</x:v>
      </x:c>
      <x:c r="U84" s="6" t="str">
        <x:v>论文范围声明：LLM应对可追溯性挑战</x:v>
      </x:c>
      <x:c r="V84" s="2" t="str">
        <x:v>Accepted</x:v>
      </x:c>
      <x:c r="W84" s="6" t="str">
        <x:v>NA</x:v>
      </x:c>
    </x:row>
    <x:row r="85" ht="76" customHeight="1">
      <x:c r="A85" s="2" t="str">
        <x:v>S26-CONCEPT-R02</x:v>
      </x:c>
      <x:c r="B85" s="2" t="str">
        <x:v>S26</x:v>
      </x:c>
      <x:c r="C85" s="2" t="str">
        <x:v>merged_1212</x:v>
      </x:c>
      <x:c r="D85" s="2" t="str">
        <x:v>Reviewer_A</x:v>
      </x:c>
      <x:c r="E85" s="2" t="str">
        <x:v>Reviewer_A</x:v>
      </x:c>
      <x:c r="F85" s="2" t="str">
        <x:v>necessary_step</x:v>
      </x:c>
      <x:c r="G85" s="6" t="str">
        <x:v>combine prompt-engineering strategies with traditional information retrieval (IR) methods</x:v>
      </x:c>
      <x:c r="H85" s="2" t="str">
        <x:v>LLMs</x:v>
      </x:c>
      <x:c r="I85" s="2" t="str">
        <x:v>combined with</x:v>
      </x:c>
      <x:c r="J85" s="2" t="str">
        <x:v>IR methods</x:v>
      </x:c>
      <x:c r="K85" s="2" t="str">
        <x:v>LLM需要与IR方法结合以提高预测准确性</x:v>
      </x:c>
      <x:c r="L85" s="2" t="str">
        <x:v>Necessary</x:v>
      </x:c>
      <x:c r="M85" s="6" t="str">
        <x:v>NA</x:v>
      </x:c>
      <x:c r="N85" s="2" t="str">
        <x:v>将提示工程策略与传统信息检索方法结合是LLM生成追溯链接预测的必要步骤</x:v>
      </x:c>
      <x:c r="O85" s="2" t="str">
        <x:v>LLM_IR_combination</x:v>
      </x:c>
      <x:c r="P85" s="2" t="str">
        <x:v>方法组合</x:v>
      </x:c>
      <x:c r="Q85" s="2" t="str">
        <x:v>NR</x:v>
      </x:c>
      <x:c r="R85" s="6" t="str">
        <x:v>SR</x:v>
      </x:c>
      <x:c r="S85" s="6" t="str">
        <x:v>p. 3; III.A Improved Trace-Link Prediction</x:v>
      </x:c>
      <x:c r="T85" s="6" t="str">
        <x:v>we introduce several approaches that combine prompt-engineering strategies with traditional information retrieval (IR) methods to enhance LLMs’ ability to generate trace link predictions</x:v>
      </x:c>
      <x:c r="U85" s="6" t="str">
        <x:v>必要步骤：LLM与IR结合用于追溯链接预测</x:v>
      </x:c>
      <x:c r="V85" s="2" t="str">
        <x:v>Accepted</x:v>
      </x:c>
      <x:c r="W85" s="6" t="str">
        <x:v>NA</x:v>
      </x:c>
    </x:row>
    <x:row r="86" ht="76" customHeight="1">
      <x:c r="A86" s="2" t="str">
        <x:v>S26-CONCEPT-R03</x:v>
      </x:c>
      <x:c r="B86" s="2" t="str">
        <x:v>S26</x:v>
      </x:c>
      <x:c r="C86" s="2" t="str">
        <x:v>merged_1212</x:v>
      </x:c>
      <x:c r="D86" s="2" t="str">
        <x:v>Reviewer_A</x:v>
      </x:c>
      <x:c r="E86" s="2" t="str">
        <x:v>Reviewer_A</x:v>
      </x:c>
      <x:c r="F86" s="2" t="str">
        <x:v>scope</x:v>
      </x:c>
      <x:c r="G86" s="6" t="str">
        <x:v>bottom-up approach</x:v>
      </x:c>
      <x:c r="H86" s="2" t="str">
        <x:v>LLM-driven workflows</x:v>
      </x:c>
      <x:c r="I86" s="2" t="str">
        <x:v>generate</x:v>
      </x:c>
      <x:c r="J86" s="2" t="str">
        <x:v>hierarchies of interconnected software artifacts</x:v>
      </x:c>
      <x:c r="K86" s="2" t="str">
        <x:v>LLM驱动的工作流从代码自底向上生成工件层次结构</x:v>
      </x:c>
      <x:c r="L86" s="2" t="str">
        <x:v>Not applicable</x:v>
      </x:c>
      <x:c r="M86" s="6" t="str">
        <x:v>NA</x:v>
      </x:c>
      <x:c r="N86" s="2" t="str">
        <x:v>采用自底向上的方法生成互连的软件工件层次结构以支持文档不足的项目</x:v>
      </x:c>
      <x:c r="O86" s="2" t="str">
        <x:v>bottom_up_generation</x:v>
      </x:c>
      <x:c r="P86" s="2" t="str">
        <x:v>生成方法</x:v>
      </x:c>
      <x:c r="Q86" s="2" t="str">
        <x:v>NR</x:v>
      </x:c>
      <x:c r="R86" s="6" t="str">
        <x:v>SR</x:v>
      </x:c>
      <x:c r="S86" s="6" t="str">
        <x:v>p. 2; II.B Generation of Software Artifact Hierarchy</x:v>
      </x:c>
      <x:c r="T86" s="6" t="str">
        <x:v>takes a bottom-up approach to generate hierarchies of interconnected software artifacts that enhance project comprehension.</x:v>
      </x:c>
      <x:c r="U86" s="6" t="str">
        <x:v>范围：自底向上生成工件层次以增强项目理解</x:v>
      </x:c>
      <x:c r="V86" s="2" t="str">
        <x:v>Accepted</x:v>
      </x:c>
      <x:c r="W86" s="6" t="str">
        <x:v>NA</x:v>
      </x:c>
    </x:row>
    <x:row r="87" ht="76" customHeight="1">
      <x:c r="A87" s="2" t="str">
        <x:v>S26-CONCEPT-R04</x:v>
      </x:c>
      <x:c r="B87" s="2" t="str">
        <x:v>S26</x:v>
      </x:c>
      <x:c r="C87" s="2" t="str">
        <x:v>merged_1212</x:v>
      </x:c>
      <x:c r="D87" s="2" t="str">
        <x:v>Reviewer_A</x:v>
      </x:c>
      <x:c r="E87" s="2" t="str">
        <x:v>Reviewer_A</x:v>
      </x:c>
      <x:c r="F87" s="2" t="str">
        <x:v>necessary_step</x:v>
      </x:c>
      <x:c r="G87" s="6" t="str">
        <x:v>explicit trace links to safety standards</x:v>
      </x:c>
      <x:c r="H87" s="2" t="str">
        <x:v>framework</x:v>
      </x:c>
      <x:c r="I87" s="2" t="str">
        <x:v>promotes accountability through</x:v>
      </x:c>
      <x:c r="J87" s="2" t="str">
        <x:v>explicit trace links</x:v>
      </x:c>
      <x:c r="K87" s="2" t="str">
        <x:v>框架通过LLM自动生成显式追溯链接以支持问责制</x:v>
      </x:c>
      <x:c r="L87" s="2" t="str">
        <x:v>Necessary</x:v>
      </x:c>
      <x:c r="M87" s="6" t="str">
        <x:v>NA</x:v>
      </x:c>
      <x:c r="N87" s="2" t="str">
        <x:v>通过显式追溯链接到安全标准是实现问责制的必要步骤</x:v>
      </x:c>
      <x:c r="O87" s="2" t="str">
        <x:v>explicit_trace_links</x:v>
      </x:c>
      <x:c r="P87" s="2" t="str">
        <x:v>问责机制</x:v>
      </x:c>
      <x:c r="Q87" s="2" t="str">
        <x:v>NR</x:v>
      </x:c>
      <x:c r="R87" s="6" t="str">
        <x:v>SR</x:v>
      </x:c>
      <x:c r="S87" s="6" t="str">
        <x:v>p. 4; III.C Trace-Link and Requirement Generation for Accountability</x:v>
      </x:c>
      <x:c r="T87" s="6" t="str">
        <x:v>QUEST-RL not only supports more comprehensive requirements generation but also promoted accountability through explicit trace links to safety standards.</x:v>
      </x:c>
      <x:c r="U87" s="6" t="str">
        <x:v>必要步骤：显式追溯链接以实现问责制</x:v>
      </x:c>
      <x:c r="V87" s="2" t="str">
        <x:v>Accepted</x:v>
      </x:c>
      <x:c r="W87" s="6" t="str">
        <x:v>NA</x:v>
      </x:c>
    </x:row>
    <x:row r="88" ht="76" customHeight="1">
      <x:c r="A88" s="2" t="str">
        <x:v>S27-CONCEPT-R01</x:v>
      </x:c>
      <x:c r="B88" s="2" t="str">
        <x:v>S27</x:v>
      </x:c>
      <x:c r="C88" s="2" t="str">
        <x:v>merged_1213</x:v>
      </x:c>
      <x:c r="D88" s="2" t="str">
        <x:v>Reviewer_A</x:v>
      </x:c>
      <x:c r="E88" s="2" t="str">
        <x:v>Reviewer_A</x:v>
      </x:c>
      <x:c r="F88" s="2" t="str">
        <x:v>definition</x:v>
      </x:c>
      <x:c r="G88" s="6" t="str">
        <x:v>small LLMs</x:v>
      </x:c>
      <x:c r="H88" s="2" t="str">
        <x:v>small LLMs</x:v>
      </x:c>
      <x:c r="I88" s="2" t="str">
        <x:v>defined as</x:v>
      </x:c>
      <x:c r="J88" s="2" t="str">
        <x:v>models with fewer than 15 billion parameters</x:v>
      </x:c>
      <x:c r="K88" s="2" t="str">
        <x:v>定义小型LLM为参数少于150亿的模型。</x:v>
      </x:c>
      <x:c r="L88" s="2" t="str">
        <x:v>Not applicable</x:v>
      </x:c>
      <x:c r="M88" s="6" t="str">
        <x:v>NA</x:v>
      </x:c>
      <x:c r="N88" s="2" t="str">
        <x:v>小型LLM定义为参数量少于150亿的语言模型。</x:v>
      </x:c>
      <x:c r="O88" s="2" t="str">
        <x:v>model_size_threshold</x:v>
      </x:c>
      <x:c r="P88" s="2" t="str">
        <x:v>LLM capability definition</x:v>
      </x:c>
      <x:c r="Q88" s="2" t="str">
        <x:v>NR</x:v>
      </x:c>
      <x:c r="R88" s="6" t="str">
        <x:v>SR</x:v>
      </x:c>
      <x:c r="S88" s="6" t="str">
        <x:v>p. 1; Introduction</x:v>
      </x:c>
      <x:c r="T88" s="6" t="str">
        <x:v>small LLMs (also known as small language models (SLM)) refer to models with fewer than 15 billion parameters</x:v>
      </x:c>
      <x:c r="U88" s="6" t="str">
        <x:v>作者明确给出了小型LLM的参数规模阈值，用于区分其与大型LLM。</x:v>
      </x:c>
      <x:c r="V88" s="2" t="str">
        <x:v>Accepted</x:v>
      </x:c>
      <x:c r="W88" s="6" t="str">
        <x:v>NA</x:v>
      </x:c>
    </x:row>
    <x:row r="89" ht="76" customHeight="1">
      <x:c r="A89" s="2" t="str">
        <x:v>S27-CONCEPT-R02</x:v>
      </x:c>
      <x:c r="B89" s="2" t="str">
        <x:v>S27</x:v>
      </x:c>
      <x:c r="C89" s="2" t="str">
        <x:v>merged_1213</x:v>
      </x:c>
      <x:c r="D89" s="2" t="str">
        <x:v>Reviewer_A</x:v>
      </x:c>
      <x:c r="E89" s="2" t="str">
        <x:v>Reviewer_A</x:v>
      </x:c>
      <x:c r="F89" s="2" t="str">
        <x:v>scope</x:v>
      </x:c>
      <x:c r="G89" s="6" t="str">
        <x:v>inter-requirements traceability</x:v>
      </x:c>
      <x:c r="H89" s="2" t="str">
        <x:v>proposed approach</x:v>
      </x:c>
      <x:c r="I89" s="2" t="str">
        <x:v>targets</x:v>
      </x:c>
      <x:c r="J89" s="2" t="str">
        <x:v>inter-requirements traceability</x:v>
      </x:c>
      <x:c r="K89" s="2" t="str">
        <x:v>LLM集成方法专注于需求间可追溯性。</x:v>
      </x:c>
      <x:c r="L89" s="2" t="str">
        <x:v>Not applicable</x:v>
      </x:c>
      <x:c r="M89" s="6" t="str">
        <x:v>NA</x:v>
      </x:c>
      <x:c r="N89" s="2" t="str">
        <x:v>该方法仅适用于需求间（HLR与LLR之间）的可追溯性链接恢复。</x:v>
      </x:c>
      <x:c r="O89" s="2" t="str">
        <x:v>scope_restriction</x:v>
      </x:c>
      <x:c r="P89" s="2" t="str">
        <x:v>traceability scope</x:v>
      </x:c>
      <x:c r="Q89" s="2" t="str">
        <x:v>NR</x:v>
      </x:c>
      <x:c r="R89" s="6" t="str">
        <x:v>SR</x:v>
      </x:c>
      <x:c r="S89" s="6" t="str">
        <x:v>p. 1; Abstract</x:v>
      </x:c>
      <x:c r="T89" s="6" t="str">
        <x:v>We propose an inter-requirements TLR approach</x:v>
      </x:c>
      <x:c r="U89" s="6" t="str">
        <x:v>研究范围限定在需求间可追溯性，不涉及其他制品类型。</x:v>
      </x:c>
      <x:c r="V89" s="2" t="str">
        <x:v>Accepted</x:v>
      </x:c>
      <x:c r="W89" s="6" t="str">
        <x:v>NA</x:v>
      </x:c>
    </x:row>
    <x:row r="90" ht="76" customHeight="1">
      <x:c r="A90" s="2" t="str">
        <x:v>S27-CONCEPT-R03</x:v>
      </x:c>
      <x:c r="B90" s="2" t="str">
        <x:v>S27</x:v>
      </x:c>
      <x:c r="C90" s="2" t="str">
        <x:v>merged_1213</x:v>
      </x:c>
      <x:c r="D90" s="2" t="str">
        <x:v>Reviewer_A</x:v>
      </x:c>
      <x:c r="E90" s="2" t="str">
        <x:v>Reviewer_A</x:v>
      </x:c>
      <x:c r="F90" s="2" t="str">
        <x:v>necessary_step</x:v>
      </x:c>
      <x:c r="G90" s="6" t="str">
        <x:v>layered architecture</x:v>
      </x:c>
      <x:c r="H90" s="2" t="str">
        <x:v>ensemble LLM approach</x:v>
      </x:c>
      <x:c r="I90" s="2" t="str">
        <x:v>requires</x:v>
      </x:c>
      <x:c r="J90" s="2" t="str">
        <x:v>multiple LLMs applied in succession</x:v>
      </x:c>
      <x:c r="K90" s="2" t="str">
        <x:v>集成方法必须通过多个LLM顺序过滤候选。</x:v>
      </x:c>
      <x:c r="L90" s="2" t="str">
        <x:v>Necessary</x:v>
      </x:c>
      <x:c r="M90" s="6" t="str">
        <x:v>NA</x:v>
      </x:c>
      <x:c r="N90" s="2" t="str">
        <x:v>该方法的核心必要步骤是分层的LLM链式过滤。</x:v>
      </x:c>
      <x:c r="O90" s="2" t="str">
        <x:v>sequential_filtering</x:v>
      </x:c>
      <x:c r="P90" s="2" t="str">
        <x:v>architectural pattern</x:v>
      </x:c>
      <x:c r="Q90" s="2" t="str">
        <x:v>NR</x:v>
      </x:c>
      <x:c r="R90" s="6" t="str">
        <x:v>SR</x:v>
      </x:c>
      <x:c r="S90" s="6" t="str">
        <x:v>p. 1; Introduction</x:v>
      </x:c>
      <x:c r="T90" s="6" t="str">
        <x:v>We introduce a layered architecture in which multiple LLMs are applied in succession</x:v>
      </x:c>
      <x:c r="U90" s="6" t="str">
        <x:v>作者强调多LLM顺序执行是该方法的关键架构特征。</x:v>
      </x:c>
      <x:c r="V90" s="2" t="str">
        <x:v>Accepted</x:v>
      </x:c>
      <x:c r="W90" s="6" t="str">
        <x:v>NA</x:v>
      </x:c>
    </x:row>
    <x:row r="91" ht="76" customHeight="1">
      <x:c r="A91" s="2" t="str">
        <x:v>S27-CONCEPT-R04</x:v>
      </x:c>
      <x:c r="B91" s="2" t="str">
        <x:v>S27</x:v>
      </x:c>
      <x:c r="C91" s="2" t="str">
        <x:v>merged_1213</x:v>
      </x:c>
      <x:c r="D91" s="2" t="str">
        <x:v>Reviewer_A</x:v>
      </x:c>
      <x:c r="E91" s="2" t="str">
        <x:v>Reviewer_A</x:v>
      </x:c>
      <x:c r="F91" s="2" t="str">
        <x:v>necessary_step</x:v>
      </x:c>
      <x:c r="G91" s="6" t="str">
        <x:v>simple prompt</x:v>
      </x:c>
      <x:c r="H91" s="2" t="str">
        <x:v>filtering step</x:v>
      </x:c>
      <x:c r="I91" s="2" t="str">
        <x:v>uses</x:v>
      </x:c>
      <x:c r="J91" s="2" t="str">
        <x:v>a simple prompt to identify potentially linked artifacts</x:v>
      </x:c>
      <x:c r="K91" s="2" t="str">
        <x:v>过滤步骤使用简单提示词让LLM判断是否相关。</x:v>
      </x:c>
      <x:c r="L91" s="2" t="str">
        <x:v>Necessary</x:v>
      </x:c>
      <x:c r="M91" s="6" t="str">
        <x:v>NA</x:v>
      </x:c>
      <x:c r="N91" s="2" t="str">
        <x:v>过滤步骤必须使用一个简单的提示词来识别潜在链接。</x:v>
      </x:c>
      <x:c r="O91" s="2" t="str">
        <x:v>prompt_usage</x:v>
      </x:c>
      <x:c r="P91" s="2" t="str">
        <x:v>prompt engineering</x:v>
      </x:c>
      <x:c r="Q91" s="2" t="str">
        <x:v>NR</x:v>
      </x:c>
      <x:c r="R91" s="6" t="str">
        <x:v>SR</x:v>
      </x:c>
      <x:c r="S91" s="6" t="str">
        <x:v>p. 1; Introduction</x:v>
      </x:c>
      <x:c r="T91" s="6" t="str">
        <x:v>Using a simple prompt to identify potentially linked artifacts, the approach progressively narrows down the candidate space</x:v>
      </x:c>
      <x:c r="U91" s="6" t="str">
        <x:v>简单提示词是方法的一部分，用于初步筛选。</x:v>
      </x:c>
      <x:c r="V91" s="2" t="str">
        <x:v>Accepted</x:v>
      </x:c>
      <x:c r="W91" s="6" t="str">
        <x:v>NA</x:v>
      </x:c>
    </x:row>
    <x:row r="92" ht="76" customHeight="1">
      <x:c r="A92" s="2" t="str">
        <x:v>S28-CONCEPT-R01</x:v>
      </x:c>
      <x:c r="B92" s="2" t="str">
        <x:v>S28</x:v>
      </x:c>
      <x:c r="C92" s="2" t="str">
        <x:v>merged_1214</x:v>
      </x:c>
      <x:c r="D92" s="2" t="str">
        <x:v>Reviewer_A</x:v>
      </x:c>
      <x:c r="E92" s="2" t="str">
        <x:v>Reviewer_A</x:v>
      </x:c>
      <x:c r="F92" s="2" t="str">
        <x:v>definition</x:v>
      </x:c>
      <x:c r="G92" s="6" t="str">
        <x:v>Traceability</x:v>
      </x:c>
      <x:c r="H92" s="2" t="str">
        <x:v>requirements</x:v>
      </x:c>
      <x:c r="I92" s="2" t="str">
        <x:v>link and trace the life of</x:v>
      </x:c>
      <x:c r="J92" s="2" t="str">
        <x:v>stages of the Software Development Life Cycle</x:v>
      </x:c>
      <x:c r="K92" s="2" t="str">
        <x:v>LLM被用于生成代码摘要并基于检索增强生成技术预测相关类，以建立追溯链接。</x:v>
      </x:c>
      <x:c r="L92" s="2" t="str">
        <x:v>Not applicable</x:v>
      </x:c>
      <x:c r="M92" s="6" t="str">
        <x:v>NA</x:v>
      </x:c>
      <x:c r="N92" s="2" t="str">
        <x:v>软件工程中的可追溯性指在软件开发生命周期中链接和追踪需求的前后关系。</x:v>
      </x:c>
      <x:c r="O92" s="2" t="str">
        <x:v>traceability_definition</x:v>
      </x:c>
      <x:c r="P92" s="2" t="str">
        <x:v>概念定义</x:v>
      </x:c>
      <x:c r="Q92" s="2" t="str">
        <x:v>NR</x:v>
      </x:c>
      <x:c r="R92" s="6" t="str">
        <x:v>SR</x:v>
      </x:c>
      <x:c r="S92" s="6" t="str">
        <x:v>p. 4; Section 2</x:v>
      </x:c>
      <x:c r="T92" s="6" t="str">
        <x:v>Traceability in software engineering refers to the ability to link and trace the life of a requirement, forward and backward, throughout the stages of the Software Development Life Cycle.</x:v>
      </x:c>
      <x:c r="U92" s="6" t="str">
        <x:v>论文给出的追溯性通用定义。</x:v>
      </x:c>
      <x:c r="V92" s="2" t="str">
        <x:v>Accepted</x:v>
      </x:c>
      <x:c r="W92" s="6" t="str">
        <x:v>NA</x:v>
      </x:c>
    </x:row>
    <x:row r="93" ht="76" customHeight="1">
      <x:c r="A93" s="2" t="str">
        <x:v>S28-CONCEPT-R02</x:v>
      </x:c>
      <x:c r="B93" s="2" t="str">
        <x:v>S28</x:v>
      </x:c>
      <x:c r="C93" s="2" t="str">
        <x:v>merged_1214</x:v>
      </x:c>
      <x:c r="D93" s="2" t="str">
        <x:v>Reviewer_A</x:v>
      </x:c>
      <x:c r="E93" s="2" t="str">
        <x:v>Reviewer_A</x:v>
      </x:c>
      <x:c r="F93" s="2" t="str">
        <x:v>scope</x:v>
      </x:c>
      <x:c r="G93" s="6" t="str">
        <x:v>LLM-supported retrieval augmented generation approach</x:v>
      </x:c>
      <x:c r="H93" s="2" t="str">
        <x:v>natural language use case requirements</x:v>
      </x:c>
      <x:c r="I93" s="2" t="str">
        <x:v>enhancing traceability to</x:v>
      </x:c>
      <x:c r="J93" s="2" t="str">
        <x:v>class diagram of the code</x:v>
      </x:c>
      <x:c r="K93" s="2" t="str">
        <x:v>LLM作为生成器，在检索增强生成的框架下接收检索到的上下文并预测与需求相关的类。</x:v>
      </x:c>
      <x:c r="L93" s="2" t="str">
        <x:v>Not applicable</x:v>
      </x:c>
      <x:c r="M93" s="6" t="str">
        <x:v>NA</x:v>
      </x:c>
      <x:c r="N93" s="2" t="str">
        <x:v>本文提出一种LLM支持的RAG方法，用于增强自然语言用例需求到代码类图的可追溯性。</x:v>
      </x:c>
      <x:c r="O93" s="2" t="str">
        <x:v>scope_definition</x:v>
      </x:c>
      <x:c r="P93" s="2" t="str">
        <x:v>范围界定</x:v>
      </x:c>
      <x:c r="Q93" s="2" t="str">
        <x:v>NR</x:v>
      </x:c>
      <x:c r="R93" s="6" t="str">
        <x:v>SR</x:v>
      </x:c>
      <x:c r="S93" s="6" t="str">
        <x:v>p. 1; Abstract</x:v>
      </x:c>
      <x:c r="T93" s="6" t="str">
        <x:v>This paper introduces an LLM-supported retrieval augmented generation approach for enhancing requirements traceability to the class diagram of the code, incorporating keyword, vector, and graph indexing techniques, and their integrated application.</x:v>
      </x:c>
      <x:c r="U93" s="6" t="str">
        <x:v>论文明确的研究范围声明。</x:v>
      </x:c>
      <x:c r="V93" s="2" t="str">
        <x:v>Accepted</x:v>
      </x:c>
      <x:c r="W93" s="6" t="str">
        <x:v>NA</x:v>
      </x:c>
    </x:row>
    <x:row r="94" ht="76" customHeight="1">
      <x:c r="A94" s="2" t="str">
        <x:v>S28-CONCEPT-R03</x:v>
      </x:c>
      <x:c r="B94" s="2" t="str">
        <x:v>S28</x:v>
      </x:c>
      <x:c r="C94" s="2" t="str">
        <x:v>merged_1214</x:v>
      </x:c>
      <x:c r="D94" s="2" t="str">
        <x:v>Reviewer_A</x:v>
      </x:c>
      <x:c r="E94" s="2" t="str">
        <x:v>Reviewer_A</x:v>
      </x:c>
      <x:c r="F94" s="2" t="str">
        <x:v>boundary</x:v>
      </x:c>
      <x:c r="G94" s="6" t="str">
        <x:v>textual similarities</x:v>
      </x:c>
      <x:c r="H94" s="2" t="str">
        <x:v>high-level NL requirements</x:v>
      </x:c>
      <x:c r="I94" s="2" t="str">
        <x:v>semantic gap between</x:v>
      </x:c>
      <x:c r="J94" s="2" t="str">
        <x:v>code</x:v>
      </x:c>
      <x:c r="K94" s="2" t="str">
        <x:v>LLM被用来弥补这一语义鸿沟，因其具备同时理解自然语言和代码语法的能力。</x:v>
      </x:c>
      <x:c r="L94" s="2" t="str">
        <x:v>Not applicable</x:v>
      </x:c>
      <x:c r="M94" s="6" t="str">
        <x:v>仅使用文本相似性的方法无法弥合高层需求与代码之间的语义鸿沟，导致精度低。</x:v>
      </x:c>
      <x:c r="N94" s="2" t="str">
        <x:v>依赖文本相似性的自动追溯方法因无法弥合语义鸿沟而精度低下。</x:v>
      </x:c>
      <x:c r="O94" s="2" t="str">
        <x:v>limitation_existing</x:v>
      </x:c>
      <x:c r="P94" s="2" t="str">
        <x:v>现有方法局限</x:v>
      </x:c>
      <x:c r="Q94" s="2" t="str">
        <x:v>NR</x:v>
      </x:c>
      <x:c r="R94" s="6" t="str">
        <x:v>SR</x:v>
      </x:c>
      <x:c r="S94" s="6" t="str">
        <x:v>p. 2; Section 1</x:v>
      </x:c>
      <x:c r="T94" s="6" t="str">
        <x:v>Automated approaches that utilize textual similarities between artifacts to establish trace links exist, however, these approaches tend to achieve low precision at reasonable recall levels, as they are not able to bridge the semantic gap between high-level NL requirements and code [14].</x:v>
      </x:c>
      <x:c r="U94" s="6" t="str">
        <x:v>该句指出了现有方法的局限，为本研究的动机所在。</x:v>
      </x:c>
      <x:c r="V94" s="2" t="str">
        <x:v>Accepted</x:v>
      </x:c>
      <x:c r="W94" s="6" t="str">
        <x:v>NA</x:v>
      </x:c>
    </x:row>
    <x:row r="95" ht="76" customHeight="1">
      <x:c r="A95" s="2" t="str">
        <x:v>S28-CONCEPT-R04</x:v>
      </x:c>
      <x:c r="B95" s="2" t="str">
        <x:v>S28</x:v>
      </x:c>
      <x:c r="C95" s="2" t="str">
        <x:v>merged_1214</x:v>
      </x:c>
      <x:c r="D95" s="2" t="str">
        <x:v>Reviewer_A</x:v>
      </x:c>
      <x:c r="E95" s="2" t="str">
        <x:v>Reviewer_A</x:v>
      </x:c>
      <x:c r="F95" s="2" t="str">
        <x:v>necessary_step</x:v>
      </x:c>
      <x:c r="G95" s="6" t="str">
        <x:v>LLM-based code summary generation</x:v>
      </x:c>
      <x:c r="H95" s="2" t="str">
        <x:v>source code of the whole class</x:v>
      </x:c>
      <x:c r="I95" s="2" t="str">
        <x:v>generate the class docstring</x:v>
      </x:c>
      <x:c r="J95" s="2" t="str">
        <x:v>code docstring</x:v>
      </x:c>
      <x:c r="K95" s="2" t="str">
        <x:v>LLM接收整个类的源代码并生成描述类目的、属性及方法的文档字符串。</x:v>
      </x:c>
      <x:c r="L95" s="2" t="str">
        <x:v>Necessary</x:v>
      </x:c>
      <x:c r="M95" s="6" t="str">
        <x:v>NA</x:v>
      </x:c>
      <x:c r="N95" s="2" t="str">
        <x:v>当代码文档字符串缺失或不完整时，使用LLM生成类摘要是必要步骤。</x:v>
      </x:c>
      <x:c r="O95" s="2" t="str">
        <x:v>necessary_step_summary</x:v>
      </x:c>
      <x:c r="P95" s="2" t="str">
        <x:v>必要步骤</x:v>
      </x:c>
      <x:c r="Q95" s="2" t="str">
        <x:v>NR</x:v>
      </x:c>
      <x:c r="R95" s="6" t="str">
        <x:v>SR</x:v>
      </x:c>
      <x:c r="S95" s="6" t="str">
        <x:v>p. 8; Section 4.1</x:v>
      </x:c>
      <x:c r="T95" s="6" t="str">
        <x:v>There are cases where the classes i) do not have any docstrings; ii) the docstrings are incomplete; or iii) the docstrings are generic and do not capture the high-level purpose in the codebase</x:v>
      </x:c>
      <x:c r="U95" s="6" t="str">
        <x:v>LLM生成摘要是弥补代码文档缺失的必要措施。</x:v>
      </x:c>
      <x:c r="V95" s="2" t="str">
        <x:v>Accepted</x:v>
      </x:c>
      <x:c r="W95" s="6" t="str">
        <x:v>NA</x:v>
      </x:c>
    </x:row>
    <x:row r="96" ht="76" customHeight="1">
      <x:c r="A96" s="2" t="str">
        <x:v>S29-CONCEPT-R01</x:v>
      </x:c>
      <x:c r="B96" s="2" t="str">
        <x:v>S29</x:v>
      </x:c>
      <x:c r="C96" s="2" t="str">
        <x:v>merged_1215-v4</x:v>
      </x:c>
      <x:c r="D96" s="2" t="str">
        <x:v>Reviewer_A</x:v>
      </x:c>
      <x:c r="E96" s="2" t="str">
        <x:v>Reviewer_A</x:v>
      </x:c>
      <x:c r="F96" s="2" t="str">
        <x:v>definition</x:v>
      </x:c>
      <x:c r="G96" s="6" t="str">
        <x:v>TVR</x:v>
      </x:c>
      <x:c r="H96" s="2" t="str">
        <x:v>TVR</x:v>
      </x:c>
      <x:c r="I96" s="2" t="str">
        <x:v>is a</x:v>
      </x:c>
      <x:c r="J96" s="2" t="str">
        <x:v>retrieval-augmented approach that leverages generative LLMs for requirements traceability validation and recovery</x:v>
      </x:c>
      <x:c r="K96" s="2" t="str">
        <x:v>使用生成式LLM进行需求可追溯性验证和恢复，并利用检索增强提供上下文示例。</x:v>
      </x:c>
      <x:c r="L96" s="2" t="str">
        <x:v>Necessary</x:v>
      </x:c>
      <x:c r="M96" s="6" t="str">
        <x:v>NA</x:v>
      </x:c>
      <x:c r="N96" s="2" t="str">
        <x:v>TVR利用检索增强生成和生成式大语言模型进行需求可追溯性验证与恢复。</x:v>
      </x:c>
      <x:c r="O96" s="2" t="str">
        <x:v>definition</x:v>
      </x:c>
      <x:c r="P96" s="2" t="str">
        <x:v>approach definition</x:v>
      </x:c>
      <x:c r="Q96" s="2" t="str">
        <x:v>NR</x:v>
      </x:c>
      <x:c r="R96" s="6" t="str">
        <x:v>SR</x:v>
      </x:c>
      <x:c r="S96" s="6" t="str">
        <x:v>p. 8; Section 3</x:v>
      </x:c>
      <x:c r="T96" s="6" t="str">
        <x:v>TVR is a retrieval-augmented approach that leverages generative LLMs for requirements traceability validation and recovery.</x:v>
      </x:c>
      <x:c r="U96" s="6" t="str">
        <x:v>论文明确将TVR定义为一种利用生成式LLM进行可追溯性验证和恢复的RAG方法，LLM是核心组件。</x:v>
      </x:c>
      <x:c r="V96" s="2" t="str">
        <x:v>Accepted</x:v>
      </x:c>
      <x:c r="W96" s="6" t="str">
        <x:v>NA</x:v>
      </x:c>
    </x:row>
    <x:row r="97" ht="76" customHeight="1">
      <x:c r="A97" s="2" t="str">
        <x:v>S29-CONCEPT-R02</x:v>
      </x:c>
      <x:c r="B97" s="2" t="str">
        <x:v>S29</x:v>
      </x:c>
      <x:c r="C97" s="2" t="str">
        <x:v>merged_1215-v4</x:v>
      </x:c>
      <x:c r="D97" s="2" t="str">
        <x:v>Reviewer_A</x:v>
      </x:c>
      <x:c r="E97" s="2" t="str">
        <x:v>Reviewer_A</x:v>
      </x:c>
      <x:c r="F97" s="2" t="str">
        <x:v>scope</x:v>
      </x:c>
      <x:c r="G97" s="6" t="str">
        <x:v>traceability validation</x:v>
      </x:c>
      <x:c r="H97" s="2" t="str">
        <x:v>task</x:v>
      </x:c>
      <x:c r="I97" s="2" t="str">
        <x:v>is narrowed to</x:v>
      </x:c>
      <x:c r="J97" s="2" t="str">
        <x:v>validating whether a system requirement covers the message or signal in the stakeholder requirement</x:v>
      </x:c>
      <x:c r="K97" s="2" t="str">
        <x:v>LLM被指示仅关注需求中的消息或信号，执行特定的验证任务。</x:v>
      </x:c>
      <x:c r="L97" s="2" t="str">
        <x:v>Not applicable</x:v>
      </x:c>
      <x:c r="M97" s="6" t="str">
        <x:v>NA</x:v>
      </x:c>
      <x:c r="N97" s="2" t="str">
        <x:v>可追溯性验证任务被限定为检查系统需求是否覆盖了利益相关者需求中的消息或信号。</x:v>
      </x:c>
      <x:c r="O97" s="2" t="str">
        <x:v>scope refinement</x:v>
      </x:c>
      <x:c r="P97" s="2" t="str">
        <x:v>task scope</x:v>
      </x:c>
      <x:c r="Q97" s="2" t="str">
        <x:v>NR</x:v>
      </x:c>
      <x:c r="R97" s="6" t="str">
        <x:v>SR</x:v>
      </x:c>
      <x:c r="S97" s="6" t="str">
        <x:v>p. 9; Section 3.2</x:v>
      </x:c>
      <x:c r="T97" s="6" t="str">
        <x:v>We define our task as validating whether a system requirement covers a stakeholder requirement. While traceability validation is a broad concept, we narrow its scope in our context to focus specifically on whether the system requirement covers the message or signal in the stakeholder requirement.</x:v>
      </x:c>
      <x:c r="U97" s="6" t="str">
        <x:v>该声明界定了TVR中可追溯性验证的具体范围，避免LLM被一般性的“可追溯性”概念误导，使其专注于消息/信号覆盖。</x:v>
      </x:c>
      <x:c r="V97" s="2" t="str">
        <x:v>Accepted</x:v>
      </x:c>
      <x:c r="W97" s="6" t="str">
        <x:v>NA</x:v>
      </x:c>
    </x:row>
    <x:row r="98" ht="76" customHeight="1">
      <x:c r="A98" s="2" t="str">
        <x:v>S29-CONCEPT-R03</x:v>
      </x:c>
      <x:c r="B98" s="2" t="str">
        <x:v>S29</x:v>
      </x:c>
      <x:c r="C98" s="2" t="str">
        <x:v>merged_1215-v4</x:v>
      </x:c>
      <x:c r="D98" s="2" t="str">
        <x:v>Reviewer_A</x:v>
      </x:c>
      <x:c r="E98" s="2" t="str">
        <x:v>Reviewer_A</x:v>
      </x:c>
      <x:c r="F98" s="2" t="str">
        <x:v>boundary</x:v>
      </x:c>
      <x:c r="G98" s="6" t="str">
        <x:v>focus</x:v>
      </x:c>
      <x:c r="H98" s="2" t="str">
        <x:v>study</x:v>
      </x:c>
      <x:c r="I98" s="2" t="str">
        <x:v>focuses on</x:v>
      </x:c>
      <x:c r="J98" s="2" t="str">
        <x:v>Lost Communication and Implausible Data DTC requirements</x:v>
      </x:c>
      <x:c r="K98" s="2" t="str">
        <x:v>NA</x:v>
      </x:c>
      <x:c r="L98" s="2" t="str">
        <x:v>Not applicable</x:v>
      </x:c>
      <x:c r="M98" s="6" t="str">
        <x:v>NA</x:v>
      </x:c>
      <x:c r="N98" s="2" t="str">
        <x:v>研究主要关注丢失通信和不可信数据两种网络故障类型的DTC需求。</x:v>
      </x:c>
      <x:c r="O98" s="2" t="str">
        <x:v>boundary</x:v>
      </x:c>
      <x:c r="P98" s="2" t="str">
        <x:v>domain boundary</x:v>
      </x:c>
      <x:c r="Q98" s="2" t="str">
        <x:v>NR</x:v>
      </x:c>
      <x:c r="R98" s="6" t="str">
        <x:v>SR</x:v>
      </x:c>
      <x:c r="S98" s="6" t="str">
        <x:v>p. 7; Section 2.1.4</x:v>
      </x:c>
      <x:c r="T98" s="6" t="str">
        <x:v>In this study, we primarily focus on the two types of network failures due to data availability: “Lost Communication” and “Implausible Data”.</x:v>
      </x:c>
      <x:c r="U98" s="6" t="str">
        <x:v>该声明明确了TVR研究所针对的DTC需求类型，界定了其应用范围。</x:v>
      </x:c>
      <x:c r="V98" s="2" t="str">
        <x:v>Accepted</x:v>
      </x:c>
      <x:c r="W98" s="6" t="str">
        <x:v>NA</x:v>
      </x:c>
    </x:row>
    <x:row r="99" ht="76" customHeight="1">
      <x:c r="A99" s="2" t="str">
        <x:v>S29-CONCEPT-R04</x:v>
      </x:c>
      <x:c r="B99" s="2" t="str">
        <x:v>S29</x:v>
      </x:c>
      <x:c r="C99" s="2" t="str">
        <x:v>merged_1215-v4</x:v>
      </x:c>
      <x:c r="D99" s="2" t="str">
        <x:v>Reviewer_A</x:v>
      </x:c>
      <x:c r="E99" s="2" t="str">
        <x:v>Reviewer_A</x:v>
      </x:c>
      <x:c r="F99" s="2" t="str">
        <x:v>necessary_step</x:v>
      </x:c>
      <x:c r="G99" s="6" t="str">
        <x:v>retriever</x:v>
      </x:c>
      <x:c r="H99" s="2" t="str">
        <x:v>retriever</x:v>
      </x:c>
      <x:c r="I99" s="2" t="str">
        <x:v>identifies and retrieves</x:v>
      </x:c>
      <x:c r="J99" s="2" t="str">
        <x:v>most similar examples from Dtrain</x:v>
      </x:c>
      <x:c r="K99" s="2" t="str">
        <x:v>检索器本身不直接使用LLM，但它为LLM生成器提供必要的上下文示例，是RAG流程的必要步骤。</x:v>
      </x:c>
      <x:c r="L99" s="2" t="str">
        <x:v>Necessary</x:v>
      </x:c>
      <x:c r="M99" s="6" t="str">
        <x:v>NA</x:v>
      </x:c>
      <x:c r="N99" s="2" t="str">
        <x:v>TVR中的检索器负责找出最相似的示例对，作为生成式大语言模型的输入上下文。</x:v>
      </x:c>
      <x:c r="O99" s="2" t="str">
        <x:v>necessary_step</x:v>
      </x:c>
      <x:c r="P99" s="2" t="str">
        <x:v>component</x:v>
      </x:c>
      <x:c r="Q99" s="2" t="str">
        <x:v>NR</x:v>
      </x:c>
      <x:c r="R99" s="6" t="str">
        <x:v>SR</x:v>
      </x:c>
      <x:c r="S99" s="6" t="str">
        <x:v>p. 8; Section 3.1</x:v>
      </x:c>
      <x:c r="T99" s="6" t="str">
        <x:v>The retriever identifies and retrieves the most similar examples from Dtrain that closely match xtest , serving as input to the generator.</x:v>
      </x:c>
      <x:c r="U99" s="6" t="str">
        <x:v>检索器是TVR方法的核心组件之一，为LLM提供示例，是达到高性能的必要步骤。</x:v>
      </x:c>
      <x:c r="V99" s="2" t="str">
        <x:v>Accepted</x:v>
      </x:c>
      <x:c r="W99" s="6" t="str">
        <x:v>NA</x:v>
      </x:c>
    </x:row>
    <x:row r="100" ht="76" customHeight="1">
      <x:c r="A100" s="2" t="str">
        <x:v>S29-CONCEPT-R05</x:v>
      </x:c>
      <x:c r="B100" s="2" t="str">
        <x:v>S29</x:v>
      </x:c>
      <x:c r="C100" s="2" t="str">
        <x:v>merged_1215-v4</x:v>
      </x:c>
      <x:c r="D100" s="2" t="str">
        <x:v>Reviewer_A</x:v>
      </x:c>
      <x:c r="E100" s="2" t="str">
        <x:v>Reviewer_A</x:v>
      </x:c>
      <x:c r="F100" s="2" t="str">
        <x:v>counterexample</x:v>
      </x:c>
      <x:c r="G100" s="6" t="str">
        <x:v>Existing approaches</x:v>
      </x:c>
      <x:c r="H100" s="2" t="str">
        <x:v>existing approaches</x:v>
      </x:c>
      <x:c r="I100" s="2" t="str">
        <x:v>do not address</x:v>
      </x:c>
      <x:c r="J100" s="2" t="str">
        <x:v>traceability between stakeholder and system requirements and are not validated on industrial data</x:v>
      </x:c>
      <x:c r="K100" s="2" t="str">
        <x:v>TVR利用LLM解决此问题，而现有方法未能处理该类型可追溯性。</x:v>
      </x:c>
      <x:c r="L100" s="2" t="str">
        <x:v>Not applicable</x:v>
      </x:c>
      <x:c r="M100" s="6" t="str">
        <x:v>现有方法未处理利益相关者与系统需求间的可追溯性，且未在工业数据上验证。</x:v>
      </x:c>
      <x:c r="N100" s="2" t="str">
        <x:v>现有方法未解决利益相关者需求与系统需求间的可追溯性问题，且未在工业数据上验证。</x:v>
      </x:c>
      <x:c r="O100" s="2" t="str">
        <x:v>counterexample</x:v>
      </x:c>
      <x:c r="P100" s="2" t="str">
        <x:v>limitation of prior work</x:v>
      </x:c>
      <x:c r="Q100" s="2" t="str">
        <x:v>NR</x:v>
      </x:c>
      <x:c r="R100" s="6" t="str">
        <x:v>SR</x:v>
      </x:c>
      <x:c r="S100" s="6" t="str">
        <x:v>p. 1; Abstract</x:v>
      </x:c>
      <x:c r="T100" s="6" t="str">
        <x:v>Existing approaches do not address traceability between stakeholder and system requirements and are not validated on industrial data</x:v>
      </x:c>
      <x:c r="U100" s="6" t="str">
        <x:v>该声明指出现有工作的不足，作为TVR研究的动机对比。</x:v>
      </x:c>
      <x:c r="V100" s="2" t="str">
        <x:v>Accepted</x:v>
      </x:c>
      <x:c r="W100" s="6" t="str">
        <x:v>NA</x:v>
      </x:c>
    </x:row>
    <x:row r="101" ht="76" customHeight="1">
      <x:c r="A101" s="2" t="str">
        <x:v>S30-CONCEPT-R01</x:v>
      </x:c>
      <x:c r="B101" s="2" t="str">
        <x:v>S30</x:v>
      </x:c>
      <x:c r="C101" s="2" t="str">
        <x:v>merged_1218</x:v>
      </x:c>
      <x:c r="D101" s="2" t="str">
        <x:v>Reviewer_A</x:v>
      </x:c>
      <x:c r="E101" s="2" t="str">
        <x:v>Reviewer_A</x:v>
      </x:c>
      <x:c r="F101" s="2" t="str">
        <x:v>definition</x:v>
      </x:c>
      <x:c r="G101" s="6" t="str">
        <x:v>GraphRAG Dialogue Insights (GDI) framework</x:v>
      </x:c>
      <x:c r="H101" s="2" t="str">
        <x:v>GDI</x:v>
      </x:c>
      <x:c r="I101" s="2" t="str">
        <x:v>uses</x:v>
      </x:c>
      <x:c r="J101" s="2" t="str">
        <x:v>knowledge graphs, RAG, and LLMs to enable users to query work items in NL</x:v>
      </x:c>
      <x:c r="K101" s="2" t="str">
        <x:v>LLM作为核心组件，负责将自然语言问题转换为图查询并生成自然语言回答。</x:v>
      </x:c>
      <x:c r="L101" s="2" t="str">
        <x:v>NA</x:v>
      </x:c>
      <x:c r="M101" s="6" t="str">
        <x:v>NA</x:v>
      </x:c>
      <x:c r="N101" s="2" t="str">
        <x:v>GDI框架通过知识图谱、RAG和LLM实现自然语言查询工作项。</x:v>
      </x:c>
      <x:c r="O101" s="2" t="str">
        <x:v>framework_definition</x:v>
      </x:c>
      <x:c r="P101" s="2" t="str">
        <x:v>GDI_components</x:v>
      </x:c>
      <x:c r="Q101" s="2" t="str">
        <x:v>NR</x:v>
      </x:c>
      <x:c r="R101" s="6" t="str">
        <x:v>SR</x:v>
      </x:c>
      <x:c r="S101" s="6" t="str">
        <x:v>p. 1; Abstract</x:v>
      </x:c>
      <x:c r="T101" s="6" t="str">
        <x:v>Augmented Generation (RAG), and Large Language Models (LLMs) to enable users to query work items in natural language</x:v>
      </x:c>
      <x:c r="U101" s="6" t="str">
        <x:v>该声明定义了GDI框架的核心组成：知识图谱、RAG和LLM，用于实现自然语言查询。</x:v>
      </x:c>
      <x:c r="V101" s="2" t="str">
        <x:v>Accepted</x:v>
      </x:c>
      <x:c r="W101" s="6" t="str">
        <x:v>NA</x:v>
      </x:c>
    </x:row>
    <x:row r="102" ht="76" customHeight="1">
      <x:c r="A102" s="2" t="str">
        <x:v>S30-CONCEPT-R02</x:v>
      </x:c>
      <x:c r="B102" s="2" t="str">
        <x:v>S30</x:v>
      </x:c>
      <x:c r="C102" s="2" t="str">
        <x:v>merged_1218</x:v>
      </x:c>
      <x:c r="D102" s="2" t="str">
        <x:v>Reviewer_A</x:v>
      </x:c>
      <x:c r="E102" s="2" t="str">
        <x:v>Reviewer_A</x:v>
      </x:c>
      <x:c r="F102" s="2" t="str">
        <x:v>necessary_step</x:v>
      </x:c>
      <x:c r="G102" s="6" t="str">
        <x:v>query generation prompt</x:v>
      </x:c>
      <x:c r="H102" s="2" t="str">
        <x:v>LLM</x:v>
      </x:c>
      <x:c r="I102" s="2" t="str">
        <x:v>generates</x:v>
      </x:c>
      <x:c r="J102" s="2" t="str">
        <x:v>a query in the graph query language (Cypher)</x:v>
      </x:c>
      <x:c r="K102" s="2" t="str">
        <x:v>LLM必须将自然语言问题转换为图查询语言，以便从知识图谱检索上下文。</x:v>
      </x:c>
      <x:c r="L102" s="2" t="str">
        <x:v>Necessary</x:v>
      </x:c>
      <x:c r="M102" s="6" t="str">
        <x:v>NA</x:v>
      </x:c>
      <x:c r="N102" s="2" t="str">
        <x:v>LLM必须将自然语言问题转换为图查询语言，以便检索所需信息。</x:v>
      </x:c>
      <x:c r="O102" s="2" t="str">
        <x:v>query_generation_step</x:v>
      </x:c>
      <x:c r="P102" s="2" t="str">
        <x:v>LLM_query_translation</x:v>
      </x:c>
      <x:c r="Q102" s="2" t="str">
        <x:v>NR</x:v>
      </x:c>
      <x:c r="R102" s="6" t="str">
        <x:v>SR</x:v>
      </x:c>
      <x:c r="S102" s="6" t="str">
        <x:v>p. 3; Section III-A</x:v>
      </x:c>
      <x:c r="T102" s="6" t="str">
        <x:v>The GDI Core component constructs a prompt using the prompt template that includes the knowledge graph schema and the user’s question and sends it to LLM (M2). Based on this prompt, the LLM generates a query in the query language used for the knowledge graph (M3).</x:v>
      </x:c>
      <x:c r="U102" s="6" t="str">
        <x:v>该步骤是必需的，因为GDI依赖于将NL问题转换为结构化查询以从知识图谱检索上下文。</x:v>
      </x:c>
      <x:c r="V102" s="2" t="str">
        <x:v>Accepted</x:v>
      </x:c>
      <x:c r="W102" s="6" t="str">
        <x:v>NA</x:v>
      </x:c>
    </x:row>
    <x:row r="103" ht="76" customHeight="1">
      <x:c r="A103" s="2" t="str">
        <x:v>S30-CONCEPT-R03</x:v>
      </x:c>
      <x:c r="B103" s="2" t="str">
        <x:v>S30</x:v>
      </x:c>
      <x:c r="C103" s="2" t="str">
        <x:v>merged_1218</x:v>
      </x:c>
      <x:c r="D103" s="2" t="str">
        <x:v>Reviewer_A</x:v>
      </x:c>
      <x:c r="E103" s="2" t="str">
        <x:v>Reviewer_A</x:v>
      </x:c>
      <x:c r="F103" s="2" t="str">
        <x:v>necessary_step</x:v>
      </x:c>
      <x:c r="G103" s="6" t="str">
        <x:v>NL response prompt</x:v>
      </x:c>
      <x:c r="H103" s="2" t="str">
        <x:v>LLM</x:v>
      </x:c>
      <x:c r="I103" s="2" t="str">
        <x:v>generates</x:v>
      </x:c>
      <x:c r="J103" s="2" t="str">
        <x:v>natural language answer based on retrieved context and persona</x:v>
      </x:c>
      <x:c r="K103" s="2" t="str">
        <x:v>LLM根据检索到的上下文和用户角色生成最终的自然语言答案。</x:v>
      </x:c>
      <x:c r="L103" s="2" t="str">
        <x:v>Necessary</x:v>
      </x:c>
      <x:c r="M103" s="6" t="str">
        <x:v>NA</x:v>
      </x:c>
      <x:c r="N103" s="2" t="str">
        <x:v>LLM根据检索到的上下文和用户角色生成最终的自然语言答案。</x:v>
      </x:c>
      <x:c r="O103" s="2" t="str">
        <x:v>nl_response_generation_step</x:v>
      </x:c>
      <x:c r="P103" s="2" t="str">
        <x:v>LLM_answer_generation</x:v>
      </x:c>
      <x:c r="Q103" s="2" t="str">
        <x:v>NR</x:v>
      </x:c>
      <x:c r="R103" s="6" t="str">
        <x:v>SR</x:v>
      </x:c>
      <x:c r="S103" s="6" t="str">
        <x:v>p. 3; Section III-A</x:v>
      </x:c>
      <x:c r="T103" s="6" t="str">
        <x:v>The second template is used to create the NL response prompt and includes the selected user persona, the user’s question, and the context retrieved from the knowledge graph.</x:v>
      </x:c>
      <x:c r="U103" s="6" t="str">
        <x:v>该步骤是必需的，LLM根据检索到的上下文生成最终答案。</x:v>
      </x:c>
      <x:c r="V103" s="2" t="str">
        <x:v>Accepted</x:v>
      </x:c>
      <x:c r="W103" s="6" t="str">
        <x:v>NA</x:v>
      </x:c>
    </x:row>
    <x:row r="104" ht="76" customHeight="1">
      <x:c r="A104" s="2" t="str">
        <x:v>S30-CONCEPT-R04</x:v>
      </x:c>
      <x:c r="B104" s="2" t="str">
        <x:v>S30</x:v>
      </x:c>
      <x:c r="C104" s="2" t="str">
        <x:v>merged_1218</x:v>
      </x:c>
      <x:c r="D104" s="2" t="str">
        <x:v>Reviewer_A</x:v>
      </x:c>
      <x:c r="E104" s="2" t="str">
        <x:v>Reviewer_A</x:v>
      </x:c>
      <x:c r="F104" s="2" t="str">
        <x:v>scope</x:v>
      </x:c>
      <x:c r="G104" s="6" t="str">
        <x:v>supporting information</x:v>
      </x:c>
      <x:c r="H104" s="2" t="str">
        <x:v>GDI</x:v>
      </x:c>
      <x:c r="I104" s="2" t="str">
        <x:v>provides</x:v>
      </x:c>
      <x:c r="J104" s="2" t="str">
        <x:v>generated query and retrieved context to explain LLM's reasoning</x:v>
      </x:c>
      <x:c r="K104" s="2" t="str">
        <x:v>GDI返回辅助信息（产生的查询和检索上下文）以帮助用户理解LLM的推理过程。</x:v>
      </x:c>
      <x:c r="L104" s="2" t="str">
        <x:v>Optional</x:v>
      </x:c>
      <x:c r="M104" s="6" t="str">
        <x:v>NA</x:v>
      </x:c>
      <x:c r="N104" s="2" t="str">
        <x:v>GDI返回辅助信息（产生的查询和检索上下文）以帮助用户理解LLM的推理过程。</x:v>
      </x:c>
      <x:c r="O104" s="2" t="str">
        <x:v>explainability_feature</x:v>
      </x:c>
      <x:c r="P104" s="2" t="str">
        <x:v>LLM_transparency</x:v>
      </x:c>
      <x:c r="Q104" s="2" t="str">
        <x:v>NR</x:v>
      </x:c>
      <x:c r="R104" s="6" t="str">
        <x:v>SR</x:v>
      </x:c>
      <x:c r="S104" s="6" t="str">
        <x:v>p. 1; Abstract</x:v>
      </x:c>
      <x:c r="T104" s="6" t="str">
        <x:v>In addition to a NL response, GDI returns supporting information to help users understand how the LLMs queried the knowledge graph.</x:v>
      </x:c>
      <x:c r="U104" s="6" t="str">
        <x:v>该声明表明GDI包含可解释性特性，为用户提供查询和检索上下文。</x:v>
      </x:c>
      <x:c r="V104" s="2" t="str">
        <x:v>Accepted</x:v>
      </x:c>
      <x:c r="W104" s="6" t="str">
        <x:v>NA</x:v>
      </x:c>
    </x:row>
    <x:row r="105" ht="76" customHeight="1">
      <x:c r="A105" s="2" t="str">
        <x:v>S31-CONCEPT-R01</x:v>
      </x:c>
      <x:c r="B105" s="2" t="str">
        <x:v>S31</x:v>
      </x:c>
      <x:c r="C105" s="2" t="str">
        <x:v>merged_1219</x:v>
      </x:c>
      <x:c r="D105" s="2" t="str">
        <x:v>Reviewer_A</x:v>
      </x:c>
      <x:c r="E105" s="2" t="str">
        <x:v>Reviewer_A</x:v>
      </x:c>
      <x:c r="F105" s="2" t="str">
        <x:v>definition</x:v>
      </x:c>
      <x:c r="G105" s="6" t="str">
        <x:v>traceability</x:v>
      </x:c>
      <x:c r="H105" s="2" t="str">
        <x:v>every requirement, threat, and mitigation</x:v>
      </x:c>
      <x:c r="I105" s="2" t="str">
        <x:v>reflected in</x:v>
      </x:c>
      <x:c r="J105" s="2" t="str">
        <x:v>design elements, code modules, test procedures, and validation results</x:v>
      </x:c>
      <x:c r="K105" s="2" t="str">
        <x:v>无直接关系，LLM未参与定义</x:v>
      </x:c>
      <x:c r="L105" s="2" t="str">
        <x:v>Not applicable</x:v>
      </x:c>
      <x:c r="M105" s="6" t="str">
        <x:v>NA</x:v>
      </x:c>
      <x:c r="N105" s="2" t="str">
        <x:v>可追溯性是将需求、威胁和缓解措施双向映射到设计、代码、测试和验证结果的能力</x:v>
      </x:c>
      <x:c r="O105" s="2" t="str">
        <x:v>traceability_definition</x:v>
      </x:c>
      <x:c r="P105" s="2" t="str">
        <x:v>traceability concept</x:v>
      </x:c>
      <x:c r="Q105" s="2" t="str">
        <x:v>NR</x:v>
      </x:c>
      <x:c r="R105" s="6" t="str">
        <x:v>SR</x:v>
      </x:c>
      <x:c r="S105" s="6" t="str">
        <x:v>p. 2; Section II, paragraph 2</x:v>
      </x:c>
      <x:c r="T105" s="6" t="str">
        <x:v>traceability: the bidirectional mapping that demonstrates how every requirement, threat, and mitigation is reflected in design elements, code modules, test procedures, and validation results</x:v>
      </x:c>
      <x:c r="U105" s="6" t="str">
        <x:v>论文引用文献定义了可追溯性，但本研究并未直接建立或恢复追溯链接，而是利用已有链接</x:v>
      </x:c>
      <x:c r="V105" s="2" t="str">
        <x:v>Accepted</x:v>
      </x:c>
      <x:c r="W105" s="6" t="str">
        <x:v>NA</x:v>
      </x:c>
    </x:row>
    <x:row r="106" ht="76" customHeight="1">
      <x:c r="A106" s="2" t="str">
        <x:v>S31-CONCEPT-R02</x:v>
      </x:c>
      <x:c r="B106" s="2" t="str">
        <x:v>S31</x:v>
      </x:c>
      <x:c r="C106" s="2" t="str">
        <x:v>merged_1219</x:v>
      </x:c>
      <x:c r="D106" s="2" t="str">
        <x:v>Reviewer_A</x:v>
      </x:c>
      <x:c r="E106" s="2" t="str">
        <x:v>Reviewer_A</x:v>
      </x:c>
      <x:c r="F106" s="2" t="str">
        <x:v>scope</x:v>
      </x:c>
      <x:c r="G106" s="6" t="str">
        <x:v>trace link</x:v>
      </x:c>
      <x:c r="H106" s="2" t="str">
        <x:v>ISO 27001 clause</x:v>
      </x:c>
      <x:c r="I106" s="2" t="str">
        <x:v>linked to</x:v>
      </x:c>
      <x:c r="J106" s="2" t="str">
        <x:v>risk-assessment finding and vulnerability-scan result</x:v>
      </x:c>
      <x:c r="K106" s="2" t="str">
        <x:v>LLM使用此链接生成报告，但不创建链接</x:v>
      </x:c>
      <x:c r="L106" s="2" t="str">
        <x:v>Not applicable</x:v>
      </x:c>
      <x:c r="M106" s="6" t="str">
        <x:v>NA</x:v>
      </x:c>
      <x:c r="N106" s="2" t="str">
        <x:v>使用的追溯链接链条为：ISO 27001条款 → 风险评估发现 → 漏洞扫描结果</x:v>
      </x:c>
      <x:c r="O106" s="2" t="str">
        <x:v>trace_link_chain</x:v>
      </x:c>
      <x:c r="P106" s="2" t="str">
        <x:v>trace link structure</x:v>
      </x:c>
      <x:c r="Q106" s="2" t="str">
        <x:v>NR</x:v>
      </x:c>
      <x:c r="R106" s="6" t="str">
        <x:v>SR</x:v>
      </x:c>
      <x:c r="S106" s="6" t="str">
        <x:v>p. 4; Section III-E</x:v>
      </x:c>
      <x:c r="T106" s="6" t="str">
        <x:v>the trace-link: ISO 27001 clause → risk-assessment finding → vulnerability-scan result</x:v>
      </x:c>
      <x:c r="U106" s="6" t="str">
        <x:v>具体说明实验中使用的追溯链接类型</x:v>
      </x:c>
      <x:c r="V106" s="2" t="str">
        <x:v>Accepted</x:v>
      </x:c>
      <x:c r="W106" s="6" t="str">
        <x:v>NA</x:v>
      </x:c>
    </x:row>
    <x:row r="107" ht="76" customHeight="1">
      <x:c r="A107" s="2" t="str">
        <x:v>S32-CONCEPT-R01</x:v>
      </x:c>
      <x:c r="B107" s="2" t="str">
        <x:v>S32</x:v>
      </x:c>
      <x:c r="C107" s="2" t="str">
        <x:v>merged_1220</x:v>
      </x:c>
      <x:c r="D107" s="2" t="str">
        <x:v>Reviewer_A</x:v>
      </x:c>
      <x:c r="E107" s="2" t="str">
        <x:v>Reviewer_A</x:v>
      </x:c>
      <x:c r="F107" s="2" t="str">
        <x:v>definition</x:v>
      </x:c>
      <x:c r="G107" s="6" t="str">
        <x:v>aggregation-based links pattern</x:v>
      </x:c>
      <x:c r="H107" s="2" t="str">
        <x:v>component-level requirements</x:v>
      </x:c>
      <x:c r="I107" s="2" t="str">
        <x:v>form subsets of those defined at the system level</x:v>
      </x:c>
      <x:c r="J107" s="2" t="str">
        <x:v>system-level requirements</x:v>
      </x:c>
      <x:c r="K107" s="2" t="str">
        <x:v>LLM在结构化建模中提取信号集，但模式定义本身不依赖LLM，LLM作为工具用于识别需求元素。</x:v>
      </x:c>
      <x:c r="L107" s="2" t="str">
        <x:v>Not applicable</x:v>
      </x:c>
      <x:c r="M107" s="6" t="str">
        <x:v>NA</x:v>
      </x:c>
      <x:c r="N107" s="2" t="str">
        <x:v>聚合追溯模式定义为组件需求输入输出信号集是系统需求对应信号集的子集。</x:v>
      </x:c>
      <x:c r="O107" s="2" t="str">
        <x:v>aggregation_mapping_pattern</x:v>
      </x:c>
      <x:c r="P107" s="2" t="str">
        <x:v>traceability_pattern</x:v>
      </x:c>
      <x:c r="Q107" s="2" t="str">
        <x:v>NR</x:v>
      </x:c>
      <x:c r="R107" s="6" t="str">
        <x:v>SR</x:v>
      </x:c>
      <x:c r="S107" s="6" t="str">
        <x:v>p. 3; Section III-A, first paragraph.</x:v>
      </x:c>
      <x:c r="T107" s="6" t="str">
        <x:v>The aggregation-based links pattern occurs when the inputs and outputs of component-level requirements form subsets of those defined at the system level.</x:v>
      </x:c>
      <x:c r="U107" s="6" t="str">
        <x:v>明确定义了聚合链接模式。</x:v>
      </x:c>
      <x:c r="V107" s="2" t="str">
        <x:v>Accepted</x:v>
      </x:c>
      <x:c r="W107" s="6" t="str">
        <x:v>NR</x:v>
      </x:c>
    </x:row>
    <x:row r="108" ht="76" customHeight="1">
      <x:c r="A108" s="2" t="str">
        <x:v>S32-CONCEPT-R02</x:v>
      </x:c>
      <x:c r="B108" s="2" t="str">
        <x:v>S32</x:v>
      </x:c>
      <x:c r="C108" s="2" t="str">
        <x:v>merged_1220</x:v>
      </x:c>
      <x:c r="D108" s="2" t="str">
        <x:v>Reviewer_A</x:v>
      </x:c>
      <x:c r="E108" s="2" t="str">
        <x:v>Reviewer_A</x:v>
      </x:c>
      <x:c r="F108" s="2" t="str">
        <x:v>definition</x:v>
      </x:c>
      <x:c r="G108" s="6" t="str">
        <x:v>cascading-based links pattern</x:v>
      </x:c>
      <x:c r="H108" s="2" t="str">
        <x:v>component-level requirements</x:v>
      </x:c>
      <x:c r="I108" s="2" t="str">
        <x:v>sequential dependency among</x:v>
      </x:c>
      <x:c r="J108" s="2" t="str">
        <x:v>component-level requirements</x:v>
      </x:c>
      <x:c r="K108" s="2" t="str">
        <x:v>LLM参与结构化提取信号和构建依赖图，但模式定义基于系统分析。</x:v>
      </x:c>
      <x:c r="L108" s="2" t="str">
        <x:v>Not applicable</x:v>
      </x:c>
      <x:c r="M108" s="6" t="str">
        <x:v>NA</x:v>
      </x:c>
      <x:c r="N108" s="2" t="str">
        <x:v>级联追溯模式定义为组件需求间存在顺序依赖性，前一个的输出作为后一个的输入，形成处理链。</x:v>
      </x:c>
      <x:c r="O108" s="2" t="str">
        <x:v>cascading_mapping_pattern</x:v>
      </x:c>
      <x:c r="P108" s="2" t="str">
        <x:v>traceability_pattern</x:v>
      </x:c>
      <x:c r="Q108" s="2" t="str">
        <x:v>NR</x:v>
      </x:c>
      <x:c r="R108" s="6" t="str">
        <x:v>SR</x:v>
      </x:c>
      <x:c r="S108" s="6" t="str">
        <x:v>p. 3; Section III-B, first paragraph.</x:v>
      </x:c>
      <x:c r="T108" s="6" t="str">
        <x:v>the cascading-based links pattern is defined by a sequential dependency among component-level requirements.</x:v>
      </x:c>
      <x:c r="U108" s="6" t="str">
        <x:v>明确定义了级联链接模式。</x:v>
      </x:c>
      <x:c r="V108" s="2" t="str">
        <x:v>Accepted</x:v>
      </x:c>
      <x:c r="W108" s="6" t="str">
        <x:v>NR</x:v>
      </x:c>
    </x:row>
    <x:row r="109" ht="76" customHeight="1">
      <x:c r="A109" s="2" t="str">
        <x:v>S32-CONCEPT-R03</x:v>
      </x:c>
      <x:c r="B109" s="2" t="str">
        <x:v>S32</x:v>
      </x:c>
      <x:c r="C109" s="2" t="str">
        <x:v>merged_1220</x:v>
      </x:c>
      <x:c r="D109" s="2" t="str">
        <x:v>Reviewer_A</x:v>
      </x:c>
      <x:c r="E109" s="2" t="str">
        <x:v>Reviewer_A</x:v>
      </x:c>
      <x:c r="F109" s="2" t="str">
        <x:v>necessary_step</x:v>
      </x:c>
      <x:c r="G109" s="6" t="str">
        <x:v>LLMs to perform semantic parsing and structured modeling</x:v>
      </x:c>
      <x:c r="H109" s="2" t="str">
        <x:v>natural language requirements documents</x:v>
      </x:c>
      <x:c r="I109" s="2" t="str">
        <x:v>transformed into structured representations using</x:v>
      </x:c>
      <x:c r="J109" s="2" t="str">
        <x:v>LLMs</x:v>
      </x:c>
      <x:c r="K109" s="2" t="str">
        <x:v>LLM是核心组件，用于从自然语言中提取结构化需求元素。</x:v>
      </x:c>
      <x:c r="L109" s="2" t="str">
        <x:v>Necessary</x:v>
      </x:c>
      <x:c r="M109" s="6" t="str">
        <x:v>NA</x:v>
      </x:c>
      <x:c r="N109" s="2" t="str">
        <x:v>方法依赖于LLM将非结构化需求文本解析为符合元模型的结构化表示。</x:v>
      </x:c>
      <x:c r="O109" s="2" t="str">
        <x:v>llm_structured_extraction</x:v>
      </x:c>
      <x:c r="P109" s="2" t="str">
        <x:v>method_step</x:v>
      </x:c>
      <x:c r="Q109" s="2" t="str">
        <x:v>NR</x:v>
      </x:c>
      <x:c r="R109" s="6" t="str">
        <x:v>SR</x:v>
      </x:c>
      <x:c r="S109" s="6" t="str">
        <x:v>p. 1; Abstract.</x:v>
      </x:c>
      <x:c r="T109" s="6" t="str">
        <x:v>it utilizes LLMs to perform semantic parsing and structured modeling of natural language requirements documents.</x:v>
      </x:c>
      <x:c r="U109" s="6" t="str">
        <x:v>明确必需步骤：LLM语义解析和结构化建模。</x:v>
      </x:c>
      <x:c r="V109" s="2" t="str">
        <x:v>Accepted</x:v>
      </x:c>
      <x:c r="W109" s="6" t="str">
        <x:v>NR</x:v>
      </x:c>
    </x:row>
    <x:row r="110" ht="76" customHeight="1">
      <x:c r="A110" s="2" t="str">
        <x:v>S32-CONCEPT-R04</x:v>
      </x:c>
      <x:c r="B110" s="2" t="str">
        <x:v>S32</x:v>
      </x:c>
      <x:c r="C110" s="2" t="str">
        <x:v>merged_1220</x:v>
      </x:c>
      <x:c r="D110" s="2" t="str">
        <x:v>Reviewer_A</x:v>
      </x:c>
      <x:c r="E110" s="2" t="str">
        <x:v>Reviewer_A</x:v>
      </x:c>
      <x:c r="F110" s="2" t="str">
        <x:v>boundary</x:v>
      </x:c>
      <x:c r="G110" s="6" t="str">
        <x:v>requirement metamodel</x:v>
      </x:c>
      <x:c r="H110" s="2" t="str">
        <x:v>signal-driven embedded systems</x:v>
      </x:c>
      <x:c r="I110" s="2" t="str">
        <x:v>specifically designed for</x:v>
      </x:c>
      <x:c r="J110" s="2" t="str">
        <x:v>systems where data flow or service-oriented interactions dominate</x:v>
      </x:c>
      <x:c r="K110" s="2" t="str">
        <x:v>LLM辅助结构化建模，但元模型边界限定了方法适用范围。</x:v>
      </x:c>
      <x:c r="L110" s="2" t="str">
        <x:v>Not applicable</x:v>
      </x:c>
      <x:c r="M110" s="6" t="str">
        <x:v>NA</x:v>
      </x:c>
      <x:c r="N110" s="2" t="str">
        <x:v>需求元模型专为信号驱动的嵌入式系统设计，在数据流或服务交互为主的系统中适用性有限。</x:v>
      </x:c>
      <x:c r="O110" s="2" t="str">
        <x:v>metamodel_applicability_boundary</x:v>
      </x:c>
      <x:c r="P110" s="2" t="str">
        <x:v>method_boundary</x:v>
      </x:c>
      <x:c r="Q110" s="2" t="str">
        <x:v>NR</x:v>
      </x:c>
      <x:c r="R110" s="6" t="str">
        <x:v>SR</x:v>
      </x:c>
      <x:c r="S110" s="6" t="str">
        <x:v>p. 7; Section IV-D, second paragraph.</x:v>
      </x:c>
      <x:c r="T110" s="6" t="str">
        <x:v>its applicability may be limited in systems where data flow or service-oriented interactions dominate, rather than signal-based processing.</x:v>
      </x:c>
      <x:c r="U110" s="6" t="str">
        <x:v>指出了方法适用范围边界。</x:v>
      </x:c>
      <x:c r="V110" s="2" t="str">
        <x:v>Accepted</x:v>
      </x:c>
      <x:c r="W110" s="6" t="str">
        <x:v>NR</x:v>
      </x:c>
    </x:row>
    <x:row r="111" ht="76" customHeight="1">
      <x:c r="A111" s="2" t="str">
        <x:v>S33-CONCEPT-R01</x:v>
      </x:c>
      <x:c r="B111" s="2" t="str">
        <x:v>S33</x:v>
      </x:c>
      <x:c r="C111" s="2" t="str">
        <x:v>merged_1222</x:v>
      </x:c>
      <x:c r="D111" s="2" t="str">
        <x:v>Reviewer_A</x:v>
      </x:c>
      <x:c r="E111" s="2" t="str">
        <x:v>Reviewer_A</x:v>
      </x:c>
      <x:c r="F111" s="2" t="str">
        <x:v>definition</x:v>
      </x:c>
      <x:c r="G111" s="6" t="str">
        <x:v>recover trace links between safety and security requirements and source code</x:v>
      </x:c>
      <x:c r="H111" s="2" t="str">
        <x:v>LLMs</x:v>
      </x:c>
      <x:c r="I111" s="2" t="str">
        <x:v>used to recover</x:v>
      </x:c>
      <x:c r="J111" s="2" t="str">
        <x:v>trace links</x:v>
      </x:c>
      <x:c r="K111" s="2" t="str">
        <x:v>LLM作为核心方法，直接用于恢复安全需求与源代码之间的追踪链接</x:v>
      </x:c>
      <x:c r="L111" s="2" t="str">
        <x:v>Unclear</x:v>
      </x:c>
      <x:c r="M111" s="6" t="str">
        <x:v>NA</x:v>
      </x:c>
      <x:c r="N111" s="2" t="str">
        <x:v>使用LLM恢复安全需求与源代码之间的追踪链接</x:v>
      </x:c>
      <x:c r="O111" s="2" t="str">
        <x:v>LLM-based trace recovery</x:v>
      </x:c>
      <x:c r="P111" s="2" t="str">
        <x:v>LLM用于追踪</x:v>
      </x:c>
      <x:c r="Q111" s="2" t="str">
        <x:v>NR</x:v>
      </x:c>
      <x:c r="R111" s="6" t="str">
        <x:v>SR</x:v>
      </x:c>
      <x:c r="S111" s="6" t="str">
        <x:v>p. 1; Abstract</x:v>
      </x:c>
      <x:c r="T111" s="6" t="str">
        <x:v>we have therefore developed a plugin for VSCode and a new approach based on LLMs to recover trace links between safety and security requirements and source code.</x:v>
      </x:c>
      <x:c r="U111" s="6" t="str">
        <x:v>论文将LLM作为恢复安全需求与源代码之间跟踪链接的核心方法，这是一个定义性的陈述。</x:v>
      </x:c>
      <x:c r="V111" s="2" t="str">
        <x:v>Accepted</x:v>
      </x:c>
      <x:c r="W111" s="6" t="str">
        <x:v>NR</x:v>
      </x:c>
    </x:row>
    <x:row r="112" ht="76" customHeight="1">
      <x:c r="A112" s="2" t="str">
        <x:v>S33-CONCEPT-R02</x:v>
      </x:c>
      <x:c r="B112" s="2" t="str">
        <x:v>S33</x:v>
      </x:c>
      <x:c r="C112" s="2" t="str">
        <x:v>merged_1222</x:v>
      </x:c>
      <x:c r="D112" s="2" t="str">
        <x:v>Reviewer_A</x:v>
      </x:c>
      <x:c r="E112" s="2" t="str">
        <x:v>Reviewer_A</x:v>
      </x:c>
      <x:c r="F112" s="2" t="str">
        <x:v>scope</x:v>
      </x:c>
      <x:c r="G112" s="6" t="str">
        <x:v>capable of performing this task because they have both code and textual understanding</x:v>
      </x:c>
      <x:c r="H112" s="2" t="str">
        <x:v>LLMs</x:v>
      </x:c>
      <x:c r="I112" s="2" t="str">
        <x:v>capable of performing trace link recovery because they have</x:v>
      </x:c>
      <x:c r="J112" s="2" t="str">
        <x:v>code and textual understanding</x:v>
      </x:c>
      <x:c r="K112" s="2" t="str">
        <x:v>LLM因同时理解代码和文本而能够执行追踪链接恢复任务</x:v>
      </x:c>
      <x:c r="L112" s="2" t="str">
        <x:v>Unclear</x:v>
      </x:c>
      <x:c r="M112" s="6" t="str">
        <x:v>NA</x:v>
      </x:c>
      <x:c r="N112" s="2" t="str">
        <x:v>LLM同时理解代码和文本，因此能够执行追踪链接恢复</x:v>
      </x:c>
      <x:c r="O112" s="2" t="str">
        <x:v>LLM dual understanding</x:v>
      </x:c>
      <x:c r="P112" s="2" t="str">
        <x:v>LLM能力</x:v>
      </x:c>
      <x:c r="Q112" s="2" t="str">
        <x:v>NR</x:v>
      </x:c>
      <x:c r="R112" s="6" t="str">
        <x:v>SR</x:v>
      </x:c>
      <x:c r="S112" s="6" t="str">
        <x:v>p. 1; Abstract</x:v>
      </x:c>
      <x:c r="T112" s="6" t="str">
        <x:v>the used LLMs are capable of performing this task because they have both code and textual understanding.</x:v>
      </x:c>
      <x:c r="U112" s="6" t="str">
        <x:v>论文指出LLM具备代码和文本理解能力，这是其用于追踪恢复的前提。</x:v>
      </x:c>
      <x:c r="V112" s="2" t="str">
        <x:v>Accepted</x:v>
      </x:c>
      <x:c r="W112" s="6" t="str">
        <x:v>NR</x:v>
      </x:c>
    </x:row>
    <x:row r="113" ht="76" customHeight="1">
      <x:c r="A113" s="2" t="str">
        <x:v>S34-CONCEPT-R01</x:v>
      </x:c>
      <x:c r="B113" s="2" t="str">
        <x:v>S34</x:v>
      </x:c>
      <x:c r="C113" s="2" t="str">
        <x:v>merged_1224-v1</x:v>
      </x:c>
      <x:c r="D113" s="2" t="str">
        <x:v>Reviewer_A</x:v>
      </x:c>
      <x:c r="E113" s="2" t="str">
        <x:v>Reviewer_A</x:v>
      </x:c>
      <x:c r="F113" s="2" t="str">
        <x:v>definition</x:v>
      </x:c>
      <x:c r="G113" s="6" t="str">
        <x:v>Annotation Completeness (AC)</x:v>
      </x:c>
      <x:c r="H113" s="2" t="str">
        <x:v>use-case and action-level annotations</x:v>
      </x:c>
      <x:c r="I113" s="2" t="str">
        <x:v>presence within methods</x:v>
      </x:c>
      <x:c r="J113" s="2" t="str">
        <x:v>annotation completeness</x:v>
      </x:c>
      <x:c r="K113" s="2" t="str">
        <x:v>LLM通过生成注释建立追溯链接</x:v>
      </x:c>
      <x:c r="L113" s="2" t="str">
        <x:v>Not applicable</x:v>
      </x:c>
      <x:c r="M113" s="6" t="str">
        <x:v>NA</x:v>
      </x:c>
      <x:c r="N113" s="2" t="str">
        <x:v>标注完整性指方法中包含用例和动作级别注释的存在</x:v>
      </x:c>
      <x:c r="O113" s="2" t="str">
        <x:v>AC_definition</x:v>
      </x:c>
      <x:c r="P113" s="2" t="str">
        <x:v>traceability_metric</x:v>
      </x:c>
      <x:c r="Q113" s="2" t="str">
        <x:v>NR</x:v>
      </x:c>
      <x:c r="R113" s="6" t="str">
        <x:v>SR</x:v>
      </x:c>
      <x:c r="S113" s="6" t="str">
        <x:v>p. 8; section 3.4</x:v>
      </x:c>
      <x:c r="T113" s="6" t="str">
        <x:v>Annotation Completeness (AC): Presence of use-case and action-level annotations within methods.</x:v>
      </x:c>
      <x:c r="U113" s="6" t="str">
        <x:v>论文将标注完整性定义为方法中是否包含用例和动作注释</x:v>
      </x:c>
      <x:c r="V113" s="2" t="str">
        <x:v>Accepted</x:v>
      </x:c>
      <x:c r="W113" s="6" t="str">
        <x:v>用于评估LLM生成方法的可追溯性</x:v>
      </x:c>
    </x:row>
    <x:row r="114" ht="76" customHeight="1">
      <x:c r="A114" s="2" t="str">
        <x:v>S34-CONCEPT-R02</x:v>
      </x:c>
      <x:c r="B114" s="2" t="str">
        <x:v>S34</x:v>
      </x:c>
      <x:c r="C114" s="2" t="str">
        <x:v>merged_1224-v1</x:v>
      </x:c>
      <x:c r="D114" s="2" t="str">
        <x:v>Reviewer_A</x:v>
      </x:c>
      <x:c r="E114" s="2" t="str">
        <x:v>Reviewer_A</x:v>
      </x:c>
      <x:c r="F114" s="2" t="str">
        <x:v>necessary_step</x:v>
      </x:c>
      <x:c r="G114" s="6" t="str">
        <x:v>Traceability annotations</x:v>
      </x:c>
      <x:c r="H114" s="2" t="str">
        <x:v>method</x:v>
      </x:c>
      <x:c r="I114" s="2" t="str">
        <x:v>linked to</x:v>
      </x:c>
      <x:c r="J114" s="2" t="str">
        <x:v>use case and action</x:v>
      </x:c>
      <x:c r="K114" s="2" t="str">
        <x:v>LLM被要求在方法中添加注释以建立追溯链接</x:v>
      </x:c>
      <x:c r="L114" s="2" t="str">
        <x:v>Necessary</x:v>
      </x:c>
      <x:c r="M114" s="6" t="str">
        <x:v>NA</x:v>
      </x:c>
      <x:c r="N114" s="2" t="str">
        <x:v>每个方法必须包含内联注释，链接到源用例ID和具体动作步骤</x:v>
      </x:c>
      <x:c r="O114" s="2" t="str">
        <x:v>inline_annotation_required</x:v>
      </x:c>
      <x:c r="P114" s="2" t="str">
        <x:v>traceability_mechanism</x:v>
      </x:c>
      <x:c r="Q114" s="2" t="str">
        <x:v>NR</x:v>
      </x:c>
      <x:c r="R114" s="6" t="str">
        <x:v>SR</x:v>
      </x:c>
      <x:c r="S114" s="6" t="str">
        <x:v>p. 8; section 3.2</x:v>
      </x:c>
      <x:c r="T114" s="6" t="str">
        <x:v>Each method included inline comments linking it to its originating use case ID (//UCXX) and specific action step (//action:) for traceability.</x:v>
      </x:c>
      <x:c r="U114" s="6" t="str">
        <x:v>论文将内联注释作为实现追溯的必要手段</x:v>
      </x:c>
      <x:c r="V114" s="2" t="str">
        <x:v>Accepted</x:v>
      </x:c>
      <x:c r="W114" s="6" t="str">
        <x:v>这是LLM生成追溯链接的具体要求</x:v>
      </x:c>
    </x:row>
    <x:row r="115" ht="76" customHeight="1">
      <x:c r="A115" s="2" t="str">
        <x:v>S34-CONCEPT-R03</x:v>
      </x:c>
      <x:c r="B115" s="2" t="str">
        <x:v>S34</x:v>
      </x:c>
      <x:c r="C115" s="2" t="str">
        <x:v>merged_1224-v1</x:v>
      </x:c>
      <x:c r="D115" s="2" t="str">
        <x:v>Reviewer_A</x:v>
      </x:c>
      <x:c r="E115" s="2" t="str">
        <x:v>Reviewer_A</x:v>
      </x:c>
      <x:c r="F115" s="2" t="str">
        <x:v>boundary</x:v>
      </x:c>
      <x:c r="G115" s="6" t="str">
        <x:v>semantic correctness</x:v>
      </x:c>
      <x:c r="H115" s="2" t="str">
        <x:v>evaluation</x:v>
      </x:c>
      <x:c r="I115" s="2" t="str">
        <x:v>excludes</x:v>
      </x:c>
      <x:c r="J115" s="2" t="str">
        <x:v>semantic and functional validation</x:v>
      </x:c>
      <x:c r="K115" s="2" t="str">
        <x:v>LLM生成的方法没有进行语义正确性评估</x:v>
      </x:c>
      <x:c r="L115" s="2" t="str">
        <x:v>Not applicable</x:v>
      </x:c>
      <x:c r="M115" s="6" t="str">
        <x:v>NA</x:v>
      </x:c>
      <x:c r="N115" s="2" t="str">
        <x:v>本研究不评估语义和功能正确性，仅关注语法、结构、注释和命名一致性</x:v>
      </x:c>
      <x:c r="O115" s="2" t="str">
        <x:v>no_semantic_eval</x:v>
      </x:c>
      <x:c r="P115" s="2" t="str">
        <x:v>scope_boundary</x:v>
      </x:c>
      <x:c r="Q115" s="2" t="str">
        <x:v>NR</x:v>
      </x:c>
      <x:c r="R115" s="6" t="str">
        <x:v>SR</x:v>
      </x:c>
      <x:c r="S115" s="6" t="str">
        <x:v>p. 11; section 3.7</x:v>
      </x:c>
      <x:c r="T115" s="6" t="str">
        <x:v>semantic and functional correctness are not evaluated in this study.</x:v>
      </x:c>
      <x:c r="U115" s="6" t="str">
        <x:v>论文明确将语义评估排除在当前研究范围之外</x:v>
      </x:c>
      <x:c r="V115" s="2" t="str">
        <x:v>Accepted</x:v>
      </x:c>
      <x:c r="W115" s="6" t="str">
        <x:v>未来工作将包含语义验证</x:v>
      </x:c>
    </x:row>
    <x:row r="116" ht="76" customHeight="1">
      <x:c r="A116" s="2" t="str">
        <x:v>S35-CONCEPT-R01</x:v>
      </x:c>
      <x:c r="B116" s="2" t="str">
        <x:v>S35</x:v>
      </x:c>
      <x:c r="C116" s="2" t="str">
        <x:v>merged_1225</x:v>
      </x:c>
      <x:c r="D116" s="2" t="str">
        <x:v>Reviewer_A</x:v>
      </x:c>
      <x:c r="E116" s="2" t="str">
        <x:v>Reviewer_A</x:v>
      </x:c>
      <x:c r="F116" s="2" t="str">
        <x:v>definition</x:v>
      </x:c>
      <x:c r="G116" s="6" t="str">
        <x:v>Traceability</x:v>
      </x:c>
      <x:c r="H116" s="2" t="str">
        <x:v>any uniquely identifiable software engineering artifact</x:v>
      </x:c>
      <x:c r="I116" s="2" t="str">
        <x:v>ability to interrelate</x:v>
      </x:c>
      <x:c r="J116" s="2" t="str">
        <x:v>one other</x:v>
      </x:c>
      <x:c r="K116" s="2" t="str">
        <x:v>该定义不特定于LLM，但为LLM4ST提供基础概念</x:v>
      </x:c>
      <x:c r="L116" s="2" t="str">
        <x:v>Not applicable</x:v>
      </x:c>
      <x:c r="M116" s="6" t="str">
        <x:v>NA</x:v>
      </x:c>
      <x:c r="N116" s="2" t="str">
        <x:v>软件工程中追踪性是指将任何唯一可标识的工件与另一工件相互关联的能力</x:v>
      </x:c>
      <x:c r="O116" s="2" t="str">
        <x:v>traceability definition</x:v>
      </x:c>
      <x:c r="P116" s="2" t="str">
        <x:v>fundamental concept</x:v>
      </x:c>
      <x:c r="Q116" s="2" t="str">
        <x:v>NR</x:v>
      </x:c>
      <x:c r="R116" s="6" t="str">
        <x:v>SR</x:v>
      </x:c>
      <x:c r="S116" s="6" t="str">
        <x:v>p. 1; I. INTRODUCTION</x:v>
      </x:c>
      <x:c r="T116" s="6" t="str">
        <x:v>Traceability—the ability to interrelate any uniquely identifiable software engineering artifact to one other [1]</x:v>
      </x:c>
      <x:c r="U116" s="6" t="str">
        <x:v>该论文引用了追踪性的标准定义</x:v>
      </x:c>
      <x:c r="V116" s="2" t="str">
        <x:v>Accepted</x:v>
      </x:c>
      <x:c r="W116" s="6" t="str">
        <x:v>NA</x:v>
      </x:c>
    </x:row>
    <x:row r="117" ht="76" customHeight="1">
      <x:c r="A117" s="2" t="str">
        <x:v>S35-CONCEPT-R02</x:v>
      </x:c>
      <x:c r="B117" s="2" t="str">
        <x:v>S35</x:v>
      </x:c>
      <x:c r="C117" s="2" t="str">
        <x:v>merged_1225</x:v>
      </x:c>
      <x:c r="D117" s="2" t="str">
        <x:v>Reviewer_A</x:v>
      </x:c>
      <x:c r="E117" s="2" t="str">
        <x:v>Reviewer_A</x:v>
      </x:c>
      <x:c r="F117" s="2" t="str">
        <x:v>scope</x:v>
      </x:c>
      <x:c r="G117" s="6" t="str">
        <x:v>tracing the feature tests to textual requirements</x:v>
      </x:c>
      <x:c r="H117" s="2" t="str">
        <x:v>feature tests</x:v>
      </x:c>
      <x:c r="I117" s="2" t="str">
        <x:v>traced to</x:v>
      </x:c>
      <x:c r="J117" s="2" t="str">
        <x:v>textual requirements</x:v>
      </x:c>
      <x:c r="K117" s="2" t="str">
        <x:v>界定本研究涉及的工件类型和追踪方向，LLM方法将在该范围内被评估</x:v>
      </x:c>
      <x:c r="L117" s="2" t="str">
        <x:v>Not applicable</x:v>
      </x:c>
      <x:c r="M117" s="6" t="str">
        <x:v>NA</x:v>
      </x:c>
      <x:c r="N117" s="2" t="str">
        <x:v>本研究聚焦于将功能测试追踪到文本需求</x:v>
      </x:c>
      <x:c r="O117" s="2" t="str">
        <x:v>study scope</x:v>
      </x:c>
      <x:c r="P117" s="2" t="str">
        <x:v>scope delimitation</x:v>
      </x:c>
      <x:c r="Q117" s="2" t="str">
        <x:v>NR</x:v>
      </x:c>
      <x:c r="R117" s="6" t="str">
        <x:v>SR</x:v>
      </x:c>
      <x:c r="S117" s="6" t="str">
        <x:v>p. 1; I. INTRODUCTION</x:v>
      </x:c>
      <x:c r="T117" s="6" t="str">
        <x:v>Our work’s tracing targets are textual requirements</x:v>
      </x:c>
      <x:c r="U117" s="6" t="str">
        <x:v>明确界定了追踪的源和目标工件</x:v>
      </x:c>
      <x:c r="V117" s="2" t="str">
        <x:v>Accepted</x:v>
      </x:c>
      <x:c r="W117" s="6" t="str">
        <x:v>NA</x:v>
      </x:c>
    </x:row>
    <x:row r="118" ht="76" customHeight="1">
      <x:c r="A118" s="2" t="str">
        <x:v>S35-CONCEPT-R03</x:v>
      </x:c>
      <x:c r="B118" s="2" t="str">
        <x:v>S35</x:v>
      </x:c>
      <x:c r="C118" s="2" t="str">
        <x:v>merged_1225</x:v>
      </x:c>
      <x:c r="D118" s="2" t="str">
        <x:v>Reviewer_A</x:v>
      </x:c>
      <x:c r="E118" s="2" t="str">
        <x:v>Reviewer_A</x:v>
      </x:c>
      <x:c r="F118" s="2" t="str">
        <x:v>counterexample</x:v>
      </x:c>
      <x:c r="G118" s="6" t="str">
        <x:v>the requirements extracted from user stories might not align well with the actual implementation and verification</x:v>
      </x:c>
      <x:c r="H118" s="2" t="str">
        <x:v>user story requirements</x:v>
      </x:c>
      <x:c r="I118" s="2" t="str">
        <x:v>misaligned with</x:v>
      </x:c>
      <x:c r="J118" s="2" t="str">
        <x:v>implementation and verification artifacts</x:v>
      </x:c>
      <x:c r="K118" s="2" t="str">
        <x:v>这种错位导致传统基于相似度的恢复方法（Cosine、RoBERTa）效果不佳，为LLM生成式方法提供了动机</x:v>
      </x:c>
      <x:c r="L118" s="2" t="str">
        <x:v>Unclear</x:v>
      </x:c>
      <x:c r="M118" s="6" t="str">
        <x:v>在Scholar@UC案例中，用户故事主要用于早期引出和设计，而非验证与测试，因此基于相似度的追踪恢复产生了大量重叠和遗漏，效果不理想。</x:v>
      </x:c>
      <x:c r="N118" s="2" t="str">
        <x:v>当需求工件与实现工件的目的不一致时，自动追踪恢复可能失败</x:v>
      </x:c>
      <x:c r="O118" s="2" t="str">
        <x:v>misalignment leads to recovery failure</x:v>
      </x:c>
      <x:c r="P118" s="2" t="str">
        <x:v>boundary condition for recovery</x:v>
      </x:c>
      <x:c r="Q118" s="2" t="str">
        <x:v>NR</x:v>
      </x:c>
      <x:c r="R118" s="6" t="str">
        <x:v>SR</x:v>
      </x:c>
      <x:c r="S118" s="6" t="str">
        <x:v>p. 3; Section III.A</x:v>
      </x:c>
      <x:c r="T118" s="6" t="str">
        <x:v>[25]. The actual functionality that is implemented and tested may or may not align well with such elicitation-focused</x:v>
      </x:c>
      <x:c r="U118" s="6" t="str">
        <x:v>论文指出当需求文档用于早期引出而非验证时，追踪恢复难以成功</x:v>
      </x:c>
      <x:c r="V118" s="2" t="str">
        <x:v>Accepted</x:v>
      </x:c>
      <x:c r="W118" s="6" t="str">
        <x:v>NA</x:v>
      </x:c>
    </x:row>
    <x:row r="119" ht="76" customHeight="1">
      <x:c r="A119" s="2" t="str">
        <x:v>S35-CONCEPT-R04</x:v>
      </x:c>
      <x:c r="B119" s="2" t="str">
        <x:v>S35</x:v>
      </x:c>
      <x:c r="C119" s="2" t="str">
        <x:v>merged_1225</x:v>
      </x:c>
      <x:c r="D119" s="2" t="str">
        <x:v>Reviewer_A</x:v>
      </x:c>
      <x:c r="E119" s="2" t="str">
        <x:v>Reviewer_A</x:v>
      </x:c>
      <x:c r="F119" s="2" t="str">
        <x:v>optional_step</x:v>
      </x:c>
      <x:c r="G119" s="6" t="str">
        <x:v>generate the textual description of the feature that a test is intended to verify</x:v>
      </x:c>
      <x:c r="H119" s="2" t="str">
        <x:v>ChatGPT</x:v>
      </x:c>
      <x:c r="I119" s="2" t="str">
        <x:v>generates</x:v>
      </x:c>
      <x:c r="J119" s="2" t="str">
        <x:v>tracing target description</x:v>
      </x:c>
      <x:c r="K119" s="2" t="str">
        <x:v>LLM直接参与生成追踪目标的文本描述，作为一种替代恢复的方法</x:v>
      </x:c>
      <x:c r="L119" s="2" t="str">
        <x:v>Optional</x:v>
      </x:c>
      <x:c r="M119" s="6" t="str">
        <x:v>NA</x:v>
      </x:c>
      <x:c r="N119" s="2" t="str">
        <x:v>LLM可以生成测试所验证的功能描述，以此作为追踪目标，而无需从已有需求中恢复链接</x:v>
      </x:c>
      <x:c r="O119" s="2" t="str">
        <x:v>LLM as generative tracing alternative</x:v>
      </x:c>
      <x:c r="P119" s="2" t="str">
        <x:v>generative traceability approach</x:v>
      </x:c>
      <x:c r="Q119" s="2" t="str">
        <x:v>NR</x:v>
      </x:c>
      <x:c r="R119" s="6" t="str">
        <x:v>SR</x:v>
      </x:c>
      <x:c r="S119" s="6" t="str">
        <x:v>p. 3; Section II</x:v>
      </x:c>
      <x:c r="T119" s="6" t="str">
        <x:v>we investigate the potential of OpenAI’s ChatGPT—a prominent large language model—in generating the textual description of the feature tested by an .rb file.</x:v>
      </x:c>
      <x:c r="U119" s="6" t="str">
        <x:v>论文将LLM作为一种生成式追踪方法，而非传统的恢复方法</x:v>
      </x:c>
      <x:c r="V119" s="2" t="str">
        <x:v>Accepted</x:v>
      </x:c>
      <x:c r="W119" s="6" t="str">
        <x:v>NA</x:v>
      </x:c>
    </x:row>
    <x:row r="120" ht="76" customHeight="1">
      <x:c r="A120" s="2" t="str">
        <x:v>S36-CONCEPT-R01</x:v>
      </x:c>
      <x:c r="B120" s="2" t="str">
        <x:v>S36</x:v>
      </x:c>
      <x:c r="C120" s="2" t="str">
        <x:v>merged_1236</x:v>
      </x:c>
      <x:c r="D120" s="2" t="str">
        <x:v>Reviewer_A</x:v>
      </x:c>
      <x:c r="E120" s="2" t="str">
        <x:v>Reviewer_A</x:v>
      </x:c>
      <x:c r="F120" s="2" t="str">
        <x:v>definition</x:v>
      </x:c>
      <x:c r="G120" s="6" t="str">
        <x:v>source traceability</x:v>
      </x:c>
      <x:c r="H120" s="2" t="str">
        <x:v>violations</x:v>
      </x:c>
      <x:c r="I120" s="2" t="str">
        <x:v>linking to</x:v>
      </x:c>
      <x:c r="J120" s="2" t="str">
        <x:v>original requirements</x:v>
      </x:c>
      <x:c r="K120" s="2" t="str">
        <x:v>LLM生成违规信息，RAG管道使用这些信息进行检索以建立链接。</x:v>
      </x:c>
      <x:c r="L120" s="2" t="str">
        <x:v>Not applicable</x:v>
      </x:c>
      <x:c r="M120" s="6" t="str">
        <x:v>NA</x:v>
      </x:c>
      <x:c r="N120" s="2" t="str">
        <x:v>源可追溯性定义为将违规与原始需求关联。</x:v>
      </x:c>
      <x:c r="O120" s="2" t="str">
        <x:v>source_traceability_definition</x:v>
      </x:c>
      <x:c r="P120" s="2" t="str">
        <x:v>definition</x:v>
      </x:c>
      <x:c r="Q120" s="2" t="str">
        <x:v>NR</x:v>
      </x:c>
      <x:c r="R120" s="6" t="str">
        <x:v>SR</x:v>
      </x:c>
      <x:c r="S120" s="6" t="str">
        <x:v>p. 1; Section I, Contributions</x:v>
      </x:c>
      <x:c r="T120" s="6" t="str">
        <x:v>A Retrieval-Augmented Generation (RAG) pipeline using ChromaDB for source traceability, linking violations to original requirements</x:v>
      </x:c>
      <x:c r="U120" s="6" t="str">
        <x:v>文中明确定义了“源可追溯性”作为将违规与原始需求链接的功能。</x:v>
      </x:c>
      <x:c r="V120" s="2" t="str">
        <x:v>Accepted</x:v>
      </x:c>
      <x:c r="W120" s="6" t="str">
        <x:v>NA</x:v>
      </x:c>
    </x:row>
    <x:row r="121" ht="76" customHeight="1">
      <x:c r="A121" s="2" t="str">
        <x:v>S36-CONCEPT-R02</x:v>
      </x:c>
      <x:c r="B121" s="2" t="str">
        <x:v>S36</x:v>
      </x:c>
      <x:c r="C121" s="2" t="str">
        <x:v>merged_1236</x:v>
      </x:c>
      <x:c r="D121" s="2" t="str">
        <x:v>Reviewer_A</x:v>
      </x:c>
      <x:c r="E121" s="2" t="str">
        <x:v>Reviewer_A</x:v>
      </x:c>
      <x:c r="F121" s="2" t="str">
        <x:v>scope</x:v>
      </x:c>
      <x:c r="G121" s="6" t="str">
        <x:v>requirement traceability</x:v>
      </x:c>
      <x:c r="H121" s="2" t="str">
        <x:v>DDD-Enforcer</x:v>
      </x:c>
      <x:c r="I121" s="2" t="str">
        <x:v>integrates RAG pipeline for</x:v>
      </x:c>
      <x:c r="J121" s="2" t="str">
        <x:v>requirement traceability</x:v>
      </x:c>
      <x:c r="K121" s="2" t="str">
        <x:v>LLM作为整体系统的一部分支持需求追溯。</x:v>
      </x:c>
      <x:c r="L121" s="2" t="str">
        <x:v>Not applicable</x:v>
      </x:c>
      <x:c r="M121" s="6" t="str">
        <x:v>NA</x:v>
      </x:c>
      <x:c r="N121" s="2" t="str">
        <x:v>DDD-Enforcer的范围包括通过RAG管道实现需求可追溯性。</x:v>
      </x:c>
      <x:c r="O121" s="2" t="str">
        <x:v>scope_includes_requirement_traceability</x:v>
      </x:c>
      <x:c r="P121" s="2" t="str">
        <x:v>scope</x:v>
      </x:c>
      <x:c r="Q121" s="2" t="str">
        <x:v>NR</x:v>
      </x:c>
      <x:c r="R121" s="6" t="str">
        <x:v>SR</x:v>
      </x:c>
      <x:c r="S121" s="6" t="str">
        <x:v>p. 1; Abstract</x:v>
      </x:c>
      <x:c r="T121" s="6" t="str">
        <x:v>integrates a Retrieval-Augmented Generation (RAG) pipeline for requirement traceability.</x:v>
      </x:c>
      <x:c r="U121" s="6" t="str">
        <x:v>系统范围明确包含需求可追溯性功能。</x:v>
      </x:c>
      <x:c r="V121" s="2" t="str">
        <x:v>Accepted</x:v>
      </x:c>
      <x:c r="W121" s="6" t="str">
        <x:v>NA</x:v>
      </x:c>
    </x:row>
    <x:row r="122" ht="76" customHeight="1">
      <x:c r="A122" s="2" t="str">
        <x:v>S36-CONCEPT-R03</x:v>
      </x:c>
      <x:c r="B122" s="2" t="str">
        <x:v>S36</x:v>
      </x:c>
      <x:c r="C122" s="2" t="str">
        <x:v>merged_1236</x:v>
      </x:c>
      <x:c r="D122" s="2" t="str">
        <x:v>Reviewer_A</x:v>
      </x:c>
      <x:c r="E122" s="2" t="str">
        <x:v>Reviewer_A</x:v>
      </x:c>
      <x:c r="F122" s="2" t="str">
        <x:v>boundary</x:v>
      </x:c>
      <x:c r="G122" s="6" t="str">
        <x:v>RAG pipeline</x:v>
      </x:c>
      <x:c r="H122" s="2" t="str">
        <x:v>zero domain knowledge</x:v>
      </x:c>
      <x:c r="I122" s="2" t="str">
        <x:v>has</x:v>
      </x:c>
      <x:c r="J122" s="2" t="str">
        <x:v>does not extract entities, synonyms, or banned terms</x:v>
      </x:c>
      <x:c r="K122" s="2" t="str">
        <x:v>LLM不参与RAG管道中的知识提取部分，仅用于违规检测。</x:v>
      </x:c>
      <x:c r="L122" s="2" t="str">
        <x:v>Not applicable</x:v>
      </x:c>
      <x:c r="M122" s="6" t="str">
        <x:v>NA</x:v>
      </x:c>
      <x:c r="N122" s="2" t="str">
        <x:v>RAG管道仅限于结构元数据，不提取领域实体、同义词或禁止术语。</x:v>
      </x:c>
      <x:c r="O122" s="2" t="str">
        <x:v>rag_no_domain_extraction</x:v>
      </x:c>
      <x:c r="P122" s="2" t="str">
        <x:v>boundary</x:v>
      </x:c>
      <x:c r="Q122" s="2" t="str">
        <x:v>NR</x:v>
      </x:c>
      <x:c r="R122" s="6" t="str">
        <x:v>SR</x:v>
      </x:c>
      <x:c r="S122" s="6" t="str">
        <x:v>p. 3; Section III.E</x:v>
      </x:c>
      <x:c r="T122" s="6" t="str">
        <x:v>The pipeline has zero domain knowledge and doesn't extract entities, synonyms, or banned terms.</x:v>
      </x:c>
      <x:c r="U122" s="6" t="str">
        <x:v>可追溯性组件的边界声明：仅存储结构元数据，不做领域概念抽取。</x:v>
      </x:c>
      <x:c r="V122" s="2" t="str">
        <x:v>Accepted</x:v>
      </x:c>
      <x:c r="W122" s="6" t="str">
        <x:v>NA</x:v>
      </x:c>
    </x:row>
    <x:row r="123" ht="76" customHeight="1">
      <x:c r="A123" s="2" t="str">
        <x:v>S37-CONCEPT-R01</x:v>
      </x:c>
      <x:c r="B123" s="2" t="str">
        <x:v>S37</x:v>
      </x:c>
      <x:c r="C123" s="2" t="str">
        <x:v>merged_1238</x:v>
      </x:c>
      <x:c r="D123" s="2" t="str">
        <x:v>Reviewer_A</x:v>
      </x:c>
      <x:c r="E123" s="2" t="str">
        <x:v>Reviewer_A</x:v>
      </x:c>
      <x:c r="F123" s="2" t="str">
        <x:v>scope</x:v>
      </x:c>
      <x:c r="G123" s="6" t="str">
        <x:v>traceability</x:v>
      </x:c>
      <x:c r="H123" s="2" t="str">
        <x:v>PRBC framework</x:v>
      </x:c>
      <x:c r="I123" s="2" t="str">
        <x:v>maintains</x:v>
      </x:c>
      <x:c r="J123" s="2" t="str">
        <x:v>unstructured requirements</x:v>
      </x:c>
      <x:c r="K123" s="2" t="str">
        <x:v>LLM通过提示生成PFM模型，间接实现可追溯性。</x:v>
      </x:c>
      <x:c r="L123" s="2" t="str">
        <x:v>Necessary</x:v>
      </x:c>
      <x:c r="M123" s="6" t="str">
        <x:v>NA</x:v>
      </x:c>
      <x:c r="N123" s="2" t="str">
        <x:v>PRBC框架通过LLM生成PFM模型来维持需求可追溯性。</x:v>
      </x:c>
      <x:c r="O123" s="2" t="str">
        <x:v>LLM-for-traceability</x:v>
      </x:c>
      <x:c r="P123" s="2" t="str">
        <x:v>Automated traceability via LLM-generated models</x:v>
      </x:c>
      <x:c r="Q123" s="2" t="str">
        <x:v>NR</x:v>
      </x:c>
      <x:c r="R123" s="6" t="str">
        <x:v>SR</x:v>
      </x:c>
      <x:c r="S123" s="6" t="str">
        <x:v>p. 1; Abstract</x:v>
      </x:c>
      <x:c r="T123" s="6" t="str">
        <x:v>the framework maintains the traceability and consistency of the unstructured requirements through three tasks: (1) automatic generation of a structured requirements model from textual input to a set of designed prompts of hyperparameter-optimized large language models (LLMs)</x:v>
      </x:c>
      <x:c r="U123" s="6" t="str">
        <x:v>论文明确声明框架通过LLM任务维持可追溯性。</x:v>
      </x:c>
      <x:c r="V123" s="2" t="str">
        <x:v>Accepted</x:v>
      </x:c>
      <x:c r="W123" s="6" t="str">
        <x:v>NA</x:v>
      </x:c>
    </x:row>
    <x:row r="124" ht="76" customHeight="1">
      <x:c r="A124" s="2" t="str">
        <x:v>S37-CONCEPT-R02</x:v>
      </x:c>
      <x:c r="B124" s="2" t="str">
        <x:v>S37</x:v>
      </x:c>
      <x:c r="C124" s="2" t="str">
        <x:v>merged_1238</x:v>
      </x:c>
      <x:c r="D124" s="2" t="str">
        <x:v>Reviewer_A</x:v>
      </x:c>
      <x:c r="E124" s="2" t="str">
        <x:v>Reviewer_A</x:v>
      </x:c>
      <x:c r="F124" s="2" t="str">
        <x:v>definition</x:v>
      </x:c>
      <x:c r="G124" s="6" t="str">
        <x:v>Traceability 1</x:v>
      </x:c>
      <x:c r="H124" s="2" t="str">
        <x:v>PFMi</x:v>
      </x:c>
      <x:c r="I124" s="2" t="str">
        <x:v>is mapped to</x:v>
      </x:c>
      <x:c r="J124" s="2" t="str">
        <x:v>RBPMNi</x:v>
      </x:c>
      <x:c r="K124" s="2" t="str">
        <x:v>LLM未直接参与此映射规则，但该规则是LLM生成PFM后维持可追溯性的关键。</x:v>
      </x:c>
      <x:c r="L124" s="2" t="str">
        <x:v>Necessary</x:v>
      </x:c>
      <x:c r="M124" s="6" t="str">
        <x:v>NA</x:v>
      </x:c>
      <x:c r="N124" s="2" t="str">
        <x:v>PFM模型通过映射规则转换为RBPMN模型，实现可追溯性。</x:v>
      </x:c>
      <x:c r="O124" s="2" t="str">
        <x:v>traceability-rule</x:v>
      </x:c>
      <x:c r="P124" s="2" t="str">
        <x:v>Formal traceability mapping</x:v>
      </x:c>
      <x:c r="Q124" s="2" t="str">
        <x:v>NR</x:v>
      </x:c>
      <x:c r="R124" s="6" t="str">
        <x:v>SR</x:v>
      </x:c>
      <x:c r="S124" s="6" t="str">
        <x:v>p. 14; Table 5</x:v>
      </x:c>
      <x:c r="T124" s="6" t="str">
        <x:v>Rule 1 (Traceability 1, f R ∪ f M ): ∀ Rei ∈ PFMi , ∃ RBPMNi , and f Rx ⊆ f R , such that f Rx : ( PFMi × f M × f Rx ) → RBPMNi .</x:v>
      </x:c>
      <x:c r="U124" s="6" t="str">
        <x:v>论文定义了从PFM到RBPMN的追溯规则。</x:v>
      </x:c>
      <x:c r="V124" s="2" t="str">
        <x:v>Accepted</x:v>
      </x:c>
      <x:c r="W124" s="6" t="str">
        <x:v>NA</x:v>
      </x:c>
    </x:row>
    <x:row r="125" ht="76" customHeight="1">
      <x:c r="A125" s="2" t="str">
        <x:v>S38-CONCEPT-R01</x:v>
      </x:c>
      <x:c r="B125" s="2" t="str">
        <x:v>S38</x:v>
      </x:c>
      <x:c r="C125" s="2" t="str">
        <x:v>merged_1241</x:v>
      </x:c>
      <x:c r="D125" s="2" t="str">
        <x:v>Reviewer_A</x:v>
      </x:c>
      <x:c r="E125" s="2" t="str">
        <x:v>Reviewer_A</x:v>
      </x:c>
      <x:c r="F125" s="2" t="str">
        <x:v>definition</x:v>
      </x:c>
      <x:c r="G125" s="6" t="str">
        <x:v>fine-grained requirement-to-design traceability</x:v>
      </x:c>
      <x:c r="H125" s="2" t="str">
        <x:v>we (LusGen)</x:v>
      </x:c>
      <x:c r="I125" s="2" t="str">
        <x:v>employ LLMs to automate</x:v>
      </x:c>
      <x:c r="J125" s="2" t="str">
        <x:v>fine-grained requirement-to-design traceability</x:v>
      </x:c>
      <x:c r="K125" s="2" t="str">
        <x:v>LLM直接参与生成需求到设计的追溯矩阵</x:v>
      </x:c>
      <x:c r="L125" s="2" t="str">
        <x:v>Not applicable</x:v>
      </x:c>
      <x:c r="M125" s="6" t="str">
        <x:v>NA</x:v>
      </x:c>
      <x:c r="N125" s="2" t="str">
        <x:v>使用LLM自动化细粒度需求-设计追溯是LLM4ST的一种形式</x:v>
      </x:c>
      <x:c r="O125" s="2" t="str">
        <x:v>LLM-based requirement-to-design traceability generation</x:v>
      </x:c>
      <x:c r="P125" s="2" t="str">
        <x:v>LLM-automated trace link generation</x:v>
      </x:c>
      <x:c r="Q125" s="2" t="str">
        <x:v>NR</x:v>
      </x:c>
      <x:c r="R125" s="6" t="str">
        <x:v>SR</x:v>
      </x:c>
      <x:c r="S125" s="6" t="str">
        <x:v>p. 11; Section 3.4</x:v>
      </x:c>
      <x:c r="T125" s="6" t="str">
        <x:v>We employ LLMs to automate fine-grained requirement-to-design traceability, aligning with safety-critical standards like DO-178C.</x:v>
      </x:c>
      <x:c r="U125" s="6" t="str">
        <x:v>明确定义了系统通过LLM自动执行从需求到设计的细粒度可追溯性任务。</x:v>
      </x:c>
      <x:c r="V125" s="2" t="str">
        <x:v>Accepted</x:v>
      </x:c>
      <x:c r="W125" s="6" t="str">
        <x:v>NA</x:v>
      </x:c>
    </x:row>
    <x:row r="126" ht="76" customHeight="1">
      <x:c r="A126" s="2" t="str">
        <x:v>S38-CONCEPT-R02</x:v>
      </x:c>
      <x:c r="B126" s="2" t="str">
        <x:v>S38</x:v>
      </x:c>
      <x:c r="C126" s="2" t="str">
        <x:v>merged_1241</x:v>
      </x:c>
      <x:c r="D126" s="2" t="str">
        <x:v>Reviewer_A</x:v>
      </x:c>
      <x:c r="E126" s="2" t="str">
        <x:v>Reviewer_A</x:v>
      </x:c>
      <x:c r="F126" s="2" t="str">
        <x:v>scope</x:v>
      </x:c>
      <x:c r="G126" s="6" t="str">
        <x:v>compliant with DO-178C</x:v>
      </x:c>
      <x:c r="H126" s="2" t="str">
        <x:v>fine-grained requirement-to-design traceability</x:v>
      </x:c>
      <x:c r="I126" s="2" t="str">
        <x:v>aligning with</x:v>
      </x:c>
      <x:c r="J126" s="2" t="str">
        <x:v>safety-critical standards like DO-178C</x:v>
      </x:c>
      <x:c r="K126" s="2" t="str">
        <x:v>LLM生成的可追溯矩阵需符合航空安全标准DO-178C要求</x:v>
      </x:c>
      <x:c r="L126" s="2" t="str">
        <x:v>Not applicable</x:v>
      </x:c>
      <x:c r="M126" s="6" t="str">
        <x:v>NA</x:v>
      </x:c>
      <x:c r="N126" s="2" t="str">
        <x:v>LLM参与的可追溯性限定在安全关键领域且需符合特定认证标准</x:v>
      </x:c>
      <x:c r="O126" s="2" t="str">
        <x:v>domain-scoped compliance traceability</x:v>
      </x:c>
      <x:c r="P126" s="2" t="str">
        <x:v>domain and standard scoping</x:v>
      </x:c>
      <x:c r="Q126" s="2" t="str">
        <x:v>NR</x:v>
      </x:c>
      <x:c r="R126" s="6" t="str">
        <x:v>SR</x:v>
      </x:c>
      <x:c r="S126" s="6" t="str">
        <x:v>p. 11; Section 3.4</x:v>
      </x:c>
      <x:c r="T126" s="6" t="str">
        <x:v>aligning with safety-critical standards like DO-178C</x:v>
      </x:c>
      <x:c r="U126" s="6" t="str">
        <x:v>将LLM驱动的追溯活动范围限定在需满足航空机载软件认证标准（DO-178C）的场景。</x:v>
      </x:c>
      <x:c r="V126" s="2" t="str">
        <x:v>Accepted</x:v>
      </x:c>
      <x:c r="W126" s="6" t="str">
        <x:v>NA</x:v>
      </x:c>
    </x:row>
    <x:row r="127" ht="76" customHeight="1">
      <x:c r="A127" s="2" t="str">
        <x:v>S38-CONCEPT-R03</x:v>
      </x:c>
      <x:c r="B127" s="2" t="str">
        <x:v>S38</x:v>
      </x:c>
      <x:c r="C127" s="2" t="str">
        <x:v>merged_1241</x:v>
      </x:c>
      <x:c r="D127" s="2" t="str">
        <x:v>Reviewer_A</x:v>
      </x:c>
      <x:c r="E127" s="2" t="str">
        <x:v>Reviewer_A</x:v>
      </x:c>
      <x:c r="F127" s="2" t="str">
        <x:v>boundary</x:v>
      </x:c>
      <x:c r="G127" s="6" t="str">
        <x:v>fine-grained traceability between formalized requirements and domain-specific models</x:v>
      </x:c>
      <x:c r="H127" s="2" t="str">
        <x:v>our approach</x:v>
      </x:c>
      <x:c r="I127" s="2" t="str">
        <x:v>targets (unlike prior work focused on general-purpose code or coarse-grained links)</x:v>
      </x:c>
      <x:c r="J127" s="2" t="str">
        <x:v>fine-grained traceability between formalized requirements and domain-specific models</x:v>
      </x:c>
      <x:c r="K127" s="2" t="str">
        <x:v>LLM用于在形式化需求与领域专用模型之间建立细粒度追溯，区别于以往针对通用代码或粗粒度的链接</x:v>
      </x:c>
      <x:c r="L127" s="2" t="str">
        <x:v>Not applicable</x:v>
      </x:c>
      <x:c r="M127" s="6" t="str">
        <x:v>NA</x:v>
      </x:c>
      <x:c r="N127" s="2" t="str">
        <x:v>该方法针对形式化需求与领域模型间的细粒度追溯，区别于通用代码或粗粒度追溯</x:v>
      </x:c>
      <x:c r="O127" s="2" t="str">
        <x:v>boundary to prior traceability work</x:v>
      </x:c>
      <x:c r="P127" s="2" t="str">
        <x:v>technical boundary differentiation</x:v>
      </x:c>
      <x:c r="Q127" s="2" t="str">
        <x:v>NR</x:v>
      </x:c>
      <x:c r="R127" s="6" t="str">
        <x:v>SR</x:v>
      </x:c>
      <x:c r="S127" s="6" t="str">
        <x:v>p. 6; Section 2.2</x:v>
      </x:c>
      <x:c r="T127" s="6" t="str">
        <x:v>traditional IR and RNN methods. Unlike prior work focused on general-purpose code or coarse-grained links, our approach targets fine-grained traceability between formalized requirements and domain-specific models, integrating LLMbased tracing directly into the model generation pipeline.</x:v>
      </x:c>
      <x:c r="U127" s="6" t="str">
        <x:v>明确技术边界：该方法不同于现有工作，聚焦于形式化需求与领域特定模型间的细粒度追溯。</x:v>
      </x:c>
      <x:c r="V127" s="2" t="str">
        <x:v>Accepted</x:v>
      </x:c>
      <x:c r="W127" s="6" t="str">
        <x:v>NA</x:v>
      </x:c>
    </x:row>
    <x:row r="128" ht="76" customHeight="1">
      <x:c r="A128" s="2" t="str">
        <x:v>S38-CONCEPT-R04</x:v>
      </x:c>
      <x:c r="B128" s="2" t="str">
        <x:v>S38</x:v>
      </x:c>
      <x:c r="C128" s="2" t="str">
        <x:v>merged_1241</x:v>
      </x:c>
      <x:c r="D128" s="2" t="str">
        <x:v>Reviewer_A</x:v>
      </x:c>
      <x:c r="E128" s="2" t="str">
        <x:v>Reviewer_A</x:v>
      </x:c>
      <x:c r="F128" s="2" t="str">
        <x:v>necessary_step</x:v>
      </x:c>
      <x:c r="G128" s="6" t="str">
        <x:v>requirements formalization-driven approach</x:v>
      </x:c>
      <x:c r="H128" s="2" t="str">
        <x:v>requirements formalization</x:v>
      </x:c>
      <x:c r="I128" s="2" t="str">
        <x:v>is needed to</x:v>
      </x:c>
      <x:c r="J128" s="2" t="str">
        <x:v>improve traceability accuracy and reliability</x:v>
      </x:c>
      <x:c r="K128" s="2" t="str">
        <x:v>形式化需求是LLM生成准确可追溯矩阵的必要前置步骤</x:v>
      </x:c>
      <x:c r="L128" s="2" t="str">
        <x:v>Necessary</x:v>
      </x:c>
      <x:c r="M128" s="6" t="str">
        <x:v>NA</x:v>
      </x:c>
      <x:c r="N128" s="2" t="str">
        <x:v>需求形式化是提升LLM驱动追溯准确性和可靠性的必要步骤</x:v>
      </x:c>
      <x:c r="O128" s="2" t="str">
        <x:v>requirements formalization as prerequisite</x:v>
      </x:c>
      <x:c r="P128" s="2" t="str">
        <x:v>process necessity</x:v>
      </x:c>
      <x:c r="Q128" s="2" t="str">
        <x:v>NR</x:v>
      </x:c>
      <x:c r="R128" s="6" t="str">
        <x:v>SR</x:v>
      </x:c>
      <x:c r="S128" s="6" t="str">
        <x:v>p. 9; Section 3.1</x:v>
      </x:c>
      <x:c r="T128" s="6" t="str">
        <x:v>This underscores the need for a requirements formalization-driven approach to improve traceability accuracy and reliability.</x:v>
      </x:c>
      <x:c r="U128" s="6" t="str">
        <x:v>指出需求形式化是确保LLM可追溯性能的必要条件。</x:v>
      </x:c>
      <x:c r="V128" s="2" t="str">
        <x:v>Accepted</x:v>
      </x:c>
      <x:c r="W128" s="6" t="str">
        <x:v>NA</x:v>
      </x:c>
    </x:row>
    <x:row r="129" ht="76" customHeight="1">
      <x:c r="A129" s="2" t="str">
        <x:v>S38-CONCEPT-R05</x:v>
      </x:c>
      <x:c r="B129" s="2" t="str">
        <x:v>S38</x:v>
      </x:c>
      <x:c r="C129" s="2" t="str">
        <x:v>merged_1241</x:v>
      </x:c>
      <x:c r="D129" s="2" t="str">
        <x:v>Reviewer_A</x:v>
      </x:c>
      <x:c r="E129" s="2" t="str">
        <x:v>Reviewer_A</x:v>
      </x:c>
      <x:c r="F129" s="2" t="str">
        <x:v>counterexample</x:v>
      </x:c>
      <x:c r="G129" s="6" t="str">
        <x:v>incorrect requirement traces and missing traces</x:v>
      </x:c>
      <x:c r="H129" s="2" t="str">
        <x:v>LLM-based traceability generation</x:v>
      </x:c>
      <x:c r="I129" s="2" t="str">
        <x:v>exhibits</x:v>
      </x:c>
      <x:c r="J129" s="2" t="str">
        <x:v>incorrect requirement traces (167) and missing traces (46)</x:v>
      </x:c>
      <x:c r="K129" s="2" t="str">
        <x:v>LLM在生成追溯时可能产生错误需求跟踪和缺失跟踪</x:v>
      </x:c>
      <x:c r="L129" s="2" t="str">
        <x:v>Not applicable</x:v>
      </x:c>
      <x:c r="M129" s="6" t="str">
        <x:v>LLM在未经强化的需求追溯生成中会产生167条错误跟踪和46条缺失跟踪，表明易出现幻觉</x:v>
      </x:c>
      <x:c r="N129" s="2" t="str">
        <x:v>LLM直接生成追溯矩阵可能出现错误和遗漏，构成反例，说明需要额外机制保障</x:v>
      </x:c>
      <x:c r="O129" s="2" t="str">
        <x:v>traceability hallucination pattern</x:v>
      </x:c>
      <x:c r="P129" s="2" t="str">
        <x:v>failure case as counterexample</x:v>
      </x:c>
      <x:c r="Q129" s="2" t="str">
        <x:v>NR</x:v>
      </x:c>
      <x:c r="R129" s="6" t="str">
        <x:v>SR</x:v>
      </x:c>
      <x:c r="S129" s="6" t="str">
        <x:v>p. 8; Section 3.1</x:v>
      </x:c>
      <x:c r="T129" s="6" t="str">
        <x:v>incorrect requirement traces (167) and missing traces (46).</x:v>
      </x:c>
      <x:c r="U129" s="6" t="str">
        <x:v>以LLM在无辅助下生成追溯时出现的具体错误数量作为反例，说明LLM4ST面临的主要问题。</x:v>
      </x:c>
      <x:c r="V129" s="2" t="str">
        <x:v>Accepted</x:v>
      </x:c>
      <x:c r="W129" s="6" t="str">
        <x:v>NA</x:v>
      </x:c>
    </x:row>
    <x:row r="130" ht="76" customHeight="1">
      <x:c r="A130" s="2" t="str">
        <x:v>S39-CONCEPT-R01</x:v>
      </x:c>
      <x:c r="B130" s="2" t="str">
        <x:v>S39</x:v>
      </x:c>
      <x:c r="C130" s="2" t="str">
        <x:v>merged_1245</x:v>
      </x:c>
      <x:c r="D130" s="2" t="str">
        <x:v>Reviewer_A</x:v>
      </x:c>
      <x:c r="E130" s="2" t="str">
        <x:v>Reviewer_A</x:v>
      </x:c>
      <x:c r="F130" s="2" t="str">
        <x:v>definition</x:v>
      </x:c>
      <x:c r="G130" s="6" t="str">
        <x:v>requirements smells</x:v>
      </x:c>
      <x:c r="H130" s="2" t="str">
        <x:v>indicators of issues</x:v>
      </x:c>
      <x:c r="I130" s="2" t="str">
        <x:v>are</x:v>
      </x:c>
      <x:c r="J130" s="2" t="str">
        <x:v>ambiguity and inconsistency in natural language</x:v>
      </x:c>
      <x:c r="K130" s="2" t="str">
        <x:v>需求气味可能影响LLM生成输出的质量，因为LLM对输入中的语言缺陷敏感。</x:v>
      </x:c>
      <x:c r="L130" s="2" t="str">
        <x:v>Not applicable</x:v>
      </x:c>
      <x:c r="M130" s="6" t="str">
        <x:v>NA</x:v>
      </x:c>
      <x:c r="N130" s="2" t="str">
        <x:v>需求气味是自然语言需求中歧义和不一致等质量问题的指示器。</x:v>
      </x:c>
      <x:c r="O130" s="2" t="str">
        <x:v>需求气味定义</x:v>
      </x:c>
      <x:c r="P130" s="2" t="str">
        <x:v>需求质量概念</x:v>
      </x:c>
      <x:c r="Q130" s="2" t="str">
        <x:v>NR</x:v>
      </x:c>
      <x:c r="R130" s="6" t="str">
        <x:v>SR</x:v>
      </x:c>
      <x:c r="S130" s="6" t="str">
        <x:v>p. 1; abstract</x:v>
      </x:c>
      <x:c r="T130" s="6" t="str">
        <x:v>Requirements smells, which are indicators of issues like ambiguity and inconsistency in natural language</x:v>
      </x:c>
      <x:c r="U130" s="6" t="str">
        <x:v>文章将需求气味定义为自然语言需求中可能存在的质量问题的指示器，如歧义和不一致。</x:v>
      </x:c>
      <x:c r="V130" s="2" t="str">
        <x:v>Accepted</x:v>
      </x:c>
      <x:c r="W130" s="6" t="str">
        <x:v>NA</x:v>
      </x:c>
    </x:row>
    <x:row r="131" ht="76" customHeight="1">
      <x:c r="A131" s="2" t="str">
        <x:v>S39-CONCEPT-R02</x:v>
      </x:c>
      <x:c r="B131" s="2" t="str">
        <x:v>S39</x:v>
      </x:c>
      <x:c r="C131" s="2" t="str">
        <x:v>merged_1245</x:v>
      </x:c>
      <x:c r="D131" s="2" t="str">
        <x:v>Reviewer_A</x:v>
      </x:c>
      <x:c r="E131" s="2" t="str">
        <x:v>Reviewer_A</x:v>
      </x:c>
      <x:c r="F131" s="2" t="str">
        <x:v>scope</x:v>
      </x:c>
      <x:c r="G131" s="6" t="str">
        <x:v>impact of requirements smells</x:v>
      </x:c>
      <x:c r="H131" s="2" t="str">
        <x:v>requirements smells</x:v>
      </x:c>
      <x:c r="I131" s="2" t="str">
        <x:v>impact on</x:v>
      </x:c>
      <x:c r="J131" s="2" t="str">
        <x:v>LLM performance in SE tasks</x:v>
      </x:c>
      <x:c r="K131" s="2" t="str">
        <x:v>研究范围涵盖需求气味在提示LLM执行软件工程任务时的影响。</x:v>
      </x:c>
      <x:c r="L131" s="2" t="str">
        <x:v>Not applicable</x:v>
      </x:c>
      <x:c r="M131" s="6" t="str">
        <x:v>NA</x:v>
      </x:c>
      <x:c r="N131" s="2" t="str">
        <x:v>论文研究需求气味对LLM在软件工程任务中性能的影响。</x:v>
      </x:c>
      <x:c r="O131" s="2" t="str">
        <x:v>研究范围</x:v>
      </x:c>
      <x:c r="P131" s="2" t="str">
        <x:v>研究目标</x:v>
      </x:c>
      <x:c r="Q131" s="2" t="str">
        <x:v>NR</x:v>
      </x:c>
      <x:c r="R131" s="6" t="str">
        <x:v>SR</x:v>
      </x:c>
      <x:c r="S131" s="6" t="str">
        <x:v>p. 4; I. A. Research Goal</x:v>
      </x:c>
      <x:c r="T131" s="6" t="str">
        <x:v>The dissertation aims to explore the impact of requirements smells on the performance of large language models in software engineering tasks. By systematically analyzing</x:v>
      </x:c>
      <x:c r="U131" s="6" t="str">
        <x:v>论文明确其研究范围是需求气味在LLM驱动的软件工程任务中的影响。</x:v>
      </x:c>
      <x:c r="V131" s="2" t="str">
        <x:v>Accepted</x:v>
      </x:c>
      <x:c r="W131" s="6" t="str">
        <x:v>NA</x:v>
      </x:c>
    </x:row>
    <x:row r="132" ht="76" customHeight="1">
      <x:c r="A132" s="2" t="str">
        <x:v>S40-CONCEPT-R01</x:v>
      </x:c>
      <x:c r="B132" s="2" t="str">
        <x:v>S40</x:v>
      </x:c>
      <x:c r="C132" s="2" t="str">
        <x:v>merged_1263</x:v>
      </x:c>
      <x:c r="D132" s="2" t="str">
        <x:v>Reviewer_A</x:v>
      </x:c>
      <x:c r="E132" s="2" t="str">
        <x:v>Reviewer_A</x:v>
      </x:c>
      <x:c r="F132" s="2" t="str">
        <x:v>definition</x:v>
      </x:c>
      <x:c r="G132" s="6" t="str">
        <x:v>Requirement-Code Traceability Link Recovery (RC-TLR)</x:v>
      </x:c>
      <x:c r="H132" s="2" t="str">
        <x:v>requirements</x:v>
      </x:c>
      <x:c r="I132" s="2" t="str">
        <x:v>maps to</x:v>
      </x:c>
      <x:c r="J132" s="2" t="str">
        <x:v>code artifacts</x:v>
      </x:c>
      <x:c r="K132" s="2" t="str">
        <x:v>该定义本身不涉及LLM，但本文使用LLM实现此任务。</x:v>
      </x:c>
      <x:c r="L132" s="2" t="str">
        <x:v>Not applicable</x:v>
      </x:c>
      <x:c r="M132" s="6" t="str">
        <x:v>NA</x:v>
      </x:c>
      <x:c r="N132" s="2" t="str">
        <x:v>RC-TLR是将需求映射到实现它们的代码工件的过程。</x:v>
      </x:c>
      <x:c r="O132" s="2" t="str">
        <x:v>NR</x:v>
      </x:c>
      <x:c r="P132" s="2" t="str">
        <x:v>NR</x:v>
      </x:c>
      <x:c r="Q132" s="2" t="str">
        <x:v>NR</x:v>
      </x:c>
      <x:c r="R132" s="6" t="str">
        <x:v>SR</x:v>
      </x:c>
      <x:c r="S132" s="6" t="str">
        <x:v>p. 1; Abstract</x:v>
      </x:c>
      <x:c r="T132" s="6" t="str">
        <x:v>Requirement-Code Traceability Link Recovery (RC-TLR) maps requirements to the code artifacts that implement them.</x:v>
      </x:c>
      <x:c r="U132" s="6" t="str">
        <x:v>文章给出了RC-TLR的明确定义，作为后续工作的基础。</x:v>
      </x:c>
      <x:c r="V132" s="2" t="str">
        <x:v>Accepted</x:v>
      </x:c>
      <x:c r="W132" s="6" t="str">
        <x:v>NA</x:v>
      </x:c>
    </x:row>
    <x:row r="133" ht="76" customHeight="1">
      <x:c r="A133" s="2" t="str">
        <x:v>S40-CONCEPT-R02</x:v>
      </x:c>
      <x:c r="B133" s="2" t="str">
        <x:v>S40</x:v>
      </x:c>
      <x:c r="C133" s="2" t="str">
        <x:v>merged_1263</x:v>
      </x:c>
      <x:c r="D133" s="2" t="str">
        <x:v>Reviewer_A</x:v>
      </x:c>
      <x:c r="E133" s="2" t="str">
        <x:v>Reviewer_A</x:v>
      </x:c>
      <x:c r="F133" s="2" t="str">
        <x:v>boundary</x:v>
      </x:c>
      <x:c r="G133" s="6" t="str">
        <x:v>zero-shot RC-TLR</x:v>
      </x:c>
      <x:c r="H133" s="2" t="str">
        <x:v>DSDR (zero-shot RC-TLR)</x:v>
      </x:c>
      <x:c r="I133" s="2" t="str">
        <x:v>uses no</x:v>
      </x:c>
      <x:c r="J133" s="2" t="str">
        <x:v>trace-link labels for training</x:v>
      </x:c>
      <x:c r="K133" s="2" t="str">
        <x:v>LLM仅用于推理阶段，不使用项目特定的标注。</x:v>
      </x:c>
      <x:c r="L133" s="2" t="str">
        <x:v>Not applicable</x:v>
      </x:c>
      <x:c r="M133" s="6" t="str">
        <x:v>NA</x:v>
      </x:c>
      <x:c r="N133" s="2" t="str">
        <x:v>零样本RC-TLR仅使用需求和代码内容，不利用标注链接进行模型训练。</x:v>
      </x:c>
      <x:c r="O133" s="2" t="str">
        <x:v>NR</x:v>
      </x:c>
      <x:c r="P133" s="2" t="str">
        <x:v>NR</x:v>
      </x:c>
      <x:c r="Q133" s="2" t="str">
        <x:v>NR</x:v>
      </x:c>
      <x:c r="R133" s="6" t="str">
        <x:v>SR</x:v>
      </x:c>
      <x:c r="S133" s="6" t="str">
        <x:v>p. 2; Section 1</x:v>
      </x:c>
      <x:c r="T133" s="6" t="str">
        <x:v>We evaluate DSDR under zero-shot RC-TLR. At inference time, DSDR observes only requirement and code contents; trace-link labels are held out for evaluation.</x:v>
      </x:c>
      <x:c r="U133" s="6" t="str">
        <x:v>明确说明本文的零样本设定边界，排除了使用标注进行训练。</x:v>
      </x:c>
      <x:c r="V133" s="2" t="str">
        <x:v>Accepted</x:v>
      </x:c>
      <x:c r="W133" s="6" t="str">
        <x:v>NA</x:v>
      </x:c>
    </x:row>
    <x:row r="134" ht="76" customHeight="1">
      <x:c r="A134" s="2" t="str">
        <x:v>S40-CONCEPT-R03</x:v>
      </x:c>
      <x:c r="B134" s="2" t="str">
        <x:v>S40</x:v>
      </x:c>
      <x:c r="C134" s="2" t="str">
        <x:v>merged_1263</x:v>
      </x:c>
      <x:c r="D134" s="2" t="str">
        <x:v>Reviewer_A</x:v>
      </x:c>
      <x:c r="E134" s="2" t="str">
        <x:v>Reviewer_A</x:v>
      </x:c>
      <x:c r="F134" s="2" t="str">
        <x:v>necessary_step</x:v>
      </x:c>
      <x:c r="G134" s="6" t="str">
        <x:v>LLM-based structural validation</x:v>
      </x:c>
      <x:c r="H134" s="2" t="str">
        <x:v>DSDR</x:v>
      </x:c>
      <x:c r="I134" s="2" t="str">
        <x:v>includes</x:v>
      </x:c>
      <x:c r="J134" s="2" t="str">
        <x:v>LLM validator as a necessary component</x:v>
      </x:c>
      <x:c r="K134" s="2" t="str">
        <x:v>LLM充当验证器，接收检索到的候选代码和证据路径并做出链接决策。</x:v>
      </x:c>
      <x:c r="L134" s="2" t="str">
        <x:v>Necessary</x:v>
      </x:c>
      <x:c r="M134" s="6" t="str">
        <x:v>NA</x:v>
      </x:c>
      <x:c r="N134" s="2" t="str">
        <x:v>LLM验证是DSDR的必要步骤，用于最终决定检索到的候选对是否为真实可追溯性链接。</x:v>
      </x:c>
      <x:c r="O134" s="2" t="str">
        <x:v>NR</x:v>
      </x:c>
      <x:c r="P134" s="2" t="str">
        <x:v>NR</x:v>
      </x:c>
      <x:c r="Q134" s="2" t="str">
        <x:v>NR</x:v>
      </x:c>
      <x:c r="R134" s="6" t="str">
        <x:v>SR</x:v>
      </x:c>
      <x:c r="S134" s="6" t="str">
        <x:v>p. 4; Section 3</x:v>
      </x:c>
      <x:c r="T134" s="6" t="str">
        <x:v>DSDR follows a retrieve-then-validate workflow: for each requirement r ∈ R, it ranks candidate classes with graph-based structural evidence and submits only the top K candidate pairs to an LLM validator.</x:v>
      </x:c>
      <x:c r="U134" s="6" t="str">
        <x:v>表明DSDR的pipeline中LLM验证是必不可少的最后阶段。</x:v>
      </x:c>
      <x:c r="V134" s="2" t="str">
        <x:v>Accepted</x:v>
      </x:c>
      <x:c r="W134" s="6" t="str">
        <x:v>NA</x:v>
      </x:c>
    </x:row>
    <x:row r="135" ht="76" customHeight="1">
      <x:c r="A135" s="2" t="str">
        <x:v>S40-CONCEPT-R04</x:v>
      </x:c>
      <x:c r="B135" s="2" t="str">
        <x:v>S40</x:v>
      </x:c>
      <x:c r="C135" s="2" t="str">
        <x:v>merged_1263</x:v>
      </x:c>
      <x:c r="D135" s="2" t="str">
        <x:v>Reviewer_A</x:v>
      </x:c>
      <x:c r="E135" s="2" t="str">
        <x:v>Reviewer_A</x:v>
      </x:c>
      <x:c r="F135" s="2" t="str">
        <x:v>boundary</x:v>
      </x:c>
      <x:c r="G135" s="6" t="str">
        <x:v>dynamic dependency information</x:v>
      </x:c>
      <x:c r="H135" s="2" t="str">
        <x:v>DSDR</x:v>
      </x:c>
      <x:c r="I135" s="2" t="str">
        <x:v>does not use</x:v>
      </x:c>
      <x:c r="J135" s="2" t="str">
        <x:v>dynamic dependencies</x:v>
      </x:c>
      <x:c r="K135" s="2" t="str">
        <x:v>与LLM无关，主要是图构建的选择。</x:v>
      </x:c>
      <x:c r="L135" s="2" t="str">
        <x:v>Not applicable</x:v>
      </x:c>
      <x:c r="M135" s="6" t="str">
        <x:v>NA</x:v>
      </x:c>
      <x:c r="N135" s="2" t="str">
        <x:v>DSDR当前的图构建仅包含静态语法依赖，不包括动态依赖信息。</x:v>
      </x:c>
      <x:c r="O135" s="2" t="str">
        <x:v>NR</x:v>
      </x:c>
      <x:c r="P135" s="2" t="str">
        <x:v>NR</x:v>
      </x:c>
      <x:c r="Q135" s="2" t="str">
        <x:v>NR</x:v>
      </x:c>
      <x:c r="R135" s="6" t="str">
        <x:v>SR</x:v>
      </x:c>
      <x:c r="S135" s="6" t="str">
        <x:v>p. 6; Section 3.1.2</x:v>
      </x:c>
      <x:c r="T135" s="6" t="str">
        <x:v>Dynamic dependency information is not incorporated in the present study.</x:v>
      </x:c>
      <x:c r="U135" s="6" t="str">
        <x:v>明确方法的一个边界，即仅使用静态分析。</x:v>
      </x:c>
      <x:c r="V135" s="2" t="str">
        <x:v>Accepted</x:v>
      </x:c>
      <x:c r="W135" s="6" t="str">
        <x:v>NA</x:v>
      </x:c>
    </x:row>
    <x:row r="136" ht="76" customHeight="1">
      <x:c r="A136" s="2" t="str">
        <x:v>S41-CONCEPT-R01</x:v>
      </x:c>
      <x:c r="B136" s="2" t="str">
        <x:v>S41</x:v>
      </x:c>
      <x:c r="C136" s="2" t="str">
        <x:v>merged_1264</x:v>
      </x:c>
      <x:c r="D136" s="2" t="str">
        <x:v>Reviewer_A</x:v>
      </x:c>
      <x:c r="E136" s="2" t="str">
        <x:v>Reviewer_A</x:v>
      </x:c>
      <x:c r="F136" s="2" t="str">
        <x:v>definition</x:v>
      </x:c>
      <x:c r="G136" s="6" t="str">
        <x:v>issue-commit link recovery (ICLR)</x:v>
      </x:c>
      <x:c r="H136" s="2" t="str">
        <x:v>ICLR</x:v>
      </x:c>
      <x:c r="I136" s="2" t="str">
        <x:v>is</x:v>
      </x:c>
      <x:c r="J136" s="2" t="str">
        <x:v>task of reconstructing missing or incomplete links between issue reports and code commits</x:v>
      </x:c>
      <x:c r="K136" s="2" t="str">
        <x:v>不直接涉及LLM，但LLM用于改进该任务</x:v>
      </x:c>
      <x:c r="L136" s="2" t="str">
        <x:v>Not applicable</x:v>
      </x:c>
      <x:c r="M136" s="6" t="str">
        <x:v>NA</x:v>
      </x:c>
      <x:c r="N136" s="2" t="str">
        <x:v>定义：ICLR是恢复问题报告与代码提交之间缺失链接的任务</x:v>
      </x:c>
      <x:c r="O136" s="2" t="str">
        <x:v>def_ICLR</x:v>
      </x:c>
      <x:c r="P136" s="2" t="str">
        <x:v>Definition</x:v>
      </x:c>
      <x:c r="Q136" s="2" t="str">
        <x:v>NR</x:v>
      </x:c>
      <x:c r="R136" s="6" t="str">
        <x:v>SR</x:v>
      </x:c>
      <x:c r="S136" s="6" t="str">
        <x:v>p. 2; abstract</x:v>
      </x:c>
      <x:c r="T136" s="6" t="str">
        <x:v>Issue-commit link recovery (ICLR) is a fundamental task in software traceability that aims to reconstruct missing or incomplete links between issue reports and code commits.</x:v>
      </x:c>
      <x:c r="U136" s="6" t="str">
        <x:v>论文明确定义了ICLR任务</x:v>
      </x:c>
      <x:c r="V136" s="2" t="str">
        <x:v>Accepted</x:v>
      </x:c>
      <x:c r="W136" s="6" t="str">
        <x:v>NR</x:v>
      </x:c>
    </x:row>
    <x:row r="137" ht="76" customHeight="1">
      <x:c r="A137" s="2" t="str">
        <x:v>S41-CONCEPT-R02</x:v>
      </x:c>
      <x:c r="B137" s="2" t="str">
        <x:v>S41</x:v>
      </x:c>
      <x:c r="C137" s="2" t="str">
        <x:v>merged_1264</x:v>
      </x:c>
      <x:c r="D137" s="2" t="str">
        <x:v>Reviewer_A</x:v>
      </x:c>
      <x:c r="E137" s="2" t="str">
        <x:v>Reviewer_A</x:v>
      </x:c>
      <x:c r="F137" s="2" t="str">
        <x:v>scope</x:v>
      </x:c>
      <x:c r="G137" s="6" t="str">
        <x:v>SELink</x:v>
      </x:c>
      <x:c r="H137" s="2" t="str">
        <x:v>SELink</x:v>
      </x:c>
      <x:c r="I137" s="2" t="str">
        <x:v>comprises</x:v>
      </x:c>
      <x:c r="J137" s="2" t="str">
        <x:v>three modules: semantic summarization, link prediction, semantic re-ranking</x:v>
      </x:c>
      <x:c r="K137" s="2" t="str">
        <x:v>LLM用于语义摘要和语义重排序模块</x:v>
      </x:c>
      <x:c r="L137" s="2" t="str">
        <x:v>Necessary</x:v>
      </x:c>
      <x:c r="M137" s="6" t="str">
        <x:v>NA</x:v>
      </x:c>
      <x:c r="N137" s="2" t="str">
        <x:v>范围：SELink包含三个模块：语义摘要、链接预测和语义重排序</x:v>
      </x:c>
      <x:c r="O137" s="2" t="str">
        <x:v>scope_SELink</x:v>
      </x:c>
      <x:c r="P137" s="2" t="str">
        <x:v>Scope</x:v>
      </x:c>
      <x:c r="Q137" s="2" t="str">
        <x:v>NR</x:v>
      </x:c>
      <x:c r="R137" s="6" t="str">
        <x:v>SR</x:v>
      </x:c>
      <x:c r="S137" s="6" t="str">
        <x:v>p. 2; abstract</x:v>
      </x:c>
      <x:c r="T137" s="6" t="str">
        <x:v>that compresses verbose texts while preserving core semantics; a prediction module based on a pretrained encoder, with flexibility to adopt various backbone models; and a semantic re-ranking module</x:v>
      </x:c>
      <x:c r="U137" s="6" t="str">
        <x:v>描述了SELink框架的组成</x:v>
      </x:c>
      <x:c r="V137" s="2" t="str">
        <x:v>Accepted</x:v>
      </x:c>
      <x:c r="W137" s="6" t="str">
        <x:v>NR</x:v>
      </x:c>
    </x:row>
    <x:row r="138" ht="76" customHeight="1">
      <x:c r="A138" s="2" t="str">
        <x:v>S41-CONCEPT-R03</x:v>
      </x:c>
      <x:c r="B138" s="2" t="str">
        <x:v>S41</x:v>
      </x:c>
      <x:c r="C138" s="2" t="str">
        <x:v>merged_1264</x:v>
      </x:c>
      <x:c r="D138" s="2" t="str">
        <x:v>Reviewer_A</x:v>
      </x:c>
      <x:c r="E138" s="2" t="str">
        <x:v>Reviewer_A</x:v>
      </x:c>
      <x:c r="F138" s="2" t="str">
        <x:v>boundary</x:v>
      </x:c>
      <x:c r="G138" s="6" t="str">
        <x:v>top-K threshold</x:v>
      </x:c>
      <x:c r="H138" s="2" t="str">
        <x:v>top-K threshold</x:v>
      </x:c>
      <x:c r="I138" s="2" t="str">
        <x:v>set to</x:v>
      </x:c>
      <x:c r="J138" s="2" t="str">
        <x:v>10</x:v>
      </x:c>
      <x:c r="K138" s="2" t="str">
        <x:v>限制重排序的范围</x:v>
      </x:c>
      <x:c r="L138" s="2" t="str">
        <x:v>Not applicable</x:v>
      </x:c>
      <x:c r="M138" s="6" t="str">
        <x:v>NA</x:v>
      </x:c>
      <x:c r="N138" s="2" t="str">
        <x:v>边界：重排序的候选提交数量固定为10</x:v>
      </x:c>
      <x:c r="O138" s="2" t="str">
        <x:v>bound_topK</x:v>
      </x:c>
      <x:c r="P138" s="2" t="str">
        <x:v>Boundary</x:v>
      </x:c>
      <x:c r="Q138" s="2" t="str">
        <x:v>NR</x:v>
      </x:c>
      <x:c r="R138" s="6" t="str">
        <x:v>SR</x:v>
      </x:c>
      <x:c r="S138" s="6" t="str">
        <x:v>p. 8; section 3.4</x:v>
      </x:c>
      <x:c r="T138" s="6" t="str">
        <x:v>In our framework, we set the top-K threshold to K = 10 for semantic re-ranking.</x:v>
      </x:c>
      <x:c r="U138" s="6" t="str">
        <x:v>规定重排序仅考虑前10个候选</x:v>
      </x:c>
      <x:c r="V138" s="2" t="str">
        <x:v>Accepted</x:v>
      </x:c>
      <x:c r="W138" s="6" t="str">
        <x:v>NR</x:v>
      </x:c>
    </x:row>
    <x:row r="139" ht="76" customHeight="1">
      <x:c r="A139" s="2" t="str">
        <x:v>S41-CONCEPT-R04</x:v>
      </x:c>
      <x:c r="B139" s="2" t="str">
        <x:v>S41</x:v>
      </x:c>
      <x:c r="C139" s="2" t="str">
        <x:v>merged_1264</x:v>
      </x:c>
      <x:c r="D139" s="2" t="str">
        <x:v>Reviewer_A</x:v>
      </x:c>
      <x:c r="E139" s="2" t="str">
        <x:v>Reviewer_A</x:v>
      </x:c>
      <x:c r="F139" s="2" t="str">
        <x:v>boundary</x:v>
      </x:c>
      <x:c r="G139" s="6" t="str">
        <x:v>cross-project generalization</x:v>
      </x:c>
      <x:c r="H139" s="2" t="str">
        <x:v>study</x:v>
      </x:c>
      <x:c r="I139" s="2" t="str">
        <x:v>does not explore</x:v>
      </x:c>
      <x:c r="J139" s="2" t="str">
        <x:v>cross-project generalization</x:v>
      </x:c>
      <x:c r="K139" s="2" t="str">
        <x:v>NA</x:v>
      </x:c>
      <x:c r="L139" s="2" t="str">
        <x:v>Not applicable</x:v>
      </x:c>
      <x:c r="M139" s="6" t="str">
        <x:v>NA</x:v>
      </x:c>
      <x:c r="N139" s="2" t="str">
        <x:v>边界：未探索跨项目泛化</x:v>
      </x:c>
      <x:c r="O139" s="2" t="str">
        <x:v>bound_crossproject</x:v>
      </x:c>
      <x:c r="P139" s="2" t="str">
        <x:v>Boundary</x:v>
      </x:c>
      <x:c r="Q139" s="2" t="str">
        <x:v>NR</x:v>
      </x:c>
      <x:c r="R139" s="6" t="str">
        <x:v>SR</x:v>
      </x:c>
      <x:c r="S139" s="6" t="str">
        <x:v>p. 3; section 1</x:v>
      </x:c>
      <x:c r="T139" s="6" t="str">
        <x:v>this study does not explore cross-project generalization</x:v>
      </x:c>
      <x:c r="U139" s="6" t="str">
        <x:v>研究局限：未评估跨项目性能</x:v>
      </x:c>
      <x:c r="V139" s="2" t="str">
        <x:v>Accepted</x:v>
      </x:c>
      <x:c r="W139" s="6" t="str">
        <x:v>NR</x:v>
      </x:c>
    </x:row>
    <x:row r="140" ht="76" customHeight="1">
      <x:c r="A140" s="2" t="str">
        <x:v>S41-CONCEPT-R05</x:v>
      </x:c>
      <x:c r="B140" s="2" t="str">
        <x:v>S41</x:v>
      </x:c>
      <x:c r="C140" s="2" t="str">
        <x:v>merged_1264</x:v>
      </x:c>
      <x:c r="D140" s="2" t="str">
        <x:v>Reviewer_A</x:v>
      </x:c>
      <x:c r="E140" s="2" t="str">
        <x:v>Reviewer_A</x:v>
      </x:c>
      <x:c r="F140" s="2" t="str">
        <x:v>optional_step</x:v>
      </x:c>
      <x:c r="G140" s="6" t="str">
        <x:v>prediction module</x:v>
      </x:c>
      <x:c r="H140" s="2" t="str">
        <x:v>prediction module</x:v>
      </x:c>
      <x:c r="I140" s="2" t="str">
        <x:v>can be substituted with</x:v>
      </x:c>
      <x:c r="J140" s="2" t="str">
        <x:v>other compatible encoders</x:v>
      </x:c>
      <x:c r="K140" s="2" t="str">
        <x:v>预测模块不是基于LLM，但可用不同编码器替代</x:v>
      </x:c>
      <x:c r="L140" s="2" t="str">
        <x:v>Optional</x:v>
      </x:c>
      <x:c r="M140" s="6" t="str">
        <x:v>NA</x:v>
      </x:c>
      <x:c r="N140" s="2" t="str">
        <x:v>可选：预测模块可替换为其他兼容编码器</x:v>
      </x:c>
      <x:c r="O140" s="2" t="str">
        <x:v>opt_predmodule</x:v>
      </x:c>
      <x:c r="P140" s="2" t="str">
        <x:v>OptionalStep</x:v>
      </x:c>
      <x:c r="Q140" s="2" t="str">
        <x:v>NR</x:v>
      </x:c>
      <x:c r="R140" s="6" t="str">
        <x:v>SR</x:v>
      </x:c>
      <x:c r="S140" s="6" t="str">
        <x:v>p. 2; abstract</x:v>
      </x:c>
      <x:c r="T140" s="6" t="str">
        <x:v>In our implementation, the prediction module is instantiated using the EALink framework, though it can be substituted with other compatible encoders.</x:v>
      </x:c>
      <x:c r="U140" s="6" t="str">
        <x:v>预测模块的具体实现是可替换的</x:v>
      </x:c>
      <x:c r="V140" s="2" t="str">
        <x:v>Accepted</x:v>
      </x:c>
      <x:c r="W140" s="6" t="str">
        <x:v>NR</x:v>
      </x:c>
    </x:row>
    <x:row r="141" ht="76" customHeight="1">
      <x:c r="A141" s="2" t="str">
        <x:v>S41-CONCEPT-R06</x:v>
      </x:c>
      <x:c r="B141" s="2" t="str">
        <x:v>S41</x:v>
      </x:c>
      <x:c r="C141" s="2" t="str">
        <x:v>merged_1264</x:v>
      </x:c>
      <x:c r="D141" s="2" t="str">
        <x:v>Reviewer_A</x:v>
      </x:c>
      <x:c r="E141" s="2" t="str">
        <x:v>Reviewer_A</x:v>
      </x:c>
      <x:c r="F141" s="2" t="str">
        <x:v>necessary_step</x:v>
      </x:c>
      <x:c r="G141" s="6" t="str">
        <x:v>semantic summarization</x:v>
      </x:c>
      <x:c r="H141" s="2" t="str">
        <x:v>semantic summarization module</x:v>
      </x:c>
      <x:c r="I141" s="2" t="str">
        <x:v>mitigates</x:v>
      </x:c>
      <x:c r="J141" s="2" t="str">
        <x:v>truncation-induced information loss</x:v>
      </x:c>
      <x:c r="K141" s="2" t="str">
        <x:v>LLM执行摘要以保留语义</x:v>
      </x:c>
      <x:c r="L141" s="2" t="str">
        <x:v>Necessary</x:v>
      </x:c>
      <x:c r="M141" s="6" t="str">
        <x:v>NA</x:v>
      </x:c>
      <x:c r="N141" s="2" t="str">
        <x:v>必要步骤：LLM语义摘要缓解截断信息丢失</x:v>
      </x:c>
      <x:c r="O141" s="2" t="str">
        <x:v>nec_summarization</x:v>
      </x:c>
      <x:c r="P141" s="2" t="str">
        <x:v>NecessaryStep</x:v>
      </x:c>
      <x:c r="Q141" s="2" t="str">
        <x:v>NR</x:v>
      </x:c>
      <x:c r="R141" s="6" t="str">
        <x:v>SR</x:v>
      </x:c>
      <x:c r="S141" s="6" t="str">
        <x:v>p. 3; section 1 (contributions)</x:v>
      </x:c>
      <x:c r="T141" s="6" t="str">
        <x:v>To address the common issue of input truncation in transformer-based models, we introduce a semantic summarization module that uses decoder-only LLM inference to generate concise yet semantically consistent versions of issue and commit texts</x:v>
      </x:c>
      <x:c r="U141" s="6" t="str">
        <x:v>语义摘要是解决截断问题的必要步骤</x:v>
      </x:c>
      <x:c r="V141" s="2" t="str">
        <x:v>Accepted</x:v>
      </x:c>
      <x:c r="W141" s="6" t="str">
        <x:v>NR</x:v>
      </x:c>
    </x:row>
    <x:row r="142" ht="76" customHeight="1">
      <x:c r="A142" s="2" t="str">
        <x:v>S41-CONCEPT-R07</x:v>
      </x:c>
      <x:c r="B142" s="2" t="str">
        <x:v>S41</x:v>
      </x:c>
      <x:c r="C142" s="2" t="str">
        <x:v>merged_1264</x:v>
      </x:c>
      <x:c r="D142" s="2" t="str">
        <x:v>Reviewer_A</x:v>
      </x:c>
      <x:c r="E142" s="2" t="str">
        <x:v>Reviewer_A</x:v>
      </x:c>
      <x:c r="F142" s="2" t="str">
        <x:v>necessary_step</x:v>
      </x:c>
      <x:c r="G142" s="6" t="str">
        <x:v>semantic re-ranking</x:v>
      </x:c>
      <x:c r="H142" s="2" t="str">
        <x:v>semantic re-ranking module</x:v>
      </x:c>
      <x:c r="I142" s="2" t="str">
        <x:v>improves</x:v>
      </x:c>
      <x:c r="J142" s="2" t="str">
        <x:v>top-rank prediction accuracy</x:v>
      </x:c>
      <x:c r="K142" s="2" t="str">
        <x:v>LLM执行重排序以精细化排序</x:v>
      </x:c>
      <x:c r="L142" s="2" t="str">
        <x:v>Necessary</x:v>
      </x:c>
      <x:c r="M142" s="6" t="str">
        <x:v>NA</x:v>
      </x:c>
      <x:c r="N142" s="2" t="str">
        <x:v>必要步骤：LLM重排序提高首位预测准确率</x:v>
      </x:c>
      <x:c r="O142" s="2" t="str">
        <x:v>nec_reranking</x:v>
      </x:c>
      <x:c r="P142" s="2" t="str">
        <x:v>NecessaryStep</x:v>
      </x:c>
      <x:c r="Q142" s="2" t="str">
        <x:v>NR</x:v>
      </x:c>
      <x:c r="R142" s="6" t="str">
        <x:v>SR</x:v>
      </x:c>
      <x:c r="S142" s="6" t="str">
        <x:v>p. 3; section 1 (contributions)</x:v>
      </x:c>
      <x:c r="T142" s="6" t="str">
        <x:v>SELink integrates a semantic re-ranking module that leverages LLM reasoning to refine the ordering of top-K candidates produced by the base predictor. This module enhances the model's ability to distinguish between semantically similar commits and improves Hit@1 performance.</x:v>
      </x:c>
      <x:c r="U142" s="6" t="str">
        <x:v>语义重排序是提升首位预测的必要步骤</x:v>
      </x:c>
      <x:c r="V142" s="2" t="str">
        <x:v>Accepted</x:v>
      </x:c>
      <x:c r="W142" s="6" t="str">
        <x:v>NR</x:v>
      </x:c>
    </x:row>
    <x:row r="143" ht="76" customHeight="1">
      <x:c r="A143" s="2" t="str">
        <x:v>S42-CONCEPT-R01</x:v>
      </x:c>
      <x:c r="B143" s="2" t="str">
        <x:v>S42</x:v>
      </x:c>
      <x:c r="C143" s="2" t="str">
        <x:v>merged_1266</x:v>
      </x:c>
      <x:c r="D143" s="2" t="str">
        <x:v>Reviewer_A</x:v>
      </x:c>
      <x:c r="E143" s="2" t="str">
        <x:v>Reviewer_A</x:v>
      </x:c>
      <x:c r="F143" s="2" t="str">
        <x:v>definition</x:v>
      </x:c>
      <x:c r="G143" s="6" t="str">
        <x:v>Retrieval-Augmented Generation</x:v>
      </x:c>
      <x:c r="H143" s="2" t="str">
        <x:v>LLM</x:v>
      </x:c>
      <x:c r="I143" s="2" t="str">
        <x:v>is augmented by retrieval techniques</x:v>
      </x:c>
      <x:c r="J143" s="2" t="str">
        <x:v>information retrieval</x:v>
      </x:c>
      <x:c r="K143" s="2" t="str">
        <x:v>LLM生成答案，但需检索提供上下文</x:v>
      </x:c>
      <x:c r="L143" s="2" t="str">
        <x:v>Not applicable</x:v>
      </x:c>
      <x:c r="M143" s="6" t="str">
        <x:v>NA</x:v>
      </x:c>
      <x:c r="N143" s="2" t="str">
        <x:v>RAG使用IR检索相关文档，然后提示LLM根据检索的文档生成答案</x:v>
      </x:c>
      <x:c r="O143" s="2" t="str">
        <x:v>RAG_definition</x:v>
      </x:c>
      <x:c r="P143" s="2" t="str">
        <x:v>RAG concept</x:v>
      </x:c>
      <x:c r="Q143" s="2" t="str">
        <x:v>NR</x:v>
      </x:c>
      <x:c r="R143" s="6" t="str">
        <x:v>SR</x:v>
      </x:c>
      <x:c r="S143" s="6" t="str">
        <x:v>p. 3; Section 3</x:v>
      </x:c>
      <x:c r="T143" s="6" t="str">
        <x:v>Retrieval-augmented generation (RAG) typically consists of two steps: first, identifying relevant documents via IR techniques and second, prompting the LLM to perform the actual task in the context of the retrieved documents.</x:v>
      </x:c>
      <x:c r="U143" s="6" t="str">
        <x:v>明确RAG的两阶段过程，LLM参与第二阶段。</x:v>
      </x:c>
      <x:c r="V143" s="2" t="str">
        <x:v>Accepted</x:v>
      </x:c>
      <x:c r="W143" s="6" t="str">
        <x:v>NA</x:v>
      </x:c>
    </x:row>
    <x:row r="144" ht="76" customHeight="1">
      <x:c r="A144" s="2" t="str">
        <x:v>S42-CONCEPT-R02</x:v>
      </x:c>
      <x:c r="B144" s="2" t="str">
        <x:v>S42</x:v>
      </x:c>
      <x:c r="C144" s="2" t="str">
        <x:v>merged_1266</x:v>
      </x:c>
      <x:c r="D144" s="2" t="str">
        <x:v>Reviewer_A</x:v>
      </x:c>
      <x:c r="E144" s="2" t="str">
        <x:v>Reviewer_A</x:v>
      </x:c>
      <x:c r="F144" s="2" t="str">
        <x:v>boundary</x:v>
      </x:c>
      <x:c r="G144" s="6" t="str">
        <x:v>trace link</x:v>
      </x:c>
      <x:c r="H144" s="2" t="str">
        <x:v>source requirement</x:v>
      </x:c>
      <x:c r="I144" s="2" t="str">
        <x:v>has refinement or predecessor-successor relationship with</x:v>
      </x:c>
      <x:c r="J144" s="2" t="str">
        <x:v>target requirement</x:v>
      </x:c>
      <x:c r="K144" s="2" t="str">
        <x:v>LLM仅用于判断该关系是否存在，不生成新关系</x:v>
      </x:c>
      <x:c r="L144" s="2" t="str">
        <x:v>Not applicable</x:v>
      </x:c>
      <x:c r="M144" s="6" t="str">
        <x:v>NA</x:v>
      </x:c>
      <x:c r="N144" s="2" t="str">
        <x:v>可追溯链接的语义限于细化或前后继关系</x:v>
      </x:c>
      <x:c r="O144" s="2" t="str">
        <x:v>trace_link_semantics</x:v>
      </x:c>
      <x:c r="P144" s="2" t="str">
        <x:v>task boundary</x:v>
      </x:c>
      <x:c r="Q144" s="2" t="str">
        <x:v>NR</x:v>
      </x:c>
      <x:c r="R144" s="6" t="str">
        <x:v>SR</x:v>
      </x:c>
      <x:c r="S144" s="6" t="str">
        <x:v>p. 4; Section 3</x:v>
      </x:c>
      <x:c r="T144" s="6" t="str">
        <x:v>For the semantics of such a trace link, we assume that they are in a refinement or predecessor-successor relationship.</x:v>
      </x:c>
      <x:c r="U144" s="6" t="str">
        <x:v>限定了任务中链接的语义类型。</x:v>
      </x:c>
      <x:c r="V144" s="2" t="str">
        <x:v>Accepted</x:v>
      </x:c>
      <x:c r="W144" s="6" t="str">
        <x:v>NA</x:v>
      </x:c>
    </x:row>
    <x:row r="145" ht="76" customHeight="1">
      <x:c r="A145" s="2" t="str">
        <x:v>S42-CONCEPT-R03</x:v>
      </x:c>
      <x:c r="B145" s="2" t="str">
        <x:v>S42</x:v>
      </x:c>
      <x:c r="C145" s="2" t="str">
        <x:v>merged_1266</x:v>
      </x:c>
      <x:c r="D145" s="2" t="str">
        <x:v>Reviewer_A</x:v>
      </x:c>
      <x:c r="E145" s="2" t="str">
        <x:v>Reviewer_A</x:v>
      </x:c>
      <x:c r="F145" s="2" t="str">
        <x:v>necessary_step</x:v>
      </x:c>
      <x:c r="G145" s="6" t="str">
        <x:v>retrieval step</x:v>
      </x:c>
      <x:c r="H145" s="2" t="str">
        <x:v>source requirement</x:v>
      </x:c>
      <x:c r="I145" s="2" t="str">
        <x:v>is embedded to retrieve Top-k candidates</x:v>
      </x:c>
      <x:c r="J145" s="2" t="str">
        <x:v>target requirements</x:v>
      </x:c>
      <x:c r="K145" s="2" t="str">
        <x:v>检索步骤不直接使用LLM，但为LLM提供候选</x:v>
      </x:c>
      <x:c r="L145" s="2" t="str">
        <x:v>Necessary</x:v>
      </x:c>
      <x:c r="M145" s="6" t="str">
        <x:v>NA</x:v>
      </x:c>
      <x:c r="N145" s="2" t="str">
        <x:v>检索步骤必须找到Top-k最相似的目标需求候选</x:v>
      </x:c>
      <x:c r="O145" s="2" t="str">
        <x:v>retrieval_step</x:v>
      </x:c>
      <x:c r="P145" s="2" t="str">
        <x:v>approach component</x:v>
      </x:c>
      <x:c r="Q145" s="2" t="str">
        <x:v>NR</x:v>
      </x:c>
      <x:c r="R145" s="6" t="str">
        <x:v>SR</x:v>
      </x:c>
      <x:c r="S145" s="6" t="str">
        <x:v>p. 4; Section 3.1</x:v>
      </x:c>
      <x:c r="T145" s="6" t="str">
        <x:v>Thus, the step is responsible for finding the Top-k most similar target requirements in the vector store for a given source requirement.</x:v>
      </x:c>
      <x:c r="U145" s="6" t="str">
        <x:v>检索步骤是RAG方法的必要组成部分。</x:v>
      </x:c>
      <x:c r="V145" s="2" t="str">
        <x:v>Accepted</x:v>
      </x:c>
      <x:c r="W145" s="6" t="str">
        <x:v>NA</x:v>
      </x:c>
    </x:row>
    <x:row r="146" ht="76" customHeight="1">
      <x:c r="A146" s="2" t="str">
        <x:v>S43-CONCEPT-R01</x:v>
      </x:c>
      <x:c r="B146" s="2" t="str">
        <x:v>S43</x:v>
      </x:c>
      <x:c r="C146" s="2" t="str">
        <x:v>merged_1270</x:v>
      </x:c>
      <x:c r="D146" s="2" t="str">
        <x:v>Reviewer_A</x:v>
      </x:c>
      <x:c r="E146" s="2" t="str">
        <x:v>Reviewer_A</x:v>
      </x:c>
      <x:c r="F146" s="2" t="str">
        <x:v>definition</x:v>
      </x:c>
      <x:c r="G146" s="6" t="str">
        <x:v>LLM-Augmented Attribution Reasoning</x:v>
      </x:c>
      <x:c r="H146" s="2" t="str">
        <x:v>Large Language Model</x:v>
      </x:c>
      <x:c r="I146" s="2" t="str">
        <x:v>used for</x:v>
      </x:c>
      <x:c r="J146" s="2" t="str">
        <x:v>attribution reasoning between artifacts</x:v>
      </x:c>
      <x:c r="K146" s="2" t="str">
        <x:v>LLM用于生成解释需求与代码之间关系的归因推理文本（reason nodes）</x:v>
      </x:c>
      <x:c r="L146" s="2" t="str">
        <x:v>Necessary</x:v>
      </x:c>
      <x:c r="M146" s="6" t="str">
        <x:v>NA</x:v>
      </x:c>
      <x:c r="N146" s="2" t="str">
        <x:v>LLM在HGTRTracer中被用于从语义层面提取工件间的归因证据。</x:v>
      </x:c>
      <x:c r="O146" s="2" t="str">
        <x:v>LLM归因推理使用</x:v>
      </x:c>
      <x:c r="P146" s="2" t="str">
        <x:v>LLM角色定位</x:v>
      </x:c>
      <x:c r="Q146" s="2" t="str">
        <x:v>NR</x:v>
      </x:c>
      <x:c r="R146" s="6" t="str">
        <x:v>SR</x:v>
      </x:c>
      <x:c r="S146" s="6" t="str">
        <x:v>p. 2; Section I, 3rd paragraph</x:v>
      </x:c>
      <x:c r="T146" s="6" t="str">
        <x:v>pipeline: (1) leveraging LLMs’ attribution reasoning capability for semantic-level evidence extraction between artifacts; (2)</x:v>
      </x:c>
      <x:c r="U146" s="6" t="str">
        <x:v>该方法将LLM用于生成语义证据，作为特殊节点加入图结构。</x:v>
      </x:c>
      <x:c r="V146" s="2" t="str">
        <x:v>Accepted</x:v>
      </x:c>
      <x:c r="W146" s="6" t="str">
        <x:v>NA</x:v>
      </x:c>
    </x:row>
    <x:row r="147" ht="76" customHeight="1">
      <x:c r="A147" s="2" t="str">
        <x:v>S43-CONCEPT-R02</x:v>
      </x:c>
      <x:c r="B147" s="2" t="str">
        <x:v>S43</x:v>
      </x:c>
      <x:c r="C147" s="2" t="str">
        <x:v>merged_1270</x:v>
      </x:c>
      <x:c r="D147" s="2" t="str">
        <x:v>Reviewer_A</x:v>
      </x:c>
      <x:c r="E147" s="2" t="str">
        <x:v>Reviewer_A</x:v>
      </x:c>
      <x:c r="F147" s="2" t="str">
        <x:v>boundary</x:v>
      </x:c>
      <x:c r="G147" s="6" t="str">
        <x:v>LLMs typically analyze only pairwise relationships ... failing to capture the transitivity</x:v>
      </x:c>
      <x:c r="H147" s="2" t="str">
        <x:v>LLMs</x:v>
      </x:c>
      <x:c r="I147" s="2" t="str">
        <x:v>cannot capture</x:v>
      </x:c>
      <x:c r="J147" s="2" t="str">
        <x:v>transitivity of traceability links</x:v>
      </x:c>
      <x:c r="K147" s="2" t="str">
        <x:v>LLM直接分析时只能处理工件对之间的关系，无法捕获整个项目中的链接传递性。</x:v>
      </x:c>
      <x:c r="L147" s="2" t="str">
        <x:v>NA</x:v>
      </x:c>
      <x:c r="M147" s="6" t="str">
        <x:v>NA</x:v>
      </x:c>
      <x:c r="N147" s="2" t="str">
        <x:v>单独使用LLM进行RC-TLR存在无法捕获链接传递性的局限性。</x:v>
      </x:c>
      <x:c r="O147" s="2" t="str">
        <x:v>LLM局限性</x:v>
      </x:c>
      <x:c r="P147" s="2" t="str">
        <x:v>LLM边界</x:v>
      </x:c>
      <x:c r="Q147" s="2" t="str">
        <x:v>NR</x:v>
      </x:c>
      <x:c r="R147" s="6" t="str">
        <x:v>SR</x:v>
      </x:c>
      <x:c r="S147" s="6" t="str">
        <x:v>p. 1; Section I, crossing pages</x:v>
      </x:c>
      <x:c r="T147" s="6" t="str">
        <x:v>LLMs typically analyze only pairwise relationships between requirements and code artifacts, thereby failing to capture</x:v>
      </x:c>
      <x:c r="U147" s="6" t="str">
        <x:v>指出LLM的局限性，为结合GNN提供动机。</x:v>
      </x:c>
      <x:c r="V147" s="2" t="str">
        <x:v>Accepted</x:v>
      </x:c>
      <x:c r="W147" s="6" t="str">
        <x:v>NA</x:v>
      </x:c>
    </x:row>
    <x:row r="148" ht="76" customHeight="1">
      <x:c r="A148" s="2" t="str">
        <x:v>S44-CONCEPT-R01</x:v>
      </x:c>
      <x:c r="B148" s="2" t="str">
        <x:v>S44</x:v>
      </x:c>
      <x:c r="C148" s="2" t="str">
        <x:v>merged_1274</x:v>
      </x:c>
      <x:c r="D148" s="2" t="str">
        <x:v>Reviewer_A</x:v>
      </x:c>
      <x:c r="E148" s="2" t="str">
        <x:v>Reviewer_A</x:v>
      </x:c>
      <x:c r="F148" s="2" t="str">
        <x:v>definition</x:v>
      </x:c>
      <x:c r="G148" s="6" t="str">
        <x:v>R2C traceability</x:v>
      </x:c>
      <x:c r="H148" s="2" t="str">
        <x:v>requirement implementation</x:v>
      </x:c>
      <x:c r="I148" s="2" t="str">
        <x:v>ensures accurate</x:v>
      </x:c>
      <x:c r="J148" s="2" t="str">
        <x:v>code identification</x:v>
      </x:c>
      <x:c r="K148" s="2" t="str">
        <x:v>未直接涉及LLM</x:v>
      </x:c>
      <x:c r="L148" s="2" t="str">
        <x:v>Not applicable</x:v>
      </x:c>
      <x:c r="M148" s="6" t="str">
        <x:v>NA</x:v>
      </x:c>
      <x:c r="N148" s="2" t="str">
        <x:v>需求到代码可追溯性确保需求正确实施和代码快速识别。</x:v>
      </x:c>
      <x:c r="O148" s="2" t="str">
        <x:v>R2C_definition</x:v>
      </x:c>
      <x:c r="P148" s="2" t="str">
        <x:v>概念定义</x:v>
      </x:c>
      <x:c r="Q148" s="2" t="str">
        <x:v>NR</x:v>
      </x:c>
      <x:c r="R148" s="6" t="str">
        <x:v>SR</x:v>
      </x:c>
      <x:c r="S148" s="6" t="str">
        <x:v>p. 1; Section I Introduction</x:v>
      </x:c>
      <x:c r="T148" s="6" t="str">
        <x:v>Requirements to Code(R2C) traceability in requirements traceability (RT) ensures accurate requirement implementation and quick code identiﬁcation, aiding in updates, risk reduction, and efﬁcient debugging [1] [2].</x:v>
      </x:c>
      <x:c r="U148" s="6" t="str">
        <x:v>论文对R2C可追溯性的基本定义。</x:v>
      </x:c>
      <x:c r="V148" s="2" t="str">
        <x:v>Accepted</x:v>
      </x:c>
      <x:c r="W148" s="6" t="str">
        <x:v>NR</x:v>
      </x:c>
    </x:row>
    <x:row r="149" ht="76" customHeight="1">
      <x:c r="A149" s="2" t="str">
        <x:v>S44-CONCEPT-R02</x:v>
      </x:c>
      <x:c r="B149" s="2" t="str">
        <x:v>S44</x:v>
      </x:c>
      <x:c r="C149" s="2" t="str">
        <x:v>merged_1274</x:v>
      </x:c>
      <x:c r="D149" s="2" t="str">
        <x:v>Reviewer_A</x:v>
      </x:c>
      <x:c r="E149" s="2" t="str">
        <x:v>Reviewer_A</x:v>
      </x:c>
      <x:c r="F149" s="2" t="str">
        <x:v>scope</x:v>
      </x:c>
      <x:c r="G149" s="6" t="str">
        <x:v>enhance R2C traceability</x:v>
      </x:c>
      <x:c r="H149" s="2" t="str">
        <x:v>LLMs</x:v>
      </x:c>
      <x:c r="I149" s="2" t="str">
        <x:v>leveraging</x:v>
      </x:c>
      <x:c r="J149" s="2" t="str">
        <x:v>CoT prompting</x:v>
      </x:c>
      <x:c r="K149" s="2" t="str">
        <x:v>LLM直接参与生成代码的业务需求描述，用于可追溯性链接恢复。</x:v>
      </x:c>
      <x:c r="L149" s="2" t="str">
        <x:v>Not applicable</x:v>
      </x:c>
      <x:c r="M149" s="6" t="str">
        <x:v>NA</x:v>
      </x:c>
      <x:c r="N149" s="2" t="str">
        <x:v>利用LLM的代码理解能力，通过CoT提示增强需求到代码的可追溯性。</x:v>
      </x:c>
      <x:c r="O149" s="2" t="str">
        <x:v>LLM_CoT_R2C_scope</x:v>
      </x:c>
      <x:c r="P149" s="2" t="str">
        <x:v>研究范围</x:v>
      </x:c>
      <x:c r="Q149" s="2" t="str">
        <x:v>NR</x:v>
      </x:c>
      <x:c r="R149" s="6" t="str">
        <x:v>SR</x:v>
      </x:c>
      <x:c r="S149" s="6" t="str">
        <x:v>p. 1; Abstract</x:v>
      </x:c>
      <x:c r="T149" s="6" t="str">
        <x:v>Leveraging the code comprehension capabilities of Large Language Models (LLMs), we propose an automated approach to enhance Requirement-to-Code (R2C) traceability through Chain-of-Thought (CoT) prompting.</x:v>
      </x:c>
      <x:c r="U149" s="6" t="str">
        <x:v>提出的方法范围是利用LLM和CoT来改进R2C可追溯性。</x:v>
      </x:c>
      <x:c r="V149" s="2" t="str">
        <x:v>Accepted</x:v>
      </x:c>
      <x:c r="W149" s="6" t="str">
        <x:v>NR</x:v>
      </x:c>
    </x:row>
    <x:row r="150" ht="76" customHeight="1">
      <x:c r="A150" s="2" t="str">
        <x:v>S45-CONCEPT-R01</x:v>
      </x:c>
      <x:c r="B150" s="2" t="str">
        <x:v>S45</x:v>
      </x:c>
      <x:c r="C150" s="2" t="str">
        <x:v>merged_1275</x:v>
      </x:c>
      <x:c r="D150" s="2" t="str">
        <x:v>Reviewer_A</x:v>
      </x:c>
      <x:c r="E150" s="2" t="str">
        <x:v>Reviewer_A</x:v>
      </x:c>
      <x:c r="F150" s="2" t="str">
        <x:v>definition</x:v>
      </x:c>
      <x:c r="G150" s="6" t="str">
        <x:v>trace link quality</x:v>
      </x:c>
      <x:c r="H150" s="2" t="str">
        <x:v>NR</x:v>
      </x:c>
      <x:c r="I150" s="2" t="str">
        <x:v>is assessed by the aspects</x:v>
      </x:c>
      <x:c r="J150" s="2" t="str">
        <x:v>meaningfulness (logically relevant) and completeness (all aspects are reflected)</x:v>
      </x:c>
      <x:c r="K150" s="2" t="str">
        <x:v>ChatGPT-4o is prompted to assess these two aspects of trace link quality.</x:v>
      </x:c>
      <x:c r="L150" s="2" t="str">
        <x:v>Not applicable</x:v>
      </x:c>
      <x:c r="M150" s="6" t="str">
        <x:v>NA</x:v>
      </x:c>
      <x:c r="N150" s="2" t="str">
        <x:v>可追溯性链接质量通过有意义性（逻辑相关性）和完整性（所有方面的反映）来评估。</x:v>
      </x:c>
      <x:c r="O150" s="2" t="str">
        <x:v>LLM-based evaluation criteria</x:v>
      </x:c>
      <x:c r="P150" s="2" t="str">
        <x:v>Trace link quality definition</x:v>
      </x:c>
      <x:c r="Q150" s="2" t="str">
        <x:v>NR</x:v>
      </x:c>
      <x:c r="R150" s="6" t="str">
        <x:v>SR</x:v>
      </x:c>
      <x:c r="S150" s="6" t="str">
        <x:v>p. 2; Study 1</x:v>
      </x:c>
      <x:c r="T150" s="6" t="str">
        <x:v>assess and comment on the quality of the trace link with regards to two aspects, meaningfulness (logically relevant) and completeness (all aspects are reflected)</x:v>
      </x:c>
      <x:c r="U150" s="6" t="str">
        <x:v>论文明确定义了链接质量的两个维度：有意义性和完整性。</x:v>
      </x:c>
      <x:c r="V150" s="2" t="str">
        <x:v>Accepted</x:v>
      </x:c>
      <x:c r="W150" s="6" t="str">
        <x:v>NA</x:v>
      </x:c>
    </x:row>
    <x:row r="151" ht="76" customHeight="1">
      <x:c r="A151" s="2" t="str">
        <x:v>S45-CONCEPT-R02</x:v>
      </x:c>
      <x:c r="B151" s="2" t="str">
        <x:v>S45</x:v>
      </x:c>
      <x:c r="C151" s="2" t="str">
        <x:v>merged_1275</x:v>
      </x:c>
      <x:c r="D151" s="2" t="str">
        <x:v>Reviewer_A</x:v>
      </x:c>
      <x:c r="E151" s="2" t="str">
        <x:v>Reviewer_A</x:v>
      </x:c>
      <x:c r="F151" s="2" t="str">
        <x:v>scope</x:v>
      </x:c>
      <x:c r="G151" s="6" t="str">
        <x:v>LLMs can effectively support requirements traceability</x:v>
      </x:c>
      <x:c r="H151" s="2" t="str">
        <x:v>NR</x:v>
      </x:c>
      <x:c r="I151" s="2" t="str">
        <x:v>by</x:v>
      </x:c>
      <x:c r="J151" s="2" t="str">
        <x:v>assessing the link quality and predicting trace links</x:v>
      </x:c>
      <x:c r="K151" s="2" t="str">
        <x:v>LLMs are used to assess link quality and predict trace links.</x:v>
      </x:c>
      <x:c r="L151" s="2" t="str">
        <x:v>Optional</x:v>
      </x:c>
      <x:c r="M151" s="6" t="str">
        <x:v>NA</x:v>
      </x:c>
      <x:c r="N151" s="2" t="str">
        <x:v>LLM可以有效地支持需求可追溯性，通过评估链接质量和预测追溯链接。</x:v>
      </x:c>
      <x:c r="O151" s="2" t="str">
        <x:v>LLM support scope</x:v>
      </x:c>
      <x:c r="P151" s="2" t="str">
        <x:v>Scope of LLM application</x:v>
      </x:c>
      <x:c r="Q151" s="2" t="str">
        <x:v>NR</x:v>
      </x:c>
      <x:c r="R151" s="6" t="str">
        <x:v>SR</x:v>
      </x:c>
      <x:c r="S151" s="6" t="str">
        <x:v>p. 1; Section 1 Motivation</x:v>
      </x:c>
      <x:c r="T151" s="6" t="str">
        <x:v>whether LLMs can effectively support requirements traceability by assessing the link quality and predicting trace links</x:v>
      </x:c>
      <x:c r="U151" s="6" t="str">
        <x:v>研究范围明确为评估链接质量和预测链接来支持可追溯性。</x:v>
      </x:c>
      <x:c r="V151" s="2" t="str">
        <x:v>Accepted</x:v>
      </x:c>
      <x:c r="W151" s="6" t="str">
        <x:v>NA</x:v>
      </x:c>
    </x:row>
    <x:row r="152" ht="76" customHeight="1">
      <x:c r="A152" s="2" t="str">
        <x:v>S45-CONCEPT-R03</x:v>
      </x:c>
      <x:c r="B152" s="2" t="str">
        <x:v>S45</x:v>
      </x:c>
      <x:c r="C152" s="2" t="str">
        <x:v>merged_1275</x:v>
      </x:c>
      <x:c r="D152" s="2" t="str">
        <x:v>Reviewer_A</x:v>
      </x:c>
      <x:c r="E152" s="2" t="str">
        <x:v>Reviewer_A</x:v>
      </x:c>
      <x:c r="F152" s="2" t="str">
        <x:v>boundary</x:v>
      </x:c>
      <x:c r="G152" s="6" t="str">
        <x:v>human verification is crucial</x:v>
      </x:c>
      <x:c r="H152" s="2" t="str">
        <x:v>NR</x:v>
      </x:c>
      <x:c r="I152" s="2" t="str">
        <x:v>for</x:v>
      </x:c>
      <x:c r="J152" s="2" t="str">
        <x:v>accuracy and reliability</x:v>
      </x:c>
      <x:c r="K152" s="2" t="str">
        <x:v>LLM outputs require human verification.</x:v>
      </x:c>
      <x:c r="L152" s="2" t="str">
        <x:v>Not applicable</x:v>
      </x:c>
      <x:c r="M152" s="6" t="str">
        <x:v>NA</x:v>
      </x:c>
      <x:c r="N152" s="2" t="str">
        <x:v>人工验证对于准确性和可靠性至关重要，LLM不能完全取代人类。</x:v>
      </x:c>
      <x:c r="O152" s="2" t="str">
        <x:v>LLM limitation boundary</x:v>
      </x:c>
      <x:c r="P152" s="2" t="str">
        <x:v>LLM role as assistant</x:v>
      </x:c>
      <x:c r="Q152" s="2" t="str">
        <x:v>NR</x:v>
      </x:c>
      <x:c r="R152" s="6" t="str">
        <x:v>SR</x:v>
      </x:c>
      <x:c r="S152" s="6" t="str">
        <x:v>p. 5; Section 4 Conclusion</x:v>
      </x:c>
      <x:c r="T152" s="6" t="str">
        <x:v>As highlighted in the GPT-4 Technical Documentation [1] and by other researchers, human verification is crucial for accuracy and reliability.</x:v>
      </x:c>
      <x:c r="U152" s="6" t="str">
        <x:v>论文强调LLM仅是辅助工具，最终需要人类验证。</x:v>
      </x:c>
      <x:c r="V152" s="2" t="str">
        <x:v>Accepted</x:v>
      </x:c>
      <x:c r="W152" s="6" t="str">
        <x:v>NA</x:v>
      </x:c>
    </x:row>
    <x:row r="153" ht="76" customHeight="1">
      <x:c r="A153" s="2" t="str">
        <x:v>S46-CONCEPT-R01</x:v>
      </x:c>
      <x:c r="B153" s="2" t="str">
        <x:v>S46</x:v>
      </x:c>
      <x:c r="C153" s="2" t="str">
        <x:v>merged_1293</x:v>
      </x:c>
      <x:c r="D153" s="2" t="str">
        <x:v>Reviewer_A</x:v>
      </x:c>
      <x:c r="E153" s="2" t="str">
        <x:v>Reviewer_A</x:v>
      </x:c>
      <x:c r="F153" s="2" t="str">
        <x:v>definition</x:v>
      </x:c>
      <x:c r="G153" s="6" t="str">
        <x:v>traceability</x:v>
      </x:c>
      <x:c r="H153" s="2" t="str">
        <x:v>traceability</x:v>
      </x:c>
      <x:c r="I153" s="2" t="str">
        <x:v>defined in terms of</x:v>
      </x:c>
      <x:c r="J153" s="2" t="str">
        <x:v>validity, completeness, and consistency</x:v>
      </x:c>
      <x:c r="K153" s="2" t="str">
        <x:v>LLMs生成工件，通过有效性、完整性和一致性指标衡量其可追溯性。</x:v>
      </x:c>
      <x:c r="L153" s="2" t="str">
        <x:v>Not applicable</x:v>
      </x:c>
      <x:c r="M153" s="6" t="str">
        <x:v>NA</x:v>
      </x:c>
      <x:c r="N153" s="2" t="str">
        <x:v>软件可追溯性定义为工件在有效性、完整性和一致性方面的质量。</x:v>
      </x:c>
      <x:c r="O153" s="2" t="str">
        <x:v>traceability_definition</x:v>
      </x:c>
      <x:c r="P153" s="2" t="str">
        <x:v>traceability_quality_dimensions</x:v>
      </x:c>
      <x:c r="Q153" s="2" t="str">
        <x:v>NR</x:v>
      </x:c>
      <x:c r="R153" s="6" t="str">
        <x:v>SR</x:v>
      </x:c>
      <x:c r="S153" s="6" t="str">
        <x:v>p. 6; section Measuring traceability</x:v>
      </x:c>
      <x:c r="T153" s="6" t="str">
        <x:v>ceability in terms of validity, completeness, and consis­</x:v>
      </x:c>
      <x:c r="U153" s="6" t="str">
        <x:v>该定义将可追溯性操作化为三个质量维度，作为后续度量指标的基础。</x:v>
      </x:c>
      <x:c r="V153" s="2" t="str">
        <x:v>Accepted</x:v>
      </x:c>
      <x:c r="W153" s="6" t="str">
        <x:v>NR</x:v>
      </x:c>
    </x:row>
    <x:row r="154" ht="76" customHeight="1">
      <x:c r="A154" s="2" t="str">
        <x:v>S46-CONCEPT-R02</x:v>
      </x:c>
      <x:c r="B154" s="2" t="str">
        <x:v>S46</x:v>
      </x:c>
      <x:c r="C154" s="2" t="str">
        <x:v>merged_1293</x:v>
      </x:c>
      <x:c r="D154" s="2" t="str">
        <x:v>Reviewer_A</x:v>
      </x:c>
      <x:c r="E154" s="2" t="str">
        <x:v>Reviewer_A</x:v>
      </x:c>
      <x:c r="F154" s="2" t="str">
        <x:v>scope</x:v>
      </x:c>
      <x:c r="G154" s="6" t="str">
        <x:v>design principles</x:v>
      </x:c>
      <x:c r="H154" s="2" t="str">
        <x:v>design principles</x:v>
      </x:c>
      <x:c r="I154" s="2" t="str">
        <x:v>adapted from</x:v>
      </x:c>
      <x:c r="J154" s="2" t="str">
        <x:v>social science interaction guidelines</x:v>
      </x:c>
      <x:c r="K154" s="2" t="str">
        <x:v>这些原则指导LLM提示的设计，以生成可追溯的软件工件。</x:v>
      </x:c>
      <x:c r="L154" s="2" t="str">
        <x:v>Optional</x:v>
      </x:c>
      <x:c r="M154" s="6" t="str">
        <x:v>NA</x:v>
      </x:c>
      <x:c r="N154" s="2" t="str">
        <x:v>结构化提示的设计原则源自社会科学领域，并根据软件开发特性定制。</x:v>
      </x:c>
      <x:c r="O154" s="2" t="str">
        <x:v>prompt_design_principles</x:v>
      </x:c>
      <x:c r="P154" s="2" t="str">
        <x:v>adaptation_of_principles</x:v>
      </x:c>
      <x:c r="Q154" s="2" t="str">
        <x:v>NR</x:v>
      </x:c>
      <x:c r="R154" s="6" t="str">
        <x:v>SR</x:v>
      </x:c>
      <x:c r="S154" s="6" t="str">
        <x:v>p. 18; section Structured prompt design</x:v>
      </x:c>
      <x:c r="T154" s="6" t="str">
        <x:v>These principles are specifically tailored to accommodate the unique characteristics of software development.</x:v>
      </x:c>
      <x:c r="U154" s="6" t="str">
        <x:v>提出清晰、客观、具体、平衡、顺序、文化敏感和响应格式等原则，旨在改善工件可追溯性。</x:v>
      </x:c>
      <x:c r="V154" s="2" t="str">
        <x:v>Accepted</x:v>
      </x:c>
      <x:c r="W154" s="6" t="str">
        <x:v>NR</x:v>
      </x:c>
    </x:row>
    <x:row r="155" ht="76" customHeight="1">
      <x:c r="A155" s="2" t="str">
        <x:v>S46-CONCEPT-R03</x:v>
      </x:c>
      <x:c r="B155" s="2" t="str">
        <x:v>S46</x:v>
      </x:c>
      <x:c r="C155" s="2" t="str">
        <x:v>merged_1293</x:v>
      </x:c>
      <x:c r="D155" s="2" t="str">
        <x:v>Reviewer_A</x:v>
      </x:c>
      <x:c r="E155" s="2" t="str">
        <x:v>Reviewer_A</x:v>
      </x:c>
      <x:c r="F155" s="2" t="str">
        <x:v>necessary_step</x:v>
      </x:c>
      <x:c r="G155" s="6" t="str">
        <x:v>structured prompt design sections</x:v>
      </x:c>
      <x:c r="H155" s="2" t="str">
        <x:v>structured prompt design</x:v>
      </x:c>
      <x:c r="I155" s="2" t="str">
        <x:v>must include</x:v>
      </x:c>
      <x:c r="J155" s="2" t="str">
        <x:v>Prompt ID, Context, Input Data, Prompt, Expected Outcome</x:v>
      </x:c>
      <x:c r="K155" s="2" t="str">
        <x:v>LLM提示必须包含这些部分，以增强工件可追溯性。</x:v>
      </x:c>
      <x:c r="L155" s="2" t="str">
        <x:v>Necessary</x:v>
      </x:c>
      <x:c r="M155" s="6" t="str">
        <x:v>NA</x:v>
      </x:c>
      <x:c r="N155" s="2" t="str">
        <x:v>结构化提示设计必须包含提示ID、上下文、输入数据、提示和预期结果五个部分。</x:v>
      </x:c>
      <x:c r="O155" s="2" t="str">
        <x:v>prompt_structure</x:v>
      </x:c>
      <x:c r="P155" s="2" t="str">
        <x:v>prompt_template</x:v>
      </x:c>
      <x:c r="Q155" s="2" t="str">
        <x:v>NR</x:v>
      </x:c>
      <x:c r="R155" s="6" t="str">
        <x:v>SR</x:v>
      </x:c>
      <x:c r="S155" s="6" t="str">
        <x:v>p. 5; section Structured prompt design</x:v>
      </x:c>
      <x:c r="T155" s="6" t="str">
        <x:v>The design structure includes sections for Prompt ID, Context, Input Data, Prompt, and Expected Outcome.</x:v>
      </x:c>
      <x:c r="U155" s="6" t="str">
        <x:v>该设计模板是所提方法的必要组成部分，旨在通过明确各部分来确保提示的结构化。</x:v>
      </x:c>
      <x:c r="V155" s="2" t="str">
        <x:v>Accepted</x:v>
      </x:c>
      <x:c r="W155" s="6" t="str">
        <x:v>NR</x:v>
      </x:c>
    </x:row>
    <x:row r="156" ht="76" customHeight="1">
      <x:c r="A156" s="2" t="str">
        <x:v>S47-CONCEPT-R01</x:v>
      </x:c>
      <x:c r="B156" s="2" t="str">
        <x:v>S47</x:v>
      </x:c>
      <x:c r="C156" s="2" t="str">
        <x:v>merged_1302-v1</x:v>
      </x:c>
      <x:c r="D156" s="2" t="str">
        <x:v>Reviewer_A</x:v>
      </x:c>
      <x:c r="E156" s="2" t="str">
        <x:v>Reviewer_A</x:v>
      </x:c>
      <x:c r="F156" s="2" t="str">
        <x:v>definition</x:v>
      </x:c>
      <x:c r="G156" s="6" t="str">
        <x:v>Datasheet-to-Code Mapping Problem</x:v>
      </x:c>
      <x:c r="H156" s="2" t="str">
        <x:v>a datasheet document S</x:v>
      </x:c>
      <x:c r="I156" s="2" t="str">
        <x:v>maps to</x:v>
      </x:c>
      <x:c r="J156" s="2" t="str">
        <x:v>a subset of relevant code symbols</x:v>
      </x:c>
      <x:c r="K156" s="2" t="str">
        <x:v>LLM未在定义中直接提及，但该方法在后续使用LLM进行语义分析</x:v>
      </x:c>
      <x:c r="L156" s="2" t="str">
        <x:v>Not applicable</x:v>
      </x:c>
      <x:c r="M156" s="6" t="str">
        <x:v>NA</x:v>
      </x:c>
      <x:c r="N156" s="2" t="str">
        <x:v>数据手册到代码映射问题被形式化定义为从数据手册节到相关代码符号集合的函数。</x:v>
      </x:c>
      <x:c r="O156" s="2" t="str">
        <x:v>形式化映射函数定义</x:v>
      </x:c>
      <x:c r="P156" s="2" t="str">
        <x:v>问题定义</x:v>
      </x:c>
      <x:c r="Q156" s="2" t="str">
        <x:v>NR</x:v>
      </x:c>
      <x:c r="R156" s="6" t="str">
        <x:v>SR</x:v>
      </x:c>
      <x:c r="S156" s="6" t="str">
        <x:v>p. 2; Section 1.1</x:v>
      </x:c>
      <x:c r="T156" s="6" t="str">
        <x:v>Files = file1,file2,...,filek, and code symbols E = e1,e2,...,el, the datasheet-to-code mapping problem seeks to establish a function M : S → P(E) that maps each datasheet section to a subset of</x:v>
      </x:c>
      <x:c r="U156" s="6" t="str">
        <x:v>该定义明确了数据手册到代码追溯链路的输入输出，为任务提供了清晰的数学基础。</x:v>
      </x:c>
      <x:c r="V156" s="2" t="str">
        <x:v>Accepted</x:v>
      </x:c>
      <x:c r="W156" s="6" t="str">
        <x:v>NA</x:v>
      </x:c>
    </x:row>
    <x:row r="157" ht="76" customHeight="1">
      <x:c r="A157" s="2" t="str">
        <x:v>S48-CONCEPT-R01</x:v>
      </x:c>
      <x:c r="B157" s="2" t="str">
        <x:v>S48</x:v>
      </x:c>
      <x:c r="C157" s="2" t="str">
        <x:v>merged_1441</x:v>
      </x:c>
      <x:c r="D157" s="2" t="str">
        <x:v>Reviewer_A</x:v>
      </x:c>
      <x:c r="E157" s="2" t="str">
        <x:v>Reviewer_A</x:v>
      </x:c>
      <x:c r="F157" s="2" t="str">
        <x:v>boundary</x:v>
      </x:c>
      <x:c r="G157" s="6" t="str">
        <x:v>embedding-invisible LLMs</x:v>
      </x:c>
      <x:c r="H157" s="2" t="str">
        <x:v>LLM</x:v>
      </x:c>
      <x:c r="I157" s="2" t="str">
        <x:v>used for</x:v>
      </x:c>
      <x:c r="J157" s="2" t="str">
        <x:v>textual enhancement, not direct feature extraction</x:v>
      </x:c>
      <x:c r="K157" s="2" t="str">
        <x:v>LLM用于问题文本的语义增强，但不直接用于特征提取或链接预测，其嵌入对下游不可见。</x:v>
      </x:c>
      <x:c r="L157" s="2" t="str">
        <x:v>Not applicable</x:v>
      </x:c>
      <x:c r="M157" s="6" t="str">
        <x:v>NA</x:v>
      </x:c>
      <x:c r="N157" s="2" t="str">
        <x:v>在LHGLink中，LLM被用作文本增强工具，其内部嵌入不直接参与后续图学习，这是一种'嵌入不可见'的使用方式。</x:v>
      </x:c>
      <x:c r="O157" s="2" t="str">
        <x:v>LLM使用边界</x:v>
      </x:c>
      <x:c r="P157" s="2" t="str">
        <x:v>LLM角色界定</x:v>
      </x:c>
      <x:c r="Q157" s="2" t="str">
        <x:v>NR</x:v>
      </x:c>
      <x:c r="R157" s="6" t="str">
        <x:v>SR</x:v>
      </x:c>
      <x:c r="S157" s="6" t="str">
        <x:v>p. 4; Section III-A</x:v>
      </x:c>
      <x:c r="T157" s="6" t="str">
        <x:v>we employ such embedding-invisible but highly capable LLMs solely for textual enhancement, rather than direct feature extraction.</x:v>
      </x:c>
      <x:c r="U157" s="6" t="str">
        <x:v>该声称明确了LLM在跟踪性流程中的使用边界：仅用于文本级增强，不参与表示学习，属于间接参与。</x:v>
      </x:c>
      <x:c r="V157" s="2" t="str">
        <x:v>Accepted</x:v>
      </x:c>
      <x:c r="W157" s="6" t="str">
        <x:v>NA</x:v>
      </x:c>
    </x:row>
    <x:row r="158" ht="76" customHeight="1">
      <x:c r="A158" s="2" t="str">
        <x:v>S48-CONCEPT-R02</x:v>
      </x:c>
      <x:c r="B158" s="2" t="str">
        <x:v>S48</x:v>
      </x:c>
      <x:c r="C158" s="2" t="str">
        <x:v>merged_1441</x:v>
      </x:c>
      <x:c r="D158" s="2" t="str">
        <x:v>Reviewer_A</x:v>
      </x:c>
      <x:c r="E158" s="2" t="str">
        <x:v>Reviewer_A</x:v>
      </x:c>
      <x:c r="F158" s="2" t="str">
        <x:v>necessary_step</x:v>
      </x:c>
      <x:c r="G158" s="6" t="str">
        <x:v>LLM-based semantic enhancement</x:v>
      </x:c>
      <x:c r="H158" s="2" t="str">
        <x:v>LHGLink framework</x:v>
      </x:c>
      <x:c r="I158" s="2" t="str">
        <x:v>includes as first stage</x:v>
      </x:c>
      <x:c r="J158" s="2" t="str">
        <x:v>LLM-based textual enhancement</x:v>
      </x:c>
      <x:c r="K158" s="2" t="str">
        <x:v>LLM-based semantic enhancement is a necessary preprocessing step in LHGLink to improve issue representations.</x:v>
      </x:c>
      <x:c r="L158" s="2" t="str">
        <x:v>Necessary</x:v>
      </x:c>
      <x:c r="M158" s="6" t="str">
        <x:v>NA</x:v>
      </x:c>
      <x:c r="N158" s="2" t="str">
        <x:v>LHGLink框架的一个必要步骤是使用LLM对问题描述进行语义增强。</x:v>
      </x:c>
      <x:c r="O158" s="2" t="str">
        <x:v>LLM预处理步骤</x:v>
      </x:c>
      <x:c r="P158" s="2" t="str">
        <x:v>LLM作为预处理</x:v>
      </x:c>
      <x:c r="Q158" s="2" t="str">
        <x:v>NR</x:v>
      </x:c>
      <x:c r="R158" s="6" t="str">
        <x:v>SR</x:v>
      </x:c>
      <x:c r="S158" s="6" t="str">
        <x:v>p. 1; Abstract</x:v>
      </x:c>
      <x:c r="T158" s="6" t="str">
        <x:v>LHGLink first leverages large language models to refine and enrich noisy and incomplete issue descriptions</x:v>
      </x:c>
      <x:c r="U158" s="6" t="str">
        <x:v>声称LLM文本增强是LHGLink流程中的第一步，表明LLM直接参与了跟踪性任务。</x:v>
      </x:c>
      <x:c r="V158" s="2" t="str">
        <x:v>Accepted</x:v>
      </x:c>
      <x:c r="W158" s="6" t="str">
        <x:v>NA</x:v>
      </x:c>
    </x:row>
    <x:row r="159" ht="76" customHeight="1">
      <x:c r="A159" s="2" t="str">
        <x:v>S48-CONCEPT-R03</x:v>
      </x:c>
      <x:c r="B159" s="2" t="str">
        <x:v>S48</x:v>
      </x:c>
      <x:c r="C159" s="2" t="str">
        <x:v>merged_1441</x:v>
      </x:c>
      <x:c r="D159" s="2" t="str">
        <x:v>Reviewer_A</x:v>
      </x:c>
      <x:c r="E159" s="2" t="str">
        <x:v>Reviewer_A</x:v>
      </x:c>
      <x:c r="F159" s="2" t="str">
        <x:v>scope</x:v>
      </x:c>
      <x:c r="G159" s="6" t="str">
        <x:v>issue–issue link prediction</x:v>
      </x:c>
      <x:c r="H159" s="2" t="str">
        <x:v>issue–issue link prediction</x:v>
      </x:c>
      <x:c r="I159" s="2" t="str">
        <x:v>is a traceability task</x:v>
      </x:c>
      <x:c r="J159" s="2" t="str">
        <x:v>traceability</x:v>
      </x:c>
      <x:c r="K159" s="2" t="str">
        <x:v>LLM-based method is proposed for issue–issue link prediction, which is a form of software traceability.</x:v>
      </x:c>
      <x:c r="L159" s="2" t="str">
        <x:v>Not applicable</x:v>
      </x:c>
      <x:c r="M159" s="6" t="str">
        <x:v>NA</x:v>
      </x:c>
      <x:c r="N159" s="2" t="str">
        <x:v>论文所定义的问题-问题链接预测属于软件跟踪性任务，LHGLink通过LLM增强文本和异构图来执行该任务。</x:v>
      </x:c>
      <x:c r="O159" s="2" t="str">
        <x:v>跟踪性任务定义</x:v>
      </x:c>
      <x:c r="P159" s="2" t="str">
        <x:v>任务界定</x:v>
      </x:c>
      <x:c r="Q159" s="2" t="str">
        <x:v>NR</x:v>
      </x:c>
      <x:c r="R159" s="6" t="str">
        <x:v>SR</x:v>
      </x:c>
      <x:c r="S159" s="6" t="str">
        <x:v>p. 1; Section I</x:v>
      </x:c>
      <x:c r="T159" s="6" t="str">
        <x:v>issue–issue link prediction plays a critical role in supporting software maintenance and evolution by uncovering latent relationships among issues</x:v>
      </x:c>
      <x:c r="U159" s="6" t="str">
        <x:v>该声称界定了issue–issue link prediction作为一种跟踪性关系恢复任务，但未明确使用'traceability'一词。</x:v>
      </x:c>
      <x:c r="V159" s="2" t="str">
        <x:v>Accepted</x:v>
      </x:c>
      <x:c r="W159" s="6" t="str">
        <x:v>NA</x:v>
      </x:c>
    </x:row>
    <x:row r="160" ht="76" customHeight="1">
      <x:c r="A160" s="2" t="str">
        <x:v>S49-CONCEPT-R01</x:v>
      </x:c>
      <x:c r="B160" s="2" t="str">
        <x:v>S49</x:v>
      </x:c>
      <x:c r="C160" s="2" t="str">
        <x:v>merged_1486</x:v>
      </x:c>
      <x:c r="D160" s="2" t="str">
        <x:v>Reviewer_A</x:v>
      </x:c>
      <x:c r="E160" s="2" t="str">
        <x:v>Reviewer_A</x:v>
      </x:c>
      <x:c r="F160" s="2" t="str">
        <x:v>definition</x:v>
      </x:c>
      <x:c r="G160" s="6" t="str">
        <x:v>Prompt patterns</x:v>
      </x:c>
      <x:c r="H160" s="2" t="str">
        <x:v>codified reusable patterns</x:v>
      </x:c>
      <x:c r="I160" s="2" t="str">
        <x:v>can be defined as</x:v>
      </x:c>
      <x:c r="J160" s="2" t="str">
        <x:v>patterns that can be applied to the input prompts to improve the desirability of the generated output while reducing the gap between the user’s expected output and the model’s generated output</x:v>
      </x:c>
      <x:c r="K160" s="2" t="str">
        <x:v>LLM作为生成式AI，其输出受提示模式影响，定义本身不涉及LLM内部机制。</x:v>
      </x:c>
      <x:c r="L160" s="2" t="str">
        <x:v>Not applicable</x:v>
      </x:c>
      <x:c r="M160" s="6" t="str">
        <x:v>NA</x:v>
      </x:c>
      <x:c r="N160" s="2" t="str">
        <x:v>提示模式是可复用的模式，应用于输入提示以提升生成输出的可接受性并减少用户期望与模型输出之间的差距。</x:v>
      </x:c>
      <x:c r="O160" s="2" t="str">
        <x:v>PromptPatternDefinition</x:v>
      </x:c>
      <x:c r="P160" s="2" t="str">
        <x:v>PromptEngineeringConcept</x:v>
      </x:c>
      <x:c r="Q160" s="2" t="str">
        <x:v>NR</x:v>
      </x:c>
      <x:c r="R160" s="6" t="str">
        <x:v>SR</x:v>
      </x:c>
      <x:c r="S160" s="6" t="str">
        <x:v>p. 2; Section 1</x:v>
      </x:c>
      <x:c r="T160" s="6" t="str">
        <x:v>Prompt patterns can be defined as codified reusable patterns that can be applied to the input prompts to improve the desirability of the generated output while reducing the gap between the user’s expected output and the model’s generated output [18].</x:v>
      </x:c>
      <x:c r="U160" s="6" t="str">
        <x:v>明确提示模式的定义，作为后续实验的基础。</x:v>
      </x:c>
      <x:c r="V160" s="2" t="str">
        <x:v>Accepted</x:v>
      </x:c>
      <x:c r="W160" s="6" t="str">
        <x:v>NR</x:v>
      </x:c>
    </x:row>
    <x:row r="161" ht="76" customHeight="1">
      <x:c r="A161" s="2" t="str">
        <x:v>S49-CONCEPT-R02</x:v>
      </x:c>
      <x:c r="B161" s="2" t="str">
        <x:v>S49</x:v>
      </x:c>
      <x:c r="C161" s="2" t="str">
        <x:v>merged_1486</x:v>
      </x:c>
      <x:c r="D161" s="2" t="str">
        <x:v>Reviewer_A</x:v>
      </x:c>
      <x:c r="E161" s="2" t="str">
        <x:v>Reviewer_A</x:v>
      </x:c>
      <x:c r="F161" s="2" t="str">
        <x:v>necessary_step</x:v>
      </x:c>
      <x:c r="G161" s="6" t="str">
        <x:v>prompt engineering</x:v>
      </x:c>
      <x:c r="H161" s="2" t="str">
        <x:v>prompt engineering</x:v>
      </x:c>
      <x:c r="I161" s="2" t="str">
        <x:v>is a critical factor for success</x:v>
      </x:c>
      <x:c r="J161" s="2" t="str">
        <x:v>success</x:v>
      </x:c>
      <x:c r="K161" s="2" t="str">
        <x:v>在使用GenAI执行RE任务时，提示工程是成功使用LLM的关键。</x:v>
      </x:c>
      <x:c r="L161" s="2" t="str">
        <x:v>Necessary</x:v>
      </x:c>
      <x:c r="M161" s="6" t="str">
        <x:v>NA</x:v>
      </x:c>
      <x:c r="N161" s="2" t="str">
        <x:v>在GenAI背景下，提示工程是成功执行RE任务的关键因素。</x:v>
      </x:c>
      <x:c r="O161" s="2" t="str">
        <x:v>PromptEngineeringNecessity</x:v>
      </x:c>
      <x:c r="P161" s="2" t="str">
        <x:v>CriticalFactor</x:v>
      </x:c>
      <x:c r="Q161" s="2" t="str">
        <x:v>NR</x:v>
      </x:c>
      <x:c r="R161" s="6" t="str">
        <x:v>SR</x:v>
      </x:c>
      <x:c r="S161" s="6" t="str">
        <x:v>p. 1; Abstract</x:v>
      </x:c>
      <x:c r="T161" s="6" t="str">
        <x:v>in the context of GenAI, prompt engineering is a critical factor for success.</x:v>
      </x:c>
      <x:c r="U161" s="6" t="str">
        <x:v>强调提示工程对于使用LLM成功完成RE任务的必要性。</x:v>
      </x:c>
      <x:c r="V161" s="2" t="str">
        <x:v>Accepted</x:v>
      </x:c>
      <x:c r="W161" s="6" t="str">
        <x:v>NR</x:v>
      </x:c>
    </x:row>
    <x:row r="162" ht="76" customHeight="1">
      <x:c r="A162" s="2" t="str">
        <x:v>S49-CONCEPT-R03</x:v>
      </x:c>
      <x:c r="B162" s="2" t="str">
        <x:v>S49</x:v>
      </x:c>
      <x:c r="C162" s="2" t="str">
        <x:v>merged_1486</x:v>
      </x:c>
      <x:c r="D162" s="2" t="str">
        <x:v>Reviewer_A</x:v>
      </x:c>
      <x:c r="E162" s="2" t="str">
        <x:v>Reviewer_A</x:v>
      </x:c>
      <x:c r="F162" s="2" t="str">
        <x:v>scope</x:v>
      </x:c>
      <x:c r="G162" s="6" t="str">
        <x:v>pre-trained Generative AI models like LLMs for RE tasks</x:v>
      </x:c>
      <x:c r="H162" s="2" t="str">
        <x:v>Utilizing pre-trained Generative AI models like LLMs for RE tasks</x:v>
      </x:c>
      <x:c r="I162" s="2" t="str">
        <x:v>removes the need for large amounts of labelled data</x:v>
      </x:c>
      <x:c r="J162" s="2" t="str">
        <x:v>large amounts of labelled data</x:v>
      </x:c>
      <x:c r="K162" s="2" t="str">
        <x:v>LLM的预训练能力消除了对大量标注数据的需求，改变了传统ML做法的边界。</x:v>
      </x:c>
      <x:c r="L162" s="2" t="str">
        <x:v>Not applicable</x:v>
      </x:c>
      <x:c r="M162" s="6" t="str">
        <x:v>NA</x:v>
      </x:c>
      <x:c r="N162" s="2" t="str">
        <x:v>使用预训练的生成式AI模型（如LLM）执行RE任务，消除了对大量标注数据的需求。</x:v>
      </x:c>
      <x:c r="O162" s="2" t="str">
        <x:v>LLMNoLabeledData</x:v>
      </x:c>
      <x:c r="P162" s="2" t="str">
        <x:v>BenefitOfLLMs</x:v>
      </x:c>
      <x:c r="Q162" s="2" t="str">
        <x:v>NR</x:v>
      </x:c>
      <x:c r="R162" s="6" t="str">
        <x:v>SR</x:v>
      </x:c>
      <x:c r="S162" s="6" t="str">
        <x:v>p. 1; Section 1</x:v>
      </x:c>
      <x:c r="T162" s="6" t="str">
        <x:v>Utilizing pre-trained Generative Artificial Intelligence (GenAI) models like Large Language Models (LLM) for performing RE tasks removes the need for</x:v>
      </x:c>
      <x:c r="U162" s="6" t="str">
        <x:v>指出LLM的一个关键优势：无需大量标注数据，适用于RE领域标注数据稀缺的问题。</x:v>
      </x:c>
      <x:c r="V162" s="2" t="str">
        <x:v>Accepted</x:v>
      </x:c>
      <x:c r="W162" s="6" t="str">
        <x:v>NR</x:v>
      </x:c>
    </x:row>
    <x:row r="163" ht="76" customHeight="1">
      <x:c r="A163" s="2" t="str">
        <x:v>S50-CONCEPT-R01</x:v>
      </x:c>
      <x:c r="B163" s="2" t="str">
        <x:v>S50</x:v>
      </x:c>
      <x:c r="C163" s="2" t="str">
        <x:v>snowball_00068</x:v>
      </x:c>
      <x:c r="D163" s="2" t="str">
        <x:v>Reviewer_A</x:v>
      </x:c>
      <x:c r="E163" s="2" t="str">
        <x:v>Reviewer_A</x:v>
      </x:c>
      <x:c r="F163" s="2" t="str">
        <x:v>scope</x:v>
      </x:c>
      <x:c r="G163" s="6" t="str">
        <x:v>security by design</x:v>
      </x:c>
      <x:c r="H163" s="2" t="str">
        <x:v>LLM-driven framework</x:v>
      </x:c>
      <x:c r="I163" s="2" t="str">
        <x:v>enables</x:v>
      </x:c>
      <x:c r="J163" s="2" t="str">
        <x:v>validating security requirements</x:v>
      </x:c>
      <x:c r="K163" s="2" t="str">
        <x:v>LLM 被用于验证安全要求与系统设计的适用性，通过知识图谱增强的问答接口。</x:v>
      </x:c>
      <x:c r="L163" s="2" t="str">
        <x:v>Necessary</x:v>
      </x:c>
      <x:c r="M163" s="6" t="str">
        <x:v>NA</x:v>
      </x:c>
      <x:c r="N163" s="2" t="str">
        <x:v>该框架通过LLM自动化安全任务，包括验证安全需求。</x:v>
      </x:c>
      <x:c r="O163" s="2" t="str">
        <x:v>LLM for security validation</x:v>
      </x:c>
      <x:c r="P163" s="2" t="str">
        <x:v>Scope of framework application</x:v>
      </x:c>
      <x:c r="Q163" s="2" t="str">
        <x:v>NR</x:v>
      </x:c>
      <x:c r="R163" s="6" t="str">
        <x:v>SR</x:v>
      </x:c>
      <x:c r="S163" s="6" t="str">
        <x:v>p. 1; Abstract</x:v>
      </x:c>
      <x:c r="T163" s="6" t="str">
        <x:v>The results show that the proposed framework effectively automates security tasks and offers a user-friendly interface accessible to nonexperts.</x:v>
      </x:c>
      <x:c r="U163" s="6" t="str">
        <x:v>论文声称其框架能够自动化安全任务，但其核心任务是通过问答验证安全要求，这属于迹线验证。</x:v>
      </x:c>
      <x:c r="V163" s="2" t="str">
        <x:v>Accepted</x:v>
      </x:c>
      <x:c r="W163" s="6" t="str">
        <x:v>NA</x:v>
      </x:c>
    </x:row>
    <x:row r="164" ht="76" customHeight="1">
      <x:c r="A164" s="2" t="str">
        <x:v>S51-CONCEPT-R01</x:v>
      </x:c>
      <x:c r="B164" s="2" t="str">
        <x:v>S51</x:v>
      </x:c>
      <x:c r="C164" s="2" t="str">
        <x:v>snowball_00085</x:v>
      </x:c>
      <x:c r="D164" s="2" t="str">
        <x:v>Reviewer_A</x:v>
      </x:c>
      <x:c r="E164" s="2" t="str">
        <x:v>Reviewer_A</x:v>
      </x:c>
      <x:c r="F164" s="2" t="str">
        <x:v>definition</x:v>
      </x:c>
      <x:c r="G164" s="6" t="str">
        <x:v>LLMs are provided with a set of requirements and a textual system specification and are prompted to assess which requirements are fulfilled by the system specification.</x:v>
      </x:c>
      <x:c r="H164" s="2" t="str">
        <x:v>LLM</x:v>
      </x:c>
      <x:c r="I164" s="2" t="str">
        <x:v>assesses</x:v>
      </x:c>
      <x:c r="J164" s="2" t="str">
        <x:v>requirements fulfillment</x:v>
      </x:c>
      <x:c r="K164" s="2" t="str">
        <x:v>LLM被直接提供需求文本和系统规格文本，通过提示评估规格是否满足需求。</x:v>
      </x:c>
      <x:c r="L164" s="2" t="str">
        <x:v>Not applicable</x:v>
      </x:c>
      <x:c r="M164" s="6" t="str">
        <x:v>NA</x:v>
      </x:c>
      <x:c r="N164" s="2" t="str">
        <x:v>LLM在需求验证任务中充当推理引擎，直接判断规格对需求的满足情况。</x:v>
      </x:c>
      <x:c r="O164" s="2" t="str">
        <x:v>LLM_as_inference_engine</x:v>
      </x:c>
      <x:c r="P164" s="2" t="str">
        <x:v>LLM_role</x:v>
      </x:c>
      <x:c r="Q164" s="2" t="str">
        <x:v>NR</x:v>
      </x:c>
      <x:c r="R164" s="6" t="str">
        <x:v>SR</x:v>
      </x:c>
      <x:c r="S164" s="6" t="str">
        <x:v>p. 1; Section I</x:v>
      </x:c>
      <x:c r="T164" s="6" t="str">
        <x:v>LLMs are provided with a set of requirements and a textual system specification and are prompted to assess which requirements are fulfilled by the system specification.</x:v>
      </x:c>
      <x:c r="U164" s="6" t="str">
        <x:v>该定义明确LLM在需求验证中的直接参与方式，即接收文本输入并输出满足性判断。</x:v>
      </x:c>
      <x:c r="V164" s="2" t="str">
        <x:v>Accepted</x:v>
      </x:c>
      <x:c r="W164" s="6" t="str">
        <x:v>NA</x:v>
      </x:c>
    </x:row>
    <x:row r="165" ht="76" customHeight="1">
      <x:c r="A165" s="2" t="str">
        <x:v>S51-CONCEPT-R02</x:v>
      </x:c>
      <x:c r="B165" s="2" t="str">
        <x:v>S51</x:v>
      </x:c>
      <x:c r="C165" s="2" t="str">
        <x:v>snowball_00085</x:v>
      </x:c>
      <x:c r="D165" s="2" t="str">
        <x:v>Reviewer_A</x:v>
      </x:c>
      <x:c r="E165" s="2" t="str">
        <x:v>Reviewer_A</x:v>
      </x:c>
      <x:c r="F165" s="2" t="str">
        <x:v>necessary_step</x:v>
      </x:c>
      <x:c r="G165" s="6" t="str">
        <x:v>non-applicable requirement</x:v>
      </x:c>
      <x:c r="H165" s="2" t="str">
        <x:v>LLM</x:v>
      </x:c>
      <x:c r="I165" s="2" t="str">
        <x:v>must identify</x:v>
      </x:c>
      <x:c r="J165" s="2" t="str">
        <x:v>non-applicable requirements</x:v>
      </x:c>
      <x:c r="K165" s="2" t="str">
        <x:v>LLM需要区分需求是否适用，以避免对不适用需求给出错误的不满足结论。</x:v>
      </x:c>
      <x:c r="L165" s="2" t="str">
        <x:v>Necessary</x:v>
      </x:c>
      <x:c r="M165" s="6" t="str">
        <x:v>NA</x:v>
      </x:c>
      <x:c r="N165" s="2" t="str">
        <x:v>LLM必须能够区分不适用需求，以正确评估需求满足情况。</x:v>
      </x:c>
      <x:c r="O165" s="2" t="str">
        <x:v>applicability_judgment</x:v>
      </x:c>
      <x:c r="P165" s="2" t="str">
        <x:v>evaluation_detail</x:v>
      </x:c>
      <x:c r="Q165" s="2" t="str">
        <x:v>NR</x:v>
      </x:c>
      <x:c r="R165" s="6" t="str">
        <x:v>SR</x:v>
      </x:c>
      <x:c r="S165" s="6" t="str">
        <x:v>p. 3; Section III</x:v>
      </x:c>
      <x:c r="T165" s="6" t="str">
        <x:v>In addition to determining which requirements are not fulfilled, the LLM is instructed to assess if any requirements are not applicable to a given system specification.</x:v>
      </x:c>
      <x:c r="U165" s="6" t="str">
        <x:v>该步骤是实验设计中的必要环节，旨在防止LLM将不适用需求误判为未满足，从而提高验证的准确性。</x:v>
      </x:c>
      <x:c r="V165" s="2" t="str">
        <x:v>Accepted</x:v>
      </x:c>
      <x:c r="W165" s="6" t="str">
        <x:v>NA</x:v>
      </x:c>
    </x:row>
    <x:row r="166" ht="76" customHeight="1">
      <x:c r="A166" s="2" t="str">
        <x:v>S51-CONCEPT-R03</x:v>
      </x:c>
      <x:c r="B166" s="2" t="str">
        <x:v>S51</x:v>
      </x:c>
      <x:c r="C166" s="2" t="str">
        <x:v>snowball_00085</x:v>
      </x:c>
      <x:c r="D166" s="2" t="str">
        <x:v>Reviewer_A</x:v>
      </x:c>
      <x:c r="E166" s="2" t="str">
        <x:v>Reviewer_A</x:v>
      </x:c>
      <x:c r="F166" s="2" t="str">
        <x:v>boundary</x:v>
      </x:c>
      <x:c r="G166" s="6" t="str">
        <x:v>Formal rule-based systems serve as a benchmark</x:v>
      </x:c>
      <x:c r="H166" s="2" t="str">
        <x:v>LLM</x:v>
      </x:c>
      <x:c r="I166" s="2" t="str">
        <x:v>compared to</x:v>
      </x:c>
      <x:c r="J166" s="2" t="str">
        <x:v>formal rule-based systems</x:v>
      </x:c>
      <x:c r="K166" s="2" t="str">
        <x:v>LLM的性能通过与保证正确评估的形式化方法对比来检验，但对比仅限于准确性。</x:v>
      </x:c>
      <x:c r="L166" s="2" t="str">
        <x:v>Not applicable</x:v>
      </x:c>
      <x:c r="M166" s="6" t="str">
        <x:v>NA</x:v>
      </x:c>
      <x:c r="N166" s="2" t="str">
        <x:v>研究将LLM的需求验证能力与形式化方法比较，但仅关注准确性，未考虑时间或成本。</x:v>
      </x:c>
      <x:c r="O166" s="2" t="str">
        <x:v>accuracy_comparison</x:v>
      </x:c>
      <x:c r="P166" s="2" t="str">
        <x:v>evaluation_scope</x:v>
      </x:c>
      <x:c r="Q166" s="2" t="str">
        <x:v>NR</x:v>
      </x:c>
      <x:c r="R166" s="6" t="str">
        <x:v>SR</x:v>
      </x:c>
      <x:c r="S166" s="6" t="str">
        <x:v>p. 1; Abstract</x:v>
      </x:c>
      <x:c r="T166" s="6" t="str">
        <x:v>Formal rule-based systems serve as a benchmark to compare LLM performance to.</x:v>
      </x:c>
      <x:c r="U166" s="6" t="str">
        <x:v>该边界声明指出本研究仅将LLM与形式化方法在评估准确性上进行比较，忽略了其他性能维度。</x:v>
      </x:c>
      <x:c r="V166" s="2" t="str">
        <x:v>Accepted</x:v>
      </x:c>
      <x:c r="W166" s="6" t="str">
        <x:v>NA</x:v>
      </x:c>
    </x:row>
    <x:row r="167" ht="76" customHeight="1">
      <x:c r="A167" s="2" t="str">
        <x:v>S52-CONCEPT-R01</x:v>
      </x:c>
      <x:c r="B167" s="2" t="str">
        <x:v>S52</x:v>
      </x:c>
      <x:c r="C167" s="2" t="str">
        <x:v>snowball_00095</x:v>
      </x:c>
      <x:c r="D167" s="2" t="str">
        <x:v>Reviewer_A</x:v>
      </x:c>
      <x:c r="E167" s="2" t="str">
        <x:v>Reviewer_A</x:v>
      </x:c>
      <x:c r="F167" s="2" t="str">
        <x:v>definition</x:v>
      </x:c>
      <x:c r="G167" s="6" t="str">
        <x:v>trace links</x:v>
      </x:c>
      <x:c r="H167" s="2" t="str">
        <x:v>generated artifacts</x:v>
      </x:c>
      <x:c r="I167" s="2" t="str">
        <x:v>connect into</x:v>
      </x:c>
      <x:c r="J167" s="2" t="str">
        <x:v>meaningful hierarchy</x:v>
      </x:c>
      <x:c r="K167" s="2" t="str">
        <x:v>LLM生成文档并生成追踪链接，利用语义相似性建立链接。</x:v>
      </x:c>
      <x:c r="L167" s="2" t="str">
        <x:v>Not applicable</x:v>
      </x:c>
      <x:c r="M167" s="6" t="str">
        <x:v>NA</x:v>
      </x:c>
      <x:c r="N167" s="2" t="str">
        <x:v>HGEN生成追踪链接，将工件连接成有意义的层次结构。</x:v>
      </x:c>
      <x:c r="O167" s="2" t="str">
        <x:v>trace_link_generation</x:v>
      </x:c>
      <x:c r="P167" s="2" t="str">
        <x:v>traceability</x:v>
      </x:c>
      <x:c r="Q167" s="2" t="str">
        <x:v>NR</x:v>
      </x:c>
      <x:c r="R167" s="6" t="str">
        <x:v>SR</x:v>
      </x:c>
      <x:c r="S167" s="6" t="str">
        <x:v>p. 1; Abstract</x:v>
      </x:c>
      <x:c r="T167" s="6" t="str">
        <x:v>HGEN not only constructs these artifacts but also generates trace links that connect them into a meaningful hierarchy</x:v>
      </x:c>
      <x:c r="U167" s="6" t="str">
        <x:v>定义HGEN生成追踪链接的功能，将工件组织成层次结构。</x:v>
      </x:c>
      <x:c r="V167" s="2" t="str">
        <x:v>Accepted</x:v>
      </x:c>
      <x:c r="W167" s="6" t="str">
        <x:v>NA</x:v>
      </x:c>
    </x:row>
    <x:row r="168" ht="76" customHeight="1">
      <x:c r="A168" s="2" t="str">
        <x:v>S52-CONCEPT-R02</x:v>
      </x:c>
      <x:c r="B168" s="2" t="str">
        <x:v>S52</x:v>
      </x:c>
      <x:c r="C168" s="2" t="str">
        <x:v>snowball_00095</x:v>
      </x:c>
      <x:c r="D168" s="2" t="str">
        <x:v>Reviewer_A</x:v>
      </x:c>
      <x:c r="E168" s="2" t="str">
        <x:v>Reviewer_A</x:v>
      </x:c>
      <x:c r="F168" s="2" t="str">
        <x:v>necessary_step</x:v>
      </x:c>
      <x:c r="G168" s="6" t="str">
        <x:v>trace links</x:v>
      </x:c>
      <x:c r="H168" s="2" t="str">
        <x:v>higher-level artifacts</x:v>
      </x:c>
      <x:c r="I168" s="2" t="str">
        <x:v>linked to</x:v>
      </x:c>
      <x:c r="J168" s="2" t="str">
        <x:v>lower-level artifacts</x:v>
      </x:c>
      <x:c r="K168" s="2" t="str">
        <x:v>使用Sentence-BERT嵌入和余弦相似度计算，由LLM参与标准自动化追踪技术生成链接。</x:v>
      </x:c>
      <x:c r="L168" s="2" t="str">
        <x:v>Necessary</x:v>
      </x:c>
      <x:c r="M168" s="6" t="str">
        <x:v>NA</x:v>
      </x:c>
      <x:c r="N168" s="2" t="str">
        <x:v>追踪链接生成必须通过余弦相似度阈值筛选，仅在相似度分数在最大归一化分数的两个标准差范围内时建立链接。</x:v>
      </x:c>
      <x:c r="O168" s="2" t="str">
        <x:v>trace_link_threshold</x:v>
      </x:c>
      <x:c r="P168" s="2" t="str">
        <x:v>traceability</x:v>
      </x:c>
      <x:c r="Q168" s="2" t="str">
        <x:v>NR</x:v>
      </x:c>
      <x:c r="R168" s="6" t="str">
        <x:v>SR</x:v>
      </x:c>
      <x:c r="S168" s="6" t="str">
        <x:v>p. 5; Section II-E Stage 4</x:v>
      </x:c>
      <x:c r="T168" s="6" t="str">
        <x:v>We create trace links only between artifacts that demonstrate strong semantic similarity using standard automated tracing techniques.</x:v>
      </x:c>
      <x:c r="U168" s="6" t="str">
        <x:v>HGEN生成追踪链接的必要步骤：基于余弦相似度阈值过滤，确保链接的语义相似性。</x:v>
      </x:c>
      <x:c r="V168" s="2" t="str">
        <x:v>Accepted</x:v>
      </x:c>
      <x:c r="W168" s="6" t="str">
        <x:v>NA</x:v>
      </x:c>
    </x:row>
    <x:row r="169" ht="76" customHeight="1">
      <x:c r="A169" s="2" t="str">
        <x:v>S52-CONCEPT-R03</x:v>
      </x:c>
      <x:c r="B169" s="2" t="str">
        <x:v>S52</x:v>
      </x:c>
      <x:c r="C169" s="2" t="str">
        <x:v>snowball_00095</x:v>
      </x:c>
      <x:c r="D169" s="2" t="str">
        <x:v>Reviewer_A</x:v>
      </x:c>
      <x:c r="E169" s="2" t="str">
        <x:v>Reviewer_A</x:v>
      </x:c>
      <x:c r="F169" s="2" t="str">
        <x:v>optional_step</x:v>
      </x:c>
      <x:c r="G169" s="6" t="str">
        <x:v>trace links</x:v>
      </x:c>
      <x:c r="H169" s="2" t="str">
        <x:v>lower-level artifact</x:v>
      </x:c>
      <x:c r="I169" s="2" t="str">
        <x:v>linked to</x:v>
      </x:c>
      <x:c r="J169" s="2" t="str">
        <x:v>higher-level artifact with greatest similarity</x:v>
      </x:c>
      <x:c r="K169" s="2" t="str">
        <x:v>当没有链接生成时，LLM支持的管道将工件链接到最具相似性的高层工件。</x:v>
      </x:c>
      <x:c r="L169" s="2" t="str">
        <x:v>Optional</x:v>
      </x:c>
      <x:c r="M169" s="6" t="str">
        <x:v>NA</x:v>
      </x:c>
      <x:c r="N169" s="2" t="str">
        <x:v>如果没有为低层工件生成链接，则将其链接到相似度最高的高层工件。</x:v>
      </x:c>
      <x:c r="O169" s="2" t="str">
        <x:v>trace_link_fallback</x:v>
      </x:c>
      <x:c r="P169" s="2" t="str">
        <x:v>traceability</x:v>
      </x:c>
      <x:c r="Q169" s="2" t="str">
        <x:v>NR</x:v>
      </x:c>
      <x:c r="R169" s="6" t="str">
        <x:v>SR</x:v>
      </x:c>
      <x:c r="S169" s="6" t="str">
        <x:v>p. 5; Section II-E Stage 4</x:v>
      </x:c>
      <x:c r="T169" s="6" t="str">
        <x:v>If no links are generated for a lower-level artifact, we establish a link with the higher-level artifact that has the greatest similarity.</x:v>
      </x:c>
      <x:c r="U169" s="6" t="str">
        <x:v>可选的回退步骤，确保每个低层工件都有追踪链接。</x:v>
      </x:c>
      <x:c r="V169" s="2" t="str">
        <x:v>Accepted</x:v>
      </x:c>
      <x:c r="W169" s="6" t="str">
        <x:v>NA</x:v>
      </x:c>
    </x:row>
    <x:row r="170" ht="76" customHeight="1">
      <x:c r="A170" s="2" t="str">
        <x:v>S53-CONCEPT-R01</x:v>
      </x:c>
      <x:c r="B170" s="2" t="str">
        <x:v>S53</x:v>
      </x:c>
      <x:c r="C170" s="2" t="str">
        <x:v>merged_1229</x:v>
      </x:c>
      <x:c r="D170" s="2" t="str">
        <x:v>Reviewer_A</x:v>
      </x:c>
      <x:c r="E170" s="2" t="str">
        <x:v>Reviewer_A</x:v>
      </x:c>
      <x:c r="F170" s="2" t="str">
        <x:v>scope</x:v>
      </x:c>
      <x:c r="G170" s="6" t="str">
        <x:v>foundational comparative evaluations</x:v>
      </x:c>
      <x:c r="H170" s="2" t="str">
        <x:v>LLM evaluation</x:v>
      </x:c>
      <x:c r="I170" s="2" t="str">
        <x:v>provides</x:v>
      </x:c>
      <x:c r="J170" s="2" t="str">
        <x:v>a comparative benchmark for safety-critical requirements engineering</x:v>
      </x:c>
      <x:c r="K170" s="2" t="str">
        <x:v>evaluated</x:v>
      </x:c>
      <x:c r="L170" s="2" t="str">
        <x:v>NR</x:v>
      </x:c>
      <x:c r="M170" s="6" t="str">
        <x:v>NA</x:v>
      </x:c>
      <x:c r="N170" s="2" t="str">
        <x:v>Multiple LLMs are comparatively evaluated for railway signaling requirements engineering.</x:v>
      </x:c>
      <x:c r="O170" s="2" t="str">
        <x:v>comparative LLM evaluation</x:v>
      </x:c>
      <x:c r="P170" s="2" t="str">
        <x:v>LLM4ST empirical scope</x:v>
      </x:c>
      <x:c r="Q170" s="2" t="str">
        <x:v>LLM participation in trace-aware artifact work</x:v>
      </x:c>
      <x:c r="R170" s="6" t="str">
        <x:v>Explicit</x:v>
      </x:c>
      <x:c r="S170" s="6" t="str">
        <x:v>p. 2; Section I</x:v>
      </x:c>
      <x:c r="T170" s="6" t="str">
        <x:v>one of the first foundational comparative evaluations of multiple state-of-the-art LLMs (GPT-4, Claude, Gemini) in the context of railway signaling requirements engineering</x:v>
      </x:c>
      <x:c r="U170" s="6" t="str">
        <x:v>The study evaluates LLM participation across requirements and test artifact relations in a safety-critical domain.</x:v>
      </x:c>
      <x:c r="V170" s="2" t="str">
        <x:v>Accepted</x:v>
      </x:c>
      <x:c r="W170" s="6" t="str">
        <x:v>R1 manual full-text extraction checked and confirmed on 2026-07-29.</x:v>
      </x:c>
    </x:row>
    <x:row r="171" ht="76" customHeight="1">
      <x:c r="A171" s="2" t="str">
        <x:v>S53-CONCEPT-R02</x:v>
      </x:c>
      <x:c r="B171" s="2" t="str">
        <x:v>S53</x:v>
      </x:c>
      <x:c r="C171" s="2" t="str">
        <x:v>merged_1229</x:v>
      </x:c>
      <x:c r="D171" s="2" t="str">
        <x:v>Reviewer_A</x:v>
      </x:c>
      <x:c r="E171" s="2" t="str">
        <x:v>Reviewer_A</x:v>
      </x:c>
      <x:c r="F171" s="2" t="str">
        <x:v>necessary_step</x:v>
      </x:c>
      <x:c r="G171" s="6" t="str">
        <x:v>human involvement remains strictly necessary</x:v>
      </x:c>
      <x:c r="H171" s="2" t="str">
        <x:v>LLM-generated artifacts</x:v>
      </x:c>
      <x:c r="I171" s="2" t="str">
        <x:v>require</x:v>
      </x:c>
      <x:c r="J171" s="2" t="str">
        <x:v>human oversight and review</x:v>
      </x:c>
      <x:c r="K171" s="2" t="str">
        <x:v>outputs</x:v>
      </x:c>
      <x:c r="L171" s="2" t="str">
        <x:v>Necessary</x:v>
      </x:c>
      <x:c r="M171" s="6" t="str">
        <x:v>NA</x:v>
      </x:c>
      <x:c r="N171" s="2" t="str">
        <x:v>Human review remains necessary for the studied generated artifacts.</x:v>
      </x:c>
      <x:c r="O171" s="2" t="str">
        <x:v>mandatory human oversight</x:v>
      </x:c>
      <x:c r="P171" s="2" t="str">
        <x:v>human control boundary</x:v>
      </x:c>
      <x:c r="Q171" s="2" t="str">
        <x:v>Human-in-the-loop LLM4ST</x:v>
      </x:c>
      <x:c r="R171" s="6" t="str">
        <x:v>Explicit</x:v>
      </x:c>
      <x:c r="S171" s="6" t="str">
        <x:v>pp. 5-6; Section V</x:v>
      </x:c>
      <x:c r="T171" s="6" t="str">
        <x:v>the results are not perfect and human involvement remains strictly necessary in the creation of all the studied artifacts</x:v>
      </x:c>
      <x:c r="U171" s="6" t="str">
        <x:v>The article treats LLM outputs as reviewable engineering artifacts rather than autonomous final evidence.</x:v>
      </x:c>
      <x:c r="V171" s="2" t="str">
        <x:v>Accepted</x:v>
      </x:c>
      <x:c r="W171" s="6" t="str">
        <x:v>R1 manual full-text extraction checked and confirmed on 2026-07-29.</x:v>
      </x:c>
    </x:row>
    <x:row r="172" ht="76" customHeight="1">
      <x:c r="A172" s="2" t="str">
        <x:v>S53-CONCEPT-R03</x:v>
      </x:c>
      <x:c r="B172" s="2" t="str">
        <x:v>S53</x:v>
      </x:c>
      <x:c r="C172" s="2" t="str">
        <x:v>merged_1229</x:v>
      </x:c>
      <x:c r="D172" s="2" t="str">
        <x:v>Reviewer_A</x:v>
      </x:c>
      <x:c r="E172" s="2" t="str">
        <x:v>Reviewer_A</x:v>
      </x:c>
      <x:c r="F172" s="2" t="str">
        <x:v>boundary</x:v>
      </x:c>
      <x:c r="G172" s="6" t="str">
        <x:v>costs of using these commercial APIs on an industrial scale</x:v>
      </x:c>
      <x:c r="H172" s="2" t="str">
        <x:v>commercial LLM APIs</x:v>
      </x:c>
      <x:c r="I172" s="2" t="str">
        <x:v>constrain</x:v>
      </x:c>
      <x:c r="J172" s="2" t="str">
        <x:v>industrial-scale deployment</x:v>
      </x:c>
      <x:c r="K172" s="2" t="str">
        <x:v>deployment</x:v>
      </x:c>
      <x:c r="L172" s="2" t="str">
        <x:v>NR</x:v>
      </x:c>
      <x:c r="M172" s="6" t="str">
        <x:v>NA</x:v>
      </x:c>
      <x:c r="N172" s="2" t="str">
        <x:v>Commercial API cost and document scale constrain industrial adoption.</x:v>
      </x:c>
      <x:c r="O172" s="2" t="str">
        <x:v>commercial API scale constraint</x:v>
      </x:c>
      <x:c r="P172" s="2" t="str">
        <x:v>deployment boundary</x:v>
      </x:c>
      <x:c r="Q172" s="2" t="str">
        <x:v>Operational boundary of LLM4ST</x:v>
      </x:c>
      <x:c r="R172" s="6" t="str">
        <x:v>Explicit</x:v>
      </x:c>
      <x:c r="S172" s="6" t="str">
        <x:v>pp. 5-6; Section V</x:v>
      </x:c>
      <x:c r="T172" s="6" t="str">
        <x:v>subscription costs would end up being extremely high</x:v>
      </x:c>
      <x:c r="U172" s="6" t="str">
        <x:v>The claim defines an economic and scale boundary for industrial use, rather than an exclusion from LLM4ST.</x:v>
      </x:c>
      <x:c r="V172" s="2" t="str">
        <x:v>Accepted</x:v>
      </x:c>
      <x:c r="W172" s="6" t="str">
        <x:v>R1 manual full-text extraction checked and confirmed on 2026-07-29.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20" hidden="0" customWidth="1"/>
    <x:col min="8" max="8" width="19" hidden="0" customWidth="1"/>
    <x:col min="9" max="9" width="20" hidden="0" customWidth="1"/>
    <x:col min="10" max="10" width="19" hidden="0" customWidth="1"/>
    <x:col min="11" max="11" width="20" hidden="0" customWidth="1"/>
    <x:col min="12" max="12" width="19"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52" hidden="0" customWidth="1"/>
    <x:col min="20" max="20" width="52" hidden="0" customWidth="1"/>
    <x:col min="21" max="21" width="52" hidden="0" customWidth="1"/>
    <x:col min="22" max="22" width="52" hidden="0" customWidth="1"/>
    <x:col min="23" max="23" width="52" hidden="0" customWidth="1"/>
    <x:col min="24" max="24" width="20" hidden="0" customWidth="1"/>
    <x:col min="25" max="25" width="52" hidden="0" customWidth="1"/>
  </x:cols>
  <x:sheetData>
    <x:row r="1" ht="38" customHeight="1">
      <x:c r="A1" s="5" t="str">
        <x:v>record_id</x:v>
      </x:c>
      <x:c r="B1" s="5" t="str">
        <x:v>study_id</x:v>
      </x:c>
      <x:c r="C1" s="5" t="str">
        <x:v>version_id</x:v>
      </x:c>
      <x:c r="D1" s="5" t="str">
        <x:v>review_stage</x:v>
      </x:c>
      <x:c r="E1" s="5" t="str">
        <x:v>reviewer_id</x:v>
      </x:c>
      <x:c r="F1" s="5" t="str">
        <x:v>task_id</x:v>
      </x:c>
      <x:c r="G1" s="5" t="str">
        <x:v>st_activity_raw</x:v>
      </x:c>
      <x:c r="H1" s="5" t="str">
        <x:v>st_activity_code</x:v>
      </x:c>
      <x:c r="I1" s="5" t="str">
        <x:v>source_artifact_raw</x:v>
      </x:c>
      <x:c r="J1" s="5" t="str">
        <x:v>source_artifact_code</x:v>
      </x:c>
      <x:c r="K1" s="5" t="str">
        <x:v>target_artifact_raw</x:v>
      </x:c>
      <x:c r="L1" s="5" t="str">
        <x:v>target_artifact_code</x:v>
      </x:c>
      <x:c r="M1" s="5" t="str">
        <x:v>relation_direction</x:v>
      </x:c>
      <x:c r="N1" s="5" t="str">
        <x:v>lifecycle_stage</x:v>
      </x:c>
      <x:c r="O1" s="5" t="str">
        <x:v>application_domain</x:v>
      </x:c>
      <x:c r="P1" s="5" t="str">
        <x:v>project_or_dataset</x:v>
      </x:c>
      <x:c r="Q1" s="5" t="str">
        <x:v>study_setting</x:v>
      </x:c>
      <x:c r="R1" s="5" t="str">
        <x:v>industrial_provenance</x:v>
      </x:c>
      <x:c r="S1" s="5" t="str">
        <x:v>task_description</x:v>
      </x:c>
      <x:c r="T1" s="5" t="str">
        <x:v>verifiable_output</x:v>
      </x:c>
      <x:c r="U1" s="5" t="str">
        <x:v>evidence_location</x:v>
      </x:c>
      <x:c r="V1" s="5" t="str">
        <x:v>evidence_verbatim</x:v>
      </x:c>
      <x:c r="W1" s="5" t="str">
        <x:v>reviewer_interpretation</x:v>
      </x:c>
      <x:c r="X1" s="5" t="str">
        <x:v>record_status</x:v>
      </x:c>
      <x:c r="Y1" s="5" t="str">
        <x:v>notes</x:v>
      </x:c>
    </x:row>
    <x:row r="2" ht="76" customHeight="1">
      <x:c r="A2" s="2" t="str">
        <x:v>S01-TASK-R01</x:v>
      </x:c>
      <x:c r="B2" s="2" t="str">
        <x:v>S01</x:v>
      </x:c>
      <x:c r="C2" s="2" t="str">
        <x:v>merged_0002</x:v>
      </x:c>
      <x:c r="D2" s="2" t="str">
        <x:v>Reviewer_A</x:v>
      </x:c>
      <x:c r="E2" s="2" t="str">
        <x:v>Reviewer_A</x:v>
      </x:c>
      <x:c r="F2" s="2" t="str">
        <x:v>S01-T01</x:v>
      </x:c>
      <x:c r="G2" s="2" t="str">
        <x:v>tracing requirements to code</x:v>
      </x:c>
      <x:c r="H2" s="2" t="str">
        <x:v>traceability link recovery</x:v>
      </x:c>
      <x:c r="I2" s="2" t="str">
        <x:v>requirements</x:v>
      </x:c>
      <x:c r="J2" s="2" t="str">
        <x:v>requirement</x:v>
      </x:c>
      <x:c r="K2" s="2" t="str">
        <x:v>code</x:v>
      </x:c>
      <x:c r="L2" s="2" t="str">
        <x:v>source code</x:v>
      </x:c>
      <x:c r="M2" s="2" t="str">
        <x:v>requirements -&gt; code</x:v>
      </x:c>
      <x:c r="N2" s="2" t="str">
        <x:v>cross-lifecycle</x:v>
      </x:c>
      <x:c r="O2" s="2" t="str">
        <x:v>education; tourism; healthcare; aerospace</x:v>
      </x:c>
      <x:c r="P2" s="2" t="str">
        <x:v>SMOS; eTour; iTrust; Dronology</x:v>
      </x:c>
      <x:c r="Q2" s="2" t="str">
        <x:v>Academic</x:v>
      </x:c>
      <x:c r="R2" s="2" t="str">
        <x:v>NR</x:v>
      </x:c>
      <x:c r="S2" s="6" t="str">
        <x:v>从需求文本到源代码文件的可追溯性链接恢复</x:v>
      </x:c>
      <x:c r="T2" s="6" t="str">
        <x:v>需求与代码文件之间的跟踪链接</x:v>
      </x:c>
      <x:c r="U2" s="6" t="str">
        <x:v>p. 1; Section I. Introduction; Section IV-A-1</x:v>
      </x:c>
      <x:c r="V2" s="6" t="str">
        <x:v>we focus on three different TLR tasks</x:v>
      </x:c>
      <x:c r="W2" s="6" t="str">
        <x:v>任务一：需求至代码的跟踪链接恢复</x:v>
      </x:c>
      <x:c r="X2" s="2" t="str">
        <x:v>Accepted</x:v>
      </x:c>
      <x:c r="Y2" s="6" t="str">
        <x:v>包含意大利语和英语数据集</x:v>
      </x:c>
    </x:row>
    <x:row r="3" ht="76" customHeight="1">
      <x:c r="A3" s="2" t="str">
        <x:v>S01-TASK-R02</x:v>
      </x:c>
      <x:c r="B3" s="2" t="str">
        <x:v>S01</x:v>
      </x:c>
      <x:c r="C3" s="2" t="str">
        <x:v>merged_0002</x:v>
      </x:c>
      <x:c r="D3" s="2" t="str">
        <x:v>Reviewer_A</x:v>
      </x:c>
      <x:c r="E3" s="2" t="str">
        <x:v>Reviewer_A</x:v>
      </x:c>
      <x:c r="F3" s="2" t="str">
        <x:v>S01-T02</x:v>
      </x:c>
      <x:c r="G3" s="2" t="str">
        <x:v>tracing architecture documentation to code</x:v>
      </x:c>
      <x:c r="H3" s="2" t="str">
        <x:v>traceability link recovery</x:v>
      </x:c>
      <x:c r="I3" s="2" t="str">
        <x:v>architecture documentation</x:v>
      </x:c>
      <x:c r="J3" s="2" t="str">
        <x:v>documentation</x:v>
      </x:c>
      <x:c r="K3" s="2" t="str">
        <x:v>code</x:v>
      </x:c>
      <x:c r="L3" s="2" t="str">
        <x:v>source code</x:v>
      </x:c>
      <x:c r="M3" s="2" t="str">
        <x:v>architecture documentation -&gt; code</x:v>
      </x:c>
      <x:c r="N3" s="2" t="str">
        <x:v>cross-lifecycle</x:v>
      </x:c>
      <x:c r="O3" s="2" t="str">
        <x:v>media; micro-services; education; web conferencing; reference management</x:v>
      </x:c>
      <x:c r="P3" s="2" t="str">
        <x:v>BigBlueButton; MediaStore; TeaStore; TEAMMATES; JabRef</x:v>
      </x:c>
      <x:c r="Q3" s="2" t="str">
        <x:v>Academic</x:v>
      </x:c>
      <x:c r="R3" s="2" t="str">
        <x:v>NR</x:v>
      </x:c>
      <x:c r="S3" s="6" t="str">
        <x:v>从架构文档文本到源代码文件的可追溯性链接恢复</x:v>
      </x:c>
      <x:c r="T3" s="6" t="str">
        <x:v>文档句子与代码文件之间的跟踪链接</x:v>
      </x:c>
      <x:c r="U3" s="6" t="str">
        <x:v>p. 1; Section I. Introduction; Section IV-A-3</x:v>
      </x:c>
      <x:c r="V3" s="6" t="str">
        <x:v>tracing architecture documentation to code</x:v>
      </x:c>
      <x:c r="W3" s="6" t="str">
        <x:v>任务二：文档至代码的跟踪链接恢复</x:v>
      </x:c>
      <x:c r="X3" s="2" t="str">
        <x:v>Accepted</x:v>
      </x:c>
      <x:c r="Y3" s="6" t="str">
        <x:v>数据集来自TransArC</x:v>
      </x:c>
    </x:row>
    <x:row r="4" ht="76" customHeight="1">
      <x:c r="A4" s="2" t="str">
        <x:v>S01-TASK-R03</x:v>
      </x:c>
      <x:c r="B4" s="2" t="str">
        <x:v>S01</x:v>
      </x:c>
      <x:c r="C4" s="2" t="str">
        <x:v>merged_0002</x:v>
      </x:c>
      <x:c r="D4" s="2" t="str">
        <x:v>Reviewer_A</x:v>
      </x:c>
      <x:c r="E4" s="2" t="str">
        <x:v>Reviewer_A</x:v>
      </x:c>
      <x:c r="F4" s="2" t="str">
        <x:v>S01-T03</x:v>
      </x:c>
      <x:c r="G4" s="2" t="str">
        <x:v>tracing architecture documentation to architecture models</x:v>
      </x:c>
      <x:c r="H4" s="2" t="str">
        <x:v>traceability link recovery</x:v>
      </x:c>
      <x:c r="I4" s="2" t="str">
        <x:v>architecture documentation</x:v>
      </x:c>
      <x:c r="J4" s="2" t="str">
        <x:v>documentation</x:v>
      </x:c>
      <x:c r="K4" s="2" t="str">
        <x:v>architecture models</x:v>
      </x:c>
      <x:c r="L4" s="2" t="str">
        <x:v>architecture model</x:v>
      </x:c>
      <x:c r="M4" s="2" t="str">
        <x:v>architecture documentation -&gt; architecture models</x:v>
      </x:c>
      <x:c r="N4" s="2" t="str">
        <x:v>design</x:v>
      </x:c>
      <x:c r="O4" s="2" t="str">
        <x:v>media; micro-services; education; web conferencing; reference management</x:v>
      </x:c>
      <x:c r="P4" s="2" t="str">
        <x:v>MediaStore; TeaStore; TEAMMATES; BigBlueButton; JabRef</x:v>
      </x:c>
      <x:c r="Q4" s="2" t="str">
        <x:v>Academic</x:v>
      </x:c>
      <x:c r="R4" s="2" t="str">
        <x:v>NR</x:v>
      </x:c>
      <x:c r="S4" s="6" t="str">
        <x:v>从架构文档到组件架构模型的可追溯性链接恢复</x:v>
      </x:c>
      <x:c r="T4" s="6" t="str">
        <x:v>文档句子与模型元素（组件）之间的跟踪链接</x:v>
      </x:c>
      <x:c r="U4" s="6" t="str">
        <x:v>p. 1; Section I. Introduction; Section IV-A-2</x:v>
      </x:c>
      <x:c r="V4" s="6" t="str">
        <x:v>tracing architecture documentation to architecture models</x:v>
      </x:c>
      <x:c r="W4" s="6" t="str">
        <x:v>任务三：架构文档至架构模型的跟踪链接恢复</x:v>
      </x:c>
      <x:c r="X4" s="2" t="str">
        <x:v>Accepted</x:v>
      </x:c>
      <x:c r="Y4" s="6" t="str">
        <x:v>同时评估了M2D和D2M两个方向</x:v>
      </x:c>
    </x:row>
    <x:row r="5" ht="76" customHeight="1">
      <x:c r="A5" s="2" t="str">
        <x:v>S02-TASK-R01</x:v>
      </x:c>
      <x:c r="B5" s="2" t="str">
        <x:v>S02</x:v>
      </x:c>
      <x:c r="C5" s="2" t="str">
        <x:v>merged_0007</x:v>
      </x:c>
      <x:c r="D5" s="2" t="str">
        <x:v>Reviewer_A</x:v>
      </x:c>
      <x:c r="E5" s="2" t="str">
        <x:v>Reviewer_A</x:v>
      </x:c>
      <x:c r="F5" s="2" t="str">
        <x:v>S02-T01</x:v>
      </x:c>
      <x:c r="G5" s="2" t="str">
        <x:v>recover trace links between SAD and source code using ExArch-generated SAMs as intermediate artifacts</x:v>
      </x:c>
      <x:c r="H5" s="2" t="str">
        <x:v>traceability link recovery</x:v>
      </x:c>
      <x:c r="I5" s="2" t="str">
        <x:v>Software Architecture Documentation (SAD)</x:v>
      </x:c>
      <x:c r="J5" s="2" t="str">
        <x:v>documentation</x:v>
      </x:c>
      <x:c r="K5" s="2" t="str">
        <x:v>source code</x:v>
      </x:c>
      <x:c r="L5" s="2" t="str">
        <x:v>source code</x:v>
      </x:c>
      <x:c r="M5" s="2" t="str">
        <x:v>SAD -&gt; source code</x:v>
      </x:c>
      <x:c r="N5" s="2" t="str">
        <x:v>cross-lifecycle</x:v>
      </x:c>
      <x:c r="O5" s="2" t="str">
        <x:v>NR</x:v>
      </x:c>
      <x:c r="P5" s="2" t="str">
        <x:v>Architecture Traceability Benchmark (MS, TS, TM, BBB, JR)</x:v>
      </x:c>
      <x:c r="Q5" s="2" t="str">
        <x:v>Academic</x:v>
      </x:c>
      <x:c r="R5" s="2" t="str">
        <x:v>NA</x:v>
      </x:c>
      <x:c r="S5" s="6" t="str">
        <x:v>使用ExArch从SAD和/或源代码提取组件名称作为简单SAM，再通过TransArC传递性地恢复SAD与源代码之间的追踪链接。</x:v>
      </x:c>
      <x:c r="T5" s="6" t="str">
        <x:v>可验证的SAD与源代码之间的追踪链接集合。</x:v>
      </x:c>
      <x:c r="U5" s="6" t="str">
        <x:v>p. 5; Section 3</x:v>
      </x:c>
      <x:c r="V5" s="6" t="str">
        <x:v>ExArch consists of two main parts: generating the component names for a SAM and recovering trace links.</x:v>
      </x:c>
      <x:c r="W5" s="6" t="str">
        <x:v>任务T1的核心是通过LLM自动生成中间模型来完成SAD到代码的追踪链接恢复。</x:v>
      </x:c>
      <x:c r="X5" s="2" t="str">
        <x:v>Accepted</x:v>
      </x:c>
      <x:c r="Y5" s="6" t="str">
        <x:v>覆盖先前的EV1、EV2、EV3评估单元。</x:v>
      </x:c>
    </x:row>
    <x:row r="6" ht="76" customHeight="1">
      <x:c r="A6" s="2" t="str">
        <x:v>S02-TASK-R02</x:v>
      </x:c>
      <x:c r="B6" s="2" t="str">
        <x:v>S02</x:v>
      </x:c>
      <x:c r="C6" s="2" t="str">
        <x:v>merged_0007</x:v>
      </x:c>
      <x:c r="D6" s="2" t="str">
        <x:v>Reviewer_A</x:v>
      </x:c>
      <x:c r="E6" s="2" t="str">
        <x:v>Reviewer_A</x:v>
      </x:c>
      <x:c r="F6" s="2" t="str">
        <x:v>S02-T02</x:v>
      </x:c>
      <x:c r="G6" s="2" t="str">
        <x:v>identify trace links between SAD and SAM using ArTEMiS</x:v>
      </x:c>
      <x:c r="H6" s="2" t="str">
        <x:v>traceability link recovery</x:v>
      </x:c>
      <x:c r="I6" s="2" t="str">
        <x:v>Software Architecture Documentation (SAD)</x:v>
      </x:c>
      <x:c r="J6" s="2" t="str">
        <x:v>documentation</x:v>
      </x:c>
      <x:c r="K6" s="2" t="str">
        <x:v>Software Architecture Model (SAM)</x:v>
      </x:c>
      <x:c r="L6" s="2" t="str">
        <x:v>architecture model</x:v>
      </x:c>
      <x:c r="M6" s="2" t="str">
        <x:v>SAD -&gt; SAM</x:v>
      </x:c>
      <x:c r="N6" s="2" t="str">
        <x:v>cross-lifecycle</x:v>
      </x:c>
      <x:c r="O6" s="2" t="str">
        <x:v>NR</x:v>
      </x:c>
      <x:c r="P6" s="2" t="str">
        <x:v>Architecture Traceability Benchmark Revised (MS, TS, TM, BBB, JR)</x:v>
      </x:c>
      <x:c r="Q6" s="2" t="str">
        <x:v>Academic</x:v>
      </x:c>
      <x:c r="R6" s="2" t="str">
        <x:v>NA</x:v>
      </x:c>
      <x:c r="S6" s="6" t="str">
        <x:v>使用ArTEMiS从SAD中识别架构实体，并与给定的SAM实体进行匹配，建立SAD与SAM之间的追踪链接。</x:v>
      </x:c>
      <x:c r="T6" s="6" t="str">
        <x:v>可验证的SAD与SAM之间的追踪链接集合。</x:v>
      </x:c>
      <x:c r="U6" s="6" t="str">
        <x:v>p. 8; Section 4</x:v>
      </x:c>
      <x:c r="V6" s="6" t="str">
        <x:v>inference) that takes SADs and SAMs as inputs to identify trace links between both artifacts. ArTEMiS adapts the</x:v>
      </x:c>
      <x:c r="W6" s="6" t="str">
        <x:v>任务T2专注于SAD到SAM的链接恢复，采用LLM进行架构实体识别。</x:v>
      </x:c>
      <x:c r="X6" s="2" t="str">
        <x:v>Accepted</x:v>
      </x:c>
      <x:c r="Y6" s="6" t="str">
        <x:v>对应先前EV4评估单元。</x:v>
      </x:c>
    </x:row>
    <x:row r="7" ht="76" customHeight="1">
      <x:c r="A7" s="2" t="str">
        <x:v>S02-TASK-R03</x:v>
      </x:c>
      <x:c r="B7" s="2" t="str">
        <x:v>S02</x:v>
      </x:c>
      <x:c r="C7" s="2" t="str">
        <x:v>merged_0007</x:v>
      </x:c>
      <x:c r="D7" s="2" t="str">
        <x:v>Reviewer_A</x:v>
      </x:c>
      <x:c r="E7" s="2" t="str">
        <x:v>Reviewer_A</x:v>
      </x:c>
      <x:c r="F7" s="2" t="str">
        <x:v>S02-T03</x:v>
      </x:c>
      <x:c r="G7" s="2" t="str">
        <x:v>recover trace links between SAD and source code by combining ArTEMiS, ExArch, and TransArC</x:v>
      </x:c>
      <x:c r="H7" s="2" t="str">
        <x:v>traceability link recovery</x:v>
      </x:c>
      <x:c r="I7" s="2" t="str">
        <x:v>Software Architecture Documentation (SAD)</x:v>
      </x:c>
      <x:c r="J7" s="2" t="str">
        <x:v>documentation</x:v>
      </x:c>
      <x:c r="K7" s="2" t="str">
        <x:v>source code</x:v>
      </x:c>
      <x:c r="L7" s="2" t="str">
        <x:v>source code</x:v>
      </x:c>
      <x:c r="M7" s="2" t="str">
        <x:v>SAD -&gt; source code</x:v>
      </x:c>
      <x:c r="N7" s="2" t="str">
        <x:v>cross-lifecycle</x:v>
      </x:c>
      <x:c r="O7" s="2" t="str">
        <x:v>NR</x:v>
      </x:c>
      <x:c r="P7" s="2" t="str">
        <x:v>Architecture Traceability Benchmark Revised (MS, TS, TM, BBB, JR)</x:v>
      </x:c>
      <x:c r="Q7" s="2" t="str">
        <x:v>Academic</x:v>
      </x:c>
      <x:c r="R7" s="2" t="str">
        <x:v>NA</x:v>
      </x:c>
      <x:c r="S7" s="6" t="str">
        <x:v>结合ExArch生成的简单SAM与ArTEMiS的SAD-SAM链接，通过TransArC完成SAD到源代码的追踪链接恢复。</x:v>
      </x:c>
      <x:c r="T7" s="6" t="str">
        <x:v>可验证的SAD与源代码之间的追踪链接集合。</x:v>
      </x:c>
      <x:c r="U7" s="6" t="str">
        <x:v>p. 19; Section 5.4.3</x:v>
      </x:c>
      <x:c r="V7" s="6" t="str">
        <x:v>combines both approaches, i.e., we use ExArch to extract the component names from the SAD, then use ArTEMiS to recover the trace links between SAD and SAM, and finally use TransArC to recover the trace links between SAD and</x:v>
      </x:c>
      <x:c r="W7" s="6" t="str">
        <x:v>任务T3综合了两种LLM方法进行端到端的SAD到代码追踪。</x:v>
      </x:c>
      <x:c r="X7" s="2" t="str">
        <x:v>Accepted</x:v>
      </x:c>
      <x:c r="Y7" s="6" t="str">
        <x:v>对应先前EV5评估单元。</x:v>
      </x:c>
    </x:row>
    <x:row r="8" ht="76" customHeight="1">
      <x:c r="A8" s="2" t="str">
        <x:v>S03-TASK-R01</x:v>
      </x:c>
      <x:c r="B8" s="2" t="str">
        <x:v>S03</x:v>
      </x:c>
      <x:c r="C8" s="2" t="str">
        <x:v>merged_0014</x:v>
      </x:c>
      <x:c r="D8" s="2" t="str">
        <x:v>Reviewer_A</x:v>
      </x:c>
      <x:c r="E8" s="2" t="str">
        <x:v>Reviewer_A</x:v>
      </x:c>
      <x:c r="F8" s="2" t="str">
        <x:v>S03-T01</x:v>
      </x:c>
      <x:c r="G8" s="2" t="str">
        <x:v>match application classes with a given service descriptions from an enterprise-specific domain models</x:v>
      </x:c>
      <x:c r="H8" s="2" t="str">
        <x:v>traceability link recovery</x:v>
      </x:c>
      <x:c r="I8" s="2" t="str">
        <x:v>domain service descriptions</x:v>
      </x:c>
      <x:c r="J8" s="2" t="str">
        <x:v>requirement</x:v>
      </x:c>
      <x:c r="K8" s="2" t="str">
        <x:v>application classes</x:v>
      </x:c>
      <x:c r="L8" s="2" t="str">
        <x:v>source code</x:v>
      </x:c>
      <x:c r="M8" s="2" t="str">
        <x:v>domain service -&gt; application class</x:v>
      </x:c>
      <x:c r="N8" s="2" t="str">
        <x:v>cross-lifecycle</x:v>
      </x:c>
      <x:c r="O8" s="2" t="str">
        <x:v>ERP</x:v>
      </x:c>
      <x:c r="P8" s="2" t="str">
        <x:v>JAllInOne</x:v>
      </x:c>
      <x:c r="Q8" s="2" t="str">
        <x:v>Academic</x:v>
      </x:c>
      <x:c r="R8" s="2" t="str">
        <x:v>NA</x:v>
      </x:c>
      <x:c r="S8" s="6" t="str">
        <x:v>将领域服务描述与应用类进行语义匹配，建立追溯链接。</x:v>
      </x:c>
      <x:c r="T8" s="6" t="str">
        <x:v>匹配列表（领域服务到应用类的top-k映射）</x:v>
      </x:c>
      <x:c r="U8" s="6" t="str">
        <x:v>p. 2; Section 3</x:v>
      </x:c>
      <x:c r="V8" s="6" t="str">
        <x:v>Our objective is to match application classes with a given service descriptions from an enterprise-specific domain models.</x:v>
      </x:c>
      <x:c r="W8" s="6" t="str">
        <x:v>任务是从企业领域模型中恢复领域服务到应用代码类的匹配关系，属于链接恢复。</x:v>
      </x:c>
      <x:c r="X8" s="2" t="str">
        <x:v>Accepted</x:v>
      </x:c>
      <x:c r="Y8" s="6" t="str">
        <x:v>NA</x:v>
      </x:c>
    </x:row>
    <x:row r="9" ht="76" customHeight="1">
      <x:c r="A9" s="2" t="str">
        <x:v>S04-TASK-R01</x:v>
      </x:c>
      <x:c r="B9" s="2" t="str">
        <x:v>S04</x:v>
      </x:c>
      <x:c r="C9" s="2" t="str">
        <x:v>merged_0075</x:v>
      </x:c>
      <x:c r="D9" s="2" t="str">
        <x:v>Reviewer_A</x:v>
      </x:c>
      <x:c r="E9" s="2" t="str">
        <x:v>Reviewer_A</x:v>
      </x:c>
      <x:c r="F9" s="2" t="str">
        <x:v>S04-T01</x:v>
      </x:c>
      <x:c r="G9" s="2" t="str">
        <x:v>recovery of security-related traceability links</x:v>
      </x:c>
      <x:c r="H9" s="2" t="str">
        <x:v>traceability link recovery</x:v>
      </x:c>
      <x:c r="I9" s="2" t="str">
        <x:v>requirements (expressed in natural language)</x:v>
      </x:c>
      <x:c r="J9" s="2" t="str">
        <x:v>requirement</x:v>
      </x:c>
      <x:c r="K9" s="2" t="str">
        <x:v>goals (intentional elements in GRL model)</x:v>
      </x:c>
      <x:c r="L9" s="2" t="str">
        <x:v>goal model</x:v>
      </x:c>
      <x:c r="M9" s="2" t="str">
        <x:v>undirected (security-related requirement &lt;-&gt; security-related goal)</x:v>
      </x:c>
      <x:c r="N9" s="2" t="str">
        <x:v>requirements</x:v>
      </x:c>
      <x:c r="O9" s="2" t="str">
        <x:v>Virtual Interior Design application</x:v>
      </x:c>
      <x:c r="P9" s="2" t="str">
        <x:v>Virtual Interior Design GRL model and 42 requirements</x:v>
      </x:c>
      <x:c r="Q9" s="2" t="str">
        <x:v>Academic</x:v>
      </x:c>
      <x:c r="R9" s="2" t="str">
        <x:v>NA</x:v>
      </x:c>
      <x:c r="S9" s="6" t="str">
        <x:v>利用GPT-3.5-turbo零样本方法，在42条自然语言需求与一个包含37个意向元素的GRL模型之间，识别并生成安全相关的追溯链接，要求提供每个链接的理由。</x:v>
      </x:c>
      <x:c r="T9" s="6" t="str">
        <x:v>生成的追溯链接列表及其理由，并可对照人工标注答案计算精确率、召回率和F1分数。</x:v>
      </x:c>
      <x:c r="U9" s="6" t="str">
        <x:v>p. 1; Abstract</x:v>
      </x:c>
      <x:c r="V9" s="6" t="str">
        <x:v>paper, we propose an LLM-based approach to generate securityrelated traceability links between requirements (expressed in natural language) and goals (described as part of GRL models). We</x:v>
      </x:c>
      <x:c r="W9" s="6" t="str">
        <x:v>任务是从需求文本中自动找到与GRL安全目标元素的匹配关系，形成安全追溯链接。</x:v>
      </x:c>
      <x:c r="X9" s="2" t="str">
        <x:v>Accepted</x:v>
      </x:c>
      <x:c r="Y9" s="6" t="str">
        <x:v>NR</x:v>
      </x:c>
    </x:row>
    <x:row r="10" ht="76" customHeight="1">
      <x:c r="A10" s="2" t="str">
        <x:v>S05-TASK-R01</x:v>
      </x:c>
      <x:c r="B10" s="2" t="str">
        <x:v>S05</x:v>
      </x:c>
      <x:c r="C10" s="2" t="str">
        <x:v>merged_0077</x:v>
      </x:c>
      <x:c r="D10" s="2" t="str">
        <x:v>Reviewer_A</x:v>
      </x:c>
      <x:c r="E10" s="2" t="str">
        <x:v>Reviewer_A</x:v>
      </x:c>
      <x:c r="F10" s="2" t="str">
        <x:v>S05-T01</x:v>
      </x:c>
      <x:c r="G10" s="2" t="str">
        <x:v>identify trace links between documentation segments and their corresponding code elements</x:v>
      </x:c>
      <x:c r="H10" s="2" t="str">
        <x:v>traceability link recovery</x:v>
      </x:c>
      <x:c r="I10" s="2" t="str">
        <x:v>documentation segments</x:v>
      </x:c>
      <x:c r="J10" s="2" t="str">
        <x:v>documentation</x:v>
      </x:c>
      <x:c r="K10" s="2" t="str">
        <x:v>code artifacts</x:v>
      </x:c>
      <x:c r="L10" s="2" t="str">
        <x:v>source code</x:v>
      </x:c>
      <x:c r="M10" s="2" t="str">
        <x:v>documentation -&gt; code</x:v>
      </x:c>
      <x:c r="N10" s="2" t="str">
        <x:v>cross-lifecycle</x:v>
      </x:c>
      <x:c r="O10" s="2" t="str">
        <x:v>NR</x:v>
      </x:c>
      <x:c r="P10" s="2" t="str">
        <x:v>Crawl4AI and Unity Catalog</x:v>
      </x:c>
      <x:c r="Q10" s="2" t="str">
        <x:v>Academic</x:v>
      </x:c>
      <x:c r="R10" s="2" t="str">
        <x:v>NA</x:v>
      </x:c>
      <x:c r="S10" s="6" t="str">
        <x:v>评估LLM从文档片段恢复对应源代码构件的能力。</x:v>
      </x:c>
      <x:c r="T10" s="6" t="str">
        <x:v>每个文档片段对应的代码构件列表（即追溯链接）。</x:v>
      </x:c>
      <x:c r="U10" s="6" t="str">
        <x:v>p. 2; Section 1</x:v>
      </x:c>
      <x:c r="V10" s="6" t="str">
        <x:v>RQ1: How accurately can LLMs identify trace links between documentation segments and their corresponding code elements?</x:v>
      </x:c>
      <x:c r="W10" s="6" t="str">
        <x:v>任务T1关注LLM识别文档与代码之间直接追溯链接的准确性，属于经典的追溯链接恢复问题。</x:v>
      </x:c>
      <x:c r="X10" s="2" t="str">
        <x:v>Accepted</x:v>
      </x:c>
      <x:c r="Y10" s="6" t="str">
        <x:v>NA</x:v>
      </x:c>
    </x:row>
    <x:row r="11" ht="76" customHeight="1">
      <x:c r="A11" s="2" t="str">
        <x:v>S05-TASK-R02</x:v>
      </x:c>
      <x:c r="B11" s="2" t="str">
        <x:v>S05</x:v>
      </x:c>
      <x:c r="C11" s="2" t="str">
        <x:v>merged_0077</x:v>
      </x:c>
      <x:c r="D11" s="2" t="str">
        <x:v>Reviewer_A</x:v>
      </x:c>
      <x:c r="E11" s="2" t="str">
        <x:v>Reviewer_A</x:v>
      </x:c>
      <x:c r="F11" s="2" t="str">
        <x:v>S05-T02</x:v>
      </x:c>
      <x:c r="G11" s="2" t="str">
        <x:v>explain the nature of relationships between documentation and code elements</x:v>
      </x:c>
      <x:c r="H11" s="2" t="str">
        <x:v>traceability explanation</x:v>
      </x:c>
      <x:c r="I11" s="2" t="str">
        <x:v>documentation segments</x:v>
      </x:c>
      <x:c r="J11" s="2" t="str">
        <x:v>documentation</x:v>
      </x:c>
      <x:c r="K11" s="2" t="str">
        <x:v>code artifacts</x:v>
      </x:c>
      <x:c r="L11" s="2" t="str">
        <x:v>source code</x:v>
      </x:c>
      <x:c r="M11" s="2" t="str">
        <x:v>documentation -&gt; code</x:v>
      </x:c>
      <x:c r="N11" s="2" t="str">
        <x:v>cross-lifecycle</x:v>
      </x:c>
      <x:c r="O11" s="2" t="str">
        <x:v>NR</x:v>
      </x:c>
      <x:c r="P11" s="2" t="str">
        <x:v>Crawl4AI and Unity Catalog</x:v>
      </x:c>
      <x:c r="Q11" s="2" t="str">
        <x:v>Academic</x:v>
      </x:c>
      <x:c r="R11" s="2" t="str">
        <x:v>NA</x:v>
      </x:c>
      <x:c r="S11" s="6" t="str">
        <x:v>评估LLM解释文档与代码之间关系性质的能力，例如描述实现、配置、使用等关系类型。</x:v>
      </x:c>
      <x:c r="T11" s="6" t="str">
        <x:v>为每个正确追溯链接生成的自然语言关系描述。</x:v>
      </x:c>
      <x:c r="U11" s="6" t="str">
        <x:v>p. 3; Section 1</x:v>
      </x:c>
      <x:c r="V11" s="6" t="str">
        <x:v>RQ2: How effectively can LLMs explain the nature of relationships between documentation and code elements?</x:v>
      </x:c>
      <x:c r="W11" s="6" t="str">
        <x:v>任务T2要求LLM不仅给出二元链接，还需生成对关系语义的解释。</x:v>
      </x:c>
      <x:c r="X11" s="2" t="str">
        <x:v>Accepted</x:v>
      </x:c>
      <x:c r="Y11" s="6" t="str">
        <x:v>NA</x:v>
      </x:c>
    </x:row>
    <x:row r="12" ht="76" customHeight="1">
      <x:c r="A12" s="2" t="str">
        <x:v>S05-TASK-R03</x:v>
      </x:c>
      <x:c r="B12" s="2" t="str">
        <x:v>S05</x:v>
      </x:c>
      <x:c r="C12" s="2" t="str">
        <x:v>merged_0077</x:v>
      </x:c>
      <x:c r="D12" s="2" t="str">
        <x:v>Reviewer_A</x:v>
      </x:c>
      <x:c r="E12" s="2" t="str">
        <x:v>Reviewer_A</x:v>
      </x:c>
      <x:c r="F12" s="2" t="str">
        <x:v>S05-T03</x:v>
      </x:c>
      <x:c r="G12" s="2" t="str">
        <x:v>identify intermediate elements in documentation-to-code trace chains</x:v>
      </x:c>
      <x:c r="H12" s="2" t="str">
        <x:v>other</x:v>
      </x:c>
      <x:c r="I12" s="2" t="str">
        <x:v>documentation segments</x:v>
      </x:c>
      <x:c r="J12" s="2" t="str">
        <x:v>documentation</x:v>
      </x:c>
      <x:c r="K12" s="2" t="str">
        <x:v>code artifacts</x:v>
      </x:c>
      <x:c r="L12" s="2" t="str">
        <x:v>source code</x:v>
      </x:c>
      <x:c r="M12" s="2" t="str">
        <x:v>documentation -&gt; intermediate -&gt; code (multi-step)</x:v>
      </x:c>
      <x:c r="N12" s="2" t="str">
        <x:v>cross-lifecycle</x:v>
      </x:c>
      <x:c r="O12" s="2" t="str">
        <x:v>NR</x:v>
      </x:c>
      <x:c r="P12" s="2" t="str">
        <x:v>Crawl4AI and Unity Catalog</x:v>
      </x:c>
      <x:c r="Q12" s="2" t="str">
        <x:v>Academic</x:v>
      </x:c>
      <x:c r="R12" s="2" t="str">
        <x:v>NA</x:v>
      </x:c>
      <x:c r="S12" s="6" t="str">
        <x:v>评估LLM重建从文档到代码的多步追溯链的能力，即找出中间构件。</x:v>
      </x:c>
      <x:c r="T12" s="6" t="str">
        <x:v>从文档片段到最终代码构件的节点序列（如 docs → ClassA → methodB）。</x:v>
      </x:c>
      <x:c r="U12" s="6" t="str">
        <x:v>p. 3; Section 1</x:v>
      </x:c>
      <x:c r="V12" s="6" t="str">
        <x:v>RQ3: How completely can LLMs identify intermediate elements in documentation-to-code trace chains?</x:v>
      </x:c>
      <x:c r="W12" s="6" t="str">
        <x:v>任务T3是T1的扩展，要求LLM还原完整的依赖路径，而不仅仅是直接链接。</x:v>
      </x:c>
      <x:c r="X12" s="2" t="str">
        <x:v>Accepted</x:v>
      </x:c>
      <x:c r="Y12" s="6" t="str">
        <x:v>st_activity_code使用'other'，因为严格来说‘trace chain reconstruction’不在预定义列表中，但可视为一种特殊的追溯分析。</x:v>
      </x:c>
    </x:row>
    <x:row r="13" ht="76" customHeight="1">
      <x:c r="A13" s="2" t="str">
        <x:v>S06-TASK-R01</x:v>
      </x:c>
      <x:c r="B13" s="2" t="str">
        <x:v>S06</x:v>
      </x:c>
      <x:c r="C13" s="2" t="str">
        <x:v>merged_0079</x:v>
      </x:c>
      <x:c r="D13" s="2" t="str">
        <x:v>Reviewer_A</x:v>
      </x:c>
      <x:c r="E13" s="2" t="str">
        <x:v>Reviewer_A</x:v>
      </x:c>
      <x:c r="F13" s="2" t="str">
        <x:v>S06-T01</x:v>
      </x:c>
      <x:c r="G13" s="2" t="str">
        <x:v>issue-to-commit link recovery</x:v>
      </x:c>
      <x:c r="H13" s="2" t="str">
        <x:v>traceability link recovery</x:v>
      </x:c>
      <x:c r="I13" s="2" t="str">
        <x:v>issue</x:v>
      </x:c>
      <x:c r="J13" s="2" t="str">
        <x:v>issue</x:v>
      </x:c>
      <x:c r="K13" s="2" t="str">
        <x:v>commit</x:v>
      </x:c>
      <x:c r="L13" s="2" t="str">
        <x:v>commit</x:v>
      </x:c>
      <x:c r="M13" s="2" t="str">
        <x:v>issue -&gt; commit</x:v>
      </x:c>
      <x:c r="N13" s="2" t="str">
        <x:v>maintenance</x:v>
      </x:c>
      <x:c r="O13" s="2" t="str">
        <x:v>software engineering</x:v>
      </x:c>
      <x:c r="P13" s="2" t="str">
        <x:v>multiple open-source projects (Apache/Jita, GitHub)</x:v>
      </x:c>
      <x:c r="Q13" s="2" t="str">
        <x:v>Academic</x:v>
      </x:c>
      <x:c r="R13" s="2" t="str">
        <x:v>NR</x:v>
      </x:c>
      <x:c r="S13" s="6" t="str">
        <x:v>给定一个问题URL和Git仓库链接，LLM代理通过按需函数调用访问项目数据，自主找到解决问题的提交并返回其哈希值。</x:v>
      </x:c>
      <x:c r="T13" s="6" t="str">
        <x:v>返回一个提交哈希值，该值被视为解决问题的最终提交。</x:v>
      </x:c>
      <x:c r="U13" s="6" t="str">
        <x:v>p. 2; Section I</x:v>
      </x:c>
      <x:c r="V13" s="6" t="str">
        <x:v>Given the issue URL and a link to the G IT repository, LinkAnchor grants the LLM (e.g., chatgpt-4o-nano in this work) on-demand access to various project data sources, such as the commit history, issue threads, and codebase, via specialized function calls, without exceeding its token window. Through iterative communication with the LLM, LinkAnchor can identify the commit that resolves the issue and return its commit hash.</x:v>
      </x:c>
      <x:c r="W13" s="6" t="str">
        <x:v>任务是将问题链接到解决提交，代理动态访问数据并返回单个提交哈希。</x:v>
      </x:c>
      <x:c r="X13" s="2" t="str">
        <x:v>Accepted</x:v>
      </x:c>
      <x:c r="Y13" s="6" t="str">
        <x:v>NA</x:v>
      </x:c>
    </x:row>
    <x:row r="14" ht="76" customHeight="1">
      <x:c r="A14" s="2" t="str">
        <x:v>S07-TASK-R01</x:v>
      </x:c>
      <x:c r="B14" s="2" t="str">
        <x:v>S07</x:v>
      </x:c>
      <x:c r="C14" s="2" t="str">
        <x:v>merged_0110</x:v>
      </x:c>
      <x:c r="D14" s="2" t="str">
        <x:v>Reviewer_A</x:v>
      </x:c>
      <x:c r="E14" s="2" t="str">
        <x:v>Reviewer_A</x:v>
      </x:c>
      <x:c r="F14" s="2" t="str">
        <x:v>S07-T01</x:v>
      </x:c>
      <x:c r="G14" s="2" t="str">
        <x:v>automatically generating trace links between requirements and manual system-level tests</x:v>
      </x:c>
      <x:c r="H14" s="2" t="str">
        <x:v>traceability link establishment</x:v>
      </x:c>
      <x:c r="I14" s="2" t="str">
        <x:v>requirements</x:v>
      </x:c>
      <x:c r="J14" s="2" t="str">
        <x:v>requirement</x:v>
      </x:c>
      <x:c r="K14" s="2" t="str">
        <x:v>test cases</x:v>
      </x:c>
      <x:c r="L14" s="2" t="str">
        <x:v>test case</x:v>
      </x:c>
      <x:c r="M14" s="2" t="str">
        <x:v>requirement -&gt; test case</x:v>
      </x:c>
      <x:c r="N14" s="2" t="str">
        <x:v>cross-lifecycle</x:v>
      </x:c>
      <x:c r="O14" s="2" t="str">
        <x:v>Bluetooth (BTHS), energy (GBGE)</x:v>
      </x:c>
      <x:c r="P14" s="2" t="str">
        <x:v>BTHS and GBGE datasets</x:v>
      </x:c>
      <x:c r="Q14" s="2" t="str">
        <x:v>Mixed</x:v>
      </x:c>
      <x:c r="R14" s="2" t="str">
        <x:v>Test Scouts Sweden AB, Göteborg Energi</x:v>
      </x:c>
      <x:c r="S14" s="6" t="str">
        <x:v>利用LLM自动在需求与系统级测试用例之间建立追溯链接</x:v>
      </x:c>
      <x:c r="T14" s="6" t="str">
        <x:v>一个包含需求ID与对应测试ID的追溯报告</x:v>
      </x:c>
      <x:c r="U14" s="6" t="str">
        <x:v>p. 1; Abstract</x:v>
      </x:c>
      <x:c r="V14" s="6" t="str">
        <x:v>automatically generating trace links between requirements and manual system-level tests</x:v>
      </x:c>
      <x:c r="W14" s="6" t="str">
        <x:v>任务明确为需求到测试的链接生成</x:v>
      </x:c>
      <x:c r="X14" s="2" t="str">
        <x:v>Accepted</x:v>
      </x:c>
      <x:c r="Y14" s="6" t="str">
        <x:v>NA</x:v>
      </x:c>
    </x:row>
    <x:row r="15" ht="76" customHeight="1">
      <x:c r="A15" s="2" t="str">
        <x:v>S08-TASK-R01</x:v>
      </x:c>
      <x:c r="B15" s="2" t="str">
        <x:v>S08</x:v>
      </x:c>
      <x:c r="C15" s="2" t="str">
        <x:v>merged_0256</x:v>
      </x:c>
      <x:c r="D15" s="2" t="str">
        <x:v>Reviewer_A</x:v>
      </x:c>
      <x:c r="E15" s="2" t="str">
        <x:v>Reviewer_A</x:v>
      </x:c>
      <x:c r="F15" s="2" t="str">
        <x:v>S08-T01</x:v>
      </x:c>
      <x:c r="G15" s="2" t="str">
        <x:v>assessing requirements coverage</x:v>
      </x:c>
      <x:c r="H15" s="2" t="str">
        <x:v>traceability link validation</x:v>
      </x:c>
      <x:c r="I15" s="2" t="str">
        <x:v>high-level requirements (HLR)</x:v>
      </x:c>
      <x:c r="J15" s="2" t="str">
        <x:v>requirement</x:v>
      </x:c>
      <x:c r="K15" s="2" t="str">
        <x:v>low-level requirements (LLR)</x:v>
      </x:c>
      <x:c r="L15" s="2" t="str">
        <x:v>requirement</x:v>
      </x:c>
      <x:c r="M15" s="2" t="str">
        <x:v>HLR -&gt; LLR (coverage)</x:v>
      </x:c>
      <x:c r="N15" s="2" t="str">
        <x:v>requirements</x:v>
      </x:c>
      <x:c r="O15" s="2" t="str">
        <x:v>multiple safety-critical and non-safety-critical domains</x:v>
      </x:c>
      <x:c r="P15" s="2" t="str">
        <x:v>CM1, CCHIT, GANTT, IP, WARC</x:v>
      </x:c>
      <x:c r="Q15" s="2" t="str">
        <x:v>Academic</x:v>
      </x:c>
      <x:c r="R15" s="2" t="str">
        <x:v>NA</x:v>
      </x:c>
      <x:c r="S15" s="6" t="str">
        <x:v>使用GPT模型判断一组LLR是否充分覆盖对应的HLR，即验证追溯链接的完整性。</x:v>
      </x:c>
      <x:c r="T15" s="6" t="str">
        <x:v>Yes/No判断及可选解释</x:v>
      </x:c>
      <x:c r="U15" s="6" t="str">
        <x:v>p. 1; abstract</x:v>
      </x:c>
      <x:c r="V15" s="6" t="str">
        <x:v>we employed GPT-3.5 and GPT-4 to analyze requirements from five publicly accessible data sets, determining their ability to detect if low-level requirements sufficiently address the corresponding high-level requirement.</x:v>
      </x:c>
      <x:c r="W15" s="6" t="str">
        <x:v>任务为基于LLM的覆盖验证。</x:v>
      </x:c>
      <x:c r="X15" s="2" t="str">
        <x:v>Accepted</x:v>
      </x:c>
      <x:c r="Y15" s="6" t="str">
        <x:v>NA</x:v>
      </x:c>
    </x:row>
    <x:row r="16" ht="76" customHeight="1">
      <x:c r="A16" s="2" t="str">
        <x:v>S09-TASK-R01</x:v>
      </x:c>
      <x:c r="B16" s="2" t="str">
        <x:v>S09</x:v>
      </x:c>
      <x:c r="C16" s="2" t="str">
        <x:v>merged_1114-v1</x:v>
      </x:c>
      <x:c r="D16" s="2" t="str">
        <x:v>Reviewer_A</x:v>
      </x:c>
      <x:c r="E16" s="2" t="str">
        <x:v>Reviewer_A</x:v>
      </x:c>
      <x:c r="F16" s="2" t="str">
        <x:v>S09-T01</x:v>
      </x:c>
      <x:c r="G16" s="2" t="str">
        <x:v>traceability link generation</x:v>
      </x:c>
      <x:c r="H16" s="2" t="str">
        <x:v>traceability link generation</x:v>
      </x:c>
      <x:c r="I16" s="2" t="str">
        <x:v>System Requirements, Software Requirements, Components, Test Specifications</x:v>
      </x:c>
      <x:c r="J16" s="2" t="str">
        <x:v>other</x:v>
      </x:c>
      <x:c r="K16" s="2" t="str">
        <x:v>System Requirements, Software Requirements, Components, Test Specifications</x:v>
      </x:c>
      <x:c r="L16" s="2" t="str">
        <x:v>other</x:v>
      </x:c>
      <x:c r="M16" s="2" t="str">
        <x:v>REF_BY (SysReq→SwReq), IMP_BY (SwReq→Comp), VER_BY (SwReq→TestSpec)</x:v>
      </x:c>
      <x:c r="N16" s="2" t="str">
        <x:v>cross-lifecycle</x:v>
      </x:c>
      <x:c r="O16" s="2" t="str">
        <x:v>automotive software engineering</x:v>
      </x:c>
      <x:c r="P16" s="2" t="str">
        <x:v>Automotive software artifacts (535 artifacts, 6 subsystems)</x:v>
      </x:c>
      <x:c r="Q16" s="2" t="str">
        <x:v>Academic</x:v>
      </x:c>
      <x:c r="R16" s="2" t="str">
        <x:v>Automotive industry (CairoMotive)</x:v>
      </x:c>
      <x:c r="S16" s="6" t="str">
        <x:v>使用两阶段流水线（语义检索+LLM多标准分析）生成系统需求、软件需求、组件、测试规格之间的可追溯链接。</x:v>
      </x:c>
      <x:c r="T16" s="6" t="str">
        <x:v>带有置信度评分和自然语言理由的可追溯链接边，存储于知识图谱中。</x:v>
      </x:c>
      <x:c r="U16" s="6" t="str">
        <x:v>p. 3; Section III-D</x:v>
      </x:c>
      <x:c r="V16" s="6" t="str">
        <x:v>Traceability links are generated through a two-stage process combining semantic retrieval with LLM-based multi-criteria reasoning.</x:v>
      </x:c>
      <x:c r="W16" s="6" t="str">
        <x:v>该任务实现多类型制品间的可追溯链接自动生成，是核心ST活动。</x:v>
      </x:c>
      <x:c r="X16" s="2" t="str">
        <x:v>Accepted</x:v>
      </x:c>
      <x:c r="Y16" s="6" t="str">
        <x:v>NA</x:v>
      </x:c>
    </x:row>
    <x:row r="17" ht="76" customHeight="1">
      <x:c r="A17" s="2" t="str">
        <x:v>S09-TASK-R02</x:v>
      </x:c>
      <x:c r="B17" s="2" t="str">
        <x:v>S09</x:v>
      </x:c>
      <x:c r="C17" s="2" t="str">
        <x:v>merged_1114-v1</x:v>
      </x:c>
      <x:c r="D17" s="2" t="str">
        <x:v>Reviewer_A</x:v>
      </x:c>
      <x:c r="E17" s="2" t="str">
        <x:v>Reviewer_A</x:v>
      </x:c>
      <x:c r="F17" s="2" t="str">
        <x:v>S09-T02</x:v>
      </x:c>
      <x:c r="G17" s="2" t="str">
        <x:v>conflict detection (divergence and cross-cluster ambiguity)</x:v>
      </x:c>
      <x:c r="H17" s="2" t="str">
        <x:v>traceability link validation</x:v>
      </x:c>
      <x:c r="I17" s="2" t="str">
        <x:v>System Requirements</x:v>
      </x:c>
      <x:c r="J17" s="2" t="str">
        <x:v>requirement</x:v>
      </x:c>
      <x:c r="K17" s="2" t="str">
        <x:v>Software Requirements</x:v>
      </x:c>
      <x:c r="L17" s="2" t="str">
        <x:v>requirement</x:v>
      </x:c>
      <x:c r="M17" s="2" t="str">
        <x:v>System Requirement → Software Requirement (REF_BY)</x:v>
      </x:c>
      <x:c r="N17" s="2" t="str">
        <x:v>requirements</x:v>
      </x:c>
      <x:c r="O17" s="2" t="str">
        <x:v>automotive</x:v>
      </x:c>
      <x:c r="P17" s="2" t="str">
        <x:v>Automotive software artifacts (535 artifacts, 6 subsystems)</x:v>
      </x:c>
      <x:c r="Q17" s="2" t="str">
        <x:v>Academic</x:v>
      </x:c>
      <x:c r="R17" s="2" t="str">
        <x:v>Automotive industry (CairoMotive)</x:v>
      </x:c>
      <x:c r="S17" s="6" t="str">
        <x:v>检测系统需求与软件需求之间可追溯链接中的置信度分歧和跨集群歧义冲突，并将其物化为知识图谱中的冲突节点。</x:v>
      </x:c>
      <x:c r="T17" s="6" t="str">
        <x:v>冲突节点和AFFECTS边，记录冲突类型、严重程度和解决状态。</x:v>
      </x:c>
      <x:c r="U17" s="6" t="str">
        <x:v>p. 4; Section III-F</x:v>
      </x:c>
      <x:c r="V17" s="6" t="str">
        <x:v>The co-existence of derivation-time and validation-time assessments enables structured conflict detection. Two categories of conflict are identified.</x:v>
      </x:c>
      <x:c r="W17" s="6" t="str">
        <x:v>验证链接的正确性和一致性，属于可追溯验证任务。</x:v>
      </x:c>
      <x:c r="X17" s="2" t="str">
        <x:v>Accepted</x:v>
      </x:c>
      <x:c r="Y17" s="6" t="str">
        <x:v>NA</x:v>
      </x:c>
    </x:row>
    <x:row r="18" ht="76" customHeight="1">
      <x:c r="A18" s="2" t="str">
        <x:v>S09-TASK-R03</x:v>
      </x:c>
      <x:c r="B18" s="2" t="str">
        <x:v>S09</x:v>
      </x:c>
      <x:c r="C18" s="2" t="str">
        <x:v>merged_1114-v1</x:v>
      </x:c>
      <x:c r="D18" s="2" t="str">
        <x:v>Reviewer_A</x:v>
      </x:c>
      <x:c r="E18" s="2" t="str">
        <x:v>Reviewer_A</x:v>
      </x:c>
      <x:c r="F18" s="2" t="str">
        <x:v>S09-T03</x:v>
      </x:c>
      <x:c r="G18" s="2" t="str">
        <x:v>consistency protocol</x:v>
      </x:c>
      <x:c r="H18" s="2" t="str">
        <x:v>traceability maintenance</x:v>
      </x:c>
      <x:c r="I18" s="2" t="str">
        <x:v>Knowledge Graph (all artifact types)</x:v>
      </x:c>
      <x:c r="J18" s="2" t="str">
        <x:v>other</x:v>
      </x:c>
      <x:c r="K18" s="2" t="str">
        <x:v>Knowledge Graph (all artifact types)</x:v>
      </x:c>
      <x:c r="L18" s="2" t="str">
        <x:v>other</x:v>
      </x:c>
      <x:c r="M18" s="2" t="str">
        <x:v>various</x:v>
      </x:c>
      <x:c r="N18" s="2" t="str">
        <x:v>cross-lifecycle</x:v>
      </x:c>
      <x:c r="O18" s="2" t="str">
        <x:v>automotive</x:v>
      </x:c>
      <x:c r="P18" s="2" t="str">
        <x:v>Automotive software artifacts (535 artifacts, 6 subsystems)</x:v>
      </x:c>
      <x:c r="Q18" s="2" t="str">
        <x:v>Academic</x:v>
      </x:c>
      <x:c r="R18" s="2" t="str">
        <x:v>Automotive industry (CairoMotive)</x:v>
      </x:c>
      <x:c r="S18" s="6" t="str">
        <x:v>通过置信度阈值门控、分歧检测和冲突解决，维护多版本知识图谱的结构一致性和可追溯性。</x:v>
      </x:c>
      <x:c r="T18" s="6" t="str">
        <x:v>经滤波和冲突消解后的知识图谱，以及冲突分析报告。</x:v>
      </x:c>
      <x:c r="U18" s="6" t="str">
        <x:v>p. 4; Fig. 1 caption</x:v>
      </x:c>
      <x:c r="V18" s="6" t="str">
        <x:v>The consistency protocol applies confidence threshold gating, divergence detection between cseed and cval, and conflict materialization.</x:v>
      </x:c>
      <x:c r="W18" s="6" t="str">
        <x:v>该任务是维持知识图谱可信度的关键维护活动。</x:v>
      </x:c>
      <x:c r="X18" s="2" t="str">
        <x:v>Accepted</x:v>
      </x:c>
      <x:c r="Y18" s="6" t="str">
        <x:v>NA</x:v>
      </x:c>
    </x:row>
    <x:row r="19" ht="76" customHeight="1">
      <x:c r="A19" s="2" t="str">
        <x:v>S10-TASK-R01</x:v>
      </x:c>
      <x:c r="B19" s="2" t="str">
        <x:v>S10</x:v>
      </x:c>
      <x:c r="C19" s="2" t="str">
        <x:v>merged_1119-v2</x:v>
      </x:c>
      <x:c r="D19" s="2" t="str">
        <x:v>Reviewer_A</x:v>
      </x:c>
      <x:c r="E19" s="2" t="str">
        <x:v>Reviewer_A</x:v>
      </x:c>
      <x:c r="F19" s="2" t="str">
        <x:v>S10-T01</x:v>
      </x:c>
      <x:c r="G19" s="2" t="str">
        <x:v>issue-commit link recovery</x:v>
      </x:c>
      <x:c r="H19" s="2" t="str">
        <x:v>traceability link recovery</x:v>
      </x:c>
      <x:c r="I19" s="2" t="str">
        <x:v>issue reports</x:v>
      </x:c>
      <x:c r="J19" s="2" t="str">
        <x:v>issue</x:v>
      </x:c>
      <x:c r="K19" s="2" t="str">
        <x:v>commits</x:v>
      </x:c>
      <x:c r="L19" s="2" t="str">
        <x:v>commit</x:v>
      </x:c>
      <x:c r="M19" s="2" t="str">
        <x:v>issue -&gt; commit</x:v>
      </x:c>
      <x:c r="N19" s="2" t="str">
        <x:v>maintenance</x:v>
      </x:c>
      <x:c r="O19" s="2" t="str">
        <x:v>Open-source software development</x:v>
      </x:c>
      <x:c r="P19" s="2" t="str">
        <x:v>Multiple: EasyLink dataset, BTLink dataset, Apache dataset</x:v>
      </x:c>
      <x:c r="Q19" s="2" t="str">
        <x:v>Academic</x:v>
      </x:c>
      <x:c r="R19" s="2" t="str">
        <x:v>NA</x:v>
      </x:c>
      <x:c r="S19" s="6" t="str">
        <x:v>给定一个issue报告，从版本库中自动恢复与其关联的修复性提交链接。</x:v>
      </x:c>
      <x:c r="T19" s="6" t="str">
        <x:v>按相关性排序的候选提交列表（Top-K），或二元分类链接结果。</x:v>
      </x:c>
      <x:c r="U19" s="6" t="str">
        <x:v>p. 1; Abstract</x:v>
      </x:c>
      <x:c r="V19" s="6" t="str">
        <x:v>Linking issue reports to the commits that resolve them is essential for software traceability, maintenance, and evolution.</x:v>
      </x:c>
      <x:c r="W19" s="6" t="str">
        <x:v>明确的任务定义，全文围绕此展开检索与重排序两阶段管道。</x:v>
      </x:c>
      <x:c r="X19" s="2" t="str">
        <x:v>Accepted</x:v>
      </x:c>
      <x:c r="Y19" s="6" t="str">
        <x:v>NA</x:v>
      </x:c>
    </x:row>
    <x:row r="20" ht="76" customHeight="1">
      <x:c r="A20" s="2" t="str">
        <x:v>S11-TASK-R01</x:v>
      </x:c>
      <x:c r="B20" s="2" t="str">
        <x:v>S11</x:v>
      </x:c>
      <x:c r="C20" s="2" t="str">
        <x:v>merged_1121-v1</x:v>
      </x:c>
      <x:c r="D20" s="2" t="str">
        <x:v>Reviewer_A</x:v>
      </x:c>
      <x:c r="E20" s="2" t="str">
        <x:v>Reviewer_A</x:v>
      </x:c>
      <x:c r="F20" s="2" t="str">
        <x:v>S11-T01</x:v>
      </x:c>
      <x:c r="G20" s="2" t="str">
        <x:v>trace link recovery</x:v>
      </x:c>
      <x:c r="H20" s="2" t="str">
        <x:v>traceability link recovery</x:v>
      </x:c>
      <x:c r="I20" s="2" t="str">
        <x:v>natural-language requirement statements</x:v>
      </x:c>
      <x:c r="J20" s="2" t="str">
        <x:v>requirement</x:v>
      </x:c>
      <x:c r="K20" s="2" t="str">
        <x:v>source code entities (e.g., files, classes, or methods)</x:v>
      </x:c>
      <x:c r="L20" s="2" t="str">
        <x:v>source code</x:v>
      </x:c>
      <x:c r="M20" s="2" t="str">
        <x:v>requirement -&gt; code</x:v>
      </x:c>
      <x:c r="N20" s="2" t="str">
        <x:v>cross-lifecycle</x:v>
      </x:c>
      <x:c r="O20" s="2" t="str">
        <x:v>multiple domains (medical, tourism, sensor, administration, library)</x:v>
      </x:c>
      <x:c r="P20" s="2" t="str">
        <x:v>iTrust, eTour, SMOS, eANCI, RETRO.NET</x:v>
      </x:c>
      <x:c r="Q20" s="2" t="str">
        <x:v>Academic</x:v>
      </x:c>
      <x:c r="R20" s="2" t="str">
        <x:v>NA</x:v>
      </x:c>
      <x:c r="S20" s="6" t="str">
        <x:v>从需求集合和代码集合中恢复出近似真实链接集合L*的二元链接或排序列表。</x:v>
      </x:c>
      <x:c r="T20" s="6" t="str">
        <x:v>带置信度的预测链接集合L̂ = {(r,c) | s(r,c) ≥ θ}。</x:v>
      </x:c>
      <x:c r="U20" s="6" t="str">
        <x:v>p. 2; Section II-A</x:v>
      </x:c>
      <x:c r="V20" s="6" t="str">
        <x:v>and a set of code entities C = c1,...,cn, the goal is to recover a trace link set L ⊆ R × C that approximates a</x:v>
      </x:c>
      <x:c r="W20" s="6" t="str">
        <x:v>任务目标为近似恢复真实需求-代码链接集合。</x:v>
      </x:c>
      <x:c r="X20" s="2" t="str">
        <x:v>Accepted</x:v>
      </x:c>
      <x:c r="Y20" s="6" t="str">
        <x:v>NA</x:v>
      </x:c>
    </x:row>
    <x:row r="21" ht="76" customHeight="1">
      <x:c r="A21" s="2" t="str">
        <x:v>S12-TASK-R01</x:v>
      </x:c>
      <x:c r="B21" s="2" t="str">
        <x:v>S12</x:v>
      </x:c>
      <x:c r="C21" s="2" t="str">
        <x:v>merged_1133</x:v>
      </x:c>
      <x:c r="D21" s="2" t="str">
        <x:v>Reviewer_A</x:v>
      </x:c>
      <x:c r="E21" s="2" t="str">
        <x:v>Reviewer_A</x:v>
      </x:c>
      <x:c r="F21" s="2" t="str">
        <x:v>S12-T01</x:v>
      </x:c>
      <x:c r="G21" s="2" t="str">
        <x:v>detecting trace links between textual artifacts</x:v>
      </x:c>
      <x:c r="H21" s="2" t="str">
        <x:v>traceability link recovery</x:v>
      </x:c>
      <x:c r="I21" s="2" t="str">
        <x:v>High-level requirement</x:v>
      </x:c>
      <x:c r="J21" s="2" t="str">
        <x:v>requirement</x:v>
      </x:c>
      <x:c r="K21" s="2" t="str">
        <x:v>Design element</x:v>
      </x:c>
      <x:c r="L21" s="2" t="str">
        <x:v>design</x:v>
      </x:c>
      <x:c r="M21" s="2" t="str">
        <x:v>requirement -&gt; design</x:v>
      </x:c>
      <x:c r="N21" s="2" t="str">
        <x:v>design</x:v>
      </x:c>
      <x:c r="O21" s="2" t="str">
        <x:v>aerospace</x:v>
      </x:c>
      <x:c r="P21" s="2" t="str">
        <x:v>CM1</x:v>
      </x:c>
      <x:c r="Q21" s="2" t="str">
        <x:v>Academic</x:v>
      </x:c>
      <x:c r="R21" s="2" t="str">
        <x:v>NA</x:v>
      </x:c>
      <x:c r="S21" s="6" t="str">
        <x:v>检测NASA CM1数据集中高级需求与设计元素之间的追溯链接。</x:v>
      </x:c>
      <x:c r="T21" s="6" t="str">
        <x:v>LLM输出Yes/No指示是否存在直接满足关系。</x:v>
      </x:c>
      <x:c r="U21" s="6" t="str">
        <x:v>p. 17; Section 5.1</x:v>
      </x:c>
      <x:c r="V21" s="6" t="str">
        <x:v>It includes 22 high-level requirements and 53 design elements from a NASA scientific instrument, with a traceability matrix containing 45 true links out of 1,166 possible links.</x:v>
      </x:c>
      <x:c r="W21" s="6" t="str">
        <x:v>该任务旨在恢复航空航天系统中需求与设计元素之间的追溯链接，是典型的软件追溯任务。</x:v>
      </x:c>
      <x:c r="X21" s="2" t="str">
        <x:v>Accepted</x:v>
      </x:c>
      <x:c r="Y21" s="6" t="str">
        <x:v>NR</x:v>
      </x:c>
    </x:row>
    <x:row r="22" ht="76" customHeight="1">
      <x:c r="A22" s="2" t="str">
        <x:v>S12-TASK-R02</x:v>
      </x:c>
      <x:c r="B22" s="2" t="str">
        <x:v>S12</x:v>
      </x:c>
      <x:c r="C22" s="2" t="str">
        <x:v>merged_1133</x:v>
      </x:c>
      <x:c r="D22" s="2" t="str">
        <x:v>Reviewer_A</x:v>
      </x:c>
      <x:c r="E22" s="2" t="str">
        <x:v>Reviewer_A</x:v>
      </x:c>
      <x:c r="F22" s="2" t="str">
        <x:v>S12-T02</x:v>
      </x:c>
      <x:c r="G22" s="2" t="str">
        <x:v>detecting trace links</x:v>
      </x:c>
      <x:c r="H22" s="2" t="str">
        <x:v>traceability link recovery</x:v>
      </x:c>
      <x:c r="I22" s="2" t="str">
        <x:v>Use case</x:v>
      </x:c>
      <x:c r="J22" s="2" t="str">
        <x:v>requirement</x:v>
      </x:c>
      <x:c r="K22" s="2" t="str">
        <x:v>Test case</x:v>
      </x:c>
      <x:c r="L22" s="2" t="str">
        <x:v>test case</x:v>
      </x:c>
      <x:c r="M22" s="2" t="str">
        <x:v>use case -&gt; test case</x:v>
      </x:c>
      <x:c r="N22" s="2" t="str">
        <x:v>testing</x:v>
      </x:c>
      <x:c r="O22" s="2" t="str">
        <x:v>healthcare</x:v>
      </x:c>
      <x:c r="P22" s="2" t="str">
        <x:v>EasyClinic UC-TC</x:v>
      </x:c>
      <x:c r="Q22" s="2" t="str">
        <x:v>Academic</x:v>
      </x:c>
      <x:c r="R22" s="2" t="str">
        <x:v>NA</x:v>
      </x:c>
      <x:c r="S22" s="6" t="str">
        <x:v>检测EasyClinic用例与测试用例之间的追溯链接。</x:v>
      </x:c>
      <x:c r="T22" s="6" t="str">
        <x:v>LLM输出Yes/No指示测试用例是否测试了该用例。</x:v>
      </x:c>
      <x:c r="U22" s="6" t="str">
        <x:v>p. 17; Section 5.1</x:v>
      </x:c>
      <x:c r="V22" s="6" t="str">
        <x:v>EasyClinic: Use Cases to Test Cases (UC–TC) and Use Cases to Interaction Diagrams (UC–ID) tasks</x:v>
      </x:c>
      <x:c r="W22" s="6" t="str">
        <x:v>该任务关注医疗领域的用例到测试用例的追溯，是测试阶段的典型任务。</x:v>
      </x:c>
      <x:c r="X22" s="2" t="str">
        <x:v>Accepted</x:v>
      </x:c>
      <x:c r="Y22" s="6" t="str">
        <x:v>NR</x:v>
      </x:c>
    </x:row>
    <x:row r="23" ht="76" customHeight="1">
      <x:c r="A23" s="2" t="str">
        <x:v>S12-TASK-R03</x:v>
      </x:c>
      <x:c r="B23" s="2" t="str">
        <x:v>S12</x:v>
      </x:c>
      <x:c r="C23" s="2" t="str">
        <x:v>merged_1133</x:v>
      </x:c>
      <x:c r="D23" s="2" t="str">
        <x:v>Reviewer_A</x:v>
      </x:c>
      <x:c r="E23" s="2" t="str">
        <x:v>Reviewer_A</x:v>
      </x:c>
      <x:c r="F23" s="2" t="str">
        <x:v>S12-T03</x:v>
      </x:c>
      <x:c r="G23" s="2" t="str">
        <x:v>detecting trace links</x:v>
      </x:c>
      <x:c r="H23" s="2" t="str">
        <x:v>traceability link recovery</x:v>
      </x:c>
      <x:c r="I23" s="2" t="str">
        <x:v>Use case</x:v>
      </x:c>
      <x:c r="J23" s="2" t="str">
        <x:v>requirement</x:v>
      </x:c>
      <x:c r="K23" s="2" t="str">
        <x:v>Interaction diagram</x:v>
      </x:c>
      <x:c r="L23" s="2" t="str">
        <x:v>design</x:v>
      </x:c>
      <x:c r="M23" s="2" t="str">
        <x:v>use case -&gt; interaction diagram</x:v>
      </x:c>
      <x:c r="N23" s="2" t="str">
        <x:v>design</x:v>
      </x:c>
      <x:c r="O23" s="2" t="str">
        <x:v>healthcare</x:v>
      </x:c>
      <x:c r="P23" s="2" t="str">
        <x:v>EasyClinic UC-ID</x:v>
      </x:c>
      <x:c r="Q23" s="2" t="str">
        <x:v>Academic</x:v>
      </x:c>
      <x:c r="R23" s="2" t="str">
        <x:v>NA</x:v>
      </x:c>
      <x:c r="S23" s="6" t="str">
        <x:v>检测EasyClinic用例与交互图之间的追溯链接。</x:v>
      </x:c>
      <x:c r="T23" s="6" t="str">
        <x:v>LLM输出Yes/No指示交互图是否实现了用例。</x:v>
      </x:c>
      <x:c r="U23" s="6" t="str">
        <x:v>p. 17; Section 5.1</x:v>
      </x:c>
      <x:c r="V23" s="6" t="str">
        <x:v>EasyClinic: Use Cases to Test Cases (UC–TC) and Use Cases to Interaction Diagrams (UC–ID) tasks</x:v>
      </x:c>
      <x:c r="W23" s="6" t="str">
        <x:v>该任务关注用例到设计模型的追溯，是设计阶段的典型任务。</x:v>
      </x:c>
      <x:c r="X23" s="2" t="str">
        <x:v>Accepted</x:v>
      </x:c>
      <x:c r="Y23" s="6" t="str">
        <x:v>NR</x:v>
      </x:c>
    </x:row>
    <x:row r="24" ht="76" customHeight="1">
      <x:c r="A24" s="2" t="str">
        <x:v>S12-TASK-R04</x:v>
      </x:c>
      <x:c r="B24" s="2" t="str">
        <x:v>S12</x:v>
      </x:c>
      <x:c r="C24" s="2" t="str">
        <x:v>merged_1133</x:v>
      </x:c>
      <x:c r="D24" s="2" t="str">
        <x:v>Reviewer_A</x:v>
      </x:c>
      <x:c r="E24" s="2" t="str">
        <x:v>Reviewer_A</x:v>
      </x:c>
      <x:c r="F24" s="2" t="str">
        <x:v>S12-T04</x:v>
      </x:c>
      <x:c r="G24" s="2" t="str">
        <x:v>detecting trace links</x:v>
      </x:c>
      <x:c r="H24" s="2" t="str">
        <x:v>traceability link recovery</x:v>
      </x:c>
      <x:c r="I24" s="2" t="str">
        <x:v>Requirement</x:v>
      </x:c>
      <x:c r="J24" s="2" t="str">
        <x:v>requirement</x:v>
      </x:c>
      <x:c r="K24" s="2" t="str">
        <x:v>Regulation</x:v>
      </x:c>
      <x:c r="L24" s="2" t="str">
        <x:v>regulation</x:v>
      </x:c>
      <x:c r="M24" s="2" t="str">
        <x:v>requirement -&gt; regulation</x:v>
      </x:c>
      <x:c r="N24" s="2" t="str">
        <x:v>compliance and assurance</x:v>
      </x:c>
      <x:c r="O24" s="2" t="str">
        <x:v>healthcare</x:v>
      </x:c>
      <x:c r="P24" s="2" t="str">
        <x:v>CCHIT</x:v>
      </x:c>
      <x:c r="Q24" s="2" t="str">
        <x:v>Academic</x:v>
      </x:c>
      <x:c r="R24" s="2" t="str">
        <x:v>NA</x:v>
      </x:c>
      <x:c r="S24" s="6" t="str">
        <x:v>检测CCHIT数据集中软件需求与HIPAA法规之间的追溯链接。</x:v>
      </x:c>
      <x:c r="T24" s="6" t="str">
        <x:v>LLM输出Yes/No指示需求是否满足法规。</x:v>
      </x:c>
      <x:c r="U24" s="6" t="str">
        <x:v>p. 18; Section 5.1</x:v>
      </x:c>
      <x:c r="V24" s="6" t="str">
        <x:v>other hand, maps software requirements to HIPAA (Health Insurance Portability and Accountability Act) regulations, which are mandated for all healthcare-related systems</x:v>
      </x:c>
      <x:c r="W24" s="6" t="str">
        <x:v>该任务涉及需求到法规的追溯，对合规性保证至关重要。</x:v>
      </x:c>
      <x:c r="X24" s="2" t="str">
        <x:v>Accepted</x:v>
      </x:c>
      <x:c r="Y24" s="6" t="str">
        <x:v>NR</x:v>
      </x:c>
    </x:row>
    <x:row r="25" ht="76" customHeight="1">
      <x:c r="A25" s="2" t="str">
        <x:v>S13-TASK-R01</x:v>
      </x:c>
      <x:c r="B25" s="2" t="str">
        <x:v>S13</x:v>
      </x:c>
      <x:c r="C25" s="2" t="str">
        <x:v>merged_1140</x:v>
      </x:c>
      <x:c r="D25" s="2" t="str">
        <x:v>Reviewer_A</x:v>
      </x:c>
      <x:c r="E25" s="2" t="str">
        <x:v>Reviewer_A</x:v>
      </x:c>
      <x:c r="F25" s="2" t="str">
        <x:v>S13-T01</x:v>
      </x:c>
      <x:c r="G25" s="2" t="str">
        <x:v>requirement-to-code traceability link recovery</x:v>
      </x:c>
      <x:c r="H25" s="2" t="str">
        <x:v>traceability link recovery</x:v>
      </x:c>
      <x:c r="I25" s="2" t="str">
        <x:v>requirements</x:v>
      </x:c>
      <x:c r="J25" s="2" t="str">
        <x:v>requirement</x:v>
      </x:c>
      <x:c r="K25" s="2" t="str">
        <x:v>source code</x:v>
      </x:c>
      <x:c r="L25" s="2" t="str">
        <x:v>source code</x:v>
      </x:c>
      <x:c r="M25" s="2" t="str">
        <x:v>requirement -&gt; source code</x:v>
      </x:c>
      <x:c r="N25" s="2" t="str">
        <x:v>cross-lifecycle</x:v>
      </x:c>
      <x:c r="O25" s="2" t="str">
        <x:v>multiple domains (healthcare, tourism, etc.)</x:v>
      </x:c>
      <x:c r="P25" s="2" t="str">
        <x:v>iTrust, eTour, EBT, RETRO.NET</x:v>
      </x:c>
      <x:c r="Q25" s="2" t="str">
        <x:v>Academic</x:v>
      </x:c>
      <x:c r="R25" s="2" t="str">
        <x:v>NR</x:v>
      </x:c>
      <x:c r="S25" s="6" t="str">
        <x:v>恢复自然语言需求与源代码之间的可追溯性链接，判断一个需求-代码对是否相关（二分类）。</x:v>
      </x:c>
      <x:c r="T25" s="6" t="str">
        <x:v>二进制分类标签（Related/Unrelated）</x:v>
      </x:c>
      <x:c r="U25" s="6" t="str">
        <x:v>p. 3; Section 1 Introduction</x:v>
      </x:c>
      <x:c r="V25" s="6" t="str">
        <x:v>this study focuses specifically on advancing RTLR techniques for requirement-to-code traceability.</x:v>
      </x:c>
      <x:c r="W25" s="6" t="str">
        <x:v>论文核心任务是需求到代码的可追溯性链接恢复，属于跨生命周期阶段的任务。</x:v>
      </x:c>
      <x:c r="X25" s="2" t="str">
        <x:v>Accepted</x:v>
      </x:c>
      <x:c r="Y25" s="6" t="str">
        <x:v>LLM仅用于数据增强阶段，不直接执行链接恢复；下游分类器基于增强数据训练。</x:v>
      </x:c>
    </x:row>
    <x:row r="26" ht="76" customHeight="1">
      <x:c r="A26" s="2" t="str">
        <x:v>S14-TASK-R01</x:v>
      </x:c>
      <x:c r="B26" s="2" t="str">
        <x:v>S14</x:v>
      </x:c>
      <x:c r="C26" s="2" t="str">
        <x:v>merged_1142-v1</x:v>
      </x:c>
      <x:c r="D26" s="2" t="str">
        <x:v>Reviewer_A</x:v>
      </x:c>
      <x:c r="E26" s="2" t="str">
        <x:v>Reviewer_A</x:v>
      </x:c>
      <x:c r="F26" s="2" t="str">
        <x:v>S14-T01</x:v>
      </x:c>
      <x:c r="G26" s="2" t="str">
        <x:v>requirements-to-code traceability link recovery</x:v>
      </x:c>
      <x:c r="H26" s="2" t="str">
        <x:v>traceability link recovery</x:v>
      </x:c>
      <x:c r="I26" s="2" t="str">
        <x:v>Requirements</x:v>
      </x:c>
      <x:c r="J26" s="2" t="str">
        <x:v>requirement</x:v>
      </x:c>
      <x:c r="K26" s="2" t="str">
        <x:v>Code</x:v>
      </x:c>
      <x:c r="L26" s="2" t="str">
        <x:v>source code</x:v>
      </x:c>
      <x:c r="M26" s="2" t="str">
        <x:v>Requirements -&gt; Code</x:v>
      </x:c>
      <x:c r="N26" s="2" t="str">
        <x:v>cross-lifecycle</x:v>
      </x:c>
      <x:c r="O26" s="2" t="str">
        <x:v>NR</x:v>
      </x:c>
      <x:c r="P26" s="2" t="str">
        <x:v>12 open-source projects (Albergate, Derby, Dronology, Drools, eAnci, Groovy, Infinispan, iTrust, Maven, Pig, Seam2, SMOS)</x:v>
      </x:c>
      <x:c r="Q26" s="2" t="str">
        <x:v>Academic</x:v>
      </x:c>
      <x:c r="R26" s="2" t="str">
        <x:v>NA</x:v>
      </x:c>
      <x:c r="S26" s="6" t="str">
        <x:v>从需求文档到源代码的TLR任务，判断需求与代码之间是否存在追溯链接。</x:v>
      </x:c>
      <x:c r="T26" s="6" t="str">
        <x:v>二元预测（是/否）</x:v>
      </x:c>
      <x:c r="U26" s="6" t="str">
        <x:v>p. 1; abstract</x:v>
      </x:c>
      <x:c r="V26" s="6" t="str">
        <x:v>We then evaluated our approach using the widely studied requirements-to-code TLR task, a representative case of NL-PL TLR.</x:v>
      </x:c>
      <x:c r="W26" s="6" t="str">
        <x:v>该任务是NL-PL TLR的典型代表，通过判断需求与代码之间的链接是否为真来恢复追溯性。</x:v>
      </x:c>
      <x:c r="X26" s="2" t="str">
        <x:v>Accepted</x:v>
      </x:c>
      <x:c r="Y26" s="6" t="str">
        <x:v>NR</x:v>
      </x:c>
    </x:row>
    <x:row r="27" ht="76" customHeight="1">
      <x:c r="A27" s="2" t="str">
        <x:v>S15-TASK-R01</x:v>
      </x:c>
      <x:c r="B27" s="2" t="str">
        <x:v>S15</x:v>
      </x:c>
      <x:c r="C27" s="2" t="str">
        <x:v>merged_1143</x:v>
      </x:c>
      <x:c r="D27" s="2" t="str">
        <x:v>Reviewer_A</x:v>
      </x:c>
      <x:c r="E27" s="2" t="str">
        <x:v>Reviewer_A</x:v>
      </x:c>
      <x:c r="F27" s="2" t="str">
        <x:v>S15-T01</x:v>
      </x:c>
      <x:c r="G27" s="2" t="str">
        <x:v>Goal extraction and traceability to source text</x:v>
      </x:c>
      <x:c r="H27" s="2" t="str">
        <x:v>traceability link establishment</x:v>
      </x:c>
      <x:c r="I27" s="2" t="str">
        <x:v>extracted goals</x:v>
      </x:c>
      <x:c r="J27" s="2" t="str">
        <x:v>requirement</x:v>
      </x:c>
      <x:c r="K27" s="2" t="str">
        <x:v>originating phrases in transcript</x:v>
      </x:c>
      <x:c r="L27" s="2" t="str">
        <x:v>documentation</x:v>
      </x:c>
      <x:c r="M27" s="2" t="str">
        <x:v>goal -&gt; source text</x:v>
      </x:c>
      <x:c r="N27" s="2" t="str">
        <x:v>requirements</x:v>
      </x:c>
      <x:c r="O27" s="2" t="str">
        <x:v>NR</x:v>
      </x:c>
      <x:c r="P27" s="2" t="str">
        <x:v>Interview Transcript Dataset</x:v>
      </x:c>
      <x:c r="Q27" s="2" t="str">
        <x:v>Academic</x:v>
      </x:c>
      <x:c r="R27" s="2" t="str">
        <x:v>NA</x:v>
      </x:c>
      <x:c r="S27" s="6" t="str">
        <x:v>从访谈记录中提取目标，并建立目标到原文来源短语的追溯链接。</x:v>
      </x:c>
      <x:c r="T27" s="6" t="str">
        <x:v>一个目标列表，每个目标带有其在记录中对应的一个或多个短语。</x:v>
      </x:c>
      <x:c r="U27" s="6" t="str">
        <x:v>p. 1; Section I, method overview (after Fig.1)</x:v>
      </x:c>
      <x:c r="V27" s="6" t="str">
        <x:v>extract goals from interviewer and stakeholder speech while maintaining traceability to the originating phrases in the speech turns.</x:v>
      </x:c>
      <x:c r="W27" s="6" t="str">
        <x:v>任务是从访谈记录中抽取目标并保持其与原文的追溯关系。</x:v>
      </x:c>
      <x:c r="X27" s="2" t="str">
        <x:v>Accepted</x:v>
      </x:c>
      <x:c r="Y27" s="6" t="str">
        <x:v>NA</x:v>
      </x:c>
    </x:row>
    <x:row r="28" ht="76" customHeight="1">
      <x:c r="A28" s="2" t="str">
        <x:v>S15-TASK-R02</x:v>
      </x:c>
      <x:c r="B28" s="2" t="str">
        <x:v>S15</x:v>
      </x:c>
      <x:c r="C28" s="2" t="str">
        <x:v>merged_1143</x:v>
      </x:c>
      <x:c r="D28" s="2" t="str">
        <x:v>Reviewer_A</x:v>
      </x:c>
      <x:c r="E28" s="2" t="str">
        <x:v>Reviewer_A</x:v>
      </x:c>
      <x:c r="F28" s="2" t="str">
        <x:v>S15-T02</x:v>
      </x:c>
      <x:c r="G28" s="2" t="str">
        <x:v>Goal model generation with refinement relationships</x:v>
      </x:c>
      <x:c r="H28" s="2" t="str">
        <x:v>traceability link generation</x:v>
      </x:c>
      <x:c r="I28" s="2" t="str">
        <x:v>extracted goals</x:v>
      </x:c>
      <x:c r="J28" s="2" t="str">
        <x:v>requirement</x:v>
      </x:c>
      <x:c r="K28" s="2" t="str">
        <x:v>goal model</x:v>
      </x:c>
      <x:c r="L28" s="2" t="str">
        <x:v>goal model</x:v>
      </x:c>
      <x:c r="M28" s="2" t="str">
        <x:v>extracted goals -&gt; goal model</x:v>
      </x:c>
      <x:c r="N28" s="2" t="str">
        <x:v>requirements</x:v>
      </x:c>
      <x:c r="O28" s="2" t="str">
        <x:v>NR</x:v>
      </x:c>
      <x:c r="P28" s="2" t="str">
        <x:v>Interview Transcript Dataset</x:v>
      </x:c>
      <x:c r="Q28" s="2" t="str">
        <x:v>Academic</x:v>
      </x:c>
      <x:c r="R28" s="2" t="str">
        <x:v>NA</x:v>
      </x:c>
      <x:c r="S28" s="6" t="str">
        <x:v>从提取的目标集合生成目标模型，包括推断目标间的精化关系。</x:v>
      </x:c>
      <x:c r="T28" s="6" t="str">
        <x:v>一个有向无环目标图，其中边表示精化关系。</x:v>
      </x:c>
      <x:c r="U28" s="6" t="str">
        <x:v>p. 1; Section I, method overview (step 3)</x:v>
      </x:c>
      <x:c r="V28" s="6" t="str">
        <x:v>the goal model, including refinement relationships, is inferred over the extracted goals</x:v>
      </x:c>
      <x:c r="W28" s="6" t="str">
        <x:v>任务是根据提取的目标推断精化关系并构建目标模型。</x:v>
      </x:c>
      <x:c r="X28" s="2" t="str">
        <x:v>Accepted</x:v>
      </x:c>
      <x:c r="Y28" s="6" t="str">
        <x:v>NA</x:v>
      </x:c>
    </x:row>
    <x:row r="29" ht="76" customHeight="1">
      <x:c r="A29" s="2" t="str">
        <x:v>S16-TASK-R01</x:v>
      </x:c>
      <x:c r="B29" s="2" t="str">
        <x:v>S16</x:v>
      </x:c>
      <x:c r="C29" s="2" t="str">
        <x:v>merged_1144</x:v>
      </x:c>
      <x:c r="D29" s="2" t="str">
        <x:v>Reviewer_A</x:v>
      </x:c>
      <x:c r="E29" s="2" t="str">
        <x:v>Reviewer_A</x:v>
      </x:c>
      <x:c r="F29" s="2" t="str">
        <x:v>S16-T01</x:v>
      </x:c>
      <x:c r="G29" s="2" t="str">
        <x:v>issue-commit linking</x:v>
      </x:c>
      <x:c r="H29" s="2" t="str">
        <x:v>traceability link recovery</x:v>
      </x:c>
      <x:c r="I29" s="2" t="str">
        <x:v>issues (bug reports)</x:v>
      </x:c>
      <x:c r="J29" s="2" t="str">
        <x:v>issue</x:v>
      </x:c>
      <x:c r="K29" s="2" t="str">
        <x:v>commits (fix commits)</x:v>
      </x:c>
      <x:c r="L29" s="2" t="str">
        <x:v>commit</x:v>
      </x:c>
      <x:c r="M29" s="2" t="str">
        <x:v>issue -&gt; commit</x:v>
      </x:c>
      <x:c r="N29" s="2" t="str">
        <x:v>maintenance</x:v>
      </x:c>
      <x:c r="O29" s="2" t="str">
        <x:v>software engineering</x:v>
      </x:c>
      <x:c r="P29" s="2" t="str">
        <x:v>20 open-source projects (Ambari, Calcite, Groovy, Ignite, Isis, Netbeans, Derby, Drools, Infinispan, Maven, Pig, Flask, Keras, Pgcli, Airflow, Arrow, Beam, Cassandra, Flink, Freemarker)</x:v>
      </x:c>
      <x:c r="Q29" s="2" t="str">
        <x:v>Academic</x:v>
      </x:c>
      <x:c r="R29" s="2" t="str">
        <x:v>Some authors from GovTech, but study is academic</x:v>
      </x:c>
      <x:c r="S29" s="6" t="str">
        <x:v>自动恢复issue与解决该issue的commit之间的链接关系。</x:v>
      </x:c>
      <x:c r="T29" s="6" t="str">
        <x:v>一个排序的commit列表，真正的fix commit应排在前面。</x:v>
      </x:c>
      <x:c r="U29" s="6" t="str">
        <x:v>p. 1; abstract</x:v>
      </x:c>
      <x:c r="V29" s="6" t="str">
        <x:v>Issue-commit linking, which connects issues with commits that fix them, is crucial for software maintenance.</x:v>
      </x:c>
      <x:c r="W29" s="6" t="str">
        <x:v>进行issue-commit链接恢复任务。</x:v>
      </x:c>
      <x:c r="X29" s="2" t="str">
        <x:v>Accepted</x:v>
      </x:c>
      <x:c r="Y29" s="6" t="str">
        <x:v>NA</x:v>
      </x:c>
    </x:row>
    <x:row r="30" ht="76" customHeight="1">
      <x:c r="A30" s="2" t="str">
        <x:v>S17-TASK-R01</x:v>
      </x:c>
      <x:c r="B30" s="2" t="str">
        <x:v>S17</x:v>
      </x:c>
      <x:c r="C30" s="2" t="str">
        <x:v>merged_1148-v1</x:v>
      </x:c>
      <x:c r="D30" s="2" t="str">
        <x:v>Reviewer_A</x:v>
      </x:c>
      <x:c r="E30" s="2" t="str">
        <x:v>Reviewer_A</x:v>
      </x:c>
      <x:c r="F30" s="2" t="str">
        <x:v>S17-T01</x:v>
      </x:c>
      <x:c r="G30" s="2" t="str">
        <x:v>generate UCAs</x:v>
      </x:c>
      <x:c r="H30" s="2" t="str">
        <x:v>traceability link generation</x:v>
      </x:c>
      <x:c r="I30" s="2" t="str">
        <x:v>losses, hazards, control structure diagram</x:v>
      </x:c>
      <x:c r="J30" s="2" t="str">
        <x:v>other</x:v>
      </x:c>
      <x:c r="K30" s="2" t="str">
        <x:v>unsafe control actions (UCAs) with hazard links</x:v>
      </x:c>
      <x:c r="L30" s="2" t="str">
        <x:v>other</x:v>
      </x:c>
      <x:c r="M30" s="2" t="str">
        <x:v>UCA -&gt; Hazard</x:v>
      </x:c>
      <x:c r="N30" s="2" t="str">
        <x:v>requirements</x:v>
      </x:c>
      <x:c r="O30" s="2" t="str">
        <x:v>safety-critical systems</x:v>
      </x:c>
      <x:c r="P30" s="2" t="str">
        <x:v>Auto-hold module from STPA Handbook [3]</x:v>
      </x:c>
      <x:c r="Q30" s="2" t="str">
        <x:v>Academic</x:v>
      </x:c>
      <x:c r="R30" s="2" t="str">
        <x:v>NA</x:v>
      </x:c>
      <x:c r="S30" s="6" t="str">
        <x:v>给定损失、危害和控制结构图，LLM生成包含明确危害链接的不安全控制动作（UCAs）。</x:v>
      </x:c>
      <x:c r="T30" s="6" t="str">
        <x:v>生成的UCA文本，每条UCA包含明确的危害链接。</x:v>
      </x:c>
      <x:c r="U30" s="6" t="str">
        <x:v>p. 9; Figure 9</x:v>
      </x:c>
      <x:c r="V30" s="6" t="str">
        <x:v>,→ the control structure diagram. ,→ shown in the control structure diagram. 3 An unsafe control action is linked to a A scenario must link to a single hazard. It 3</x:v>
      </x:c>
      <x:c r="W30" s="6" t="str">
        <x:v>LLM直接生成带有危害链接的UCAs，实现从生成到链接的一体化。</x:v>
      </x:c>
      <x:c r="X30" s="2" t="str">
        <x:v>Accepted</x:v>
      </x:c>
      <x:c r="Y30" s="6" t="str">
        <x:v>任务为生成式，但输出中强制包含显式链接，因此属于traceability link generation。</x:v>
      </x:c>
    </x:row>
    <x:row r="31" ht="76" customHeight="1">
      <x:c r="A31" s="2" t="str">
        <x:v>S17-TASK-R02</x:v>
      </x:c>
      <x:c r="B31" s="2" t="str">
        <x:v>S17</x:v>
      </x:c>
      <x:c r="C31" s="2" t="str">
        <x:v>merged_1148-v1</x:v>
      </x:c>
      <x:c r="D31" s="2" t="str">
        <x:v>Reviewer_A</x:v>
      </x:c>
      <x:c r="E31" s="2" t="str">
        <x:v>Reviewer_A</x:v>
      </x:c>
      <x:c r="F31" s="2" t="str">
        <x:v>S17-T02</x:v>
      </x:c>
      <x:c r="G31" s="2" t="str">
        <x:v>generate loss scenarios</x:v>
      </x:c>
      <x:c r="H31" s="2" t="str">
        <x:v>traceability link generation</x:v>
      </x:c>
      <x:c r="I31" s="2" t="str">
        <x:v>losses, hazards, UCAs, control structure diagram</x:v>
      </x:c>
      <x:c r="J31" s="2" t="str">
        <x:v>other</x:v>
      </x:c>
      <x:c r="K31" s="2" t="str">
        <x:v>loss scenarios with hazard and optional UCA links</x:v>
      </x:c>
      <x:c r="L31" s="2" t="str">
        <x:v>other</x:v>
      </x:c>
      <x:c r="M31" s="2" t="str">
        <x:v>Loss Scenario -&gt; Hazard (and optionally Loss Scenario -&gt; UCA)</x:v>
      </x:c>
      <x:c r="N31" s="2" t="str">
        <x:v>requirements</x:v>
      </x:c>
      <x:c r="O31" s="2" t="str">
        <x:v>safety-critical systems</x:v>
      </x:c>
      <x:c r="P31" s="2" t="str">
        <x:v>Auto-hold module from STPA Handbook [3]</x:v>
      </x:c>
      <x:c r="Q31" s="2" t="str">
        <x:v>Academic</x:v>
      </x:c>
      <x:c r="R31" s="2" t="str">
        <x:v>NA</x:v>
      </x:c>
      <x:c r="S31" s="6" t="str">
        <x:v>基于损失、危害、UCAs及控制结构图，LLM生成损失场景，每条场景链接到特定危害，并可选择链接到UCA。</x:v>
      </x:c>
      <x:c r="T31" s="6" t="str">
        <x:v>生成的损失场景文本，包含危害链接，部分含UCA链接。</x:v>
      </x:c>
      <x:c r="U31" s="6" t="str">
        <x:v>p. 9; Figure 10</x:v>
      </x:c>
      <x:c r="V31" s="6" t="str">
        <x:v>,→ shown in the control structure diagram. 3 A scenario must link to a single hazard. It</x:v>
      </x:c>
      <x:c r="W31" s="6" t="str">
        <x:v>LLM生成损失场景时强制要求链接危害，支持可选UCA链接，生成与链接同步。</x:v>
      </x:c>
      <x:c r="X31" s="2" t="str">
        <x:v>Accepted</x:v>
      </x:c>
      <x:c r="Y31" s="6" t="str">
        <x:v>NR</x:v>
      </x:c>
    </x:row>
    <x:row r="32" ht="76" customHeight="1">
      <x:c r="A32" s="2" t="str">
        <x:v>S17-TASK-R03</x:v>
      </x:c>
      <x:c r="B32" s="2" t="str">
        <x:v>S17</x:v>
      </x:c>
      <x:c r="C32" s="2" t="str">
        <x:v>merged_1148-v1</x:v>
      </x:c>
      <x:c r="D32" s="2" t="str">
        <x:v>Reviewer_A</x:v>
      </x:c>
      <x:c r="E32" s="2" t="str">
        <x:v>Reviewer_A</x:v>
      </x:c>
      <x:c r="F32" s="2" t="str">
        <x:v>S17-T03</x:v>
      </x:c>
      <x:c r="G32" s="2" t="str">
        <x:v>automated linking of artifacts</x:v>
      </x:c>
      <x:c r="H32" s="2" t="str">
        <x:v>traceability link classification</x:v>
      </x:c>
      <x:c r="I32" s="2" t="str">
        <x:v>hazard, loss</x:v>
      </x:c>
      <x:c r="J32" s="2" t="str">
        <x:v>other</x:v>
      </x:c>
      <x:c r="K32" s="2" t="str">
        <x:v>link recommendation (yes/no)</x:v>
      </x:c>
      <x:c r="L32" s="2" t="str">
        <x:v>other</x:v>
      </x:c>
      <x:c r="M32" s="2" t="str">
        <x:v>Hazard &lt;-?-&gt; Loss (undirected link recommendation)</x:v>
      </x:c>
      <x:c r="N32" s="2" t="str">
        <x:v>requirements</x:v>
      </x:c>
      <x:c r="O32" s="2" t="str">
        <x:v>safety-critical systems</x:v>
      </x:c>
      <x:c r="P32" s="2" t="str">
        <x:v>Five systems from Appendix A of STPA Handbook [3]</x:v>
      </x:c>
      <x:c r="Q32" s="2" t="str">
        <x:v>Academic</x:v>
      </x:c>
      <x:c r="R32" s="2" t="str">
        <x:v>NA</x:v>
      </x:c>
      <x:c r="S32" s="6" t="str">
        <x:v>对每一对可能的危害-损失组合，LLM判断是否应建立链接，给出推荐。</x:v>
      </x:c>
      <x:c r="T32" s="6" t="str">
        <x:v>链接推荐（应链接/不应链接），与手册标注对比验证。</x:v>
      </x:c>
      <x:c r="U32" s="6" t="str">
        <x:v>p. 6; Section IV-B</x:v>
      </x:c>
      <x:c r="V32" s="6" t="str">
        <x:v>For each pair of possible linkages, we prompt an LLM to check if the two should be recommended for linkages.</x:v>
      </x:c>
      <x:c r="W32" s="6" t="str">
        <x:v>LLM用于追溯链接分类任务，判断已有定义间的链接建议。</x:v>
      </x:c>
      <x:c r="X32" s="2" t="str">
        <x:v>Accepted</x:v>
      </x:c>
      <x:c r="Y32" s="6" t="str">
        <x:v>NR</x:v>
      </x:c>
    </x:row>
    <x:row r="33" ht="76" customHeight="1">
      <x:c r="A33" s="2" t="str">
        <x:v>S18-TASK-R01</x:v>
      </x:c>
      <x:c r="B33" s="2" t="str">
        <x:v>S18</x:v>
      </x:c>
      <x:c r="C33" s="2" t="str">
        <x:v>merged_1149</x:v>
      </x:c>
      <x:c r="D33" s="2" t="str">
        <x:v>Reviewer_A</x:v>
      </x:c>
      <x:c r="E33" s="2" t="str">
        <x:v>Reviewer_A</x:v>
      </x:c>
      <x:c r="F33" s="2" t="str">
        <x:v>S18-T01</x:v>
      </x:c>
      <x:c r="G33" s="2" t="str">
        <x:v>predicting trace links between requirements and provisions</x:v>
      </x:c>
      <x:c r="H33" s="2" t="str">
        <x:v>traceability link classification</x:v>
      </x:c>
      <x:c r="I33" s="2" t="str">
        <x:v>requirements</x:v>
      </x:c>
      <x:c r="J33" s="2" t="str">
        <x:v>requirement</x:v>
      </x:c>
      <x:c r="K33" s="2" t="str">
        <x:v>provisions (regulatory codes)</x:v>
      </x:c>
      <x:c r="L33" s="2" t="str">
        <x:v>regulation</x:v>
      </x:c>
      <x:c r="M33" s="2" t="str">
        <x:v>requirement -&gt; provision</x:v>
      </x:c>
      <x:c r="N33" s="2" t="str">
        <x:v>compliance and assurance</x:v>
      </x:c>
      <x:c r="O33" s="2" t="str">
        <x:v>Healthcare (HIPAA) and General (GDPR)</x:v>
      </x:c>
      <x:c r="P33" s="2" t="str">
        <x:v>HIPAA and GDPR test documents</x:v>
      </x:c>
      <x:c r="Q33" s="2" t="str">
        <x:v>Academic</x:v>
      </x:c>
      <x:c r="R33" s="2" t="str">
        <x:v>NR</x:v>
      </x:c>
      <x:c r="S33" s="6" t="str">
        <x:v>将需求与法规条款之间的候选链接分类为追溯链接或非追溯链接。</x:v>
      </x:c>
      <x:c r="T33" s="6" t="str">
        <x:v>二元分类：追溯链接（→）或非追溯链接（̸→）。</x:v>
      </x:c>
      <x:c r="U33" s="6" t="str">
        <x:v>p. 3; Section 1 (Contributions)</x:v>
      </x:c>
      <x:c r="V33" s="6" t="str">
        <x:v>predicting trace links between requirements and provisions</x:v>
      </x:c>
      <x:c r="W33" s="6" t="str">
        <x:v>LLM-based trace link classification between requirements and regulations.</x:v>
      </x:c>
      <x:c r="X33" s="2" t="str">
        <x:v>Accepted</x:v>
      </x:c>
      <x:c r="Y33" s="6" t="str">
        <x:v>NA</x:v>
      </x:c>
    </x:row>
    <x:row r="34" ht="76" customHeight="1">
      <x:c r="A34" s="2" t="str">
        <x:v>S19-TASK-R01</x:v>
      </x:c>
      <x:c r="B34" s="2" t="str">
        <x:v>S19</x:v>
      </x:c>
      <x:c r="C34" s="2" t="str">
        <x:v>merged_1150</x:v>
      </x:c>
      <x:c r="D34" s="2" t="str">
        <x:v>Reviewer_A</x:v>
      </x:c>
      <x:c r="E34" s="2" t="str">
        <x:v>Reviewer_A</x:v>
      </x:c>
      <x:c r="F34" s="2" t="str">
        <x:v>S19-T01</x:v>
      </x:c>
      <x:c r="G34" s="2" t="str">
        <x:v>automated trace link generation between requirements and code</x:v>
      </x:c>
      <x:c r="H34" s="2" t="str">
        <x:v>traceability link generation</x:v>
      </x:c>
      <x:c r="I34" s="2" t="str">
        <x:v>requirements</x:v>
      </x:c>
      <x:c r="J34" s="2" t="str">
        <x:v>requirement</x:v>
      </x:c>
      <x:c r="K34" s="2" t="str">
        <x:v>code</x:v>
      </x:c>
      <x:c r="L34" s="2" t="str">
        <x:v>source code</x:v>
      </x:c>
      <x:c r="M34" s="2" t="str">
        <x:v>requirements -&gt; code</x:v>
      </x:c>
      <x:c r="N34" s="2" t="str">
        <x:v>cross-lifecycle</x:v>
      </x:c>
      <x:c r="O34" s="2" t="str">
        <x:v>simple games</x:v>
      </x:c>
      <x:c r="P34" s="2" t="str">
        <x:v>Dice, Arkanoid, Snake, Scopa, Pong</x:v>
      </x:c>
      <x:c r="Q34" s="2" t="str">
        <x:v>Academic</x:v>
      </x:c>
      <x:c r="R34" s="2" t="str">
        <x:v>NA</x:v>
      </x:c>
      <x:c r="S34" s="6" t="str">
        <x:v>LLM基于需求生成与代码的追踪链接，包括判断需求是否实现以及实现的具体代码行。</x:v>
      </x:c>
      <x:c r="T34" s="6" t="str">
        <x:v>JSON包含需求ID、是否实现（布尔值）和实现行号列表。</x:v>
      </x:c>
      <x:c r="U34" s="6" t="str">
        <x:v>p. 1; Abstract</x:v>
      </x:c>
      <x:c r="V34" s="6" t="str">
        <x:v>We conducted experiments using two LLMs focusing on automated trace link generation between requirements and code.</x:v>
      </x:c>
      <x:c r="W34" s="6" t="str">
        <x:v>主要追踪任务定义。</x:v>
      </x:c>
      <x:c r="X34" s="2" t="str">
        <x:v>Accepted</x:v>
      </x:c>
      <x:c r="Y34" s="6" t="str">
        <x:v>NA</x:v>
      </x:c>
    </x:row>
    <x:row r="35" ht="76" customHeight="1">
      <x:c r="A35" s="2" t="str">
        <x:v>S20-TASK-R01</x:v>
      </x:c>
      <x:c r="B35" s="2" t="str">
        <x:v>S20</x:v>
      </x:c>
      <x:c r="C35" s="2" t="str">
        <x:v>merged_1151-v1</x:v>
      </x:c>
      <x:c r="D35" s="2" t="str">
        <x:v>Reviewer_A</x:v>
      </x:c>
      <x:c r="E35" s="2" t="str">
        <x:v>Reviewer_A</x:v>
      </x:c>
      <x:c r="F35" s="2" t="str">
        <x:v>S20-T01</x:v>
      </x:c>
      <x:c r="G35" s="2" t="str">
        <x:v>retrieving relevant content from the reference text</x:v>
      </x:c>
      <x:c r="H35" s="2" t="str">
        <x:v>traceability link recovery</x:v>
      </x:c>
      <x:c r="I35" s="2" t="str">
        <x:v>requirement</x:v>
      </x:c>
      <x:c r="J35" s="2" t="str">
        <x:v>requirement</x:v>
      </x:c>
      <x:c r="K35" s="2" t="str">
        <x:v>reference text (regulatory articles/standards)</x:v>
      </x:c>
      <x:c r="L35" s="2" t="str">
        <x:v>regulation</x:v>
      </x:c>
      <x:c r="M35" s="2" t="str">
        <x:v>requirement -&gt; reference text</x:v>
      </x:c>
      <x:c r="N35" s="2" t="str">
        <x:v>requirements</x:v>
      </x:c>
      <x:c r="O35" s="2" t="str">
        <x:v>finance and aerospace</x:v>
      </x:c>
      <x:c r="P35" s="2" t="str">
        <x:v>SRS Broker (Iran online broker) and SRS Aero (NASA X-38)</x:v>
      </x:c>
      <x:c r="Q35" s="2" t="str">
        <x:v>Academic</x:v>
      </x:c>
      <x:c r="R35" s="2" t="str">
        <x:v>SRS Broker来自真实的伊朗在线券商项目，SRS Aero来自NASA项目</x:v>
      </x:c>
      <x:c r="S35" s="6" t="str">
        <x:v>使用Graph-RAG从参考文本（法规或高层需求）中检索与给定需求最相关的段落，建立需求与来源之间的追溯链接。</x:v>
      </x:c>
      <x:c r="T35" s="6" t="str">
        <x:v>检索到的参考文本内容及相似度得分。</x:v>
      </x:c>
      <x:c r="U35" s="6" t="str">
        <x:v>p. 17; Section 5.1</x:v>
      </x:c>
      <x:c r="V35" s="6" t="str">
        <x:v>The first step in our process involves querying the graph by providing a requirement and retrieving relevant content from the reference text.</x:v>
      </x:c>
      <x:c r="W35" s="6" t="str">
        <x:v>该任务为后续合规检查提供上下文，是追溯链接恢复的关键步骤。</x:v>
      </x:c>
      <x:c r="X35" s="2" t="str">
        <x:v>Accepted</x:v>
      </x:c>
      <x:c r="Y35" s="6" t="str">
        <x:v>NA</x:v>
      </x:c>
    </x:row>
    <x:row r="36" ht="76" customHeight="1">
      <x:c r="A36" s="2" t="str">
        <x:v>S20-TASK-R02</x:v>
      </x:c>
      <x:c r="B36" s="2" t="str">
        <x:v>S20</x:v>
      </x:c>
      <x:c r="C36" s="2" t="str">
        <x:v>merged_1151-v1</x:v>
      </x:c>
      <x:c r="D36" s="2" t="str">
        <x:v>Reviewer_A</x:v>
      </x:c>
      <x:c r="E36" s="2" t="str">
        <x:v>Reviewer_A</x:v>
      </x:c>
      <x:c r="F36" s="2" t="str">
        <x:v>S20-T02</x:v>
      </x:c>
      <x:c r="G36" s="2" t="str">
        <x:v>assess whether the requirement aligns with the reference text</x:v>
      </x:c>
      <x:c r="H36" s="2" t="str">
        <x:v>traceability link validation</x:v>
      </x:c>
      <x:c r="I36" s="2" t="str">
        <x:v>requirement</x:v>
      </x:c>
      <x:c r="J36" s="2" t="str">
        <x:v>requirement</x:v>
      </x:c>
      <x:c r="K36" s="2" t="str">
        <x:v>reference text</x:v>
      </x:c>
      <x:c r="L36" s="2" t="str">
        <x:v>regulation</x:v>
      </x:c>
      <x:c r="M36" s="2" t="str">
        <x:v>requirement -&gt; reference text</x:v>
      </x:c>
      <x:c r="N36" s="2" t="str">
        <x:v>requirements</x:v>
      </x:c>
      <x:c r="O36" s="2" t="str">
        <x:v>finance and aerospace</x:v>
      </x:c>
      <x:c r="P36" s="2" t="str">
        <x:v>SRS Broker (Iran online broker) and SRS Aero (NASA X-38)</x:v>
      </x:c>
      <x:c r="Q36" s="2" t="str">
        <x:v>Academic</x:v>
      </x:c>
      <x:c r="R36" s="2" t="str">
        <x:v>SRS Broker来自真实的伊朗在线券商项目，SRS Aero来自NASA项目</x:v>
      </x:c>
      <x:c r="S36" s="6" t="str">
        <x:v>使用LLM和提示工程（IO、CoT、ToT）判断需求是否符合其所追溯的参考文本，输出合规或违规判定及解释。</x:v>
      </x:c>
      <x:c r="T36" s="6" t="str">
        <x:v>合规性判定（Conforms/Violates）及推理过程。</x:v>
      </x:c>
      <x:c r="U36" s="6" t="str">
        <x:v>p. 3; Section 1</x:v>
      </x:c>
      <x:c r="V36" s="6" t="str">
        <x:v>the framework verifies whether the requirements adhere to these references using advanced prompting techniques.</x:v>
      </x:c>
      <x:c r="W36" s="6" t="str">
        <x:v>该任务利用LLM的推理能力进行需求合规性验证，属于追溯链接验证。</x:v>
      </x:c>
      <x:c r="X36" s="2" t="str">
        <x:v>Accepted</x:v>
      </x:c>
      <x:c r="Y36" s="6" t="str">
        <x:v>NA</x:v>
      </x:c>
    </x:row>
    <x:row r="37" ht="76" customHeight="1">
      <x:c r="A37" s="2" t="str">
        <x:v>S21-TASK-R01</x:v>
      </x:c>
      <x:c r="B37" s="2" t="str">
        <x:v>S21</x:v>
      </x:c>
      <x:c r="C37" s="2" t="str">
        <x:v>merged_1152</x:v>
      </x:c>
      <x:c r="D37" s="2" t="str">
        <x:v>Reviewer_A</x:v>
      </x:c>
      <x:c r="E37" s="2" t="str">
        <x:v>Reviewer_A</x:v>
      </x:c>
      <x:c r="F37" s="2" t="str">
        <x:v>S21-T01</x:v>
      </x:c>
      <x:c r="G37" s="2" t="str">
        <x:v>classify every source and target artifact pair</x:v>
      </x:c>
      <x:c r="H37" s="2" t="str">
        <x:v>traceability link classification</x:v>
      </x:c>
      <x:c r="I37" s="2" t="str">
        <x:v>High-Level Requirements</x:v>
      </x:c>
      <x:c r="J37" s="2" t="str">
        <x:v>requirement</x:v>
      </x:c>
      <x:c r="K37" s="2" t="str">
        <x:v>Low-Level Requirements</x:v>
      </x:c>
      <x:c r="L37" s="2" t="str">
        <x:v>requirement</x:v>
      </x:c>
      <x:c r="M37" s="2" t="str">
        <x:v>High-Level Requirements -&gt; Low-Level Requirements</x:v>
      </x:c>
      <x:c r="N37" s="2" t="str">
        <x:v>requirements</x:v>
      </x:c>
      <x:c r="O37" s="2" t="str">
        <x:v>embedded systems (NASA instrument)</x:v>
      </x:c>
      <x:c r="P37" s="2" t="str">
        <x:v>CM1</x:v>
      </x:c>
      <x:c r="Q37" s="2" t="str">
        <x:v>Academic</x:v>
      </x:c>
      <x:c r="R37" s="2" t="str">
        <x:v>NA</x:v>
      </x:c>
      <x:c r="S37" s="6" t="str">
        <x:v>对CM1数据集中的每对高层需求和低层需求进行分类，判断是否存在可追溯性链接。</x:v>
      </x:c>
      <x:c r="T37" s="6" t="str">
        <x:v>每对工件的'是'或'否'预测，与真实链接比较计算精确率和召回率。</x:v>
      </x:c>
      <x:c r="U37" s="6" t="str">
        <x:v>p. 3; Section III Experimental Setup</x:v>
      </x:c>
      <x:c r="V37" s="6" t="str">
        <x:v>For our first approach, we prompted the model to classify every source and target artifact pair.</x:v>
      </x:c>
      <x:c r="W37" s="6" t="str">
        <x:v>分类任务是最直接的可追溯性链接建立方式。</x:v>
      </x:c>
      <x:c r="X37" s="2" t="str">
        <x:v>Accepted</x:v>
      </x:c>
      <x:c r="Y37" s="6" t="str">
        <x:v>NA</x:v>
      </x:c>
    </x:row>
    <x:row r="38" ht="76" customHeight="1">
      <x:c r="A38" s="2" t="str">
        <x:v>S21-TASK-R02</x:v>
      </x:c>
      <x:c r="B38" s="2" t="str">
        <x:v>S21</x:v>
      </x:c>
      <x:c r="C38" s="2" t="str">
        <x:v>merged_1152</x:v>
      </x:c>
      <x:c r="D38" s="2" t="str">
        <x:v>Reviewer_A</x:v>
      </x:c>
      <x:c r="E38" s="2" t="str">
        <x:v>Reviewer_A</x:v>
      </x:c>
      <x:c r="F38" s="2" t="str">
        <x:v>S21-T02</x:v>
      </x:c>
      <x:c r="G38" s="2" t="str">
        <x:v>ranking all targets for each source artifact</x:v>
      </x:c>
      <x:c r="H38" s="2" t="str">
        <x:v>traceability link ranking</x:v>
      </x:c>
      <x:c r="I38" s="2" t="str">
        <x:v>High-Level Requirements / Requirements</x:v>
      </x:c>
      <x:c r="J38" s="2" t="str">
        <x:v>requirement</x:v>
      </x:c>
      <x:c r="K38" s="2" t="str">
        <x:v>various (Low-Level Requirements, Java Classes, Design Definitions)</x:v>
      </x:c>
      <x:c r="L38" s="2" t="str">
        <x:v>other</x:v>
      </x:c>
      <x:c r="M38" s="2" t="str">
        <x:v>source -&gt; target (ranked list)</x:v>
      </x:c>
      <x:c r="N38" s="2" t="str">
        <x:v>cross-lifecycle</x:v>
      </x:c>
      <x:c r="O38" s="2" t="str">
        <x:v>mixed (embedded systems, healthcare, UAVs)</x:v>
      </x:c>
      <x:c r="P38" s="2" t="str">
        <x:v>CM1, iTrust, Dronology</x:v>
      </x:c>
      <x:c r="Q38" s="2" t="str">
        <x:v>Academic</x:v>
      </x:c>
      <x:c r="R38" s="2" t="str">
        <x:v>NA</x:v>
      </x:c>
      <x:c r="S38" s="6" t="str">
        <x:v>对于给定的源工件，模型将所有目标工件按相关性从高到低排序，生成一个排序列表，然后使用平均精度均值（MAP）评估。</x:v>
      </x:c>
      <x:c r="T38" s="6" t="str">
        <x:v>每个源工件的目标工件排序列表，与真实链接对比计算MAP。</x:v>
      </x:c>
      <x:c r="U38" s="6" t="str">
        <x:v>p. 3; Section III Experimental Setup</x:v>
      </x:c>
      <x:c r="V38" s="6" t="str">
        <x:v>For our ranking approach, we prompted the model to rank all targets for each source artifact.</x:v>
      </x:c>
      <x:c r="W38" s="6" t="str">
        <x:v>排序任务允许更细粒度的相关性表达，但需要较大的上下文窗口。</x:v>
      </x:c>
      <x:c r="X38" s="2" t="str">
        <x:v>Accepted</x:v>
      </x:c>
      <x:c r="Y38" s="6" t="str">
        <x:v>NA</x:v>
      </x:c>
    </x:row>
    <x:row r="39" ht="76" customHeight="1">
      <x:c r="A39" s="2" t="str">
        <x:v>S22-TASK-R01</x:v>
      </x:c>
      <x:c r="B39" s="2" t="str">
        <x:v>S22</x:v>
      </x:c>
      <x:c r="C39" s="2" t="str">
        <x:v>merged_1154-v1</x:v>
      </x:c>
      <x:c r="D39" s="2" t="str">
        <x:v>Reviewer_A</x:v>
      </x:c>
      <x:c r="E39" s="2" t="str">
        <x:v>Reviewer_A</x:v>
      </x:c>
      <x:c r="F39" s="2" t="str">
        <x:v>S22-T01</x:v>
      </x:c>
      <x:c r="G39" s="2" t="str">
        <x:v>derive a structured Multilayer Specification Security Model from system context</x:v>
      </x:c>
      <x:c r="H39" s="2" t="str">
        <x:v>traceability link generation</x:v>
      </x:c>
      <x:c r="I39" s="2" t="str">
        <x:v>system context (actors, trust boundaries, components, data flows, etc.)</x:v>
      </x:c>
      <x:c r="J39" s="2" t="str">
        <x:v>system specification</x:v>
      </x:c>
      <x:c r="K39" s="2" t="str">
        <x:v>Multilayer Specification Security Model</x:v>
      </x:c>
      <x:c r="L39" s="2" t="str">
        <x:v>design</x:v>
      </x:c>
      <x:c r="M39" s="2" t="str">
        <x:v>system context -&gt; Multilayer Specification Security Model</x:v>
      </x:c>
      <x:c r="N39" s="2" t="str">
        <x:v>cross-lifecycle</x:v>
      </x:c>
      <x:c r="O39" s="2" t="str">
        <x:v>NR</x:v>
      </x:c>
      <x:c r="P39" s="2" t="str">
        <x:v>OWASP Threat Model Library case (browser isolation system)</x:v>
      </x:c>
      <x:c r="Q39" s="2" t="str">
        <x:v>Academic</x:v>
      </x:c>
      <x:c r="R39" s="2" t="str">
        <x:v>NA</x:v>
      </x:c>
      <x:c r="S39" s="6" t="str">
        <x:v>在隐藏神谕条件下，LLM管道从结构化系统上下文生成多层安全模型，其中包括可追溯的威胁、风险、需求、控制等元素。</x:v>
      </x:c>
      <x:c r="T39" s="6" t="str">
        <x:v>生成的安全模型包含了从系统实体到证据的可追溯性链。</x:v>
      </x:c>
      <x:c r="U39" s="6" t="str">
        <x:v>p. 6; Section VII Experimental Setup</x:v>
      </x:c>
      <x:c r="V39" s="6" t="str">
        <x:v>structured Multilayer Specification Security Model from system context when the original threat and risk model is</x:v>
      </x:c>
      <x:c r="W39" s="6" t="str">
        <x:v>研究1的任务是评估LLM管道能否从系统上下文生成包含可追溯关系的安全模型，这直接涉及可追溯性链接的生成。</x:v>
      </x:c>
      <x:c r="X39" s="2" t="str">
        <x:v>Accepted</x:v>
      </x:c>
      <x:c r="Y39" s="6" t="str">
        <x:v>NA</x:v>
      </x:c>
    </x:row>
    <x:row r="40" ht="76" customHeight="1">
      <x:c r="A40" s="2" t="str">
        <x:v>S23-TASK-R01</x:v>
      </x:c>
      <x:c r="B40" s="2" t="str">
        <x:v>S23</x:v>
      </x:c>
      <x:c r="C40" s="2" t="str">
        <x:v>merged_1156</x:v>
      </x:c>
      <x:c r="D40" s="2" t="str">
        <x:v>Reviewer_A</x:v>
      </x:c>
      <x:c r="E40" s="2" t="str">
        <x:v>Reviewer_A</x:v>
      </x:c>
      <x:c r="F40" s="2" t="str">
        <x:v>S23-T01</x:v>
      </x:c>
      <x:c r="G40" s="2" t="str">
        <x:v>tracing LLM inputs through to its generated code</x:v>
      </x:c>
      <x:c r="H40" s="2" t="str">
        <x:v>traceability link establishment</x:v>
      </x:c>
      <x:c r="I40" s="2" t="str">
        <x:v>natural-language requirements</x:v>
      </x:c>
      <x:c r="J40" s="2" t="str">
        <x:v>requirement</x:v>
      </x:c>
      <x:c r="K40" s="2" t="str">
        <x:v>LLM-generated code</x:v>
      </x:c>
      <x:c r="L40" s="2" t="str">
        <x:v>source code</x:v>
      </x:c>
      <x:c r="M40" s="2" t="str">
        <x:v>requirement -&gt; generated code</x:v>
      </x:c>
      <x:c r="N40" s="2" t="str">
        <x:v>implementation</x:v>
      </x:c>
      <x:c r="O40" s="2" t="str">
        <x:v>NR</x:v>
      </x:c>
      <x:c r="P40" s="2" t="str">
        <x:v>HumanEval</x:v>
      </x:c>
      <x:c r="Q40" s="2" t="str">
        <x:v>Academic</x:v>
      </x:c>
      <x:c r="R40" s="2" t="str">
        <x:v>NA</x:v>
      </x:c>
      <x:c r="S40" s="6" t="str">
        <x:v>利用LLM输出梯度计算需求段的重要性，推断生成代码中未被满足的需求，从而建立需求与代码的符合性溯源性关联。</x:v>
      </x:c>
      <x:c r="T40" s="6" t="str">
        <x:v>识别出的被忽略的需求段。</x:v>
      </x:c>
      <x:c r="U40" s="6" t="str">
        <x:v>p. 1; Abstract</x:v>
      </x:c>
      <x:c r="V40" s="6" t="str">
        <x:v>By inspecting the gradients of LLM output, we develop a first attempt at tracing LLM inputs through to its generated code. We use this to estimate which low-level requirements have been met.</x:v>
      </x:c>
      <x:c r="W40" s="6" t="str">
        <x:v>论文核心任务：通过梯度溯源需求与生成代码之间的联系。</x:v>
      </x:c>
      <x:c r="X40" s="2" t="str">
        <x:v>Accepted</x:v>
      </x:c>
      <x:c r="Y40" s="6" t="str">
        <x:v>NR</x:v>
      </x:c>
    </x:row>
    <x:row r="41" ht="76" customHeight="1">
      <x:c r="A41" s="2" t="str">
        <x:v>S23-TASK-R02</x:v>
      </x:c>
      <x:c r="B41" s="2" t="str">
        <x:v>S23</x:v>
      </x:c>
      <x:c r="C41" s="2" t="str">
        <x:v>merged_1156</x:v>
      </x:c>
      <x:c r="D41" s="2" t="str">
        <x:v>Reviewer_A</x:v>
      </x:c>
      <x:c r="E41" s="2" t="str">
        <x:v>Reviewer_A</x:v>
      </x:c>
      <x:c r="F41" s="2" t="str">
        <x:v>S23-T02</x:v>
      </x:c>
      <x:c r="G41" s="2" t="str">
        <x:v>instruct the model to rewrite its code, paying closer attention to the ignored segment</x:v>
      </x:c>
      <x:c r="H41" s="2" t="str">
        <x:v>traceability maintenance</x:v>
      </x:c>
      <x:c r="I41" s="2" t="str">
        <x:v>original requirements and identified ignored requirement segment</x:v>
      </x:c>
      <x:c r="J41" s="2" t="str">
        <x:v>requirement</x:v>
      </x:c>
      <x:c r="K41" s="2" t="str">
        <x:v>rewritten code</x:v>
      </x:c>
      <x:c r="L41" s="2" t="str">
        <x:v>source code</x:v>
      </x:c>
      <x:c r="M41" s="2" t="str">
        <x:v>requirement -&gt; rewritten code</x:v>
      </x:c>
      <x:c r="N41" s="2" t="str">
        <x:v>implementation</x:v>
      </x:c>
      <x:c r="O41" s="2" t="str">
        <x:v>NR</x:v>
      </x:c>
      <x:c r="P41" s="2" t="str">
        <x:v>HumanEval</x:v>
      </x:c>
      <x:c r="Q41" s="2" t="str">
        <x:v>Academic</x:v>
      </x:c>
      <x:c r="R41" s="2" t="str">
        <x:v>NA</x:v>
      </x:c>
      <x:c r="S41" s="6" t="str">
        <x:v>根据梯度识别出的未满足需求，自动构造重提示消息，让LLM重新生成代码以修复需求不匹配问题，间接修正溯源性链接。</x:v>
      </x:c>
      <x:c r="T41" s="6" t="str">
        <x:v>重写后的代码及其单元测试通过情况。</x:v>
      </x:c>
      <x:c r="U41" s="6" t="str">
        <x:v>p. 2; Section I-A</x:v>
      </x:c>
      <x:c r="V41" s="6" t="str">
        <x:v>We use the ignored requirement — as determined by the calculated pooled gradients — to ask the LLM to rewrite its code.</x:v>
      </x:c>
      <x:c r="W41" s="6" t="str">
        <x:v>论文第二任务：基于梯度溯源的自动重提示改进代码。</x:v>
      </x:c>
      <x:c r="X41" s="2" t="str">
        <x:v>Accepted</x:v>
      </x:c>
      <x:c r="Y41" s="6" t="str">
        <x:v>NR</x:v>
      </x:c>
    </x:row>
    <x:row r="42" ht="76" customHeight="1">
      <x:c r="A42" s="2" t="str">
        <x:v>S24-TASK-R01</x:v>
      </x:c>
      <x:c r="B42" s="2" t="str">
        <x:v>S24</x:v>
      </x:c>
      <x:c r="C42" s="2" t="str">
        <x:v>merged_1172</x:v>
      </x:c>
      <x:c r="D42" s="2" t="str">
        <x:v>Reviewer_A</x:v>
      </x:c>
      <x:c r="E42" s="2" t="str">
        <x:v>Reviewer_A</x:v>
      </x:c>
      <x:c r="F42" s="2" t="str">
        <x:v>S24-T01</x:v>
      </x:c>
      <x:c r="G42" s="2" t="str">
        <x:v>Traceability builder: creates a link from the TRD-Req to the SRD-Req</x:v>
      </x:c>
      <x:c r="H42" s="2" t="str">
        <x:v>traceability link recovery</x:v>
      </x:c>
      <x:c r="I42" s="2" t="str">
        <x:v>subsystem requirement (TRD-Req)</x:v>
      </x:c>
      <x:c r="J42" s="2" t="str">
        <x:v>requirement</x:v>
      </x:c>
      <x:c r="K42" s="2" t="str">
        <x:v>system requirement (SRD-Req)</x:v>
      </x:c>
      <x:c r="L42" s="2" t="str">
        <x:v>requirement</x:v>
      </x:c>
      <x:c r="M42" s="2" t="str">
        <x:v>TRD-Req -&gt; SRD-Req (parent-child traceability)</x:v>
      </x:c>
      <x:c r="N42" s="2" t="str">
        <x:v>requirements</x:v>
      </x:c>
      <x:c r="O42" s="2" t="str">
        <x:v>aerospace</x:v>
      </x:c>
      <x:c r="P42" s="2" t="str">
        <x:v>Synthetic ECSS-style corpus</x:v>
      </x:c>
      <x:c r="Q42" s="2" t="str">
        <x:v>Academic</x:v>
      </x:c>
      <x:c r="R42" s="2" t="str">
        <x:v>NA</x:v>
      </x:c>
      <x:c r="S42" s="6" t="str">
        <x:v>从子系统需求（TRD）中提取引用的父需求（Mother REQ），在系统需求（SRD）库中查找，若存在则建立追溯链接，否则标记为悬空引用或缺失追溯。</x:v>
      </x:c>
      <x:c r="T42" s="6" t="str">
        <x:v>TRD-SRD追溯链接列表；悬空引用和缺失追溯的标记。</x:v>
      </x:c>
      <x:c r="U42" s="6" t="str">
        <x:v>p. 3; Section 2, Traceability builder</x:v>
      </x:c>
      <x:c r="V42" s="6" t="str">
        <x:v>For each subsystem requirement, the pipeline looks for a cited parent—typically the “Mother REQ” or equivalent reference to a system requirement. When the cited parent exists in the repository, a link is created from the TRD-Req to the SRD-Req and if a non existant parent is cited, the TRD-Req is flagged as a dangling reference.</x:v>
      </x:c>
      <x:c r="W42" s="6" t="str">
        <x:v>该任务从TRD需求中恢复与SRD需求的追溯链接，使用确定性算法，其输入依赖于LLM辅助的解析步骤。</x:v>
      </x:c>
      <x:c r="X42" s="2" t="str">
        <x:v>Accepted</x:v>
      </x:c>
      <x:c r="Y42" s="6" t="str">
        <x:v>NA</x:v>
      </x:c>
    </x:row>
    <x:row r="43" ht="76" customHeight="1">
      <x:c r="A43" s="2" t="str">
        <x:v>S25-TASK-R01</x:v>
      </x:c>
      <x:c r="B43" s="2" t="str">
        <x:v>S25</x:v>
      </x:c>
      <x:c r="C43" s="2" t="str">
        <x:v>merged_1185</x:v>
      </x:c>
      <x:c r="D43" s="2" t="str">
        <x:v>Reviewer_A</x:v>
      </x:c>
      <x:c r="E43" s="2" t="str">
        <x:v>Reviewer_A</x:v>
      </x:c>
      <x:c r="F43" s="2" t="str">
        <x:v>S25-T01</x:v>
      </x:c>
      <x:c r="G43" s="2" t="str">
        <x:v>Traceability Matrix Generation: The system automatically generates and maintains traceability matrices</x:v>
      </x:c>
      <x:c r="H43" s="2" t="str">
        <x:v>traceability link generation</x:v>
      </x:c>
      <x:c r="I43" s="2" t="str">
        <x:v>Requirements</x:v>
      </x:c>
      <x:c r="J43" s="2" t="str">
        <x:v>requirement</x:v>
      </x:c>
      <x:c r="K43" s="2" t="str">
        <x:v>test cases</x:v>
      </x:c>
      <x:c r="L43" s="2" t="str">
        <x:v>test case</x:v>
      </x:c>
      <x:c r="M43" s="2" t="str">
        <x:v>Requirements -&gt; test cases</x:v>
      </x:c>
      <x:c r="N43" s="2" t="str">
        <x:v>cross-lifecycle</x:v>
      </x:c>
      <x:c r="O43" s="2" t="str">
        <x:v>enterprise software testing, SAP</x:v>
      </x:c>
      <x:c r="P43" s="2" t="str">
        <x:v>NR</x:v>
      </x:c>
      <x:c r="Q43" s="2" t="str">
        <x:v>Industrial</x:v>
      </x:c>
      <x:c r="R43" s="2" t="str">
        <x:v>Apple</x:v>
      </x:c>
      <x:c r="S43" s="6" t="str">
        <x:v>系统利用LLM从需求自动生成测试用例并建立双向可追溯性矩阵。</x:v>
      </x:c>
      <x:c r="T43" s="6" t="str">
        <x:v>可追溯性矩阵，显示需求到测试用例的链接</x:v>
      </x:c>
      <x:c r="U43" s="6" t="str">
        <x:v>p. 4; Section II.F.1 Traceability Matrix Generation</x:v>
      </x:c>
      <x:c r="V43" s="6" t="str">
        <x:v>The system automatically generates and maintains traceability matrices linking: • Requirements for test cases • Test cases to execution results • Business logic for validation scenarios • Change requests to impact analysis</x:v>
      </x:c>
      <x:c r="W43" s="6" t="str">
        <x:v>T1是核心追溯任务，LLM（通过Agentic RAG）参与了需求到用例的链接生成。</x:v>
      </x:c>
      <x:c r="X43" s="2" t="str">
        <x:v>Accepted</x:v>
      </x:c>
      <x:c r="Y43" s="6" t="str">
        <x:v>NA</x:v>
      </x:c>
    </x:row>
    <x:row r="44" ht="76" customHeight="1">
      <x:c r="A44" s="2" t="str">
        <x:v>S25-TASK-R02</x:v>
      </x:c>
      <x:c r="B44" s="2" t="str">
        <x:v>S25</x:v>
      </x:c>
      <x:c r="C44" s="2" t="str">
        <x:v>merged_1185</x:v>
      </x:c>
      <x:c r="D44" s="2" t="str">
        <x:v>Reviewer_A</x:v>
      </x:c>
      <x:c r="E44" s="2" t="str">
        <x:v>Reviewer_A</x:v>
      </x:c>
      <x:c r="F44" s="2" t="str">
        <x:v>S25-T02</x:v>
      </x:c>
      <x:c r="G44" s="2" t="str">
        <x:v>Change Impact Analysis: Advanced change impact analysis capabilities enable predictive assessment of modification effects</x:v>
      </x:c>
      <x:c r="H44" s="2" t="str">
        <x:v>change propagation</x:v>
      </x:c>
      <x:c r="I44" s="2" t="str">
        <x:v>proposed changes</x:v>
      </x:c>
      <x:c r="J44" s="2" t="str">
        <x:v>other</x:v>
      </x:c>
      <x:c r="K44" s="2" t="str">
        <x:v>test cases</x:v>
      </x:c>
      <x:c r="L44" s="2" t="str">
        <x:v>test case</x:v>
      </x:c>
      <x:c r="M44" s="2" t="str">
        <x:v>change request -&gt; affected test cases</x:v>
      </x:c>
      <x:c r="N44" s="2" t="str">
        <x:v>maintenance</x:v>
      </x:c>
      <x:c r="O44" s="2" t="str">
        <x:v>enterprise software testing, SAP</x:v>
      </x:c>
      <x:c r="P44" s="2" t="str">
        <x:v>NR</x:v>
      </x:c>
      <x:c r="Q44" s="2" t="str">
        <x:v>Industrial</x:v>
      </x:c>
      <x:c r="R44" s="2" t="str">
        <x:v>Apple</x:v>
      </x:c>
      <x:c r="S44" s="6" t="str">
        <x:v>系统分析变更请求并自动识别受影响的测试用例、执行场景和验证要求。</x:v>
      </x:c>
      <x:c r="T44" s="6" t="str">
        <x:v>受影响的测试用例列表</x:v>
      </x:c>
      <x:c r="U44" s="6" t="str">
        <x:v>p. 4; Section II.F.2 Change Impact Analysis</x:v>
      </x:c>
      <x:c r="V44" s="6" t="str">
        <x:v>The system analyzes proposed changes and automatically identifies affected test cases, execution scenarios, and validation requirements.</x:v>
      </x:c>
      <x:c r="W44" s="6" t="str">
        <x:v>T2是变更传播任务，利用LLM理解变更影响，更新追溯链接。</x:v>
      </x:c>
      <x:c r="X44" s="2" t="str">
        <x:v>Accepted</x:v>
      </x:c>
      <x:c r="Y44" s="6" t="str">
        <x:v>NA</x:v>
      </x:c>
    </x:row>
    <x:row r="45" ht="76" customHeight="1">
      <x:c r="A45" s="2" t="str">
        <x:v>S26-TASK-R01</x:v>
      </x:c>
      <x:c r="B45" s="2" t="str">
        <x:v>S26</x:v>
      </x:c>
      <x:c r="C45" s="2" t="str">
        <x:v>merged_1212</x:v>
      </x:c>
      <x:c r="D45" s="2" t="str">
        <x:v>Reviewer_A</x:v>
      </x:c>
      <x:c r="E45" s="2" t="str">
        <x:v>Reviewer_A</x:v>
      </x:c>
      <x:c r="F45" s="2" t="str">
        <x:v>S26-T01</x:v>
      </x:c>
      <x:c r="G45" s="2" t="str">
        <x:v>improving trace-link prediction</x:v>
      </x:c>
      <x:c r="H45" s="2" t="str">
        <x:v>traceability link recovery</x:v>
      </x:c>
      <x:c r="I45" s="2" t="str">
        <x:v>NR</x:v>
      </x:c>
      <x:c r="J45" s="2" t="str">
        <x:v>Unclear</x:v>
      </x:c>
      <x:c r="K45" s="2" t="str">
        <x:v>NR</x:v>
      </x:c>
      <x:c r="L45" s="2" t="str">
        <x:v>Unclear</x:v>
      </x:c>
      <x:c r="M45" s="2" t="str">
        <x:v>Unclear</x:v>
      </x:c>
      <x:c r="N45" s="2" t="str">
        <x:v>cross-lifecycle</x:v>
      </x:c>
      <x:c r="O45" s="2" t="str">
        <x:v>NR</x:v>
      </x:c>
      <x:c r="P45" s="2" t="str">
        <x:v>NR</x:v>
      </x:c>
      <x:c r="Q45" s="2" t="str">
        <x:v>Academic</x:v>
      </x:c>
      <x:c r="R45" s="2" t="str">
        <x:v>NR</x:v>
      </x:c>
      <x:c r="S45" s="6" t="str">
        <x:v>在数据稀缺环境下，结合LLM与IR方法提高追溯链接预测的准确性</x:v>
      </x:c>
      <x:c r="T45" s="6" t="str">
        <x:v>预测的追溯链接</x:v>
      </x:c>
      <x:c r="U45" s="6" t="str">
        <x:v>p. 1; I. INTRODUCTION</x:v>
      </x:c>
      <x:c r="V45" s="6" t="str">
        <x:v>RQ1 How can large language models and traditional retrieval methods be effectively combined to support accurate traceability with limited labeled data?</x:v>
      </x:c>
      <x:c r="W45" s="6" t="str">
        <x:v>任务1：改进追溯链接预测，未明确指定源和目标工件</x:v>
      </x:c>
      <x:c r="X45" s="2" t="str">
        <x:v>Accepted</x:v>
      </x:c>
      <x:c r="Y45" s="6" t="str">
        <x:v>NR</x:v>
      </x:c>
    </x:row>
    <x:row r="46" ht="76" customHeight="1">
      <x:c r="A46" s="2" t="str">
        <x:v>S26-TASK-R02</x:v>
      </x:c>
      <x:c r="B46" s="2" t="str">
        <x:v>S26</x:v>
      </x:c>
      <x:c r="C46" s="2" t="str">
        <x:v>merged_1212</x:v>
      </x:c>
      <x:c r="D46" s="2" t="str">
        <x:v>Reviewer_A</x:v>
      </x:c>
      <x:c r="E46" s="2" t="str">
        <x:v>Reviewer_A</x:v>
      </x:c>
      <x:c r="F46" s="2" t="str">
        <x:v>S26-T02</x:v>
      </x:c>
      <x:c r="G46" s="2" t="str">
        <x:v>generating software artifacts and establishing traceability</x:v>
      </x:c>
      <x:c r="H46" s="2" t="str">
        <x:v>trace-aware artifact generation</x:v>
      </x:c>
      <x:c r="I46" s="2" t="str">
        <x:v>source code</x:v>
      </x:c>
      <x:c r="J46" s="2" t="str">
        <x:v>source code</x:v>
      </x:c>
      <x:c r="K46" s="2" t="str">
        <x:v>software documentation</x:v>
      </x:c>
      <x:c r="L46" s="2" t="str">
        <x:v>documentation</x:v>
      </x:c>
      <x:c r="M46" s="2" t="str">
        <x:v>source code -&gt; documentation</x:v>
      </x:c>
      <x:c r="N46" s="2" t="str">
        <x:v>implementation</x:v>
      </x:c>
      <x:c r="O46" s="2" t="str">
        <x:v>NR</x:v>
      </x:c>
      <x:c r="P46" s="2" t="str">
        <x:v>NR</x:v>
      </x:c>
      <x:c r="Q46" s="2" t="str">
        <x:v>Academic</x:v>
      </x:c>
      <x:c r="R46" s="2" t="str">
        <x:v>NR</x:v>
      </x:c>
      <x:c r="S46" s="6" t="str">
        <x:v>从源代码自动生成多层次软件文档并建立追溯链接，支持文档不足的项目</x:v>
      </x:c>
      <x:c r="T46" s="6" t="str">
        <x:v>生成的工件层次和追溯链接</x:v>
      </x:c>
      <x:c r="U46" s="6" t="str">
        <x:v>p. 2; I. INTRODUCTION (RQ2)</x:v>
      </x:c>
      <x:c r="V46" s="6" t="str">
        <x:v>to generate software documentation from code to support traceability in under-documented projects?</x:v>
      </x:c>
      <x:c r="W46" s="6" t="str">
        <x:v>任务2：从代码生成文档并建立追溯链接</x:v>
      </x:c>
      <x:c r="X46" s="2" t="str">
        <x:v>Accepted</x:v>
      </x:c>
      <x:c r="Y46" s="6" t="str">
        <x:v>NA</x:v>
      </x:c>
    </x:row>
    <x:row r="47" ht="76" customHeight="1">
      <x:c r="A47" s="2" t="str">
        <x:v>S26-TASK-R03</x:v>
      </x:c>
      <x:c r="B47" s="2" t="str">
        <x:v>S26</x:v>
      </x:c>
      <x:c r="C47" s="2" t="str">
        <x:v>merged_1212</x:v>
      </x:c>
      <x:c r="D47" s="2" t="str">
        <x:v>Reviewer_A</x:v>
      </x:c>
      <x:c r="E47" s="2" t="str">
        <x:v>Reviewer_A</x:v>
      </x:c>
      <x:c r="F47" s="2" t="str">
        <x:v>S26-T03</x:v>
      </x:c>
      <x:c r="G47" s="2" t="str">
        <x:v>generating traceable requirements</x:v>
      </x:c>
      <x:c r="H47" s="2" t="str">
        <x:v>traceability link generation</x:v>
      </x:c>
      <x:c r="I47" s="2" t="str">
        <x:v>design decisions</x:v>
      </x:c>
      <x:c r="J47" s="2" t="str">
        <x:v>design</x:v>
      </x:c>
      <x:c r="K47" s="2" t="str">
        <x:v>requirements</x:v>
      </x:c>
      <x:c r="L47" s="2" t="str">
        <x:v>requirement</x:v>
      </x:c>
      <x:c r="M47" s="2" t="str">
        <x:v>design decisions -&gt; requirements</x:v>
      </x:c>
      <x:c r="N47" s="2" t="str">
        <x:v>design</x:v>
      </x:c>
      <x:c r="O47" s="2" t="str">
        <x:v>Cyber-Physical Systems</x:v>
      </x:c>
      <x:c r="P47" s="2" t="str">
        <x:v>NR</x:v>
      </x:c>
      <x:c r="Q47" s="2" t="str">
        <x:v>Academic</x:v>
      </x:c>
      <x:c r="R47" s="2" t="str">
        <x:v>NR</x:v>
      </x:c>
      <x:c r="S47" s="6" t="str">
        <x:v>在CPS受监管领域，通过框架引导工程师记录设计决策并自动生成可追溯的安全需求</x:v>
      </x:c>
      <x:c r="T47" s="6" t="str">
        <x:v>生成的安全需求及与标准的追溯链接</x:v>
      </x:c>
      <x:c r="U47" s="6" t="str">
        <x:v>p. 2; I. INTRODUCTION (RQ3)</x:v>
      </x:c>
      <x:c r="V47" s="6" t="str">
        <x:v>How can LLM-driven traceability frameworks be adapted to achieve accountability in regulated domains such as Cyber-Physical Systems (CPS)?</x:v>
      </x:c>
      <x:c r="W47" s="6" t="str">
        <x:v>任务3：为CPS适应可追溯性框架以实现问责制</x:v>
      </x:c>
      <x:c r="X47" s="2" t="str">
        <x:v>Accepted</x:v>
      </x:c>
      <x:c r="Y47" s="6" t="str">
        <x:v>NA</x:v>
      </x:c>
    </x:row>
    <x:row r="48" ht="76" customHeight="1">
      <x:c r="A48" s="2" t="str">
        <x:v>S26-TASK-R04</x:v>
      </x:c>
      <x:c r="B48" s="2" t="str">
        <x:v>S26</x:v>
      </x:c>
      <x:c r="C48" s="2" t="str">
        <x:v>merged_1212</x:v>
      </x:c>
      <x:c r="D48" s="2" t="str">
        <x:v>Reviewer_A</x:v>
      </x:c>
      <x:c r="E48" s="2" t="str">
        <x:v>Reviewer_A</x:v>
      </x:c>
      <x:c r="F48" s="2" t="str">
        <x:v>S26-T04</x:v>
      </x:c>
      <x:c r="G48" s="2" t="str">
        <x:v>traceability from observed differences to root causes</x:v>
      </x:c>
      <x:c r="H48" s="2" t="str">
        <x:v>traceability link recovery</x:v>
      </x:c>
      <x:c r="I48" s="2" t="str">
        <x:v>differential test results</x:v>
      </x:c>
      <x:c r="J48" s="2" t="str">
        <x:v>test case</x:v>
      </x:c>
      <x:c r="K48" s="2" t="str">
        <x:v>commits, code, documentation</x:v>
      </x:c>
      <x:c r="L48" s="2" t="str">
        <x:v>commit</x:v>
      </x:c>
      <x:c r="M48" s="2" t="str">
        <x:v>test case -&gt; commit</x:v>
      </x:c>
      <x:c r="N48" s="2" t="str">
        <x:v>maintenance</x:v>
      </x:c>
      <x:c r="O48" s="2" t="str">
        <x:v>NR</x:v>
      </x:c>
      <x:c r="P48" s="2" t="str">
        <x:v>NR</x:v>
      </x:c>
      <x:c r="Q48" s="2" t="str">
        <x:v>Academic</x:v>
      </x:c>
      <x:c r="R48" s="2" t="str">
        <x:v>NR</x:v>
      </x:c>
      <x:c r="S48" s="6" t="str">
        <x:v>在差分测试中，从观察到的环境差异追溯到可能的根本原因（提交、代码、文档）</x:v>
      </x:c>
      <x:c r="T48" s="6" t="str">
        <x:v>差异到根本原因的追溯链接</x:v>
      </x:c>
      <x:c r="U48" s="6" t="str">
        <x:v>p. 4; III.D Trace-Link Generation to Support Software Maintenance</x:v>
      </x:c>
      <x:c r="V48" s="6" t="str">
        <x:v>provide traceability from observed differences in environments to possible root causes in commits, code, and documentation</x:v>
      </x:c>
      <x:c r="W48" s="6" t="str">
        <x:v>任务4：差分测试中的追溯链接恢复（计划中）</x:v>
      </x:c>
      <x:c r="X48" s="2" t="str">
        <x:v>Accepted</x:v>
      </x:c>
      <x:c r="Y48" s="6" t="str">
        <x:v>计划任务，尚未实施</x:v>
      </x:c>
    </x:row>
    <x:row r="49" ht="76" customHeight="1">
      <x:c r="A49" s="2" t="str">
        <x:v>S27-TASK-R01</x:v>
      </x:c>
      <x:c r="B49" s="2" t="str">
        <x:v>S27</x:v>
      </x:c>
      <x:c r="C49" s="2" t="str">
        <x:v>merged_1213</x:v>
      </x:c>
      <x:c r="D49" s="2" t="str">
        <x:v>Reviewer_A</x:v>
      </x:c>
      <x:c r="E49" s="2" t="str">
        <x:v>Reviewer_A</x:v>
      </x:c>
      <x:c r="F49" s="2" t="str">
        <x:v>S27-T01</x:v>
      </x:c>
      <x:c r="G49" s="2" t="str">
        <x:v>inter-requirements TLR</x:v>
      </x:c>
      <x:c r="H49" s="2" t="str">
        <x:v>traceability link recovery</x:v>
      </x:c>
      <x:c r="I49" s="2" t="str">
        <x:v>high-level requirements (HLR)</x:v>
      </x:c>
      <x:c r="J49" s="2" t="str">
        <x:v>requirement</x:v>
      </x:c>
      <x:c r="K49" s="2" t="str">
        <x:v>low-level requirements (LLR)</x:v>
      </x:c>
      <x:c r="L49" s="2" t="str">
        <x:v>requirement</x:v>
      </x:c>
      <x:c r="M49" s="2" t="str">
        <x:v>HLR -&gt; LLR</x:v>
      </x:c>
      <x:c r="N49" s="2" t="str">
        <x:v>requirements</x:v>
      </x:c>
      <x:c r="O49" s="2" t="str">
        <x:v>Aerospace, Project Management, Archiving</x:v>
      </x:c>
      <x:c r="P49" s="2" t="str">
        <x:v>CM1-NASA, Dronology, GANNT, MODIS, WARC</x:v>
      </x:c>
      <x:c r="Q49" s="2" t="str">
        <x:v>Academic</x:v>
      </x:c>
      <x:c r="R49" s="2" t="str">
        <x:v>NA</x:v>
      </x:c>
      <x:c r="S49" s="6" t="str">
        <x:v>在给定高层需求和低层需求对中，判断是否存在可追溯性细化链接。</x:v>
      </x:c>
      <x:c r="T49" s="6" t="str">
        <x:v>预测的相关链接集合（二分类）。</x:v>
      </x:c>
      <x:c r="U49" s="6" t="str">
        <x:v>p. 1; Abstract</x:v>
      </x:c>
      <x:c r="V49" s="6" t="str">
        <x:v>We propose an inter-requirements TLR approach that uses an ensemble of small LLMs</x:v>
      </x:c>
      <x:c r="W49" s="6" t="str">
        <x:v>任务明确为需求间追溯链接恢复，属于经典TLR问题。</x:v>
      </x:c>
      <x:c r="X49" s="2" t="str">
        <x:v>Accepted</x:v>
      </x:c>
      <x:c r="Y49" s="6" t="str">
        <x:v>NA</x:v>
      </x:c>
    </x:row>
    <x:row r="50" ht="76" customHeight="1">
      <x:c r="A50" s="2" t="str">
        <x:v>S28-TASK-R01</x:v>
      </x:c>
      <x:c r="B50" s="2" t="str">
        <x:v>S28</x:v>
      </x:c>
      <x:c r="C50" s="2" t="str">
        <x:v>merged_1214</x:v>
      </x:c>
      <x:c r="D50" s="2" t="str">
        <x:v>Reviewer_A</x:v>
      </x:c>
      <x:c r="E50" s="2" t="str">
        <x:v>Reviewer_A</x:v>
      </x:c>
      <x:c r="F50" s="2" t="str">
        <x:v>S28-T01</x:v>
      </x:c>
      <x:c r="G50" s="2" t="str">
        <x:v>Establishing traceability links between natural language requirements and source code classes</x:v>
      </x:c>
      <x:c r="H50" s="2" t="str">
        <x:v>traceability link establishment</x:v>
      </x:c>
      <x:c r="I50" s="2" t="str">
        <x:v>natural language use case requirements</x:v>
      </x:c>
      <x:c r="J50" s="2" t="str">
        <x:v>requirement</x:v>
      </x:c>
      <x:c r="K50" s="2" t="str">
        <x:v>source code classes</x:v>
      </x:c>
      <x:c r="L50" s="2" t="str">
        <x:v>source code</x:v>
      </x:c>
      <x:c r="M50" s="2" t="str">
        <x:v>requirement -&gt; source code</x:v>
      </x:c>
      <x:c r="N50" s="2" t="str">
        <x:v>cross-lifecycle</x:v>
      </x:c>
      <x:c r="O50" s="2" t="str">
        <x:v>NR</x:v>
      </x:c>
      <x:c r="P50" s="2" t="str">
        <x:v>NR</x:v>
      </x:c>
      <x:c r="Q50" s="2" t="str">
        <x:v>Academic</x:v>
      </x:c>
      <x:c r="R50" s="2" t="str">
        <x:v>NA</x:v>
      </x:c>
      <x:c r="S50" s="6" t="str">
        <x:v>使用RARTG方法从自然语言用例需求建立到源代码类的追溯链接，通过多索引检索与LLM生成预测相关类。</x:v>
      </x:c>
      <x:c r="T50" s="6" t="str">
        <x:v>LLM输出一个JSON列表，包含与需求相关的类名。</x:v>
      </x:c>
      <x:c r="U50" s="6" t="str">
        <x:v>p. 2; Section 1</x:v>
      </x:c>
      <x:c r="V50" s="6" t="str">
        <x:v>Our approach focuses on improving the state-of-the-art of use case requirements to source code classes traceability</x:v>
      </x:c>
      <x:c r="W50" s="6" t="str">
        <x:v>核心追溯活动：将需求文本链接至代码类。</x:v>
      </x:c>
      <x:c r="X50" s="2" t="str">
        <x:v>Accepted</x:v>
      </x:c>
      <x:c r="Y50" s="6" t="str">
        <x:v>NA</x:v>
      </x:c>
    </x:row>
    <x:row r="51" ht="76" customHeight="1">
      <x:c r="A51" s="2" t="str">
        <x:v>S28-TASK-R02</x:v>
      </x:c>
      <x:c r="B51" s="2" t="str">
        <x:v>S28</x:v>
      </x:c>
      <x:c r="C51" s="2" t="str">
        <x:v>merged_1214</x:v>
      </x:c>
      <x:c r="D51" s="2" t="str">
        <x:v>Reviewer_A</x:v>
      </x:c>
      <x:c r="E51" s="2" t="str">
        <x:v>Reviewer_A</x:v>
      </x:c>
      <x:c r="F51" s="2" t="str">
        <x:v>S28-T02</x:v>
      </x:c>
      <x:c r="G51" s="2" t="str">
        <x:v>LLM-based code summary generation</x:v>
      </x:c>
      <x:c r="H51" s="2" t="str">
        <x:v>trace-aware artifact generation</x:v>
      </x:c>
      <x:c r="I51" s="2" t="str">
        <x:v>source code of the whole class</x:v>
      </x:c>
      <x:c r="J51" s="2" t="str">
        <x:v>source code</x:v>
      </x:c>
      <x:c r="K51" s="2" t="str">
        <x:v>class summary</x:v>
      </x:c>
      <x:c r="L51" s="2" t="str">
        <x:v>generated artifact</x:v>
      </x:c>
      <x:c r="M51" s="2" t="str">
        <x:v>source code -&gt; class summary</x:v>
      </x:c>
      <x:c r="N51" s="2" t="str">
        <x:v>cross-lifecycle</x:v>
      </x:c>
      <x:c r="O51" s="2" t="str">
        <x:v>NR</x:v>
      </x:c>
      <x:c r="P51" s="2" t="str">
        <x:v>NR</x:v>
      </x:c>
      <x:c r="Q51" s="2" t="str">
        <x:v>Academic</x:v>
      </x:c>
      <x:c r="R51" s="2" t="str">
        <x:v>NA</x:v>
      </x:c>
      <x:c r="S51" s="6" t="str">
        <x:v>使用LLM为整个类生成摘要，捕获类的目的、属性和方法，以改进后续追溯索引。</x:v>
      </x:c>
      <x:c r="T51" s="6" t="str">
        <x:v>生成的类摘要文本，格式为“Class Name: &lt;Class Summary&gt; Method Name: &lt;Method Summary&gt; ...”。</x:v>
      </x:c>
      <x:c r="U51" s="6" t="str">
        <x:v>p. 8; Section 4.1</x:v>
      </x:c>
      <x:c r="V51" s="6" t="str">
        <x:v>We use an LLM to generate the class docstring using the source code of the whole class.</x:v>
      </x:c>
      <x:c r="W51" s="6" t="str">
        <x:v>生成支持追溯的中间制品。</x:v>
      </x:c>
      <x:c r="X51" s="2" t="str">
        <x:v>Accepted</x:v>
      </x:c>
      <x:c r="Y51" s="6" t="str">
        <x:v>NA</x:v>
      </x:c>
    </x:row>
    <x:row r="52" ht="76" customHeight="1">
      <x:c r="A52" s="2" t="str">
        <x:v>S29-TASK-R01</x:v>
      </x:c>
      <x:c r="B52" s="2" t="str">
        <x:v>S29</x:v>
      </x:c>
      <x:c r="C52" s="2" t="str">
        <x:v>merged_1215-v4</x:v>
      </x:c>
      <x:c r="D52" s="2" t="str">
        <x:v>Reviewer_A</x:v>
      </x:c>
      <x:c r="E52" s="2" t="str">
        <x:v>Reviewer_A</x:v>
      </x:c>
      <x:c r="F52" s="2" t="str">
        <x:v>S29-T01</x:v>
      </x:c>
      <x:c r="G52" s="2" t="str">
        <x:v>traceability validation</x:v>
      </x:c>
      <x:c r="H52" s="2" t="str">
        <x:v>traceability link validation</x:v>
      </x:c>
      <x:c r="I52" s="2" t="str">
        <x:v>stakeholder requirements</x:v>
      </x:c>
      <x:c r="J52" s="2" t="str">
        <x:v>requirement</x:v>
      </x:c>
      <x:c r="K52" s="2" t="str">
        <x:v>system requirements</x:v>
      </x:c>
      <x:c r="L52" s="2" t="str">
        <x:v>requirement</x:v>
      </x:c>
      <x:c r="M52" s="2" t="str">
        <x:v>stakeholder requirement -&gt; system requirement</x:v>
      </x:c>
      <x:c r="N52" s="2" t="str">
        <x:v>requirements</x:v>
      </x:c>
      <x:c r="O52" s="2" t="str">
        <x:v>automotive</x:v>
      </x:c>
      <x:c r="P52" s="2" t="str">
        <x:v>DTC requirements from automotive system</x:v>
      </x:c>
      <x:c r="Q52" s="2" t="str">
        <x:v>Industrial</x:v>
      </x:c>
      <x:c r="R52" s="2" t="str">
        <x:v>Wind River Systems</x:v>
      </x:c>
      <x:c r="S52" s="6" t="str">
        <x:v>验证利益相关者需求与系统需求之间的既有追溯链是否有效，即系统需求是否涵盖了利益相关者需求中的消息或信号。</x:v>
      </x:c>
      <x:c r="T52" s="6" t="str">
        <x:v>对每条追溯链输出“Yes”或“No”，表示有效或无效。</x:v>
      </x:c>
      <x:c r="U52" s="6" t="str">
        <x:v>p. 1; Abstract</x:v>
      </x:c>
      <x:c r="V52" s="6" t="str">
        <x:v>TVR is designed to validate existing traceability links and recover missing ones with high accuracy.</x:v>
      </x:c>
      <x:c r="W52" s="6" t="str">
        <x:v>T1是核心验证任务，直接对应RQ1-3。</x:v>
      </x:c>
      <x:c r="X52" s="2" t="str">
        <x:v>Accepted</x:v>
      </x:c>
      <x:c r="Y52" s="6" t="str">
        <x:v>NA</x:v>
      </x:c>
    </x:row>
    <x:row r="53" ht="76" customHeight="1">
      <x:c r="A53" s="2" t="str">
        <x:v>S29-TASK-R02</x:v>
      </x:c>
      <x:c r="B53" s="2" t="str">
        <x:v>S29</x:v>
      </x:c>
      <x:c r="C53" s="2" t="str">
        <x:v>merged_1215-v4</x:v>
      </x:c>
      <x:c r="D53" s="2" t="str">
        <x:v>Reviewer_A</x:v>
      </x:c>
      <x:c r="E53" s="2" t="str">
        <x:v>Reviewer_A</x:v>
      </x:c>
      <x:c r="F53" s="2" t="str">
        <x:v>S29-T02</x:v>
      </x:c>
      <x:c r="G53" s="2" t="str">
        <x:v>traceability recovery</x:v>
      </x:c>
      <x:c r="H53" s="2" t="str">
        <x:v>traceability link recovery</x:v>
      </x:c>
      <x:c r="I53" s="2" t="str">
        <x:v>stakeholder requirements</x:v>
      </x:c>
      <x:c r="J53" s="2" t="str">
        <x:v>requirement</x:v>
      </x:c>
      <x:c r="K53" s="2" t="str">
        <x:v>system requirements</x:v>
      </x:c>
      <x:c r="L53" s="2" t="str">
        <x:v>requirement</x:v>
      </x:c>
      <x:c r="M53" s="2" t="str">
        <x:v>stakeholder requirement -&gt; system requirement</x:v>
      </x:c>
      <x:c r="N53" s="2" t="str">
        <x:v>requirements</x:v>
      </x:c>
      <x:c r="O53" s="2" t="str">
        <x:v>automotive</x:v>
      </x:c>
      <x:c r="P53" s="2" t="str">
        <x:v>DTC requirements from automotive system (after preprocessing 1,919 candidate pairs)</x:v>
      </x:c>
      <x:c r="Q53" s="2" t="str">
        <x:v>Industrial</x:v>
      </x:c>
      <x:c r="R53" s="2" t="str">
        <x:v>Wind River Systems</x:v>
      </x:c>
      <x:c r="S53" s="6" t="str">
        <x:v>发现并恢复利益相关者需求与系统需求之间缺失的追溯链，使用TVR对预处理后的候选需求对进行验证。</x:v>
      </x:c>
      <x:c r="T53" s="6" t="str">
        <x:v>预测为有效的需求对，经人工验证确认其为正确的缺失追溯链。</x:v>
      </x:c>
      <x:c r="U53" s="6" t="str">
        <x:v>p. 3; Abstract</x:v>
      </x:c>
      <x:c r="V53" s="6" t="str">
        <x:v>Additionally, TVR successfully identified 502 missing traceability links with an accuracy of 85.50% within the dataset.</x:v>
      </x:c>
      <x:c r="W53" s="6" t="str">
        <x:v>T2是恢复任务，对应RQ4。</x:v>
      </x:c>
      <x:c r="X53" s="2" t="str">
        <x:v>Accepted</x:v>
      </x:c>
      <x:c r="Y53" s="6" t="str">
        <x:v>NA</x:v>
      </x:c>
    </x:row>
    <x:row r="54" ht="76" customHeight="1">
      <x:c r="A54" s="2" t="str">
        <x:v>S30-TASK-R01</x:v>
      </x:c>
      <x:c r="B54" s="2" t="str">
        <x:v>S30</x:v>
      </x:c>
      <x:c r="C54" s="2" t="str">
        <x:v>merged_1218</x:v>
      </x:c>
      <x:c r="D54" s="2" t="str">
        <x:v>Reviewer_A</x:v>
      </x:c>
      <x:c r="E54" s="2" t="str">
        <x:v>Reviewer_A</x:v>
      </x:c>
      <x:c r="F54" s="2" t="str">
        <x:v>S30-T01</x:v>
      </x:c>
      <x:c r="G54" s="2" t="str">
        <x:v>onboarding</x:v>
      </x:c>
      <x:c r="H54" s="2" t="str">
        <x:v>traceability link recovery</x:v>
      </x:c>
      <x:c r="I54" s="2" t="str">
        <x:v>Task</x:v>
      </x:c>
      <x:c r="J54" s="2" t="str">
        <x:v>issue</x:v>
      </x:c>
      <x:c r="K54" s="2" t="str">
        <x:v>Microservice</x:v>
      </x:c>
      <x:c r="L54" s="2" t="str">
        <x:v>architecture model</x:v>
      </x:c>
      <x:c r="M54" s="2" t="str">
        <x:v>Task -&gt; Microservice (affects)</x:v>
      </x:c>
      <x:c r="N54" s="2" t="str">
        <x:v>implementation</x:v>
      </x:c>
      <x:c r="O54" s="2" t="str">
        <x:v>NR</x:v>
      </x:c>
      <x:c r="P54" s="2" t="str">
        <x:v>Open-source synthesized Azure DevOps dataset (Neo4j microservices)</x:v>
      </x:c>
      <x:c r="Q54" s="2" t="str">
        <x:v>Academic</x:v>
      </x:c>
      <x:c r="R54" s="2" t="str">
        <x:v>itemis</x:v>
      </x:c>
      <x:c r="S54" s="6" t="str">
        <x:v>使用GDI回答关于微服务、任务和团队之间依赖关系的问题，以支持新成员入职。</x:v>
      </x:c>
      <x:c r="T54" s="6" t="str">
        <x:v>自然语言答案、生成的Cypher查询和检索到的图上下文。</x:v>
      </x:c>
      <x:c r="U54" s="6" t="str">
        <x:v>p. 5; Section IV</x:v>
      </x:c>
      <x:c r="V54" s="6" t="str">
        <x:v>The considered user queries were as follows: UQ1 :What are the dependencies of [SERVICE NAME]?</x:v>
      </x:c>
      <x:c r="W54" s="6" t="str">
        <x:v>入职任务通过查询工件之间的追踪关系来获取知识，尽管原文未明确归类为追踪，但本质上涉及追踪链接的恢复。</x:v>
      </x:c>
      <x:c r="X54" s="2" t="str">
        <x:v>Accepted</x:v>
      </x:c>
      <x:c r="Y54" s="6" t="str">
        <x:v>The onboarding task is not explicitly labeled as traceability in the paper, but the activities involve querying existing trace links between work items. We code it as traceability link recovery.</x:v>
      </x:c>
    </x:row>
    <x:row r="55" ht="76" customHeight="1">
      <x:c r="A55" s="2" t="str">
        <x:v>S30-TASK-R02</x:v>
      </x:c>
      <x:c r="B55" s="2" t="str">
        <x:v>S30</x:v>
      </x:c>
      <x:c r="C55" s="2" t="str">
        <x:v>merged_1218</x:v>
      </x:c>
      <x:c r="D55" s="2" t="str">
        <x:v>Reviewer_A</x:v>
      </x:c>
      <x:c r="E55" s="2" t="str">
        <x:v>Reviewer_A</x:v>
      </x:c>
      <x:c r="F55" s="2" t="str">
        <x:v>S30-T02</x:v>
      </x:c>
      <x:c r="G55" s="2" t="str">
        <x:v>trace link recovery</x:v>
      </x:c>
      <x:c r="H55" s="2" t="str">
        <x:v>traceability link recovery</x:v>
      </x:c>
      <x:c r="I55" s="2" t="str">
        <x:v>Bug</x:v>
      </x:c>
      <x:c r="J55" s="2" t="str">
        <x:v>issue</x:v>
      </x:c>
      <x:c r="K55" s="2" t="str">
        <x:v>User Story</x:v>
      </x:c>
      <x:c r="L55" s="2" t="str">
        <x:v>requirement</x:v>
      </x:c>
      <x:c r="M55" s="2" t="str">
        <x:v>Bug -&gt; User Story (traced)</x:v>
      </x:c>
      <x:c r="N55" s="2" t="str">
        <x:v>cross-lifecycle</x:v>
      </x:c>
      <x:c r="O55" s="2" t="str">
        <x:v>NR</x:v>
      </x:c>
      <x:c r="P55" s="2" t="str">
        <x:v>Non-profit organization care (NPO) from VX Company</x:v>
      </x:c>
      <x:c r="Q55" s="2" t="str">
        <x:v>Academic</x:v>
      </x:c>
      <x:c r="R55" s="2" t="str">
        <x:v>VX Company</x:v>
      </x:c>
      <x:c r="S55" s="6" t="str">
        <x:v>在问题追踪系统中恢复工作项之间的追踪链接，例如Bug与User Story之间的关系。</x:v>
      </x:c>
      <x:c r="T55" s="6" t="str">
        <x:v>自然语言答案、生成的Cypher查询和检索到的图上下文。</x:v>
      </x:c>
      <x:c r="U55" s="6" t="str">
        <x:v>p. 7; Section V</x:v>
      </x:c>
      <x:c r="V55" s="6" t="str">
        <x:v>UQ6 :Is there a relationship between Bug [ID] and User Story [ID]?</x:v>
      </x:c>
      <x:c r="W55" s="6" t="str">
        <x:v>该任务明确聚焦于追踪链接恢复，恢复Bug与User Story等工件之间的链接。</x:v>
      </x:c>
      <x:c r="X55" s="2" t="str">
        <x:v>Accepted</x:v>
      </x:c>
      <x:c r="Y55" s="6" t="str">
        <x:v>NA</x:v>
      </x:c>
    </x:row>
    <x:row r="56" ht="76" customHeight="1">
      <x:c r="A56" s="2" t="str">
        <x:v>S31-TASK-R01</x:v>
      </x:c>
      <x:c r="B56" s="2" t="str">
        <x:v>S31</x:v>
      </x:c>
      <x:c r="C56" s="2" t="str">
        <x:v>merged_1219</x:v>
      </x:c>
      <x:c r="D56" s="2" t="str">
        <x:v>Reviewer_A</x:v>
      </x:c>
      <x:c r="E56" s="2" t="str">
        <x:v>Reviewer_A</x:v>
      </x:c>
      <x:c r="F56" s="2" t="str">
        <x:v>S31-T01</x:v>
      </x:c>
      <x:c r="G56" s="2" t="str">
        <x:v>generating context-aware learning materials ... via LLM agents and traceability</x:v>
      </x:c>
      <x:c r="H56" s="2" t="str">
        <x:v>trace-aware artifact generation</x:v>
      </x:c>
      <x:c r="I56" s="2" t="str">
        <x:v>trace link (ISO 27001 clause, risk-assessment finding, vulnerability-scan result) and description</x:v>
      </x:c>
      <x:c r="J56" s="2" t="str">
        <x:v>other</x:v>
      </x:c>
      <x:c r="K56" s="2" t="str">
        <x:v>teaching report (generated artifact)</x:v>
      </x:c>
      <x:c r="L56" s="2" t="str">
        <x:v>generated artifact</x:v>
      </x:c>
      <x:c r="M56" s="2" t="str">
        <x:v>trace link -&gt; teaching report</x:v>
      </x:c>
      <x:c r="N56" s="2" t="str">
        <x:v>cross-lifecycle</x:v>
      </x:c>
      <x:c r="O56" s="2" t="str">
        <x:v>automotive cybersecurity</x:v>
      </x:c>
      <x:c r="P56" s="2" t="str">
        <x:v>real life cases from a company</x:v>
      </x:c>
      <x:c r="Q56" s="2" t="str">
        <x:v>Mixed</x:v>
      </x:c>
      <x:c r="R56" s="2" t="str">
        <x:v>500-employee Italian consulting firm specialised in automotive cybersecurity</x:v>
      </x:c>
      <x:c r="S56" s="6" t="str">
        <x:v>原型接受安全问题描述和现有的追溯链接，通过多智能体LLM架构（Researcher, Coding Specialist, Media Fetcher等）自动生成包含图文视频的教学报告</x:v>
      </x:c>
      <x:c r="T56" s="6" t="str">
        <x:v>生成的教学报告可被专家验证准确性和教育效果</x:v>
      </x:c>
      <x:c r="U56" s="6" t="str">
        <x:v>p. 2; Section I</x:v>
      </x:c>
      <x:c r="V56" s="6" t="str">
        <x:v>This paper presents a prototype that uses real automotive trace links and LLM agents to generate contextualised learning materials, including tutorials and multimedia examples.</x:v>
      </x:c>
      <x:c r="W56" s="6" t="str">
        <x:v>任务是将现有追溯链接转化为教学材料，属于追溯感知的制品生成，而非追溯链接建立</x:v>
      </x:c>
      <x:c r="X56" s="2" t="str">
        <x:v>Accepted</x:v>
      </x:c>
      <x:c r="Y56" s="6" t="str">
        <x:v>NA</x:v>
      </x:c>
    </x:row>
    <x:row r="57" ht="76" customHeight="1">
      <x:c r="A57" s="2" t="str">
        <x:v>S32-TASK-R01</x:v>
      </x:c>
      <x:c r="B57" s="2" t="str">
        <x:v>S32</x:v>
      </x:c>
      <x:c r="C57" s="2" t="str">
        <x:v>merged_1220</x:v>
      </x:c>
      <x:c r="D57" s="2" t="str">
        <x:v>Reviewer_A</x:v>
      </x:c>
      <x:c r="E57" s="2" t="str">
        <x:v>Reviewer_A</x:v>
      </x:c>
      <x:c r="F57" s="2" t="str">
        <x:v>S32-T01</x:v>
      </x:c>
      <x:c r="G57" s="2" t="str">
        <x:v>constructing cross-level traceability links</x:v>
      </x:c>
      <x:c r="H57" s="2" t="str">
        <x:v>traceability link establishment</x:v>
      </x:c>
      <x:c r="I57" s="2" t="str">
        <x:v>system-level requirements</x:v>
      </x:c>
      <x:c r="J57" s="2" t="str">
        <x:v>requirement</x:v>
      </x:c>
      <x:c r="K57" s="2" t="str">
        <x:v>component-level requirements</x:v>
      </x:c>
      <x:c r="L57" s="2" t="str">
        <x:v>requirement</x:v>
      </x:c>
      <x:c r="M57" s="2" t="str">
        <x:v>system-level requirements -&gt; component-level requirements</x:v>
      </x:c>
      <x:c r="N57" s="2" t="str">
        <x:v>requirements</x:v>
      </x:c>
      <x:c r="O57" s="2" t="str">
        <x:v>automotive</x:v>
      </x:c>
      <x:c r="P57" s="2" t="str">
        <x:v>NR</x:v>
      </x:c>
      <x:c r="Q57" s="2" t="str">
        <x:v>Industrial</x:v>
      </x:c>
      <x:c r="R57" s="2" t="str">
        <x:v>Beijing Automotive Research Institute Co., Ltd.</x:v>
      </x:c>
      <x:c r="S57" s="6" t="str">
        <x:v>在汽车嵌入式系统中，构建系统级需求与组件级需求之间的可追溯性链接，以支持变更影响分析和系统验证。</x:v>
      </x:c>
      <x:c r="T57" s="6" t="str">
        <x:v>通过信号匹配和依赖路径分析生成从系统级到组件级的映射关系集合。</x:v>
      </x:c>
      <x:c r="U57" s="6" t="str">
        <x:v>p. 1; Abstract.</x:v>
      </x:c>
      <x:c r="V57" s="6" t="str">
        <x:v>we propose a method for constructing cross-layer traceability links for automotive systems.</x:v>
      </x:c>
      <x:c r="W57" s="6" t="str">
        <x:v>论文核心任务：构建汽车系统跨层追溯链接。</x:v>
      </x:c>
      <x:c r="X57" s="2" t="str">
        <x:v>Accepted</x:v>
      </x:c>
      <x:c r="Y57" s="6" t="str">
        <x:v>NR</x:v>
      </x:c>
    </x:row>
    <x:row r="58" ht="76" customHeight="1">
      <x:c r="A58" s="2" t="str">
        <x:v>S33-TASK-R01</x:v>
      </x:c>
      <x:c r="B58" s="2" t="str">
        <x:v>S33</x:v>
      </x:c>
      <x:c r="C58" s="2" t="str">
        <x:v>merged_1222</x:v>
      </x:c>
      <x:c r="D58" s="2" t="str">
        <x:v>Reviewer_A</x:v>
      </x:c>
      <x:c r="E58" s="2" t="str">
        <x:v>Reviewer_A</x:v>
      </x:c>
      <x:c r="F58" s="2" t="str">
        <x:v>S33-T01</x:v>
      </x:c>
      <x:c r="G58" s="2" t="str">
        <x:v>recover trace links between safety and security requirements and source code</x:v>
      </x:c>
      <x:c r="H58" s="2" t="str">
        <x:v>traceability link recovery</x:v>
      </x:c>
      <x:c r="I58" s="2" t="str">
        <x:v>security requirements</x:v>
      </x:c>
      <x:c r="J58" s="2" t="str">
        <x:v>requirement</x:v>
      </x:c>
      <x:c r="K58" s="2" t="str">
        <x:v>source code</x:v>
      </x:c>
      <x:c r="L58" s="2" t="str">
        <x:v>source code</x:v>
      </x:c>
      <x:c r="M58" s="2" t="str">
        <x:v>security requirements -&gt; source code</x:v>
      </x:c>
      <x:c r="N58" s="2" t="str">
        <x:v>cross-lifecycle</x:v>
      </x:c>
      <x:c r="O58" s="2" t="str">
        <x:v>safety/security</x:v>
      </x:c>
      <x:c r="P58" s="2" t="str">
        <x:v>Synthetic dataset</x:v>
      </x:c>
      <x:c r="Q58" s="2" t="str">
        <x:v>Academic</x:v>
      </x:c>
      <x:c r="R58" s="2" t="str">
        <x:v>NA</x:v>
      </x:c>
      <x:c r="S58" s="6" t="str">
        <x:v>给定安全需求与源代码函数，LLM评估二者之间的相关性，给出0-10的分数，以建立追踪链接。</x:v>
      </x:c>
      <x:c r="T58" s="6" t="str">
        <x:v>LLM输出相关性评分和/或二值判断，指示是否存在追踪链接。</x:v>
      </x:c>
      <x:c r="U58" s="6" t="str">
        <x:v>p. 3; Section III-A</x:v>
      </x:c>
      <x:c r="V58" s="6" t="str">
        <x:v>The LLM's task is to evaluate how well the requirement aligns with the provided code. This evaluation is represented by a score ranging from 0 to 10, where 0 indicates no alignment, and 10 signifies a perfect match.</x:v>
      </x:c>
      <x:c r="W58" s="6" t="str">
        <x:v>任务是从安全需求到源代码的追踪链接恢复，LLM通过评分机制评估配对。</x:v>
      </x:c>
      <x:c r="X58" s="2" t="str">
        <x:v>Accepted</x:v>
      </x:c>
      <x:c r="Y58" s="6" t="str">
        <x:v>论文还开发了VSCode插件，但核心任务是追踪链接恢复。</x:v>
      </x:c>
    </x:row>
    <x:row r="59" ht="76" customHeight="1">
      <x:c r="A59" s="2" t="str">
        <x:v>S34-TASK-R01</x:v>
      </x:c>
      <x:c r="B59" s="2" t="str">
        <x:v>S34</x:v>
      </x:c>
      <x:c r="C59" s="2" t="str">
        <x:v>merged_1224-v1</x:v>
      </x:c>
      <x:c r="D59" s="2" t="str">
        <x:v>Reviewer_A</x:v>
      </x:c>
      <x:c r="E59" s="2" t="str">
        <x:v>Reviewer_A</x:v>
      </x:c>
      <x:c r="F59" s="2" t="str">
        <x:v>S34-T01</x:v>
      </x:c>
      <x:c r="G59" s="2" t="str">
        <x:v>enrich a UML class diagram with method definitions derived from structured use cases and include inline annotations linking each method to its source use case and specific scenario action</x:v>
      </x:c>
      <x:c r="H59" s="2" t="str">
        <x:v>traceability link generation</x:v>
      </x:c>
      <x:c r="I59" s="2" t="str">
        <x:v>UML method definitions</x:v>
      </x:c>
      <x:c r="J59" s="2" t="str">
        <x:v>UML model</x:v>
      </x:c>
      <x:c r="K59" s="2" t="str">
        <x:v>structured use cases</x:v>
      </x:c>
      <x:c r="L59" s="2" t="str">
        <x:v>requirement</x:v>
      </x:c>
      <x:c r="M59" s="2" t="str">
        <x:v>method -&gt; use case</x:v>
      </x:c>
      <x:c r="N59" s="2" t="str">
        <x:v>cross-lifecycle</x:v>
      </x:c>
      <x:c r="O59" s="2" t="str">
        <x:v>waste management</x:v>
      </x:c>
      <x:c r="P59" s="2" t="str">
        <x:v>waste management system</x:v>
      </x:c>
      <x:c r="Q59" s="2" t="str">
        <x:v>Academic</x:v>
      </x:c>
      <x:c r="R59" s="2" t="str">
        <x:v>NA</x:v>
      </x:c>
      <x:c r="S59" s="6" t="str">
        <x:v>LLM根据结构化用例描述生成UML类图方法，并在方法中添加内联注释以链接到源用例和动作</x:v>
      </x:c>
      <x:c r="T59" s="6" t="str">
        <x:v>PlantUML代码中的注释包含//UCXX和//action:</x:v>
      </x:c>
      <x:c r="U59" s="6" t="str">
        <x:v>p. 7; section 3.2</x:v>
      </x:c>
      <x:c r="V59" s="6" t="str">
        <x:v>The LLM was instructed to produce a complete, syntactically valid PlantUML diagram with inline annotations linking each method to its source use case and specific scenario action.</x:v>
      </x:c>
      <x:c r="W59" s="6" t="str">
        <x:v>该任务本质上是通过方法注释建立从UML方法到用例的追溯链接</x:v>
      </x:c>
      <x:c r="X59" s="2" t="str">
        <x:v>Accepted</x:v>
      </x:c>
      <x:c r="Y59" s="6" t="str">
        <x:v>NA</x:v>
      </x:c>
    </x:row>
    <x:row r="60" ht="76" customHeight="1">
      <x:c r="A60" s="2" t="str">
        <x:v>S35-TASK-R01</x:v>
      </x:c>
      <x:c r="B60" s="2" t="str">
        <x:v>S35</x:v>
      </x:c>
      <x:c r="C60" s="2" t="str">
        <x:v>merged_1225</x:v>
      </x:c>
      <x:c r="D60" s="2" t="str">
        <x:v>Reviewer_A</x:v>
      </x:c>
      <x:c r="E60" s="2" t="str">
        <x:v>Reviewer_A</x:v>
      </x:c>
      <x:c r="F60" s="2" t="str">
        <x:v>S35-T01</x:v>
      </x:c>
      <x:c r="G60" s="2" t="str">
        <x:v>automated trace recovery methods</x:v>
      </x:c>
      <x:c r="H60" s="2" t="str">
        <x:v>traceability link recovery</x:v>
      </x:c>
      <x:c r="I60" s="2" t="str">
        <x:v>feature tests (.rb files)</x:v>
      </x:c>
      <x:c r="J60" s="2" t="str">
        <x:v>test case</x:v>
      </x:c>
      <x:c r="K60" s="2" t="str">
        <x:v>textual requirements</x:v>
      </x:c>
      <x:c r="L60" s="2" t="str">
        <x:v>requirement</x:v>
      </x:c>
      <x:c r="M60" s="2" t="str">
        <x:v>feature tests -&gt; textual requirements</x:v>
      </x:c>
      <x:c r="N60" s="2" t="str">
        <x:v>cross-lifecycle</x:v>
      </x:c>
      <x:c r="O60" s="2" t="str">
        <x:v>higher-education digital repository</x:v>
      </x:c>
      <x:c r="P60" s="2" t="str">
        <x:v>Scholar@UC</x:v>
      </x:c>
      <x:c r="Q60" s="2" t="str">
        <x:v>Academic</x:v>
      </x:c>
      <x:c r="R60" s="2" t="str">
        <x:v>NA</x:v>
      </x:c>
      <x:c r="S60" s="6" t="str">
        <x:v>使用向量空间模型（Cosine）和RoBERTa两种自动恢复方法，为每个功能测试找到最匹配的文本需求</x:v>
      </x:c>
      <x:c r="T60" s="6" t="str">
        <x:v>每个.rb文件获得一个最佳匹配的需求ID</x:v>
      </x:c>
      <x:c r="U60" s="6" t="str">
        <x:v>p. 2; Section II</x:v>
      </x:c>
      <x:c r="V60" s="6" t="str">
        <x:v>For each .rb file, we apply two automated trace recovery methods to find the top-matched requirement from the 146 candidates.</x:v>
      </x:c>
      <x:c r="W60" s="6" t="str">
        <x:v>该任务执行传统的追踪链接恢复，利用文本或语义相似度计算源测试与目标需求之间的匹配</x:v>
      </x:c>
      <x:c r="X60" s="2" t="str">
        <x:v>Accepted</x:v>
      </x:c>
      <x:c r="Y60" s="6" t="str">
        <x:v>NA</x:v>
      </x:c>
    </x:row>
    <x:row r="61" ht="76" customHeight="1">
      <x:c r="A61" s="2" t="str">
        <x:v>S35-TASK-R02</x:v>
      </x:c>
      <x:c r="B61" s="2" t="str">
        <x:v>S35</x:v>
      </x:c>
      <x:c r="C61" s="2" t="str">
        <x:v>merged_1225</x:v>
      </x:c>
      <x:c r="D61" s="2" t="str">
        <x:v>Reviewer_A</x:v>
      </x:c>
      <x:c r="E61" s="2" t="str">
        <x:v>Reviewer_A</x:v>
      </x:c>
      <x:c r="F61" s="2" t="str">
        <x:v>S35-T02</x:v>
      </x:c>
      <x:c r="G61" s="2" t="str">
        <x:v>prompting ChatGPT to generate the textual description of the feature</x:v>
      </x:c>
      <x:c r="H61" s="2" t="str">
        <x:v>traceability link generation</x:v>
      </x:c>
      <x:c r="I61" s="2" t="str">
        <x:v>feature test code (.rb file content)</x:v>
      </x:c>
      <x:c r="J61" s="2" t="str">
        <x:v>test case</x:v>
      </x:c>
      <x:c r="K61" s="2" t="str">
        <x:v>generated feature description</x:v>
      </x:c>
      <x:c r="L61" s="2" t="str">
        <x:v>generated artifact</x:v>
      </x:c>
      <x:c r="M61" s="2" t="str">
        <x:v>feature test code -&gt; generated feature description</x:v>
      </x:c>
      <x:c r="N61" s="2" t="str">
        <x:v>cross-lifecycle</x:v>
      </x:c>
      <x:c r="O61" s="2" t="str">
        <x:v>higher-education digital repository</x:v>
      </x:c>
      <x:c r="P61" s="2" t="str">
        <x:v>Scholar@UC</x:v>
      </x:c>
      <x:c r="Q61" s="2" t="str">
        <x:v>Academic</x:v>
      </x:c>
      <x:c r="R61" s="2" t="str">
        <x:v>NA</x:v>
      </x:c>
      <x:c r="S61" s="6" t="str">
        <x:v>通过两种提示（baseline和pattern-enriched）让ChatGPT根据测试代码生成功能描述，作为追踪目标</x:v>
      </x:c>
      <x:c r="T61" s="6" t="str">
        <x:v>一段描述该测试所验证功能的自然语言文本</x:v>
      </x:c>
      <x:c r="U61" s="6" t="str">
        <x:v>p. 3; Section II</x:v>
      </x:c>
      <x:c r="V61" s="6" t="str">
        <x:v>we investigate the potential of OpenAI’s ChatGPT—a prominent large language model—in generating the textual description of the feature tested by an .rb file. We exploit gpt-3.5-turbo [24] and experiment two prompts.</x:v>
      </x:c>
      <x:c r="W61" s="6" t="str">
        <x:v>该任务将LLM用于生成追踪目标，而非从已有需求库中恢复链接，是一种生成式追踪范式</x:v>
      </x:c>
      <x:c r="X61" s="2" t="str">
        <x:v>Accepted</x:v>
      </x:c>
      <x:c r="Y61" s="6" t="str">
        <x:v>NA</x:v>
      </x:c>
    </x:row>
    <x:row r="62" ht="76" customHeight="1">
      <x:c r="A62" s="2" t="str">
        <x:v>S36-TASK-R01</x:v>
      </x:c>
      <x:c r="B62" s="2" t="str">
        <x:v>S36</x:v>
      </x:c>
      <x:c r="C62" s="2" t="str">
        <x:v>merged_1236</x:v>
      </x:c>
      <x:c r="D62" s="2" t="str">
        <x:v>Reviewer_A</x:v>
      </x:c>
      <x:c r="E62" s="2" t="str">
        <x:v>Reviewer_A</x:v>
      </x:c>
      <x:c r="F62" s="2" t="str">
        <x:v>S36-T01</x:v>
      </x:c>
      <x:c r="G62" s="2" t="str">
        <x:v>source traceability</x:v>
      </x:c>
      <x:c r="H62" s="2" t="str">
        <x:v>traceability link establishment</x:v>
      </x:c>
      <x:c r="I62" s="2" t="str">
        <x:v>code violation</x:v>
      </x:c>
      <x:c r="J62" s="2" t="str">
        <x:v>source code</x:v>
      </x:c>
      <x:c r="K62" s="2" t="str">
        <x:v>SRS-related documents (original requirements)</x:v>
      </x:c>
      <x:c r="L62" s="2" t="str">
        <x:v>requirement</x:v>
      </x:c>
      <x:c r="M62" s="2" t="str">
        <x:v>violation -&gt; requirement document chunk</x:v>
      </x:c>
      <x:c r="N62" s="2" t="str">
        <x:v>implementation</x:v>
      </x:c>
      <x:c r="O62" s="2" t="str">
        <x:v>Domain-Driven Design compliance</x:v>
      </x:c>
      <x:c r="P62" s="2" t="str">
        <x:v>sample e-commerce domain</x:v>
      </x:c>
      <x:c r="Q62" s="2" t="str">
        <x:v>Academic</x:v>
      </x:c>
      <x:c r="R62" s="2" t="str">
        <x:v>NA</x:v>
      </x:c>
      <x:c r="S62" s="6" t="str">
        <x:v>当在代码中检测到DDD违规时，使用RAG管道检索定义该规则的源需求文档片段。</x:v>
      </x:c>
      <x:c r="T62" s="6" t="str">
        <x:v>前3个最相关的源文档片段及其元数据。</x:v>
      </x:c>
      <x:c r="U62" s="6" t="str">
        <x:v>p. 3; Section III.E</x:v>
      </x:c>
      <x:c r="V62" s="6" t="str">
        <x:v>When a violation is detected, the RAG pipeline retrieves the top-3 most relevant source chunks, providing developers with direct links to the requirements that define the violated rule.</x:v>
      </x:c>
      <x:c r="W62" s="6" t="str">
        <x:v>任务是从代码违规回溯到需求文档，建立可追溯性链接。</x:v>
      </x:c>
      <x:c r="X62" s="2" t="str">
        <x:v>Accepted</x:v>
      </x:c>
      <x:c r="Y62" s="6" t="str">
        <x:v>NR</x:v>
      </x:c>
    </x:row>
    <x:row r="63" ht="76" customHeight="1">
      <x:c r="A63" s="2" t="str">
        <x:v>S37-TASK-R01</x:v>
      </x:c>
      <x:c r="B63" s="2" t="str">
        <x:v>S37</x:v>
      </x:c>
      <x:c r="C63" s="2" t="str">
        <x:v>merged_1238</x:v>
      </x:c>
      <x:c r="D63" s="2" t="str">
        <x:v>Reviewer_A</x:v>
      </x:c>
      <x:c r="E63" s="2" t="str">
        <x:v>Reviewer_A</x:v>
      </x:c>
      <x:c r="F63" s="2" t="str">
        <x:v>S37-T01</x:v>
      </x:c>
      <x:c r="G63" s="2" t="str">
        <x:v>automatic generation of a structured requirements model from textual input</x:v>
      </x:c>
      <x:c r="H63" s="2" t="str">
        <x:v>trace-aware artifact generation</x:v>
      </x:c>
      <x:c r="I63" s="2" t="str">
        <x:v>textual input / requirement description</x:v>
      </x:c>
      <x:c r="J63" s="2" t="str">
        <x:v>requirement</x:v>
      </x:c>
      <x:c r="K63" s="2" t="str">
        <x:v>structured requirements model (PFM)</x:v>
      </x:c>
      <x:c r="L63" s="2" t="str">
        <x:v>other</x:v>
      </x:c>
      <x:c r="M63" s="2" t="str">
        <x:v>source -&gt; target</x:v>
      </x:c>
      <x:c r="N63" s="2" t="str">
        <x:v>requirements</x:v>
      </x:c>
      <x:c r="O63" s="2" t="str">
        <x:v>NR</x:v>
      </x:c>
      <x:c r="P63" s="2" t="str">
        <x:v>NR</x:v>
      </x:c>
      <x:c r="Q63" s="2" t="str">
        <x:v>Academic</x:v>
      </x:c>
      <x:c r="R63" s="2" t="str">
        <x:v>NA</x:v>
      </x:c>
      <x:c r="S63" s="6" t="str">
        <x:v>利用LLM对话从非结构化需求文本中提取信息，生成PFM结构化需求模型。</x:v>
      </x:c>
      <x:c r="T63" s="6" t="str">
        <x:v>JSON格式的PFM模型，包含Re, PD, RPh, SPh, V等元素及映射关系。</x:v>
      </x:c>
      <x:c r="U63" s="6" t="str">
        <x:v>p. 11; Section 4.1</x:v>
      </x:c>
      <x:c r="V63" s="6" t="str">
        <x:v>The large language models (LLMs) will communicate with the requirement provider to extract the necessary information for modeling and convert the requirement description (RD) into requirement details through the interaction of two external modules</x:v>
      </x:c>
      <x:c r="W63" s="6" t="str">
        <x:v>该任务是通过LLM对话将非结构化需求转化为结构化需求模型PFM，为后续可追溯性奠定基础。</x:v>
      </x:c>
      <x:c r="X63" s="2" t="str">
        <x:v>Accepted</x:v>
      </x:c>
      <x:c r="Y63" s="6" t="str">
        <x:v>NA</x:v>
      </x:c>
    </x:row>
    <x:row r="64" ht="76" customHeight="1">
      <x:c r="A64" s="2" t="str">
        <x:v>S38-TASK-R01</x:v>
      </x:c>
      <x:c r="B64" s="2" t="str">
        <x:v>S38</x:v>
      </x:c>
      <x:c r="C64" s="2" t="str">
        <x:v>merged_1241</x:v>
      </x:c>
      <x:c r="D64" s="2" t="str">
        <x:v>Reviewer_A</x:v>
      </x:c>
      <x:c r="E64" s="2" t="str">
        <x:v>Reviewer_A</x:v>
      </x:c>
      <x:c r="F64" s="2" t="str">
        <x:v>S38-T01</x:v>
      </x:c>
      <x:c r="G64" s="2" t="str">
        <x:v>generate a requirements-design traceability matrix using LLMs</x:v>
      </x:c>
      <x:c r="H64" s="2" t="str">
        <x:v>traceability link generation</x:v>
      </x:c>
      <x:c r="I64" s="2" t="str">
        <x:v>formalized requirements</x:v>
      </x:c>
      <x:c r="J64" s="2" t="str">
        <x:v>requirement</x:v>
      </x:c>
      <x:c r="K64" s="2" t="str">
        <x:v>Lustre models</x:v>
      </x:c>
      <x:c r="L64" s="2" t="str">
        <x:v>design</x:v>
      </x:c>
      <x:c r="M64" s="2" t="str">
        <x:v>requirement -&gt; design</x:v>
      </x:c>
      <x:c r="N64" s="2" t="str">
        <x:v>compliance and assurance</x:v>
      </x:c>
      <x:c r="O64" s="2" t="str">
        <x:v>safety-critical systems (avionics, etc.)</x:v>
      </x:c>
      <x:c r="P64" s="2" t="str">
        <x:v>LusGen-Benchmark (D1-D4)</x:v>
      </x:c>
      <x:c r="Q64" s="2" t="str">
        <x:v>Mixed</x:v>
      </x:c>
      <x:c r="R64" s="2" t="str">
        <x:v>airborne wind speed system (WSDS) for D4</x:v>
      </x:c>
      <x:c r="S64" s="6" t="str">
        <x:v>给定形式化后需求与生成的Lustre模型，由LLM自动生成体现细粒度追溯的矩阵，标明需求ID与模型行号的对应关系。</x:v>
      </x:c>
      <x:c r="T64" s="6" t="str">
        <x:v>包含需求ID与Lustre代码行号链接的追溯矩阵，可人工审核。</x:v>
      </x:c>
      <x:c r="U64" s="6" t="str">
        <x:v>p. 11; Section 3.4</x:v>
      </x:c>
      <x:c r="V64" s="6" t="str">
        <x:v>Generated trace matrices are manually reviewed for completeness and correctness.</x:v>
      </x:c>
      <x:c r="W64" s="6" t="str">
        <x:v>任务目标是利用LLM从形式化需求与设计模型生成符合航空安保标准的可追溯矩阵，输出可验证的链接关系。</x:v>
      </x:c>
      <x:c r="X64" s="2" t="str">
        <x:v>Accepted</x:v>
      </x:c>
      <x:c r="Y64" s="6" t="str">
        <x:v>NA</x:v>
      </x:c>
    </x:row>
    <x:row r="65" ht="76" customHeight="1">
      <x:c r="A65" s="2" t="str">
        <x:v>S39-TASK-R01</x:v>
      </x:c>
      <x:c r="B65" s="2" t="str">
        <x:v>S39</x:v>
      </x:c>
      <x:c r="C65" s="2" t="str">
        <x:v>merged_1245</x:v>
      </x:c>
      <x:c r="D65" s="2" t="str">
        <x:v>Reviewer_A</x:v>
      </x:c>
      <x:c r="E65" s="2" t="str">
        <x:v>Reviewer_A</x:v>
      </x:c>
      <x:c r="F65" s="2" t="str">
        <x:v>S39-T01</x:v>
      </x:c>
      <x:c r="G65" s="2" t="str">
        <x:v>tracing requirements to code</x:v>
      </x:c>
      <x:c r="H65" s="2" t="str">
        <x:v>traceability link recovery</x:v>
      </x:c>
      <x:c r="I65" s="2" t="str">
        <x:v>requirement</x:v>
      </x:c>
      <x:c r="J65" s="2" t="str">
        <x:v>requirement</x:v>
      </x:c>
      <x:c r="K65" s="2" t="str">
        <x:v>source code</x:v>
      </x:c>
      <x:c r="L65" s="2" t="str">
        <x:v>source code</x:v>
      </x:c>
      <x:c r="M65" s="2" t="str">
        <x:v>requirement -&gt; source code</x:v>
      </x:c>
      <x:c r="N65" s="2" t="str">
        <x:v>cross-lifecycle</x:v>
      </x:c>
      <x:c r="O65" s="2" t="str">
        <x:v>open-source games</x:v>
      </x:c>
      <x:c r="P65" s="2" t="str">
        <x:v>Six open-source games (dice game, arkanoid, snake, scopa, pong, Game)</x:v>
      </x:c>
      <x:c r="Q65" s="2" t="str">
        <x:v>Academic</x:v>
      </x:c>
      <x:c r="R65" s="2" t="str">
        <x:v>No</x:v>
      </x:c>
      <x:c r="S65" s="6" t="str">
        <x:v>使用LLM从需求出发建立到源代码的追踪链接，包括判断需求是否实现（二元）和定位具体代码行（行级追踪）。</x:v>
      </x:c>
      <x:c r="T65" s="6" t="str">
        <x:v>二元追踪准确率及逐行代码追踪F1分数。</x:v>
      </x:c>
      <x:c r="U65" s="6" t="str">
        <x:v>p. 3; V. PREVIOUS RESULTS</x:v>
      </x:c>
      <x:c r="V65" s="6" t="str">
        <x:v>the task of tracing requirements to code using large language models</x:v>
      </x:c>
      <x:c r="W65" s="6" t="str">
        <x:v>该任务为基于LLM的需求到代码追踪，通过生成链接来恢复需求与代码间的可追溯性。</x:v>
      </x:c>
      <x:c r="X65" s="2" t="str">
        <x:v>Accepted</x:v>
      </x:c>
      <x:c r="Y65" s="6" t="str">
        <x:v>NA</x:v>
      </x:c>
    </x:row>
    <x:row r="66" ht="76" customHeight="1">
      <x:c r="A66" s="2" t="str">
        <x:v>S40-TASK-R01</x:v>
      </x:c>
      <x:c r="B66" s="2" t="str">
        <x:v>S40</x:v>
      </x:c>
      <x:c r="C66" s="2" t="str">
        <x:v>merged_1263</x:v>
      </x:c>
      <x:c r="D66" s="2" t="str">
        <x:v>Reviewer_A</x:v>
      </x:c>
      <x:c r="E66" s="2" t="str">
        <x:v>Reviewer_A</x:v>
      </x:c>
      <x:c r="F66" s="2" t="str">
        <x:v>S40-T01</x:v>
      </x:c>
      <x:c r="G66" s="2" t="str">
        <x:v>Requirement-Code Traceability Link Recovery (RC-TLR)</x:v>
      </x:c>
      <x:c r="H66" s="2" t="str">
        <x:v>traceability link recovery</x:v>
      </x:c>
      <x:c r="I66" s="2" t="str">
        <x:v>requirements</x:v>
      </x:c>
      <x:c r="J66" s="2" t="str">
        <x:v>requirement</x:v>
      </x:c>
      <x:c r="K66" s="2" t="str">
        <x:v>code classes</x:v>
      </x:c>
      <x:c r="L66" s="2" t="str">
        <x:v>source code</x:v>
      </x:c>
      <x:c r="M66" s="2" t="str">
        <x:v>requirement -&gt; code</x:v>
      </x:c>
      <x:c r="N66" s="2" t="str">
        <x:v>cross-lifecycle</x:v>
      </x:c>
      <x:c r="O66" s="2" t="str">
        <x:v>NR</x:v>
      </x:c>
      <x:c r="P66" s="2" t="str">
        <x:v>NR</x:v>
      </x:c>
      <x:c r="Q66" s="2" t="str">
        <x:v>Academic</x:v>
      </x:c>
      <x:c r="R66" s="2" t="str">
        <x:v>NA</x:v>
      </x:c>
      <x:c r="S66" s="6" t="str">
        <x:v>为每个需求从代码类中检索出实现它的候选类，建立可追溯性链接。</x:v>
      </x:c>
      <x:c r="T66" s="6" t="str">
        <x:v>链接集合 T ⊆ R × C，将需求映射到代码类。</x:v>
      </x:c>
      <x:c r="U66" s="6" t="str">
        <x:v>p. 4; Section 3</x:v>
      </x:c>
      <x:c r="V66" s="6" t="str">
        <x:v>Given the requirements R and code classes C , the task is to recover a trace-link set T ⊆ R × C .</x:v>
      </x:c>
      <x:c r="W66" s="6" t="str">
        <x:v>核心任务是需求到代码类的链接恢复，以集合形式输出。</x:v>
      </x:c>
      <x:c r="X66" s="2" t="str">
        <x:v>Accepted</x:v>
      </x:c>
      <x:c r="Y66" s="6" t="str">
        <x:v>任务在零样本设定下进行，不利用标注链接进行训练。</x:v>
      </x:c>
    </x:row>
    <x:row r="67" ht="76" customHeight="1">
      <x:c r="A67" s="2" t="str">
        <x:v>S41-TASK-R01</x:v>
      </x:c>
      <x:c r="B67" s="2" t="str">
        <x:v>S41</x:v>
      </x:c>
      <x:c r="C67" s="2" t="str">
        <x:v>merged_1264</x:v>
      </x:c>
      <x:c r="D67" s="2" t="str">
        <x:v>Reviewer_A</x:v>
      </x:c>
      <x:c r="E67" s="2" t="str">
        <x:v>Reviewer_A</x:v>
      </x:c>
      <x:c r="F67" s="2" t="str">
        <x:v>S41-T01</x:v>
      </x:c>
      <x:c r="G67" s="2" t="str">
        <x:v>issue-commit link recovery</x:v>
      </x:c>
      <x:c r="H67" s="2" t="str">
        <x:v>traceability link recovery</x:v>
      </x:c>
      <x:c r="I67" s="2" t="str">
        <x:v>issue reports</x:v>
      </x:c>
      <x:c r="J67" s="2" t="str">
        <x:v>issue</x:v>
      </x:c>
      <x:c r="K67" s="2" t="str">
        <x:v>code commits</x:v>
      </x:c>
      <x:c r="L67" s="2" t="str">
        <x:v>commit</x:v>
      </x:c>
      <x:c r="M67" s="2" t="str">
        <x:v>issue -&gt; commit</x:v>
      </x:c>
      <x:c r="N67" s="2" t="str">
        <x:v>maintenance</x:v>
      </x:c>
      <x:c r="O67" s="2" t="str">
        <x:v>open-source software development</x:v>
      </x:c>
      <x:c r="P67" s="2" t="str">
        <x:v>Six Apache projects: Ambari, Calcite, Groovy, Ignite, Isis, Netbeans</x:v>
      </x:c>
      <x:c r="Q67" s="2" t="str">
        <x:v>Academic</x:v>
      </x:c>
      <x:c r="R67" s="2" t="str">
        <x:v>NR</x:v>
      </x:c>
      <x:c r="S67" s="6" t="str">
        <x:v>从问题追踪系统中的问题报告与版本控制系统中的提交之间恢复缺失或不完整的链接。</x:v>
      </x:c>
      <x:c r="T67" s="6" t="str">
        <x:v>为每个问题生成一个排序的候选提交列表，指示最相关的提交。</x:v>
      </x:c>
      <x:c r="U67" s="6" t="str">
        <x:v>p. 6; abstract</x:v>
      </x:c>
      <x:c r="V67" s="6" t="str">
        <x:v>SELink, a Semantic-Enhanced framework for recovering issue-commit links</x:v>
      </x:c>
      <x:c r="W67" s="6" t="str">
        <x:v>任务是从问题到提交的链接恢复</x:v>
      </x:c>
      <x:c r="X67" s="2" t="str">
        <x:v>Accepted</x:v>
      </x:c>
      <x:c r="Y67" s="6" t="str">
        <x:v>NR</x:v>
      </x:c>
    </x:row>
    <x:row r="68" ht="76" customHeight="1">
      <x:c r="A68" s="2" t="str">
        <x:v>S42-TASK-R01</x:v>
      </x:c>
      <x:c r="B68" s="2" t="str">
        <x:v>S42</x:v>
      </x:c>
      <x:c r="C68" s="2" t="str">
        <x:v>merged_1266</x:v>
      </x:c>
      <x:c r="D68" s="2" t="str">
        <x:v>Reviewer_A</x:v>
      </x:c>
      <x:c r="E68" s="2" t="str">
        <x:v>Reviewer_A</x:v>
      </x:c>
      <x:c r="F68" s="2" t="str">
        <x:v>S42-T01</x:v>
      </x:c>
      <x:c r="G68" s="2" t="str">
        <x:v>automatically recovering traceability links between requirements</x:v>
      </x:c>
      <x:c r="H68" s="2" t="str">
        <x:v>traceability link recovery</x:v>
      </x:c>
      <x:c r="I68" s="2" t="str">
        <x:v>source requirements (e.g., high-level requirements)</x:v>
      </x:c>
      <x:c r="J68" s="2" t="str">
        <x:v>requirement</x:v>
      </x:c>
      <x:c r="K68" s="2" t="str">
        <x:v>target requirements (e.g., low-level requirements)</x:v>
      </x:c>
      <x:c r="L68" s="2" t="str">
        <x:v>requirement</x:v>
      </x:c>
      <x:c r="M68" s="2" t="str">
        <x:v>source -&gt; target (refinement/predecessor-successor)</x:v>
      </x:c>
      <x:c r="N68" s="2" t="str">
        <x:v>requirements</x:v>
      </x:c>
      <x:c r="O68" s="2" t="str">
        <x:v>various (safety-critical, healthcare, etc.)</x:v>
      </x:c>
      <x:c r="P68" s="2" t="str">
        <x:v>Six benchmark datasets: CCHIT-2-WorldVista, CM1-NASA, Dronology, GANNT, MODIS, WARC</x:v>
      </x:c>
      <x:c r="Q68" s="2" t="str">
        <x:v>Academic</x:v>
      </x:c>
      <x:c r="R68" s="2" t="str">
        <x:v>NA</x:v>
      </x:c>
      <x:c r="S68" s="6" t="str">
        <x:v>给定两组需求工件（源需求与目标需求），自动恢复它们之间的可追溯链接，链接语义为细化或前驱-后继关系。方法结合嵌入检索和LLM提示判定。</x:v>
      </x:c>
      <x:c r="T68" s="6" t="str">
        <x:v>源需求与目标需求之间的可追溯链接列表</x:v>
      </x:c>
      <x:c r="U68" s="6" t="str">
        <x:v>p. 4; Section 3</x:v>
      </x:c>
      <x:c r="V68" s="6" t="str">
        <x:v>The output of the approach is a list of trace links between the requirements in the two sets.</x:v>
      </x:c>
      <x:c r="W68" s="6" t="str">
        <x:v>任务定义明确，输入输出清晰。</x:v>
      </x:c>
      <x:c r="X68" s="2" t="str">
        <x:v>Accepted</x:v>
      </x:c>
      <x:c r="Y68" s="6" t="str">
        <x:v>CCHIT数据集的目标为regulatory codes，但本文将其视为类似需求工件</x:v>
      </x:c>
    </x:row>
    <x:row r="69" ht="76" customHeight="1">
      <x:c r="A69" s="2" t="str">
        <x:v>S43-TASK-R01</x:v>
      </x:c>
      <x:c r="B69" s="2" t="str">
        <x:v>S43</x:v>
      </x:c>
      <x:c r="C69" s="2" t="str">
        <x:v>merged_1270</x:v>
      </x:c>
      <x:c r="D69" s="2" t="str">
        <x:v>Reviewer_A</x:v>
      </x:c>
      <x:c r="E69" s="2" t="str">
        <x:v>Reviewer_A</x:v>
      </x:c>
      <x:c r="F69" s="2" t="str">
        <x:v>S43-T01</x:v>
      </x:c>
      <x:c r="G69" s="2" t="str">
        <x:v>Requirements-Code Traceability Link Recovery (RC-TLR)</x:v>
      </x:c>
      <x:c r="H69" s="2" t="str">
        <x:v>traceability link recovery</x:v>
      </x:c>
      <x:c r="I69" s="2" t="str">
        <x:v>requirements</x:v>
      </x:c>
      <x:c r="J69" s="2" t="str">
        <x:v>requirement</x:v>
      </x:c>
      <x:c r="K69" s="2" t="str">
        <x:v>source code</x:v>
      </x:c>
      <x:c r="L69" s="2" t="str">
        <x:v>source code</x:v>
      </x:c>
      <x:c r="M69" s="2" t="str">
        <x:v>requirements -&gt; source code</x:v>
      </x:c>
      <x:c r="N69" s="2" t="str">
        <x:v>cross-lifecycle</x:v>
      </x:c>
      <x:c r="O69" s="2" t="str">
        <x:v>NR</x:v>
      </x:c>
      <x:c r="P69" s="2" t="str">
        <x:v>NR</x:v>
      </x:c>
      <x:c r="Q69" s="2" t="str">
        <x:v>Academic</x:v>
      </x:c>
      <x:c r="R69" s="2" t="str">
        <x:v>NA</x:v>
      </x:c>
      <x:c r="S69" s="6" t="str">
        <x:v>使用LLM生成的归因推理和HGT模型恢复需求与源代码之间的可追溯性链接。</x:v>
      </x:c>
      <x:c r="T69" s="6" t="str">
        <x:v>预测的需求-代码链接列表，具有概率得分和解释性理由。</x:v>
      </x:c>
      <x:c r="U69" s="6" t="str">
        <x:v>p. 1; Section I, 1st paragraph</x:v>
      </x:c>
      <x:c r="V69" s="6" t="str">
        <x:v>Traceability Link Recovery (TLR), as a core component</x:v>
      </x:c>
      <x:c r="W69" s="6" t="str">
        <x:v>核心任务是从需求工件到代码工件的可追溯性链接恢复。</x:v>
      </x:c>
      <x:c r="X69" s="2" t="str">
        <x:v>Accepted</x:v>
      </x:c>
      <x:c r="Y69" s="6" t="str">
        <x:v>NA</x:v>
      </x:c>
    </x:row>
    <x:row r="70" ht="76" customHeight="1">
      <x:c r="A70" s="2" t="str">
        <x:v>S44-TASK-R01</x:v>
      </x:c>
      <x:c r="B70" s="2" t="str">
        <x:v>S44</x:v>
      </x:c>
      <x:c r="C70" s="2" t="str">
        <x:v>merged_1274</x:v>
      </x:c>
      <x:c r="D70" s="2" t="str">
        <x:v>Reviewer_A</x:v>
      </x:c>
      <x:c r="E70" s="2" t="str">
        <x:v>Reviewer_A</x:v>
      </x:c>
      <x:c r="F70" s="2" t="str">
        <x:v>S44-T01</x:v>
      </x:c>
      <x:c r="G70" s="2" t="str">
        <x:v>R2C traceability link recovery</x:v>
      </x:c>
      <x:c r="H70" s="2" t="str">
        <x:v>traceability link recovery</x:v>
      </x:c>
      <x:c r="I70" s="2" t="str">
        <x:v>requirements</x:v>
      </x:c>
      <x:c r="J70" s="2" t="str">
        <x:v>requirement</x:v>
      </x:c>
      <x:c r="K70" s="2" t="str">
        <x:v>source code</x:v>
      </x:c>
      <x:c r="L70" s="2" t="str">
        <x:v>source code</x:v>
      </x:c>
      <x:c r="M70" s="2" t="str">
        <x:v>requirement -&gt; source code</x:v>
      </x:c>
      <x:c r="N70" s="2" t="str">
        <x:v>cross-lifecycle</x:v>
      </x:c>
      <x:c r="O70" s="2" t="str">
        <x:v>Mixed</x:v>
      </x:c>
      <x:c r="P70" s="2" t="str">
        <x:v>iTrust, eTour, eANCI, SMOS</x:v>
      </x:c>
      <x:c r="Q70" s="2" t="str">
        <x:v>Academic</x:v>
      </x:c>
      <x:c r="R70" s="2" t="str">
        <x:v>NR</x:v>
      </x:c>
      <x:c r="S70" s="6" t="str">
        <x:v>利用思维链提示引导LLM从源代码生成业务需求描述，然后与原始需求进行相似度计算和重排序，以恢复需求到代码的可追溯性链接。</x:v>
      </x:c>
      <x:c r="T70" s="6" t="str">
        <x:v>可验证的R2C链接列表，包含每个需求对应的代码片段及其相似度分数。</x:v>
      </x:c>
      <x:c r="U70" s="6" t="str">
        <x:v>p. 4; Section III</x:v>
      </x:c>
      <x:c r="V70" s="6" t="str">
        <x:v>The core objective of this study is to recover a traceability link from requirements to source code</x:v>
      </x:c>
      <x:c r="W70" s="6" t="str">
        <x:v>任务是从需求到源代码恢复可追溯性链接。</x:v>
      </x:c>
      <x:c r="X70" s="2" t="str">
        <x:v>Accepted</x:v>
      </x:c>
      <x:c r="Y70" s="6" t="str">
        <x:v>NR</x:v>
      </x:c>
    </x:row>
    <x:row r="71" ht="76" customHeight="1">
      <x:c r="A71" s="2" t="str">
        <x:v>S45-TASK-R01</x:v>
      </x:c>
      <x:c r="B71" s="2" t="str">
        <x:v>S45</x:v>
      </x:c>
      <x:c r="C71" s="2" t="str">
        <x:v>merged_1275</x:v>
      </x:c>
      <x:c r="D71" s="2" t="str">
        <x:v>Reviewer_A</x:v>
      </x:c>
      <x:c r="E71" s="2" t="str">
        <x:v>Reviewer_A</x:v>
      </x:c>
      <x:c r="F71" s="2" t="str">
        <x:v>S45-T01</x:v>
      </x:c>
      <x:c r="G71" s="2" t="str">
        <x:v>Trace Link Quality check between System and Software Requirements</x:v>
      </x:c>
      <x:c r="H71" s="2" t="str">
        <x:v>traceability link validation</x:v>
      </x:c>
      <x:c r="I71" s="2" t="str">
        <x:v>System Requirements (SYSRS)</x:v>
      </x:c>
      <x:c r="J71" s="2" t="str">
        <x:v>requirement</x:v>
      </x:c>
      <x:c r="K71" s="2" t="str">
        <x:v>Software Requirements (SWRS)</x:v>
      </x:c>
      <x:c r="L71" s="2" t="str">
        <x:v>requirement</x:v>
      </x:c>
      <x:c r="M71" s="2" t="str">
        <x:v>SYSRS -&gt; SWRS</x:v>
      </x:c>
      <x:c r="N71" s="2" t="str">
        <x:v>cross-lifecycle</x:v>
      </x:c>
      <x:c r="O71" s="2" t="str">
        <x:v>automotive</x:v>
      </x:c>
      <x:c r="P71" s="2" t="str">
        <x:v>Ultrasonic Park Assist IC firmware project</x:v>
      </x:c>
      <x:c r="Q71" s="2" t="str">
        <x:v>Industrial</x:v>
      </x:c>
      <x:c r="R71" s="2" t="str">
        <x:v>Area 21 Software GmbH, Elmos Semiconductors</x:v>
      </x:c>
      <x:c r="S71" s="6" t="str">
        <x:v>ChatGPT-4o评估系统需求和软件需求之间的追溯链接质量，检查链接的有意义性和完整性。</x:v>
      </x:c>
      <x:c r="T71" s="6" t="str">
        <x:v>ChatGPT-4o输出对每个链接的质量评论，可汇总为TP/FP等指标。</x:v>
      </x:c>
      <x:c r="U71" s="6" t="str">
        <x:v>p. 2; Study 1</x:v>
      </x:c>
      <x:c r="V71" s="6" t="str">
        <x:v>ChatGPT-4o was prompted to assess and comment on the quality of the trace link with regards to two aspects, meaningfulness (logically relevant) and completeness (all aspects are reflected).</x:v>
      </x:c>
      <x:c r="W71" s="6" t="str">
        <x:v>该任务旨在验证系统需求到软件需求的追溯链接是否合理且完整。</x:v>
      </x:c>
      <x:c r="X71" s="2" t="str">
        <x:v>Accepted</x:v>
      </x:c>
      <x:c r="Y71" s="6" t="str">
        <x:v>NA</x:v>
      </x:c>
    </x:row>
    <x:row r="72" ht="76" customHeight="1">
      <x:c r="A72" s="2" t="str">
        <x:v>S45-TASK-R02</x:v>
      </x:c>
      <x:c r="B72" s="2" t="str">
        <x:v>S45</x:v>
      </x:c>
      <x:c r="C72" s="2" t="str">
        <x:v>merged_1275</x:v>
      </x:c>
      <x:c r="D72" s="2" t="str">
        <x:v>Reviewer_A</x:v>
      </x:c>
      <x:c r="E72" s="2" t="str">
        <x:v>Reviewer_A</x:v>
      </x:c>
      <x:c r="F72" s="2" t="str">
        <x:v>S45-T02</x:v>
      </x:c>
      <x:c r="G72" s="2" t="str">
        <x:v>Trace Link Quality check between Software Requirements and Test Cases</x:v>
      </x:c>
      <x:c r="H72" s="2" t="str">
        <x:v>coverage checking</x:v>
      </x:c>
      <x:c r="I72" s="2" t="str">
        <x:v>Software Requirements (SWRS)</x:v>
      </x:c>
      <x:c r="J72" s="2" t="str">
        <x:v>requirement</x:v>
      </x:c>
      <x:c r="K72" s="2" t="str">
        <x:v>Test Cases</x:v>
      </x:c>
      <x:c r="L72" s="2" t="str">
        <x:v>test case</x:v>
      </x:c>
      <x:c r="M72" s="2" t="str">
        <x:v>SWRS -&gt; Test Cases</x:v>
      </x:c>
      <x:c r="N72" s="2" t="str">
        <x:v>testing</x:v>
      </x:c>
      <x:c r="O72" s="2" t="str">
        <x:v>automotive</x:v>
      </x:c>
      <x:c r="P72" s="2" t="str">
        <x:v>same firmware project</x:v>
      </x:c>
      <x:c r="Q72" s="2" t="str">
        <x:v>Industrial</x:v>
      </x:c>
      <x:c r="R72" s="2" t="str">
        <x:v>Area 21 Software GmbH</x:v>
      </x:c>
      <x:c r="S72" s="6" t="str">
        <x:v>ChatGPT-4o评估软件需求是否被测试用例充分覆盖，并建议缺失的测试用例。</x:v>
      </x:c>
      <x:c r="T72" s="6" t="str">
        <x:v>评估意见及缺失测试用例建议，由测试专家评审。</x:v>
      </x:c>
      <x:c r="U72" s="6" t="str">
        <x:v>p. 3; Study 2</x:v>
      </x:c>
      <x:c r="V72" s="6" t="str">
        <x:v>it was then prompted to assess whether or not the test cases entirely covered its linked software requirement and also suggest any missing cases (referring to its memory) to attain complete coverage.</x:v>
      </x:c>
      <x:c r="W72" s="6" t="str">
        <x:v>该任务检查测试用例对软件需求的覆盖完整性，属于测试阶段的覆盖检查。</x:v>
      </x:c>
      <x:c r="X72" s="2" t="str">
        <x:v>Accepted</x:v>
      </x:c>
      <x:c r="Y72" s="6" t="str">
        <x:v>NA</x:v>
      </x:c>
    </x:row>
    <x:row r="73" ht="76" customHeight="1">
      <x:c r="A73" s="2" t="str">
        <x:v>S45-TASK-R03</x:v>
      </x:c>
      <x:c r="B73" s="2" t="str">
        <x:v>S45</x:v>
      </x:c>
      <x:c r="C73" s="2" t="str">
        <x:v>merged_1275</x:v>
      </x:c>
      <x:c r="D73" s="2" t="str">
        <x:v>Reviewer_A</x:v>
      </x:c>
      <x:c r="E73" s="2" t="str">
        <x:v>Reviewer_A</x:v>
      </x:c>
      <x:c r="F73" s="2" t="str">
        <x:v>S45-T03</x:v>
      </x:c>
      <x:c r="G73" s="2" t="str">
        <x:v>Trace Link Prediction between System and Software requirements</x:v>
      </x:c>
      <x:c r="H73" s="2" t="str">
        <x:v>traceability link recovery</x:v>
      </x:c>
      <x:c r="I73" s="2" t="str">
        <x:v>System Requirements (SYSRS)</x:v>
      </x:c>
      <x:c r="J73" s="2" t="str">
        <x:v>requirement</x:v>
      </x:c>
      <x:c r="K73" s="2" t="str">
        <x:v>Software Requirements (SWRS)</x:v>
      </x:c>
      <x:c r="L73" s="2" t="str">
        <x:v>requirement</x:v>
      </x:c>
      <x:c r="M73" s="2" t="str">
        <x:v>SYSRS -&gt; SWRS</x:v>
      </x:c>
      <x:c r="N73" s="2" t="str">
        <x:v>cross-lifecycle</x:v>
      </x:c>
      <x:c r="O73" s="2" t="str">
        <x:v>automotive</x:v>
      </x:c>
      <x:c r="P73" s="2" t="str">
        <x:v>Standard Firmware project</x:v>
      </x:c>
      <x:c r="Q73" s="2" t="str">
        <x:v>Industrial</x:v>
      </x:c>
      <x:c r="R73" s="2" t="str">
        <x:v>Area 21 Software GmbH</x:v>
      </x:c>
      <x:c r="S73" s="6" t="str">
        <x:v>ChatGPT-4o在系统需求和软件需求之间预测追溯链接，与工程师建立的链接进行对比。</x:v>
      </x:c>
      <x:c r="T73" s="6" t="str">
        <x:v>预测的链接列表，与真实链接比较得到P/R/F1。</x:v>
      </x:c>
      <x:c r="U73" s="6" t="str">
        <x:v>p. 4; Study 3</x:v>
      </x:c>
      <x:c r="V73" s="6" t="str">
        <x:v>This study evaluates ChatGPT-4o’s performance in predicting trace links between system requirements (SYSRS) and software requirements (SWRS)</x:v>
      </x:c>
      <x:c r="W73" s="6" t="str">
        <x:v>该任务是从系统需求到软件需求的链接恢复/生成任务。</x:v>
      </x:c>
      <x:c r="X73" s="2" t="str">
        <x:v>Accepted</x:v>
      </x:c>
      <x:c r="Y73" s="6" t="str">
        <x:v>NA</x:v>
      </x:c>
    </x:row>
    <x:row r="74" ht="76" customHeight="1">
      <x:c r="A74" s="2" t="str">
        <x:v>S45-TASK-R04</x:v>
      </x:c>
      <x:c r="B74" s="2" t="str">
        <x:v>S45</x:v>
      </x:c>
      <x:c r="C74" s="2" t="str">
        <x:v>merged_1275</x:v>
      </x:c>
      <x:c r="D74" s="2" t="str">
        <x:v>Reviewer_A</x:v>
      </x:c>
      <x:c r="E74" s="2" t="str">
        <x:v>Reviewer_A</x:v>
      </x:c>
      <x:c r="F74" s="2" t="str">
        <x:v>S45-T04</x:v>
      </x:c>
      <x:c r="G74" s="2" t="str">
        <x:v>Anomaly detection to identify gaps or ambiguities in requirements</x:v>
      </x:c>
      <x:c r="H74" s="2" t="str">
        <x:v>other</x:v>
      </x:c>
      <x:c r="I74" s="2" t="str">
        <x:v>System Requirements (SYSRS)</x:v>
      </x:c>
      <x:c r="J74" s="2" t="str">
        <x:v>requirement</x:v>
      </x:c>
      <x:c r="K74" s="2" t="str">
        <x:v>ambiguity flags (generated)</x:v>
      </x:c>
      <x:c r="L74" s="2" t="str">
        <x:v>generated artifact</x:v>
      </x:c>
      <x:c r="M74" s="2" t="str">
        <x:v>SYSRS -&gt; ambiguity report</x:v>
      </x:c>
      <x:c r="N74" s="2" t="str">
        <x:v>requirements</x:v>
      </x:c>
      <x:c r="O74" s="2" t="str">
        <x:v>automotive</x:v>
      </x:c>
      <x:c r="P74" s="2" t="str">
        <x:v>same dataset</x:v>
      </x:c>
      <x:c r="Q74" s="2" t="str">
        <x:v>Industrial</x:v>
      </x:c>
      <x:c r="R74" s="2" t="str">
        <x:v>Area 21 Software GmbH</x:v>
      </x:c>
      <x:c r="S74" s="6" t="str">
        <x:v>ChatGPT-4o检测需求中的语言或内容歧义，包括词汇、语义、内容矛盾等。</x:v>
      </x:c>
      <x:c r="T74" s="6" t="str">
        <x:v>对给定需求的歧义检测结果。</x:v>
      </x:c>
      <x:c r="U74" s="6" t="str">
        <x:v>p. 4; Study 4</x:v>
      </x:c>
      <x:c r="V74" s="6" t="str">
        <x:v>ChatGPT-4o was instructed to flag any linguistic or content-based ambiguities that may exist within the requirements.</x:v>
      </x:c>
      <x:c r="W74" s="6" t="str">
        <x:v>该任务是对需求本身的歧义检测，不属于直接的追溯链接活动，但有助于确保追溯链的质量。</x:v>
      </x:c>
      <x:c r="X74" s="2" t="str">
        <x:v>Accepted</x:v>
      </x:c>
      <x:c r="Y74" s="6" t="str">
        <x:v>该任务没有成对工件，只有单一需求对象</x:v>
      </x:c>
    </x:row>
    <x:row r="75" ht="76" customHeight="1">
      <x:c r="A75" s="2" t="str">
        <x:v>S45-TASK-R05</x:v>
      </x:c>
      <x:c r="B75" s="2" t="str">
        <x:v>S45</x:v>
      </x:c>
      <x:c r="C75" s="2" t="str">
        <x:v>merged_1275</x:v>
      </x:c>
      <x:c r="D75" s="2" t="str">
        <x:v>Reviewer_A</x:v>
      </x:c>
      <x:c r="E75" s="2" t="str">
        <x:v>Reviewer_A</x:v>
      </x:c>
      <x:c r="F75" s="2" t="str">
        <x:v>S45-T05</x:v>
      </x:c>
      <x:c r="G75" s="2" t="str">
        <x:v>Inconsistencies between system and software requirements - Real Project Ticket</x:v>
      </x:c>
      <x:c r="H75" s="2" t="str">
        <x:v>consistency checking</x:v>
      </x:c>
      <x:c r="I75" s="2" t="str">
        <x:v>System Requirement (SYSRS 021)</x:v>
      </x:c>
      <x:c r="J75" s="2" t="str">
        <x:v>requirement</x:v>
      </x:c>
      <x:c r="K75" s="2" t="str">
        <x:v>Software Requirements (SWRS 023, SWRS 024)</x:v>
      </x:c>
      <x:c r="L75" s="2" t="str">
        <x:v>requirement</x:v>
      </x:c>
      <x:c r="M75" s="2" t="str">
        <x:v>SYSRS -&gt; SWRS</x:v>
      </x:c>
      <x:c r="N75" s="2" t="str">
        <x:v>cross-lifecycle</x:v>
      </x:c>
      <x:c r="O75" s="2" t="str">
        <x:v>automotive</x:v>
      </x:c>
      <x:c r="P75" s="2" t="str">
        <x:v>Real project ticket at Area 21</x:v>
      </x:c>
      <x:c r="Q75" s="2" t="str">
        <x:v>Industrial</x:v>
      </x:c>
      <x:c r="R75" s="2" t="str">
        <x:v>Area 21 Software GmbH</x:v>
      </x:c>
      <x:c r="S75" s="6" t="str">
        <x:v>ChatGPT-4o检查一个真实工单中系统需求与软件需求之间的不一致，识别软件需求是否充分详细描述系统需求，并提出修订建议。</x:v>
      </x:c>
      <x:c r="T75" s="6" t="str">
        <x:v>对不一致的识别和建议修订。</x:v>
      </x:c>
      <x:c r="U75" s="6" t="str">
        <x:v>p. 4; Study 5</x:v>
      </x:c>
      <x:c r="V75" s="6" t="str">
        <x:v>ChatGPT-4o was tested on an existing project ticket at Area 21 to determine its ability to identify gaps in system-software requirement alignment.</x:v>
      </x:c>
      <x:c r="W75" s="6" t="str">
        <x:v>该任务检查系统需求到软件需求的可追溯性中的不一致性，属于一致性检查。</x:v>
      </x:c>
      <x:c r="X75" s="2" t="str">
        <x:v>Accepted</x:v>
      </x:c>
      <x:c r="Y75" s="6" t="str">
        <x:v>NA</x:v>
      </x:c>
    </x:row>
    <x:row r="76" ht="76" customHeight="1">
      <x:c r="A76" s="2" t="str">
        <x:v>S46-TASK-R01</x:v>
      </x:c>
      <x:c r="B76" s="2" t="str">
        <x:v>S46</x:v>
      </x:c>
      <x:c r="C76" s="2" t="str">
        <x:v>merged_1293</x:v>
      </x:c>
      <x:c r="D76" s="2" t="str">
        <x:v>Reviewer_A</x:v>
      </x:c>
      <x:c r="E76" s="2" t="str">
        <x:v>Reviewer_A</x:v>
      </x:c>
      <x:c r="F76" s="2" t="str">
        <x:v>S46-T01</x:v>
      </x:c>
      <x:c r="G76" s="2" t="str">
        <x:v>analyzes the system description to detect any ambiguities, incompleteness, or contradictions</x:v>
      </x:c>
      <x:c r="H76" s="2" t="str">
        <x:v>trace-aware artifact generation</x:v>
      </x:c>
      <x:c r="I76" s="2" t="str">
        <x:v>system description</x:v>
      </x:c>
      <x:c r="J76" s="2" t="str">
        <x:v>requirement</x:v>
      </x:c>
      <x:c r="K76" s="2" t="str">
        <x:v>detected ambiguities, incompleteness, or contradictions</x:v>
      </x:c>
      <x:c r="L76" s="2" t="str">
        <x:v>other</x:v>
      </x:c>
      <x:c r="M76" s="2" t="str">
        <x:v>source -&gt; target</x:v>
      </x:c>
      <x:c r="N76" s="2" t="str">
        <x:v>requirements</x:v>
      </x:c>
      <x:c r="O76" s="2" t="str">
        <x:v>smart home system</x:v>
      </x:c>
      <x:c r="P76" s="2" t="str">
        <x:v>Smart Home System</x:v>
      </x:c>
      <x:c r="Q76" s="2" t="str">
        <x:v>Academic</x:v>
      </x:c>
      <x:c r="R76" s="2" t="str">
        <x:v>NA</x:v>
      </x:c>
      <x:c r="S76" s="6" t="str">
        <x:v>分析智能家居系统描述，检测含糊、不完整或矛盾之处。</x:v>
      </x:c>
      <x:c r="T76" s="6" t="str">
        <x:v>问题列表</x:v>
      </x:c>
      <x:c r="U76" s="6" t="str">
        <x:v>p. 7; section Evaluation, Figure 3 description</x:v>
      </x:c>
      <x:c r="V76" s="6" t="str">
        <x:v>P1 analyzes the system description to detect any ambiguities, incompleteness, or contradictions</x:v>
      </x:c>
      <x:c r="W76" s="6" t="str">
        <x:v>该任务使用LLM提示分析系统描述，生成问题列表，为后续需求活动提供输入。</x:v>
      </x:c>
      <x:c r="X76" s="2" t="str">
        <x:v>Accepted</x:v>
      </x:c>
      <x:c r="Y76" s="6" t="str">
        <x:v>NR</x:v>
      </x:c>
    </x:row>
    <x:row r="77" ht="76" customHeight="1">
      <x:c r="A77" s="2" t="str">
        <x:v>S46-TASK-R02</x:v>
      </x:c>
      <x:c r="B77" s="2" t="str">
        <x:v>S46</x:v>
      </x:c>
      <x:c r="C77" s="2" t="str">
        <x:v>merged_1293</x:v>
      </x:c>
      <x:c r="D77" s="2" t="str">
        <x:v>Reviewer_A</x:v>
      </x:c>
      <x:c r="E77" s="2" t="str">
        <x:v>Reviewer_A</x:v>
      </x:c>
      <x:c r="F77" s="2" t="str">
        <x:v>S46-T02</x:v>
      </x:c>
      <x:c r="G77" s="2" t="str">
        <x:v>identifies and categorizes functional and nonfunctional requirements based on P1's findings</x:v>
      </x:c>
      <x:c r="H77" s="2" t="str">
        <x:v>trace-aware artifact generation</x:v>
      </x:c>
      <x:c r="I77" s="2" t="str">
        <x:v>findings from P1</x:v>
      </x:c>
      <x:c r="J77" s="2" t="str">
        <x:v>other</x:v>
      </x:c>
      <x:c r="K77" s="2" t="str">
        <x:v>functional and nonfunctional requirements</x:v>
      </x:c>
      <x:c r="L77" s="2" t="str">
        <x:v>requirement</x:v>
      </x:c>
      <x:c r="M77" s="2" t="str">
        <x:v>source -&gt; target</x:v>
      </x:c>
      <x:c r="N77" s="2" t="str">
        <x:v>requirements</x:v>
      </x:c>
      <x:c r="O77" s="2" t="str">
        <x:v>smart home system</x:v>
      </x:c>
      <x:c r="P77" s="2" t="str">
        <x:v>Smart Home System</x:v>
      </x:c>
      <x:c r="Q77" s="2" t="str">
        <x:v>Academic</x:v>
      </x:c>
      <x:c r="R77" s="2" t="str">
        <x:v>NA</x:v>
      </x:c>
      <x:c r="S77" s="6" t="str">
        <x:v>根据P1的发现，识别并分类功能性和非功能性需求。</x:v>
      </x:c>
      <x:c r="T77" s="6" t="str">
        <x:v>需求列表</x:v>
      </x:c>
      <x:c r="U77" s="6" t="str">
        <x:v>p. 7; section Evaluation, Figure 3 description</x:v>
      </x:c>
      <x:c r="V77" s="6" t="str">
        <x:v>tifies and categorizes functional and nonfunctional requirements based on P1’s findings; P3 develops a use</x:v>
      </x:c>
      <x:c r="W77" s="6" t="str">
        <x:v>该任务将上一活动的分析结果转化为明确的需求分类。</x:v>
      </x:c>
      <x:c r="X77" s="2" t="str">
        <x:v>Accepted</x:v>
      </x:c>
      <x:c r="Y77" s="6" t="str">
        <x:v>NR</x:v>
      </x:c>
    </x:row>
    <x:row r="78" ht="76" customHeight="1">
      <x:c r="A78" s="2" t="str">
        <x:v>S46-TASK-R03</x:v>
      </x:c>
      <x:c r="B78" s="2" t="str">
        <x:v>S46</x:v>
      </x:c>
      <x:c r="C78" s="2" t="str">
        <x:v>merged_1293</x:v>
      </x:c>
      <x:c r="D78" s="2" t="str">
        <x:v>Reviewer_A</x:v>
      </x:c>
      <x:c r="E78" s="2" t="str">
        <x:v>Reviewer_A</x:v>
      </x:c>
      <x:c r="F78" s="2" t="str">
        <x:v>S46-T03</x:v>
      </x:c>
      <x:c r="G78" s="2" t="str">
        <x:v>develops a use case model</x:v>
      </x:c>
      <x:c r="H78" s="2" t="str">
        <x:v>trace-aware artifact generation</x:v>
      </x:c>
      <x:c r="I78" s="2" t="str">
        <x:v>requirements from P2</x:v>
      </x:c>
      <x:c r="J78" s="2" t="str">
        <x:v>requirement</x:v>
      </x:c>
      <x:c r="K78" s="2" t="str">
        <x:v>use case model</x:v>
      </x:c>
      <x:c r="L78" s="2" t="str">
        <x:v>UML model</x:v>
      </x:c>
      <x:c r="M78" s="2" t="str">
        <x:v>source -&gt; target</x:v>
      </x:c>
      <x:c r="N78" s="2" t="str">
        <x:v>requirements</x:v>
      </x:c>
      <x:c r="O78" s="2" t="str">
        <x:v>smart home system</x:v>
      </x:c>
      <x:c r="P78" s="2" t="str">
        <x:v>Smart Home System</x:v>
      </x:c>
      <x:c r="Q78" s="2" t="str">
        <x:v>Academic</x:v>
      </x:c>
      <x:c r="R78" s="2" t="str">
        <x:v>NA</x:v>
      </x:c>
      <x:c r="S78" s="6" t="str">
        <x:v>根据P2的需求，开发用例模型，包括系统边界、参与者和用例。</x:v>
      </x:c>
      <x:c r="T78" s="6" t="str">
        <x:v>用例图及说明</x:v>
      </x:c>
      <x:c r="U78" s="6" t="str">
        <x:v>p. 7; section Evaluation, Figure 3 description</x:v>
      </x:c>
      <x:c r="V78" s="6" t="str">
        <x:v>case model that sets the system’s boundaries and iden­ tifies primary and supporting actors, along with their</x:v>
      </x:c>
      <x:c r="W78" s="6" t="str">
        <x:v>该任务使用LLM生成UML用例模型，为后续规格说明提供基础。</x:v>
      </x:c>
      <x:c r="X78" s="2" t="str">
        <x:v>Accepted</x:v>
      </x:c>
      <x:c r="Y78" s="6" t="str">
        <x:v>NR</x:v>
      </x:c>
    </x:row>
    <x:row r="79" ht="76" customHeight="1">
      <x:c r="A79" s="2" t="str">
        <x:v>S46-TASK-R04</x:v>
      </x:c>
      <x:c r="B79" s="2" t="str">
        <x:v>S46</x:v>
      </x:c>
      <x:c r="C79" s="2" t="str">
        <x:v>merged_1293</x:v>
      </x:c>
      <x:c r="D79" s="2" t="str">
        <x:v>Reviewer_A</x:v>
      </x:c>
      <x:c r="E79" s="2" t="str">
        <x:v>Reviewer_A</x:v>
      </x:c>
      <x:c r="F79" s="2" t="str">
        <x:v>S46-T04</x:v>
      </x:c>
      <x:c r="G79" s="2" t="str">
        <x:v>develops use case specifications</x:v>
      </x:c>
      <x:c r="H79" s="2" t="str">
        <x:v>trace-aware artifact generation</x:v>
      </x:c>
      <x:c r="I79" s="2" t="str">
        <x:v>use case model and requirements</x:v>
      </x:c>
      <x:c r="J79" s="2" t="str">
        <x:v>UML model</x:v>
      </x:c>
      <x:c r="K79" s="2" t="str">
        <x:v>use case specifications</x:v>
      </x:c>
      <x:c r="L79" s="2" t="str">
        <x:v>other</x:v>
      </x:c>
      <x:c r="M79" s="2" t="str">
        <x:v>source -&gt; target</x:v>
      </x:c>
      <x:c r="N79" s="2" t="str">
        <x:v>requirements</x:v>
      </x:c>
      <x:c r="O79" s="2" t="str">
        <x:v>smart home system</x:v>
      </x:c>
      <x:c r="P79" s="2" t="str">
        <x:v>Smart Home System</x:v>
      </x:c>
      <x:c r="Q79" s="2" t="str">
        <x:v>Academic</x:v>
      </x:c>
      <x:c r="R79" s="2" t="str">
        <x:v>NA</x:v>
      </x:c>
      <x:c r="S79" s="6" t="str">
        <x:v>开发用例详细规格说明，包含主要参与者、前置/后置条件、主成功场景和替代场景。</x:v>
      </x:c>
      <x:c r="T79" s="6" t="str">
        <x:v>用例文档</x:v>
      </x:c>
      <x:c r="U79" s="6" t="str">
        <x:v>p. 7; section Evaluation, Figure 3 description</x:v>
      </x:c>
      <x:c r="V79" s="6" t="str">
        <x:v>P2; P4 develops use case specifications, including pri­ mary actors, pre- and post-conditions, and outlining</x:v>
      </x:c>
      <x:c r="W79" s="6" t="str">
        <x:v>该任务使用LLM将用例模型细化为详细的文本规格说明，供后续设计和测试使用。</x:v>
      </x:c>
      <x:c r="X79" s="2" t="str">
        <x:v>Accepted</x:v>
      </x:c>
      <x:c r="Y79" s="6" t="str">
        <x:v>NR</x:v>
      </x:c>
    </x:row>
    <x:row r="80" ht="76" customHeight="1">
      <x:c r="A80" s="2" t="str">
        <x:v>S46-TASK-R05</x:v>
      </x:c>
      <x:c r="B80" s="2" t="str">
        <x:v>S46</x:v>
      </x:c>
      <x:c r="C80" s="2" t="str">
        <x:v>merged_1293</x:v>
      </x:c>
      <x:c r="D80" s="2" t="str">
        <x:v>Reviewer_A</x:v>
      </x:c>
      <x:c r="E80" s="2" t="str">
        <x:v>Reviewer_A</x:v>
      </x:c>
      <x:c r="F80" s="2" t="str">
        <x:v>S46-T05</x:v>
      </x:c>
      <x:c r="G80" s="2" t="str">
        <x:v>constructs a domain model</x:v>
      </x:c>
      <x:c r="H80" s="2" t="str">
        <x:v>trace-aware artifact generation</x:v>
      </x:c>
      <x:c r="I80" s="2" t="str">
        <x:v>use case specifications from P4</x:v>
      </x:c>
      <x:c r="J80" s="2" t="str">
        <x:v>other</x:v>
      </x:c>
      <x:c r="K80" s="2" t="str">
        <x:v>domain model</x:v>
      </x:c>
      <x:c r="L80" s="2" t="str">
        <x:v>UML model</x:v>
      </x:c>
      <x:c r="M80" s="2" t="str">
        <x:v>source -&gt; target</x:v>
      </x:c>
      <x:c r="N80" s="2" t="str">
        <x:v>requirements</x:v>
      </x:c>
      <x:c r="O80" s="2" t="str">
        <x:v>smart home system</x:v>
      </x:c>
      <x:c r="P80" s="2" t="str">
        <x:v>Smart Home System</x:v>
      </x:c>
      <x:c r="Q80" s="2" t="str">
        <x:v>Academic</x:v>
      </x:c>
      <x:c r="R80" s="2" t="str">
        <x:v>NA</x:v>
      </x:c>
      <x:c r="S80" s="6" t="str">
        <x:v>根据P4的用例规格说明，构建领域模型，表示真实世界概念。</x:v>
      </x:c>
      <x:c r="T80" s="6" t="str">
        <x:v>领域类图</x:v>
      </x:c>
      <x:c r="U80" s="6" t="str">
        <x:v>p. 7; section Evaluation, Figure 3 description</x:v>
      </x:c>
      <x:c r="V80" s="6" t="str">
        <x:v>a domain model that represents the system with realworld concepts derived from the specifications in P4;</x:v>
      </x:c>
      <x:c r="W80" s="6" t="str">
        <x:v>该任务使用LLM从用例规格中提取领域概念，生成UML领域模型。</x:v>
      </x:c>
      <x:c r="X80" s="2" t="str">
        <x:v>Accepted</x:v>
      </x:c>
      <x:c r="Y80" s="6" t="str">
        <x:v>NR</x:v>
      </x:c>
    </x:row>
    <x:row r="81" ht="76" customHeight="1">
      <x:c r="A81" s="2" t="str">
        <x:v>S46-TASK-R06</x:v>
      </x:c>
      <x:c r="B81" s="2" t="str">
        <x:v>S46</x:v>
      </x:c>
      <x:c r="C81" s="2" t="str">
        <x:v>merged_1293</x:v>
      </x:c>
      <x:c r="D81" s="2" t="str">
        <x:v>Reviewer_A</x:v>
      </x:c>
      <x:c r="E81" s="2" t="str">
        <x:v>Reviewer_A</x:v>
      </x:c>
      <x:c r="F81" s="2" t="str">
        <x:v>S46-T06</x:v>
      </x:c>
      <x:c r="G81" s="2" t="str">
        <x:v>identifies system operations from these use case scenarios</x:v>
      </x:c>
      <x:c r="H81" s="2" t="str">
        <x:v>trace-aware artifact generation</x:v>
      </x:c>
      <x:c r="I81" s="2" t="str">
        <x:v>use case specifications (P4)</x:v>
      </x:c>
      <x:c r="J81" s="2" t="str">
        <x:v>other</x:v>
      </x:c>
      <x:c r="K81" s="2" t="str">
        <x:v>system operations</x:v>
      </x:c>
      <x:c r="L81" s="2" t="str">
        <x:v>other</x:v>
      </x:c>
      <x:c r="M81" s="2" t="str">
        <x:v>source -&gt; target</x:v>
      </x:c>
      <x:c r="N81" s="2" t="str">
        <x:v>requirements</x:v>
      </x:c>
      <x:c r="O81" s="2" t="str">
        <x:v>smart home system</x:v>
      </x:c>
      <x:c r="P81" s="2" t="str">
        <x:v>Smart Home System</x:v>
      </x:c>
      <x:c r="Q81" s="2" t="str">
        <x:v>Academic</x:v>
      </x:c>
      <x:c r="R81" s="2" t="str">
        <x:v>NA</x:v>
      </x:c>
      <x:c r="S81" s="6" t="str">
        <x:v>从用例场景中识别系统操作。</x:v>
      </x:c>
      <x:c r="T81" s="6" t="str">
        <x:v>操作列表</x:v>
      </x:c>
      <x:c r="U81" s="6" t="str">
        <x:v>p. 8; section Evaluation, Figure 3 description</x:v>
      </x:c>
      <x:c r="V81" s="6" t="str">
        <x:v>P6 identifies system operations from these use case scenarios</x:v>
      </x:c>
      <x:c r="W81" s="6" t="str">
        <x:v>该任务使用LLM提取系统操作，为设计阶段提供输入。</x:v>
      </x:c>
      <x:c r="X81" s="2" t="str">
        <x:v>Accepted</x:v>
      </x:c>
      <x:c r="Y81" s="6" t="str">
        <x:v>NR</x:v>
      </x:c>
    </x:row>
    <x:row r="82" ht="76" customHeight="1">
      <x:c r="A82" s="2" t="str">
        <x:v>S46-TASK-R07</x:v>
      </x:c>
      <x:c r="B82" s="2" t="str">
        <x:v>S46</x:v>
      </x:c>
      <x:c r="C82" s="2" t="str">
        <x:v>merged_1293</x:v>
      </x:c>
      <x:c r="D82" s="2" t="str">
        <x:v>Reviewer_A</x:v>
      </x:c>
      <x:c r="E82" s="2" t="str">
        <x:v>Reviewer_A</x:v>
      </x:c>
      <x:c r="F82" s="2" t="str">
        <x:v>S46-T07</x:v>
      </x:c>
      <x:c r="G82" s="2" t="str">
        <x:v>creates design sequence diagrams detailing the system operations identified in P6</x:v>
      </x:c>
      <x:c r="H82" s="2" t="str">
        <x:v>trace-aware artifact generation</x:v>
      </x:c>
      <x:c r="I82" s="2" t="str">
        <x:v>system operations from P6</x:v>
      </x:c>
      <x:c r="J82" s="2" t="str">
        <x:v>other</x:v>
      </x:c>
      <x:c r="K82" s="2" t="str">
        <x:v>design sequence diagrams</x:v>
      </x:c>
      <x:c r="L82" s="2" t="str">
        <x:v>UML model</x:v>
      </x:c>
      <x:c r="M82" s="2" t="str">
        <x:v>source -&gt; target</x:v>
      </x:c>
      <x:c r="N82" s="2" t="str">
        <x:v>design</x:v>
      </x:c>
      <x:c r="O82" s="2" t="str">
        <x:v>smart home system</x:v>
      </x:c>
      <x:c r="P82" s="2" t="str">
        <x:v>Smart Home System</x:v>
      </x:c>
      <x:c r="Q82" s="2" t="str">
        <x:v>Academic</x:v>
      </x:c>
      <x:c r="R82" s="2" t="str">
        <x:v>NA</x:v>
      </x:c>
      <x:c r="S82" s="6" t="str">
        <x:v>根据P6的系统操作，创建设计序列图，定义操作类及其方法。</x:v>
      </x:c>
      <x:c r="T82" s="6" t="str">
        <x:v>序列图（文本或图形）</x:v>
      </x:c>
      <x:c r="U82" s="6" t="str">
        <x:v>p. 8; section Evaluation, Figure 3 description</x:v>
      </x:c>
      <x:c r="V82" s="6" t="str">
        <x:v>P8. P7 creates design sequence diagrams detailing the system operations identified in P6, defining the opera­</x:v>
      </x:c>
      <x:c r="W82" s="6" t="str">
        <x:v>该任务使用LLM从系统操作生成设计序列图，描述内部对象交互。</x:v>
      </x:c>
      <x:c r="X82" s="2" t="str">
        <x:v>Accepted</x:v>
      </x:c>
      <x:c r="Y82" s="6" t="str">
        <x:v>NR</x:v>
      </x:c>
    </x:row>
    <x:row r="83" ht="76" customHeight="1">
      <x:c r="A83" s="2" t="str">
        <x:v>S46-TASK-R08</x:v>
      </x:c>
      <x:c r="B83" s="2" t="str">
        <x:v>S46</x:v>
      </x:c>
      <x:c r="C83" s="2" t="str">
        <x:v>merged_1293</x:v>
      </x:c>
      <x:c r="D83" s="2" t="str">
        <x:v>Reviewer_A</x:v>
      </x:c>
      <x:c r="E83" s="2" t="str">
        <x:v>Reviewer_A</x:v>
      </x:c>
      <x:c r="F83" s="2" t="str">
        <x:v>S46-T08</x:v>
      </x:c>
      <x:c r="G83" s="2" t="str">
        <x:v>develops a design class diagram based on the domain model from P5 and the design sequence diagrams from P7</x:v>
      </x:c>
      <x:c r="H83" s="2" t="str">
        <x:v>trace-aware artifact generation</x:v>
      </x:c>
      <x:c r="I83" s="2" t="str">
        <x:v>domain model (P5) and design sequence diagrams (P7)</x:v>
      </x:c>
      <x:c r="J83" s="2" t="str">
        <x:v>UML model</x:v>
      </x:c>
      <x:c r="K83" s="2" t="str">
        <x:v>design class diagram</x:v>
      </x:c>
      <x:c r="L83" s="2" t="str">
        <x:v>UML model</x:v>
      </x:c>
      <x:c r="M83" s="2" t="str">
        <x:v>source -&gt; target</x:v>
      </x:c>
      <x:c r="N83" s="2" t="str">
        <x:v>design</x:v>
      </x:c>
      <x:c r="O83" s="2" t="str">
        <x:v>smart home system</x:v>
      </x:c>
      <x:c r="P83" s="2" t="str">
        <x:v>Smart Home System</x:v>
      </x:c>
      <x:c r="Q83" s="2" t="str">
        <x:v>Academic</x:v>
      </x:c>
      <x:c r="R83" s="2" t="str">
        <x:v>NA</x:v>
      </x:c>
      <x:c r="S83" s="6" t="str">
        <x:v>基于领域模型和序列图，开发设计类图，加入应用逻辑类。</x:v>
      </x:c>
      <x:c r="T83" s="6" t="str">
        <x:v>设计类图</x:v>
      </x:c>
      <x:c r="U83" s="6" t="str">
        <x:v>p. 8; section Evaluation, Figure 3 description</x:v>
      </x:c>
      <x:c r="V83" s="6" t="str">
        <x:v>diagram based on the domain model from P5 and the design sequence diagrams from P7, incorporating appli­</x:v>
      </x:c>
      <x:c r="W83" s="6" t="str">
        <x:v>该任务使用LLM合并领域模型和行为设计生成详细类图。</x:v>
      </x:c>
      <x:c r="X83" s="2" t="str">
        <x:v>Accepted</x:v>
      </x:c>
      <x:c r="Y83" s="6" t="str">
        <x:v>NR</x:v>
      </x:c>
    </x:row>
    <x:row r="84" ht="76" customHeight="1">
      <x:c r="A84" s="2" t="str">
        <x:v>S46-TASK-R09</x:v>
      </x:c>
      <x:c r="B84" s="2" t="str">
        <x:v>S46</x:v>
      </x:c>
      <x:c r="C84" s="2" t="str">
        <x:v>merged_1293</x:v>
      </x:c>
      <x:c r="D84" s="2" t="str">
        <x:v>Reviewer_A</x:v>
      </x:c>
      <x:c r="E84" s="2" t="str">
        <x:v>Reviewer_A</x:v>
      </x:c>
      <x:c r="F84" s="2" t="str">
        <x:v>S46-T09</x:v>
      </x:c>
      <x:c r="G84" s="2" t="str">
        <x:v>implements the design from P8 in Java</x:v>
      </x:c>
      <x:c r="H84" s="2" t="str">
        <x:v>trace-aware artifact generation</x:v>
      </x:c>
      <x:c r="I84" s="2" t="str">
        <x:v>design class diagram (P8)</x:v>
      </x:c>
      <x:c r="J84" s="2" t="str">
        <x:v>UML model</x:v>
      </x:c>
      <x:c r="K84" s="2" t="str">
        <x:v>Java implementation</x:v>
      </x:c>
      <x:c r="L84" s="2" t="str">
        <x:v>source code</x:v>
      </x:c>
      <x:c r="M84" s="2" t="str">
        <x:v>source -&gt; target</x:v>
      </x:c>
      <x:c r="N84" s="2" t="str">
        <x:v>implementation</x:v>
      </x:c>
      <x:c r="O84" s="2" t="str">
        <x:v>smart home system</x:v>
      </x:c>
      <x:c r="P84" s="2" t="str">
        <x:v>Smart Home System</x:v>
      </x:c>
      <x:c r="Q84" s="2" t="str">
        <x:v>Academic</x:v>
      </x:c>
      <x:c r="R84" s="2" t="str">
        <x:v>NA</x:v>
      </x:c>
      <x:c r="S84" s="6" t="str">
        <x:v>使用Java实现P8的设计，使用内存数据结构模拟数据库，并实现驱动类和示例数据。</x:v>
      </x:c>
      <x:c r="T84" s="6" t="str">
        <x:v>Java源代码</x:v>
      </x:c>
      <x:c r="U84" s="6" t="str">
        <x:v>p. 8; section Evaluation, Figure 3 description</x:v>
      </x:c>
      <x:c r="V84" s="6" t="str">
        <x:v>implements the design from P8 in Java, using in-mem­ ory data structures to simulate database functionalities.</x:v>
      </x:c>
      <x:c r="W84" s="6" t="str">
        <x:v>该任务使用LLM从设计类图生成可运行的Java代码。</x:v>
      </x:c>
      <x:c r="X84" s="2" t="str">
        <x:v>Accepted</x:v>
      </x:c>
      <x:c r="Y84" s="6" t="str">
        <x:v>NR</x:v>
      </x:c>
    </x:row>
    <x:row r="85" ht="76" customHeight="1">
      <x:c r="A85" s="2" t="str">
        <x:v>S46-TASK-R10</x:v>
      </x:c>
      <x:c r="B85" s="2" t="str">
        <x:v>S46</x:v>
      </x:c>
      <x:c r="C85" s="2" t="str">
        <x:v>merged_1293</x:v>
      </x:c>
      <x:c r="D85" s="2" t="str">
        <x:v>Reviewer_A</x:v>
      </x:c>
      <x:c r="E85" s="2" t="str">
        <x:v>Reviewer_A</x:v>
      </x:c>
      <x:c r="F85" s="2" t="str">
        <x:v>S46-T10</x:v>
      </x:c>
      <x:c r="G85" s="2" t="str">
        <x:v>develops tests to assess the implementation from P9</x:v>
      </x:c>
      <x:c r="H85" s="2" t="str">
        <x:v>trace-aware artifact generation</x:v>
      </x:c>
      <x:c r="I85" s="2" t="str">
        <x:v>implementation from P9</x:v>
      </x:c>
      <x:c r="J85" s="2" t="str">
        <x:v>source code</x:v>
      </x:c>
      <x:c r="K85" s="2" t="str">
        <x:v>test cases</x:v>
      </x:c>
      <x:c r="L85" s="2" t="str">
        <x:v>test case</x:v>
      </x:c>
      <x:c r="M85" s="2" t="str">
        <x:v>source -&gt; target</x:v>
      </x:c>
      <x:c r="N85" s="2" t="str">
        <x:v>testing</x:v>
      </x:c>
      <x:c r="O85" s="2" t="str">
        <x:v>smart home system</x:v>
      </x:c>
      <x:c r="P85" s="2" t="str">
        <x:v>Smart Home System</x:v>
      </x:c>
      <x:c r="Q85" s="2" t="str">
        <x:v>Academic</x:v>
      </x:c>
      <x:c r="R85" s="2" t="str">
        <x:v>NA</x:v>
      </x:c>
      <x:c r="S85" s="6" t="str">
        <x:v>开发单元测试、集成测试和系统测试以评估P9的实现。</x:v>
      </x:c>
      <x:c r="T85" s="6" t="str">
        <x:v>测试代码</x:v>
      </x:c>
      <x:c r="U85" s="6" t="str">
        <x:v>p. 8; section Evaluation, Figure 3 description</x:v>
      </x:c>
      <x:c r="V85" s="6" t="str">
        <x:v>P10 which develops tests to assess the implementation from P9, including unit tests, integration tests, and system tests</x:v>
      </x:c>
      <x:c r="W85" s="6" t="str">
        <x:v>该任务使用LLM生成测试用例以验证代码质量。</x:v>
      </x:c>
      <x:c r="X85" s="2" t="str">
        <x:v>Accepted</x:v>
      </x:c>
      <x:c r="Y85" s="6" t="str">
        <x:v>NR</x:v>
      </x:c>
    </x:row>
    <x:row r="86" ht="76" customHeight="1">
      <x:c r="A86" s="2" t="str">
        <x:v>S47-TASK-R01</x:v>
      </x:c>
      <x:c r="B86" s="2" t="str">
        <x:v>S47</x:v>
      </x:c>
      <x:c r="C86" s="2" t="str">
        <x:v>merged_1302-v1</x:v>
      </x:c>
      <x:c r="D86" s="2" t="str">
        <x:v>Reviewer_A</x:v>
      </x:c>
      <x:c r="E86" s="2" t="str">
        <x:v>Reviewer_A</x:v>
      </x:c>
      <x:c r="F86" s="2" t="str">
        <x:v>S47-T01</x:v>
      </x:c>
      <x:c r="G86" s="2" t="str">
        <x:v>Traceability Link Recovery for datasheet-to-code</x:v>
      </x:c>
      <x:c r="H86" s="2" t="str">
        <x:v>traceability link recovery</x:v>
      </x:c>
      <x:c r="I86" s="2" t="str">
        <x:v>datasheet sections</x:v>
      </x:c>
      <x:c r="J86" s="2" t="str">
        <x:v>system specification</x:v>
      </x:c>
      <x:c r="K86" s="2" t="str">
        <x:v>code symbols (functions, macros, structs, constants, enums, typedefs)</x:v>
      </x:c>
      <x:c r="L86" s="2" t="str">
        <x:v>source code</x:v>
      </x:c>
      <x:c r="M86" s="2" t="str">
        <x:v>datasheet sections -&gt; code symbols</x:v>
      </x:c>
      <x:c r="N86" s="2" t="str">
        <x:v>implementation</x:v>
      </x:c>
      <x:c r="O86" s="2" t="str">
        <x:v>embedded systems</x:v>
      </x:c>
      <x:c r="P86" s="2" t="str">
        <x:v>Multiple open-source embedded systems repositories (e.g., NXP NFC Linux implementation)</x:v>
      </x:c>
      <x:c r="Q86" s="2" t="str">
        <x:v>Academic</x:v>
      </x:c>
      <x:c r="R86" s="2" t="str">
        <x:v>NR</x:v>
      </x:c>
      <x:c r="S86" s="6" t="str">
        <x:v>从嵌入式系统数据手册的各个节恢复其与源代码符号之间的追溯链接。</x:v>
      </x:c>
      <x:c r="T86" s="6" t="str">
        <x:v>每个数据手册节得到一组与之相关的代码符号的映射。</x:v>
      </x:c>
      <x:c r="U86" s="6" t="str">
        <x:v>p. 1; Abstract</x:v>
      </x:c>
      <x:c r="V86" s="6" t="str">
        <x:v>Establishing precise traceability between embedded systems datasheets and their corresponding code implementations</x:v>
      </x:c>
      <x:c r="W86" s="6" t="str">
        <x:v>任务聚焦于系统设计规格与实现代码之间的链接恢复，属于典型的逆向追溯恢复问题。</x:v>
      </x:c>
      <x:c r="X86" s="2" t="str">
        <x:v>Accepted</x:v>
      </x:c>
      <x:c r="Y86" s="6" t="str">
        <x:v>NA</x:v>
      </x:c>
    </x:row>
    <x:row r="87" ht="76" customHeight="1">
      <x:c r="A87" s="2" t="str">
        <x:v>S48-TASK-R01</x:v>
      </x:c>
      <x:c r="B87" s="2" t="str">
        <x:v>S48</x:v>
      </x:c>
      <x:c r="C87" s="2" t="str">
        <x:v>merged_1441</x:v>
      </x:c>
      <x:c r="D87" s="2" t="str">
        <x:v>Reviewer_A</x:v>
      </x:c>
      <x:c r="E87" s="2" t="str">
        <x:v>Reviewer_A</x:v>
      </x:c>
      <x:c r="F87" s="2" t="str">
        <x:v>S48-T01</x:v>
      </x:c>
      <x:c r="G87" s="2" t="str">
        <x:v>issue–issue link prediction</x:v>
      </x:c>
      <x:c r="H87" s="2" t="str">
        <x:v>traceability link recovery</x:v>
      </x:c>
      <x:c r="I87" s="2" t="str">
        <x:v>issue</x:v>
      </x:c>
      <x:c r="J87" s="2" t="str">
        <x:v>issue</x:v>
      </x:c>
      <x:c r="K87" s="2" t="str">
        <x:v>issue</x:v>
      </x:c>
      <x:c r="L87" s="2" t="str">
        <x:v>issue</x:v>
      </x:c>
      <x:c r="M87" s="2" t="str">
        <x:v>undirected</x:v>
      </x:c>
      <x:c r="N87" s="2" t="str">
        <x:v>cross-lifecycle</x:v>
      </x:c>
      <x:c r="O87" s="2" t="str">
        <x:v>Open-source software maintenance (Apache projects)</x:v>
      </x:c>
      <x:c r="P87" s="2" t="str">
        <x:v>23 Apache Jira projects</x:v>
      </x:c>
      <x:c r="Q87" s="2" t="str">
        <x:v>Academic</x:v>
      </x:c>
      <x:c r="R87" s="2" t="str">
        <x:v>NR</x:v>
      </x:c>
      <x:c r="S87" s="6" t="str">
        <x:v>预测一对问题之间是否存在任何类型的链接（如阻塞、依赖、重复等），是一个二分类问题。</x:v>
      </x:c>
      <x:c r="T87" s="6" t="str">
        <x:v>每一对问题输出一个链接存在概率，通过阈值判定是否存在链接。</x:v>
      </x:c>
      <x:c r="U87" s="6" t="str">
        <x:v>p. 2; Section II-A</x:v>
      </x:c>
      <x:c r="V87" s="6" t="str">
        <x:v>we focus on link existence prediction as a first-order objective</x:v>
      </x:c>
      <x:c r="W87" s="6" t="str">
        <x:v>任务是恢复问题间缺失的跟踪链接，属于跟踪性链接恢复。</x:v>
      </x:c>
      <x:c r="X87" s="2" t="str">
        <x:v>Accepted</x:v>
      </x:c>
      <x:c r="Y87" s="6" t="str">
        <x:v>NA</x:v>
      </x:c>
    </x:row>
    <x:row r="88" ht="76" customHeight="1">
      <x:c r="A88" s="2" t="str">
        <x:v>S49-TASK-R01</x:v>
      </x:c>
      <x:c r="B88" s="2" t="str">
        <x:v>S49</x:v>
      </x:c>
      <x:c r="C88" s="2" t="str">
        <x:v>merged_1486</x:v>
      </x:c>
      <x:c r="D88" s="2" t="str">
        <x:v>Reviewer_A</x:v>
      </x:c>
      <x:c r="E88" s="2" t="str">
        <x:v>Reviewer_A</x:v>
      </x:c>
      <x:c r="F88" s="2" t="str">
        <x:v>S49-T01</x:v>
      </x:c>
      <x:c r="G88" s="2" t="str">
        <x:v>Requirements Traceability</x:v>
      </x:c>
      <x:c r="H88" s="2" t="str">
        <x:v>traceability link recovery</x:v>
      </x:c>
      <x:c r="I88" s="2" t="str">
        <x:v>requirement (randomly selected)</x:v>
      </x:c>
      <x:c r="J88" s="2" t="str">
        <x:v>requirement</x:v>
      </x:c>
      <x:c r="K88" s="2" t="str">
        <x:v>related or dependent requirements</x:v>
      </x:c>
      <x:c r="L88" s="2" t="str">
        <x:v>requirement</x:v>
      </x:c>
      <x:c r="M88" s="2" t="str">
        <x:v>requirement -&gt; requirement</x:v>
      </x:c>
      <x:c r="N88" s="2" t="str">
        <x:v>requirements</x:v>
      </x:c>
      <x:c r="O88" s="2" t="str">
        <x:v>Unclear</x:v>
      </x:c>
      <x:c r="P88" s="2" t="str">
        <x:v>PURE dataset (THEMAS and QHEADACHE)</x:v>
      </x:c>
      <x:c r="Q88" s="2" t="str">
        <x:v>Academic</x:v>
      </x:c>
      <x:c r="R88" s="2" t="str">
        <x:v>NA</x:v>
      </x:c>
      <x:c r="S88" s="6" t="str">
        <x:v>从SRS文档中随机选取一个需求，由LLM识别该需求的所有相关或依赖的其他需求，输出为满足指定格式的ID列表，并与真实追踪链接比较。</x:v>
      </x:c>
      <x:c r="T88" s="6" t="str">
        <x:v>输出为需求ID列表，可通过与数据集中原始追踪链接对比计算精确度、召回率等指标。</x:v>
      </x:c>
      <x:c r="U88" s="6" t="str">
        <x:v>p. 8; Section 3.3</x:v>
      </x:c>
      <x:c r="V88" s="6" t="str">
        <x:v>The model was given a requirement (randomly selected from the input documents) and asked to identify all related or dependent requirements.</x:v>
      </x:c>
      <x:c r="W88" s="6" t="str">
        <x:v>任务明确为基于单个需求检索相关需求，属于典型的追踪链接恢复。</x:v>
      </x:c>
      <x:c r="X88" s="2" t="str">
        <x:v>Accepted</x:v>
      </x:c>
      <x:c r="Y88" s="6" t="str">
        <x:v>NR</x:v>
      </x:c>
    </x:row>
    <x:row r="89" ht="76" customHeight="1">
      <x:c r="A89" s="2" t="str">
        <x:v>S50-TASK-R01</x:v>
      </x:c>
      <x:c r="B89" s="2" t="str">
        <x:v>S50</x:v>
      </x:c>
      <x:c r="C89" s="2" t="str">
        <x:v>snowball_00068</x:v>
      </x:c>
      <x:c r="D89" s="2" t="str">
        <x:v>Reviewer_A</x:v>
      </x:c>
      <x:c r="E89" s="2" t="str">
        <x:v>Reviewer_A</x:v>
      </x:c>
      <x:c r="F89" s="2" t="str">
        <x:v>S50-T01</x:v>
      </x:c>
      <x:c r="G89" s="2" t="str">
        <x:v>validating applicable security requirements provided by IEC 62443-3-3 concerning system designs through a question-and-answer interface</x:v>
      </x:c>
      <x:c r="H89" s="2" t="str">
        <x:v>traceability link validation</x:v>
      </x:c>
      <x:c r="I89" s="2" t="str">
        <x:v>security requirement (IEC 62443-3-3)</x:v>
      </x:c>
      <x:c r="J89" s="2" t="str">
        <x:v>requirement</x:v>
      </x:c>
      <x:c r="K89" s="2" t="str">
        <x:v>system architecture (ICS design)</x:v>
      </x:c>
      <x:c r="L89" s="2" t="str">
        <x:v>architecture model</x:v>
      </x:c>
      <x:c r="M89" s="2" t="str">
        <x:v>requirement -&gt; architecture (applicability)</x:v>
      </x:c>
      <x:c r="N89" s="2" t="str">
        <x:v>design</x:v>
      </x:c>
      <x:c r="O89" s="2" t="str">
        <x:v>Industrial Control Systems (ICS)</x:v>
      </x:c>
      <x:c r="P89" s="2" t="str">
        <x:v>Use case based on Purdue Model</x:v>
      </x:c>
      <x:c r="Q89" s="2" t="str">
        <x:v>Academic</x:v>
      </x:c>
      <x:c r="R89" s="2" t="str">
        <x:v>NA</x:v>
      </x:c>
      <x:c r="S89" s="6" t="str">
        <x:v>通过自然语言问答，验证特定安全要求是否适用于系统架构中的某个区域（如控制网络区），并给出理由。</x:v>
      </x:c>
      <x:c r="T89" s="6" t="str">
        <x:v>LLM生成的回答，明确指出要求是否适用及依据。</x:v>
      </x:c>
      <x:c r="U89" s="6" t="str">
        <x:v>p. 14; Appendix A, question 8</x:v>
      </x:c>
      <x:c r="V89" s="6" t="str">
        <x:v>Is security requirement SR1.1 needed to be addressed in the Control Network zone? Answer based on the definition of this requirement. Yes, this requirement is about the identification and authentication of human users.</x:v>
      </x:c>
      <x:c r="W89" s="6" t="str">
        <x:v>任务本质是验证安全要求与系统组件之间的迹线链接。</x:v>
      </x:c>
      <x:c r="X89" s="2" t="str">
        <x:v>Accepted</x:v>
      </x:c>
      <x:c r="Y89" s="6" t="str">
        <x:v>NA</x:v>
      </x:c>
    </x:row>
    <x:row r="90" ht="76" customHeight="1">
      <x:c r="A90" s="2" t="str">
        <x:v>S51-TASK-R01</x:v>
      </x:c>
      <x:c r="B90" s="2" t="str">
        <x:v>S51</x:v>
      </x:c>
      <x:c r="C90" s="2" t="str">
        <x:v>snowball_00085</x:v>
      </x:c>
      <x:c r="D90" s="2" t="str">
        <x:v>Reviewer_A</x:v>
      </x:c>
      <x:c r="E90" s="2" t="str">
        <x:v>Reviewer_A</x:v>
      </x:c>
      <x:c r="F90" s="2" t="str">
        <x:v>S51-T01</x:v>
      </x:c>
      <x:c r="G90" s="2" t="str">
        <x:v>assess which requirements are fulfilled by the system specification</x:v>
      </x:c>
      <x:c r="H90" s="2" t="str">
        <x:v>consistency checking</x:v>
      </x:c>
      <x:c r="I90" s="2" t="str">
        <x:v>system specification</x:v>
      </x:c>
      <x:c r="J90" s="2" t="str">
        <x:v>system specification</x:v>
      </x:c>
      <x:c r="K90" s="2" t="str">
        <x:v>requirements</x:v>
      </x:c>
      <x:c r="L90" s="2" t="str">
        <x:v>requirement</x:v>
      </x:c>
      <x:c r="M90" s="2" t="str">
        <x:v>system specification -&gt; requirements</x:v>
      </x:c>
      <x:c r="N90" s="2" t="str">
        <x:v>requirements</x:v>
      </x:c>
      <x:c r="O90" s="2" t="str">
        <x:v>smart-grid</x:v>
      </x:c>
      <x:c r="P90" s="2" t="str">
        <x:v>custom created synthetic dataset</x:v>
      </x:c>
      <x:c r="Q90" s="2" t="str">
        <x:v>Academic</x:v>
      </x:c>
      <x:c r="R90" s="2" t="str">
        <x:v>NA</x:v>
      </x:c>
      <x:c r="S90" s="6" t="str">
        <x:v>给定一套需求列表和一份用自然语言描述的系统规格，判断规格是否满足每条需求，并区分不适用需求。</x:v>
      </x:c>
      <x:c r="T90" s="6" t="str">
        <x:v>LLM输出每条需求的满足状态：满足、未满足或不适用。</x:v>
      </x:c>
      <x:c r="U90" s="6" t="str">
        <x:v>p. 1; Section I</x:v>
      </x:c>
      <x:c r="V90" s="6" t="str">
        <x:v>LLMs are provided with a set of requirements and a textual system specification and are prompted to assess which requirements are fulfilled by the system specification.</x:v>
      </x:c>
      <x:c r="W90" s="6" t="str">
        <x:v>该任务属于一致性检查，即验证系统规格是否与需求一致，并特别要求识别不适用需求以避免误报。</x:v>
      </x:c>
      <x:c r="X90" s="2" t="str">
        <x:v>Accepted</x:v>
      </x:c>
      <x:c r="Y90" s="6" t="str">
        <x:v>NA</x:v>
      </x:c>
    </x:row>
    <x:row r="91" ht="76" customHeight="1">
      <x:c r="A91" s="2" t="str">
        <x:v>S52-TASK-R01</x:v>
      </x:c>
      <x:c r="B91" s="2" t="str">
        <x:v>S52</x:v>
      </x:c>
      <x:c r="C91" s="2" t="str">
        <x:v>snowball_00095</x:v>
      </x:c>
      <x:c r="D91" s="2" t="str">
        <x:v>Reviewer_A</x:v>
      </x:c>
      <x:c r="E91" s="2" t="str">
        <x:v>Reviewer_A</x:v>
      </x:c>
      <x:c r="F91" s="2" t="str">
        <x:v>S52-T01</x:v>
      </x:c>
      <x:c r="G91" s="2" t="str">
        <x:v>generates trace links</x:v>
      </x:c>
      <x:c r="H91" s="2" t="str">
        <x:v>traceability link generation</x:v>
      </x:c>
      <x:c r="I91" s="2" t="str">
        <x:v>source code</x:v>
      </x:c>
      <x:c r="J91" s="2" t="str">
        <x:v>source code</x:v>
      </x:c>
      <x:c r="K91" s="2" t="str">
        <x:v>higher-level documentation (design definitions, requirements, user stories, epics)</x:v>
      </x:c>
      <x:c r="L91" s="2" t="str">
        <x:v>documentation</x:v>
      </x:c>
      <x:c r="M91" s="2" t="str">
        <x:v>source code → higher-level documentation</x:v>
      </x:c>
      <x:c r="N91" s="2" t="str">
        <x:v>cross-lifecycle</x:v>
      </x:c>
      <x:c r="O91" s="2" t="str">
        <x:v>multiple domains</x:v>
      </x:c>
      <x:c r="P91" s="2" t="str">
        <x:v>Three projects (Dronology, SAFA, Jack of Clubs) and nine industrial pilots</x:v>
      </x:c>
      <x:c r="Q91" s="2" t="str">
        <x:v>Mixed</x:v>
      </x:c>
      <x:c r="R91" s="2" t="str">
        <x:v>SAFA is industrial closed-source, others open-source; industrial pilots from various companies</x:v>
      </x:c>
      <x:c r="S91" s="6" t="str">
        <x:v>使用HGEN管道从源代码和低层文档生成高层文档及其追踪链接，建立有意义的层次结构。</x:v>
      </x:c>
      <x:c r="T91" s="6" t="str">
        <x:v>生成的文档层次中，各层工件之间的追踪链接，可通过精确率、召回率等评估。</x:v>
      </x:c>
      <x:c r="U91" s="6" t="str">
        <x:v>p. 2; Fig. 1 caption</x:v>
      </x:c>
      <x:c r="V91" s="6" t="str">
        <x:v>Stage 4. Connect these refined artifacts to the lower-level input artifacts by dynamically generating trace links.</x:v>
      </x:c>
      <x:c r="W91" s="6" t="str">
        <x:v>任务为在多层文档之间生成追踪链接，以构建可验证的层次化文档系统。</x:v>
      </x:c>
      <x:c r="X91" s="2" t="str">
        <x:v>Accepted</x:v>
      </x:c>
      <x:c r="Y91" s="6" t="str">
        <x:v>NA</x:v>
      </x:c>
    </x:row>
    <x:row r="92" ht="76" customHeight="1">
      <x:c r="A92" s="2" t="str">
        <x:v>S53-TASK-R01</x:v>
      </x:c>
      <x:c r="B92" s="2" t="str">
        <x:v>S53</x:v>
      </x:c>
      <x:c r="C92" s="2" t="str">
        <x:v>merged_1229</x:v>
      </x:c>
      <x:c r="D92" s="2" t="str">
        <x:v>Reviewer_A</x:v>
      </x:c>
      <x:c r="E92" s="2" t="str">
        <x:v>Reviewer_A</x:v>
      </x:c>
      <x:c r="F92" s="2" t="str">
        <x:v>S53-T01</x:v>
      </x:c>
      <x:c r="G92" s="2" t="str">
        <x:v>User Requirements Specification Generation</x:v>
      </x:c>
      <x:c r="H92" s="2" t="str">
        <x:v>trace-aware artifact generation</x:v>
      </x:c>
      <x:c r="I92" s="2" t="str">
        <x:v>initial sketch and prompt</x:v>
      </x:c>
      <x:c r="J92" s="2" t="str">
        <x:v>other</x:v>
      </x:c>
      <x:c r="K92" s="2" t="str">
        <x:v>User Requirements Document</x:v>
      </x:c>
      <x:c r="L92" s="2" t="str">
        <x:v>requirement</x:v>
      </x:c>
      <x:c r="M92" s="2" t="str">
        <x:v>initial sketch -&gt; user requirements</x:v>
      </x:c>
      <x:c r="N92" s="2" t="str">
        <x:v>requirements</x:v>
      </x:c>
      <x:c r="O92" s="2" t="str">
        <x:v>Railway signaling systems</x:v>
      </x:c>
      <x:c r="P92" s="2" t="str">
        <x:v>Synthetic Track Surveillance Drone artifacts</x:v>
      </x:c>
      <x:c r="Q92" s="2" t="str">
        <x:v>Synthetic</x:v>
      </x:c>
      <x:c r="R92" s="2" t="str">
        <x:v>NA</x:v>
      </x:c>
      <x:c r="S92" s="6" t="str">
        <x:v>Generate a structured user requirements document from an initial product sketch under CENELEC constraints.</x:v>
      </x:c>
      <x:c r="T92" s="6" t="str">
        <x:v>A user requirements document with identified requirements and document structure.</x:v>
      </x:c>
      <x:c r="U92" s="6" t="str">
        <x:v>p. 3; Section III-A</x:v>
      </x:c>
      <x:c r="V92" s="6" t="str">
        <x:v>create a User Requirements Document for a Track Surveillance Drone starting from the attached sketch</x:v>
      </x:c>
      <x:c r="W92" s="6" t="str">
        <x:v>The derived artifact retains an implicit relation to the source sketch, but the output is not stated to contain explicit trace links.</x:v>
      </x:c>
      <x:c r="X92" s="2" t="str">
        <x:v>Accepted</x:v>
      </x:c>
      <x:c r="Y92" s="6" t="str">
        <x:v>NR</x:v>
      </x:c>
    </x:row>
    <x:row r="93" ht="76" customHeight="1">
      <x:c r="A93" s="2" t="str">
        <x:v>S53-TASK-R02</x:v>
      </x:c>
      <x:c r="B93" s="2" t="str">
        <x:v>S53</x:v>
      </x:c>
      <x:c r="C93" s="2" t="str">
        <x:v>merged_1229</x:v>
      </x:c>
      <x:c r="D93" s="2" t="str">
        <x:v>Reviewer_A</x:v>
      </x:c>
      <x:c r="E93" s="2" t="str">
        <x:v>Reviewer_A</x:v>
      </x:c>
      <x:c r="F93" s="2" t="str">
        <x:v>S53-T02</x:v>
      </x:c>
      <x:c r="G93" s="2" t="str">
        <x:v>System Requirements Specification Generation</x:v>
      </x:c>
      <x:c r="H93" s="2" t="str">
        <x:v>trace-aware artifact generation</x:v>
      </x:c>
      <x:c r="I93" s="2" t="str">
        <x:v>User Requirements Document</x:v>
      </x:c>
      <x:c r="J93" s="2" t="str">
        <x:v>requirement</x:v>
      </x:c>
      <x:c r="K93" s="2" t="str">
        <x:v>System Requirements Document</x:v>
      </x:c>
      <x:c r="L93" s="2" t="str">
        <x:v>requirement</x:v>
      </x:c>
      <x:c r="M93" s="2" t="str">
        <x:v>user requirements -&gt; system requirements</x:v>
      </x:c>
      <x:c r="N93" s="2" t="str">
        <x:v>requirements</x:v>
      </x:c>
      <x:c r="O93" s="2" t="str">
        <x:v>Railway signaling systems</x:v>
      </x:c>
      <x:c r="P93" s="2" t="str">
        <x:v>Synthetic Track Surveillance Drone artifacts</x:v>
      </x:c>
      <x:c r="Q93" s="2" t="str">
        <x:v>Synthetic</x:v>
      </x:c>
      <x:c r="R93" s="2" t="str">
        <x:v>NA</x:v>
      </x:c>
      <x:c r="S93" s="6" t="str">
        <x:v>Derive technical system requirements from user requirements and preserve explicit source links.</x:v>
      </x:c>
      <x:c r="T93" s="6" t="str">
        <x:v>A system requirements document whose requirements link to user requirements.</x:v>
      </x:c>
      <x:c r="U93" s="6" t="str">
        <x:v>p. 4; Section III-B</x:v>
      </x:c>
      <x:c r="V93" s="6" t="str">
        <x:v>More system requirements can and is expected to be linked to one user requirement.</x:v>
      </x:c>
      <x:c r="W93" s="6" t="str">
        <x:v>The generated system requirements explicitly encode links to their source user requirements.</x:v>
      </x:c>
      <x:c r="X93" s="2" t="str">
        <x:v>Accepted</x:v>
      </x:c>
      <x:c r="Y93" s="6" t="str">
        <x:v>NR</x:v>
      </x:c>
    </x:row>
    <x:row r="94" ht="76" customHeight="1">
      <x:c r="A94" s="2" t="str">
        <x:v>S53-TASK-R03</x:v>
      </x:c>
      <x:c r="B94" s="2" t="str">
        <x:v>S53</x:v>
      </x:c>
      <x:c r="C94" s="2" t="str">
        <x:v>merged_1229</x:v>
      </x:c>
      <x:c r="D94" s="2" t="str">
        <x:v>Reviewer_A</x:v>
      </x:c>
      <x:c r="E94" s="2" t="str">
        <x:v>Reviewer_A</x:v>
      </x:c>
      <x:c r="F94" s="2" t="str">
        <x:v>S53-T03</x:v>
      </x:c>
      <x:c r="G94" s="2" t="str">
        <x:v>System Requirements Specification Refinement</x:v>
      </x:c>
      <x:c r="H94" s="2" t="str">
        <x:v>consistency checking</x:v>
      </x:c>
      <x:c r="I94" s="2" t="str">
        <x:v>System Requirements Document with injected errors</x:v>
      </x:c>
      <x:c r="J94" s="2" t="str">
        <x:v>requirement</x:v>
      </x:c>
      <x:c r="K94" s="2" t="str">
        <x:v>Corrected System Requirements Document</x:v>
      </x:c>
      <x:c r="L94" s="2" t="str">
        <x:v>requirement</x:v>
      </x:c>
      <x:c r="M94" s="2" t="str">
        <x:v>erroneous requirements -&gt; corrected requirements</x:v>
      </x:c>
      <x:c r="N94" s="2" t="str">
        <x:v>requirements</x:v>
      </x:c>
      <x:c r="O94" s="2" t="str">
        <x:v>Railway signaling systems</x:v>
      </x:c>
      <x:c r="P94" s="2" t="str">
        <x:v>Synthetic Track Surveillance Drone artifacts</x:v>
      </x:c>
      <x:c r="Q94" s="2" t="str">
        <x:v>Synthetic</x:v>
      </x:c>
      <x:c r="R94" s="2" t="str">
        <x:v>NA</x:v>
      </x:c>
      <x:c r="S94" s="6" t="str">
        <x:v>Identify duplicated, contradictory, implausible, and editorial errors and propose corrections.</x:v>
      </x:c>
      <x:c r="T94" s="6" t="str">
        <x:v>Detected issues and a corrected requirements document.</x:v>
      </x:c>
      <x:c r="U94" s="6" t="str">
        <x:v>p. 4; Section III-C</x:v>
      </x:c>
      <x:c r="V94" s="6" t="str">
        <x:v>Please observe and correct any kind of error that you encounter.</x:v>
      </x:c>
      <x:c r="W94" s="6" t="str">
        <x:v>This is artifact-level quality checking; it does not validate a pre-existing cross-artifact trace link.</x:v>
      </x:c>
      <x:c r="X94" s="2" t="str">
        <x:v>Accepted</x:v>
      </x:c>
      <x:c r="Y94" s="6" t="str">
        <x:v>NR</x:v>
      </x:c>
    </x:row>
    <x:row r="95" ht="76" customHeight="1">
      <x:c r="A95" s="2" t="str">
        <x:v>S53-TASK-R04</x:v>
      </x:c>
      <x:c r="B95" s="2" t="str">
        <x:v>S53</x:v>
      </x:c>
      <x:c r="C95" s="2" t="str">
        <x:v>merged_1229</x:v>
      </x:c>
      <x:c r="D95" s="2" t="str">
        <x:v>Reviewer_A</x:v>
      </x:c>
      <x:c r="E95" s="2" t="str">
        <x:v>Reviewer_A</x:v>
      </x:c>
      <x:c r="F95" s="2" t="str">
        <x:v>S53-T04</x:v>
      </x:c>
      <x:c r="G95" s="2" t="str">
        <x:v>Product Tests Specification Generation</x:v>
      </x:c>
      <x:c r="H95" s="2" t="str">
        <x:v>trace-aware artifact generation</x:v>
      </x:c>
      <x:c r="I95" s="2" t="str">
        <x:v>System Requirements Document</x:v>
      </x:c>
      <x:c r="J95" s="2" t="str">
        <x:v>requirement</x:v>
      </x:c>
      <x:c r="K95" s="2" t="str">
        <x:v>Product Test Cases Specification</x:v>
      </x:c>
      <x:c r="L95" s="2" t="str">
        <x:v>test case</x:v>
      </x:c>
      <x:c r="M95" s="2" t="str">
        <x:v>system requirements -&gt; test cases</x:v>
      </x:c>
      <x:c r="N95" s="2" t="str">
        <x:v>testing</x:v>
      </x:c>
      <x:c r="O95" s="2" t="str">
        <x:v>Railway signaling systems</x:v>
      </x:c>
      <x:c r="P95" s="2" t="str">
        <x:v>Synthetic Track Surveillance Drone artifacts</x:v>
      </x:c>
      <x:c r="Q95" s="2" t="str">
        <x:v>Synthetic</x:v>
      </x:c>
      <x:c r="R95" s="2" t="str">
        <x:v>NA</x:v>
      </x:c>
      <x:c r="S95" s="6" t="str">
        <x:v>Generate test cases that cover system requirements and retain explicit requirement links.</x:v>
      </x:c>
      <x:c r="T95" s="6" t="str">
        <x:v>Test cases with identifiers, procedures, expected results, and requirement links.</x:v>
      </x:c>
      <x:c r="U95" s="6" t="str">
        <x:v>pp. 4-5; Section III-D</x:v>
      </x:c>
      <x:c r="V95" s="6" t="str">
        <x:v>generate the derived product test cases specification to cover all these requirements</x:v>
      </x:c>
      <x:c r="W95" s="6" t="str">
        <x:v>The generated test specifications explicitly link tests to one or more system requirements.</x:v>
      </x:c>
      <x:c r="X95" s="2" t="str">
        <x:v>Accepted</x:v>
      </x:c>
      <x:c r="Y95" s="6" t="str">
        <x:v>NR</x:v>
      </x:c>
    </x:row>
    <x:row r="96" ht="76" customHeight="1">
      <x:c r="A96" s="2" t="str">
        <x:v>G1-TASK-R01</x:v>
      </x:c>
      <x:c r="B96" s="2" t="str">
        <x:v>G1</x:v>
      </x:c>
      <x:c r="C96" s="2" t="str">
        <x:v>v1</x:v>
      </x:c>
      <x:c r="D96" s="2" t="str">
        <x:v>Reviewer_A</x:v>
      </x:c>
      <x:c r="E96" s="2" t="str">
        <x:v>Reviewer_A</x:v>
      </x:c>
      <x:c r="F96" s="2" t="str">
        <x:v>G1-T01</x:v>
      </x:c>
      <x:c r="G96" s="2" t="str">
        <x:v>we can make use of chat gpd to perform requirement traceability matrix of our software quality test cases and automated test case ; but it's also going to help us to identify some of the missing test cases and scenarios that you can really potentially write for that that is what this whole idea of the speaker video is</x:v>
      </x:c>
      <x:c r="H96" s="2" t="str">
        <x:v>traceability link generation</x:v>
      </x:c>
      <x:c r="I96" s="2" t="str">
        <x:v>the requirement ; software quality test cases and automated test case ; all these scenarios which are being generated over here</x:v>
      </x:c>
      <x:c r="J96" s="2" t="str">
        <x:v>requirement</x:v>
      </x:c>
      <x:c r="K96" s="2" t="str">
        <x:v>testing scenarios ; these are the scenarios that i have written ; a requirement traceability matrix for us</x:v>
      </x:c>
      <x:c r="L96" s="2" t="str">
        <x:v>test case</x:v>
      </x:c>
      <x:c r="M96" s="2" t="str">
        <x:v>requirements -&gt; test cases (coverage checking and RTM construction)</x:v>
      </x:c>
      <x:c r="N96" s="2" t="str">
        <x:v>requirements ; testing</x:v>
      </x:c>
      <x:c r="O96" s="2" t="str">
        <x:v>software testing (bank account opening / kiosk onboarding example)</x:v>
      </x:c>
      <x:c r="P96" s="2" t="str">
        <x:v>NR</x:v>
      </x:c>
      <x:c r="Q96" s="2" t="str">
        <x:v>Synthetic</x:v>
      </x:c>
      <x:c r="R96" s="2" t="str">
        <x:v>Practitioner tutorial published by an industrial test-automation training channel; no named client project</x:v>
      </x:c>
      <x:c r="S96" s="6" t="str">
        <x:v>Generate a requirement traceability matrix that ties one requirement to the manual and automated test scenarios derived from it.</x:v>
      </x:c>
      <x:c r="T96" s="6" t="str">
        <x:v>a requirement traceability matrix that maps the requirement to the generated manual and automated test scenarios</x:v>
      </x:c>
      <x:c r="U96" s="6" t="str">
        <x:v>G1_video_page.png (upload date field, title, view count, likes) ; G1_page_description.png (view count, description text, hashtags, Udemy course links and coupon code) ; [00:00] ; [00:33] ; [00:37] ; [00:50] ; [01:18] ; [02:27] ; [02:33] ; [02:55] ; [03:17] ; [03:41] ; [03:52] ; [04:27] ; [05:04] ; [06:46] </x:v>
      </x:c>
      <x:c r="V96" s="6" t="str">
        <x:v>we can make use of chat gpd to perform requirement traceability matrix of our software quality test cases and automated test case ; we're going to ask chat gpd to write the scenarios for us in version 3.5 ; perform requirement traceability of the above requirement with the below scenario</x:v>
      </x:c>
      <x:c r="W96" s="6" t="str">
        <x:v>The target artifacts are first produced by the model and then linked to the originating requirement, so this row records link generation rather than link recovery.</x:v>
      </x:c>
      <x:c r="X96" s="2" t="str">
        <x:v>Accepted</x:v>
      </x:c>
      <x:c r="Y96" s="6" t="str">
        <x:v>NR</x:v>
      </x:c>
    </x:row>
    <x:row r="97" ht="76" customHeight="1">
      <x:c r="A97" s="2" t="str">
        <x:v>G1-TASK-R02</x:v>
      </x:c>
      <x:c r="B97" s="2" t="str">
        <x:v>G1</x:v>
      </x:c>
      <x:c r="C97" s="2" t="str">
        <x:v>v1</x:v>
      </x:c>
      <x:c r="D97" s="2" t="str">
        <x:v>Reviewer_A</x:v>
      </x:c>
      <x:c r="E97" s="2" t="str">
        <x:v>Reviewer_A</x:v>
      </x:c>
      <x:c r="F97" s="2" t="str">
        <x:v>G1-T02</x:v>
      </x:c>
      <x:c r="G97" s="2" t="str">
        <x:v>paste it into chat gpd4 to ask us to verify if there requirement matches the test cases ; it can also tell that this particular requirement is not really covered in the test scenario</x:v>
      </x:c>
      <x:c r="H97" s="2" t="str">
        <x:v>traceability link validation</x:v>
      </x:c>
      <x:c r="I97" s="2" t="str">
        <x:v>the requirement ; software quality test cases and automated test case ; all these scenarios which are being generated over here</x:v>
      </x:c>
      <x:c r="J97" s="2" t="str">
        <x:v>requirement</x:v>
      </x:c>
      <x:c r="K97" s="2" t="str">
        <x:v>testing scenarios ; these are the scenarios that i have written ; a requirement traceability matrix for us</x:v>
      </x:c>
      <x:c r="L97" s="2" t="str">
        <x:v>test case</x:v>
      </x:c>
      <x:c r="M97" s="2" t="str">
        <x:v>requirements -&gt; test cases (coverage checking and RTM construction)</x:v>
      </x:c>
      <x:c r="N97" s="2" t="str">
        <x:v>requirements ; testing</x:v>
      </x:c>
      <x:c r="O97" s="2" t="str">
        <x:v>software testing (bank account opening / kiosk onboarding example)</x:v>
      </x:c>
      <x:c r="P97" s="2" t="str">
        <x:v>NR</x:v>
      </x:c>
      <x:c r="Q97" s="2" t="str">
        <x:v>Synthetic</x:v>
      </x:c>
      <x:c r="R97" s="2" t="str">
        <x:v>Practitioner tutorial published by an industrial test-automation training channel; no named client project</x:v>
      </x:c>
      <x:c r="S97" s="6" t="str">
        <x:v>Check whether the existing scenarios cover the requirement and report the requirement that is not covered.</x:v>
      </x:c>
      <x:c r="T97" s="6" t="str">
        <x:v>per-requirement coverage indications and the requirement identified as not covered by the test scenarios</x:v>
      </x:c>
      <x:c r="U97" s="6" t="str">
        <x:v>G1_video_page.png (upload date field, title, view count, likes) ; G1_page_description.png (view count, description text, hashtags, Udemy course links and coupon code) ; [00:00] ; [00:33] ; [00:37] ; [00:50] ; [01:18] ; [02:27] ; [02:33] ; [02:55] ; [03:17] ; [03:41] ; [03:52] ; [04:27] ; [05:04] ; [06:46] </x:v>
      </x:c>
      <x:c r="V97" s="6" t="str">
        <x:v>paste it into chat gpd4 to ask us to verify if there requirement matches the test cases ; it can also tell that this particular requirement is not really covered in the test scenario</x:v>
      </x:c>
      <x:c r="W97" s="6" t="str">
        <x:v>A second model instance checks an already produced requirement-to-scenario mapping and reports the uncovered requirement.</x:v>
      </x:c>
      <x:c r="X97" s="2" t="str">
        <x:v>Accepted</x:v>
      </x:c>
      <x:c r="Y97" s="6" t="str">
        <x:v>NR</x:v>
      </x:c>
    </x:row>
    <x:row r="98" ht="76" customHeight="1">
      <x:c r="A98" s="2" t="str">
        <x:v>G2-TASK-R01</x:v>
      </x:c>
      <x:c r="B98" s="2" t="str">
        <x:v>G2</x:v>
      </x:c>
      <x:c r="C98" s="2" t="str">
        <x:v>v1</x:v>
      </x:c>
      <x:c r="D98" s="2" t="str">
        <x:v>Reviewer_A</x:v>
      </x:c>
      <x:c r="E98" s="2" t="str">
        <x:v>Reviewer_A</x:v>
      </x:c>
      <x:c r="F98" s="2" t="str">
        <x:v>G2-T01</x:v>
      </x:c>
      <x:c r="G98" s="2" t="str">
        <x:v>we call code traceability which is a way to trace the content interactions between data code and the results ; and then we have our ai go into the description and then go on your code and do a delta and say okay what was specified is actually programmed or not</x:v>
      </x:c>
      <x:c r="H98" s="2" t="str">
        <x:v>traceability explanation</x:v>
      </x:c>
      <x:c r="I98" s="2" t="str">
        <x:v>in the case of sas the logs ; you upload you execute your your code you turn on a couple of options like imprint ... every single line of code gets analyzed ; generally speaking you program according to specifications which means that for every variable and every data set you roughly have an idea or description of what this should represent ; the analysis code however is the source of truth of content of what happens in the study</x:v>
      </x:c>
      <x:c r="J98" s="2" t="str">
        <x:v>source code</x:v>
      </x:c>
      <x:c r="K98" s="2" t="str">
        <x:v>which data sets are required to produce this output ; and you get the variable level trace which means now you only look at the lines of code which are required to produce that variable ; our outputs are tlfs in this case ; generate as i said the define xml sdrg</x:v>
      </x:c>
      <x:c r="L98" s="2" t="str">
        <x:v>other</x:v>
      </x:c>
      <x:c r="M98" s="2" t="str">
        <x:v>data and code -&gt; results and outputs ; specification -&gt; code (delta check) ; code -&gt; submission documentation</x:v>
      </x:c>
      <x:c r="N98" s="2" t="str">
        <x:v>implementation ; testing ; compliance and assurance</x:v>
      </x:c>
      <x:c r="O98" s="2" t="str">
        <x:v>regulated clinical trial statistical programming for pharmaceutical submissions</x:v>
      </x:c>
      <x:c r="P98" s="2" t="str">
        <x:v>a demo study generated by the vendor itself (fake data, produced in house); larger phase three trials are mentioned as also supported</x:v>
      </x:c>
      <x:c r="Q98" s="2" t="str">
        <x:v>Industrial</x:v>
      </x:c>
      <x:c r="R98" s="2" t="str">
        <x:v>Vendor talk by the co-founder and CTO of Verisian, a commercial traceability platform company, delivered at a conference session in London</x:v>
      </x:c>
      <x:c r="S98" s="6" t="str">
        <x:v>Explain what the code does for a variable or data set and report whether what was specified is what is programmed.</x:v>
      </x:c>
      <x:c r="T98" s="6" t="str">
        <x:v>a natural-language answer with a confidence indication, the browsable evidence behind it and specification-conformance comments</x:v>
      </x:c>
      <x:c r="U98" s="6" t="str">
        <x:v>G2_video_page.png (title, speaker and affiliation slide, channel, view count, likes) ; G2_page_description.png (page date, speaker attribution, description text, links) ; [00:59] ; [07:19] ; [07:32] ; [09:38] ; [10:14] ; [12:17] ; [12:24] ; [14:08] ; [17:39] ; [21:09] ; [26:46] ; [32:49] ; [37:01] ; [38:58] ; [39:01] ; [39:17] ; [40:47] </x:v>
      </x:c>
      <x:c r="V98" s="6" t="str">
        <x:v>we call code traceability which is a way to trace the content interactions between data code and the results ; and then we have our ai go into the description and then go on your code and do a delta and say okay what was specified is actually programmed or not</x:v>
      </x:c>
      <x:c r="W98" s="6" t="str">
        <x:v>The model answers traceability questions over the analysis code and also explains where the specification and the code diverge.</x:v>
      </x:c>
      <x:c r="X98" s="2" t="str">
        <x:v>Accepted</x:v>
      </x:c>
      <x:c r="Y98" s="6" t="str">
        <x:v>NR</x:v>
      </x:c>
    </x:row>
    <x:row r="99" ht="76" customHeight="1">
      <x:c r="A99" s="2" t="str">
        <x:v>G2-TASK-R02</x:v>
      </x:c>
      <x:c r="B99" s="2" t="str">
        <x:v>G2</x:v>
      </x:c>
      <x:c r="C99" s="2" t="str">
        <x:v>v1</x:v>
      </x:c>
      <x:c r="D99" s="2" t="str">
        <x:v>Reviewer_A</x:v>
      </x:c>
      <x:c r="E99" s="2" t="str">
        <x:v>Reviewer_A</x:v>
      </x:c>
      <x:c r="F99" s="2" t="str">
        <x:v>G2-T02</x:v>
      </x:c>
      <x:c r="G99" s="2" t="str">
        <x:v>generate as i said the define xml sdrg</x:v>
      </x:c>
      <x:c r="H99" s="2" t="str">
        <x:v>trace-aware artifact generation</x:v>
      </x:c>
      <x:c r="I99" s="2" t="str">
        <x:v>in the case of sas the logs ; you upload you execute your your code you turn on a couple of options like imprint ... every single line of code gets analyzed ; generally speaking you program according to specifications which means that for every variable and every data set you roughly have an idea or description of what this should represent ; the analysis code however is the source of truth of content of what happens in the study</x:v>
      </x:c>
      <x:c r="J99" s="2" t="str">
        <x:v>source code</x:v>
      </x:c>
      <x:c r="K99" s="2" t="str">
        <x:v>which data sets are required to produce this output ; and you get the variable level trace which means now you only look at the lines of code which are required to produce that variable ; our outputs are tlfs in this case ; generate as i said the define xml sdrg</x:v>
      </x:c>
      <x:c r="L99" s="2" t="str">
        <x:v>other</x:v>
      </x:c>
      <x:c r="M99" s="2" t="str">
        <x:v>data and code -&gt; results and outputs ; specification -&gt; code (delta check) ; code -&gt; submission documentation</x:v>
      </x:c>
      <x:c r="N99" s="2" t="str">
        <x:v>implementation ; testing ; compliance and assurance</x:v>
      </x:c>
      <x:c r="O99" s="2" t="str">
        <x:v>regulated clinical trial statistical programming for pharmaceutical submissions</x:v>
      </x:c>
      <x:c r="P99" s="2" t="str">
        <x:v>a demo study generated by the vendor itself (fake data, produced in house); larger phase three trials are mentioned as also supported</x:v>
      </x:c>
      <x:c r="Q99" s="2" t="str">
        <x:v>Industrial</x:v>
      </x:c>
      <x:c r="R99" s="2" t="str">
        <x:v>Vendor talk by the co-founder and CTO of Verisian, a commercial traceability platform company, delivered at a conference session in London</x:v>
      </x:c>
      <x:c r="S99" s="6" t="str">
        <x:v>Generate submission documentation artefacts from the traced code, data and results.</x:v>
      </x:c>
      <x:c r="T99" s="6" t="str">
        <x:v>Define-XML and SDRG artefacts derived from the traced code base</x:v>
      </x:c>
      <x:c r="U99" s="6" t="str">
        <x:v>G2_video_page.png (title, speaker and affiliation slide, channel, view count, likes) ; G2_page_description.png (page date, speaker attribution, description text, links) ; [00:59] ; [07:19] ; [07:32] ; [09:38] ; [10:14] ; [12:17] ; [12:24] ; [14:08] ; [17:39] ; [21:09] ; [26:46] ; [32:49] ; [37:01] ; [38:58] ; [39:01] ; [39:17] ; [40:47] </x:v>
      </x:c>
      <x:c r="V99" s="6" t="str">
        <x:v>and then generate as i said the define xml sdrg</x:v>
      </x:c>
      <x:c r="W99" s="6" t="str">
        <x:v>The generation step is bound to the traceability graph, so the produced artefacts carry the traced evidence with them.</x:v>
      </x:c>
      <x:c r="X99" s="2" t="str">
        <x:v>Accepted</x:v>
      </x:c>
      <x:c r="Y99" s="6" t="str">
        <x:v>NR</x:v>
      </x:c>
    </x:row>
    <x:row r="100" ht="76" customHeight="1">
      <x:c r="A100" s="2" t="str">
        <x:v>G2-TASK-R03</x:v>
      </x:c>
      <x:c r="B100" s="2" t="str">
        <x:v>G2</x:v>
      </x:c>
      <x:c r="C100" s="2" t="str">
        <x:v>v1</x:v>
      </x:c>
      <x:c r="D100" s="2" t="str">
        <x:v>Reviewer_A</x:v>
      </x:c>
      <x:c r="E100" s="2" t="str">
        <x:v>Reviewer_A</x:v>
      </x:c>
      <x:c r="F100" s="2" t="str">
        <x:v>G2-T03</x:v>
      </x:c>
      <x:c r="G100" s="2" t="str">
        <x:v>we will show you which data sets are required to produce this output</x:v>
      </x:c>
      <x:c r="H100" s="2" t="str">
        <x:v>traceability link generation</x:v>
      </x:c>
      <x:c r="I100" s="2" t="str">
        <x:v>in the case of sas the logs ; you upload you execute your your code you turn on a couple of options like imprint ... every single line of code gets analyzed ; generally speaking you program according to specifications which means that for every variable and every data set you roughly have an idea or description of what this should represent ; the analysis code however is the source of truth of content of what happens in the study</x:v>
      </x:c>
      <x:c r="J100" s="2" t="str">
        <x:v>source code</x:v>
      </x:c>
      <x:c r="K100" s="2" t="str">
        <x:v>which data sets are required to produce this output ; and you get the variable level trace which means now you only look at the lines of code which are required to produce that variable ; our outputs are tlfs in this case ; generate as i said the define xml sdrg</x:v>
      </x:c>
      <x:c r="L100" s="2" t="str">
        <x:v>other</x:v>
      </x:c>
      <x:c r="M100" s="2" t="str">
        <x:v>data and code -&gt; results and outputs ; specification -&gt; code (delta check) ; code -&gt; submission documentation</x:v>
      </x:c>
      <x:c r="N100" s="2" t="str">
        <x:v>implementation ; testing ; compliance and assurance</x:v>
      </x:c>
      <x:c r="O100" s="2" t="str">
        <x:v>regulated clinical trial statistical programming for pharmaceutical submissions</x:v>
      </x:c>
      <x:c r="P100" s="2" t="str">
        <x:v>a demo study generated by the vendor itself (fake data, produced in house); larger phase three trials are mentioned as also supported</x:v>
      </x:c>
      <x:c r="Q100" s="2" t="str">
        <x:v>Industrial</x:v>
      </x:c>
      <x:c r="R100" s="2" t="str">
        <x:v>Vendor talk by the co-founder and CTO of Verisian, a commercial traceability platform company, delivered at a conference session in London</x:v>
      </x:c>
      <x:c r="S100" s="6" t="str">
        <x:v>Derive variable-level and data-set-level traces from the statically analysed code and logs.</x:v>
      </x:c>
      <x:c r="T100" s="6" t="str">
        <x:v>variable-level and data-set-level traces that show which inputs produce a given output</x:v>
      </x:c>
      <x:c r="U100" s="6" t="str">
        <x:v>G2_video_page.png (title, speaker and affiliation slide, channel, view count, likes) ; G2_page_description.png (page date, speaker attribution, description text, links) ; [00:59] ; [07:19] ; [07:32] ; [09:38] ; [10:14] ; [12:17] ; [12:24] ; [14:08] ; [17:39] ; [21:09] ; [26:46] ; [32:49] ; [37:01] ; [38:58] ; [39:01] ; [39:17] ; [40:47] </x:v>
      </x:c>
      <x:c r="V100" s="6" t="str">
        <x:v>all you need to establish code traceability are in the case of sas the logs ; we will show you which data sets are required to produce this output</x:v>
      </x:c>
      <x:c r="W100" s="6" t="str">
        <x:v>Static analysis of the study code and logs builds the graph from which the input-to-output traces are read off.</x:v>
      </x:c>
      <x:c r="X100" s="2" t="str">
        <x:v>Accepted</x:v>
      </x:c>
      <x:c r="Y100" s="6" t="str">
        <x:v>NR</x:v>
      </x:c>
    </x:row>
    <x:row r="101" ht="76" customHeight="1">
      <x:c r="A101" s="2" t="str">
        <x:v>G3-TASK-R01</x:v>
      </x:c>
      <x:c r="B101" s="2" t="str">
        <x:v>G3</x:v>
      </x:c>
      <x:c r="C101" s="2" t="str">
        <x:v>v1</x:v>
      </x:c>
      <x:c r="D101" s="2" t="str">
        <x:v>Reviewer_A</x:v>
      </x:c>
      <x:c r="E101" s="2" t="str">
        <x:v>Reviewer_A</x:v>
      </x:c>
      <x:c r="F101" s="2" t="str">
        <x:v>G3-T01</x:v>
      </x:c>
      <x:c r="G101" s="2" t="str">
        <x:v>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H101" s="2" t="str">
        <x:v>traceability link generation</x:v>
      </x:c>
      <x:c r="I101" s="2" t="str">
        <x:v>a stakeholder interview or meeting recording ; unstructured inputs-like audio notes, meeting transcripts, and documents ; requirements ; design docs</x:v>
      </x:c>
      <x:c r="J101" s="2" t="str">
        <x:v>requirement</x:v>
      </x:c>
      <x:c r="K101" s="2" t="str">
        <x:v>structured requirements, linked code artifacts, and graph-based traceability insights ; Generates trace links between requirements, design docs, and code ; each node represents a requirement, stakeholder, test case, feature, constraint, team or entity</x:v>
      </x:c>
      <x:c r="L101" s="2" t="str">
        <x:v>source code</x:v>
      </x:c>
      <x:c r="M101" s="2" t="str">
        <x:v>unstructured audio and documents -&gt; structured requirements -&gt; design docs and code, with impact analysis</x:v>
      </x:c>
      <x:c r="N101" s="2" t="str">
        <x:v>requirements ; design ; implementation</x:v>
      </x:c>
      <x:c r="O101" s="2" t="str">
        <x:v>software engineering projects (requirements engineering)</x:v>
      </x:c>
      <x:c r="P101" s="2" t="str">
        <x:v>a self-supplied stakeholder interview or meeting recording used in the demo</x:v>
      </x:c>
      <x:c r="Q101" s="2" t="str">
        <x:v>Synthetic</x:v>
      </x:c>
      <x:c r="R101" s="2" t="str">
        <x:v>NR</x:v>
      </x:c>
      <x:c r="S101" s="6" t="str">
        <x:v>Turn unstructured meeting and document input into structured requirements and generate trace links from requirements to design documents and code.</x:v>
      </x:c>
      <x:c r="T101" s="6" t="str">
        <x:v>structured requirement statements and a graph of trace links between requirements, design documents and code</x:v>
      </x:c>
      <x:c r="U101" s="6" t="str">
        <x:v>G3_video_page.png (title, channel, view count, likes) ; G3_page_description.png (page date, description text, feature list, uploading account) ; [00:01] ; [00:10] ; [00:30] ; [00:45] ; [00:54] ; [01:04] ; [01:14] ; [01:26] ; [01:32] ; [01:39] ; [02:05] ; [02:15] ; [02:56] ; [03:13] </x:v>
      </x:c>
      <x:c r="V101" s="6" t="str">
        <x:v>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W101" s="6" t="str">
        <x:v>The pipeline transcribes and vectorises spoken input and then materialises requirement-to-code links in a graph.</x:v>
      </x:c>
      <x:c r="X101" s="2" t="str">
        <x:v>Accepted</x:v>
      </x:c>
      <x:c r="Y101" s="6" t="str">
        <x:v>The model that performs the requirement extraction is not named anywhere in the material.</x:v>
      </x:c>
    </x:row>
    <x:row r="102" ht="76" customHeight="1">
      <x:c r="A102" s="2" t="str">
        <x:v>G3-TASK-R02</x:v>
      </x:c>
      <x:c r="B102" s="2" t="str">
        <x:v>G3</x:v>
      </x:c>
      <x:c r="C102" s="2" t="str">
        <x:v>v1</x:v>
      </x:c>
      <x:c r="D102" s="2" t="str">
        <x:v>Reviewer_A</x:v>
      </x:c>
      <x:c r="E102" s="2" t="str">
        <x:v>Reviewer_A</x:v>
      </x:c>
      <x:c r="F102" s="2" t="str">
        <x:v>G3-T02</x:v>
      </x:c>
      <x:c r="G102" s="2" t="str">
        <x:v>edges represent traceability links</x:v>
      </x:c>
      <x:c r="H102" s="2" t="str">
        <x:v>traceability maintenance</x:v>
      </x:c>
      <x:c r="I102" s="2" t="str">
        <x:v>a stakeholder interview or meeting recording ; unstructured inputs-like audio notes, meeting transcripts, and documents ; requirements ; design docs</x:v>
      </x:c>
      <x:c r="J102" s="2" t="str">
        <x:v>requirement</x:v>
      </x:c>
      <x:c r="K102" s="2" t="str">
        <x:v>structured requirements, linked code artifacts, and graph-based traceability insights ; Generates trace links between requirements, design docs, and code ; each node represents a requirement, stakeholder, test case, feature, constraint, team or entity</x:v>
      </x:c>
      <x:c r="L102" s="2" t="str">
        <x:v>source code</x:v>
      </x:c>
      <x:c r="M102" s="2" t="str">
        <x:v>unstructured audio and documents -&gt; structured requirements -&gt; design docs and code, with impact analysis</x:v>
      </x:c>
      <x:c r="N102" s="2" t="str">
        <x:v>requirements ; design ; implementation</x:v>
      </x:c>
      <x:c r="O102" s="2" t="str">
        <x:v>software engineering projects (requirements engineering)</x:v>
      </x:c>
      <x:c r="P102" s="2" t="str">
        <x:v>a self-supplied stakeholder interview or meeting recording used in the demo</x:v>
      </x:c>
      <x:c r="Q102" s="2" t="str">
        <x:v>Synthetic</x:v>
      </x:c>
      <x:c r="R102" s="2" t="str">
        <x:v>NR</x:v>
      </x:c>
      <x:c r="S102" s="6" t="str">
        <x:v>Keep the extracted requirements, their interconnections and the surrounding project entities available in the graph so that changes can be followed.</x:v>
      </x:c>
      <x:c r="T102" s="6" t="str">
        <x:v>a queryable requirement graph whose nodes and edges represent the requirements, the project entities and the trace links between them</x:v>
      </x:c>
      <x:c r="U102" s="6" t="str">
        <x:v>G3_video_page.png (title, channel, view count, likes) ; G3_page_description.png (page date, description text, feature list, uploading account) ; [00:01] ; [00:10] ; [00:30] ; [00:45] ; [00:54] ; [01:04] ; [01:14] ; [01:26] ; [01:32] ; [01:39] ; [02:05] ; [02:15] ; [02:56] ; [03:13] </x:v>
      </x:c>
      <x:c r="V102" s="6" t="str">
        <x:v>each node represents a requirement, stakeholder, test case, feature, constraint, team or entity ; edges represent traceability links</x:v>
      </x:c>
      <x:c r="W102" s="6" t="str">
        <x:v>The graph is presented as the living form of the trace model; the description also claims impact analysis when features change, but no maintenance procedure is shown.</x:v>
      </x:c>
      <x:c r="X102" s="2" t="str">
        <x:v>Accepted</x:v>
      </x:c>
      <x:c r="Y102" s="6" t="str">
        <x:v>NR</x:v>
      </x:c>
    </x:row>
    <x:row r="103" ht="76" customHeight="1">
      <x:c r="A103" s="2" t="str">
        <x:v>G4-TASK-R01</x:v>
      </x:c>
      <x:c r="B103" s="2" t="str">
        <x:v>G4</x:v>
      </x:c>
      <x:c r="C103" s="2" t="str">
        <x:v>v1</x:v>
      </x:c>
      <x:c r="D103" s="2" t="str">
        <x:v>Reviewer_A</x:v>
      </x:c>
      <x:c r="E103" s="2" t="str">
        <x:v>Reviewer_A</x:v>
      </x:c>
      <x:c r="F103" s="2" t="str">
        <x:v>G4-T01</x:v>
      </x:c>
      <x:c r="G103" s="2" t="str">
        <x:v>Reqs2x uses program slicing and large language models to map requirements to the functions that implement them ; Requirements traceability is built in from the start, not added later</x:v>
      </x:c>
      <x:c r="H103" s="2" t="str">
        <x:v>traceability link generation</x:v>
      </x:c>
      <x:c r="I103" s="2" t="str">
        <x:v>Import from DOORS, Polarion, or CSV via the Requirements Gateway ; Test cases are aligned with requirement specifications and ready for review</x:v>
      </x:c>
      <x:c r="J103" s="2" t="str">
        <x:v>requirement</x:v>
      </x:c>
      <x:c r="K103" s="2" t="str">
        <x:v>map requirements to the functions that implement them ; generate aligned test cases ; a set of traceable, ready-to-review test cases</x:v>
      </x:c>
      <x:c r="L103" s="2" t="str">
        <x:v>test case</x:v>
      </x:c>
      <x:c r="M103" s="2" t="str">
        <x:v>requirements -&gt; implementing functions -&gt; executable test cases</x:v>
      </x:c>
      <x:c r="N103" s="2" t="str">
        <x:v>requirements ; testing</x:v>
      </x:c>
      <x:c r="O103" s="2" t="str">
        <x:v>safety-critical embedded software development in C, C++ and Ada</x:v>
      </x:c>
      <x:c r="P103" s="2" t="str">
        <x:v>NR</x:v>
      </x:c>
      <x:c r="Q103" s="2" t="str">
        <x:v>Industrial</x:v>
      </x:c>
      <x:c r="R103" s="2" t="str">
        <x:v>Vendor product page published by the commercial tool vendor Vector Informatik GmbH</x:v>
      </x:c>
      <x:c r="S103" s="6" t="str">
        <x:v>Map imported requirements to the functions in the code that implement them.</x:v>
      </x:c>
      <x:c r="T103" s="6" t="str">
        <x:v>a requirement-to-function mapping that engineers can review before it enters a verification workflow</x:v>
      </x:c>
      <x:c r="U103"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V103" s="6" t="str">
        <x:v>Reqs2x uses program slicing and large language models to map requirements to the functions that implement them, generate aligned test cases, and present both for engineer review. Requirements traceability is built in from the start, not added later. ; Program slicing identifies which functions implement each requirement</x:v>
      </x:c>
      <x:c r="W103" s="6" t="str">
        <x:v>Program slicing narrows the code scope and the model proposes which functions satisfy each requirement.</x:v>
      </x:c>
      <x:c r="X103" s="2" t="str">
        <x:v>Accepted</x:v>
      </x:c>
      <x:c r="Y103" s="6" t="str">
        <x:v>NR</x:v>
      </x:c>
    </x:row>
    <x:row r="104" ht="76" customHeight="1">
      <x:c r="A104" s="2" t="str">
        <x:v>G4-TASK-R02</x:v>
      </x:c>
      <x:c r="B104" s="2" t="str">
        <x:v>G4</x:v>
      </x:c>
      <x:c r="C104" s="2" t="str">
        <x:v>v1</x:v>
      </x:c>
      <x:c r="D104" s="2" t="str">
        <x:v>Reviewer_A</x:v>
      </x:c>
      <x:c r="E104" s="2" t="str">
        <x:v>Reviewer_A</x:v>
      </x:c>
      <x:c r="F104" s="2" t="str">
        <x:v>G4-T02</x:v>
      </x:c>
      <x:c r="G104" s="2" t="str">
        <x:v>generates executable test cases aligned with your requirement specifications</x:v>
      </x:c>
      <x:c r="H104" s="2" t="str">
        <x:v>trace-aware artifact generation</x:v>
      </x:c>
      <x:c r="I104" s="2" t="str">
        <x:v>Import from DOORS, Polarion, or CSV via the Requirements Gateway ; Test cases are aligned with requirement specifications and ready for review</x:v>
      </x:c>
      <x:c r="J104" s="2" t="str">
        <x:v>requirement</x:v>
      </x:c>
      <x:c r="K104" s="2" t="str">
        <x:v>map requirements to the functions that implement them ; generate aligned test cases ; a set of traceable, ready-to-review test cases</x:v>
      </x:c>
      <x:c r="L104" s="2" t="str">
        <x:v>test case</x:v>
      </x:c>
      <x:c r="M104" s="2" t="str">
        <x:v>requirements -&gt; implementing functions -&gt; executable test cases</x:v>
      </x:c>
      <x:c r="N104" s="2" t="str">
        <x:v>requirements ; testing</x:v>
      </x:c>
      <x:c r="O104" s="2" t="str">
        <x:v>safety-critical embedded software development in C, C++ and Ada</x:v>
      </x:c>
      <x:c r="P104" s="2" t="str">
        <x:v>NR</x:v>
      </x:c>
      <x:c r="Q104" s="2" t="str">
        <x:v>Industrial</x:v>
      </x:c>
      <x:c r="R104" s="2" t="str">
        <x:v>Vendor product page published by the commercial tool vendor Vector Informatik GmbH</x:v>
      </x:c>
      <x:c r="S104" s="6" t="str">
        <x:v>Generate executable unit test cases that are aligned with the requirement specifications.</x:v>
      </x:c>
      <x:c r="T104" s="6" t="str">
        <x:v>traceable, ready-to-review executable test cases plus the requirement-to-function mapping</x:v>
      </x:c>
      <x:c r="U104"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V104" s="6" t="str">
        <x:v>Reqs2x uses program slicing and large language models to map requirements to the functions that implement them, generate aligned test cases, and present both for engineer review. ; Nothing is accepted automatically.</x:v>
      </x:c>
      <x:c r="W104" s="6" t="str">
        <x:v>Test cases are produced under the requirement mapping rather than independently authored, and the review gate is stated explicitly.</x:v>
      </x:c>
      <x:c r="X104" s="2" t="str">
        <x:v>Accepted</x:v>
      </x:c>
      <x:c r="Y104" s="6" t="str">
        <x:v>NR</x:v>
      </x:c>
    </x:row>
    <x:row r="105" ht="76" customHeight="1">
      <x:c r="A105" s="2" t="str">
        <x:v>G5-TASK-R01</x:v>
      </x:c>
      <x:c r="B105" s="2" t="str">
        <x:v>G5</x:v>
      </x:c>
      <x:c r="C105" s="2" t="str">
        <x:v>v1</x:v>
      </x:c>
      <x:c r="D105" s="2" t="str">
        <x:v>Reviewer_A</x:v>
      </x:c>
      <x:c r="E105" s="2" t="str">
        <x:v>Reviewer_A</x:v>
      </x:c>
      <x:c r="F105" s="2" t="str">
        <x:v>G5-T01</x:v>
      </x:c>
      <x:c r="G105" s="2" t="str">
        <x:v>large language models can assist in the generation of test cases and connecting those test cases to requirements ; your requirements are connected to detailed design which is connected to code</x:v>
      </x:c>
      <x:c r="H105" s="2" t="str">
        <x:v>traceability link generation</x:v>
      </x:c>
      <x:c r="I105" s="2" t="str">
        <x:v>your requirements are connected to detailed design which is connected to code ; you can pull that data and then extract the requirement information that has to do with specific test cases ; whatever requirement management system you have</x:v>
      </x:c>
      <x:c r="J105" s="2" t="str">
        <x:v>requirement</x:v>
      </x:c>
      <x:c r="K105" s="2" t="str">
        <x:v>generate test cases from the requirements all the way to mcdc code coverage ; we can follow the requirement to the source code to the test ; those requirements actually do map to the detailed software design to the code and and to the unit test</x:v>
      </x:c>
      <x:c r="L105" s="2" t="str">
        <x:v>test case</x:v>
      </x:c>
      <x:c r="M105" s="2" t="str">
        <x:v>requirements -&gt; detailed design -&gt; code -&gt; unit test -&gt; MC/DC coverage</x:v>
      </x:c>
      <x:c r="N105" s="2" t="str">
        <x:v>requirements ; design ; implementation ; testing</x:v>
      </x:c>
      <x:c r="O105" s="2" t="str">
        <x:v>aerospace and defense, long-duration NASA space flight software</x:v>
      </x:c>
      <x:c r="P105" s="2" t="str">
        <x:v>NR</x:v>
      </x:c>
      <x:c r="Q105" s="2" t="str">
        <x:v>Industrial</x:v>
      </x:c>
      <x:c r="R105" s="2" t="str">
        <x:v>Vendor talk by a senior director of engineering at LDRA / TASKING, a safety-critical tool vendor, delivered at the Flight Software Workshop hosted by the Johns Hopkins Applied Physics Laboratory</x:v>
      </x:c>
      <x:c r="S105" s="6" t="str">
        <x:v>Connect requirements to detailed design, code and unit tests so that the requirement chain can be followed.</x:v>
      </x:c>
      <x:c r="T105" s="6" t="str">
        <x:v>requirement-to-design-to-code-to-unit-test trace links that can be followed in both directions</x:v>
      </x:c>
      <x:c r="U10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V105" s="6" t="str">
        <x:v>large language models can assist in the generation of test cases and connecting those test cases to requirements ; your requirements are connected to detailed design which is connected to code</x:v>
      </x:c>
      <x:c r="W105" s="6" t="str">
        <x:v>The links are established through the requirement management system and the code-scope information produced by static analysis.</x:v>
      </x:c>
      <x:c r="X105" s="2" t="str">
        <x:v>Accepted</x:v>
      </x:c>
      <x:c r="Y105" s="6" t="str">
        <x:v>NR</x:v>
      </x:c>
    </x:row>
    <x:row r="106" ht="76" customHeight="1">
      <x:c r="A106" s="2" t="str">
        <x:v>G5-TASK-R02</x:v>
      </x:c>
      <x:c r="B106" s="2" t="str">
        <x:v>G5</x:v>
      </x:c>
      <x:c r="C106" s="2" t="str">
        <x:v>v1</x:v>
      </x:c>
      <x:c r="D106" s="2" t="str">
        <x:v>Reviewer_A</x:v>
      </x:c>
      <x:c r="E106" s="2" t="str">
        <x:v>Reviewer_A</x:v>
      </x:c>
      <x:c r="F106" s="2" t="str">
        <x:v>G5-T02</x:v>
      </x:c>
      <x:c r="G106" s="2" t="str">
        <x:v>how that requirement traceability can be used to generate test cases from the requirements all the way to mcdc code coverage</x:v>
      </x:c>
      <x:c r="H106" s="2" t="str">
        <x:v>trace-aware artifact generation</x:v>
      </x:c>
      <x:c r="I106" s="2" t="str">
        <x:v>your requirements are connected to detailed design which is connected to code ; you can pull that data and then extract the requirement information that has to do with specific test cases ; whatever requirement management system you have</x:v>
      </x:c>
      <x:c r="J106" s="2" t="str">
        <x:v>requirement</x:v>
      </x:c>
      <x:c r="K106" s="2" t="str">
        <x:v>generate test cases from the requirements all the way to mcdc code coverage ; we can follow the requirement to the source code to the test ; those requirements actually do map to the detailed software design to the code and and to the unit test</x:v>
      </x:c>
      <x:c r="L106" s="2" t="str">
        <x:v>test case</x:v>
      </x:c>
      <x:c r="M106" s="2" t="str">
        <x:v>requirements -&gt; detailed design -&gt; code -&gt; unit test -&gt; MC/DC coverage</x:v>
      </x:c>
      <x:c r="N106" s="2" t="str">
        <x:v>requirements ; design ; implementation ; testing</x:v>
      </x:c>
      <x:c r="O106" s="2" t="str">
        <x:v>aerospace and defense, long-duration NASA space flight software</x:v>
      </x:c>
      <x:c r="P106" s="2" t="str">
        <x:v>NR</x:v>
      </x:c>
      <x:c r="Q106" s="2" t="str">
        <x:v>Industrial</x:v>
      </x:c>
      <x:c r="R106" s="2" t="str">
        <x:v>Vendor talk by a senior director of engineering at LDRA / TASKING, a safety-critical tool vendor, delivered at the Flight Software Workshop hosted by the Johns Hopkins Applied Physics Laboratory</x:v>
      </x:c>
      <x:c r="S106" s="6" t="str">
        <x:v>Generate test cases from the requirements and drive them towards MC/DC code coverage.</x:v>
      </x:c>
      <x:c r="T106" s="6" t="str">
        <x:v>generated test cases, execution results on the target and the requirement-to-test traceability</x:v>
      </x:c>
      <x:c r="U106"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V106" s="6" t="str">
        <x:v>requirement traceability can be used to generate test cases from the requirements all the way to mcdc code coverage</x:v>
      </x:c>
      <x:c r="W106" s="6" t="str">
        <x:v>Test generation is presented as a consequence of the requirement trace, with the coverage objective constraining the generated cases.</x:v>
      </x:c>
      <x:c r="X106" s="2" t="str">
        <x:v>Accepted</x:v>
      </x:c>
      <x:c r="Y106" s="6" t="str">
        <x:v>NR</x:v>
      </x:c>
    </x:row>
    <x:row r="107" ht="76" customHeight="1">
      <x:c r="A107" s="2" t="str">
        <x:v>G6-TASK-R01</x:v>
      </x:c>
      <x:c r="B107" s="2" t="str">
        <x:v>G6</x:v>
      </x:c>
      <x:c r="C107" s="2" t="str">
        <x:v>v1</x:v>
      </x:c>
      <x:c r="D107" s="2" t="str">
        <x:v>Reviewer_A</x:v>
      </x:c>
      <x:c r="E107" s="2" t="str">
        <x:v>Reviewer_A</x:v>
      </x:c>
      <x:c r="F107" s="2" t="str">
        <x:v>G6-T01</x:v>
      </x:c>
      <x:c r="G107" s="2" t="str">
        <x:v>going to talk about mcdc test cases and using llm llms to get there for long duration spaceflight</x:v>
      </x:c>
      <x:c r="H107" s="2" t="str">
        <x:v>trace-aware artifact generation</x:v>
      </x:c>
      <x:c r="I107" s="2" t="str">
        <x:v>we can export all of these things from our our requirement management tool and dump it in there ; we can feed this truth table as well as the test case template ; it understands requirements pretty well</x:v>
      </x:c>
      <x:c r="J107" s="2" t="str">
        <x:v>requirement</x:v>
      </x:c>
      <x:c r="K107" s="2" t="str">
        <x:v>they will generate a a test case file in the case of ldra. it'll it'll output a a pretty close to good you know, an 80% solution. tcf ; having link visual links from system level requirements all the way down to code ; it's a line of code that's not covered. or it's a function that's not covered</x:v>
      </x:c>
      <x:c r="L107" s="2" t="str">
        <x:v>test case</x:v>
      </x:c>
      <x:c r="M107" s="2" t="str">
        <x:v>system level requirements -&gt; code -&gt; MC/DC test cases, shown in both directions in the traceability view</x:v>
      </x:c>
      <x:c r="N107" s="2" t="str">
        <x:v>requirements ; implementation ; testing</x:v>
      </x:c>
      <x:c r="O107" s="2" t="str">
        <x:v>aerospace and defense, long-duration NASA flight software with embedded Ada code</x:v>
      </x:c>
      <x:c r="P107" s="2" t="str">
        <x:v>NR</x:v>
      </x:c>
      <x:c r="Q107" s="2" t="str">
        <x:v>Industrial</x:v>
      </x:c>
      <x:c r="R107" s="2" t="str">
        <x:v>Vendor talk by a speaker from TASKING, formerly LDRA, delivered at the Flight Software Workshop hosted by the Johns Hopkins Applied Physics Laboratory</x:v>
      </x:c>
      <x:c r="S107" s="6" t="str">
        <x:v>Generate MC/DC test cases for long-duration flight software from the requirements and the truth table.</x:v>
      </x:c>
      <x:c r="T107" s="6" t="str">
        <x:v>a test case file that is close to an 80% solution and still needs review</x:v>
      </x:c>
      <x:c r="U107"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V107" s="6" t="str">
        <x:v>going to talk about mcdc test cases and using llm llms to get there for long duration spaceflight ; you have 2n + 1 decisions to test</x:v>
      </x:c>
      <x:c r="W107" s="6" t="str">
        <x:v>The MC/DC truth table and test case template are supplied with the requirements so that the generated cases stay inside the required decision coverage.</x:v>
      </x:c>
      <x:c r="X107" s="2" t="str">
        <x:v>Accepted</x:v>
      </x:c>
      <x:c r="Y107" s="6" t="str">
        <x:v>NR</x:v>
      </x:c>
    </x:row>
    <x:row r="108" ht="76" customHeight="1">
      <x:c r="A108" s="2" t="str">
        <x:v>G6-TASK-R02</x:v>
      </x:c>
      <x:c r="B108" s="2" t="str">
        <x:v>G6</x:v>
      </x:c>
      <x:c r="C108" s="2" t="str">
        <x:v>v1</x:v>
      </x:c>
      <x:c r="D108" s="2" t="str">
        <x:v>Reviewer_A</x:v>
      </x:c>
      <x:c r="E108" s="2" t="str">
        <x:v>Reviewer_A</x:v>
      </x:c>
      <x:c r="F108" s="2" t="str">
        <x:v>G6-T02</x:v>
      </x:c>
      <x:c r="G108" s="2" t="str">
        <x:v>having link visual links from system level requirements all the way down to code is enormous ; everything's got to have a requirement trace to it</x:v>
      </x:c>
      <x:c r="H108" s="2" t="str">
        <x:v>traceability link generation</x:v>
      </x:c>
      <x:c r="I108" s="2" t="str">
        <x:v>we can export all of these things from our our requirement management tool and dump it in there ; we can feed this truth table as well as the test case template ; it understands requirements pretty well</x:v>
      </x:c>
      <x:c r="J108" s="2" t="str">
        <x:v>requirement</x:v>
      </x:c>
      <x:c r="K108" s="2" t="str">
        <x:v>they will generate a a test case file in the case of ldra. it'll it'll output a a pretty close to good you know, an 80% solution. tcf ; having link visual links from system level requirements all the way down to code ; it's a line of code that's not covered. or it's a function that's not covered</x:v>
      </x:c>
      <x:c r="L108" s="2" t="str">
        <x:v>test case</x:v>
      </x:c>
      <x:c r="M108" s="2" t="str">
        <x:v>system level requirements -&gt; code -&gt; MC/DC test cases, shown in both directions in the traceability view</x:v>
      </x:c>
      <x:c r="N108" s="2" t="str">
        <x:v>requirements ; implementation ; testing</x:v>
      </x:c>
      <x:c r="O108" s="2" t="str">
        <x:v>aerospace and defense, long-duration NASA flight software with embedded Ada code</x:v>
      </x:c>
      <x:c r="P108" s="2" t="str">
        <x:v>NR</x:v>
      </x:c>
      <x:c r="Q108" s="2" t="str">
        <x:v>Industrial</x:v>
      </x:c>
      <x:c r="R108" s="2" t="str">
        <x:v>Vendor talk by a speaker from TASKING, formerly LDRA, delivered at the Flight Software Workshop hosted by the Johns Hopkins Applied Physics Laboratory</x:v>
      </x:c>
      <x:c r="S108" s="6" t="str">
        <x:v>Maintain visible trace links from system level requirements down to the code and flag code that no requirement is traced to.</x:v>
      </x:c>
      <x:c r="T108" s="6" t="str">
        <x:v>a traceability view that shows which code or function has no requirement traced to it</x:v>
      </x:c>
      <x:c r="U108"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V108" s="6" t="str">
        <x:v>having link visual links from system level requirements all the way down to code is enormous ; everything's got to have a requirement trace to it</x:v>
      </x:c>
      <x:c r="W108" s="6" t="str">
        <x:v>The traceability view is used as the completeness check on the code side rather than as the source of the generated test cases.</x:v>
      </x:c>
      <x:c r="X108" s="2" t="str">
        <x:v>Accepted</x:v>
      </x:c>
      <x:c r="Y108" s="6" t="str">
        <x:v>NR</x:v>
      </x:c>
    </x:row>
    <x:row r="109" ht="76" customHeight="1">
      <x:c r="A109" s="2" t="str">
        <x:v>G7-TASK-R01</x:v>
      </x:c>
      <x:c r="B109" s="2" t="str">
        <x:v>G7</x:v>
      </x:c>
      <x:c r="C109" s="2" t="str">
        <x:v>v1</x:v>
      </x:c>
      <x:c r="D109" s="2" t="str">
        <x:v>Reviewer_A</x:v>
      </x:c>
      <x:c r="E109" s="2" t="str">
        <x:v>Reviewer_A</x:v>
      </x:c>
      <x:c r="F109" s="2" t="str">
        <x:v>G7-T01</x:v>
      </x:c>
      <x:c r="G109" s="2" t="str">
        <x:v>you can link a requirement, a specification, architecture element, test cases against it to get the complete traceability ; what swings needs really do at the end is it creates a traceability graph</x:v>
      </x:c>
      <x:c r="H109" s="2" t="str">
        <x:v>traceability link establishment</x:v>
      </x:c>
      <x:c r="I109" s="2" t="str">
        <x:v>you can link a requirement, a specification, architecture element, test cases against it to get the complete traceability ; which allows you for instance to maintain your test case description in your test files and not in a separated file ; which grabs um test case results from your test framework like google test or something like this, the junit xml format ; it's just called code links which allows you to have some markers inside your code</x:v>
      </x:c>
      <x:c r="J109" s="2" t="str">
        <x:v>requirement</x:v>
      </x:c>
      <x:c r="K109" s="2" t="str">
        <x:v>these test cases which you have defined here for this specific release are all green or some are red ; then the linked specifications are also somehow closed ; it creates a traceability graph, where it gets a lot of information inside it ; which can analyse traceability completeness, detect inconsistencies, and generate or update documentation</x:v>
      </x:c>
      <x:c r="L109" s="2" t="str">
        <x:v>test case</x:v>
      </x:c>
      <x:c r="M109" s="2" t="str">
        <x:v>requirements -&gt; architecture -&gt; specifications -&gt; test cases, with source code linked back through code-link markers, forming a bidirectional traceability graph</x:v>
      </x:c>
      <x:c r="N109" s="2" t="str">
        <x:v>requirements ; design ; implementation ; testing ; compliance and assurance</x:v>
      </x:c>
      <x:c r="O109" s="2" t="str">
        <x:v>automotive software development, engineering documentation and compliance, aligned with ISO 26262 and ASPICE</x:v>
      </x:c>
      <x:c r="P109" s="2" t="str">
        <x:v>the Eclipse S-CORE project documentation used for the live checks and the prototype ; a customer ECU project maintaining 100,000 elements is mentioned in the introduction</x:v>
      </x:c>
      <x:c r="Q109" s="2" t="str">
        <x:v>Industrial</x:v>
      </x:c>
      <x:c r="R109" s="2" t="str">
        <x:v>Talk by the company behind Sphinx-Needs, delivered at an open community conference, plus a customer-side evaluation reported by an engineer from an automotive manufacturer</x:v>
      </x:c>
      <x:c r="S109" s="6" t="str">
        <x:v>Establish and persist links between requirements, specifications, architecture elements, source code and test cases in a traceability graph.</x:v>
      </x:c>
      <x:c r="T109" s="6" t="str">
        <x:v>a traceability graph that holds the need objects, their metadata and the links between them</x:v>
      </x:c>
      <x:c r="U109"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V109" s="6" t="str">
        <x:v>you can link a requirement, a specification, architecture element, test cases against it to get the complete traceability ; what swings needs really do at the end is it creates a traceability graph</x:v>
      </x:c>
      <x:c r="W109" s="6" t="str">
        <x:v>Links are declared in structured text next to the source and collected into the graph, including links pulled out of the code by the code-link markers.</x:v>
      </x:c>
      <x:c r="X109" s="2" t="str">
        <x:v>Accepted</x:v>
      </x:c>
      <x:c r="Y109" s="6" t="str">
        <x:v>NR</x:v>
      </x:c>
    </x:row>
    <x:row r="110" ht="76" customHeight="1">
      <x:c r="A110" s="2" t="str">
        <x:v>G7-TASK-R02</x:v>
      </x:c>
      <x:c r="B110" s="2" t="str">
        <x:v>G7</x:v>
      </x:c>
      <x:c r="C110" s="2" t="str">
        <x:v>v1</x:v>
      </x:c>
      <x:c r="D110" s="2" t="str">
        <x:v>Reviewer_A</x:v>
      </x:c>
      <x:c r="E110" s="2" t="str">
        <x:v>Reviewer_A</x:v>
      </x:c>
      <x:c r="F110" s="2" t="str">
        <x:v>G7-T02</x:v>
      </x:c>
      <x:c r="G110" s="2" t="str">
        <x:v>it can help you for instance to trace information ... hey, i have here a specification. is all the linkage complete complete or is something there missing</x:v>
      </x:c>
      <x:c r="H110" s="2" t="str">
        <x:v>traceability link validation</x:v>
      </x:c>
      <x:c r="I110" s="2" t="str">
        <x:v>you can link a requirement, a specification, architecture element, test cases against it to get the complete traceability ; which allows you for instance to maintain your test case description in your test files and not in a separated file ; which grabs um test case results from your test framework like google test or something like this, the junit xml format ; it's just called code links which allows you to have some markers inside your code</x:v>
      </x:c>
      <x:c r="J110" s="2" t="str">
        <x:v>requirement</x:v>
      </x:c>
      <x:c r="K110" s="2" t="str">
        <x:v>these test cases which you have defined here for this specific release are all green or some are red ; then the linked specifications are also somehow closed ; it creates a traceability graph, where it gets a lot of information inside it ; which can analyse traceability completeness, detect inconsistencies, and generate or update documentation</x:v>
      </x:c>
      <x:c r="L110" s="2" t="str">
        <x:v>test case</x:v>
      </x:c>
      <x:c r="M110" s="2" t="str">
        <x:v>requirements -&gt; architecture -&gt; specifications -&gt; test cases, with source code linked back through code-link markers, forming a bidirectional traceability graph</x:v>
      </x:c>
      <x:c r="N110" s="2" t="str">
        <x:v>requirements ; design ; implementation ; testing ; compliance and assurance</x:v>
      </x:c>
      <x:c r="O110" s="2" t="str">
        <x:v>automotive software development, engineering documentation and compliance, aligned with ISO 26262 and ASPICE</x:v>
      </x:c>
      <x:c r="P110" s="2" t="str">
        <x:v>the Eclipse S-CORE project documentation used for the live checks and the prototype ; a customer ECU project maintaining 100,000 elements is mentioned in the introduction</x:v>
      </x:c>
      <x:c r="Q110" s="2" t="str">
        <x:v>Industrial</x:v>
      </x:c>
      <x:c r="R110" s="2" t="str">
        <x:v>Talk by the company behind Sphinx-Needs, delivered at an open community conference, plus a customer-side evaluation reported by an engineer from an automotive manufacturer</x:v>
      </x:c>
      <x:c r="S110" s="6" t="str">
        <x:v>Check whether the links recorded for a specification are complete and whether something is missing.</x:v>
      </x:c>
      <x:c r="T110" s="6" t="str">
        <x:v>findings on missing or invalid links and confirmation that the link rules hold</x:v>
      </x:c>
      <x:c r="U110"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V110" s="6" t="str">
        <x:v>it can help you for instance to trace information ... hey, i have here a specification. is all the linkage complete complete or is something there missing</x:v>
      </x:c>
      <x:c r="W110" s="6" t="str">
        <x:v>The graph plus the declared link rules act as the deterministic check on what the agent reports.</x:v>
      </x:c>
      <x:c r="X110" s="2" t="str">
        <x:v>Accepted</x:v>
      </x:c>
      <x:c r="Y110" s="6" t="str">
        <x:v>NR</x:v>
      </x:c>
    </x:row>
    <x:row r="111" ht="76" customHeight="1">
      <x:c r="A111" s="2" t="str">
        <x:v>G7-TASK-R03</x:v>
      </x:c>
      <x:c r="B111" s="2" t="str">
        <x:v>G7</x:v>
      </x:c>
      <x:c r="C111" s="2" t="str">
        <x:v>v1</x:v>
      </x:c>
      <x:c r="D111" s="2" t="str">
        <x:v>Reviewer_A</x:v>
      </x:c>
      <x:c r="E111" s="2" t="str">
        <x:v>Reviewer_A</x:v>
      </x:c>
      <x:c r="F111" s="2" t="str">
        <x:v>G7-T03</x:v>
      </x:c>
      <x:c r="G111" s="2" t="str">
        <x:v>which can analyse traceability completeness, detect inconsistencies</x:v>
      </x:c>
      <x:c r="H111" s="2" t="str">
        <x:v>traceability explanation</x:v>
      </x:c>
      <x:c r="I111" s="2" t="str">
        <x:v>you can link a requirement, a specification, architecture element, test cases against it to get the complete traceability ; which allows you for instance to maintain your test case description in your test files and not in a separated file ; which grabs um test case results from your test framework like google test or something like this, the junit xml format ; it's just called code links which allows you to have some markers inside your code</x:v>
      </x:c>
      <x:c r="J111" s="2" t="str">
        <x:v>requirement</x:v>
      </x:c>
      <x:c r="K111" s="2" t="str">
        <x:v>these test cases which you have defined here for this specific release are all green or some are red ; then the linked specifications are also somehow closed ; it creates a traceability graph, where it gets a lot of information inside it ; which can analyse traceability completeness, detect inconsistencies, and generate or update documentation</x:v>
      </x:c>
      <x:c r="L111" s="2" t="str">
        <x:v>test case</x:v>
      </x:c>
      <x:c r="M111" s="2" t="str">
        <x:v>requirements -&gt; architecture -&gt; specifications -&gt; test cases, with source code linked back through code-link markers, forming a bidirectional traceability graph</x:v>
      </x:c>
      <x:c r="N111" s="2" t="str">
        <x:v>requirements ; design ; implementation ; testing ; compliance and assurance</x:v>
      </x:c>
      <x:c r="O111" s="2" t="str">
        <x:v>automotive software development, engineering documentation and compliance, aligned with ISO 26262 and ASPICE</x:v>
      </x:c>
      <x:c r="P111" s="2" t="str">
        <x:v>the Eclipse S-CORE project documentation used for the live checks and the prototype ; a customer ECU project maintaining 100,000 elements is mentioned in the introduction</x:v>
      </x:c>
      <x:c r="Q111" s="2" t="str">
        <x:v>Industrial</x:v>
      </x:c>
      <x:c r="R111" s="2" t="str">
        <x:v>Talk by the company behind Sphinx-Needs, delivered at an open community conference, plus a customer-side evaluation reported by an engineer from an automotive manufacturer</x:v>
      </x:c>
      <x:c r="S111" s="6" t="str">
        <x:v>Explain the state of a need and its links, including inconsistencies found for a specification.</x:v>
      </x:c>
      <x:c r="T111" s="6" t="str">
        <x:v>reported findings and reasoning that reference the instructions and skills used for the need</x:v>
      </x:c>
      <x:c r="U111" s="6" t="str">
        <x:v>G7_page_description.png (page description)</x:v>
      </x:c>
      <x:c r="V111" s="6" t="str">
        <x:v>are directly accessible to language models, which can analyse traceability completeness, detect inconsistencies</x:v>
      </x:c>
      <x:c r="W111" s="6" t="str">
        <x:v>The explanation is produced from the graph through a controlled interface rather than from the whole document set.</x:v>
      </x:c>
      <x:c r="X111" s="2" t="str">
        <x:v>Accepted</x:v>
      </x:c>
      <x:c r="Y111" s="6" t="str">
        <x:v>The material states the analysed properties in the page description; the excerpt is the English description text of that page.</x:v>
      </x:c>
    </x:row>
    <x:row r="112" ht="76" customHeight="1">
      <x:c r="A112" s="2" t="str">
        <x:v>G7-TASK-R04</x:v>
      </x:c>
      <x:c r="B112" s="2" t="str">
        <x:v>G7</x:v>
      </x:c>
      <x:c r="C112" s="2" t="str">
        <x:v>v1</x:v>
      </x:c>
      <x:c r="D112" s="2" t="str">
        <x:v>Reviewer_A</x:v>
      </x:c>
      <x:c r="E112" s="2" t="str">
        <x:v>Reviewer_A</x:v>
      </x:c>
      <x:c r="F112" s="2" t="str">
        <x:v>G7-T04</x:v>
      </x:c>
      <x:c r="G112" s="2" t="str">
        <x:v>generate or update documentation</x:v>
      </x:c>
      <x:c r="H112" s="2" t="str">
        <x:v>trace-aware artifact generation</x:v>
      </x:c>
      <x:c r="I112" s="2" t="str">
        <x:v>you can link a requirement, a specification, architecture element, test cases against it to get the complete traceability ; which allows you for instance to maintain your test case description in your test files and not in a separated file ; which grabs um test case results from your test framework like google test or something like this, the junit xml format ; it's just called code links which allows you to have some markers inside your code</x:v>
      </x:c>
      <x:c r="J112" s="2" t="str">
        <x:v>requirement</x:v>
      </x:c>
      <x:c r="K112" s="2" t="str">
        <x:v>these test cases which you have defined here for this specific release are all green or some are red ; then the linked specifications are also somehow closed ; it creates a traceability graph, where it gets a lot of information inside it ; which can analyse traceability completeness, detect inconsistencies, and generate or update documentation</x:v>
      </x:c>
      <x:c r="L112" s="2" t="str">
        <x:v>test case</x:v>
      </x:c>
      <x:c r="M112" s="2" t="str">
        <x:v>requirements -&gt; architecture -&gt; specifications -&gt; test cases, with source code linked back through code-link markers, forming a bidirectional traceability graph</x:v>
      </x:c>
      <x:c r="N112" s="2" t="str">
        <x:v>requirements ; design ; implementation ; testing ; compliance and assurance</x:v>
      </x:c>
      <x:c r="O112" s="2" t="str">
        <x:v>automotive software development, engineering documentation and compliance, aligned with ISO 26262 and ASPICE</x:v>
      </x:c>
      <x:c r="P112" s="2" t="str">
        <x:v>the Eclipse S-CORE project documentation used for the live checks and the prototype ; a customer ECU project maintaining 100,000 elements is mentioned in the introduction</x:v>
      </x:c>
      <x:c r="Q112" s="2" t="str">
        <x:v>Industrial</x:v>
      </x:c>
      <x:c r="R112" s="2" t="str">
        <x:v>Talk by the company behind Sphinx-Needs, delivered at an open community conference, plus a customer-side evaluation reported by an engineer from an automotive manufacturer</x:v>
      </x:c>
      <x:c r="S112" s="6" t="str">
        <x:v>Generate or update requirements and documentation from the traceability graph.</x:v>
      </x:c>
      <x:c r="T112" s="6" t="str">
        <x:v>generated or updated requirements and documentation derived from the traced needs</x:v>
      </x:c>
      <x:c r="U112" s="6" t="str">
        <x:v>G7_page_description.png (page description)</x:v>
      </x:c>
      <x:c r="V112" s="6" t="str">
        <x:v>and generate or update documentation</x:v>
      </x:c>
      <x:c r="W112" s="6" t="str">
        <x:v>Generation is kept inside the scope that the controlled interface exposes to the model.</x:v>
      </x:c>
      <x:c r="X112" s="2" t="str">
        <x:v>Accepted</x:v>
      </x:c>
      <x:c r="Y112" s="6" t="str">
        <x:v>The material states the generation capability in the page description; the excerpt is the English description text of that page.</x:v>
      </x:c>
    </x:row>
    <x:row r="113" ht="76" customHeight="1">
      <x:c r="A113" s="2" t="str">
        <x:v>G8-TASK-R01</x:v>
      </x:c>
      <x:c r="B113" s="2" t="str">
        <x:v>G8</x:v>
      </x:c>
      <x:c r="C113" s="2" t="str">
        <x:v>v1</x:v>
      </x:c>
      <x:c r="D113" s="2" t="str">
        <x:v>Reviewer_A</x:v>
      </x:c>
      <x:c r="E113" s="2" t="str">
        <x:v>Reviewer_A</x:v>
      </x:c>
      <x:c r="F113" s="2" t="str">
        <x:v>G8-T01</x:v>
      </x:c>
      <x:c r="G113" s="2" t="str">
        <x:v>This is a software requirements traceability agent designed to automate the mapping between requirements, source code, unit tests, and build verification artifacts ; for each requirement um it selects the relevant c file and calls claude and maps the requirement to code</x:v>
      </x:c>
      <x:c r="H113" s="2" t="str">
        <x:v>traceability link generation</x:v>
      </x:c>
      <x:c r="I113" s="2" t="str">
        <x:v>we provide the requirements in the csv files ; then the c files, unit test files and build verification files ; this file tells the rtm generator which source files to load for each requirement</x:v>
      </x:c>
      <x:c r="J113" s="2" t="str">
        <x:v>requirement</x:v>
      </x:c>
      <x:c r="K113" s="2" t="str">
        <x:v>and it shows which c file that requirement is implemented and which function it's implemented ; sorry yeah this is a unit test file and it provides the the build test file where the this requirement was tested ; and this page provides the results md file</x:v>
      </x:c>
      <x:c r="L113" s="2" t="str">
        <x:v>source code</x:v>
      </x:c>
      <x:c r="M113" s="2" t="str">
        <x:v>requirements -&gt; source code and functions -&gt; unit test file -&gt; build verification file</x:v>
      </x:c>
      <x:c r="N113" s="2" t="str">
        <x:v>requirements ; implementation ; testing</x:v>
      </x:c>
      <x:c r="O113" s="2" t="str">
        <x:v>aerospace flight software built on the NASA cFS flight software framework</x:v>
      </x:c>
      <x:c r="P113" s="2" t="str">
        <x:v>the cFS heritage codebase; two applications in phase one; a results view listing requirements numbered in the md 2000 range</x:v>
      </x:c>
      <x:c r="Q113" s="2" t="str">
        <x:v>Industrial</x:v>
      </x:c>
      <x:c r="R113" s="2" t="str">
        <x:v>Practitioner project demonstration published by a commercial AI education channel, with a contact address at a company and target users stated to be NASA and commercial cFS users</x:v>
      </x:c>
      <x:c r="S113" s="6" t="str">
        <x:v>Map each requirement to the source file and function that implement it, and to the unit test and build verification artefact that cover it.</x:v>
      </x:c>
      <x:c r="T113" s="6" t="str">
        <x:v>an RTM results file per requirement listing the code file, the implementing function, the unit test file and the build verification file</x:v>
      </x:c>
      <x:c r="U113"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V113" s="6" t="str">
        <x:v>automate the mapping between requirements, source code, unit tests, and build verification artifacts ; for each requirement um it selects the relevant c file and calls claude and maps the requirement to code</x:v>
      </x:c>
      <x:c r="W113" s="6" t="str">
        <x:v>The agent works requirement by requirement and selects the source file to show the model before asking for the mapping.</x:v>
      </x:c>
      <x:c r="X113" s="2" t="str">
        <x:v>Accepted</x:v>
      </x:c>
      <x:c r="Y113" s="6" t="str">
        <x:v>NR</x:v>
      </x:c>
    </x:row>
    <x:row r="114" ht="76" customHeight="1">
      <x:c r="A114" s="2" t="str">
        <x:v>G8-TASK-R02</x:v>
      </x:c>
      <x:c r="B114" s="2" t="str">
        <x:v>G8</x:v>
      </x:c>
      <x:c r="C114" s="2" t="str">
        <x:v>v1</x:v>
      </x:c>
      <x:c r="D114" s="2" t="str">
        <x:v>Reviewer_A</x:v>
      </x:c>
      <x:c r="E114" s="2" t="str">
        <x:v>Reviewer_A</x:v>
      </x:c>
      <x:c r="F114" s="2" t="str">
        <x:v>G8-T02</x:v>
      </x:c>
      <x:c r="G114" s="2" t="str">
        <x:v>it will display the traceability for each requirement source code and the function ; if the system is not certain about a mapping it will flag it</x:v>
      </x:c>
      <x:c r="H114" s="2" t="str">
        <x:v>traceability maintenance</x:v>
      </x:c>
      <x:c r="I114" s="2" t="str">
        <x:v>we provide the requirements in the csv files ; then the c files, unit test files and build verification files ; this file tells the rtm generator which source files to load for each requirement</x:v>
      </x:c>
      <x:c r="J114" s="2" t="str">
        <x:v>requirement</x:v>
      </x:c>
      <x:c r="K114" s="2" t="str">
        <x:v>and it shows which c file that requirement is implemented and which function it's implemented ; sorry yeah this is a unit test file and it provides the the build test file where the this requirement was tested ; and this page provides the results md file</x:v>
      </x:c>
      <x:c r="L114" s="2" t="str">
        <x:v>source code</x:v>
      </x:c>
      <x:c r="M114" s="2" t="str">
        <x:v>requirements -&gt; source code and functions -&gt; unit test file -&gt; build verification file</x:v>
      </x:c>
      <x:c r="N114" s="2" t="str">
        <x:v>requirements ; implementation ; testing</x:v>
      </x:c>
      <x:c r="O114" s="2" t="str">
        <x:v>aerospace flight software built on the NASA cFS flight software framework</x:v>
      </x:c>
      <x:c r="P114" s="2" t="str">
        <x:v>the cFS heritage codebase; two applications in phase one; a results view listing requirements numbered in the md 2000 range</x:v>
      </x:c>
      <x:c r="Q114" s="2" t="str">
        <x:v>Industrial</x:v>
      </x:c>
      <x:c r="R114" s="2" t="str">
        <x:v>Practitioner project demonstration published by a commercial AI education channel, with a contact address at a company and target users stated to be NASA and commercial cFS users</x:v>
      </x:c>
      <x:c r="S114" s="6" t="str">
        <x:v>Keep the requirement-to-code and requirement-to-test record available per requirement and mark the mappings the agent is not certain about.</x:v>
      </x:c>
      <x:c r="T114" s="6" t="str">
        <x:v>a displayed traceability record per requirement plus flags on uncertain mappings and blank cells where an artefact could not be located</x:v>
      </x:c>
      <x:c r="U114"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V114" s="6" t="str">
        <x:v>it will display the traceability for each requirement source code and the function ; leaving gaps blank instead of hallucinating missing information</x:v>
      </x:c>
      <x:c r="W114" s="6" t="str">
        <x:v>The record is kept honest by flagging uncertainty and leaving gaps rather than guessing, which is what keeps the trace usable over repeated runs.</x:v>
      </x:c>
      <x:c r="X114" s="2" t="str">
        <x:v>Accepted</x:v>
      </x:c>
      <x:c r="Y114" s="6" t="str">
        <x:v>NR</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19"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52" hidden="0" customWidth="1"/>
    <x:col min="32" max="32" width="52" hidden="0" customWidth="1"/>
    <x:col min="33" max="33" width="52" hidden="0" customWidth="1"/>
    <x:col min="34" max="34" width="20" hidden="0" customWidth="1"/>
    <x:col min="35" max="35" width="52" hidden="0" customWidth="1"/>
  </x:cols>
  <x:sheetData>
    <x:row r="1" ht="38" customHeight="1">
      <x:c r="A1" s="5" t="str">
        <x:v>record_id</x:v>
      </x:c>
      <x:c r="B1" s="5" t="str">
        <x:v>study_id</x:v>
      </x:c>
      <x:c r="C1" s="5" t="str">
        <x:v>version_id</x:v>
      </x:c>
      <x:c r="D1" s="5" t="str">
        <x:v>review_stage</x:v>
      </x:c>
      <x:c r="E1" s="5" t="str">
        <x:v>reviewer_id</x:v>
      </x:c>
      <x:c r="F1" s="5" t="str">
        <x:v>evaluation_id</x:v>
      </x:c>
      <x:c r="G1" s="5" t="str">
        <x:v>task_id</x:v>
      </x:c>
      <x:c r="H1" s="5" t="str">
        <x:v>evaluation_design</x:v>
      </x:c>
      <x:c r="I1" s="5" t="str">
        <x:v>dataset_name</x:v>
      </x:c>
      <x:c r="J1" s="5" t="str">
        <x:v>dataset_source</x:v>
      </x:c>
      <x:c r="K1" s="5" t="str">
        <x:v>dataset_public</x:v>
      </x:c>
      <x:c r="L1" s="5" t="str">
        <x:v>dataset_realism</x:v>
      </x:c>
      <x:c r="M1" s="5" t="str">
        <x:v>train_validation_test_split</x:v>
      </x:c>
      <x:c r="N1" s="5" t="str">
        <x:v>source_artifact_count</x:v>
      </x:c>
      <x:c r="O1" s="5" t="str">
        <x:v>target_artifact_count</x:v>
      </x:c>
      <x:c r="P1" s="5" t="str">
        <x:v>true_link_count</x:v>
      </x:c>
      <x:c r="Q1" s="5" t="str">
        <x:v>participant_type</x:v>
      </x:c>
      <x:c r="R1" s="5" t="str">
        <x:v>participant_count</x:v>
      </x:c>
      <x:c r="S1" s="5" t="str">
        <x:v>ground_truth_source</x:v>
      </x:c>
      <x:c r="T1" s="5" t="str">
        <x:v>ground_truth_validation</x:v>
      </x:c>
      <x:c r="U1" s="5" t="str">
        <x:v>baseline_strength</x:v>
      </x:c>
      <x:c r="V1" s="5" t="str">
        <x:v>ablation</x:v>
      </x:c>
      <x:c r="W1" s="5" t="str">
        <x:v>metrics_reported</x:v>
      </x:c>
      <x:c r="X1" s="5" t="str">
        <x:v>unit_of_analysis</x:v>
      </x:c>
      <x:c r="Y1" s="5" t="str">
        <x:v>human_evaluation_protocol</x:v>
      </x:c>
      <x:c r="Z1" s="5" t="str">
        <x:v>contamination_check</x:v>
      </x:c>
      <x:c r="AA1" s="5" t="str">
        <x:v>statistical_method</x:v>
      </x:c>
      <x:c r="AB1" s="5" t="str">
        <x:v>uncertainty_reported</x:v>
      </x:c>
      <x:c r="AC1" s="5" t="str">
        <x:v>error_analysis</x:v>
      </x:c>
      <x:c r="AD1" s="5" t="str">
        <x:v>threat_control</x:v>
      </x:c>
      <x:c r="AE1" s="5" t="str">
        <x:v>evidence_location</x:v>
      </x:c>
      <x:c r="AF1" s="5" t="str">
        <x:v>evidence_verbatim</x:v>
      </x:c>
      <x:c r="AG1" s="5" t="str">
        <x:v>reviewer_interpretation</x:v>
      </x:c>
      <x:c r="AH1" s="5" t="str">
        <x:v>record_status</x:v>
      </x:c>
      <x:c r="AI1" s="5" t="str">
        <x:v>notes</x:v>
      </x:c>
    </x:row>
    <x:row r="2" ht="76" customHeight="1">
      <x:c r="A2" s="2" t="str">
        <x:v>S01-EVAL-R01</x:v>
      </x:c>
      <x:c r="B2" s="2" t="str">
        <x:v>S01</x:v>
      </x:c>
      <x:c r="C2" s="2" t="str">
        <x:v>merged_0002</x:v>
      </x:c>
      <x:c r="D2" s="2" t="str">
        <x:v>Reviewer_A</x:v>
      </x:c>
      <x:c r="E2" s="2" t="str">
        <x:v>Reviewer_A</x:v>
      </x:c>
      <x:c r="F2" s="2" t="str">
        <x:v>S01-EV01</x:v>
      </x:c>
      <x:c r="G2" s="2" t="str">
        <x:v>S01-T01</x:v>
      </x:c>
      <x:c r="H2" s="2" t="str">
        <x:v>Benchmark comparison</x:v>
      </x:c>
      <x:c r="I2" s="2" t="str">
        <x:v>Requirements to Code datasets (SMOS, eTour, iTrust, Dronology)</x:v>
      </x:c>
      <x:c r="J2" s="2" t="str">
        <x:v>SMOS, eTour, iTrust from CoEST; Dronology from Cleland-Huang et al.</x:v>
      </x:c>
      <x:c r="K2" s="2" t="str">
        <x:v>Public</x:v>
      </x:c>
      <x:c r="L2" s="2" t="str">
        <x:v>Academic benchmark</x:v>
      </x:c>
      <x:c r="M2" s="2" t="str">
        <x:v>NR</x:v>
      </x:c>
      <x:c r="N2" s="2" t="str">
        <x:v>NR</x:v>
      </x:c>
      <x:c r="O2" s="2" t="str">
        <x:v>NR</x:v>
      </x:c>
      <x:c r="P2" s="2" t="str">
        <x:v>NR</x:v>
      </x:c>
      <x:c r="Q2" s="2" t="str">
        <x:v>NA</x:v>
      </x:c>
      <x:c r="R2" s="2" t="str">
        <x:v>NA</x:v>
      </x:c>
      <x:c r="S2" s="2" t="str">
        <x:v>Provided by datasets from prior work</x:v>
      </x:c>
      <x:c r="T2" s="2" t="str">
        <x:v>Manually created gold standards</x:v>
      </x:c>
      <x:c r="U2" s="2" t="str">
        <x:v>Multiple strengths</x:v>
      </x:c>
      <x:c r="V2" s="2" t="str">
        <x:v>Yes</x:v>
      </x:c>
      <x:c r="W2" s="2" t="str">
        <x:v>precision; recall; F1; F2</x:v>
      </x:c>
      <x:c r="X2" s="2" t="str">
        <x:v>trace link</x:v>
      </x:c>
      <x:c r="Y2" s="2" t="str">
        <x:v>No</x:v>
      </x:c>
      <x:c r="Z2" s="2" t="str">
        <x:v>NR</x:v>
      </x:c>
      <x:c r="AA2" s="2" t="str">
        <x:v>Wilcoxon signed-rank test (two-sided, α=0.05)</x:v>
      </x:c>
      <x:c r="AB2" s="2" t="str">
        <x:v>No</x:v>
      </x:c>
      <x:c r="AC2" s="2" t="str">
        <x:v>Yes</x:v>
      </x:c>
      <x:c r="AD2" s="2" t="str">
        <x:v>Discussed threats to validity (construct, internal, external, reliability)</x:v>
      </x:c>
      <x:c r="AE2" s="6" t="str">
        <x:v>p. 6; Section IV-F-1, Tables III-V</x:v>
      </x:c>
      <x:c r="AF2" s="6" t="str">
        <x:v>We evaluate the performance of our approach on the three different TLR tasks and compare it to state-of-the-art approaches.</x:v>
      </x:c>
      <x:c r="AG2" s="6" t="str">
        <x:v>需求至代码TLR的基准比较评价</x:v>
      </x:c>
      <x:c r="AH2" s="2" t="str">
        <x:v>Accepted</x:v>
      </x:c>
      <x:c r="AI2" s="6" t="str">
        <x:v>数据集包括SMOS（意大利语）、eTour、iTrust、Dronology（RE和DD）</x:v>
      </x:c>
    </x:row>
    <x:row r="3" ht="76" customHeight="1">
      <x:c r="A3" s="2" t="str">
        <x:v>S01-EVAL-R02</x:v>
      </x:c>
      <x:c r="B3" s="2" t="str">
        <x:v>S01</x:v>
      </x:c>
      <x:c r="C3" s="2" t="str">
        <x:v>merged_0002</x:v>
      </x:c>
      <x:c r="D3" s="2" t="str">
        <x:v>Reviewer_A</x:v>
      </x:c>
      <x:c r="E3" s="2" t="str">
        <x:v>Reviewer_A</x:v>
      </x:c>
      <x:c r="F3" s="2" t="str">
        <x:v>S01-EV02</x:v>
      </x:c>
      <x:c r="G3" s="2" t="str">
        <x:v>S01-T02</x:v>
      </x:c>
      <x:c r="H3" s="2" t="str">
        <x:v>Benchmark comparison</x:v>
      </x:c>
      <x:c r="I3" s="2" t="str">
        <x:v>TransArC datasets (BigBlueButton, MediaStore, TeaStore, TEAMMATES, JabRef)</x:v>
      </x:c>
      <x:c r="J3" s="2" t="str">
        <x:v>TransArC replication package</x:v>
      </x:c>
      <x:c r="K3" s="2" t="str">
        <x:v>Public</x:v>
      </x:c>
      <x:c r="L3" s="2" t="str">
        <x:v>Academic benchmark</x:v>
      </x:c>
      <x:c r="M3" s="2" t="str">
        <x:v>NR</x:v>
      </x:c>
      <x:c r="N3" s="2" t="str">
        <x:v>NR</x:v>
      </x:c>
      <x:c r="O3" s="2" t="str">
        <x:v>NR</x:v>
      </x:c>
      <x:c r="P3" s="2" t="str">
        <x:v>NR</x:v>
      </x:c>
      <x:c r="Q3" s="2" t="str">
        <x:v>NA</x:v>
      </x:c>
      <x:c r="R3" s="2" t="str">
        <x:v>NA</x:v>
      </x:c>
      <x:c r="S3" s="2" t="str">
        <x:v>Gold standard from TransArC dataset</x:v>
      </x:c>
      <x:c r="T3" s="2" t="str">
        <x:v>Manually created</x:v>
      </x:c>
      <x:c r="U3" s="2" t="str">
        <x:v>Moderate</x:v>
      </x:c>
      <x:c r="V3" s="2" t="str">
        <x:v>Yes</x:v>
      </x:c>
      <x:c r="W3" s="2" t="str">
        <x:v>precision; recall; F1; F2</x:v>
      </x:c>
      <x:c r="X3" s="2" t="str">
        <x:v>trace link</x:v>
      </x:c>
      <x:c r="Y3" s="2" t="str">
        <x:v>No</x:v>
      </x:c>
      <x:c r="Z3" s="2" t="str">
        <x:v>NR</x:v>
      </x:c>
      <x:c r="AA3" s="2" t="str">
        <x:v>Wilcoxon signed-rank test on smaller projects</x:v>
      </x:c>
      <x:c r="AB3" s="2" t="str">
        <x:v>No</x:v>
      </x:c>
      <x:c r="AC3" s="2" t="str">
        <x:v>Yes</x:v>
      </x:c>
      <x:c r="AD3" s="2" t="str">
        <x:v>Same as EV1</x:v>
      </x:c>
      <x:c r="AE3" s="6" t="str">
        <x:v>p. 9; Section IV-F-2, Table VI</x:v>
      </x:c>
      <x:c r="AF3" s="6" t="str">
        <x:v>The results for those using Top-20 retrieval are shown in Table VI.</x:v>
      </x:c>
      <x:c r="AG3" s="6" t="str">
        <x:v>文档至代码TLR的基准比较评价</x:v>
      </x:c>
      <x:c r="AH3" s="2" t="str">
        <x:v>Accepted</x:v>
      </x:c>
      <x:c r="AI3" s="6" t="str">
        <x:v>专注于小型项目；大型项目（JabRef, TEAMMATES）检索召回极低</x:v>
      </x:c>
    </x:row>
    <x:row r="4" ht="76" customHeight="1">
      <x:c r="A4" s="2" t="str">
        <x:v>S01-EVAL-R03</x:v>
      </x:c>
      <x:c r="B4" s="2" t="str">
        <x:v>S01</x:v>
      </x:c>
      <x:c r="C4" s="2" t="str">
        <x:v>merged_0002</x:v>
      </x:c>
      <x:c r="D4" s="2" t="str">
        <x:v>Reviewer_A</x:v>
      </x:c>
      <x:c r="E4" s="2" t="str">
        <x:v>Reviewer_A</x:v>
      </x:c>
      <x:c r="F4" s="2" t="str">
        <x:v>S01-EV03</x:v>
      </x:c>
      <x:c r="G4" s="2" t="str">
        <x:v>S01-T03</x:v>
      </x:c>
      <x:c r="H4" s="2" t="str">
        <x:v>Benchmark comparison</x:v>
      </x:c>
      <x:c r="I4" s="2" t="str">
        <x:v>ArDoCo datasets (MediaStore, TeaStore, TEAMMATES, BigBlueButton, JabRef)</x:v>
      </x:c>
      <x:c r="J4" s="2" t="str">
        <x:v>ArDoCo dataset</x:v>
      </x:c>
      <x:c r="K4" s="2" t="str">
        <x:v>Public</x:v>
      </x:c>
      <x:c r="L4" s="2" t="str">
        <x:v>Academic benchmark</x:v>
      </x:c>
      <x:c r="M4" s="2" t="str">
        <x:v>NR</x:v>
      </x:c>
      <x:c r="N4" s="2" t="str">
        <x:v>NR</x:v>
      </x:c>
      <x:c r="O4" s="2" t="str">
        <x:v>NR</x:v>
      </x:c>
      <x:c r="P4" s="2" t="str">
        <x:v>NR</x:v>
      </x:c>
      <x:c r="Q4" s="2" t="str">
        <x:v>NA</x:v>
      </x:c>
      <x:c r="R4" s="2" t="str">
        <x:v>NA</x:v>
      </x:c>
      <x:c r="S4" s="2" t="str">
        <x:v>Gold standard from ArDoCo dataset</x:v>
      </x:c>
      <x:c r="T4" s="2" t="str">
        <x:v>Manually created</x:v>
      </x:c>
      <x:c r="U4" s="2" t="str">
        <x:v>Strong</x:v>
      </x:c>
      <x:c r="V4" s="2" t="str">
        <x:v>Yes</x:v>
      </x:c>
      <x:c r="W4" s="2" t="str">
        <x:v>precision; recall; F1; F2</x:v>
      </x:c>
      <x:c r="X4" s="2" t="str">
        <x:v>trace link</x:v>
      </x:c>
      <x:c r="Y4" s="2" t="str">
        <x:v>No</x:v>
      </x:c>
      <x:c r="Z4" s="2" t="str">
        <x:v>NR</x:v>
      </x:c>
      <x:c r="AA4" s="2" t="str">
        <x:v>NR</x:v>
      </x:c>
      <x:c r="AB4" s="2" t="str">
        <x:v>No</x:v>
      </x:c>
      <x:c r="AC4" s="2" t="str">
        <x:v>Yes</x:v>
      </x:c>
      <x:c r="AD4" s="2" t="str">
        <x:v>Same as EV1</x:v>
      </x:c>
      <x:c r="AE4" s="6" t="str">
        <x:v>p. 10; Section IV-F-3, Table VII</x:v>
      </x:c>
      <x:c r="AF4" s="6" t="str">
        <x:v>The final TLR task is recovering trace links between architecture documentation and architecture models.</x:v>
      </x:c>
      <x:c r="AG4" s="6" t="str">
        <x:v>架构文档至架构模型TLR的基准比较评价</x:v>
      </x:c>
      <x:c r="AH4" s="2" t="str">
        <x:v>Accepted</x:v>
      </x:c>
      <x:c r="AI4" s="6" t="str">
        <x:v>同时评估了D2M和M2D两个方向</x:v>
      </x:c>
    </x:row>
    <x:row r="5" ht="76" customHeight="1">
      <x:c r="A5" s="2" t="str">
        <x:v>S02-EVAL-R01</x:v>
      </x:c>
      <x:c r="B5" s="2" t="str">
        <x:v>S02</x:v>
      </x:c>
      <x:c r="C5" s="2" t="str">
        <x:v>merged_0007</x:v>
      </x:c>
      <x:c r="D5" s="2" t="str">
        <x:v>Reviewer_A</x:v>
      </x:c>
      <x:c r="E5" s="2" t="str">
        <x:v>Reviewer_A</x:v>
      </x:c>
      <x:c r="F5" s="2" t="str">
        <x:v>S02-EV01</x:v>
      </x:c>
      <x:c r="G5" s="2" t="str">
        <x:v>S02-T01</x:v>
      </x:c>
      <x:c r="H5" s="2" t="str">
        <x:v>Benchmark comparison</x:v>
      </x:c>
      <x:c r="I5" s="2" t="str">
        <x:v>Architecture Traceability Benchmark Original (MS, TS, TM, BBB, JR)</x:v>
      </x:c>
      <x:c r="J5" s="2" t="str">
        <x:v>Fuchß et al. [17], Keim et al. [32]</x:v>
      </x:c>
      <x:c r="K5" s="2" t="str">
        <x:v>Public</x:v>
      </x:c>
      <x:c r="L5" s="2" t="str">
        <x:v>Academic benchmark</x:v>
      </x:c>
      <x:c r="M5" s="2" t="str">
        <x:v>NA</x:v>
      </x:c>
      <x:c r="N5" s="2" t="str">
        <x:v>37; 43; 198; 85; 13</x:v>
      </x:c>
      <x:c r="O5" s="2" t="str">
        <x:v>97; 205; 832; 547; 1979</x:v>
      </x:c>
      <x:c r="P5" s="2" t="str">
        <x:v>50; 707; 7610; 1295; 8240</x:v>
      </x:c>
      <x:c r="Q5" s="2" t="str">
        <x:v>NR</x:v>
      </x:c>
      <x:c r="R5" s="2" t="str">
        <x:v>NR</x:v>
      </x:c>
      <x:c r="S5" s="2" t="str">
        <x:v>Manually created by previous work and reviewed</x:v>
      </x:c>
      <x:c r="T5" s="2" t="str">
        <x:v>Reviewed and revised by the authors</x:v>
      </x:c>
      <x:c r="U5" s="2" t="str">
        <x:v>Multiple strengths</x:v>
      </x:c>
      <x:c r="V5" s="2" t="str">
        <x:v>No</x:v>
      </x:c>
      <x:c r="W5" s="2" t="str">
        <x:v>Precision; Recall; F1-score (micro and weighted average)</x:v>
      </x:c>
      <x:c r="X5" s="2" t="str">
        <x:v>trace link</x:v>
      </x:c>
      <x:c r="Y5" s="2" t="str">
        <x:v>No</x:v>
      </x:c>
      <x:c r="Z5" s="2" t="str">
        <x:v>NR</x:v>
      </x:c>
      <x:c r="AA5" s="2" t="str">
        <x:v>Wilcoxon signed-rank test (one-sided)</x:v>
      </x:c>
      <x:c r="AB5" s="2" t="str">
        <x:v>No</x:v>
      </x:c>
      <x:c r="AC5" s="2" t="str">
        <x:v>Yes</x:v>
      </x:c>
      <x:c r="AD5" s="2" t="str">
        <x:v>Yes, discussed construct, internal, external and reliability threats</x:v>
      </x:c>
      <x:c r="AE5" s="6" t="str">
        <x:v>p. 11; Section 5.3.1</x:v>
      </x:c>
      <x:c r="AF5" s="6" t="str">
        <x:v>Table 2 provides a detailed overview of the results.</x:v>
      </x:c>
      <x:c r="AG5" s="6" t="str">
        <x:v>EV1评估ExArch仅从SAD提取组件名称并与TransArC结合进行SAD-to-code TLR，使用公开基准并对比多个强弱基线。</x:v>
      </x:c>
      <x:c r="AH5" s="2" t="str">
        <x:v>Accepted</x:v>
      </x:c>
      <x:c r="AI5" s="6" t="str">
        <x:v>对应先前EV1单元。</x:v>
      </x:c>
    </x:row>
    <x:row r="6" ht="76" customHeight="1">
      <x:c r="A6" s="2" t="str">
        <x:v>S02-EVAL-R02</x:v>
      </x:c>
      <x:c r="B6" s="2" t="str">
        <x:v>S02</x:v>
      </x:c>
      <x:c r="C6" s="2" t="str">
        <x:v>merged_0007</x:v>
      </x:c>
      <x:c r="D6" s="2" t="str">
        <x:v>Reviewer_A</x:v>
      </x:c>
      <x:c r="E6" s="2" t="str">
        <x:v>Reviewer_A</x:v>
      </x:c>
      <x:c r="F6" s="2" t="str">
        <x:v>S02-EV02</x:v>
      </x:c>
      <x:c r="G6" s="2" t="str">
        <x:v>S02-T01</x:v>
      </x:c>
      <x:c r="H6" s="2" t="str">
        <x:v>Benchmark comparison</x:v>
      </x:c>
      <x:c r="I6" s="2" t="str">
        <x:v>Architecture Traceability Benchmark Original (MS, TS, TM, BBB, JR)</x:v>
      </x:c>
      <x:c r="J6" s="2" t="str">
        <x:v>Fuchß et al. [17], Keim et al. [32]</x:v>
      </x:c>
      <x:c r="K6" s="2" t="str">
        <x:v>Public</x:v>
      </x:c>
      <x:c r="L6" s="2" t="str">
        <x:v>Academic benchmark</x:v>
      </x:c>
      <x:c r="M6" s="2" t="str">
        <x:v>NA</x:v>
      </x:c>
      <x:c r="N6" s="2" t="str">
        <x:v>97; 205; 832; 547; 1979</x:v>
      </x:c>
      <x:c r="O6" s="2" t="str">
        <x:v>97; 205; 832; 547; 1979</x:v>
      </x:c>
      <x:c r="P6" s="2" t="str">
        <x:v>50; 707; 7610; 1295; 8240</x:v>
      </x:c>
      <x:c r="Q6" s="2" t="str">
        <x:v>NR</x:v>
      </x:c>
      <x:c r="R6" s="2" t="str">
        <x:v>NR</x:v>
      </x:c>
      <x:c r="S6" s="2" t="str">
        <x:v>Manually created by previous work and reviewed</x:v>
      </x:c>
      <x:c r="T6" s="2" t="str">
        <x:v>Reviewed and revised by the authors</x:v>
      </x:c>
      <x:c r="U6" s="2" t="str">
        <x:v>Multiple strengths</x:v>
      </x:c>
      <x:c r="V6" s="2" t="str">
        <x:v>No</x:v>
      </x:c>
      <x:c r="W6" s="2" t="str">
        <x:v>Precision; Recall; F1-score (micro and weighted average)</x:v>
      </x:c>
      <x:c r="X6" s="2" t="str">
        <x:v>trace link</x:v>
      </x:c>
      <x:c r="Y6" s="2" t="str">
        <x:v>No</x:v>
      </x:c>
      <x:c r="Z6" s="2" t="str">
        <x:v>NR</x:v>
      </x:c>
      <x:c r="AA6" s="2" t="str">
        <x:v>No</x:v>
      </x:c>
      <x:c r="AB6" s="2" t="str">
        <x:v>No</x:v>
      </x:c>
      <x:c r="AC6" s="2" t="str">
        <x:v>Yes</x:v>
      </x:c>
      <x:c r="AD6" s="2" t="str">
        <x:v>Yes, discussed in Section 5.5</x:v>
      </x:c>
      <x:c r="AE6" s="6" t="str">
        <x:v>p. 13; Section 5.3.2</x:v>
      </x:c>
      <x:c r="AF6" s="6" t="str">
        <x:v>Table 4 provides a detailed overview of the results.</x:v>
      </x:c>
      <x:c r="AG6" s="6" t="str">
        <x:v>EV2评估ExArch仅从源代码提取组件名称的模式，结果显示该模式平均性能低于仅使用SAD的模式。</x:v>
      </x:c>
      <x:c r="AH6" s="2" t="str">
        <x:v>Accepted</x:v>
      </x:c>
      <x:c r="AI6" s="6" t="str">
        <x:v>对应先前EV2单元。</x:v>
      </x:c>
    </x:row>
    <x:row r="7" ht="76" customHeight="1">
      <x:c r="A7" s="2" t="str">
        <x:v>S02-EVAL-R03</x:v>
      </x:c>
      <x:c r="B7" s="2" t="str">
        <x:v>S02</x:v>
      </x:c>
      <x:c r="C7" s="2" t="str">
        <x:v>merged_0007</x:v>
      </x:c>
      <x:c r="D7" s="2" t="str">
        <x:v>Reviewer_A</x:v>
      </x:c>
      <x:c r="E7" s="2" t="str">
        <x:v>Reviewer_A</x:v>
      </x:c>
      <x:c r="F7" s="2" t="str">
        <x:v>S02-EV03</x:v>
      </x:c>
      <x:c r="G7" s="2" t="str">
        <x:v>S02-T01</x:v>
      </x:c>
      <x:c r="H7" s="2" t="str">
        <x:v>Benchmark comparison</x:v>
      </x:c>
      <x:c r="I7" s="2" t="str">
        <x:v>Architecture Traceability Benchmark Original (MS, TS, TM, BBB, JR)</x:v>
      </x:c>
      <x:c r="J7" s="2" t="str">
        <x:v>Fuchß et al. [17], Keim et al. [32]</x:v>
      </x:c>
      <x:c r="K7" s="2" t="str">
        <x:v>Public</x:v>
      </x:c>
      <x:c r="L7" s="2" t="str">
        <x:v>Academic benchmark</x:v>
      </x:c>
      <x:c r="M7" s="2" t="str">
        <x:v>NA</x:v>
      </x:c>
      <x:c r="N7" s="2" t="str">
        <x:v>37; 43; 198; 85; 13  (SAD) and 97; 205; 832; 547; 1979 (code)</x:v>
      </x:c>
      <x:c r="O7" s="2" t="str">
        <x:v>97; 205; 832; 547; 1979</x:v>
      </x:c>
      <x:c r="P7" s="2" t="str">
        <x:v>50; 707; 7610; 1295; 8240</x:v>
      </x:c>
      <x:c r="Q7" s="2" t="str">
        <x:v>NR</x:v>
      </x:c>
      <x:c r="R7" s="2" t="str">
        <x:v>NR</x:v>
      </x:c>
      <x:c r="S7" s="2" t="str">
        <x:v>Manually created by previous work and reviewed</x:v>
      </x:c>
      <x:c r="T7" s="2" t="str">
        <x:v>Reviewed and revised by the authors</x:v>
      </x:c>
      <x:c r="U7" s="2" t="str">
        <x:v>Multiple strengths</x:v>
      </x:c>
      <x:c r="V7" s="2" t="str">
        <x:v>Yes, comparison of aggregation strategies (prompting vs. similarity)</x:v>
      </x:c>
      <x:c r="W7" s="2" t="str">
        <x:v>Precision; Recall; F1-score (micro and weighted average)</x:v>
      </x:c>
      <x:c r="X7" s="2" t="str">
        <x:v>trace link</x:v>
      </x:c>
      <x:c r="Y7" s="2" t="str">
        <x:v>No</x:v>
      </x:c>
      <x:c r="Z7" s="2" t="str">
        <x:v>NR</x:v>
      </x:c>
      <x:c r="AA7" s="2" t="str">
        <x:v>No</x:v>
      </x:c>
      <x:c r="AB7" s="2" t="str">
        <x:v>No</x:v>
      </x:c>
      <x:c r="AC7" s="2" t="str">
        <x:v>Yes</x:v>
      </x:c>
      <x:c r="AD7" s="2" t="str">
        <x:v>Yes, discussed in Section 5.5</x:v>
      </x:c>
      <x:c r="AE7" s="6" t="str">
        <x:v>p. 13; Section 5.3.3</x:v>
      </x:c>
      <x:c r="AF7" s="6" t="str">
        <x:v>We present our results in the second part of Table 5. The aggregation is better than the results when only code is used.</x:v>
      </x:c>
      <x:c r="AG7" s="6" t="str">
        <x:v>EV3评估ExArch同时使用SAD和源代码提取组件名称，测试了两种聚合策略（提示聚合和相似度聚合），发现聚合并未优于仅用SAD的模式。</x:v>
      </x:c>
      <x:c r="AH7" s="2" t="str">
        <x:v>Accepted</x:v>
      </x:c>
      <x:c r="AI7" s="6" t="str">
        <x:v>对应先前EV3单元。</x:v>
      </x:c>
    </x:row>
    <x:row r="8" ht="76" customHeight="1">
      <x:c r="A8" s="2" t="str">
        <x:v>S02-EVAL-R04</x:v>
      </x:c>
      <x:c r="B8" s="2" t="str">
        <x:v>S02</x:v>
      </x:c>
      <x:c r="C8" s="2" t="str">
        <x:v>merged_0007</x:v>
      </x:c>
      <x:c r="D8" s="2" t="str">
        <x:v>Reviewer_A</x:v>
      </x:c>
      <x:c r="E8" s="2" t="str">
        <x:v>Reviewer_A</x:v>
      </x:c>
      <x:c r="F8" s="2" t="str">
        <x:v>S02-EV04</x:v>
      </x:c>
      <x:c r="G8" s="2" t="str">
        <x:v>S02-T02</x:v>
      </x:c>
      <x:c r="H8" s="2" t="str">
        <x:v>Benchmark comparison</x:v>
      </x:c>
      <x:c r="I8" s="2" t="str">
        <x:v>Architecture Traceability Benchmark Revised (MS, TS, TM, BBB, JR)</x:v>
      </x:c>
      <x:c r="J8" s="2" t="str">
        <x:v>Fuchß et al. [17], Keim et al. [32], revised by authors</x:v>
      </x:c>
      <x:c r="K8" s="2" t="str">
        <x:v>Public</x:v>
      </x:c>
      <x:c r="L8" s="2" t="str">
        <x:v>Academic benchmark</x:v>
      </x:c>
      <x:c r="M8" s="2" t="str">
        <x:v>NA</x:v>
      </x:c>
      <x:c r="N8" s="2" t="str">
        <x:v>37; 43; 198; 87; 13</x:v>
      </x:c>
      <x:c r="O8" s="2" t="str">
        <x:v>14; 11; 8; 12; 6</x:v>
      </x:c>
      <x:c r="P8" s="2" t="str">
        <x:v>31; 27; 57; 62; 18</x:v>
      </x:c>
      <x:c r="Q8" s="2" t="str">
        <x:v>NR</x:v>
      </x:c>
      <x:c r="R8" s="2" t="str">
        <x:v>NR</x:v>
      </x:c>
      <x:c r="S8" s="2" t="str">
        <x:v>Manually created and revised by the authors</x:v>
      </x:c>
      <x:c r="T8" s="2" t="str">
        <x:v>Revised and extended by the authors after pre-study</x:v>
      </x:c>
      <x:c r="U8" s="2" t="str">
        <x:v>Strong</x:v>
      </x:c>
      <x:c r="V8" s="2" t="str">
        <x:v>No</x:v>
      </x:c>
      <x:c r="W8" s="2" t="str">
        <x:v>Precision; Recall; F1-score (micro and weighted average); standard deviation over 5 runs</x:v>
      </x:c>
      <x:c r="X8" s="2" t="str">
        <x:v>trace link</x:v>
      </x:c>
      <x:c r="Y8" s="2" t="str">
        <x:v>No</x:v>
      </x:c>
      <x:c r="Z8" s="2" t="str">
        <x:v>NR</x:v>
      </x:c>
      <x:c r="AA8" s="2" t="str">
        <x:v>No</x:v>
      </x:c>
      <x:c r="AB8" s="2" t="str">
        <x:v>Yes, standard deviation reported</x:v>
      </x:c>
      <x:c r="AC8" s="2" t="str">
        <x:v>No</x:v>
      </x:c>
      <x:c r="AD8" s="2" t="str">
        <x:v>Yes, discussed in Section 5.5</x:v>
      </x:c>
      <x:c r="AE8" s="6" t="str">
        <x:v>p. 18; Section 5.4.2</x:v>
      </x:c>
      <x:c r="AF8" s="6" t="str">
        <x:v>Table 8 shows the results of our evaluation.</x:v>
      </x:c>
      <x:c r="AG8" s="6" t="str">
        <x:v>EV4评估ArTEMiS在SAD到SAM追踪链接恢复上的表现，对比强基线SWATTR，并报告多次运行的均值和标准差。</x:v>
      </x:c>
      <x:c r="AH8" s="2" t="str">
        <x:v>Accepted</x:v>
      </x:c>
      <x:c r="AI8" s="6" t="str">
        <x:v>对应先前EV4单元。</x:v>
      </x:c>
    </x:row>
    <x:row r="9" ht="76" customHeight="1">
      <x:c r="A9" s="2" t="str">
        <x:v>S02-EVAL-R05</x:v>
      </x:c>
      <x:c r="B9" s="2" t="str">
        <x:v>S02</x:v>
      </x:c>
      <x:c r="C9" s="2" t="str">
        <x:v>merged_0007</x:v>
      </x:c>
      <x:c r="D9" s="2" t="str">
        <x:v>Reviewer_A</x:v>
      </x:c>
      <x:c r="E9" s="2" t="str">
        <x:v>Reviewer_A</x:v>
      </x:c>
      <x:c r="F9" s="2" t="str">
        <x:v>S02-EV05</x:v>
      </x:c>
      <x:c r="G9" s="2" t="str">
        <x:v>S02-T03</x:v>
      </x:c>
      <x:c r="H9" s="2" t="str">
        <x:v>Benchmark comparison</x:v>
      </x:c>
      <x:c r="I9" s="2" t="str">
        <x:v>Architecture Traceability Benchmark Revised (MS, TS, TM, BBB, JR)</x:v>
      </x:c>
      <x:c r="J9" s="2" t="str">
        <x:v>Fuchß et al. [17], Keim et al. [32], revised by authors</x:v>
      </x:c>
      <x:c r="K9" s="2" t="str">
        <x:v>Public</x:v>
      </x:c>
      <x:c r="L9" s="2" t="str">
        <x:v>Academic benchmark</x:v>
      </x:c>
      <x:c r="M9" s="2" t="str">
        <x:v>NA</x:v>
      </x:c>
      <x:c r="N9" s="2" t="str">
        <x:v>37; 43; 198; 87; 13</x:v>
      </x:c>
      <x:c r="O9" s="2" t="str">
        <x:v>97; 205; 832; 547; 1979</x:v>
      </x:c>
      <x:c r="P9" s="2" t="str">
        <x:v>59; 707; 8097; 1529; 8268</x:v>
      </x:c>
      <x:c r="Q9" s="2" t="str">
        <x:v>NR</x:v>
      </x:c>
      <x:c r="R9" s="2" t="str">
        <x:v>NR</x:v>
      </x:c>
      <x:c r="S9" s="2" t="str">
        <x:v>Manually created and revised by the authors</x:v>
      </x:c>
      <x:c r="T9" s="2" t="str">
        <x:v>Revised after pre-study</x:v>
      </x:c>
      <x:c r="U9" s="2" t="str">
        <x:v>Multiple strengths</x:v>
      </x:c>
      <x:c r="V9" s="2" t="str">
        <x:v>Yes, compares configurations with/without ArTEMiS, with/without ExArch</x:v>
      </x:c>
      <x:c r="W9" s="2" t="str">
        <x:v>Precision; Recall; F1-score (micro and weighted average); standard deviation over 5 runs for configurations involving ArTEMiS</x:v>
      </x:c>
      <x:c r="X9" s="2" t="str">
        <x:v>trace link</x:v>
      </x:c>
      <x:c r="Y9" s="2" t="str">
        <x:v>No</x:v>
      </x:c>
      <x:c r="Z9" s="2" t="str">
        <x:v>NR</x:v>
      </x:c>
      <x:c r="AA9" s="2" t="str">
        <x:v>No</x:v>
      </x:c>
      <x:c r="AB9" s="2" t="str">
        <x:v>Yes, standard deviation reported for ArTEMiS-including configurations</x:v>
      </x:c>
      <x:c r="AC9" s="2" t="str">
        <x:v>No</x:v>
      </x:c>
      <x:c r="AD9" s="2" t="str">
        <x:v>Yes, discussed in Section 5.5</x:v>
      </x:c>
      <x:c r="AE9" s="6" t="str">
        <x:v>p. 20; Section 5.4.3</x:v>
      </x:c>
      <x:c r="AF9" s="6" t="str">
        <x:v>We present the results of our evaluation on SAD to code TLR in Table 9.</x:v>
      </x:c>
      <x:c r="AG9" s="6" t="str">
        <x:v>EV5评估将ArTEMiS和ExArch集成进TransArC进行SAD-to-code TLR的多种配置，对比原始TransArC和无SAM基线。</x:v>
      </x:c>
      <x:c r="AH9" s="2" t="str">
        <x:v>Accepted</x:v>
      </x:c>
      <x:c r="AI9" s="6" t="str">
        <x:v>对应先前EV5单元。</x:v>
      </x:c>
    </x:row>
    <x:row r="10" ht="76" customHeight="1">
      <x:c r="A10" s="2" t="str">
        <x:v>S03-EVAL-R01</x:v>
      </x:c>
      <x:c r="B10" s="2" t="str">
        <x:v>S03</x:v>
      </x:c>
      <x:c r="C10" s="2" t="str">
        <x:v>merged_0014</x:v>
      </x:c>
      <x:c r="D10" s="2" t="str">
        <x:v>Reviewer_A</x:v>
      </x:c>
      <x:c r="E10" s="2" t="str">
        <x:v>Reviewer_A</x:v>
      </x:c>
      <x:c r="F10" s="2" t="str">
        <x:v>S03-EV01</x:v>
      </x:c>
      <x:c r="G10" s="2" t="str">
        <x:v>S03-T01</x:v>
      </x:c>
      <x:c r="H10" s="2" t="str">
        <x:v>Benchmark comparison</x:v>
      </x:c>
      <x:c r="I10" s="2" t="str">
        <x:v>JAllInOne sales module + ERP domain model (Sales subdomain)</x:v>
      </x:c>
      <x:c r="J10" s="2" t="str">
        <x:v>[4] and [11]</x:v>
      </x:c>
      <x:c r="K10" s="2" t="str">
        <x:v>Public</x:v>
      </x:c>
      <x:c r="L10" s="2" t="str">
        <x:v>Open-source project</x:v>
      </x:c>
      <x:c r="M10" s="2" t="str">
        <x:v>NR</x:v>
      </x:c>
      <x:c r="N10" s="2" t="n">
        <x:v>18</x:v>
      </x:c>
      <x:c r="O10" s="2" t="n">
        <x:v>40</x:v>
      </x:c>
      <x:c r="P10" s="2" t="n">
        <x:v>14</x:v>
      </x:c>
      <x:c r="Q10" s="2" t="str">
        <x:v>NA</x:v>
      </x:c>
      <x:c r="R10" s="2" t="str">
        <x:v>NA</x:v>
      </x:c>
      <x:c r="S10" s="2" t="str">
        <x:v>Provided by baseline work [11] (manual)</x:v>
      </x:c>
      <x:c r="T10" s="2" t="str">
        <x:v>Manually created by domain experts</x:v>
      </x:c>
      <x:c r="U10" s="2" t="str">
        <x:v>Multiple strengths</x:v>
      </x:c>
      <x:c r="V10" s="2" t="str">
        <x:v>Technical Intents, with/without optimization, with/without expert feedback</x:v>
      </x:c>
      <x:c r="W10" s="2" t="str">
        <x:v>Precision; Service-Level Recall; F1 Score</x:v>
      </x:c>
      <x:c r="X10" s="2" t="str">
        <x:v>trace link</x:v>
      </x:c>
      <x:c r="Y10" s="2" t="str">
        <x:v>No</x:v>
      </x:c>
      <x:c r="Z10" s="2" t="str">
        <x:v>No</x:v>
      </x:c>
      <x:c r="AA10" s="2" t="str">
        <x:v>No</x:v>
      </x:c>
      <x:c r="AB10" s="2" t="str">
        <x:v>No</x:v>
      </x:c>
      <x:c r="AC10" s="2" t="str">
        <x:v>No</x:v>
      </x:c>
      <x:c r="AD10" s="2" t="str">
        <x:v>No</x:v>
      </x:c>
      <x:c r="AE10" s="6" t="str">
        <x:v>p. 4; Section 5.1</x:v>
      </x:c>
      <x:c r="AF10" s="6" t="str">
        <x:v>We selected the JAllInOne [4] application and the ERP textual domain model provided by [11] as a case study. JAllInOne is an opensource, Java-based ERP application. We compiled a dataset of 40 application classes with "Action" as a keyword in class name from</x:v>
      </x:c>
      <x:c r="AG10" s="6" t="str">
        <x:v>在开源ERP系统JAllInOne销售模块上，使用来自基线工作的真实匹配作为金标准，对比多种方法（包括基线、技术意图、领域意图及优化变体）的匹配性能，属于基准比对评估设计。</x:v>
      </x:c>
      <x:c r="AH10" s="2" t="str">
        <x:v>Accepted</x:v>
      </x:c>
      <x:c r="AI10" s="6" t="str">
        <x:v>NA</x:v>
      </x:c>
    </x:row>
    <x:row r="11" ht="76" customHeight="1">
      <x:c r="A11" s="2" t="str">
        <x:v>S04-EVAL-R01</x:v>
      </x:c>
      <x:c r="B11" s="2" t="str">
        <x:v>S04</x:v>
      </x:c>
      <x:c r="C11" s="2" t="str">
        <x:v>merged_0075</x:v>
      </x:c>
      <x:c r="D11" s="2" t="str">
        <x:v>Reviewer_A</x:v>
      </x:c>
      <x:c r="E11" s="2" t="str">
        <x:v>Reviewer_A</x:v>
      </x:c>
      <x:c r="F11" s="2" t="str">
        <x:v>S04-EV01</x:v>
      </x:c>
      <x:c r="G11" s="2" t="str">
        <x:v>S04-T01</x:v>
      </x:c>
      <x:c r="H11" s="2" t="str">
        <x:v>Benchmark comparison</x:v>
      </x:c>
      <x:c r="I11" s="2" t="str">
        <x:v>Virtual Interior Design App</x:v>
      </x:c>
      <x:c r="J11" s="2" t="str">
        <x:v>Developed by undergraduate students in a RE course, described in the paper</x:v>
      </x:c>
      <x:c r="K11" s="2" t="str">
        <x:v>Public</x:v>
      </x:c>
      <x:c r="L11" s="2" t="str">
        <x:v>Academic benchmark</x:v>
      </x:c>
      <x:c r="M11" s="2" t="str">
        <x:v>NA</x:v>
      </x:c>
      <x:c r="N11" s="2" t="n">
        <x:v>42</x:v>
      </x:c>
      <x:c r="O11" s="2" t="n">
        <x:v>37</x:v>
      </x:c>
      <x:c r="P11" s="2" t="n">
        <x:v>14</x:v>
      </x:c>
      <x:c r="Q11" s="2" t="str">
        <x:v>NA</x:v>
      </x:c>
      <x:c r="R11" s="2" t="str">
        <x:v>NA</x:v>
      </x:c>
      <x:c r="S11" s="2" t="str">
        <x:v>Author manually identified correct links based on domain knowledge and verified with GPT query</x:v>
      </x:c>
      <x:c r="T11" s="2" t="str">
        <x:v>Unclear</x:v>
      </x:c>
      <x:c r="U11" s="2" t="str">
        <x:v>None</x:v>
      </x:c>
      <x:c r="V11" s="2" t="str">
        <x:v>No</x:v>
      </x:c>
      <x:c r="W11" s="2" t="str">
        <x:v>Precision;Recall;F1-score</x:v>
      </x:c>
      <x:c r="X11" s="2" t="str">
        <x:v>trace link</x:v>
      </x:c>
      <x:c r="Y11" s="2" t="str">
        <x:v>No</x:v>
      </x:c>
      <x:c r="Z11" s="2" t="str">
        <x:v>No</x:v>
      </x:c>
      <x:c r="AA11" s="2" t="str">
        <x:v>No</x:v>
      </x:c>
      <x:c r="AB11" s="2" t="str">
        <x:v>No</x:v>
      </x:c>
      <x:c r="AC11" s="2" t="str">
        <x:v>Listed 3 missed links but no systematic error analysis</x:v>
      </x:c>
      <x:c r="AD11" s="2" t="str">
        <x:v>Discussed threats to validity but no specific control measures</x:v>
      </x:c>
      <x:c r="AE11" s="6" t="str">
        <x:v>p. 5; Sections 5.1 and 5.2</x:v>
      </x:c>
      <x:c r="AF11" s="6" t="str">
        <x:v>We have applied our approach and tool to the TGRL specification of the Virtual Interior Design GRL model</x:v>
      </x:c>
      <x:c r="AG11" s="6" t="str">
        <x:v>评估采用单一的学术案例，通过对比生成的链接与人工标注的链接，计算精确率、召回率和F1分数，但未使用基线对比，且数据集完全公开在论文中。</x:v>
      </x:c>
      <x:c r="AH11" s="2" t="str">
        <x:v>Accepted</x:v>
      </x:c>
      <x:c r="AI11" s="6" t="str">
        <x:v>NR</x:v>
      </x:c>
    </x:row>
    <x:row r="12" ht="76" customHeight="1">
      <x:c r="A12" s="2" t="str">
        <x:v>S05-EVAL-R01</x:v>
      </x:c>
      <x:c r="B12" s="2" t="str">
        <x:v>S05</x:v>
      </x:c>
      <x:c r="C12" s="2" t="str">
        <x:v>merged_0077</x:v>
      </x:c>
      <x:c r="D12" s="2" t="str">
        <x:v>Reviewer_A</x:v>
      </x:c>
      <x:c r="E12" s="2" t="str">
        <x:v>Reviewer_A</x:v>
      </x:c>
      <x:c r="F12" s="2" t="str">
        <x:v>S05-EV01</x:v>
      </x:c>
      <x:c r="G12" s="2" t="str">
        <x:v>S05-T01</x:v>
      </x:c>
      <x:c r="H12" s="2" t="str">
        <x:v>Benchmark comparison</x:v>
      </x:c>
      <x:c r="I12" s="2" t="str">
        <x:v>Crawl4AI and Unity Catalog</x:v>
      </x:c>
      <x:c r="J12" s="2" t="str">
        <x:v>Created by the authors from two open-source projects (Unity Catalog, Crawl4AI), publicly available in replication package.</x:v>
      </x:c>
      <x:c r="K12" s="2" t="str">
        <x:v>Public</x:v>
      </x:c>
      <x:c r="L12" s="2" t="str">
        <x:v>Open-source project</x:v>
      </x:c>
      <x:c r="M12" s="2" t="str">
        <x:v>NA</x:v>
      </x:c>
      <x:c r="N12" s="2" t="n">
        <x:v>144</x:v>
      </x:c>
      <x:c r="O12" s="2" t="n">
        <x:v>105</x:v>
      </x:c>
      <x:c r="P12" s="2" t="n">
        <x:v>800</x:v>
      </x:c>
      <x:c r="Q12" s="2" t="str">
        <x:v>NA</x:v>
      </x:c>
      <x:c r="R12" s="2" t="str">
        <x:v>NA</x:v>
      </x:c>
      <x:c r="S12" s="2" t="str">
        <x:v>Manual annotation by first and second authors</x:v>
      </x:c>
      <x:c r="T12" s="2" t="str">
        <x:v>Cohen's κ=0.94 inter-rater agreement; manual verification pass</x:v>
      </x:c>
      <x:c r="U12" s="2" t="str">
        <x:v>Multiple strengths</x:v>
      </x:c>
      <x:c r="V12" s="2" t="str">
        <x:v>Yes, effect of matching strategy (one-to-many vs many-to-many) and additional context (file-context vs segment-only) evaluated in Section 7.</x:v>
      </x:c>
      <x:c r="W12" s="2" t="str">
        <x:v>Precision; Recall; F1</x:v>
      </x:c>
      <x:c r="X12" s="2" t="str">
        <x:v>trace link</x:v>
      </x:c>
      <x:c r="Y12" s="2" t="str">
        <x:v>No</x:v>
      </x:c>
      <x:c r="Z12" s="2" t="str">
        <x:v>Yes, projects selected were created after May 2024, after LLM knowledge cutoffs (latest April 2024).</x:v>
      </x:c>
      <x:c r="AA12" s="2" t="str">
        <x:v>Scott-Knott ESD test for ranking</x:v>
      </x:c>
      <x:c r="AB12" s="2" t="str">
        <x:v>No</x:v>
      </x:c>
      <x:c r="AC12" s="2" t="str">
        <x:v>Yes, manual categorization of false positives into IAE, PAL, APB, IOL; quantitative analysis of false negatives by document characteristics.</x:v>
      </x:c>
      <x:c r="AD12" s="2" t="str">
        <x:v>Discussed internal validity threats (ground-truth subjectivity, LLM non-determinism, prompt variations).</x:v>
      </x:c>
      <x:c r="AE12" s="6" t="str">
        <x:v>p. 16; Section 4.2</x:v>
      </x:c>
      <x:c r="AF12" s="6" t="str">
        <x:v>We assessed the overall accuracy of trace link identification using standard Information Retrieval metrics: Precision, Recall, and F1-score.</x:v>
      </x:c>
      <x:c r="AG12" s="6" t="str">
        <x:v>EV1是针对RQ1的基准对比实验，使用作者构建的两个数据集和三个传统基线，采用多次随机重复、Scott-Knott统计检验，并提供了详细的错误分析。</x:v>
      </x:c>
      <x:c r="AH12" s="2" t="str">
        <x:v>Accepted</x:v>
      </x:c>
      <x:c r="AI12" s="6" t="str">
        <x:v>NA</x:v>
      </x:c>
    </x:row>
    <x:row r="13" ht="76" customHeight="1">
      <x:c r="A13" s="2" t="str">
        <x:v>S05-EVAL-R02</x:v>
      </x:c>
      <x:c r="B13" s="2" t="str">
        <x:v>S05</x:v>
      </x:c>
      <x:c r="C13" s="2" t="str">
        <x:v>merged_0077</x:v>
      </x:c>
      <x:c r="D13" s="2" t="str">
        <x:v>Reviewer_A</x:v>
      </x:c>
      <x:c r="E13" s="2" t="str">
        <x:v>Reviewer_A</x:v>
      </x:c>
      <x:c r="F13" s="2" t="str">
        <x:v>S05-EV02</x:v>
      </x:c>
      <x:c r="G13" s="2" t="str">
        <x:v>S05-T02</x:v>
      </x:c>
      <x:c r="H13" s="2" t="str">
        <x:v>Benchmark comparison</x:v>
      </x:c>
      <x:c r="I13" s="2" t="str">
        <x:v>Crawl4AI and Unity Catalog</x:v>
      </x:c>
      <x:c r="J13" s="2" t="str">
        <x:v>Same as EV1 (subset of correctly predicted links from RQ1).</x:v>
      </x:c>
      <x:c r="K13" s="2" t="str">
        <x:v>Public</x:v>
      </x:c>
      <x:c r="L13" s="2" t="str">
        <x:v>Open-source project</x:v>
      </x:c>
      <x:c r="M13" s="2" t="str">
        <x:v>NA</x:v>
      </x:c>
      <x:c r="N13" s="2" t="n">
        <x:v>144</x:v>
      </x:c>
      <x:c r="O13" s="2" t="n">
        <x:v>105</x:v>
      </x:c>
      <x:c r="P13" s="2" t="str">
        <x:v>NR</x:v>
      </x:c>
      <x:c r="Q13" s="2" t="str">
        <x:v>NA</x:v>
      </x:c>
      <x:c r="R13" s="2" t="str">
        <x:v>NA</x:v>
      </x:c>
      <x:c r="S13" s="2" t="str">
        <x:v>Manual annotation (same as EV1)</x:v>
      </x:c>
      <x:c r="T13" s="2" t="str">
        <x:v>Manual verification of a representative subset of LLM judge evaluations</x:v>
      </x:c>
      <x:c r="U13" s="2" t="str">
        <x:v>NA</x:v>
      </x:c>
      <x:c r="V13" s="2" t="str">
        <x:v>No</x:v>
      </x:c>
      <x:c r="W13" s="2" t="str">
        <x:v>Strict Accuracy; Relaxed Accuracy</x:v>
      </x:c>
      <x:c r="X13" s="2" t="str">
        <x:v>trace link</x:v>
      </x:c>
      <x:c r="Y13" s="2" t="str">
        <x:v>Manual verification of a subset of LLM-as-judge classifications</x:v>
      </x:c>
      <x:c r="Z13" s="2" t="str">
        <x:v>Yes, same as EV1</x:v>
      </x:c>
      <x:c r="AA13" s="2" t="str">
        <x:v>None</x:v>
      </x:c>
      <x:c r="AB13" s="2" t="str">
        <x:v>No</x:v>
      </x:c>
      <x:c r="AC13" s="2" t="str">
        <x:v>Yes, error patterns (Missing Key Details, Incomplete Explanation, etc.) identified and summarized in Table 6.</x:v>
      </x:c>
      <x:c r="AD13" s="2" t="str">
        <x:v>Discussed construct validity of explanation categories.</x:v>
      </x:c>
      <x:c r="AE13" s="6" t="str">
        <x:v>p. 14; Section 3.4 and Section 5.2</x:v>
      </x:c>
      <x:c r="AF13" s="6" t="str">
        <x:v>For RQ2, we evaluated the quality of relationship explanations</x:v>
      </x:c>
      <x:c r="AG13" s="6" t="str">
        <x:v>EV2通过LLM-as-judge方法评估解释质量，并使用人工验证子集确保可靠性，指标为严格准确率和放松准确率。</x:v>
      </x:c>
      <x:c r="AH13" s="2" t="str">
        <x:v>Accepted</x:v>
      </x:c>
      <x:c r="AI13" s="6" t="str">
        <x:v>true_link_count设为NR，因为该评估仅使用RQ1中被正确预测的链接（True Positives），数量随模型和运行变化，未报告唯一真值数量。</x:v>
      </x:c>
    </x:row>
    <x:row r="14" ht="76" customHeight="1">
      <x:c r="A14" s="2" t="str">
        <x:v>S05-EVAL-R03</x:v>
      </x:c>
      <x:c r="B14" s="2" t="str">
        <x:v>S05</x:v>
      </x:c>
      <x:c r="C14" s="2" t="str">
        <x:v>merged_0077</x:v>
      </x:c>
      <x:c r="D14" s="2" t="str">
        <x:v>Reviewer_A</x:v>
      </x:c>
      <x:c r="E14" s="2" t="str">
        <x:v>Reviewer_A</x:v>
      </x:c>
      <x:c r="F14" s="2" t="str">
        <x:v>S05-EV03</x:v>
      </x:c>
      <x:c r="G14" s="2" t="str">
        <x:v>S05-T03</x:v>
      </x:c>
      <x:c r="H14" s="2" t="str">
        <x:v>Benchmark comparison</x:v>
      </x:c>
      <x:c r="I14" s="2" t="str">
        <x:v>Crawl4AI and Unity Catalog</x:v>
      </x:c>
      <x:c r="J14" s="2" t="str">
        <x:v>Same as EV1 (chains based on RQ1 true positives).</x:v>
      </x:c>
      <x:c r="K14" s="2" t="str">
        <x:v>Public</x:v>
      </x:c>
      <x:c r="L14" s="2" t="str">
        <x:v>Open-source project</x:v>
      </x:c>
      <x:c r="M14" s="2" t="str">
        <x:v>NA</x:v>
      </x:c>
      <x:c r="N14" s="2" t="n">
        <x:v>144</x:v>
      </x:c>
      <x:c r="O14" s="2" t="n">
        <x:v>105</x:v>
      </x:c>
      <x:c r="P14" s="2" t="str">
        <x:v>NR</x:v>
      </x:c>
      <x:c r="Q14" s="2" t="str">
        <x:v>NA</x:v>
      </x:c>
      <x:c r="R14" s="2" t="str">
        <x:v>NA</x:v>
      </x:c>
      <x:c r="S14" s="2" t="str">
        <x:v>Manual annotation of trace chains</x:v>
      </x:c>
      <x:c r="T14" s="2" t="str">
        <x:v>Same inter-rater agreement (κ=0.94) as EV1</x:v>
      </x:c>
      <x:c r="U14" s="2" t="str">
        <x:v>NA</x:v>
      </x:c>
      <x:c r="V14" s="2" t="str">
        <x:v>No</x:v>
      </x:c>
      <x:c r="W14" s="2" t="str">
        <x:v>Complete Match; Partial Match (Intermediate); Partial Match (Prefix); Partial Match (Suffix); Incorrect</x:v>
      </x:c>
      <x:c r="X14" s="2" t="str">
        <x:v>trace link</x:v>
      </x:c>
      <x:c r="Y14" s="2" t="str">
        <x:v>No</x:v>
      </x:c>
      <x:c r="Z14" s="2" t="str">
        <x:v>Yes, same as EV1</x:v>
      </x:c>
      <x:c r="AA14" s="2" t="str">
        <x:v>None</x:v>
      </x:c>
      <x:c r="AB14" s="2" t="str">
        <x:v>No</x:v>
      </x:c>
      <x:c r="AC14" s="2" t="str">
        <x:v>Yes, interior error patterns (Extended, Shortened, Substituted) analyzed.</x:v>
      </x:c>
      <x:c r="AD14" s="2" t="str">
        <x:v>Discussed construct validity of chain correctness.</x:v>
      </x:c>
      <x:c r="AE14" s="6" t="str">
        <x:v>p. 23; Section 6.2</x:v>
      </x:c>
      <x:c r="AF14" s="6" t="str">
        <x:v>paring them against ground truth chains. We evaluate trace chains using a structured classification • Complete Match: Chain completely matches the ground truth,</x:v>
      </x:c>
      <x:c r="AG14" s="6" t="str">
        <x:v>EV3评估LLM重建多步追溯链的能力，将其与真实链比较并分类匹配程度。</x:v>
      </x:c>
      <x:c r="AH14" s="2" t="str">
        <x:v>Accepted</x:v>
      </x:c>
      <x:c r="AI14" s="6" t="str">
        <x:v>true_link_count设为NR，原因同EV2。</x:v>
      </x:c>
    </x:row>
    <x:row r="15" ht="76" customHeight="1">
      <x:c r="A15" s="2" t="str">
        <x:v>S06-EVAL-R01</x:v>
      </x:c>
      <x:c r="B15" s="2" t="str">
        <x:v>S06</x:v>
      </x:c>
      <x:c r="C15" s="2" t="str">
        <x:v>merged_0079</x:v>
      </x:c>
      <x:c r="D15" s="2" t="str">
        <x:v>Reviewer_A</x:v>
      </x:c>
      <x:c r="E15" s="2" t="str">
        <x:v>Reviewer_A</x:v>
      </x:c>
      <x:c r="F15" s="2" t="str">
        <x:v>S06-EV01</x:v>
      </x:c>
      <x:c r="G15" s="2" t="str">
        <x:v>S06-T01</x:v>
      </x:c>
      <x:c r="H15" s="2" t="str">
        <x:v>Benchmark comparison</x:v>
      </x:c>
      <x:c r="I15" s="2" t="str">
        <x:v>EALink dataset (six Apache projects)</x:v>
      </x:c>
      <x:c r="J15" s="2" t="str">
        <x:v>from EALink [23]</x:v>
      </x:c>
      <x:c r="K15" s="2" t="str">
        <x:v>Public</x:v>
      </x:c>
      <x:c r="L15" s="2" t="str">
        <x:v>Academic benchmark</x:v>
      </x:c>
      <x:c r="M15" s="2" t="str">
        <x:v>NA</x:v>
      </x:c>
      <x:c r="N15" s="2" t="str">
        <x:v>NR</x:v>
      </x:c>
      <x:c r="O15" s="2" t="str">
        <x:v>NR</x:v>
      </x:c>
      <x:c r="P15" s="2" t="str">
        <x:v>NR</x:v>
      </x:c>
      <x:c r="Q15" s="2" t="str">
        <x:v>NA</x:v>
      </x:c>
      <x:c r="R15" s="2" t="str">
        <x:v>NA</x:v>
      </x:c>
      <x:c r="S15" s="2" t="str">
        <x:v>commit message includes issue key (heuristic)</x:v>
      </x:c>
      <x:c r="T15" s="2" t="str">
        <x:v>adjusted by LinkAnchor to take the latest resolving commit</x:v>
      </x:c>
      <x:c r="U15" s="2" t="str">
        <x:v>Multiple strengths</x:v>
      </x:c>
      <x:c r="V15" s="2" t="str">
        <x:v>No</x:v>
      </x:c>
      <x:c r="W15" s="2" t="str">
        <x:v>Hit@1; Hit@10</x:v>
      </x:c>
      <x:c r="X15" s="2" t="str">
        <x:v>artifact</x:v>
      </x:c>
      <x:c r="Y15" s="2" t="str">
        <x:v>No</x:v>
      </x:c>
      <x:c r="Z15" s="2" t="str">
        <x:v>No</x:v>
      </x:c>
      <x:c r="AA15" s="2" t="str">
        <x:v>No</x:v>
      </x:c>
      <x:c r="AB15" s="2" t="str">
        <x:v>Average over three runs, no confidence interval</x:v>
      </x:c>
      <x:c r="AC15" s="2" t="str">
        <x:v>No</x:v>
      </x:c>
      <x:c r="AD15" s="2" t="str">
        <x:v>discussed in Section VI-A</x:v>
      </x:c>
      <x:c r="AE15" s="6" t="str">
        <x:v>p. 7; Section V-A 2)</x:v>
      </x:c>
      <x:c r="AF15" s="6" t="str">
        <x:v>We used the metrics that are presented in EALink [23] for evaluation. In particular, EALink uses the Hit@K metric, which measures the probability that the correct commit appears within the top K candidate relevant commits for a given issue.</x:v>
      </x:c>
      <x:c r="AG15" s="6" t="str">
        <x:v>在六个Apache项目上，将LinkAnchor与四个基线方法进行基准比较，使用Hit@1和Hit@10指标，报告三次重复的平均值。</x:v>
      </x:c>
      <x:c r="AH15" s="2" t="str">
        <x:v>Accepted</x:v>
      </x:c>
      <x:c r="AI15" s="6" t="str">
        <x:v>NA</x:v>
      </x:c>
    </x:row>
    <x:row r="16" ht="76" customHeight="1">
      <x:c r="A16" s="2" t="str">
        <x:v>S06-EVAL-R02</x:v>
      </x:c>
      <x:c r="B16" s="2" t="str">
        <x:v>S06</x:v>
      </x:c>
      <x:c r="C16" s="2" t="str">
        <x:v>merged_0079</x:v>
      </x:c>
      <x:c r="D16" s="2" t="str">
        <x:v>Reviewer_A</x:v>
      </x:c>
      <x:c r="E16" s="2" t="str">
        <x:v>Reviewer_A</x:v>
      </x:c>
      <x:c r="F16" s="2" t="str">
        <x:v>S06-EV02</x:v>
      </x:c>
      <x:c r="G16" s="2" t="str">
        <x:v>S06-T01</x:v>
      </x:c>
      <x:c r="H16" s="2" t="str">
        <x:v>Demonstration</x:v>
      </x:c>
      <x:c r="I16" s="2" t="str">
        <x:v>120 GitHub issues from six repositories (post Oct 2023)</x:v>
      </x:c>
      <x:c r="J16" s="2" t="str">
        <x:v>collected by authors</x:v>
      </x:c>
      <x:c r="K16" s="2" t="str">
        <x:v>NR</x:v>
      </x:c>
      <x:c r="L16" s="2" t="str">
        <x:v>Open-source project</x:v>
      </x:c>
      <x:c r="M16" s="2" t="str">
        <x:v>NA</x:v>
      </x:c>
      <x:c r="N16" s="2" t="n">
        <x:v>120</x:v>
      </x:c>
      <x:c r="O16" s="2" t="str">
        <x:v>NR</x:v>
      </x:c>
      <x:c r="P16" s="2" t="n">
        <x:v>120</x:v>
      </x:c>
      <x:c r="Q16" s="2" t="str">
        <x:v>NA</x:v>
      </x:c>
      <x:c r="R16" s="2" t="str">
        <x:v>NA</x:v>
      </x:c>
      <x:c r="S16" s="2" t="str">
        <x:v>GitHub issue closing commits</x:v>
      </x:c>
      <x:c r="T16" s="2" t="str">
        <x:v>NR</x:v>
      </x:c>
      <x:c r="U16" s="2" t="str">
        <x:v>NA</x:v>
      </x:c>
      <x:c r="V16" s="2" t="str">
        <x:v>No</x:v>
      </x:c>
      <x:c r="W16" s="2" t="str">
        <x:v>Hit@1</x:v>
      </x:c>
      <x:c r="X16" s="2" t="str">
        <x:v>artifact</x:v>
      </x:c>
      <x:c r="Y16" s="2" t="str">
        <x:v>No</x:v>
      </x:c>
      <x:c r="Z16" s="2" t="str">
        <x:v>Yes, issues resolved after Oct 2023 (LLM training cutoff)</x:v>
      </x:c>
      <x:c r="AA16" s="2" t="str">
        <x:v>No</x:v>
      </x:c>
      <x:c r="AB16" s="2" t="str">
        <x:v>No</x:v>
      </x:c>
      <x:c r="AC16" s="2" t="str">
        <x:v>No</x:v>
      </x:c>
      <x:c r="AD16" s="2" t="str">
        <x:v>No</x:v>
      </x:c>
      <x:c r="AE16" s="6" t="str">
        <x:v>p. 8; Section V-B 1)</x:v>
      </x:c>
      <x:c r="AF16" s="6" t="str">
        <x:v>to eliminate any risk of data leakage, we prepare a dataset of 120 randomly selected issues from six different repositories (20 issues from each), where the issue resolution and commit times for all issues occur after October 2023.</x:v>
      </x:c>
      <x:c r="AG16" s="6" t="str">
        <x:v>在没有基线的六个新GitHub仓库上展示LinkAnchor的泛化能力，仅报告Hit@1。</x:v>
      </x:c>
      <x:c r="AH16" s="2" t="str">
        <x:v>Accepted</x:v>
      </x:c>
      <x:c r="AI16" s="6" t="str">
        <x:v>NA</x:v>
      </x:c>
    </x:row>
    <x:row r="17" ht="76" customHeight="1">
      <x:c r="A17" s="2" t="str">
        <x:v>S06-EVAL-R03</x:v>
      </x:c>
      <x:c r="B17" s="2" t="str">
        <x:v>S06</x:v>
      </x:c>
      <x:c r="C17" s="2" t="str">
        <x:v>merged_0079</x:v>
      </x:c>
      <x:c r="D17" s="2" t="str">
        <x:v>Reviewer_A</x:v>
      </x:c>
      <x:c r="E17" s="2" t="str">
        <x:v>Reviewer_A</x:v>
      </x:c>
      <x:c r="F17" s="2" t="str">
        <x:v>S06-EV03</x:v>
      </x:c>
      <x:c r="G17" s="2" t="str">
        <x:v>S06-T01</x:v>
      </x:c>
      <x:c r="H17" s="2" t="str">
        <x:v>Demonstration</x:v>
      </x:c>
      <x:c r="I17" s="2" t="str">
        <x:v>EALink dataset (six Apache projects)</x:v>
      </x:c>
      <x:c r="J17" s="2" t="str">
        <x:v>from EALink [23]</x:v>
      </x:c>
      <x:c r="K17" s="2" t="str">
        <x:v>Public</x:v>
      </x:c>
      <x:c r="L17" s="2" t="str">
        <x:v>Academic benchmark</x:v>
      </x:c>
      <x:c r="M17" s="2" t="str">
        <x:v>NA</x:v>
      </x:c>
      <x:c r="N17" s="2" t="str">
        <x:v>NR</x:v>
      </x:c>
      <x:c r="O17" s="2" t="str">
        <x:v>NR</x:v>
      </x:c>
      <x:c r="P17" s="2" t="str">
        <x:v>NR</x:v>
      </x:c>
      <x:c r="Q17" s="2" t="str">
        <x:v>NA</x:v>
      </x:c>
      <x:c r="R17" s="2" t="str">
        <x:v>NA</x:v>
      </x:c>
      <x:c r="S17" s="2" t="str">
        <x:v>NA</x:v>
      </x:c>
      <x:c r="T17" s="2" t="str">
        <x:v>NA</x:v>
      </x:c>
      <x:c r="U17" s="2" t="str">
        <x:v>NA</x:v>
      </x:c>
      <x:c r="V17" s="2" t="str">
        <x:v>No</x:v>
      </x:c>
      <x:c r="W17" s="2" t="str">
        <x:v>time (seconds); token usage; cost (USD)</x:v>
      </x:c>
      <x:c r="X17" s="2" t="str">
        <x:v>task execution</x:v>
      </x:c>
      <x:c r="Y17" s="2" t="str">
        <x:v>No</x:v>
      </x:c>
      <x:c r="Z17" s="2" t="str">
        <x:v>No</x:v>
      </x:c>
      <x:c r="AA17" s="2" t="str">
        <x:v>No</x:v>
      </x:c>
      <x:c r="AB17" s="2" t="str">
        <x:v>NR</x:v>
      </x:c>
      <x:c r="AC17" s="2" t="str">
        <x:v>No</x:v>
      </x:c>
      <x:c r="AD17" s="2" t="str">
        <x:v>No</x:v>
      </x:c>
      <x:c r="AE17" s="6" t="str">
        <x:v>p. 9; Section V-C 2)</x:v>
      </x:c>
      <x:c r="AF17" s="6" t="str">
        <x:v>We measure LinkAnchors’ cost from three perspectives: (i) the time required to link an issue to its resolving commit, (ii) the number of tokens consumed by queries to the LLM (Chat-GPT4o-nano), and (iii) the monetary costs associated with token consumption, based on OpenAI’s pricing as of May 2025.</x:v>
      </x:c>
      <x:c r="AG17" s="6" t="str">
        <x:v>在RQ1数据集上评估每个问题链接恢复的平均时间、token消耗和美元成本。</x:v>
      </x:c>
      <x:c r="AH17" s="2" t="str">
        <x:v>Accepted</x:v>
      </x:c>
      <x:c r="AI17" s="6" t="str">
        <x:v>NA</x:v>
      </x:c>
    </x:row>
    <x:row r="18" ht="76" customHeight="1">
      <x:c r="A18" s="2" t="str">
        <x:v>S07-EVAL-R01</x:v>
      </x:c>
      <x:c r="B18" s="2" t="str">
        <x:v>S07</x:v>
      </x:c>
      <x:c r="C18" s="2" t="str">
        <x:v>merged_0110</x:v>
      </x:c>
      <x:c r="D18" s="2" t="str">
        <x:v>Reviewer_A</x:v>
      </x:c>
      <x:c r="E18" s="2" t="str">
        <x:v>Reviewer_A</x:v>
      </x:c>
      <x:c r="F18" s="2" t="str">
        <x:v>S07-EV01</x:v>
      </x:c>
      <x:c r="G18" s="2" t="str">
        <x:v>S07-T01</x:v>
      </x:c>
      <x:c r="H18" s="2" t="str">
        <x:v>Benchmark comparison</x:v>
      </x:c>
      <x:c r="I18" s="2" t="str">
        <x:v>BTHS and GBGE</x:v>
      </x:c>
      <x:c r="J18" s="2" t="str">
        <x:v>BTHS: Bluetooth Headset Profile 1.2 specification (open); GBGE: provided by Göteborg Energi (industrial)</x:v>
      </x:c>
      <x:c r="K18" s="2" t="str">
        <x:v>Partially public</x:v>
      </x:c>
      <x:c r="L18" s="2" t="str">
        <x:v>Mixed</x:v>
      </x:c>
      <x:c r="M18" s="2" t="str">
        <x:v>No</x:v>
      </x:c>
      <x:c r="N18" s="2" t="str">
        <x:v>BTHS: 8, GBGE: 40</x:v>
      </x:c>
      <x:c r="O18" s="2" t="str">
        <x:v>BTHS: 16, GBGE: 41</x:v>
      </x:c>
      <x:c r="P18" s="2" t="str">
        <x:v>Unclear (BTHS prevalence 16.7%, GBGE prevalence 2.8%)</x:v>
      </x:c>
      <x:c r="Q18" s="2" t="str">
        <x:v>NA</x:v>
      </x:c>
      <x:c r="R18" s="2" t="str">
        <x:v>NA</x:v>
      </x:c>
      <x:c r="S18" s="2" t="str">
        <x:v>BTHS: from specification; GBGE: from industry partner</x:v>
      </x:c>
      <x:c r="T18" s="2" t="str">
        <x:v>Expert validation for ambiguous cases</x:v>
      </x:c>
      <x:c r="U18" s="2" t="str">
        <x:v>None</x:v>
      </x:c>
      <x:c r="V18" s="2" t="str">
        <x:v>No</x:v>
      </x:c>
      <x:c r="W18" s="2" t="str">
        <x:v>Precision; Recall; F1-score</x:v>
      </x:c>
      <x:c r="X18" s="2" t="str">
        <x:v>trace link</x:v>
      </x:c>
      <x:c r="Y18" s="2" t="str">
        <x:v>No</x:v>
      </x:c>
      <x:c r="Z18" s="2" t="str">
        <x:v>No</x:v>
      </x:c>
      <x:c r="AA18" s="2" t="str">
        <x:v>Kruskal-Wallis, post-hoc Mann-Whitney with Bonferroni, Vargha-Delaney A12</x:v>
      </x:c>
      <x:c r="AB18" s="2" t="str">
        <x:v>Standard deviation reported</x:v>
      </x:c>
      <x:c r="AC18" s="2" t="str">
        <x:v>Yes</x:v>
      </x:c>
      <x:c r="AD18" s="2" t="str">
        <x:v>30 runs, temperature 0.1, shared metadata</x:v>
      </x:c>
      <x:c r="AE18" s="6" t="str">
        <x:v>p. 5; Section 4.2</x:v>
      </x:c>
      <x:c r="AF18" s="6" t="str">
        <x:v>control for the prompt variations by using a prompt template from the literature [16] (BASE).</x:v>
      </x:c>
      <x:c r="AG18" s="6" t="str">
        <x:v>实验A比较不同LLM在固定提示下的性能</x:v>
      </x:c>
      <x:c r="AH18" s="2" t="str">
        <x:v>Accepted</x:v>
      </x:c>
      <x:c r="AI18" s="6" t="str">
        <x:v>NA</x:v>
      </x:c>
    </x:row>
    <x:row r="19" ht="76" customHeight="1">
      <x:c r="A19" s="2" t="str">
        <x:v>S07-EVAL-R02</x:v>
      </x:c>
      <x:c r="B19" s="2" t="str">
        <x:v>S07</x:v>
      </x:c>
      <x:c r="C19" s="2" t="str">
        <x:v>merged_0110</x:v>
      </x:c>
      <x:c r="D19" s="2" t="str">
        <x:v>Reviewer_A</x:v>
      </x:c>
      <x:c r="E19" s="2" t="str">
        <x:v>Reviewer_A</x:v>
      </x:c>
      <x:c r="F19" s="2" t="str">
        <x:v>S07-EV02</x:v>
      </x:c>
      <x:c r="G19" s="2" t="str">
        <x:v>S07-T01</x:v>
      </x:c>
      <x:c r="H19" s="2" t="str">
        <x:v>Benchmark comparison</x:v>
      </x:c>
      <x:c r="I19" s="2" t="str">
        <x:v>BTHS and GBGE</x:v>
      </x:c>
      <x:c r="J19" s="2" t="str">
        <x:v>BTHS: Bluetooth Headset Profile 1.2 specification (open); GBGE: provided by Göteborg Energi (industrial)</x:v>
      </x:c>
      <x:c r="K19" s="2" t="str">
        <x:v>Partially public</x:v>
      </x:c>
      <x:c r="L19" s="2" t="str">
        <x:v>Mixed</x:v>
      </x:c>
      <x:c r="M19" s="2" t="str">
        <x:v>No</x:v>
      </x:c>
      <x:c r="N19" s="2" t="str">
        <x:v>BTHS: 8, GBGE: 40</x:v>
      </x:c>
      <x:c r="O19" s="2" t="str">
        <x:v>BTHS: 16, GBGE: 41</x:v>
      </x:c>
      <x:c r="P19" s="2" t="str">
        <x:v>Unclear (BTHS prevalence 16.7%, GBGE prevalence 2.8%)</x:v>
      </x:c>
      <x:c r="Q19" s="2" t="str">
        <x:v>NA</x:v>
      </x:c>
      <x:c r="R19" s="2" t="str">
        <x:v>NA</x:v>
      </x:c>
      <x:c r="S19" s="2" t="str">
        <x:v>BTHS: from specification; GBGE: from industry partner</x:v>
      </x:c>
      <x:c r="T19" s="2" t="str">
        <x:v>Expert validation for ambiguous cases</x:v>
      </x:c>
      <x:c r="U19" s="2" t="str">
        <x:v>Moderate</x:v>
      </x:c>
      <x:c r="V19" s="2" t="str">
        <x:v>No</x:v>
      </x:c>
      <x:c r="W19" s="2" t="str">
        <x:v>Precision; Recall; F1-score</x:v>
      </x:c>
      <x:c r="X19" s="2" t="str">
        <x:v>trace link</x:v>
      </x:c>
      <x:c r="Y19" s="2" t="str">
        <x:v>No</x:v>
      </x:c>
      <x:c r="Z19" s="2" t="str">
        <x:v>No</x:v>
      </x:c>
      <x:c r="AA19" s="2" t="str">
        <x:v>Kruskal-Wallis, post-hoc Mann-Whitney with Bonferroni, Vargha-Delaney A12</x:v>
      </x:c>
      <x:c r="AB19" s="2" t="str">
        <x:v>Standard deviation</x:v>
      </x:c>
      <x:c r="AC19" s="2" t="str">
        <x:v>Yes</x:v>
      </x:c>
      <x:c r="AD19" s="2" t="str">
        <x:v>30 runs, temperature 0.1, shared metadata</x:v>
      </x:c>
      <x:c r="AE19" s="6" t="str">
        <x:v>p. 5; Section 4.2</x:v>
      </x:c>
      <x:c r="AF19" s="6" t="str">
        <x:v>Experiment B - Analyzing Prompts: We create several prompt templates using a variety of prompt engineering techniques to identify how those templates affect precision, recall, and 𝐹 1 of the different LLMs.</x:v>
      </x:c>
      <x:c r="AG19" s="6" t="str">
        <x:v>实验B比较不同提示模板对LLM性能的影响</x:v>
      </x:c>
      <x:c r="AH19" s="2" t="str">
        <x:v>Accepted</x:v>
      </x:c>
      <x:c r="AI19" s="6" t="str">
        <x:v>NA</x:v>
      </x:c>
    </x:row>
    <x:row r="20" ht="76" customHeight="1">
      <x:c r="A20" s="2" t="str">
        <x:v>S08-EVAL-R01</x:v>
      </x:c>
      <x:c r="B20" s="2" t="str">
        <x:v>S08</x:v>
      </x:c>
      <x:c r="C20" s="2" t="str">
        <x:v>merged_0256</x:v>
      </x:c>
      <x:c r="D20" s="2" t="str">
        <x:v>Reviewer_A</x:v>
      </x:c>
      <x:c r="E20" s="2" t="str">
        <x:v>Reviewer_A</x:v>
      </x:c>
      <x:c r="F20" s="2" t="str">
        <x:v>S08-EV01</x:v>
      </x:c>
      <x:c r="G20" s="2" t="str">
        <x:v>S08-T01</x:v>
      </x:c>
      <x:c r="H20" s="2" t="str">
        <x:v>Benchmark comparison</x:v>
      </x:c>
      <x:c r="I20" s="2" t="str">
        <x:v>CM1, CCHIT, GANTT, IP, WARC (filtered and fabricated)</x:v>
      </x:c>
      <x:c r="J20" s="2" t="str">
        <x:v>COEST and Hayes et al.</x:v>
      </x:c>
      <x:c r="K20" s="2" t="str">
        <x:v>Public</x:v>
      </x:c>
      <x:c r="L20" s="2" t="str">
        <x:v>Academic benchmark</x:v>
      </x:c>
      <x:c r="M20" s="2" t="str">
        <x:v>NA</x:v>
      </x:c>
      <x:c r="N20" s="2" t="n">
        <x:v>636</x:v>
      </x:c>
      <x:c r="O20" s="2" t="n">
        <x:v>2434</x:v>
      </x:c>
      <x:c r="P20" s="2" t="str">
        <x:v>1217 (filtered)</x:v>
      </x:c>
      <x:c r="Q20" s="2" t="str">
        <x:v>NA</x:v>
      </x:c>
      <x:c r="R20" s="2" t="str">
        <x:v>NA</x:v>
      </x:c>
      <x:c r="S20" s="2" t="str">
        <x:v>Existing traceability links from datasets</x:v>
      </x:c>
      <x:c r="T20" s="2" t="str">
        <x:v>Not explicitly validated beyond prior studies' acceptance</x:v>
      </x:c>
      <x:c r="U20" s="2" t="str">
        <x:v>NA</x:v>
      </x:c>
      <x:c r="V20" s="2" t="str">
        <x:v>Comparison of prompting strategies (zS vs zS+expl)</x:v>
      </x:c>
      <x:c r="W20" s="2" t="str">
        <x:v>Precision; Recall; F1</x:v>
      </x:c>
      <x:c r="X20" s="2" t="str">
        <x:v>trace link</x:v>
      </x:c>
      <x:c r="Y20" s="2" t="str">
        <x:v>No</x:v>
      </x:c>
      <x:c r="Z20" s="2" t="str">
        <x:v>NR</x:v>
      </x:c>
      <x:c r="AA20" s="2" t="str">
        <x:v>No</x:v>
      </x:c>
      <x:c r="AB20" s="2" t="str">
        <x:v>No</x:v>
      </x:c>
      <x:c r="AC20" s="2" t="str">
        <x:v>Yes</x:v>
      </x:c>
      <x:c r="AD20" s="2" t="str">
        <x:v>Discussion in Section 7.1</x:v>
      </x:c>
      <x:c r="AE20" s="6" t="str">
        <x:v>p. 2; Section 1</x:v>
      </x:c>
      <x:c r="AF20" s="6" t="str">
        <x:v>We measured precision and recall for correctly determining coverage of this ground truth, including a set of fabricated, adversarial requirements</x:v>
      </x:c>
      <x:c r="AG20" s="6" t="str">
        <x:v>EV1是GPT-3.5在含构造数据的数据集上进行覆盖识别的基准比较。</x:v>
      </x:c>
      <x:c r="AH20" s="2" t="str">
        <x:v>Accepted</x:v>
      </x:c>
      <x:c r="AI20" s="6" t="str">
        <x:v>使用了zS和zS+expl两种提示。</x:v>
      </x:c>
    </x:row>
    <x:row r="21" ht="76" customHeight="1">
      <x:c r="A21" s="2" t="str">
        <x:v>S08-EVAL-R02</x:v>
      </x:c>
      <x:c r="B21" s="2" t="str">
        <x:v>S08</x:v>
      </x:c>
      <x:c r="C21" s="2" t="str">
        <x:v>merged_0256</x:v>
      </x:c>
      <x:c r="D21" s="2" t="str">
        <x:v>Reviewer_A</x:v>
      </x:c>
      <x:c r="E21" s="2" t="str">
        <x:v>Reviewer_A</x:v>
      </x:c>
      <x:c r="F21" s="2" t="str">
        <x:v>S08-EV02</x:v>
      </x:c>
      <x:c r="G21" s="2" t="str">
        <x:v>S08-T01</x:v>
      </x:c>
      <x:c r="H21" s="2" t="str">
        <x:v>Benchmark comparison</x:v>
      </x:c>
      <x:c r="I21" s="2" t="str">
        <x:v>CM1, CCHIT, GANTT, IP, WARC (Leave-One-Out subset)</x:v>
      </x:c>
      <x:c r="J21" s="2" t="str">
        <x:v>COEST and Hayes et al.</x:v>
      </x:c>
      <x:c r="K21" s="2" t="str">
        <x:v>Public</x:v>
      </x:c>
      <x:c r="L21" s="2" t="str">
        <x:v>Academic benchmark</x:v>
      </x:c>
      <x:c r="M21" s="2" t="str">
        <x:v>NA</x:v>
      </x:c>
      <x:c r="N21" s="2" t="n">
        <x:v>208</x:v>
      </x:c>
      <x:c r="O21" s="2" t="n">
        <x:v>1818</x:v>
      </x:c>
      <x:c r="P21" s="2" t="str">
        <x:v>NR</x:v>
      </x:c>
      <x:c r="Q21" s="2" t="str">
        <x:v>NA</x:v>
      </x:c>
      <x:c r="R21" s="2" t="str">
        <x:v>NA</x:v>
      </x:c>
      <x:c r="S21" s="2" t="str">
        <x:v>Existing links, with one LLR removed to simulate incomplete coverage</x:v>
      </x:c>
      <x:c r="T21" s="2" t="str">
        <x:v>By design: removal creates incomplete coverage</x:v>
      </x:c>
      <x:c r="U21" s="2" t="str">
        <x:v>NA</x:v>
      </x:c>
      <x:c r="V21" s="2" t="str">
        <x:v>Comparison of prompting strategies</x:v>
      </x:c>
      <x:c r="W21" s="2" t="str">
        <x:v>Recall; Precision; F1 (for incomplete coverage)</x:v>
      </x:c>
      <x:c r="X21" s="2" t="str">
        <x:v>trace link</x:v>
      </x:c>
      <x:c r="Y21" s="2" t="str">
        <x:v>No</x:v>
      </x:c>
      <x:c r="Z21" s="2" t="str">
        <x:v>NR</x:v>
      </x:c>
      <x:c r="AA21" s="2" t="str">
        <x:v>No</x:v>
      </x:c>
      <x:c r="AB21" s="2" t="str">
        <x:v>No</x:v>
      </x:c>
      <x:c r="AC21" s="2" t="str">
        <x:v>Manual inspection of examples</x:v>
      </x:c>
      <x:c r="AD21" s="2" t="str">
        <x:v>Discussion</x:v>
      </x:c>
      <x:c r="AE21" s="6" t="str">
        <x:v>p. 6; Section 5.2.3</x:v>
      </x:c>
      <x:c r="AF21" s="6" t="str">
        <x:v>For each HLR with more than three assigned LLRs, we create a permutation where each LLR is left out once and ask GPT-3.5 to provide a coverage verdict.</x:v>
      </x:c>
      <x:c r="AG21" s="6" t="str">
        <x:v>EV2为留一法检测不完整覆盖的评估。</x:v>
      </x:c>
      <x:c r="AH21" s="2" t="str">
        <x:v>Accepted</x:v>
      </x:c>
      <x:c r="AI21" s="6" t="str">
        <x:v>NA</x:v>
      </x:c>
    </x:row>
    <x:row r="22" ht="76" customHeight="1">
      <x:c r="A22" s="2" t="str">
        <x:v>S08-EVAL-R03</x:v>
      </x:c>
      <x:c r="B22" s="2" t="str">
        <x:v>S08</x:v>
      </x:c>
      <x:c r="C22" s="2" t="str">
        <x:v>merged_0256</x:v>
      </x:c>
      <x:c r="D22" s="2" t="str">
        <x:v>Reviewer_A</x:v>
      </x:c>
      <x:c r="E22" s="2" t="str">
        <x:v>Reviewer_A</x:v>
      </x:c>
      <x:c r="F22" s="2" t="str">
        <x:v>S08-EV03</x:v>
      </x:c>
      <x:c r="G22" s="2" t="str">
        <x:v>S08-T01</x:v>
      </x:c>
      <x:c r="H22" s="2" t="str">
        <x:v>Benchmark comparison</x:v>
      </x:c>
      <x:c r="I22" s="2" t="str">
        <x:v>CM1, CCHIT, GANTT, IP, WARC (filtered only)</x:v>
      </x:c>
      <x:c r="J22" s="2" t="str">
        <x:v>COEST and Hayes et al.</x:v>
      </x:c>
      <x:c r="K22" s="2" t="str">
        <x:v>Public</x:v>
      </x:c>
      <x:c r="L22" s="2" t="str">
        <x:v>Academic benchmark</x:v>
      </x:c>
      <x:c r="M22" s="2" t="str">
        <x:v>NA</x:v>
      </x:c>
      <x:c r="N22" s="2" t="n">
        <x:v>318</x:v>
      </x:c>
      <x:c r="O22" s="2" t="n">
        <x:v>1217</x:v>
      </x:c>
      <x:c r="P22" s="2" t="n">
        <x:v>1217</x:v>
      </x:c>
      <x:c r="Q22" s="2" t="str">
        <x:v>NA</x:v>
      </x:c>
      <x:c r="R22" s="2" t="str">
        <x:v>NA</x:v>
      </x:c>
      <x:c r="S22" s="2" t="str">
        <x:v>Existing trace links</x:v>
      </x:c>
      <x:c r="T22" s="2" t="str">
        <x:v>NA</x:v>
      </x:c>
      <x:c r="U22" s="2" t="str">
        <x:v>NA</x:v>
      </x:c>
      <x:c r="V22" s="2" t="str">
        <x:v>Comparison of GPT-4 vs GPT-3.5 with same prompts</x:v>
      </x:c>
      <x:c r="W22" s="2" t="str">
        <x:v>Recall</x:v>
      </x:c>
      <x:c r="X22" s="2" t="str">
        <x:v>trace link</x:v>
      </x:c>
      <x:c r="Y22" s="2" t="str">
        <x:v>No</x:v>
      </x:c>
      <x:c r="Z22" s="2" t="str">
        <x:v>NR</x:v>
      </x:c>
      <x:c r="AA22" s="2" t="str">
        <x:v>No</x:v>
      </x:c>
      <x:c r="AB22" s="2" t="str">
        <x:v>No</x:v>
      </x:c>
      <x:c r="AC22" s="2" t="str">
        <x:v>Examples discussed</x:v>
      </x:c>
      <x:c r="AD22" s="2" t="str">
        <x:v>Discussion</x:v>
      </x:c>
      <x:c r="AE22" s="6" t="str">
        <x:v>p. 8; Section 6.3</x:v>
      </x:c>
      <x:c r="AF22" s="6" t="str">
        <x:v>we utilize the same prompts as for RQ1, limited to the filtered data set due to the higher costs of the API and our limited budget.</x:v>
      </x:c>
      <x:c r="AG22" s="6" t="str">
        <x:v>EV3是GPT-4与GPT-3.5在覆盖识别上的对比评估。</x:v>
      </x:c>
      <x:c r="AH22" s="2" t="str">
        <x:v>Accepted</x:v>
      </x:c>
      <x:c r="AI22" s="6" t="str">
        <x:v>未使用构造数据，仅用过滤后的真实数据。</x:v>
      </x:c>
    </x:row>
    <x:row r="23" ht="76" customHeight="1">
      <x:c r="A23" s="2" t="str">
        <x:v>S08-EVAL-R04</x:v>
      </x:c>
      <x:c r="B23" s="2" t="str">
        <x:v>S08</x:v>
      </x:c>
      <x:c r="C23" s="2" t="str">
        <x:v>merged_0256</x:v>
      </x:c>
      <x:c r="D23" s="2" t="str">
        <x:v>Reviewer_A</x:v>
      </x:c>
      <x:c r="E23" s="2" t="str">
        <x:v>Reviewer_A</x:v>
      </x:c>
      <x:c r="F23" s="2" t="str">
        <x:v>S08-EV04</x:v>
      </x:c>
      <x:c r="G23" s="2" t="str">
        <x:v>S08-T01</x:v>
      </x:c>
      <x:c r="H23" s="2" t="str">
        <x:v>Benchmark comparison</x:v>
      </x:c>
      <x:c r="I23" s="2" t="str">
        <x:v>CM1, CCHIT, GANTT, IP, WARC (filtered only)</x:v>
      </x:c>
      <x:c r="J23" s="2" t="str">
        <x:v>COEST and Hayes et al.</x:v>
      </x:c>
      <x:c r="K23" s="2" t="str">
        <x:v>Public</x:v>
      </x:c>
      <x:c r="L23" s="2" t="str">
        <x:v>Academic benchmark</x:v>
      </x:c>
      <x:c r="M23" s="2" t="str">
        <x:v>NA</x:v>
      </x:c>
      <x:c r="N23" s="2" t="n">
        <x:v>318</x:v>
      </x:c>
      <x:c r="O23" s="2" t="n">
        <x:v>1217</x:v>
      </x:c>
      <x:c r="P23" s="2" t="n">
        <x:v>1217</x:v>
      </x:c>
      <x:c r="Q23" s="2" t="str">
        <x:v>NA</x:v>
      </x:c>
      <x:c r="R23" s="2" t="str">
        <x:v>NA</x:v>
      </x:c>
      <x:c r="S23" s="2" t="str">
        <x:v>Existing trace links</x:v>
      </x:c>
      <x:c r="T23" s="2" t="str">
        <x:v>NA</x:v>
      </x:c>
      <x:c r="U23" s="2" t="str">
        <x:v>NA</x:v>
      </x:c>
      <x:c r="V23" s="2" t="str">
        <x:v>CoT prompting vs zS+expl</x:v>
      </x:c>
      <x:c r="W23" s="2" t="str">
        <x:v>Recall</x:v>
      </x:c>
      <x:c r="X23" s="2" t="str">
        <x:v>trace link</x:v>
      </x:c>
      <x:c r="Y23" s="2" t="str">
        <x:v>No</x:v>
      </x:c>
      <x:c r="Z23" s="2" t="str">
        <x:v>NR</x:v>
      </x:c>
      <x:c r="AA23" s="2" t="str">
        <x:v>No</x:v>
      </x:c>
      <x:c r="AB23" s="2" t="str">
        <x:v>No</x:v>
      </x:c>
      <x:c r="AC23" s="2" t="str">
        <x:v>Examples discussed</x:v>
      </x:c>
      <x:c r="AD23" s="2" t="str">
        <x:v>Discussion</x:v>
      </x:c>
      <x:c r="AE23" s="6" t="str">
        <x:v>p. 8; Section 6.4</x:v>
      </x:c>
      <x:c r="AF23" s="6" t="str">
        <x:v>Here we answer if CoT prompting enhances the reasoning capabilities of GPT-3.5 and GPT-4 concerning assessing requirements coverage.</x:v>
      </x:c>
      <x:c r="AG23" s="6" t="str">
        <x:v>EV4评估思维链提示对覆盖识别的作用。</x:v>
      </x:c>
      <x:c r="AH23" s="2" t="str">
        <x:v>Accepted</x:v>
      </x:c>
      <x:c r="AI23" s="6" t="str">
        <x:v>NA</x:v>
      </x:c>
    </x:row>
    <x:row r="24" ht="76" customHeight="1">
      <x:c r="A24" s="2" t="str">
        <x:v>S09-EVAL-R01</x:v>
      </x:c>
      <x:c r="B24" s="2" t="str">
        <x:v>S09</x:v>
      </x:c>
      <x:c r="C24" s="2" t="str">
        <x:v>merged_1114-v1</x:v>
      </x:c>
      <x:c r="D24" s="2" t="str">
        <x:v>Reviewer_A</x:v>
      </x:c>
      <x:c r="E24" s="2" t="str">
        <x:v>Reviewer_A</x:v>
      </x:c>
      <x:c r="F24" s="2" t="str">
        <x:v>S09-EV01</x:v>
      </x:c>
      <x:c r="G24" s="2" t="str">
        <x:v>S09-T01</x:v>
      </x:c>
      <x:c r="H24" s="2" t="str">
        <x:v>Benchmark comparison</x:v>
      </x:c>
      <x:c r="I24" s="2" t="str">
        <x:v>Automotive software artifacts (535 artifacts, 6 subsystems)</x:v>
      </x:c>
      <x:c r="J24" s="2" t="str">
        <x:v>Automotive subsystems: AEB, LKA, BMS, IVI, V2X, DMS</x:v>
      </x:c>
      <x:c r="K24" s="2" t="str">
        <x:v>NR</x:v>
      </x:c>
      <x:c r="L24" s="2" t="str">
        <x:v>Industrial offline data</x:v>
      </x:c>
      <x:c r="M24" s="2" t="str">
        <x:v>NR</x:v>
      </x:c>
      <x:c r="N24" s="2" t="str">
        <x:v>NR</x:v>
      </x:c>
      <x:c r="O24" s="2" t="str">
        <x:v>NR</x:v>
      </x:c>
      <x:c r="P24" s="2" t="str">
        <x:v>NR</x:v>
      </x:c>
      <x:c r="Q24" s="2" t="str">
        <x:v>NA</x:v>
      </x:c>
      <x:c r="R24" s="2" t="str">
        <x:v>NA</x:v>
      </x:c>
      <x:c r="S24" s="2" t="str">
        <x:v>Human-validated traceability matrices</x:v>
      </x:c>
      <x:c r="T24" s="2" t="str">
        <x:v>Human-validated</x:v>
      </x:c>
      <x:c r="U24" s="2" t="str">
        <x:v>Multiple strengths</x:v>
      </x:c>
      <x:c r="V24" s="2" t="str">
        <x:v>No</x:v>
      </x:c>
      <x:c r="W24" s="2" t="str">
        <x:v>Precision;Recall;F1-Score;MAP</x:v>
      </x:c>
      <x:c r="X24" s="2" t="str">
        <x:v>trace link</x:v>
      </x:c>
      <x:c r="Y24" s="2" t="str">
        <x:v>No</x:v>
      </x:c>
      <x:c r="Z24" s="2" t="str">
        <x:v>NR</x:v>
      </x:c>
      <x:c r="AA24" s="2" t="str">
        <x:v>NR</x:v>
      </x:c>
      <x:c r="AB24" s="2" t="str">
        <x:v>No</x:v>
      </x:c>
      <x:c r="AC24" s="2" t="str">
        <x:v>No</x:v>
      </x:c>
      <x:c r="AD24" s="2" t="str">
        <x:v>NR</x:v>
      </x:c>
      <x:c r="AE24" s="6" t="str">
        <x:v>p. 5; Section IV-B</x:v>
      </x:c>
      <x:c r="AF24" s="6" t="str">
        <x:v>Results: Table II shows that the Full Pipeline achieved F1 = 0.769, substantially outperforming TF-IDF (F1 = 0.349,</x:v>
      </x:c>
      <x:c r="AG24" s="6" t="str">
        <x:v>实验1为基准比较，评估两阶段流水线在两个基准上的性能。</x:v>
      </x:c>
      <x:c r="AH24" s="2" t="str">
        <x:v>Accepted</x:v>
      </x:c>
      <x:c r="AI24" s="6" t="str">
        <x:v>Aggregated over three relationship types; per-relationship results in Table III.</x:v>
      </x:c>
    </x:row>
    <x:row r="25" ht="76" customHeight="1">
      <x:c r="A25" s="2" t="str">
        <x:v>S09-EVAL-R02</x:v>
      </x:c>
      <x:c r="B25" s="2" t="str">
        <x:v>S09</x:v>
      </x:c>
      <x:c r="C25" s="2" t="str">
        <x:v>merged_1114-v1</x:v>
      </x:c>
      <x:c r="D25" s="2" t="str">
        <x:v>Reviewer_A</x:v>
      </x:c>
      <x:c r="E25" s="2" t="str">
        <x:v>Reviewer_A</x:v>
      </x:c>
      <x:c r="F25" s="2" t="str">
        <x:v>S09-EV02</x:v>
      </x:c>
      <x:c r="G25" s="2" t="str">
        <x:v>S09-T02</x:v>
      </x:c>
      <x:c r="H25" s="2" t="str">
        <x:v>Controlled experiment</x:v>
      </x:c>
      <x:c r="I25" s="2" t="str">
        <x:v>Four conflict-bearing datasets: LKA, DMS, AEB, EV</x:v>
      </x:c>
      <x:c r="J25" s="2" t="str">
        <x:v>Automotive subsystems (subset)</x:v>
      </x:c>
      <x:c r="K25" s="2" t="str">
        <x:v>NR</x:v>
      </x:c>
      <x:c r="L25" s="2" t="str">
        <x:v>Industrial offline data</x:v>
      </x:c>
      <x:c r="M25" s="2" t="str">
        <x:v>NR</x:v>
      </x:c>
      <x:c r="N25" s="2" t="str">
        <x:v>NR</x:v>
      </x:c>
      <x:c r="O25" s="2" t="str">
        <x:v>NR</x:v>
      </x:c>
      <x:c r="P25" s="2" t="n">
        <x:v>10</x:v>
      </x:c>
      <x:c r="Q25" s="2" t="str">
        <x:v>NA</x:v>
      </x:c>
      <x:c r="R25" s="2" t="str">
        <x:v>NA</x:v>
      </x:c>
      <x:c r="S25" s="2" t="str">
        <x:v>Human-validated logically valid conflicts</x:v>
      </x:c>
      <x:c r="T25" s="2" t="str">
        <x:v>Human review</x:v>
      </x:c>
      <x:c r="U25" s="2" t="str">
        <x:v>NA</x:v>
      </x:c>
      <x:c r="V25" s="2" t="str">
        <x:v>Yes</x:v>
      </x:c>
      <x:c r="W25" s="2" t="str">
        <x:v>True Positives;False Negatives</x:v>
      </x:c>
      <x:c r="X25" s="2" t="str">
        <x:v>trace link</x:v>
      </x:c>
      <x:c r="Y25" s="2" t="str">
        <x:v>No</x:v>
      </x:c>
      <x:c r="Z25" s="2" t="str">
        <x:v>NR</x:v>
      </x:c>
      <x:c r="AA25" s="2" t="str">
        <x:v>NR</x:v>
      </x:c>
      <x:c r="AB25" s="2" t="str">
        <x:v>No</x:v>
      </x:c>
      <x:c r="AC25" s="2" t="str">
        <x:v>No</x:v>
      </x:c>
      <x:c r="AD25" s="2" t="str">
        <x:v>NR</x:v>
      </x:c>
      <x:c r="AE25" s="6" t="str">
        <x:v>p. 6; Section IV-C</x:v>
      </x:c>
      <x:c r="AF25" s="6" t="str">
        <x:v>The configuration (τ = 0.5, ε = 0.4) uniquely achieves TP=10, FN=0, detecting all ground-truth conflicts.</x:v>
      </x:c>
      <x:c r="AG25" s="6" t="str">
        <x:v>实验2对冲突检测参数进行消融，寻找最佳配置。</x:v>
      </x:c>
      <x:c r="AH25" s="2" t="str">
        <x:v>Accepted</x:v>
      </x:c>
      <x:c r="AI25" s="6" t="str">
        <x:v>Grid search over τ and ε; δ fixed at 0.5.</x:v>
      </x:c>
    </x:row>
    <x:row r="26" ht="76" customHeight="1">
      <x:c r="A26" s="2" t="str">
        <x:v>S09-EVAL-R03</x:v>
      </x:c>
      <x:c r="B26" s="2" t="str">
        <x:v>S09</x:v>
      </x:c>
      <x:c r="C26" s="2" t="str">
        <x:v>merged_1114-v1</x:v>
      </x:c>
      <x:c r="D26" s="2" t="str">
        <x:v>Reviewer_A</x:v>
      </x:c>
      <x:c r="E26" s="2" t="str">
        <x:v>Reviewer_A</x:v>
      </x:c>
      <x:c r="F26" s="2" t="str">
        <x:v>S09-EV03</x:v>
      </x:c>
      <x:c r="G26" s="2" t="str">
        <x:v>S09-T03</x:v>
      </x:c>
      <x:c r="H26" s="2" t="str">
        <x:v>Controlled experiment</x:v>
      </x:c>
      <x:c r="I26" s="2" t="str">
        <x:v>Five automotive datasets: LKA, AEB, BMS, V2X, IVI</x:v>
      </x:c>
      <x:c r="J26" s="2" t="str">
        <x:v>Automotive subsystems</x:v>
      </x:c>
      <x:c r="K26" s="2" t="str">
        <x:v>NR</x:v>
      </x:c>
      <x:c r="L26" s="2" t="str">
        <x:v>Industrial offline data</x:v>
      </x:c>
      <x:c r="M26" s="2" t="str">
        <x:v>NR</x:v>
      </x:c>
      <x:c r="N26" s="2" t="str">
        <x:v>NR</x:v>
      </x:c>
      <x:c r="O26" s="2" t="str">
        <x:v>NR</x:v>
      </x:c>
      <x:c r="P26" s="2" t="str">
        <x:v>NR</x:v>
      </x:c>
      <x:c r="Q26" s="2" t="str">
        <x:v>NA</x:v>
      </x:c>
      <x:c r="R26" s="2" t="str">
        <x:v>NA</x:v>
      </x:c>
      <x:c r="S26" s="2" t="str">
        <x:v>NA</x:v>
      </x:c>
      <x:c r="T26" s="2" t="str">
        <x:v>NA</x:v>
      </x:c>
      <x:c r="U26" s="2" t="str">
        <x:v>NA</x:v>
      </x:c>
      <x:c r="V26" s="2" t="str">
        <x:v>Yes</x:v>
      </x:c>
      <x:c r="W26" s="2" t="str">
        <x:v>Final Links;New Links;Inflation Ratio;Conflict Rate;Mean Severity;Path Completeness</x:v>
      </x:c>
      <x:c r="X26" s="2" t="str">
        <x:v>project</x:v>
      </x:c>
      <x:c r="Y26" s="2" t="str">
        <x:v>No</x:v>
      </x:c>
      <x:c r="Z26" s="2" t="str">
        <x:v>NR</x:v>
      </x:c>
      <x:c r="AA26" s="2" t="str">
        <x:v>NR</x:v>
      </x:c>
      <x:c r="AB26" s="2" t="str">
        <x:v>No</x:v>
      </x:c>
      <x:c r="AC26" s="2" t="str">
        <x:v>No</x:v>
      </x:c>
      <x:c r="AD26" s="2" t="str">
        <x:v>NR</x:v>
      </x:c>
      <x:c r="AE26" s="6" t="str">
        <x:v>p. 7; Section IV-D</x:v>
      </x:c>
      <x:c r="AF26" s="6" t="str">
        <x:v>Conditions without consistency controls produce larger graphs but either hide or introduce ambiguity, while the Full Consistency Stack produces a more controlled graph and explicitly exposes structural inconsistencies</x:v>
      </x:c>
      <x:c r="AG26" s="6" t="str">
        <x:v>实验3通过消融一致性控制，评估对知识图谱膨胀和冲突率的影响。</x:v>
      </x:c>
      <x:c r="AH26" s="2" t="str">
        <x:v>Accepted</x:v>
      </x:c>
      <x:c r="AI26" s="6" t="str">
        <x:v>Results averaged over 5 datasets.</x:v>
      </x:c>
    </x:row>
    <x:row r="27" ht="76" customHeight="1">
      <x:c r="A27" s="2" t="str">
        <x:v>S09-EVAL-R04</x:v>
      </x:c>
      <x:c r="B27" s="2" t="str">
        <x:v>S09</x:v>
      </x:c>
      <x:c r="C27" s="2" t="str">
        <x:v>merged_1114-v1</x:v>
      </x:c>
      <x:c r="D27" s="2" t="str">
        <x:v>Reviewer_A</x:v>
      </x:c>
      <x:c r="E27" s="2" t="str">
        <x:v>Reviewer_A</x:v>
      </x:c>
      <x:c r="F27" s="2" t="str">
        <x:v>S09-EV04</x:v>
      </x:c>
      <x:c r="G27" s="2" t="str">
        <x:v>S09-T01</x:v>
      </x:c>
      <x:c r="H27" s="2" t="str">
        <x:v>Controlled experiment</x:v>
      </x:c>
      <x:c r="I27" s="2" t="str">
        <x:v>Five automotive datasets</x:v>
      </x:c>
      <x:c r="J27" s="2" t="str">
        <x:v>Same automotive subsystems</x:v>
      </x:c>
      <x:c r="K27" s="2" t="str">
        <x:v>NR</x:v>
      </x:c>
      <x:c r="L27" s="2" t="str">
        <x:v>Industrial offline data</x:v>
      </x:c>
      <x:c r="M27" s="2" t="str">
        <x:v>NR</x:v>
      </x:c>
      <x:c r="N27" s="2" t="str">
        <x:v>NR</x:v>
      </x:c>
      <x:c r="O27" s="2" t="str">
        <x:v>NR</x:v>
      </x:c>
      <x:c r="P27" s="2" t="str">
        <x:v>NR</x:v>
      </x:c>
      <x:c r="Q27" s="2" t="str">
        <x:v>NA</x:v>
      </x:c>
      <x:c r="R27" s="2" t="str">
        <x:v>NA</x:v>
      </x:c>
      <x:c r="S27" s="2" t="str">
        <x:v>Human-validated ground truth</x:v>
      </x:c>
      <x:c r="T27" s="2" t="str">
        <x:v>Human-validated</x:v>
      </x:c>
      <x:c r="U27" s="2" t="str">
        <x:v>NA</x:v>
      </x:c>
      <x:c r="V27" s="2" t="str">
        <x:v>Yes</x:v>
      </x:c>
      <x:c r="W27" s="2" t="str">
        <x:v>Precision;Recall;F1-Score;Queue Size</x:v>
      </x:c>
      <x:c r="X27" s="2" t="str">
        <x:v>trace link</x:v>
      </x:c>
      <x:c r="Y27" s="2" t="str">
        <x:v>No</x:v>
      </x:c>
      <x:c r="Z27" s="2" t="str">
        <x:v>NR</x:v>
      </x:c>
      <x:c r="AA27" s="2" t="str">
        <x:v>NR</x:v>
      </x:c>
      <x:c r="AB27" s="2" t="str">
        <x:v>No</x:v>
      </x:c>
      <x:c r="AC27" s="2" t="str">
        <x:v>No</x:v>
      </x:c>
      <x:c r="AD27" s="2" t="str">
        <x:v>NR</x:v>
      </x:c>
      <x:c r="AE27" s="6" t="str">
        <x:v>p. 7; Section IV-E, Table VII</x:v>
      </x:c>
      <x:c r="AF27" s="6" t="str">
        <x:v>The configuration θcreate = 0.7 emerges as the optimal balance, yielding a peak average F1-Score of 0.7958 with a manageable manual queue of 23.0 links.</x:v>
      </x:c>
      <x:c r="AG27" s="6" t="str">
        <x:v>实验4寻找最佳链接创建阈值以平衡自动化与人工工作。</x:v>
      </x:c>
      <x:c r="AH27" s="2" t="str">
        <x:v>Accepted</x:v>
      </x:c>
      <x:c r="AI27" s="6" t="str">
        <x:v>NR</x:v>
      </x:c>
    </x:row>
    <x:row r="28" ht="76" customHeight="1">
      <x:c r="A28" s="2" t="str">
        <x:v>S10-EVAL-R01</x:v>
      </x:c>
      <x:c r="B28" s="2" t="str">
        <x:v>S10</x:v>
      </x:c>
      <x:c r="C28" s="2" t="str">
        <x:v>merged_1119-v2</x:v>
      </x:c>
      <x:c r="D28" s="2" t="str">
        <x:v>Reviewer_A</x:v>
      </x:c>
      <x:c r="E28" s="2" t="str">
        <x:v>Reviewer_A</x:v>
      </x:c>
      <x:c r="F28" s="2" t="str">
        <x:v>S10-EV01</x:v>
      </x:c>
      <x:c r="G28" s="2" t="str">
        <x:v>S10-T01</x:v>
      </x:c>
      <x:c r="H28" s="2" t="str">
        <x:v>Demonstration</x:v>
      </x:c>
      <x:c r="I28" s="2" t="str">
        <x:v>Three datasets (EasyLink, BTLink, Apache)</x:v>
      </x:c>
      <x:c r="J28" s="2" t="str">
        <x:v>Collected from open-source projects (Apache, GitHub)</x:v>
      </x:c>
      <x:c r="K28" s="2" t="str">
        <x:v>Public</x:v>
      </x:c>
      <x:c r="L28" s="2" t="str">
        <x:v>Open-source project</x:v>
      </x:c>
      <x:c r="M28" s="2" t="str">
        <x:v>No (full datasets used for time window analysis)</x:v>
      </x:c>
      <x:c r="N28" s="2" t="str">
        <x:v>NR</x:v>
      </x:c>
      <x:c r="O28" s="2" t="str">
        <x:v>NR</x:v>
      </x:c>
      <x:c r="P28" s="2" t="str">
        <x:v>EasyLink: 159,592; BTLink: 39,051; Apache: 208,858</x:v>
      </x:c>
      <x:c r="Q28" s="2" t="str">
        <x:v>NA</x:v>
      </x:c>
      <x:c r="R28" s="2" t="str">
        <x:v>NA</x:v>
      </x:c>
      <x:c r="S28" s="2" t="str">
        <x:v>Developer-stated issue keys in commit messages</x:v>
      </x:c>
      <x:c r="T28" s="2" t="str">
        <x:v>Manual review of 400 random links (see EV2)</x:v>
      </x:c>
      <x:c r="U28" s="2" t="str">
        <x:v>NA</x:v>
      </x:c>
      <x:c r="V28" s="2" t="str">
        <x:v>No</x:v>
      </x:c>
      <x:c r="W28" s="2" t="str">
        <x:v>True link coverage percentage</x:v>
      </x:c>
      <x:c r="X28" s="2" t="str">
        <x:v>dataset</x:v>
      </x:c>
      <x:c r="Y28" s="2" t="str">
        <x:v>No</x:v>
      </x:c>
      <x:c r="Z28" s="2" t="str">
        <x:v>No</x:v>
      </x:c>
      <x:c r="AA28" s="2" t="str">
        <x:v>No</x:v>
      </x:c>
      <x:c r="AB28" s="2" t="str">
        <x:v>No</x:v>
      </x:c>
      <x:c r="AC28" s="2" t="str">
        <x:v>No</x:v>
      </x:c>
      <x:c r="AD28" s="2" t="str">
        <x:v>No</x:v>
      </x:c>
      <x:c r="AE28" s="6" t="str">
        <x:v>p. 5; Section 5.1, Approach</x:v>
      </x:c>
      <x:c r="AF28" s="6" t="str">
        <x:v>creation, b) one year window and seven days before and after issue closure, and c) one year window and thirty days before and after</x:v>
      </x:c>
      <x:c r="AG28" s="6" t="str">
        <x:v>通过不同的时间窗口组合分析真实链接的覆盖率，寻找最佳平衡点。</x:v>
      </x:c>
      <x:c r="AH28" s="2" t="str">
        <x:v>Accepted</x:v>
      </x:c>
      <x:c r="AI28" s="6" t="str">
        <x:v>NA</x:v>
      </x:c>
    </x:row>
    <x:row r="29" ht="76" customHeight="1">
      <x:c r="A29" s="2" t="str">
        <x:v>S10-EVAL-R02</x:v>
      </x:c>
      <x:c r="B29" s="2" t="str">
        <x:v>S10</x:v>
      </x:c>
      <x:c r="C29" s="2" t="str">
        <x:v>merged_1119-v2</x:v>
      </x:c>
      <x:c r="D29" s="2" t="str">
        <x:v>Reviewer_A</x:v>
      </x:c>
      <x:c r="E29" s="2" t="str">
        <x:v>Reviewer_A</x:v>
      </x:c>
      <x:c r="F29" s="2" t="str">
        <x:v>S10-EV02</x:v>
      </x:c>
      <x:c r="G29" s="2" t="str">
        <x:v>S10-T01</x:v>
      </x:c>
      <x:c r="H29" s="2" t="str">
        <x:v>Expert evaluation</x:v>
      </x:c>
      <x:c r="I29" s="2" t="str">
        <x:v>Apache dataset (validation subset)</x:v>
      </x:c>
      <x:c r="J29" s="2" t="str">
        <x:v>Randomly sampled 400 links from Apache dataset</x:v>
      </x:c>
      <x:c r="K29" s="2" t="str">
        <x:v>Public</x:v>
      </x:c>
      <x:c r="L29" s="2" t="str">
        <x:v>Open-source project</x:v>
      </x:c>
      <x:c r="M29" s="2" t="str">
        <x:v>NA</x:v>
      </x:c>
      <x:c r="N29" s="2" t="n">
        <x:v>400</x:v>
      </x:c>
      <x:c r="O29" s="2" t="str">
        <x:v>NA</x:v>
      </x:c>
      <x:c r="P29" s="2" t="str">
        <x:v>387 (after manual verification)</x:v>
      </x:c>
      <x:c r="Q29" s="2" t="str">
        <x:v>Authors of the study</x:v>
      </x:c>
      <x:c r="R29" s="2" t="n">
        <x:v>2</x:v>
      </x:c>
      <x:c r="S29" s="2" t="str">
        <x:v>Manual annotation by two authors, discussion for disagreements</x:v>
      </x:c>
      <x:c r="T29" s="2" t="str">
        <x:v>Cohen's kappa calculated (0.93)</x:v>
      </x:c>
      <x:c r="U29" s="2" t="str">
        <x:v>NA</x:v>
      </x:c>
      <x:c r="V29" s="2" t="str">
        <x:v>No</x:v>
      </x:c>
      <x:c r="W29" s="2" t="str">
        <x:v>Cohen's kappa</x:v>
      </x:c>
      <x:c r="X29" s="2" t="str">
        <x:v>trace link</x:v>
      </x:c>
      <x:c r="Y29" s="2" t="str">
        <x:v>Both authors independently labeled 400 random issue-commit pairs; disagreements resolved through discussion.</x:v>
      </x:c>
      <x:c r="Z29" s="2" t="str">
        <x:v>No</x:v>
      </x:c>
      <x:c r="AA29" s="2" t="str">
        <x:v>Cohen's kappa</x:v>
      </x:c>
      <x:c r="AB29" s="2" t="str">
        <x:v>NA</x:v>
      </x:c>
      <x:c r="AC29" s="2" t="str">
        <x:v>13 out of 400 links were incorrectly linked (commits referencing similar issues, merge commits, etc.)</x:v>
      </x:c>
      <x:c r="AD29" s="2" t="str">
        <x:v>No</x:v>
      </x:c>
      <x:c r="AE29" s="6" t="str">
        <x:v>p. 4; Section 3, Dataset Description, manual verification paragraph</x:v>
      </x:c>
      <x:c r="AF29" s="6" t="str">
        <x:v>We obtained a kappa value of 0.93 which indicates a high degree of agreement. Through this study, we found that 13 of 400 issues sampled from our Apache Dataset were incorrectly linked to their issue-fixing commits.</x:v>
      </x:c>
      <x:c r="AG29" s="6" t="str">
        <x:v>验证了通过提交消息中的issue键构建的真实链接数据集的高质量。</x:v>
      </x:c>
      <x:c r="AH29" s="2" t="str">
        <x:v>Accepted</x:v>
      </x:c>
      <x:c r="AI29" s="6" t="str">
        <x:v>NA</x:v>
      </x:c>
    </x:row>
    <x:row r="30" ht="76" customHeight="1">
      <x:c r="A30" s="2" t="str">
        <x:v>S10-EVAL-R03</x:v>
      </x:c>
      <x:c r="B30" s="2" t="str">
        <x:v>S10</x:v>
      </x:c>
      <x:c r="C30" s="2" t="str">
        <x:v>merged_1119-v2</x:v>
      </x:c>
      <x:c r="D30" s="2" t="str">
        <x:v>Reviewer_A</x:v>
      </x:c>
      <x:c r="E30" s="2" t="str">
        <x:v>Reviewer_A</x:v>
      </x:c>
      <x:c r="F30" s="2" t="str">
        <x:v>S10-EV03</x:v>
      </x:c>
      <x:c r="G30" s="2" t="str">
        <x:v>S10-T01</x:v>
      </x:c>
      <x:c r="H30" s="2" t="str">
        <x:v>Benchmark comparison</x:v>
      </x:c>
      <x:c r="I30" s="2" t="str">
        <x:v>Three datasets (EasyLink, BTLink, Apache)</x:v>
      </x:c>
      <x:c r="J30" s="2" t="str">
        <x:v>Same as EV1</x:v>
      </x:c>
      <x:c r="K30" s="2" t="str">
        <x:v>Public</x:v>
      </x:c>
      <x:c r="L30" s="2" t="str">
        <x:v>Open-source project</x:v>
      </x:c>
      <x:c r="M30" s="2" t="str">
        <x:v>No (full datasets used; no training involved)</x:v>
      </x:c>
      <x:c r="N30" s="2" t="str">
        <x:v>EasyLink: 54,922 issues; BTLink: 18,787; Apache: 130,538 (approximate)</x:v>
      </x:c>
      <x:c r="O30" s="2" t="str">
        <x:v>All commits within temporal window (per issue)</x:v>
      </x:c>
      <x:c r="P30" s="2" t="str">
        <x:v>Same as EV1</x:v>
      </x:c>
      <x:c r="Q30" s="2" t="str">
        <x:v>NA</x:v>
      </x:c>
      <x:c r="R30" s="2" t="str">
        <x:v>NA</x:v>
      </x:c>
      <x:c r="S30" s="2" t="str">
        <x:v>Same as EV1</x:v>
      </x:c>
      <x:c r="T30" s="2" t="str">
        <x:v>Same as EV2</x:v>
      </x:c>
      <x:c r="U30" s="2" t="str">
        <x:v>Multiple strengths</x:v>
      </x:c>
      <x:c r="V30" s="2" t="str">
        <x:v>No</x:v>
      </x:c>
      <x:c r="W30" s="2" t="str">
        <x:v>Recall@K; Precision@K; Hit@K; MRR@K; NDCG@K</x:v>
      </x:c>
      <x:c r="X30" s="2" t="str">
        <x:v>issue (query)</x:v>
      </x:c>
      <x:c r="Y30" s="2" t="str">
        <x:v>No</x:v>
      </x:c>
      <x:c r="Z30" s="2" t="str">
        <x:v>Issue keys removed from commit messages to prevent leakage.</x:v>
      </x:c>
      <x:c r="AA30" s="2" t="str">
        <x:v>No</x:v>
      </x:c>
      <x:c r="AB30" s="2" t="str">
        <x:v>No</x:v>
      </x:c>
      <x:c r="AC30" s="2" t="str">
        <x:v>Observations on BM25L and LSH weaknesses discussed.</x:v>
      </x:c>
      <x:c r="AD30" s="2" t="str">
        <x:v>No</x:v>
      </x:c>
      <x:c r="AE30" s="6" t="str">
        <x:v>p. 3; Section 4.1, para after retrieval methods list</x:v>
      </x:c>
      <x:c r="AF30" s="6" t="str">
        <x:v>We evaluated six retrievers previously studied by Pengfei et al. [11]: two sparse methods (BM25 and BM25L) and four dense meth-</x:v>
      </x:c>
      <x:c r="AG30" s="6" t="str">
        <x:v>在时间窗口候选集中比较稀疏与稠密检索器的性能，旨在选出最佳候选生成器。</x:v>
      </x:c>
      <x:c r="AH30" s="2" t="str">
        <x:v>Accepted</x:v>
      </x:c>
      <x:c r="AI30" s="6" t="str">
        <x:v>NA</x:v>
      </x:c>
    </x:row>
    <x:row r="31" ht="76" customHeight="1">
      <x:c r="A31" s="2" t="str">
        <x:v>S10-EVAL-R04</x:v>
      </x:c>
      <x:c r="B31" s="2" t="str">
        <x:v>S10</x:v>
      </x:c>
      <x:c r="C31" s="2" t="str">
        <x:v>merged_1119-v2</x:v>
      </x:c>
      <x:c r="D31" s="2" t="str">
        <x:v>Reviewer_A</x:v>
      </x:c>
      <x:c r="E31" s="2" t="str">
        <x:v>Reviewer_A</x:v>
      </x:c>
      <x:c r="F31" s="2" t="str">
        <x:v>S10-EV04</x:v>
      </x:c>
      <x:c r="G31" s="2" t="str">
        <x:v>S10-T01</x:v>
      </x:c>
      <x:c r="H31" s="2" t="str">
        <x:v>Benchmark comparison</x:v>
      </x:c>
      <x:c r="I31" s="2" t="str">
        <x:v>Three datasets (EasyLink, BTLink, Apache) with temporal test split</x:v>
      </x:c>
      <x:c r="J31" s="2" t="str">
        <x:v>Same as EV1</x:v>
      </x:c>
      <x:c r="K31" s="2" t="str">
        <x:v>Public</x:v>
      </x:c>
      <x:c r="L31" s="2" t="str">
        <x:v>Open-source project</x:v>
      </x:c>
      <x:c r="M31" s="2" t="str">
        <x:v>Temporal split: oldest 80% train+val, newest 20% test; for large datasets, test set capped at 1,000 issues, repeated 5 times.</x:v>
      </x:c>
      <x:c r="N31" s="2" t="str">
        <x:v>Test issues: EasyLink 10,996, BTLink 4,105, Apache 26,102</x:v>
      </x:c>
      <x:c r="O31" s="2" t="str">
        <x:v>Top-20 candidate commits from RRF retrieval per issue</x:v>
      </x:c>
      <x:c r="P31" s="2" t="str">
        <x:v>Majority of issues have exactly one true link; a few have two.</x:v>
      </x:c>
      <x:c r="Q31" s="2" t="str">
        <x:v>NA</x:v>
      </x:c>
      <x:c r="R31" s="2" t="str">
        <x:v>NA</x:v>
      </x:c>
      <x:c r="S31" s="2" t="str">
        <x:v>Same as EV1</x:v>
      </x:c>
      <x:c r="T31" s="2" t="str">
        <x:v>Same as EV2</x:v>
      </x:c>
      <x:c r="U31" s="2" t="str">
        <x:v>Multiple strengths</x:v>
      </x:c>
      <x:c r="V31" s="2" t="str">
        <x:v>No</x:v>
      </x:c>
      <x:c r="W31" s="2" t="str">
        <x:v>P@1; R@1; P@10; Hit@10; R@10; MRR@10; NDCG@10; P@20; Hit@20; R@20; MRR@20; NDCG@20</x:v>
      </x:c>
      <x:c r="X31" s="2" t="str">
        <x:v>issue (query)</x:v>
      </x:c>
      <x:c r="Y31" s="2" t="str">
        <x:v>No</x:v>
      </x:c>
      <x:c r="Z31" s="2" t="str">
        <x:v>Issue keys removed; temporal split ensures no future information leakage.</x:v>
      </x:c>
      <x:c r="AA31" s="2" t="str">
        <x:v>No</x:v>
      </x:c>
      <x:c r="AB31" s="2" t="str">
        <x:v>No</x:v>
      </x:c>
      <x:c r="AC31" s="2" t="str">
        <x:v>Discussion of poor performance of Hybrid-Linker.</x:v>
      </x:c>
      <x:c r="AD31" s="2" t="str">
        <x:v>No</x:v>
      </x:c>
      <x:c r="AE31" s="6" t="str">
        <x:v>p. 8; Section 5.3, Approach</x:v>
      </x:c>
      <x:c r="AF31" s="6" t="str">
        <x:v>We evaluated reranking techniques using 𝐾 = 20, meaning reranking techniques were given 20 commits per issue collected by retrieval methods.</x:v>
      </x:c>
      <x:c r="AG31" s="6" t="str">
        <x:v>在统一检索结果的基础上对比多种重排序方法，包括传统ML、交叉编码器和LLM，评估其精确排序能力。</x:v>
      </x:c>
      <x:c r="AH31" s="2" t="str">
        <x:v>Accepted</x:v>
      </x:c>
      <x:c r="AI31" s="6" t="str">
        <x:v>NA</x:v>
      </x:c>
    </x:row>
    <x:row r="32" ht="76" customHeight="1">
      <x:c r="A32" s="2" t="str">
        <x:v>S11-EVAL-R01</x:v>
      </x:c>
      <x:c r="B32" s="2" t="str">
        <x:v>S11</x:v>
      </x:c>
      <x:c r="C32" s="2" t="str">
        <x:v>merged_1121-v1</x:v>
      </x:c>
      <x:c r="D32" s="2" t="str">
        <x:v>Reviewer_A</x:v>
      </x:c>
      <x:c r="E32" s="2" t="str">
        <x:v>Reviewer_A</x:v>
      </x:c>
      <x:c r="F32" s="2" t="str">
        <x:v>S11-EV01</x:v>
      </x:c>
      <x:c r="G32" s="2" t="str">
        <x:v>S11-T01</x:v>
      </x:c>
      <x:c r="H32" s="2" t="str">
        <x:v>Benchmark comparison</x:v>
      </x:c>
      <x:c r="I32" s="2" t="str">
        <x:v>iTrust</x:v>
      </x:c>
      <x:c r="J32" s="2" t="str">
        <x:v>CoEST Java datasets</x:v>
      </x:c>
      <x:c r="K32" s="2" t="str">
        <x:v>Public</x:v>
      </x:c>
      <x:c r="L32" s="2" t="str">
        <x:v>Academic benchmark</x:v>
      </x:c>
      <x:c r="M32" s="2" t="str">
        <x:v>NA</x:v>
      </x:c>
      <x:c r="N32" s="2" t="n">
        <x:v>335</x:v>
      </x:c>
      <x:c r="O32" s="2" t="n">
        <x:v>1818</x:v>
      </x:c>
      <x:c r="P32" s="2" t="n">
        <x:v>1156</x:v>
      </x:c>
      <x:c r="Q32" s="2" t="str">
        <x:v>NA</x:v>
      </x:c>
      <x:c r="R32" s="2" t="str">
        <x:v>NA</x:v>
      </x:c>
      <x:c r="S32" s="2" t="str">
        <x:v>manually curated ground-truth traceability links</x:v>
      </x:c>
      <x:c r="T32" s="2" t="str">
        <x:v>NR</x:v>
      </x:c>
      <x:c r="U32" s="2" t="str">
        <x:v>Multiple strengths</x:v>
      </x:c>
      <x:c r="V32" s="2" t="str">
        <x:v>No</x:v>
      </x:c>
      <x:c r="W32" s="2" t="str">
        <x:v>F1; Recall; Precision; MRR; P@10; R@10</x:v>
      </x:c>
      <x:c r="X32" s="2" t="str">
        <x:v>artifact pair</x:v>
      </x:c>
      <x:c r="Y32" s="2" t="str">
        <x:v>No</x:v>
      </x:c>
      <x:c r="Z32" s="2" t="str">
        <x:v>No</x:v>
      </x:c>
      <x:c r="AA32" s="2" t="str">
        <x:v>No</x:v>
      </x:c>
      <x:c r="AB32" s="2" t="str">
        <x:v>No</x:v>
      </x:c>
      <x:c r="AC32" s="2" t="str">
        <x:v>No</x:v>
      </x:c>
      <x:c r="AD32" s="2" t="str">
        <x:v>Mentioned in threats section</x:v>
      </x:c>
      <x:c r="AE32" s="6" t="str">
        <x:v>p. 7; Table III</x:v>
      </x:c>
      <x:c r="AF32" s="6" t="str">
        <x:v>TABLE III: Overall Performance on the iTrust Dataset</x:v>
      </x:c>
      <x:c r="AG32" s="6" t="str">
        <x:v>在iTrust数据集上对比经典IR、稠密检索和RAG+LLM基线。</x:v>
      </x:c>
      <x:c r="AH32" s="2" t="str">
        <x:v>Accepted</x:v>
      </x:c>
      <x:c r="AI32" s="6" t="str">
        <x:v>NA</x:v>
      </x:c>
    </x:row>
    <x:row r="33" ht="76" customHeight="1">
      <x:c r="A33" s="2" t="str">
        <x:v>S11-EVAL-R02</x:v>
      </x:c>
      <x:c r="B33" s="2" t="str">
        <x:v>S11</x:v>
      </x:c>
      <x:c r="C33" s="2" t="str">
        <x:v>merged_1121-v1</x:v>
      </x:c>
      <x:c r="D33" s="2" t="str">
        <x:v>Reviewer_A</x:v>
      </x:c>
      <x:c r="E33" s="2" t="str">
        <x:v>Reviewer_A</x:v>
      </x:c>
      <x:c r="F33" s="2" t="str">
        <x:v>S11-EV02</x:v>
      </x:c>
      <x:c r="G33" s="2" t="str">
        <x:v>S11-T01</x:v>
      </x:c>
      <x:c r="H33" s="2" t="str">
        <x:v>Benchmark comparison</x:v>
      </x:c>
      <x:c r="I33" s="2" t="str">
        <x:v>iTrust</x:v>
      </x:c>
      <x:c r="J33" s="2" t="str">
        <x:v>CoEST Java datasets</x:v>
      </x:c>
      <x:c r="K33" s="2" t="str">
        <x:v>Public</x:v>
      </x:c>
      <x:c r="L33" s="2" t="str">
        <x:v>Academic benchmark</x:v>
      </x:c>
      <x:c r="M33" s="2" t="str">
        <x:v>NA</x:v>
      </x:c>
      <x:c r="N33" s="2" t="n">
        <x:v>335</x:v>
      </x:c>
      <x:c r="O33" s="2" t="n">
        <x:v>1818</x:v>
      </x:c>
      <x:c r="P33" s="2" t="n">
        <x:v>1156</x:v>
      </x:c>
      <x:c r="Q33" s="2" t="str">
        <x:v>NA</x:v>
      </x:c>
      <x:c r="R33" s="2" t="str">
        <x:v>NA</x:v>
      </x:c>
      <x:c r="S33" s="2" t="str">
        <x:v>same as EV1</x:v>
      </x:c>
      <x:c r="T33" s="2" t="str">
        <x:v>NR</x:v>
      </x:c>
      <x:c r="U33" s="2" t="str">
        <x:v>Multiple strengths</x:v>
      </x:c>
      <x:c r="V33" s="2" t="str">
        <x:v>Yes</x:v>
      </x:c>
      <x:c r="W33" s="2" t="str">
        <x:v>F1; Precision; Recall</x:v>
      </x:c>
      <x:c r="X33" s="2" t="str">
        <x:v>artifact pair</x:v>
      </x:c>
      <x:c r="Y33" s="2" t="str">
        <x:v>No</x:v>
      </x:c>
      <x:c r="Z33" s="2" t="str">
        <x:v>No</x:v>
      </x:c>
      <x:c r="AA33" s="2" t="str">
        <x:v>No</x:v>
      </x:c>
      <x:c r="AB33" s="2" t="str">
        <x:v>No</x:v>
      </x:c>
      <x:c r="AC33" s="2" t="str">
        <x:v>No</x:v>
      </x:c>
      <x:c r="AD33" s="2" t="str">
        <x:v>NA</x:v>
      </x:c>
      <x:c r="AE33" s="6" t="str">
        <x:v>p. 7; Table IV</x:v>
      </x:c>
      <x:c r="AF33" s="6" t="str">
        <x:v>TABLE IV: Ablation Study on the iTrust Dataset</x:v>
      </x:c>
      <x:c r="AG33" s="6" t="str">
        <x:v>在iTrust上通过逐步移除组件进行消融研究。</x:v>
      </x:c>
      <x:c r="AH33" s="2" t="str">
        <x:v>Accepted</x:v>
      </x:c>
      <x:c r="AI33" s="6" t="str">
        <x:v>NA</x:v>
      </x:c>
    </x:row>
    <x:row r="34" ht="76" customHeight="1">
      <x:c r="A34" s="2" t="str">
        <x:v>S11-EVAL-R03</x:v>
      </x:c>
      <x:c r="B34" s="2" t="str">
        <x:v>S11</x:v>
      </x:c>
      <x:c r="C34" s="2" t="str">
        <x:v>merged_1121-v1</x:v>
      </x:c>
      <x:c r="D34" s="2" t="str">
        <x:v>Reviewer_A</x:v>
      </x:c>
      <x:c r="E34" s="2" t="str">
        <x:v>Reviewer_A</x:v>
      </x:c>
      <x:c r="F34" s="2" t="str">
        <x:v>S11-EV03</x:v>
      </x:c>
      <x:c r="G34" s="2" t="str">
        <x:v>S11-T01</x:v>
      </x:c>
      <x:c r="H34" s="2" t="str">
        <x:v>Benchmark comparison</x:v>
      </x:c>
      <x:c r="I34" s="2" t="str">
        <x:v>iTrust, eTour, SMOS, eANCI, RETRO.NET</x:v>
      </x:c>
      <x:c r="J34" s="2" t="str">
        <x:v>CoEST and RETRO.NET</x:v>
      </x:c>
      <x:c r="K34" s="2" t="str">
        <x:v>Public</x:v>
      </x:c>
      <x:c r="L34" s="2" t="str">
        <x:v>Academic benchmark</x:v>
      </x:c>
      <x:c r="M34" s="2" t="str">
        <x:v>NA</x:v>
      </x:c>
      <x:c r="N34" s="2" t="str">
        <x:v>66 to 335</x:v>
      </x:c>
      <x:c r="O34" s="2" t="str">
        <x:v>118 to 1818</x:v>
      </x:c>
      <x:c r="P34" s="2" t="str">
        <x:v>74 to 1162</x:v>
      </x:c>
      <x:c r="Q34" s="2" t="str">
        <x:v>NA</x:v>
      </x:c>
      <x:c r="R34" s="2" t="str">
        <x:v>NA</x:v>
      </x:c>
      <x:c r="S34" s="2" t="str">
        <x:v>manually curated per dataset</x:v>
      </x:c>
      <x:c r="T34" s="2" t="str">
        <x:v>NR</x:v>
      </x:c>
      <x:c r="U34" s="2" t="str">
        <x:v>Multiple strengths</x:v>
      </x:c>
      <x:c r="V34" s="2" t="str">
        <x:v>No</x:v>
      </x:c>
      <x:c r="W34" s="2" t="str">
        <x:v>F1; Gain (%)</x:v>
      </x:c>
      <x:c r="X34" s="2" t="str">
        <x:v>artifact pair</x:v>
      </x:c>
      <x:c r="Y34" s="2" t="str">
        <x:v>No</x:v>
      </x:c>
      <x:c r="Z34" s="2" t="str">
        <x:v>No</x:v>
      </x:c>
      <x:c r="AA34" s="2" t="str">
        <x:v>No</x:v>
      </x:c>
      <x:c r="AB34" s="2" t="str">
        <x:v>No</x:v>
      </x:c>
      <x:c r="AC34" s="2" t="str">
        <x:v>No</x:v>
      </x:c>
      <x:c r="AD34" s="2" t="str">
        <x:v>NA</x:v>
      </x:c>
      <x:c r="AE34" s="6" t="str">
        <x:v>p. 7; Table V</x:v>
      </x:c>
      <x:c r="AF34" s="6" t="str">
        <x:v>TABLE V: Cross-Dataset Performance Consistency</x:v>
      </x:c>
      <x:c r="AG34" s="6" t="str">
        <x:v>在五个不同领域和语言的公开数据集上评估一致性。</x:v>
      </x:c>
      <x:c r="AH34" s="2" t="str">
        <x:v>Accepted</x:v>
      </x:c>
      <x:c r="AI34" s="6" t="str">
        <x:v>NA</x:v>
      </x:c>
    </x:row>
    <x:row r="35" ht="76" customHeight="1">
      <x:c r="A35" s="2" t="str">
        <x:v>S11-EVAL-R04</x:v>
      </x:c>
      <x:c r="B35" s="2" t="str">
        <x:v>S11</x:v>
      </x:c>
      <x:c r="C35" s="2" t="str">
        <x:v>merged_1121-v1</x:v>
      </x:c>
      <x:c r="D35" s="2" t="str">
        <x:v>Reviewer_A</x:v>
      </x:c>
      <x:c r="E35" s="2" t="str">
        <x:v>Reviewer_A</x:v>
      </x:c>
      <x:c r="F35" s="2" t="str">
        <x:v>S11-EV04</x:v>
      </x:c>
      <x:c r="G35" s="2" t="str">
        <x:v>S11-T01</x:v>
      </x:c>
      <x:c r="H35" s="2" t="str">
        <x:v>Benchmark comparison</x:v>
      </x:c>
      <x:c r="I35" s="2" t="str">
        <x:v>iTrust</x:v>
      </x:c>
      <x:c r="J35" s="2" t="str">
        <x:v>CoEST Java datasets</x:v>
      </x:c>
      <x:c r="K35" s="2" t="str">
        <x:v>Public</x:v>
      </x:c>
      <x:c r="L35" s="2" t="str">
        <x:v>Academic benchmark</x:v>
      </x:c>
      <x:c r="M35" s="2" t="str">
        <x:v>NA</x:v>
      </x:c>
      <x:c r="N35" s="2" t="n">
        <x:v>335</x:v>
      </x:c>
      <x:c r="O35" s="2" t="n">
        <x:v>1818</x:v>
      </x:c>
      <x:c r="P35" s="2" t="n">
        <x:v>1156</x:v>
      </x:c>
      <x:c r="Q35" s="2" t="str">
        <x:v>NA</x:v>
      </x:c>
      <x:c r="R35" s="2" t="str">
        <x:v>NA</x:v>
      </x:c>
      <x:c r="S35" s="2" t="str">
        <x:v>same as EV1</x:v>
      </x:c>
      <x:c r="T35" s="2" t="str">
        <x:v>NR</x:v>
      </x:c>
      <x:c r="U35" s="2" t="str">
        <x:v>Multiple strengths</x:v>
      </x:c>
      <x:c r="V35" s="2" t="str">
        <x:v>Yes (Fixed RAG vs DCAR)</x:v>
      </x:c>
      <x:c r="W35" s="2" t="str">
        <x:v>F1; Input Tokens; Output Tokens; Runtime (s); Cost (USD); True Positives; Cost/TP (USD); Tokens per pair; Total tokens; Avg. retrieved files</x:v>
      </x:c>
      <x:c r="X35" s="2" t="str">
        <x:v>dataset</x:v>
      </x:c>
      <x:c r="Y35" s="2" t="str">
        <x:v>No</x:v>
      </x:c>
      <x:c r="Z35" s="2" t="str">
        <x:v>No</x:v>
      </x:c>
      <x:c r="AA35" s="2" t="str">
        <x:v>No</x:v>
      </x:c>
      <x:c r="AB35" s="2" t="str">
        <x:v>No</x:v>
      </x:c>
      <x:c r="AC35" s="2" t="str">
        <x:v>No</x:v>
      </x:c>
      <x:c r="AD35" s="2" t="str">
        <x:v>NA</x:v>
      </x:c>
      <x:c r="AE35" s="6" t="str">
        <x:v>p. 9; Tables VI, VII</x:v>
      </x:c>
      <x:c r="AF35" s="6" t="str">
        <x:v>TABLE VI: Efficiency and cost summary on the iTrust dataset TABLE VII: Retrieval-stage efficiency: Fixed RAG vs.</x:v>
      </x:c>
      <x:c r="AG35" s="6" t="str">
        <x:v>在iTrust上评估令牌消耗、运行时和成本效率。</x:v>
      </x:c>
      <x:c r="AH35" s="2" t="str">
        <x:v>Accepted</x:v>
      </x:c>
      <x:c r="AI35" s="6" t="str">
        <x:v>NA</x:v>
      </x:c>
    </x:row>
    <x:row r="36" ht="76" customHeight="1">
      <x:c r="A36" s="2" t="str">
        <x:v>S12-EVAL-R01</x:v>
      </x:c>
      <x:c r="B36" s="2" t="str">
        <x:v>S12</x:v>
      </x:c>
      <x:c r="C36" s="2" t="str">
        <x:v>merged_1133</x:v>
      </x:c>
      <x:c r="D36" s="2" t="str">
        <x:v>Reviewer_A</x:v>
      </x:c>
      <x:c r="E36" s="2" t="str">
        <x:v>Reviewer_A</x:v>
      </x:c>
      <x:c r="F36" s="2" t="str">
        <x:v>S12-EV01</x:v>
      </x:c>
      <x:c r="G36" s="2" t="str">
        <x:v>S12-T01</x:v>
      </x:c>
      <x:c r="H36" s="2" t="str">
        <x:v>Demonstration</x:v>
      </x:c>
      <x:c r="I36" s="2" t="str">
        <x:v>CM1 (validation set)</x:v>
      </x:c>
      <x:c r="J36" s="2" t="str">
        <x:v>CM1 dataset, split into training/validation/test</x:v>
      </x:c>
      <x:c r="K36" s="2" t="str">
        <x:v>Public</x:v>
      </x:c>
      <x:c r="L36" s="2" t="str">
        <x:v>Academic benchmark</x:v>
      </x:c>
      <x:c r="M36" s="2" t="str">
        <x:v>4:2:4 (train:val:test), validation set used</x:v>
      </x:c>
      <x:c r="N36" s="2" t="str">
        <x:v>NR</x:v>
      </x:c>
      <x:c r="O36" s="2" t="str">
        <x:v>NR</x:v>
      </x:c>
      <x:c r="P36" s="2" t="str">
        <x:v>NR</x:v>
      </x:c>
      <x:c r="Q36" s="2" t="str">
        <x:v>NA</x:v>
      </x:c>
      <x:c r="R36" s="2" t="str">
        <x:v>NA</x:v>
      </x:c>
      <x:c r="S36" s="2" t="str">
        <x:v>original CM1 annotations</x:v>
      </x:c>
      <x:c r="T36" s="2" t="str">
        <x:v>used as provided</x:v>
      </x:c>
      <x:c r="U36" s="2" t="str">
        <x:v>Weak</x:v>
      </x:c>
      <x:c r="V36" s="2" t="str">
        <x:v>No</x:v>
      </x:c>
      <x:c r="W36" s="2" t="str">
        <x:v>Precision;Recall;F1;F2</x:v>
      </x:c>
      <x:c r="X36" s="2" t="str">
        <x:v>artifact pair</x:v>
      </x:c>
      <x:c r="Y36" s="2" t="str">
        <x:v>No</x:v>
      </x:c>
      <x:c r="Z36" s="2" t="str">
        <x:v>No</x:v>
      </x:c>
      <x:c r="AA36" s="2" t="str">
        <x:v>No</x:v>
      </x:c>
      <x:c r="AB36" s="2" t="str">
        <x:v>Standard deviation</x:v>
      </x:c>
      <x:c r="AC36" s="2" t="str">
        <x:v>No</x:v>
      </x:c>
      <x:c r="AD36" s="2" t="str">
        <x:v>No</x:v>
      </x:c>
      <x:c r="AE36" s="6" t="str">
        <x:v>p. 7; Section 3.1</x:v>
      </x:c>
      <x:c r="AF36" s="6" t="str">
        <x:v>We split the dataset with a ratio of 4:2:4 for Tr:V:T, as the training set in ICL is used only for selecting few-shot demonstrations, allowing us to maximize the test data for robust evaluation.</x:v>
      </x:c>
      <x:c r="AG36" s="6" t="str">
        <x:v>在提示设计阶段，使用CM1的验证集对多种提示变体进行评估，以选择最佳提示。</x:v>
      </x:c>
      <x:c r="AH36" s="2" t="str">
        <x:v>Accepted</x:v>
      </x:c>
      <x:c r="AI36" s="6" t="str">
        <x:v>NA</x:v>
      </x:c>
    </x:row>
    <x:row r="37" ht="76" customHeight="1">
      <x:c r="A37" s="2" t="str">
        <x:v>S12-EVAL-R02</x:v>
      </x:c>
      <x:c r="B37" s="2" t="str">
        <x:v>S12</x:v>
      </x:c>
      <x:c r="C37" s="2" t="str">
        <x:v>merged_1133</x:v>
      </x:c>
      <x:c r="D37" s="2" t="str">
        <x:v>Reviewer_A</x:v>
      </x:c>
      <x:c r="E37" s="2" t="str">
        <x:v>Reviewer_A</x:v>
      </x:c>
      <x:c r="F37" s="2" t="str">
        <x:v>S12-EV02</x:v>
      </x:c>
      <x:c r="G37" s="2" t="str">
        <x:v>S12-T01</x:v>
      </x:c>
      <x:c r="H37" s="2" t="str">
        <x:v>Benchmark comparison</x:v>
      </x:c>
      <x:c r="I37" s="2" t="str">
        <x:v>CM1 (test set)</x:v>
      </x:c>
      <x:c r="J37" s="2" t="str">
        <x:v>CM1 dataset</x:v>
      </x:c>
      <x:c r="K37" s="2" t="str">
        <x:v>Public</x:v>
      </x:c>
      <x:c r="L37" s="2" t="str">
        <x:v>Academic benchmark</x:v>
      </x:c>
      <x:c r="M37" s="2" t="str">
        <x:v>4:2:4, test set 40%</x:v>
      </x:c>
      <x:c r="N37" s="2" t="str">
        <x:v>Unclear</x:v>
      </x:c>
      <x:c r="O37" s="2" t="str">
        <x:v>Unclear</x:v>
      </x:c>
      <x:c r="P37" s="2" t="str">
        <x:v>Unclear</x:v>
      </x:c>
      <x:c r="Q37" s="2" t="str">
        <x:v>NA</x:v>
      </x:c>
      <x:c r="R37" s="2" t="str">
        <x:v>NA</x:v>
      </x:c>
      <x:c r="S37" s="2" t="str">
        <x:v>CM1 traceability matrix</x:v>
      </x:c>
      <x:c r="T37" s="2" t="str">
        <x:v>used as provided</x:v>
      </x:c>
      <x:c r="U37" s="2" t="str">
        <x:v>None</x:v>
      </x:c>
      <x:c r="V37" s="2" t="str">
        <x:v>Yes</x:v>
      </x:c>
      <x:c r="W37" s="2" t="str">
        <x:v>Precision;Recall;F2-score</x:v>
      </x:c>
      <x:c r="X37" s="2" t="str">
        <x:v>artifact pair</x:v>
      </x:c>
      <x:c r="Y37" s="2" t="str">
        <x:v>No</x:v>
      </x:c>
      <x:c r="Z37" s="2" t="str">
        <x:v>Unclear</x:v>
      </x:c>
      <x:c r="AA37" s="2" t="str">
        <x:v>No</x:v>
      </x:c>
      <x:c r="AB37" s="2" t="str">
        <x:v>Standard deviation</x:v>
      </x:c>
      <x:c r="AC37" s="2" t="str">
        <x:v>No</x:v>
      </x:c>
      <x:c r="AD37" s="2" t="str">
        <x:v>Discussed in Section 7</x:v>
      </x:c>
      <x:c r="AE37" s="6" t="str">
        <x:v>p. 27; Section 6.1.3, Table 4</x:v>
      </x:c>
      <x:c r="AF37" s="6" t="str">
        <x:v>Table 4 provides a detailed comparison of precision, recall, and F2-score of gpt-4o-mini under different shot/repeat (S/R) configurations</x:v>
      </x:c>
      <x:c r="AG37" s="6" t="str">
        <x:v>在CM1测试集上对优化提示P6进行零样本和少样本评估，展示了提示工程的效果。</x:v>
      </x:c>
      <x:c r="AH37" s="2" t="str">
        <x:v>Accepted</x:v>
      </x:c>
      <x:c r="AI37" s="6" t="str">
        <x:v>NA</x:v>
      </x:c>
    </x:row>
    <x:row r="38" ht="76" customHeight="1">
      <x:c r="A38" s="2" t="str">
        <x:v>S12-EVAL-R03</x:v>
      </x:c>
      <x:c r="B38" s="2" t="str">
        <x:v>S12</x:v>
      </x:c>
      <x:c r="C38" s="2" t="str">
        <x:v>merged_1133</x:v>
      </x:c>
      <x:c r="D38" s="2" t="str">
        <x:v>Reviewer_A</x:v>
      </x:c>
      <x:c r="E38" s="2" t="str">
        <x:v>Reviewer_A</x:v>
      </x:c>
      <x:c r="F38" s="2" t="str">
        <x:v>S12-EV03</x:v>
      </x:c>
      <x:c r="G38" s="2" t="str">
        <x:v>S12-T01</x:v>
      </x:c>
      <x:c r="H38" s="2" t="str">
        <x:v>Benchmark comparison</x:v>
      </x:c>
      <x:c r="I38" s="2" t="str">
        <x:v>CM1 (test set)</x:v>
      </x:c>
      <x:c r="J38" s="2" t="str">
        <x:v>CM1 dataset</x:v>
      </x:c>
      <x:c r="K38" s="2" t="str">
        <x:v>Public</x:v>
      </x:c>
      <x:c r="L38" s="2" t="str">
        <x:v>Academic benchmark</x:v>
      </x:c>
      <x:c r="M38" s="2" t="str">
        <x:v>same as EV1, test set</x:v>
      </x:c>
      <x:c r="N38" s="2" t="str">
        <x:v>Unclear</x:v>
      </x:c>
      <x:c r="O38" s="2" t="str">
        <x:v>Unclear</x:v>
      </x:c>
      <x:c r="P38" s="2" t="str">
        <x:v>Unclear</x:v>
      </x:c>
      <x:c r="Q38" s="2" t="str">
        <x:v>NA</x:v>
      </x:c>
      <x:c r="R38" s="2" t="str">
        <x:v>NA</x:v>
      </x:c>
      <x:c r="S38" s="2" t="str">
        <x:v>CM1 annotations</x:v>
      </x:c>
      <x:c r="T38" s="2" t="str">
        <x:v>same</x:v>
      </x:c>
      <x:c r="U38" s="2" t="str">
        <x:v>Multiple strengths</x:v>
      </x:c>
      <x:c r="V38" s="2" t="str">
        <x:v>Yes</x:v>
      </x:c>
      <x:c r="W38" s="2" t="str">
        <x:v>Precision;Recall;F2-score</x:v>
      </x:c>
      <x:c r="X38" s="2" t="str">
        <x:v>artifact pair</x:v>
      </x:c>
      <x:c r="Y38" s="2" t="str">
        <x:v>No</x:v>
      </x:c>
      <x:c r="Z38" s="2" t="str">
        <x:v>No</x:v>
      </x:c>
      <x:c r="AA38" s="2" t="str">
        <x:v>Wilcoxon Signed-Rank test</x:v>
      </x:c>
      <x:c r="AB38" s="2" t="str">
        <x:v>Standard deviation</x:v>
      </x:c>
      <x:c r="AC38" s="2" t="str">
        <x:v>No</x:v>
      </x:c>
      <x:c r="AD38" s="2" t="str">
        <x:v>Discussed in Section 7</x:v>
      </x:c>
      <x:c r="AE38" s="6" t="str">
        <x:v>p. 29; Section 6.2, Table 6</x:v>
      </x:c>
      <x:c r="AF38" s="6" t="str">
        <x:v>Table 6. Each sub-table reports the performance of a single LLM across two groups, one using the reused prompt and the other using an LLM-specific prompt, evaluated under different shot settings.</x:v>
      </x:c>
      <x:c r="AG38" s="6" t="str">
        <x:v>跨8个LLMs评估提示的泛化性，比较复用提示与模型特定提示的性能差异。</x:v>
      </x:c>
      <x:c r="AH38" s="2" t="str">
        <x:v>Accepted</x:v>
      </x:c>
      <x:c r="AI38" s="6" t="str">
        <x:v>NA</x:v>
      </x:c>
    </x:row>
    <x:row r="39" ht="76" customHeight="1">
      <x:c r="A39" s="2" t="str">
        <x:v>S12-EVAL-R04</x:v>
      </x:c>
      <x:c r="B39" s="2" t="str">
        <x:v>S12</x:v>
      </x:c>
      <x:c r="C39" s="2" t="str">
        <x:v>merged_1133</x:v>
      </x:c>
      <x:c r="D39" s="2" t="str">
        <x:v>Reviewer_A</x:v>
      </x:c>
      <x:c r="E39" s="2" t="str">
        <x:v>Reviewer_A</x:v>
      </x:c>
      <x:c r="F39" s="2" t="str">
        <x:v>S12-EV04</x:v>
      </x:c>
      <x:c r="G39" s="2" t="str">
        <x:v>S12-T01</x:v>
      </x:c>
      <x:c r="H39" s="2" t="str">
        <x:v>Benchmark comparison</x:v>
      </x:c>
      <x:c r="I39" s="2" t="str">
        <x:v>CM1 (test set)</x:v>
      </x:c>
      <x:c r="J39" s="2" t="str">
        <x:v>CM1 dataset</x:v>
      </x:c>
      <x:c r="K39" s="2" t="str">
        <x:v>Public</x:v>
      </x:c>
      <x:c r="L39" s="2" t="str">
        <x:v>Academic benchmark</x:v>
      </x:c>
      <x:c r="M39" s="2" t="str">
        <x:v>same test set</x:v>
      </x:c>
      <x:c r="N39" s="2" t="str">
        <x:v>Unclear</x:v>
      </x:c>
      <x:c r="O39" s="2" t="str">
        <x:v>Unclear</x:v>
      </x:c>
      <x:c r="P39" s="2" t="str">
        <x:v>Unclear</x:v>
      </x:c>
      <x:c r="Q39" s="2" t="str">
        <x:v>NA</x:v>
      </x:c>
      <x:c r="R39" s="2" t="str">
        <x:v>NA</x:v>
      </x:c>
      <x:c r="S39" s="2" t="str">
        <x:v>CM1 annotations</x:v>
      </x:c>
      <x:c r="T39" s="2" t="str">
        <x:v>same</x:v>
      </x:c>
      <x:c r="U39" s="2" t="str">
        <x:v>Weak</x:v>
      </x:c>
      <x:c r="V39" s="2" t="str">
        <x:v>Yes</x:v>
      </x:c>
      <x:c r="W39" s="2" t="str">
        <x:v>Precision;Recall;F2-score</x:v>
      </x:c>
      <x:c r="X39" s="2" t="str">
        <x:v>artifact pair</x:v>
      </x:c>
      <x:c r="Y39" s="2" t="str">
        <x:v>No</x:v>
      </x:c>
      <x:c r="Z39" s="2" t="str">
        <x:v>No</x:v>
      </x:c>
      <x:c r="AA39" s="2" t="str">
        <x:v>p-values reported</x:v>
      </x:c>
      <x:c r="AB39" s="2" t="str">
        <x:v>Standard deviation</x:v>
      </x:c>
      <x:c r="AC39" s="2" t="str">
        <x:v>No</x:v>
      </x:c>
      <x:c r="AD39" s="2" t="str">
        <x:v>No</x:v>
      </x:c>
      <x:c r="AE39" s="6" t="str">
        <x:v>p. 32; Section 6.3, Table 7</x:v>
      </x:c>
      <x:c r="AF39" s="6" t="str">
        <x:v>Table 7 presents a comparison of the effect of the demonstrations selection strategies on performance across different shot settings, using the Random strategy as a baseline.</x:v>
      </x:c>
      <x:c r="AG39" s="6" t="str">
        <x:v>在CM1上评估不同演示选择策略对少样本学习性能的影响。</x:v>
      </x:c>
      <x:c r="AH39" s="2" t="str">
        <x:v>Accepted</x:v>
      </x:c>
      <x:c r="AI39" s="6" t="str">
        <x:v>They used label-aware sampling for all strategies, and compared with Random.</x:v>
      </x:c>
    </x:row>
    <x:row r="40" ht="76" customHeight="1">
      <x:c r="A40" s="2" t="str">
        <x:v>S12-EVAL-R05</x:v>
      </x:c>
      <x:c r="B40" s="2" t="str">
        <x:v>S12</x:v>
      </x:c>
      <x:c r="C40" s="2" t="str">
        <x:v>merged_1133</x:v>
      </x:c>
      <x:c r="D40" s="2" t="str">
        <x:v>Reviewer_A</x:v>
      </x:c>
      <x:c r="E40" s="2" t="str">
        <x:v>Reviewer_A</x:v>
      </x:c>
      <x:c r="F40" s="2" t="str">
        <x:v>S12-EV05</x:v>
      </x:c>
      <x:c r="G40" s="2" t="str">
        <x:v>S12-T01</x:v>
      </x:c>
      <x:c r="H40" s="2" t="str">
        <x:v>Benchmark comparison</x:v>
      </x:c>
      <x:c r="I40" s="2" t="str">
        <x:v>CM1</x:v>
      </x:c>
      <x:c r="J40" s="2" t="str">
        <x:v>Various public benchmarks</x:v>
      </x:c>
      <x:c r="K40" s="2" t="str">
        <x:v>Public</x:v>
      </x:c>
      <x:c r="L40" s="2" t="str">
        <x:v>Academic benchmark</x:v>
      </x:c>
      <x:c r="M40" s="2" t="str">
        <x:v>NR</x:v>
      </x:c>
      <x:c r="N40" s="2" t="str">
        <x:v>See Table 2</x:v>
      </x:c>
      <x:c r="O40" s="2" t="str">
        <x:v>See Table 2</x:v>
      </x:c>
      <x:c r="P40" s="2" t="str">
        <x:v>See Table 2</x:v>
      </x:c>
      <x:c r="Q40" s="2" t="str">
        <x:v>NA</x:v>
      </x:c>
      <x:c r="R40" s="2" t="str">
        <x:v>NA</x:v>
      </x:c>
      <x:c r="S40" s="2" t="str">
        <x:v>original dataset annotations</x:v>
      </x:c>
      <x:c r="T40" s="2" t="str">
        <x:v>as provided</x:v>
      </x:c>
      <x:c r="U40" s="2" t="str">
        <x:v>Multiple strengths</x:v>
      </x:c>
      <x:c r="V40" s="2" t="str">
        <x:v>Yes</x:v>
      </x:c>
      <x:c r="W40" s="2" t="str">
        <x:v>Precision;Recall;F2-score</x:v>
      </x:c>
      <x:c r="X40" s="2" t="str">
        <x:v>artifact pair</x:v>
      </x:c>
      <x:c r="Y40" s="2" t="str">
        <x:v>No</x:v>
      </x:c>
      <x:c r="Z40" s="2" t="str">
        <x:v>No</x:v>
      </x:c>
      <x:c r="AA40" s="2" t="str">
        <x:v>No</x:v>
      </x:c>
      <x:c r="AB40" s="2" t="str">
        <x:v>Standard deviation</x:v>
      </x:c>
      <x:c r="AC40" s="2" t="str">
        <x:v>No</x:v>
      </x:c>
      <x:c r="AD40" s="2" t="str">
        <x:v>Discussed</x:v>
      </x:c>
      <x:c r="AE40" s="6" t="str">
        <x:v>p. 34; Section 6.4, Table 9</x:v>
      </x:c>
      <x:c r="AF40" s="6" t="str">
        <x:v>The results, summarized in Table 9, show that TraceLLM consistently achieves the highest F2-scores across most datasets. On EasyClinic (UC-TC), TraceLLM outper-</x:v>
      </x:c>
      <x:c r="AG40" s="6" t="str">
        <x:v>在四个数据集上全面比较TraceLLM与IR、BERT、其他LLM方法的性能。</x:v>
      </x:c>
      <x:c r="AH40" s="2" t="str">
        <x:v>Accepted</x:v>
      </x:c>
      <x:c r="AI40" s="6" t="str">
        <x:v>Also includes qualitative comparison from literature in Figure 12.; joint source protocol split into a task-specific row</x:v>
      </x:c>
    </x:row>
    <x:row r="41" ht="76" customHeight="1">
      <x:c r="A41" s="2" t="str">
        <x:v>S12-EVAL-R06</x:v>
      </x:c>
      <x:c r="B41" s="2" t="str">
        <x:v>S12</x:v>
      </x:c>
      <x:c r="C41" s="2" t="str">
        <x:v>merged_1133</x:v>
      </x:c>
      <x:c r="D41" s="2" t="str">
        <x:v>Reviewer_A</x:v>
      </x:c>
      <x:c r="E41" s="2" t="str">
        <x:v>Reviewer_A</x:v>
      </x:c>
      <x:c r="F41" s="2" t="str">
        <x:v>S12-EV06</x:v>
      </x:c>
      <x:c r="G41" s="2" t="str">
        <x:v>S12-T02</x:v>
      </x:c>
      <x:c r="H41" s="2" t="str">
        <x:v>Benchmark comparison</x:v>
      </x:c>
      <x:c r="I41" s="2" t="str">
        <x:v>EasyClinic UC-TC</x:v>
      </x:c>
      <x:c r="J41" s="2" t="str">
        <x:v>Various public benchmarks</x:v>
      </x:c>
      <x:c r="K41" s="2" t="str">
        <x:v>Public</x:v>
      </x:c>
      <x:c r="L41" s="2" t="str">
        <x:v>Academic benchmark</x:v>
      </x:c>
      <x:c r="M41" s="2" t="str">
        <x:v>NR</x:v>
      </x:c>
      <x:c r="N41" s="2" t="str">
        <x:v>See Table 2</x:v>
      </x:c>
      <x:c r="O41" s="2" t="str">
        <x:v>See Table 2</x:v>
      </x:c>
      <x:c r="P41" s="2" t="str">
        <x:v>See Table 2</x:v>
      </x:c>
      <x:c r="Q41" s="2" t="str">
        <x:v>NA</x:v>
      </x:c>
      <x:c r="R41" s="2" t="str">
        <x:v>NA</x:v>
      </x:c>
      <x:c r="S41" s="2" t="str">
        <x:v>original dataset annotations</x:v>
      </x:c>
      <x:c r="T41" s="2" t="str">
        <x:v>as provided</x:v>
      </x:c>
      <x:c r="U41" s="2" t="str">
        <x:v>Multiple strengths</x:v>
      </x:c>
      <x:c r="V41" s="2" t="str">
        <x:v>Yes</x:v>
      </x:c>
      <x:c r="W41" s="2" t="str">
        <x:v>Precision;Recall;F2-score</x:v>
      </x:c>
      <x:c r="X41" s="2" t="str">
        <x:v>artifact pair</x:v>
      </x:c>
      <x:c r="Y41" s="2" t="str">
        <x:v>No</x:v>
      </x:c>
      <x:c r="Z41" s="2" t="str">
        <x:v>No</x:v>
      </x:c>
      <x:c r="AA41" s="2" t="str">
        <x:v>No</x:v>
      </x:c>
      <x:c r="AB41" s="2" t="str">
        <x:v>Standard deviation</x:v>
      </x:c>
      <x:c r="AC41" s="2" t="str">
        <x:v>No</x:v>
      </x:c>
      <x:c r="AD41" s="2" t="str">
        <x:v>Discussed</x:v>
      </x:c>
      <x:c r="AE41" s="6" t="str">
        <x:v>p. 34; Section 6.4, Table 9</x:v>
      </x:c>
      <x:c r="AF41" s="6" t="str">
        <x:v>The results, summarized in Table 9, show that TraceLLM consistently achieves the highest F2-scores across most datasets. On EasyClinic (UC-TC), TraceLLM outper-</x:v>
      </x:c>
      <x:c r="AG41" s="6" t="str">
        <x:v>在四个数据集上全面比较TraceLLM与IR、BERT、其他LLM方法的性能。</x:v>
      </x:c>
      <x:c r="AH41" s="2" t="str">
        <x:v>Accepted</x:v>
      </x:c>
      <x:c r="AI41" s="6" t="str">
        <x:v>Also includes qualitative comparison from literature in Figure 12.; joint source protocol split into a task-specific row</x:v>
      </x:c>
    </x:row>
    <x:row r="42" ht="76" customHeight="1">
      <x:c r="A42" s="2" t="str">
        <x:v>S12-EVAL-R07</x:v>
      </x:c>
      <x:c r="B42" s="2" t="str">
        <x:v>S12</x:v>
      </x:c>
      <x:c r="C42" s="2" t="str">
        <x:v>merged_1133</x:v>
      </x:c>
      <x:c r="D42" s="2" t="str">
        <x:v>Reviewer_A</x:v>
      </x:c>
      <x:c r="E42" s="2" t="str">
        <x:v>Reviewer_A</x:v>
      </x:c>
      <x:c r="F42" s="2" t="str">
        <x:v>S12-EV07</x:v>
      </x:c>
      <x:c r="G42" s="2" t="str">
        <x:v>S12-T03</x:v>
      </x:c>
      <x:c r="H42" s="2" t="str">
        <x:v>Benchmark comparison</x:v>
      </x:c>
      <x:c r="I42" s="2" t="str">
        <x:v>EasyClinic UC-ID</x:v>
      </x:c>
      <x:c r="J42" s="2" t="str">
        <x:v>Various public benchmarks</x:v>
      </x:c>
      <x:c r="K42" s="2" t="str">
        <x:v>Public</x:v>
      </x:c>
      <x:c r="L42" s="2" t="str">
        <x:v>Academic benchmark</x:v>
      </x:c>
      <x:c r="M42" s="2" t="str">
        <x:v>NR</x:v>
      </x:c>
      <x:c r="N42" s="2" t="str">
        <x:v>See Table 2</x:v>
      </x:c>
      <x:c r="O42" s="2" t="str">
        <x:v>See Table 2</x:v>
      </x:c>
      <x:c r="P42" s="2" t="str">
        <x:v>See Table 2</x:v>
      </x:c>
      <x:c r="Q42" s="2" t="str">
        <x:v>NA</x:v>
      </x:c>
      <x:c r="R42" s="2" t="str">
        <x:v>NA</x:v>
      </x:c>
      <x:c r="S42" s="2" t="str">
        <x:v>original dataset annotations</x:v>
      </x:c>
      <x:c r="T42" s="2" t="str">
        <x:v>as provided</x:v>
      </x:c>
      <x:c r="U42" s="2" t="str">
        <x:v>Multiple strengths</x:v>
      </x:c>
      <x:c r="V42" s="2" t="str">
        <x:v>Yes</x:v>
      </x:c>
      <x:c r="W42" s="2" t="str">
        <x:v>Precision;Recall;F2-score</x:v>
      </x:c>
      <x:c r="X42" s="2" t="str">
        <x:v>artifact pair</x:v>
      </x:c>
      <x:c r="Y42" s="2" t="str">
        <x:v>No</x:v>
      </x:c>
      <x:c r="Z42" s="2" t="str">
        <x:v>No</x:v>
      </x:c>
      <x:c r="AA42" s="2" t="str">
        <x:v>No</x:v>
      </x:c>
      <x:c r="AB42" s="2" t="str">
        <x:v>Standard deviation</x:v>
      </x:c>
      <x:c r="AC42" s="2" t="str">
        <x:v>No</x:v>
      </x:c>
      <x:c r="AD42" s="2" t="str">
        <x:v>Discussed</x:v>
      </x:c>
      <x:c r="AE42" s="6" t="str">
        <x:v>p. 34; Section 6.4, Table 9</x:v>
      </x:c>
      <x:c r="AF42" s="6" t="str">
        <x:v>The results, summarized in Table 9, show that TraceLLM consistently achieves the highest F2-scores across most datasets. On EasyClinic (UC-TC), TraceLLM outper-</x:v>
      </x:c>
      <x:c r="AG42" s="6" t="str">
        <x:v>在四个数据集上全面比较TraceLLM与IR、BERT、其他LLM方法的性能。</x:v>
      </x:c>
      <x:c r="AH42" s="2" t="str">
        <x:v>Accepted</x:v>
      </x:c>
      <x:c r="AI42" s="6" t="str">
        <x:v>Also includes qualitative comparison from literature in Figure 12.; joint source protocol split into a task-specific row</x:v>
      </x:c>
    </x:row>
    <x:row r="43" ht="76" customHeight="1">
      <x:c r="A43" s="2" t="str">
        <x:v>S12-EVAL-R08</x:v>
      </x:c>
      <x:c r="B43" s="2" t="str">
        <x:v>S12</x:v>
      </x:c>
      <x:c r="C43" s="2" t="str">
        <x:v>merged_1133</x:v>
      </x:c>
      <x:c r="D43" s="2" t="str">
        <x:v>Reviewer_A</x:v>
      </x:c>
      <x:c r="E43" s="2" t="str">
        <x:v>Reviewer_A</x:v>
      </x:c>
      <x:c r="F43" s="2" t="str">
        <x:v>S12-EV08</x:v>
      </x:c>
      <x:c r="G43" s="2" t="str">
        <x:v>S12-T04</x:v>
      </x:c>
      <x:c r="H43" s="2" t="str">
        <x:v>Benchmark comparison</x:v>
      </x:c>
      <x:c r="I43" s="2" t="str">
        <x:v>CCHIT</x:v>
      </x:c>
      <x:c r="J43" s="2" t="str">
        <x:v>Various public benchmarks</x:v>
      </x:c>
      <x:c r="K43" s="2" t="str">
        <x:v>Public</x:v>
      </x:c>
      <x:c r="L43" s="2" t="str">
        <x:v>Academic benchmark</x:v>
      </x:c>
      <x:c r="M43" s="2" t="str">
        <x:v>NR</x:v>
      </x:c>
      <x:c r="N43" s="2" t="str">
        <x:v>See Table 2</x:v>
      </x:c>
      <x:c r="O43" s="2" t="str">
        <x:v>See Table 2</x:v>
      </x:c>
      <x:c r="P43" s="2" t="str">
        <x:v>See Table 2</x:v>
      </x:c>
      <x:c r="Q43" s="2" t="str">
        <x:v>NA</x:v>
      </x:c>
      <x:c r="R43" s="2" t="str">
        <x:v>NA</x:v>
      </x:c>
      <x:c r="S43" s="2" t="str">
        <x:v>original dataset annotations</x:v>
      </x:c>
      <x:c r="T43" s="2" t="str">
        <x:v>as provided</x:v>
      </x:c>
      <x:c r="U43" s="2" t="str">
        <x:v>Multiple strengths</x:v>
      </x:c>
      <x:c r="V43" s="2" t="str">
        <x:v>Yes</x:v>
      </x:c>
      <x:c r="W43" s="2" t="str">
        <x:v>Precision;Recall;F2-score</x:v>
      </x:c>
      <x:c r="X43" s="2" t="str">
        <x:v>artifact pair</x:v>
      </x:c>
      <x:c r="Y43" s="2" t="str">
        <x:v>No</x:v>
      </x:c>
      <x:c r="Z43" s="2" t="str">
        <x:v>No</x:v>
      </x:c>
      <x:c r="AA43" s="2" t="str">
        <x:v>No</x:v>
      </x:c>
      <x:c r="AB43" s="2" t="str">
        <x:v>Standard deviation</x:v>
      </x:c>
      <x:c r="AC43" s="2" t="str">
        <x:v>No</x:v>
      </x:c>
      <x:c r="AD43" s="2" t="str">
        <x:v>Discussed</x:v>
      </x:c>
      <x:c r="AE43" s="6" t="str">
        <x:v>p. 34; Section 6.4, Table 9</x:v>
      </x:c>
      <x:c r="AF43" s="6" t="str">
        <x:v>The results, summarized in Table 9, show that TraceLLM consistently achieves the highest F2-scores across most datasets. On EasyClinic (UC-TC), TraceLLM outper-</x:v>
      </x:c>
      <x:c r="AG43" s="6" t="str">
        <x:v>在四个数据集上全面比较TraceLLM与IR、BERT、其他LLM方法的性能。</x:v>
      </x:c>
      <x:c r="AH43" s="2" t="str">
        <x:v>Accepted</x:v>
      </x:c>
      <x:c r="AI43" s="6" t="str">
        <x:v>Also includes qualitative comparison from literature in Figure 12.; joint source protocol split into a task-specific row</x:v>
      </x:c>
    </x:row>
    <x:row r="44" ht="76" customHeight="1">
      <x:c r="A44" s="2" t="str">
        <x:v>S13-EVAL-R01</x:v>
      </x:c>
      <x:c r="B44" s="2" t="str">
        <x:v>S13</x:v>
      </x:c>
      <x:c r="C44" s="2" t="str">
        <x:v>merged_1140</x:v>
      </x:c>
      <x:c r="D44" s="2" t="str">
        <x:v>Reviewer_A</x:v>
      </x:c>
      <x:c r="E44" s="2" t="str">
        <x:v>Reviewer_A</x:v>
      </x:c>
      <x:c r="F44" s="2" t="str">
        <x:v>S13-EV01</x:v>
      </x:c>
      <x:c r="G44" s="2" t="str">
        <x:v>S13-T01</x:v>
      </x:c>
      <x:c r="H44" s="2" t="str">
        <x:v>Benchmark comparison</x:v>
      </x:c>
      <x:c r="I44" s="2" t="str">
        <x:v>iTrust, eTour, EBT, RETRO.NET (four public benchmarks)</x:v>
      </x:c>
      <x:c r="J44" s="2" t="str">
        <x:v>CoEST community and Hayes et al. (2018)</x:v>
      </x:c>
      <x:c r="K44" s="2" t="str">
        <x:v>Public</x:v>
      </x:c>
      <x:c r="L44" s="2" t="str">
        <x:v>Academic benchmark</x:v>
      </x:c>
      <x:c r="M44" s="2" t="str">
        <x:v>80% training, 10% validation, 10% testing (testing set contains only original data)</x:v>
      </x:c>
      <x:c r="N44" s="2" t="str">
        <x:v>iTrust: 195, eTour: 58, EBT: 40, RETRO: 66</x:v>
      </x:c>
      <x:c r="O44" s="2" t="str">
        <x:v>iTrust: 140, eTour: 116, EBT: 50, RETRO: 78</x:v>
      </x:c>
      <x:c r="P44" s="2" t="str">
        <x:v>iTrust: 402, eTour: 308, EBT: 98, RETRO: 274</x:v>
      </x:c>
      <x:c r="Q44" s="2" t="str">
        <x:v>NA</x:v>
      </x:c>
      <x:c r="R44" s="2" t="str">
        <x:v>NA</x:v>
      </x:c>
      <x:c r="S44" s="2" t="str">
        <x:v>manually verified traceability links in original datasets</x:v>
      </x:c>
      <x:c r="T44" s="2" t="str">
        <x:v>testing set composed exclusively of original, manually verified data</x:v>
      </x:c>
      <x:c r="U44" s="2" t="str">
        <x:v>Moderate</x:v>
      </x:c>
      <x:c r="V44" s="2" t="str">
        <x:v>Yes: comparison of four prompt strategies (ZS-Code, ZS-Req, FS-Code, FS-Req) against no augmentation</x:v>
      </x:c>
      <x:c r="W44" s="2" t="str">
        <x:v>Accuracy; Precision; Recall; F1; F2</x:v>
      </x:c>
      <x:c r="X44" s="2" t="str">
        <x:v>trace link</x:v>
      </x:c>
      <x:c r="Y44" s="2" t="str">
        <x:v>No</x:v>
      </x:c>
      <x:c r="Z44" s="2" t="str">
        <x:v>No</x:v>
      </x:c>
      <x:c r="AA44" s="2" t="str">
        <x:v>NR</x:v>
      </x:c>
      <x:c r="AB44" s="2" t="str">
        <x:v>standard deviation reported for averages across four LLMs</x:v>
      </x:c>
      <x:c r="AC44" s="2" t="str">
        <x:v>No</x:v>
      </x:c>
      <x:c r="AD44" s="2" t="str">
        <x:v>five runs with distinct random seeds for PLM-based models; testing set never includes synthetic data</x:v>
      </x:c>
      <x:c r="AE44" s="6" t="str">
        <x:v>p. 21; Section 5.1</x:v>
      </x:c>
      <x:c r="AF44" s="6" t="str">
        <x:v>For each of the four benchmark datasets, we generated synthetic data using four distinct prompting strategies across four leading LLMs. Each of these augmented datasets was then used to train our PLM-based baseline model (configured with the CodeBERT encoder) and benchmarked against a non-augmented baseline.</x:v>
      </x:c>
      <x:c r="AG44" s="6" t="str">
        <x:v>该评估旨在回答RQ1：比较四种提示策略与无增强基线在四个数据集上的性能，使用CodeBERT作为分类器。</x:v>
      </x:c>
      <x:c r="AH44" s="2" t="str">
        <x:v>Accepted</x:v>
      </x:c>
      <x:c r="AI44" s="6" t="str">
        <x:v>与先前的EV1一致。</x:v>
      </x:c>
    </x:row>
    <x:row r="45" ht="76" customHeight="1">
      <x:c r="A45" s="2" t="str">
        <x:v>S13-EVAL-R02</x:v>
      </x:c>
      <x:c r="B45" s="2" t="str">
        <x:v>S13</x:v>
      </x:c>
      <x:c r="C45" s="2" t="str">
        <x:v>merged_1140</x:v>
      </x:c>
      <x:c r="D45" s="2" t="str">
        <x:v>Reviewer_A</x:v>
      </x:c>
      <x:c r="E45" s="2" t="str">
        <x:v>Reviewer_A</x:v>
      </x:c>
      <x:c r="F45" s="2" t="str">
        <x:v>S13-EV02</x:v>
      </x:c>
      <x:c r="G45" s="2" t="str">
        <x:v>S13-T01</x:v>
      </x:c>
      <x:c r="H45" s="2" t="str">
        <x:v>Benchmark comparison</x:v>
      </x:c>
      <x:c r="I45" s="2" t="str">
        <x:v>iTrust, eTour, EBT, RETRO.NET</x:v>
      </x:c>
      <x:c r="J45" s="2" t="str">
        <x:v>Same as EV1</x:v>
      </x:c>
      <x:c r="K45" s="2" t="str">
        <x:v>Public</x:v>
      </x:c>
      <x:c r="L45" s="2" t="str">
        <x:v>Academic benchmark</x:v>
      </x:c>
      <x:c r="M45" s="2" t="str">
        <x:v>Same as EV1</x:v>
      </x:c>
      <x:c r="N45" s="2" t="str">
        <x:v>Same as EV1</x:v>
      </x:c>
      <x:c r="O45" s="2" t="str">
        <x:v>Same as EV1</x:v>
      </x:c>
      <x:c r="P45" s="2" t="str">
        <x:v>Same as EV1</x:v>
      </x:c>
      <x:c r="Q45" s="2" t="str">
        <x:v>NA</x:v>
      </x:c>
      <x:c r="R45" s="2" t="str">
        <x:v>NA</x:v>
      </x:c>
      <x:c r="S45" s="2" t="str">
        <x:v>Same as EV1</x:v>
      </x:c>
      <x:c r="T45" s="2" t="str">
        <x:v>Same as EV1</x:v>
      </x:c>
      <x:c r="U45" s="2" t="str">
        <x:v>Moderate</x:v>
      </x:c>
      <x:c r="V45" s="2" t="str">
        <x:v>Comparison among four LLMs (Gemini 1.5 Pro, Claude 3 Opus, GPT-3.5 Turbo, GPT-4o)</x:v>
      </x:c>
      <x:c r="W45" s="2" t="str">
        <x:v>F1; F2 (accuracy, precision, recall also reported but not in statistical test)</x:v>
      </x:c>
      <x:c r="X45" s="2" t="str">
        <x:v>trace link</x:v>
      </x:c>
      <x:c r="Y45" s="2" t="str">
        <x:v>No</x:v>
      </x:c>
      <x:c r="Z45" s="2" t="str">
        <x:v>No</x:v>
      </x:c>
      <x:c r="AA45" s="2" t="str">
        <x:v>Wilcoxon signed-rank test (p &lt; 0.05)</x:v>
      </x:c>
      <x:c r="AB45" s="2" t="str">
        <x:v>NR</x:v>
      </x:c>
      <x:c r="AC45" s="2" t="str">
        <x:v>No</x:v>
      </x:c>
      <x:c r="AD45" s="2" t="str">
        <x:v>five runs per LLM; pairwise comparisons across LLMs for each prompt strategy and metric</x:v>
      </x:c>
      <x:c r="AE45" s="6" t="str">
        <x:v>p. 23; Section 5.2</x:v>
      </x:c>
      <x:c r="AF45" s="6" t="str">
        <x:v>To ascertain whether any observed performance differences were statistically significant, we employed the Wilcoxon signed-rank test, with a p-value threshold of &lt; 0.05.</x:v>
      </x:c>
      <x:c r="AG45" s="6" t="str">
        <x:v>该评估回答RQ2：统计比较四种LLM在数据增强任务中的性能差异。</x:v>
      </x:c>
      <x:c r="AH45" s="2" t="str">
        <x:v>Accepted</x:v>
      </x:c>
      <x:c r="AI45" s="6" t="str">
        <x:v>与先前的EV2一致。</x:v>
      </x:c>
    </x:row>
    <x:row r="46" ht="76" customHeight="1">
      <x:c r="A46" s="2" t="str">
        <x:v>S13-EVAL-R03</x:v>
      </x:c>
      <x:c r="B46" s="2" t="str">
        <x:v>S13</x:v>
      </x:c>
      <x:c r="C46" s="2" t="str">
        <x:v>merged_1140</x:v>
      </x:c>
      <x:c r="D46" s="2" t="str">
        <x:v>Reviewer_A</x:v>
      </x:c>
      <x:c r="E46" s="2" t="str">
        <x:v>Reviewer_A</x:v>
      </x:c>
      <x:c r="F46" s="2" t="str">
        <x:v>S13-EV03</x:v>
      </x:c>
      <x:c r="G46" s="2" t="str">
        <x:v>S13-T01</x:v>
      </x:c>
      <x:c r="H46" s="2" t="str">
        <x:v>Benchmark comparison</x:v>
      </x:c>
      <x:c r="I46" s="2" t="str">
        <x:v>Augmented dataset (GPT-4o ZS-Req) on iTrust, eTour, EBT, RETRO</x:v>
      </x:c>
      <x:c r="J46" s="2" t="str">
        <x:v>Derived from EV1 public datasets</x:v>
      </x:c>
      <x:c r="K46" s="2" t="str">
        <x:v>Partially public</x:v>
      </x:c>
      <x:c r="L46" s="2" t="str">
        <x:v>Academic benchmark</x:v>
      </x:c>
      <x:c r="M46" s="2" t="str">
        <x:v>Same as EV1</x:v>
      </x:c>
      <x:c r="N46" s="2" t="str">
        <x:v>Same as EV1</x:v>
      </x:c>
      <x:c r="O46" s="2" t="str">
        <x:v>Same as EV1</x:v>
      </x:c>
      <x:c r="P46" s="2" t="str">
        <x:v>Same as EV1 plus synthetic pairs</x:v>
      </x:c>
      <x:c r="Q46" s="2" t="str">
        <x:v>NA</x:v>
      </x:c>
      <x:c r="R46" s="2" t="str">
        <x:v>NA</x:v>
      </x:c>
      <x:c r="S46" s="2" t="str">
        <x:v>Same as EV1 (original pairs only); synthetic pairs treated as positive</x:v>
      </x:c>
      <x:c r="T46" s="2" t="str">
        <x:v>Same as EV1</x:v>
      </x:c>
      <x:c r="U46" s="2" t="str">
        <x:v>Moderate</x:v>
      </x:c>
      <x:c r="V46" s="2" t="str">
        <x:v>Encoder comparison: CodeBERT vs Jina (pre-training alignment); sequence length: 512 vs 1024 tokens (Jina only)</x:v>
      </x:c>
      <x:c r="W46" s="2" t="str">
        <x:v>Accuracy; Precision; Recall; F1; F2</x:v>
      </x:c>
      <x:c r="X46" s="2" t="str">
        <x:v>trace link</x:v>
      </x:c>
      <x:c r="Y46" s="2" t="str">
        <x:v>No</x:v>
      </x:c>
      <x:c r="Z46" s="2" t="str">
        <x:v>No</x:v>
      </x:c>
      <x:c r="AA46" s="2" t="str">
        <x:v>NR</x:v>
      </x:c>
      <x:c r="AB46" s="2" t="str">
        <x:v>five-run averages with standard deviations implicitly shown</x:v>
      </x:c>
      <x:c r="AC46" s="2" t="str">
        <x:v>No</x:v>
      </x:c>
      <x:c r="AD46" s="2" t="str">
        <x:v>five runs; controlled augmented dataset (GPT-4o ZS-Req) for encoder comparison</x:v>
      </x:c>
      <x:c r="AE46" s="6" t="str">
        <x:v>p. 24; Section 5.3</x:v>
      </x:c>
      <x:c r="AF46" s="6" t="str">
        <x:v>we leverage the Jina-v2 encoder’s capability to handle longer inputs and compare its performance with maximum sequence lengths set to 512 versus 1024 tokens.</x:v>
      </x:c>
      <x:c r="AG46" s="6" t="str">
        <x:v>该评估回答RQ3：比较编码器选择（CodeBERT vs Jina）和序列长度（512 vs 1024）的影响。</x:v>
      </x:c>
      <x:c r="AH46" s="2" t="str">
        <x:v>Accepted</x:v>
      </x:c>
      <x:c r="AI46" s="6" t="str">
        <x:v>与先前的EV3一致。</x:v>
      </x:c>
    </x:row>
    <x:row r="47" ht="76" customHeight="1">
      <x:c r="A47" s="2" t="str">
        <x:v>S13-EVAL-R04</x:v>
      </x:c>
      <x:c r="B47" s="2" t="str">
        <x:v>S13</x:v>
      </x:c>
      <x:c r="C47" s="2" t="str">
        <x:v>merged_1140</x:v>
      </x:c>
      <x:c r="D47" s="2" t="str">
        <x:v>Reviewer_A</x:v>
      </x:c>
      <x:c r="E47" s="2" t="str">
        <x:v>Reviewer_A</x:v>
      </x:c>
      <x:c r="F47" s="2" t="str">
        <x:v>S13-EV04</x:v>
      </x:c>
      <x:c r="G47" s="2" t="str">
        <x:v>S13-T01</x:v>
      </x:c>
      <x:c r="H47" s="2" t="str">
        <x:v>Benchmark comparison</x:v>
      </x:c>
      <x:c r="I47" s="2" t="str">
        <x:v>Augmented dataset (GPT-4o ZS-Req) on iTrust, eTour, EBT, RETRO</x:v>
      </x:c>
      <x:c r="J47" s="2" t="str">
        <x:v>Same as EV3</x:v>
      </x:c>
      <x:c r="K47" s="2" t="str">
        <x:v>Partially public</x:v>
      </x:c>
      <x:c r="L47" s="2" t="str">
        <x:v>Academic benchmark</x:v>
      </x:c>
      <x:c r="M47" s="2" t="str">
        <x:v>Same as EV1</x:v>
      </x:c>
      <x:c r="N47" s="2" t="str">
        <x:v>Same as EV1</x:v>
      </x:c>
      <x:c r="O47" s="2" t="str">
        <x:v>Same as EV1</x:v>
      </x:c>
      <x:c r="P47" s="2" t="str">
        <x:v>Same as EV3</x:v>
      </x:c>
      <x:c r="Q47" s="2" t="str">
        <x:v>NA</x:v>
      </x:c>
      <x:c r="R47" s="2" t="str">
        <x:v>NA</x:v>
      </x:c>
      <x:c r="S47" s="2" t="str">
        <x:v>Same as EV3</x:v>
      </x:c>
      <x:c r="T47" s="2" t="str">
        <x:v>Same as EV3</x:v>
      </x:c>
      <x:c r="U47" s="2" t="str">
        <x:v>Multiple strengths</x:v>
      </x:c>
      <x:c r="V47" s="2" t="str">
        <x:v>No</x:v>
      </x:c>
      <x:c r="W47" s="2" t="str">
        <x:v>Accuracy; F1; F2</x:v>
      </x:c>
      <x:c r="X47" s="2" t="str">
        <x:v>trace link</x:v>
      </x:c>
      <x:c r="Y47" s="2" t="str">
        <x:v>No</x:v>
      </x:c>
      <x:c r="Z47" s="2" t="str">
        <x:v>No</x:v>
      </x:c>
      <x:c r="AA47" s="2" t="str">
        <x:v>NR</x:v>
      </x:c>
      <x:c r="AB47" s="2" t="str">
        <x:v>five-run averages</x:v>
      </x:c>
      <x:c r="AC47" s="2" t="str">
        <x:v>No</x:v>
      </x:c>
      <x:c r="AD47" s="2" t="str">
        <x:v>same augmented data for all models; five runs for stochastic models; hyperparameters from original papers</x:v>
      </x:c>
      <x:c r="AE47" s="6" t="str">
        <x:v>p. 27; Section 5.4</x:v>
      </x:c>
      <x:c r="AF47" s="6" t="str">
        <x:v>For a fair and rigorous comparison, both our proposed model and the ten baselines were trained and evaluated on the identical augmented dataset used in Section 5.3—the one generated by GPT-4o employing the zero-shot requirement generation strategy.</x:v>
      </x:c>
      <x:c r="AG47" s="6" t="str">
        <x:v>该评估回答RQ4：将最终优化框架与10个基线在四个数据集上进行全面对比。</x:v>
      </x:c>
      <x:c r="AH47" s="2" t="str">
        <x:v>Accepted</x:v>
      </x:c>
      <x:c r="AI47" s="6" t="str">
        <x:v>与先前的EV4一致。</x:v>
      </x:c>
    </x:row>
    <x:row r="48" ht="76" customHeight="1">
      <x:c r="A48" s="2" t="str">
        <x:v>S14-EVAL-R01</x:v>
      </x:c>
      <x:c r="B48" s="2" t="str">
        <x:v>S14</x:v>
      </x:c>
      <x:c r="C48" s="2" t="str">
        <x:v>merged_1142-v1</x:v>
      </x:c>
      <x:c r="D48" s="2" t="str">
        <x:v>Reviewer_A</x:v>
      </x:c>
      <x:c r="E48" s="2" t="str">
        <x:v>Reviewer_A</x:v>
      </x:c>
      <x:c r="F48" s="2" t="str">
        <x:v>S14-EV01</x:v>
      </x:c>
      <x:c r="G48" s="2" t="str">
        <x:v>S14-T01</x:v>
      </x:c>
      <x:c r="H48" s="2" t="str">
        <x:v>Benchmark comparison</x:v>
      </x:c>
      <x:c r="I48" s="2" t="str">
        <x:v>12 open-source projects: Albergate, Derby, Dronology, Drools, eAnci, Groovy, Infinispan, iTrust, Maven, Pig, Seam2, SMOS</x:v>
      </x:c>
      <x:c r="J48" s="2" t="str">
        <x:v>curated from prior studies, filtered for syntax-free code</x:v>
      </x:c>
      <x:c r="K48" s="2" t="str">
        <x:v>Public</x:v>
      </x:c>
      <x:c r="L48" s="2" t="str">
        <x:v>Open-source project</x:v>
      </x:c>
      <x:c r="M48" s="2" t="str">
        <x:v>NR</x:v>
      </x:c>
      <x:c r="N48" s="2" t="str">
        <x:v>NR</x:v>
      </x:c>
      <x:c r="O48" s="2" t="str">
        <x:v>NR</x:v>
      </x:c>
      <x:c r="P48" s="2" t="str">
        <x:v>NR</x:v>
      </x:c>
      <x:c r="Q48" s="2" t="str">
        <x:v>NA</x:v>
      </x:c>
      <x:c r="R48" s="2" t="str">
        <x:v>NA</x:v>
      </x:c>
      <x:c r="S48" s="2" t="str">
        <x:v>curated from project data (ground truth trace links)</x:v>
      </x:c>
      <x:c r="T48" s="2" t="str">
        <x:v>NR</x:v>
      </x:c>
      <x:c r="U48" s="2" t="str">
        <x:v>Multiple strengths</x:v>
      </x:c>
      <x:c r="V48" s="2" t="str">
        <x:v>Yes</x:v>
      </x:c>
      <x:c r="W48" s="2" t="str">
        <x:v>Precision; Recall; F1-score</x:v>
      </x:c>
      <x:c r="X48" s="2" t="str">
        <x:v>trace link</x:v>
      </x:c>
      <x:c r="Y48" s="2" t="str">
        <x:v>No</x:v>
      </x:c>
      <x:c r="Z48" s="2" t="str">
        <x:v>NR</x:v>
      </x:c>
      <x:c r="AA48" s="2" t="str">
        <x:v>Wilcoxon Signed-Rank Test</x:v>
      </x:c>
      <x:c r="AB48" s="2" t="str">
        <x:v>NR</x:v>
      </x:c>
      <x:c r="AC48" s="2" t="str">
        <x:v>Yes</x:v>
      </x:c>
      <x:c r="AD48" s="2" t="str">
        <x:v>Yes</x:v>
      </x:c>
      <x:c r="AE48" s="6" t="str">
        <x:v>p. 18; Section 4.2.1</x:v>
      </x:c>
      <x:c r="AF48" s="6" t="str">
        <x:v>we retained 12 open-source projects: Albergate, Derby, Dronology, Drools, eAnci, Groovy, Infinispan, iTrust, Maven, Pig, Seam2, and SMOS, which were used as the experimental dataset for this RQ.</x:v>
      </x:c>
      <x:c r="AG48" s="6" t="str">
        <x:v>该评估使用12个开源Java项目对HGT和Gemini在多策略集成下的TLR性能进行了基准比较和消融研究。</x:v>
      </x:c>
      <x:c r="AH48" s="2" t="str">
        <x:v>Accepted</x:v>
      </x:c>
      <x:c r="AI48" s="6" t="str">
        <x:v>EV2 as per prior list.</x:v>
      </x:c>
    </x:row>
    <x:row r="49" ht="76" customHeight="1">
      <x:c r="A49" s="2" t="str">
        <x:v>S15-EVAL-R01</x:v>
      </x:c>
      <x:c r="B49" s="2" t="str">
        <x:v>S15</x:v>
      </x:c>
      <x:c r="C49" s="2" t="str">
        <x:v>merged_1143</x:v>
      </x:c>
      <x:c r="D49" s="2" t="str">
        <x:v>Reviewer_A</x:v>
      </x:c>
      <x:c r="E49" s="2" t="str">
        <x:v>Reviewer_A</x:v>
      </x:c>
      <x:c r="F49" s="2" t="str">
        <x:v>S15-EV01</x:v>
      </x:c>
      <x:c r="G49" s="2" t="str">
        <x:v>S15-T01</x:v>
      </x:c>
      <x:c r="H49" s="2" t="str">
        <x:v>Expert evaluation</x:v>
      </x:c>
      <x:c r="I49" s="2" t="str">
        <x:v>Transcript Dataset</x:v>
      </x:c>
      <x:c r="J49" s="2" t="str">
        <x:v>student interview assignments</x:v>
      </x:c>
      <x:c r="K49" s="2" t="str">
        <x:v>Public</x:v>
      </x:c>
      <x:c r="L49" s="2" t="str">
        <x:v>Academic benchmark</x:v>
      </x:c>
      <x:c r="M49" s="2" t="str">
        <x:v>NA</x:v>
      </x:c>
      <x:c r="N49" s="2" t="str">
        <x:v>NR</x:v>
      </x:c>
      <x:c r="O49" s="2" t="str">
        <x:v>NR</x:v>
      </x:c>
      <x:c r="P49" s="2" t="str">
        <x:v>NR</x:v>
      </x:c>
      <x:c r="Q49" s="2" t="str">
        <x:v>authors</x:v>
      </x:c>
      <x:c r="R49" s="2" t="n">
        <x:v>2</x:v>
      </x:c>
      <x:c r="S49" s="2" t="str">
        <x:v>manual verification by authors</x:v>
      </x:c>
      <x:c r="T49" s="2" t="str">
        <x:v>authors agreed on correctness</x:v>
      </x:c>
      <x:c r="U49" s="2" t="str">
        <x:v>None</x:v>
      </x:c>
      <x:c r="V49" s="2" t="str">
        <x:v>No</x:v>
      </x:c>
      <x:c r="W49" s="2" t="str">
        <x:v>Trace correctness (accuracy)</x:v>
      </x:c>
      <x:c r="X49" s="2" t="str">
        <x:v>trace link</x:v>
      </x:c>
      <x:c r="Y49" s="2" t="str">
        <x:v>Authors manually reviewed each trace between goal and source text to determine if it was correct.</x:v>
      </x:c>
      <x:c r="Z49" s="2" t="str">
        <x:v>No</x:v>
      </x:c>
      <x:c r="AA49" s="2" t="str">
        <x:v>No</x:v>
      </x:c>
      <x:c r="AB49" s="2" t="str">
        <x:v>No</x:v>
      </x:c>
      <x:c r="AC49" s="2" t="str">
        <x:v>Yes</x:v>
      </x:c>
      <x:c r="AD49" s="2" t="str">
        <x:v>No</x:v>
      </x:c>
      <x:c r="AE49" s="6" t="str">
        <x:v>p. 6; Section IV.A, RQ1 paragraph</x:v>
      </x:c>
      <x:c r="AF49" s="6" t="str">
        <x:v>the first and second author manually verifying the trace between the goal and source text</x:v>
      </x:c>
      <x:c r="AG49" s="6" t="str">
        <x:v>通过作者手动验证每条目标与原文之间的追溯是否准确。</x:v>
      </x:c>
      <x:c r="AH49" s="2" t="str">
        <x:v>Accepted</x:v>
      </x:c>
      <x:c r="AI49" s="6" t="str">
        <x:v>NA</x:v>
      </x:c>
    </x:row>
    <x:row r="50" ht="76" customHeight="1">
      <x:c r="A50" s="2" t="str">
        <x:v>S15-EVAL-R02</x:v>
      </x:c>
      <x:c r="B50" s="2" t="str">
        <x:v>S15</x:v>
      </x:c>
      <x:c r="C50" s="2" t="str">
        <x:v>merged_1143</x:v>
      </x:c>
      <x:c r="D50" s="2" t="str">
        <x:v>Reviewer_A</x:v>
      </x:c>
      <x:c r="E50" s="2" t="str">
        <x:v>Reviewer_A</x:v>
      </x:c>
      <x:c r="F50" s="2" t="str">
        <x:v>S15-EV02</x:v>
      </x:c>
      <x:c r="G50" s="2" t="str">
        <x:v>S15-T01</x:v>
      </x:c>
      <x:c r="H50" s="2" t="str">
        <x:v>Benchmark comparison</x:v>
      </x:c>
      <x:c r="I50" s="2" t="str">
        <x:v>Transcript Dataset</x:v>
      </x:c>
      <x:c r="J50" s="2" t="str">
        <x:v>student interview assignments</x:v>
      </x:c>
      <x:c r="K50" s="2" t="str">
        <x:v>Public</x:v>
      </x:c>
      <x:c r="L50" s="2" t="str">
        <x:v>Academic benchmark</x:v>
      </x:c>
      <x:c r="M50" s="2" t="str">
        <x:v>NA</x:v>
      </x:c>
      <x:c r="N50" s="2" t="str">
        <x:v>NR</x:v>
      </x:c>
      <x:c r="O50" s="2" t="str">
        <x:v>NR</x:v>
      </x:c>
      <x:c r="P50" s="2" t="str">
        <x:v>NR</x:v>
      </x:c>
      <x:c r="Q50" s="2" t="str">
        <x:v>authors</x:v>
      </x:c>
      <x:c r="R50" s="2" t="n">
        <x:v>2</x:v>
      </x:c>
      <x:c r="S50" s="2" t="str">
        <x:v>human-extracted goals from interviewers</x:v>
      </x:c>
      <x:c r="T50" s="2" t="str">
        <x:v>authors manually mapped and categorized goals</x:v>
      </x:c>
      <x:c r="U50" s="2" t="str">
        <x:v>Moderate</x:v>
      </x:c>
      <x:c r="V50" s="2" t="str">
        <x:v>No</x:v>
      </x:c>
      <x:c r="W50" s="2" t="str">
        <x:v>Percentage of matching goals (62.0%)</x:v>
      </x:c>
      <x:c r="X50" s="2" t="str">
        <x:v>goal</x:v>
      </x:c>
      <x:c r="Y50" s="2" t="str">
        <x:v>Authors manually mapped goals between the two sets and categorized them.</x:v>
      </x:c>
      <x:c r="Z50" s="2" t="str">
        <x:v>No</x:v>
      </x:c>
      <x:c r="AA50" s="2" t="str">
        <x:v>No</x:v>
      </x:c>
      <x:c r="AB50" s="2" t="str">
        <x:v>No</x:v>
      </x:c>
      <x:c r="AC50" s="2" t="str">
        <x:v>Yes</x:v>
      </x:c>
      <x:c r="AD50" s="2" t="str">
        <x:v>No</x:v>
      </x:c>
      <x:c r="AE50" s="6" t="str">
        <x:v>p. 8; Section V, RQ2 paragraph</x:v>
      </x:c>
      <x:c r="AF50" s="6" t="str">
        <x:v>the authors manually mapped the GPT-4o extracted goals to the human-authored goals</x:v>
      </x:c>
      <x:c r="AG50" s="6" t="str">
        <x:v>比较LLM提取的目标与面试者提取的目标的重叠程度。</x:v>
      </x:c>
      <x:c r="AH50" s="2" t="str">
        <x:v>Accepted</x:v>
      </x:c>
      <x:c r="AI50" s="6" t="str">
        <x:v>NA</x:v>
      </x:c>
    </x:row>
    <x:row r="51" ht="76" customHeight="1">
      <x:c r="A51" s="2" t="str">
        <x:v>S15-EVAL-R03</x:v>
      </x:c>
      <x:c r="B51" s="2" t="str">
        <x:v>S15</x:v>
      </x:c>
      <x:c r="C51" s="2" t="str">
        <x:v>merged_1143</x:v>
      </x:c>
      <x:c r="D51" s="2" t="str">
        <x:v>Reviewer_A</x:v>
      </x:c>
      <x:c r="E51" s="2" t="str">
        <x:v>Reviewer_A</x:v>
      </x:c>
      <x:c r="F51" s="2" t="str">
        <x:v>S15-EV03</x:v>
      </x:c>
      <x:c r="G51" s="2" t="str">
        <x:v>S15-T02</x:v>
      </x:c>
      <x:c r="H51" s="2" t="str">
        <x:v>Expert evaluation</x:v>
      </x:c>
      <x:c r="I51" s="2" t="str">
        <x:v>15 transcripts</x:v>
      </x:c>
      <x:c r="J51" s="2" t="str">
        <x:v>subset of Transcript Dataset</x:v>
      </x:c>
      <x:c r="K51" s="2" t="str">
        <x:v>Public</x:v>
      </x:c>
      <x:c r="L51" s="2" t="str">
        <x:v>Academic benchmark</x:v>
      </x:c>
      <x:c r="M51" s="2" t="str">
        <x:v>NA</x:v>
      </x:c>
      <x:c r="N51" s="2" t="str">
        <x:v>NR</x:v>
      </x:c>
      <x:c r="O51" s="2" t="str">
        <x:v>NR</x:v>
      </x:c>
      <x:c r="P51" s="2" t="n">
        <x:v>550</x:v>
      </x:c>
      <x:c r="Q51" s="2" t="str">
        <x:v>authors</x:v>
      </x:c>
      <x:c r="R51" s="2" t="n">
        <x:v>2</x:v>
      </x:c>
      <x:c r="S51" s="2" t="str">
        <x:v>manual labeling by authors with defined rules</x:v>
      </x:c>
      <x:c r="T51" s="2" t="str">
        <x:v>inter-rater agreement kappa 0.711 after rules</x:v>
      </x:c>
      <x:c r="U51" s="2" t="str">
        <x:v>None</x:v>
      </x:c>
      <x:c r="V51" s="2" t="str">
        <x:v>No</x:v>
      </x:c>
      <x:c r="W51" s="2" t="str">
        <x:v>Accuracy (72.2%); Cohen's kappa</x:v>
      </x:c>
      <x:c r="X51" s="2" t="str">
        <x:v>trace link</x:v>
      </x:c>
      <x:c r="Y51" s="2" t="str">
        <x:v>Authors independently labeled sampled edges as true or false refinement, with rules developed.</x:v>
      </x:c>
      <x:c r="Z51" s="2" t="str">
        <x:v>No</x:v>
      </x:c>
      <x:c r="AA51" s="2" t="str">
        <x:v>Cohen's kappa for agreement</x:v>
      </x:c>
      <x:c r="AB51" s="2" t="str">
        <x:v>No</x:v>
      </x:c>
      <x:c r="AC51" s="2" t="str">
        <x:v>Yes</x:v>
      </x:c>
      <x:c r="AD51" s="2" t="str">
        <x:v>No</x:v>
      </x:c>
      <x:c r="AE51" s="6" t="str">
        <x:v>p. 8; Section V, RQ3 paragraph</x:v>
      </x:c>
      <x:c r="AF51" s="6" t="str">
        <x:v>the first author labeled a randomized shuffle of the sample for whether they are true or false refinement relations. Among these results, we observed that GPT-4o-generated 227 true positives, 170 true negatives, 73 false positives and 80 false negatives for an overall accuracy of 72.2%.</x:v>
      </x:c>
      <x:c r="AG51" s="6" t="str">
        <x:v>由作者标注精化关系是否正确，计算准确率。</x:v>
      </x:c>
      <x:c r="AH51" s="2" t="str">
        <x:v>Accepted</x:v>
      </x:c>
      <x:c r="AI51" s="6" t="str">
        <x:v>NA</x:v>
      </x:c>
    </x:row>
    <x:row r="52" ht="76" customHeight="1">
      <x:c r="A52" s="2" t="str">
        <x:v>S16-EVAL-R01</x:v>
      </x:c>
      <x:c r="B52" s="2" t="str">
        <x:v>S16</x:v>
      </x:c>
      <x:c r="C52" s="2" t="str">
        <x:v>merged_1144</x:v>
      </x:c>
      <x:c r="D52" s="2" t="str">
        <x:v>Reviewer_A</x:v>
      </x:c>
      <x:c r="E52" s="2" t="str">
        <x:v>Reviewer_A</x:v>
      </x:c>
      <x:c r="F52" s="2" t="str">
        <x:v>S16-EV01</x:v>
      </x:c>
      <x:c r="G52" s="2" t="str">
        <x:v>S16-T01</x:v>
      </x:c>
      <x:c r="H52" s="2" t="str">
        <x:v>Benchmark comparison</x:v>
      </x:c>
      <x:c r="I52" s="2" t="str">
        <x:v>Original (99 false links) and RDS across 20 projects</x:v>
      </x:c>
      <x:c r="J52" s="2" t="str">
        <x:v>Combined from Zhang et al., Dong et al., Lin et al., Mazrae et al.</x:v>
      </x:c>
      <x:c r="K52" s="2" t="str">
        <x:v>Public</x:v>
      </x:c>
      <x:c r="L52" s="2" t="str">
        <x:v>Academic benchmark</x:v>
      </x:c>
      <x:c r="M52" s="2" t="str">
        <x:v>80% train, 20% test (4:1 ratio)</x:v>
      </x:c>
      <x:c r="N52" s="2" t="n">
        <x:v>9319</x:v>
      </x:c>
      <x:c r="O52" s="2" t="str">
        <x:v>See Table 1 (commits per project)</x:v>
      </x:c>
      <x:c r="P52" s="2" t="str">
        <x:v>NR</x:v>
      </x:c>
      <x:c r="Q52" s="2" t="str">
        <x:v>NR</x:v>
      </x:c>
      <x:c r="R52" s="2" t="str">
        <x:v>NR</x:v>
      </x:c>
      <x:c r="S52" s="2" t="str">
        <x:v>Prior studies' datasets (Zhang et al., Dong et al., Lin et al., Mazrae et al.)</x:v>
      </x:c>
      <x:c r="T52" s="2" t="str">
        <x:v>Not explicitly validated</x:v>
      </x:c>
      <x:c r="U52" s="2" t="str">
        <x:v>Weak</x:v>
      </x:c>
      <x:c r="V52" s="2" t="str">
        <x:v>No</x:v>
      </x:c>
      <x:c r="W52" s="2" t="str">
        <x:v>Precision@1;Precision@10;Hit@10;Recall@10;MRR;NDCG@1;NDCG@10</x:v>
      </x:c>
      <x:c r="X52" s="2" t="str">
        <x:v>artifact pair</x:v>
      </x:c>
      <x:c r="Y52" s="2" t="str">
        <x:v>No</x:v>
      </x:c>
      <x:c r="Z52" s="2" t="str">
        <x:v>No</x:v>
      </x:c>
      <x:c r="AA52" s="2" t="str">
        <x:v>No</x:v>
      </x:c>
      <x:c r="AB52" s="2" t="str">
        <x:v>No</x:v>
      </x:c>
      <x:c r="AC52" s="2" t="str">
        <x:v>No</x:v>
      </x:c>
      <x:c r="AD52" s="2" t="str">
        <x:v>Discussed in Section 7.2</x:v>
      </x:c>
      <x:c r="AE52" s="6" t="str">
        <x:v>p. 8; Section 6.1 (Tables 2 and 4)</x:v>
      </x:c>
      <x:c r="AF52" s="6" t="str">
        <x:v>Then, we ran EALink on the evaluation dataset constructed under the Realistic Distribution Setting.</x:v>
      </x:c>
      <x:c r="AG52" s="6" t="str">
        <x:v>评估EALink在原始和RDS数据集上的性能，并与VSM对比。</x:v>
      </x:c>
      <x:c r="AH52" s="2" t="str">
        <x:v>Accepted</x:v>
      </x:c>
      <x:c r="AI52" s="6" t="str">
        <x:v>Original dataset constructs 99 false links per issue; RDS constructs false links based on commit frequency.</x:v>
      </x:c>
    </x:row>
    <x:row r="53" ht="76" customHeight="1">
      <x:c r="A53" s="2" t="str">
        <x:v>S16-EVAL-R02</x:v>
      </x:c>
      <x:c r="B53" s="2" t="str">
        <x:v>S16</x:v>
      </x:c>
      <x:c r="C53" s="2" t="str">
        <x:v>merged_1144</x:v>
      </x:c>
      <x:c r="D53" s="2" t="str">
        <x:v>Reviewer_A</x:v>
      </x:c>
      <x:c r="E53" s="2" t="str">
        <x:v>Reviewer_A</x:v>
      </x:c>
      <x:c r="F53" s="2" t="str">
        <x:v>S16-EV02</x:v>
      </x:c>
      <x:c r="G53" s="2" t="str">
        <x:v>S16-T01</x:v>
      </x:c>
      <x:c r="H53" s="2" t="str">
        <x:v>Benchmark comparison</x:v>
      </x:c>
      <x:c r="I53" s="2" t="str">
        <x:v>Original (99 false links) and RDS across 20 projects</x:v>
      </x:c>
      <x:c r="J53" s="2" t="str">
        <x:v>Combined from Zhang et al., Dong et al., Lin et al., Mazrae et al.</x:v>
      </x:c>
      <x:c r="K53" s="2" t="str">
        <x:v>Public</x:v>
      </x:c>
      <x:c r="L53" s="2" t="str">
        <x:v>Academic benchmark</x:v>
      </x:c>
      <x:c r="M53" s="2" t="str">
        <x:v>80% train, 20% test (4:1 ratio)</x:v>
      </x:c>
      <x:c r="N53" s="2" t="n">
        <x:v>9319</x:v>
      </x:c>
      <x:c r="O53" s="2" t="str">
        <x:v>See Table 1</x:v>
      </x:c>
      <x:c r="P53" s="2" t="str">
        <x:v>NR</x:v>
      </x:c>
      <x:c r="Q53" s="2" t="str">
        <x:v>NR</x:v>
      </x:c>
      <x:c r="R53" s="2" t="str">
        <x:v>NR</x:v>
      </x:c>
      <x:c r="S53" s="2" t="str">
        <x:v>Prior studies' datasets (Zhang et al., Dong et al., Lin et al., Mazrae et al.)</x:v>
      </x:c>
      <x:c r="T53" s="2" t="str">
        <x:v>Not explicitly validated</x:v>
      </x:c>
      <x:c r="U53" s="2" t="str">
        <x:v>Multiple strengths</x:v>
      </x:c>
      <x:c r="V53" s="2" t="str">
        <x:v>No</x:v>
      </x:c>
      <x:c r="W53" s="2" t="str">
        <x:v>Precision@1;Precision@10;Hit@10;Recall@10;MRR;NDCG@1;NDCG@10;Training time;Testing time</x:v>
      </x:c>
      <x:c r="X53" s="2" t="str">
        <x:v>artifact pair</x:v>
      </x:c>
      <x:c r="Y53" s="2" t="str">
        <x:v>No</x:v>
      </x:c>
      <x:c r="Z53" s="2" t="str">
        <x:v>No</x:v>
      </x:c>
      <x:c r="AA53" s="2" t="str">
        <x:v>Mann-Whitney U test</x:v>
      </x:c>
      <x:c r="AB53" s="2" t="str">
        <x:v>No</x:v>
      </x:c>
      <x:c r="AC53" s="2" t="str">
        <x:v>No</x:v>
      </x:c>
      <x:c r="AD53" s="2" t="str">
        <x:v>Discussed in Section 7.2</x:v>
      </x:c>
      <x:c r="AE53" s="6" t="str">
        <x:v>p. 2; Section 6.2 (Tables 3-5)</x:v>
      </x:c>
      <x:c r="AF53" s="6" t="str">
        <x:v>Precision@1 of 75.91%, outperforming EALink [71] by 4× in our realistic datasets and by 30% in Precision@1 on EALink’s original</x:v>
      </x:c>
      <x:c r="AG53" s="6" t="str">
        <x:v>评估EasyLink和vector DB在原始和RDS数据集上的有效性和效率。</x:v>
      </x:c>
      <x:c r="AH53" s="2" t="str">
        <x:v>Accepted</x:v>
      </x:c>
      <x:c r="AI53" s="6" t="str">
        <x:v>Efficiency comparison includes training and testing times.</x:v>
      </x:c>
    </x:row>
    <x:row r="54" ht="76" customHeight="1">
      <x:c r="A54" s="2" t="str">
        <x:v>S16-EVAL-R03</x:v>
      </x:c>
      <x:c r="B54" s="2" t="str">
        <x:v>S16</x:v>
      </x:c>
      <x:c r="C54" s="2" t="str">
        <x:v>merged_1144</x:v>
      </x:c>
      <x:c r="D54" s="2" t="str">
        <x:v>Reviewer_A</x:v>
      </x:c>
      <x:c r="E54" s="2" t="str">
        <x:v>Reviewer_A</x:v>
      </x:c>
      <x:c r="F54" s="2" t="str">
        <x:v>S16-EV03</x:v>
      </x:c>
      <x:c r="G54" s="2" t="str">
        <x:v>S16-T01</x:v>
      </x:c>
      <x:c r="H54" s="2" t="str">
        <x:v>Controlled experiment</x:v>
      </x:c>
      <x:c r="I54" s="2" t="str">
        <x:v>RDS across 20 projects</x:v>
      </x:c>
      <x:c r="J54" s="2" t="str">
        <x:v>Combined from prior studies</x:v>
      </x:c>
      <x:c r="K54" s="2" t="str">
        <x:v>Public</x:v>
      </x:c>
      <x:c r="L54" s="2" t="str">
        <x:v>Academic benchmark</x:v>
      </x:c>
      <x:c r="M54" s="2" t="str">
        <x:v>80% train, 20% test (4:1 ratio)</x:v>
      </x:c>
      <x:c r="N54" s="2" t="n">
        <x:v>9319</x:v>
      </x:c>
      <x:c r="O54" s="2" t="str">
        <x:v>NR</x:v>
      </x:c>
      <x:c r="P54" s="2" t="str">
        <x:v>NR</x:v>
      </x:c>
      <x:c r="Q54" s="2" t="str">
        <x:v>NR</x:v>
      </x:c>
      <x:c r="R54" s="2" t="str">
        <x:v>NR</x:v>
      </x:c>
      <x:c r="S54" s="2" t="str">
        <x:v>Prior studies' datasets</x:v>
      </x:c>
      <x:c r="T54" s="2" t="str">
        <x:v>Not explicitly validated</x:v>
      </x:c>
      <x:c r="U54" s="2" t="str">
        <x:v>NA</x:v>
      </x:c>
      <x:c r="V54" s="2" t="str">
        <x:v>Yes</x:v>
      </x:c>
      <x:c r="W54" s="2" t="str">
        <x:v>Precision@1;Precision@10;Hit@10;Recall@10;MRR;NDCG@1;NDCG@10;Test time</x:v>
      </x:c>
      <x:c r="X54" s="2" t="str">
        <x:v>artifact pair</x:v>
      </x:c>
      <x:c r="Y54" s="2" t="str">
        <x:v>No</x:v>
      </x:c>
      <x:c r="Z54" s="2" t="str">
        <x:v>No</x:v>
      </x:c>
      <x:c r="AA54" s="2" t="str">
        <x:v>No</x:v>
      </x:c>
      <x:c r="AB54" s="2" t="str">
        <x:v>No</x:v>
      </x:c>
      <x:c r="AC54" s="2" t="str">
        <x:v>No</x:v>
      </x:c>
      <x:c r="AD54" s="2" t="str">
        <x:v>No</x:v>
      </x:c>
      <x:c r="AE54" s="6" t="str">
        <x:v>p. 9; Section 6.3 (Table 6, Figure 4)</x:v>
      </x:c>
      <x:c r="AF54" s="6" t="str">
        <x:v>ments with different top-𝑘 values, specifically 𝑘 = 5, 10, 15, 20. We Menzies [19]. This finding has practical implications – practitioners</x:v>
      </x:c>
      <x:c r="AG54" s="6" t="str">
        <x:v>消融实验：改变嵌入模型和k值，均在RDS数据集上进行。</x:v>
      </x:c>
      <x:c r="AH54" s="2" t="str">
        <x:v>Accepted</x:v>
      </x:c>
      <x:c r="AI54" s="6" t="str">
        <x:v>Ablation on embedding models (MiniLM, MPNet, OpenAI) and k values (5,10,15,20).</x:v>
      </x:c>
    </x:row>
    <x:row r="55" ht="76" customHeight="1">
      <x:c r="A55" s="2" t="str">
        <x:v>S17-EVAL-R01</x:v>
      </x:c>
      <x:c r="B55" s="2" t="str">
        <x:v>S17</x:v>
      </x:c>
      <x:c r="C55" s="2" t="str">
        <x:v>merged_1148-v1</x:v>
      </x:c>
      <x:c r="D55" s="2" t="str">
        <x:v>Reviewer_A</x:v>
      </x:c>
      <x:c r="E55" s="2" t="str">
        <x:v>Reviewer_A</x:v>
      </x:c>
      <x:c r="F55" s="2" t="str">
        <x:v>S17-EV01</x:v>
      </x:c>
      <x:c r="G55" s="2" t="str">
        <x:v>S17-T01</x:v>
      </x:c>
      <x:c r="H55" s="2" t="str">
        <x:v>Expert evaluation</x:v>
      </x:c>
      <x:c r="I55" s="2" t="str">
        <x:v>Auto-hold module from Chapter 2 of STPA Handbook</x:v>
      </x:c>
      <x:c r="J55" s="2" t="str">
        <x:v>STPA Handbook [3]</x:v>
      </x:c>
      <x:c r="K55" s="2" t="str">
        <x:v>Public</x:v>
      </x:c>
      <x:c r="L55" s="2" t="str">
        <x:v>Academic benchmark</x:v>
      </x:c>
      <x:c r="M55" s="2" t="str">
        <x:v>NA</x:v>
      </x:c>
      <x:c r="N55" s="2" t="str">
        <x:v>NR</x:v>
      </x:c>
      <x:c r="O55" s="2" t="n">
        <x:v>50</x:v>
      </x:c>
      <x:c r="P55" s="2" t="str">
        <x:v>NR</x:v>
      </x:c>
      <x:c r="Q55" s="2" t="str">
        <x:v>human annotators familiar with STPA</x:v>
      </x:c>
      <x:c r="R55" s="2" t="str">
        <x:v>Unclear</x:v>
      </x:c>
      <x:c r="S55" s="2" t="str">
        <x:v>Human annotators' judgment</x:v>
      </x:c>
      <x:c r="T55" s="2" t="str">
        <x:v>No</x:v>
      </x:c>
      <x:c r="U55" s="2" t="str">
        <x:v>None</x:v>
      </x:c>
      <x:c r="V55" s="2" t="str">
        <x:v>No</x:v>
      </x:c>
      <x:c r="W55" s="2" t="str">
        <x:v>Correct and Useful percentage; Correct but Useless percentage; Incorrect percentage</x:v>
      </x:c>
      <x:c r="X55" s="2" t="str">
        <x:v>artifact</x:v>
      </x:c>
      <x:c r="Y55" s="2" t="str">
        <x:v>Generated UCAs shuffled and assessed by annotators using three labels: CORRECT_AND_USEFUL, CORRECT_BUT_USELESS, INCORRECT.</x:v>
      </x:c>
      <x:c r="Z55" s="2" t="str">
        <x:v>No</x:v>
      </x:c>
      <x:c r="AA55" s="2" t="str">
        <x:v>No</x:v>
      </x:c>
      <x:c r="AB55" s="2" t="str">
        <x:v>No</x:v>
      </x:c>
      <x:c r="AC55" s="2" t="str">
        <x:v>No</x:v>
      </x:c>
      <x:c r="AD55" s="2" t="str">
        <x:v>No</x:v>
      </x:c>
      <x:c r="AE55" s="6" t="str">
        <x:v>p. 7; Section V-A</x:v>
      </x:c>
      <x:c r="AF55" s="6" t="str">
        <x:v>annotations were one of "CORRECT_AND_USEFUL", "CORRECT_BUT_USELESS", and "INCORRECT", as done</x:v>
      </x:c>
      <x:c r="AG55" s="6" t="str">
        <x:v>采用专家人工标注评估UCA生成质量，无基线比较。</x:v>
      </x:c>
      <x:c r="AH55" s="2" t="str">
        <x:v>Accepted</x:v>
      </x:c>
      <x:c r="AI55" s="6" t="str">
        <x:v>Prior EV1 covered UCA and loss scenario together; here split into separate evaluations per task.</x:v>
      </x:c>
    </x:row>
    <x:row r="56" ht="76" customHeight="1">
      <x:c r="A56" s="2" t="str">
        <x:v>S17-EVAL-R02</x:v>
      </x:c>
      <x:c r="B56" s="2" t="str">
        <x:v>S17</x:v>
      </x:c>
      <x:c r="C56" s="2" t="str">
        <x:v>merged_1148-v1</x:v>
      </x:c>
      <x:c r="D56" s="2" t="str">
        <x:v>Reviewer_A</x:v>
      </x:c>
      <x:c r="E56" s="2" t="str">
        <x:v>Reviewer_A</x:v>
      </x:c>
      <x:c r="F56" s="2" t="str">
        <x:v>S17-EV02</x:v>
      </x:c>
      <x:c r="G56" s="2" t="str">
        <x:v>S17-T02</x:v>
      </x:c>
      <x:c r="H56" s="2" t="str">
        <x:v>Expert evaluation</x:v>
      </x:c>
      <x:c r="I56" s="2" t="str">
        <x:v>Auto-hold module from Chapter 2 of STPA Handbook</x:v>
      </x:c>
      <x:c r="J56" s="2" t="str">
        <x:v>STPA Handbook [3]</x:v>
      </x:c>
      <x:c r="K56" s="2" t="str">
        <x:v>Public</x:v>
      </x:c>
      <x:c r="L56" s="2" t="str">
        <x:v>Academic benchmark</x:v>
      </x:c>
      <x:c r="M56" s="2" t="str">
        <x:v>NA</x:v>
      </x:c>
      <x:c r="N56" s="2" t="str">
        <x:v>NR</x:v>
      </x:c>
      <x:c r="O56" s="2" t="n">
        <x:v>50</x:v>
      </x:c>
      <x:c r="P56" s="2" t="str">
        <x:v>NR</x:v>
      </x:c>
      <x:c r="Q56" s="2" t="str">
        <x:v>human annotators familiar with STPA</x:v>
      </x:c>
      <x:c r="R56" s="2" t="str">
        <x:v>Unclear</x:v>
      </x:c>
      <x:c r="S56" s="2" t="str">
        <x:v>Human annotators' judgment</x:v>
      </x:c>
      <x:c r="T56" s="2" t="str">
        <x:v>No</x:v>
      </x:c>
      <x:c r="U56" s="2" t="str">
        <x:v>None</x:v>
      </x:c>
      <x:c r="V56" s="2" t="str">
        <x:v>No</x:v>
      </x:c>
      <x:c r="W56" s="2" t="str">
        <x:v>Correct and Useful percentage; Correct but Useless percentage; Incorrect percentage</x:v>
      </x:c>
      <x:c r="X56" s="2" t="str">
        <x:v>artifact</x:v>
      </x:c>
      <x:c r="Y56" s="2" t="str">
        <x:v>Generated loss scenarios shuffled and assessed using three labels: CORRECT_AND_USEFUL, CORRECT_BUT_USELESS, INCORRECT.</x:v>
      </x:c>
      <x:c r="Z56" s="2" t="str">
        <x:v>No</x:v>
      </x:c>
      <x:c r="AA56" s="2" t="str">
        <x:v>No</x:v>
      </x:c>
      <x:c r="AB56" s="2" t="str">
        <x:v>No</x:v>
      </x:c>
      <x:c r="AC56" s="2" t="str">
        <x:v>No</x:v>
      </x:c>
      <x:c r="AD56" s="2" t="str">
        <x:v>No</x:v>
      </x:c>
      <x:c r="AE56" s="6" t="str">
        <x:v>p. 7; Section V-A</x:v>
      </x:c>
      <x:c r="AF56" s="6" t="str">
        <x:v>annotations were one of "CORRECT_AND_USEFUL", "CORRECT_BUT_USELESS", and "INCORRECT", as done</x:v>
      </x:c>
      <x:c r="AG56" s="6" t="str">
        <x:v>与UCA评估相同，人工标注损失场景的接受率。</x:v>
      </x:c>
      <x:c r="AH56" s="2" t="str">
        <x:v>Accepted</x:v>
      </x:c>
      <x:c r="AI56" s="6" t="str">
        <x:v>Prior EV1 covered both artifacts; this evaluation focuses on loss scenarios.</x:v>
      </x:c>
    </x:row>
    <x:row r="57" ht="76" customHeight="1">
      <x:c r="A57" s="2" t="str">
        <x:v>S17-EVAL-R03</x:v>
      </x:c>
      <x:c r="B57" s="2" t="str">
        <x:v>S17</x:v>
      </x:c>
      <x:c r="C57" s="2" t="str">
        <x:v>merged_1148-v1</x:v>
      </x:c>
      <x:c r="D57" s="2" t="str">
        <x:v>Reviewer_A</x:v>
      </x:c>
      <x:c r="E57" s="2" t="str">
        <x:v>Reviewer_A</x:v>
      </x:c>
      <x:c r="F57" s="2" t="str">
        <x:v>S17-EV03</x:v>
      </x:c>
      <x:c r="G57" s="2" t="str">
        <x:v>S17-T03</x:v>
      </x:c>
      <x:c r="H57" s="2" t="str">
        <x:v>Benchmark comparison</x:v>
      </x:c>
      <x:c r="I57" s="2" t="str">
        <x:v>Five systems from Appendix A of STPA Handbook</x:v>
      </x:c>
      <x:c r="J57" s="2" t="str">
        <x:v>STPA Handbook [3]</x:v>
      </x:c>
      <x:c r="K57" s="2" t="str">
        <x:v>Public</x:v>
      </x:c>
      <x:c r="L57" s="2" t="str">
        <x:v>Academic benchmark</x:v>
      </x:c>
      <x:c r="M57" s="2" t="str">
        <x:v>NA</x:v>
      </x:c>
      <x:c r="N57" s="2" t="str">
        <x:v>16;14;16;21;8</x:v>
      </x:c>
      <x:c r="O57" s="2" t="str">
        <x:v>NR</x:v>
      </x:c>
      <x:c r="P57" s="2" t="str">
        <x:v>NR</x:v>
      </x:c>
      <x:c r="Q57" s="2" t="str">
        <x:v>NA</x:v>
      </x:c>
      <x:c r="R57" s="2" t="str">
        <x:v>NA</x:v>
      </x:c>
      <x:c r="S57" s="2" t="str">
        <x:v>Handbook annotations (gold standard links)</x:v>
      </x:c>
      <x:c r="T57" s="2" t="str">
        <x:v>No</x:v>
      </x:c>
      <x:c r="U57" s="2" t="str">
        <x:v>None</x:v>
      </x:c>
      <x:c r="V57" s="2" t="str">
        <x:v>No</x:v>
      </x:c>
      <x:c r="W57" s="2" t="str">
        <x:v>Accuracy; Precision; Recall; F-1 Score</x:v>
      </x:c>
      <x:c r="X57" s="2" t="str">
        <x:v>artifact pair</x:v>
      </x:c>
      <x:c r="Y57" s="2" t="str">
        <x:v>No</x:v>
      </x:c>
      <x:c r="Z57" s="2" t="str">
        <x:v>No</x:v>
      </x:c>
      <x:c r="AA57" s="2" t="str">
        <x:v>No</x:v>
      </x:c>
      <x:c r="AB57" s="2" t="str">
        <x:v>No</x:v>
      </x:c>
      <x:c r="AC57" s="2" t="str">
        <x:v>Yes</x:v>
      </x:c>
      <x:c r="AD57" s="2" t="str">
        <x:v>No</x:v>
      </x:c>
      <x:c r="AE57" s="6" t="str">
        <x:v>p. 8; Section V-B, Table II</x:v>
      </x:c>
      <x:c r="AF57" s="6" t="str">
        <x:v>In total, 75 hazard-loss pairs were tested for linkages and compliance with the Handbook’s annotations.</x:v>
      </x:c>
      <x:c r="AG57" s="6" t="str">
        <x:v>以手册中标注的链接为真值，评估LLM链接推荐的准确率，并对假阳性进行了错误分析，发现手册可能存在遗漏。</x:v>
      </x:c>
      <x:c r="AH57" s="2" t="str">
        <x:v>Accepted</x:v>
      </x:c>
      <x:c r="AI57" s="6" t="str">
        <x:v>Prior EV2.</x:v>
      </x:c>
    </x:row>
    <x:row r="58" ht="76" customHeight="1">
      <x:c r="A58" s="2" t="str">
        <x:v>S18-EVAL-R01</x:v>
      </x:c>
      <x:c r="B58" s="2" t="str">
        <x:v>S18</x:v>
      </x:c>
      <x:c r="C58" s="2" t="str">
        <x:v>merged_1149</x:v>
      </x:c>
      <x:c r="D58" s="2" t="str">
        <x:v>Reviewer_A</x:v>
      </x:c>
      <x:c r="E58" s="2" t="str">
        <x:v>Reviewer_A</x:v>
      </x:c>
      <x:c r="F58" s="2" t="str">
        <x:v>S18-EV01</x:v>
      </x:c>
      <x:c r="G58" s="2" t="str">
        <x:v>S18-T01</x:v>
      </x:c>
      <x:c r="H58" s="2" t="str">
        <x:v>Benchmark comparison</x:v>
      </x:c>
      <x:c r="I58" s="2" t="str">
        <x:v>HIPAA</x:v>
      </x:c>
      <x:c r="J58" s="2" t="str">
        <x:v>Publicly available from [10,12]</x:v>
      </x:c>
      <x:c r="K58" s="2" t="str">
        <x:v>Public</x:v>
      </x:c>
      <x:c r="L58" s="2" t="str">
        <x:v>Academic benchmark</x:v>
      </x:c>
      <x:c r="M58" s="2" t="str">
        <x:v>Leave-one-out across 9 documents (exclude CCHIT)</x:v>
      </x:c>
      <x:c r="N58" s="2" t="n">
        <x:v>827</x:v>
      </x:c>
      <x:c r="O58" s="2" t="n">
        <x:v>10</x:v>
      </x:c>
      <x:c r="P58" s="2" t="n">
        <x:v>165</x:v>
      </x:c>
      <x:c r="Q58" s="2" t="str">
        <x:v>NA</x:v>
      </x:c>
      <x:c r="R58" s="2" t="str">
        <x:v>NA</x:v>
      </x:c>
      <x:c r="S58" s="2" t="str">
        <x:v>Manually identified by dataset creators</x:v>
      </x:c>
      <x:c r="T58" s="2" t="str">
        <x:v>NR</x:v>
      </x:c>
      <x:c r="U58" s="2" t="str">
        <x:v>Multiple strengths</x:v>
      </x:c>
      <x:c r="V58" s="2" t="str">
        <x:v>Yes, compared four Kashif threshold variants and fine-tuned vs zero-shot for LLaMa</x:v>
      </x:c>
      <x:c r="W58" s="2" t="str">
        <x:v>TP; FP; FN; P; R; F2; MAP; AUC</x:v>
      </x:c>
      <x:c r="X58" s="2" t="str">
        <x:v>trace link</x:v>
      </x:c>
      <x:c r="Y58" s="2" t="str">
        <x:v>No</x:v>
      </x:c>
      <x:c r="Z58" s="2" t="str">
        <x:v>NR</x:v>
      </x:c>
      <x:c r="AA58" s="2" t="str">
        <x:v>No</x:v>
      </x:c>
      <x:c r="AB58" s="2" t="str">
        <x:v>No</x:v>
      </x:c>
      <x:c r="AC58" s="2" t="str">
        <x:v>Yes, analysis of FP and FN causes</x:v>
      </x:c>
      <x:c r="AD58" s="2" t="str">
        <x:v>Discussed in Section 5</x:v>
      </x:c>
      <x:c r="AE58" s="6" t="str">
        <x:v>p. 17; Section 4.6 Methodology</x:v>
      </x:c>
      <x:c r="AF58" s="6" t="str">
        <x:v>We answer RQ2 on the benchmark dataset, HIPAA. Since HIPAA comprises 10 requirements documents, we apply the leave-one-out (LOO) evaluation method</x:v>
      </x:c>
      <x:c r="AG58" s="6" t="str">
        <x:v>在HIPAA数据集上采用留一法评估，比较Kashif与多个基线（包括LLaMa）的性能。</x:v>
      </x:c>
      <x:c r="AH58" s="2" t="str">
        <x:v>Accepted</x:v>
      </x:c>
      <x:c r="AI58" s="6" t="str">
        <x:v>NA</x:v>
      </x:c>
    </x:row>
    <x:row r="59" ht="76" customHeight="1">
      <x:c r="A59" s="2" t="str">
        <x:v>S18-EVAL-R02</x:v>
      </x:c>
      <x:c r="B59" s="2" t="str">
        <x:v>S18</x:v>
      </x:c>
      <x:c r="C59" s="2" t="str">
        <x:v>merged_1149</x:v>
      </x:c>
      <x:c r="D59" s="2" t="str">
        <x:v>Reviewer_A</x:v>
      </x:c>
      <x:c r="E59" s="2" t="str">
        <x:v>Reviewer_A</x:v>
      </x:c>
      <x:c r="F59" s="2" t="str">
        <x:v>S18-EV02</x:v>
      </x:c>
      <x:c r="G59" s="2" t="str">
        <x:v>S18-T01</x:v>
      </x:c>
      <x:c r="H59" s="2" t="str">
        <x:v>Benchmark comparison</x:v>
      </x:c>
      <x:c r="I59" s="2" t="str">
        <x:v>GDPR test documents (RD1-RD4: Keepass, WASP, Datahub, Scrumalliance)</x:v>
      </x:c>
      <x:c r="J59" s="2" t="str">
        <x:v>Newly created by authors from open-source requirements</x:v>
      </x:c>
      <x:c r="K59" s="2" t="str">
        <x:v>Private</x:v>
      </x:c>
      <x:c r="L59" s="2" t="str">
        <x:v>Open-source project</x:v>
      </x:c>
      <x:c r="M59" s="2" t="str">
        <x:v>5 requirements per document used for few-shot, test on remaining (73, 64, 61, 92)</x:v>
      </x:c>
      <x:c r="N59" s="2" t="n">
        <x:v>290</x:v>
      </x:c>
      <x:c r="O59" s="2" t="str">
        <x:v>27 (26 GDPR provisions + ELSE)</x:v>
      </x:c>
      <x:c r="P59" s="2" t="n">
        <x:v>251</x:v>
      </x:c>
      <x:c r="Q59" s="2" t="str">
        <x:v>NA</x:v>
      </x:c>
      <x:c r="R59" s="2" t="str">
        <x:v>NA</x:v>
      </x:c>
      <x:c r="S59" s="2" t="str">
        <x:v>Manually identified by two co-authors with RE expertise</x:v>
      </x:c>
      <x:c r="T59" s="2" t="str">
        <x:v>NR</x:v>
      </x:c>
      <x:c r="U59" s="2" t="str">
        <x:v>Multiple strengths</x:v>
      </x:c>
      <x:c r="V59" s="2" t="str">
        <x:v>Yes, tested different seeds, temperatures, and number of few-shot examples</x:v>
      </x:c>
      <x:c r="W59" s="2" t="str">
        <x:v>TP; FP; R; P; F2; EM; PM; SR; MR; Cost</x:v>
      </x:c>
      <x:c r="X59" s="2" t="str">
        <x:v>trace link and requirement</x:v>
      </x:c>
      <x:c r="Y59" s="2" t="str">
        <x:v>Manual evaluation of prompt rationales during refinement</x:v>
      </x:c>
      <x:c r="Z59" s="2" t="str">
        <x:v>Yes, test documents not seen during prompt refinement, trace links are new</x:v>
      </x:c>
      <x:c r="AA59" s="2" t="str">
        <x:v>No</x:v>
      </x:c>
      <x:c r="AB59" s="2" t="str">
        <x:v>No</x:v>
      </x:c>
      <x:c r="AC59" s="2" t="str">
        <x:v>Yes, analysis of FPs and partial matches</x:v>
      </x:c>
      <x:c r="AD59" s="2" t="str">
        <x:v>Discussed in Section 5</x:v>
      </x:c>
      <x:c r="AE59" s="6" t="str">
        <x:v>p. 22; Section 4.8 Methodology</x:v>
      </x:c>
      <x:c r="AF59" s="6" t="str">
        <x:v>We compare the LLM’s recommendations, generated with our prompt for each requirement, against our ground truth. We begin by evaluating Rice LRT under two temperature values (0 and 0.5) and five different random seed values. We then compare its performance with the baseline prompts using their reported best settings.</x:v>
      </x:c>
      <x:c r="AG59" s="6" t="str">
        <x:v>在GDPR数据集上评估Rice LRT与基线提示的性能，包括消融研究。</x:v>
      </x:c>
      <x:c r="AH59" s="2" t="str">
        <x:v>Accepted</x:v>
      </x:c>
      <x:c r="AI59" s="6" t="str">
        <x:v>NA</x:v>
      </x:c>
    </x:row>
    <x:row r="60" ht="76" customHeight="1">
      <x:c r="A60" s="2" t="str">
        <x:v>S19-EVAL-R01</x:v>
      </x:c>
      <x:c r="B60" s="2" t="str">
        <x:v>S19</x:v>
      </x:c>
      <x:c r="C60" s="2" t="str">
        <x:v>merged_1150</x:v>
      </x:c>
      <x:c r="D60" s="2" t="str">
        <x:v>Reviewer_A</x:v>
      </x:c>
      <x:c r="E60" s="2" t="str">
        <x:v>Reviewer_A</x:v>
      </x:c>
      <x:c r="F60" s="2" t="str">
        <x:v>S19-EV01</x:v>
      </x:c>
      <x:c r="G60" s="2" t="str">
        <x:v>S19-T01</x:v>
      </x:c>
      <x:c r="H60" s="2" t="str">
        <x:v>Benchmark comparison</x:v>
      </x:c>
      <x:c r="I60" s="2" t="str">
        <x:v>five manually curated games (Dice, Arkanoid, Snake, Scopa, Pong)</x:v>
      </x:c>
      <x:c r="J60" s="2" t="str">
        <x:v>created by authors</x:v>
      </x:c>
      <x:c r="K60" s="2" t="str">
        <x:v>Public</x:v>
      </x:c>
      <x:c r="L60" s="2" t="str">
        <x:v>Academic benchmark</x:v>
      </x:c>
      <x:c r="M60" s="2" t="str">
        <x:v>NA</x:v>
      </x:c>
      <x:c r="N60" s="2" t="n">
        <x:v>94</x:v>
      </x:c>
      <x:c r="O60" s="2" t="n">
        <x:v>809</x:v>
      </x:c>
      <x:c r="P60" s="2" t="n">
        <x:v>70</x:v>
      </x:c>
      <x:c r="Q60" s="2" t="str">
        <x:v>NA</x:v>
      </x:c>
      <x:c r="R60" s="2" t="str">
        <x:v>NA</x:v>
      </x:c>
      <x:c r="S60" s="2" t="str">
        <x:v>Two authors independently reviewed and decided which requirements are implemented and which LOC</x:v>
      </x:c>
      <x:c r="T60" s="2" t="str">
        <x:v>kappa=0.9 for smell-free, kappa=0.74 for smelly</x:v>
      </x:c>
      <x:c r="U60" s="2" t="str">
        <x:v>Moderate</x:v>
      </x:c>
      <x:c r="V60" s="2" t="str">
        <x:v>No</x:v>
      </x:c>
      <x:c r="W60" s="2" t="str">
        <x:v>BTA;LOC precision;LOC recall;LOC F1</x:v>
      </x:c>
      <x:c r="X60" s="2" t="str">
        <x:v>artifact</x:v>
      </x:c>
      <x:c r="Y60" s="2" t="str">
        <x:v>No</x:v>
      </x:c>
      <x:c r="Z60" s="2" t="str">
        <x:v>No</x:v>
      </x:c>
      <x:c r="AA60" s="2" t="str">
        <x:v>Generalized linear mixed model (GLMM) for RQ2</x:v>
      </x:c>
      <x:c r="AB60" s="2" t="str">
        <x:v>confidence interval for GLMM coefficient</x:v>
      </x:c>
      <x:c r="AC60" s="2" t="str">
        <x:v>No</x:v>
      </x:c>
      <x:c r="AD60" s="2" t="str">
        <x:v>No</x:v>
      </x:c>
      <x:c r="AE60" s="6" t="str">
        <x:v>p. 2; Section III Study Design</x:v>
      </x:c>
      <x:c r="AF60" s="6" t="str">
        <x:v>five manually curated projects. We evaluate the tracing performance of LLama 3.1 and GPT-4o on well-written requirements (RQ1) and in smelly ones, considering the impact of the</x:v>
      </x:c>
      <x:c r="AG60" s="6" t="str">
        <x:v>受控基准实验设计，比较不同条件下两种LLM的追踪性能。</x:v>
      </x:c>
      <x:c r="AH60" s="2" t="str">
        <x:v>Accepted</x:v>
      </x:c>
      <x:c r="AI60" s="6" t="str">
        <x:v>The dataset is available online as supplementary material.</x:v>
      </x:c>
    </x:row>
    <x:row r="61" ht="76" customHeight="1">
      <x:c r="A61" s="2" t="str">
        <x:v>S20-EVAL-R01</x:v>
      </x:c>
      <x:c r="B61" s="2" t="str">
        <x:v>S20</x:v>
      </x:c>
      <x:c r="C61" s="2" t="str">
        <x:v>merged_1151-v1</x:v>
      </x:c>
      <x:c r="D61" s="2" t="str">
        <x:v>Reviewer_A</x:v>
      </x:c>
      <x:c r="E61" s="2" t="str">
        <x:v>Reviewer_A</x:v>
      </x:c>
      <x:c r="F61" s="2" t="str">
        <x:v>S20-EV01</x:v>
      </x:c>
      <x:c r="G61" s="2" t="str">
        <x:v>S20-T01</x:v>
      </x:c>
      <x:c r="H61" s="2" t="str">
        <x:v>Benchmark comparison</x:v>
      </x:c>
      <x:c r="I61" s="2" t="str">
        <x:v>Combined SRS requirements (SRS Broker + SRS Aero, 206 requirements)</x:v>
      </x:c>
      <x:c r="J61" s="2" t="str">
        <x:v>Saman Bourse IR regulations for SRS Broker; NASA FTPP requirements for SRS Aero</x:v>
      </x:c>
      <x:c r="K61" s="2" t="str">
        <x:v>NR</x:v>
      </x:c>
      <x:c r="L61" s="2" t="str">
        <x:v>Industrial offline data</x:v>
      </x:c>
      <x:c r="M61" s="2" t="str">
        <x:v>NA</x:v>
      </x:c>
      <x:c r="N61" s="2" t="n">
        <x:v>206</x:v>
      </x:c>
      <x:c r="O61" s="2" t="str">
        <x:v>NR</x:v>
      </x:c>
      <x:c r="P61" s="2" t="str">
        <x:v>NR</x:v>
      </x:c>
      <x:c r="Q61" s="2" t="str">
        <x:v>NA</x:v>
      </x:c>
      <x:c r="R61" s="2" t="str">
        <x:v>NA</x:v>
      </x:c>
      <x:c r="S61" s="2" t="str">
        <x:v>Manual annotation by domain experts (two software engineers for Broker; original authors for Aero)</x:v>
      </x:c>
      <x:c r="T61" s="2" t="str">
        <x:v>NR</x:v>
      </x:c>
      <x:c r="U61" s="2" t="str">
        <x:v>Moderate</x:v>
      </x:c>
      <x:c r="V61" s="2" t="str">
        <x:v>No</x:v>
      </x:c>
      <x:c r="W61" s="2" t="str">
        <x:v>Coverage</x:v>
      </x:c>
      <x:c r="X61" s="2" t="str">
        <x:v>artifact</x:v>
      </x:c>
      <x:c r="Y61" s="2" t="str">
        <x:v>No</x:v>
      </x:c>
      <x:c r="Z61" s="2" t="str">
        <x:v>No</x:v>
      </x:c>
      <x:c r="AA61" s="2" t="str">
        <x:v>No</x:v>
      </x:c>
      <x:c r="AB61" s="2" t="str">
        <x:v>No</x:v>
      </x:c>
      <x:c r="AC61" s="2" t="str">
        <x:v>No</x:v>
      </x:c>
      <x:c r="AD61" s="2" t="str">
        <x:v>NR</x:v>
      </x:c>
      <x:c r="AE61" s="6" t="str">
        <x:v>p. 18; Section 5.1, Figure 8</x:v>
      </x:c>
      <x:c r="AF61" s="6" t="str">
        <x:v>The coverage is evaluated automatically based on exact matches. Figure 8 illustrates the coverage percentage achieved by four models</x:v>
      </x:c>
      <x:c r="AG61" s="6" t="str">
        <x:v>本评估在206个需求上比较了四种模型在不同相似度阈值下的检索覆盖率，采用精确匹配自动评估。</x:v>
      </x:c>
      <x:c r="AH61" s="2" t="str">
        <x:v>Accepted</x:v>
      </x:c>
      <x:c r="AI61" s="6" t="str">
        <x:v>Retrieval coverage curves shown in Figure 8; no single numeric result reported.</x:v>
      </x:c>
    </x:row>
    <x:row r="62" ht="76" customHeight="1">
      <x:c r="A62" s="2" t="str">
        <x:v>S20-EVAL-R02</x:v>
      </x:c>
      <x:c r="B62" s="2" t="str">
        <x:v>S20</x:v>
      </x:c>
      <x:c r="C62" s="2" t="str">
        <x:v>merged_1151-v1</x:v>
      </x:c>
      <x:c r="D62" s="2" t="str">
        <x:v>Reviewer_A</x:v>
      </x:c>
      <x:c r="E62" s="2" t="str">
        <x:v>Reviewer_A</x:v>
      </x:c>
      <x:c r="F62" s="2" t="str">
        <x:v>S20-EV02</x:v>
      </x:c>
      <x:c r="G62" s="2" t="str">
        <x:v>S20-T02</x:v>
      </x:c>
      <x:c r="H62" s="2" t="str">
        <x:v>Benchmark comparison</x:v>
      </x:c>
      <x:c r="I62" s="2" t="str">
        <x:v>SRS Broker and SRS Aero</x:v>
      </x:c>
      <x:c r="J62" s="2" t="str">
        <x:v>Saman Bourse IR regulations for SRS Broker; NASA FTPP requirements for SRS Aero</x:v>
      </x:c>
      <x:c r="K62" s="2" t="str">
        <x:v>NR</x:v>
      </x:c>
      <x:c r="L62" s="2" t="str">
        <x:v>Industrial offline data</x:v>
      </x:c>
      <x:c r="M62" s="2" t="str">
        <x:v>NA</x:v>
      </x:c>
      <x:c r="N62" s="2" t="str">
        <x:v>NR (223 pairs for Broker, 420 pairs for Aero)</x:v>
      </x:c>
      <x:c r="O62" s="2" t="str">
        <x:v>NR</x:v>
      </x:c>
      <x:c r="P62" s="2" t="str">
        <x:v>NR (non-compliant pairs: 68 for Broker, 54 for Aero)</x:v>
      </x:c>
      <x:c r="Q62" s="2" t="str">
        <x:v>NA</x:v>
      </x:c>
      <x:c r="R62" s="2" t="str">
        <x:v>NA</x:v>
      </x:c>
      <x:c r="S62" s="2" t="str">
        <x:v>Manual annotation by domain experts (two software engineers for Broker; original authors for Aero)</x:v>
      </x:c>
      <x:c r="T62" s="2" t="str">
        <x:v>NR</x:v>
      </x:c>
      <x:c r="U62" s="2" t="str">
        <x:v>Multiple strengths</x:v>
      </x:c>
      <x:c r="V62" s="2" t="str">
        <x:v>No</x:v>
      </x:c>
      <x:c r="W62" s="2" t="str">
        <x:v>Precision; Recall; F1-Score</x:v>
      </x:c>
      <x:c r="X62" s="2" t="str">
        <x:v>artifact pair</x:v>
      </x:c>
      <x:c r="Y62" s="2" t="str">
        <x:v>No</x:v>
      </x:c>
      <x:c r="Z62" s="2" t="str">
        <x:v>No</x:v>
      </x:c>
      <x:c r="AA62" s="2" t="str">
        <x:v>No</x:v>
      </x:c>
      <x:c r="AB62" s="2" t="str">
        <x:v>No</x:v>
      </x:c>
      <x:c r="AC62" s="2" t="str">
        <x:v>Confusion matrices shown</x:v>
      </x:c>
      <x:c r="AD62" s="2" t="str">
        <x:v>NR</x:v>
      </x:c>
      <x:c r="AE62" s="6" t="str">
        <x:v>p. 18; Section 5.2</x:v>
      </x:c>
      <x:c r="AF62" s="6" t="str">
        <x:v>Using this threshold, reference text is retrieved, and conformance is checked across four models and three prompts. The evaluation metrics used are Precision, Recall, and F1-Score.</x:v>
      </x:c>
      <x:c r="AG62" s="6" t="str">
        <x:v>本评估在相似度阈值0.7下，对四种RAG模型和三种提示进行需求合规性检测，并报告精确率、召回率和F1分数。</x:v>
      </x:c>
      <x:c r="AH62" s="2" t="str">
        <x:v>Accepted</x:v>
      </x:c>
      <x:c r="AI62" s="6" t="str">
        <x:v>Evaluation on two separate datasets: SRS Broker (223 pairs) and SRS Aero (420 pairs).</x:v>
      </x:c>
    </x:row>
    <x:row r="63" ht="76" customHeight="1">
      <x:c r="A63" s="2" t="str">
        <x:v>S21-EVAL-R01</x:v>
      </x:c>
      <x:c r="B63" s="2" t="str">
        <x:v>S21</x:v>
      </x:c>
      <x:c r="C63" s="2" t="str">
        <x:v>merged_1152</x:v>
      </x:c>
      <x:c r="D63" s="2" t="str">
        <x:v>Reviewer_A</x:v>
      </x:c>
      <x:c r="E63" s="2" t="str">
        <x:v>Reviewer_A</x:v>
      </x:c>
      <x:c r="F63" s="2" t="str">
        <x:v>S21-EV01</x:v>
      </x:c>
      <x:c r="G63" s="2" t="str">
        <x:v>S21-T01</x:v>
      </x:c>
      <x:c r="H63" s="2" t="str">
        <x:v>Benchmark comparison</x:v>
      </x:c>
      <x:c r="I63" s="2" t="str">
        <x:v>CM1</x:v>
      </x:c>
      <x:c r="J63" s="2" t="str">
        <x:v>NASA Metric Data Program (MDP) instrument project</x:v>
      </x:c>
      <x:c r="K63" s="2" t="str">
        <x:v>Public</x:v>
      </x:c>
      <x:c r="L63" s="2" t="str">
        <x:v>Academic benchmark</x:v>
      </x:c>
      <x:c r="M63" s="2" t="str">
        <x:v>NA</x:v>
      </x:c>
      <x:c r="N63" s="2" t="n">
        <x:v>5</x:v>
      </x:c>
      <x:c r="O63" s="2" t="n">
        <x:v>53</x:v>
      </x:c>
      <x:c r="P63" s="2" t="n">
        <x:v>13</x:v>
      </x:c>
      <x:c r="Q63" s="2" t="str">
        <x:v>NA</x:v>
      </x:c>
      <x:c r="R63" s="2" t="str">
        <x:v>NA</x:v>
      </x:c>
      <x:c r="S63" s="2" t="str">
        <x:v>Original CM1 dataset expert annotations</x:v>
      </x:c>
      <x:c r="T63" s="2" t="str">
        <x:v>NR</x:v>
      </x:c>
      <x:c r="U63" s="2" t="str">
        <x:v>None</x:v>
      </x:c>
      <x:c r="V63" s="2" t="str">
        <x:v>Yes</x:v>
      </x:c>
      <x:c r="W63" s="2" t="str">
        <x:v>Precision; Recall</x:v>
      </x:c>
      <x:c r="X63" s="2" t="str">
        <x:v>artifact pair</x:v>
      </x:c>
      <x:c r="Y63" s="2" t="str">
        <x:v>No</x:v>
      </x:c>
      <x:c r="Z63" s="2" t="str">
        <x:v>No</x:v>
      </x:c>
      <x:c r="AA63" s="2" t="str">
        <x:v>No</x:v>
      </x:c>
      <x:c r="AB63" s="2" t="str">
        <x:v>No</x:v>
      </x:c>
      <x:c r="AC63" s="2" t="str">
        <x:v>Yes</x:v>
      </x:c>
      <x:c r="AD63" s="2" t="str">
        <x:v>Discussed in Section V but no specific controls implemented</x:v>
      </x:c>
      <x:c r="AE63" s="6" t="str">
        <x:v>p. 3; Section III Experimental Setup</x:v>
      </x:c>
      <x:c r="AF63" s="6" t="str">
        <x:v>The resulting candidate links are then evaluated against the ground truth links using common classification metrics such as precision and recall.</x:v>
      </x:c>
      <x:c r="AG63" s="6" t="str">
        <x:v>该评估在CM1数据集上测试多种提示，以精确率和召回率衡量分类性能，无外部基线，属于内部消融实验。</x:v>
      </x:c>
      <x:c r="AH63" s="2" t="str">
        <x:v>Accepted</x:v>
      </x:c>
      <x:c r="AI63" s="6" t="str">
        <x:v>NA</x:v>
      </x:c>
    </x:row>
    <x:row r="64" ht="76" customHeight="1">
      <x:c r="A64" s="2" t="str">
        <x:v>S21-EVAL-R02</x:v>
      </x:c>
      <x:c r="B64" s="2" t="str">
        <x:v>S21</x:v>
      </x:c>
      <x:c r="C64" s="2" t="str">
        <x:v>merged_1152</x:v>
      </x:c>
      <x:c r="D64" s="2" t="str">
        <x:v>Reviewer_A</x:v>
      </x:c>
      <x:c r="E64" s="2" t="str">
        <x:v>Reviewer_A</x:v>
      </x:c>
      <x:c r="F64" s="2" t="str">
        <x:v>S21-EV02</x:v>
      </x:c>
      <x:c r="G64" s="2" t="str">
        <x:v>S21-T02</x:v>
      </x:c>
      <x:c r="H64" s="2" t="str">
        <x:v>Benchmark comparison</x:v>
      </x:c>
      <x:c r="I64" s="2" t="str">
        <x:v>CM1, iTrust, Dronology NL, Dronology PL</x:v>
      </x:c>
      <x:c r="J64" s="2" t="str">
        <x:v>All datasets are publicly available from prior work</x:v>
      </x:c>
      <x:c r="K64" s="2" t="str">
        <x:v>Public</x:v>
      </x:c>
      <x:c r="L64" s="2" t="str">
        <x:v>Academic benchmark</x:v>
      </x:c>
      <x:c r="M64" s="2" t="str">
        <x:v>NA</x:v>
      </x:c>
      <x:c r="N64" s="2" t="str">
        <x:v>5 per dataset</x:v>
      </x:c>
      <x:c r="O64" s="2" t="str">
        <x:v>varied (53-458)</x:v>
      </x:c>
      <x:c r="P64" s="2" t="str">
        <x:v>varied (4-48)</x:v>
      </x:c>
      <x:c r="Q64" s="2" t="str">
        <x:v>NA</x:v>
      </x:c>
      <x:c r="R64" s="2" t="str">
        <x:v>NA</x:v>
      </x:c>
      <x:c r="S64" s="2" t="str">
        <x:v>Original expert-annotated links from each dataset</x:v>
      </x:c>
      <x:c r="T64" s="2" t="str">
        <x:v>NR</x:v>
      </x:c>
      <x:c r="U64" s="2" t="str">
        <x:v>Moderate</x:v>
      </x:c>
      <x:c r="V64" s="2" t="str">
        <x:v>No</x:v>
      </x:c>
      <x:c r="W64" s="2" t="str">
        <x:v>MAP</x:v>
      </x:c>
      <x:c r="X64" s="2" t="str">
        <x:v>artifact pair</x:v>
      </x:c>
      <x:c r="Y64" s="2" t="str">
        <x:v>No</x:v>
      </x:c>
      <x:c r="Z64" s="2" t="str">
        <x:v>No</x:v>
      </x:c>
      <x:c r="AA64" s="2" t="str">
        <x:v>No</x:v>
      </x:c>
      <x:c r="AB64" s="2" t="str">
        <x:v>No</x:v>
      </x:c>
      <x:c r="AC64" s="2" t="str">
        <x:v>No</x:v>
      </x:c>
      <x:c r="AD64" s="2" t="str">
        <x:v>Discussed but no specific controls</x:v>
      </x:c>
      <x:c r="AE64" s="6" t="str">
        <x:v>p. 6; Section IV-D Ranking Prompt Discovery and Table III</x:v>
      </x:c>
      <x:c r="AF64" s="6" t="str">
        <x:v>While discussions throughout the paper have focused on the CM1 dataset, we applied this approach to the three other datasets presented in Table I and report results for all four datasets in Table III.</x:v>
      </x:c>
      <x:c r="AG64" s="6" t="str">
        <x:v>该评估将VSM初始排序与VSM+LLM重排序的方法在四个数据集上比较MAP，VSM作为中等强度的基线。</x:v>
      </x:c>
      <x:c r="AH64" s="2" t="str">
        <x:v>Accepted</x:v>
      </x:c>
      <x:c r="AI64" s="6" t="str">
        <x:v>NA</x:v>
      </x:c>
    </x:row>
    <x:row r="65" ht="76" customHeight="1">
      <x:c r="A65" s="2" t="str">
        <x:v>S22-EVAL-R01</x:v>
      </x:c>
      <x:c r="B65" s="2" t="str">
        <x:v>S22</x:v>
      </x:c>
      <x:c r="C65" s="2" t="str">
        <x:v>merged_1154-v1</x:v>
      </x:c>
      <x:c r="D65" s="2" t="str">
        <x:v>Reviewer_A</x:v>
      </x:c>
      <x:c r="E65" s="2" t="str">
        <x:v>Reviewer_A</x:v>
      </x:c>
      <x:c r="F65" s="2" t="str">
        <x:v>S22-EV01</x:v>
      </x:c>
      <x:c r="G65" s="2" t="str">
        <x:v>S22-T01</x:v>
      </x:c>
      <x:c r="H65" s="2" t="str">
        <x:v>Benchmark comparison</x:v>
      </x:c>
      <x:c r="I65" s="2" t="str">
        <x:v>Browser Isolation System (OWASP Threat Model Library)</x:v>
      </x:c>
      <x:c r="J65" s="2" t="str">
        <x:v>OWASP Threat Model Library</x:v>
      </x:c>
      <x:c r="K65" s="2" t="str">
        <x:v>Public</x:v>
      </x:c>
      <x:c r="L65" s="2" t="str">
        <x:v>Academic benchmark</x:v>
      </x:c>
      <x:c r="M65" s="2" t="str">
        <x:v>NA</x:v>
      </x:c>
      <x:c r="N65" s="2" t="str">
        <x:v>NR</x:v>
      </x:c>
      <x:c r="O65" s="2" t="str">
        <x:v>NR</x:v>
      </x:c>
      <x:c r="P65" s="2" t="str">
        <x:v>Unclear</x:v>
      </x:c>
      <x:c r="Q65" s="2" t="str">
        <x:v>NR</x:v>
      </x:c>
      <x:c r="R65" s="2" t="str">
        <x:v>NR</x:v>
      </x:c>
      <x:c r="S65" s="2" t="str">
        <x:v>Original threat and risk model from OWASP Threat Model Library, kept hidden</x:v>
      </x:c>
      <x:c r="T65" s="2" t="str">
        <x:v>Manual semantic matching by reviewers</x:v>
      </x:c>
      <x:c r="U65" s="2" t="str">
        <x:v>None</x:v>
      </x:c>
      <x:c r="V65" s="2" t="str">
        <x:v>No</x:v>
      </x:c>
      <x:c r="W65" s="2" t="str">
        <x:v>strict coverage; weighted coverage; relaxed coverage</x:v>
      </x:c>
      <x:c r="X65" s="2" t="str">
        <x:v>artifact</x:v>
      </x:c>
      <x:c r="Y65" s="2" t="str">
        <x:v>Manual semantic matching by reviewers</x:v>
      </x:c>
      <x:c r="Z65" s="2" t="str">
        <x:v>No</x:v>
      </x:c>
      <x:c r="AA65" s="2" t="str">
        <x:v>No</x:v>
      </x:c>
      <x:c r="AB65" s="2" t="str">
        <x:v>No</x:v>
      </x:c>
      <x:c r="AC65" s="2" t="str">
        <x:v>Discussed taxonomy alignment issues: generated model decomposed threats differently, leading to partial coverage.</x:v>
      </x:c>
      <x:c r="AD65" s="2" t="str">
        <x:v>Discussed threats to validity including internal, construct, external, etc.</x:v>
      </x:c>
      <x:c r="AE65" s="6" t="str">
        <x:v>p. 9; Section VIII.A Hidden-Oracle Coverage Metrics</x:v>
      </x:c>
      <x:c r="AF65" s="6" t="str">
        <x:v>The generated security model was compared against the hidden oracle using three coverage measures.</x:v>
      </x:c>
      <x:c r="AG65" s="6" t="str">
        <x:v>研究1通过将生成的模型与隐藏神谕进行比较，计算严格、加权和宽松覆盖率，评估安全模型生成的质量。</x:v>
      </x:c>
      <x:c r="AH65" s="2" t="str">
        <x:v>Accepted</x:v>
      </x:c>
      <x:c r="AI65" s="6" t="str">
        <x:v>NA</x:v>
      </x:c>
    </x:row>
    <x:row r="66" ht="76" customHeight="1">
      <x:c r="A66" s="2" t="str">
        <x:v>S23-EVAL-R01</x:v>
      </x:c>
      <x:c r="B66" s="2" t="str">
        <x:v>S23</x:v>
      </x:c>
      <x:c r="C66" s="2" t="str">
        <x:v>merged_1156</x:v>
      </x:c>
      <x:c r="D66" s="2" t="str">
        <x:v>Reviewer_A</x:v>
      </x:c>
      <x:c r="E66" s="2" t="str">
        <x:v>Reviewer_A</x:v>
      </x:c>
      <x:c r="F66" s="2" t="str">
        <x:v>S23-EV01</x:v>
      </x:c>
      <x:c r="G66" s="2" t="str">
        <x:v>S23-T02</x:v>
      </x:c>
      <x:c r="H66" s="2" t="str">
        <x:v>Benchmark comparison</x:v>
      </x:c>
      <x:c r="I66" s="2" t="str">
        <x:v>HumanEval</x:v>
      </x:c>
      <x:c r="J66" s="2" t="str">
        <x:v>OpenAI HumanEval benchmark [30]</x:v>
      </x:c>
      <x:c r="K66" s="2" t="str">
        <x:v>Public</x:v>
      </x:c>
      <x:c r="L66" s="2" t="str">
        <x:v>Academic benchmark</x:v>
      </x:c>
      <x:c r="M66" s="2" t="str">
        <x:v>No split; used all 164 problems for evaluation</x:v>
      </x:c>
      <x:c r="N66" s="2" t="n">
        <x:v>164</x:v>
      </x:c>
      <x:c r="O66" s="2" t="n">
        <x:v>164</x:v>
      </x:c>
      <x:c r="P66" s="2" t="str">
        <x:v>NR</x:v>
      </x:c>
      <x:c r="Q66" s="2" t="str">
        <x:v>NA</x:v>
      </x:c>
      <x:c r="R66" s="2" t="str">
        <x:v>NA</x:v>
      </x:c>
      <x:c r="S66" s="2" t="str">
        <x:v>Unit tests provided with HumanEval</x:v>
      </x:c>
      <x:c r="T66" s="2" t="str">
        <x:v>NA</x:v>
      </x:c>
      <x:c r="U66" s="2" t="str">
        <x:v>Multiple strengths</x:v>
      </x:c>
      <x:c r="V66" s="2" t="str">
        <x:v>Yes, compared different gradient pooling strategies (max, average, pruned) and random segment selection</x:v>
      </x:c>
      <x:c r="W66" s="2" t="str">
        <x:v>pass@1; fixes count; regressions count</x:v>
      </x:c>
      <x:c r="X66" s="2" t="str">
        <x:v>artifact</x:v>
      </x:c>
      <x:c r="Y66" s="2" t="str">
        <x:v>No</x:v>
      </x:c>
      <x:c r="Z66" s="2" t="str">
        <x:v>No</x:v>
      </x:c>
      <x:c r="AA66" s="2" t="str">
        <x:v>No</x:v>
      </x:c>
      <x:c r="AB66" s="2" t="str">
        <x:v>No</x:v>
      </x:c>
      <x:c r="AC66" s="2" t="str">
        <x:v>Yes, Section IV-B discusses regressions with example</x:v>
      </x:c>
      <x:c r="AD66" s="2" t="str">
        <x:v>Yes, Section V-B discusses internal and external validity threats</x:v>
      </x:c>
      <x:c r="AE66" s="6" t="str">
        <x:v>p. 5; Section III-E</x:v>
      </x:c>
      <x:c r="AF66" s="6" t="str">
        <x:v>We use the HumanEval [30] benchmark to evaluate our technique, which consists of 164 Python coding problems. We</x:v>
      </x:c>
      <x:c r="AG66" s="6" t="str">
        <x:v>评估使用HumanEval基准，比较模型无重提示、四种梯度池化策略以及随机选择的重提示对pass@1的影响。</x:v>
      </x:c>
      <x:c r="AH66" s="2" t="str">
        <x:v>Accepted</x:v>
      </x:c>
      <x:c r="AI66" s="6" t="str">
        <x:v>NR</x:v>
      </x:c>
    </x:row>
    <x:row r="67" ht="76" customHeight="1">
      <x:c r="A67" s="2" t="str">
        <x:v>S24-EVAL-R01</x:v>
      </x:c>
      <x:c r="B67" s="2" t="str">
        <x:v>S24</x:v>
      </x:c>
      <x:c r="C67" s="2" t="str">
        <x:v>merged_1172</x:v>
      </x:c>
      <x:c r="D67" s="2" t="str">
        <x:v>Reviewer_A</x:v>
      </x:c>
      <x:c r="E67" s="2" t="str">
        <x:v>Reviewer_A</x:v>
      </x:c>
      <x:c r="F67" s="2" t="str">
        <x:v>S24-EV01</x:v>
      </x:c>
      <x:c r="G67" s="2" t="str">
        <x:v>S24-T01</x:v>
      </x:c>
      <x:c r="H67" s="2" t="str">
        <x:v>Benchmark comparison</x:v>
      </x:c>
      <x:c r="I67" s="2" t="str">
        <x:v>ECSS-style synthetic aerospace requirements corpus (225 requirements)</x:v>
      </x:c>
      <x:c r="J67" s="2" t="str">
        <x:v>Synthetic, created by authors</x:v>
      </x:c>
      <x:c r="K67" s="2" t="str">
        <x:v>Public</x:v>
      </x:c>
      <x:c r="L67" s="2" t="str">
        <x:v>Synthetic</x:v>
      </x:c>
      <x:c r="M67" s="2" t="str">
        <x:v>NA</x:v>
      </x:c>
      <x:c r="N67" s="2" t="n">
        <x:v>225</x:v>
      </x:c>
      <x:c r="O67" s="2" t="str">
        <x:v>NA</x:v>
      </x:c>
      <x:c r="P67" s="2" t="str">
        <x:v>NA</x:v>
      </x:c>
      <x:c r="Q67" s="2" t="str">
        <x:v>NA</x:v>
      </x:c>
      <x:c r="R67" s="2" t="str">
        <x:v>NA</x:v>
      </x:c>
      <x:c r="S67" s="2" t="str">
        <x:v>Adjudicated labels from human expert and LLM (OpenAI GPT-5)</x:v>
      </x:c>
      <x:c r="T67" s="2" t="str">
        <x:v>Inter-rater agreement (Cohen’s κ, Fleiss’ κ, PPA, NPA, PABAK, McNemar’s test)</x:v>
      </x:c>
      <x:c r="U67" s="2" t="str">
        <x:v>None</x:v>
      </x:c>
      <x:c r="V67" s="2" t="str">
        <x:v>No</x:v>
      </x:c>
      <x:c r="W67" s="2" t="str">
        <x:v>Balanced Accuracy;MCC;F1;FPR;FNR;Precision;Recall;Specificity;Accuracy;Fleiss’ κ</x:v>
      </x:c>
      <x:c r="X67" s="2" t="str">
        <x:v>artifact</x:v>
      </x:c>
      <x:c r="Y67" s="2" t="str">
        <x:v>Double annotation by human expert and LLM, disagreement review and adjudication</x:v>
      </x:c>
      <x:c r="Z67" s="2" t="str">
        <x:v>NR</x:v>
      </x:c>
      <x:c r="AA67" s="2" t="str">
        <x:v>McNemar’s test; Cohen’s κ; Fleiss’ κ</x:v>
      </x:c>
      <x:c r="AB67" s="2" t="str">
        <x:v>NR</x:v>
      </x:c>
      <x:c r="AC67" s="2" t="str">
        <x:v>Confusion matrices; per-subsystem F1 breakdown</x:v>
      </x:c>
      <x:c r="AD67" s="2" t="str">
        <x:v>Fixed prompts, threshold fixed on dev slice, inter-rater agreement checks</x:v>
      </x:c>
      <x:c r="AE67" s="6" t="str">
        <x:v>p. 4; Section 3, Dataset creation</x:v>
      </x:c>
      <x:c r="AF67" s="6" t="str">
        <x:v>We compiled a set of 225 requirements from six engineering documents: the System Requirements Document (SRD) and five subsystem TRDs</x:v>
      </x:c>
      <x:c r="AG67" s="6" t="str">
        <x:v>该评估在合成数据集上对比了五个LLM在模糊性和可测试性检测上的表现，使用裁决黄金标准，并报告了多种分类指标和一致性统计量。</x:v>
      </x:c>
      <x:c r="AH67" s="2" t="str">
        <x:v>Accepted</x:v>
      </x:c>
      <x:c r="AI67" s="6" t="str">
        <x:v>Ambiguity and testability tasks are not direct traceability tasks, but are part of the overall pipeline.</x:v>
      </x:c>
    </x:row>
    <x:row r="68" ht="76" customHeight="1">
      <x:c r="A68" s="2" t="str">
        <x:v>S24-EVAL-R02</x:v>
      </x:c>
      <x:c r="B68" s="2" t="str">
        <x:v>S24</x:v>
      </x:c>
      <x:c r="C68" s="2" t="str">
        <x:v>merged_1172</x:v>
      </x:c>
      <x:c r="D68" s="2" t="str">
        <x:v>Reviewer_A</x:v>
      </x:c>
      <x:c r="E68" s="2" t="str">
        <x:v>Reviewer_A</x:v>
      </x:c>
      <x:c r="F68" s="2" t="str">
        <x:v>S24-EV02</x:v>
      </x:c>
      <x:c r="G68" s="2" t="str">
        <x:v>S24-T01</x:v>
      </x:c>
      <x:c r="H68" s="2" t="str">
        <x:v>Demonstration</x:v>
      </x:c>
      <x:c r="I68" s="2" t="str">
        <x:v>Same synthetic corpus (225 requirements)</x:v>
      </x:c>
      <x:c r="J68" s="2" t="str">
        <x:v>Same as EV1</x:v>
      </x:c>
      <x:c r="K68" s="2" t="str">
        <x:v>Public</x:v>
      </x:c>
      <x:c r="L68" s="2" t="str">
        <x:v>Synthetic</x:v>
      </x:c>
      <x:c r="M68" s="2" t="str">
        <x:v>NA</x:v>
      </x:c>
      <x:c r="N68" s="2" t="n">
        <x:v>185</x:v>
      </x:c>
      <x:c r="O68" s="2" t="n">
        <x:v>40</x:v>
      </x:c>
      <x:c r="P68" s="2" t="str">
        <x:v>NR</x:v>
      </x:c>
      <x:c r="Q68" s="2" t="str">
        <x:v>NA</x:v>
      </x:c>
      <x:c r="R68" s="2" t="str">
        <x:v>NA</x:v>
      </x:c>
      <x:c r="S68" s="2" t="str">
        <x:v>NR</x:v>
      </x:c>
      <x:c r="T68" s="2" t="str">
        <x:v>NR</x:v>
      </x:c>
      <x:c r="U68" s="2" t="str">
        <x:v>NA</x:v>
      </x:c>
      <x:c r="V68" s="2" t="str">
        <x:v>No</x:v>
      </x:c>
      <x:c r="W68" s="2" t="str">
        <x:v>Counts;Percentage</x:v>
      </x:c>
      <x:c r="X68" s="2" t="str">
        <x:v>trace link</x:v>
      </x:c>
      <x:c r="Y68" s="2" t="str">
        <x:v>No</x:v>
      </x:c>
      <x:c r="Z68" s="2" t="str">
        <x:v>NA</x:v>
      </x:c>
      <x:c r="AA68" s="2" t="str">
        <x:v>No</x:v>
      </x:c>
      <x:c r="AB68" s="2" t="str">
        <x:v>No</x:v>
      </x:c>
      <x:c r="AC68" s="2" t="str">
        <x:v>Parser-caused errors separated</x:v>
      </x:c>
      <x:c r="AD68" s="2" t="str">
        <x:v>No</x:v>
      </x:c>
      <x:c r="AE68" s="6" t="str">
        <x:v>p. 6; Section 4, Structural Quality Check results</x:v>
      </x:c>
      <x:c r="AF68" s="6" t="str">
        <x:v>parent links were resolved except 2 cases caused by parser</x:v>
      </x:c>
      <x:c r="AG68" s="6" t="str">
        <x:v>该评估通过确定性算法验证了TRD到SRD的追溯链接恢复情况，报告了成功率和解析错误导致的失败案例。</x:v>
      </x:c>
      <x:c r="AH68" s="2" t="str">
        <x:v>Accepted</x:v>
      </x:c>
      <x:c r="AI68" s="6" t="str">
        <x:v>The evaluation is a sanity check rather than a comparative benchmark.</x:v>
      </x:c>
    </x:row>
    <x:row r="69" ht="76" customHeight="1">
      <x:c r="A69" s="2" t="str">
        <x:v>S25-EVAL-R01</x:v>
      </x:c>
      <x:c r="B69" s="2" t="str">
        <x:v>S25</x:v>
      </x:c>
      <x:c r="C69" s="2" t="str">
        <x:v>merged_1185</x:v>
      </x:c>
      <x:c r="D69" s="2" t="str">
        <x:v>Reviewer_A</x:v>
      </x:c>
      <x:c r="E69" s="2" t="str">
        <x:v>Reviewer_A</x:v>
      </x:c>
      <x:c r="F69" s="2" t="str">
        <x:v>S25-EV01</x:v>
      </x:c>
      <x:c r="G69" s="2" t="str">
        <x:v>S25-T01</x:v>
      </x:c>
      <x:c r="H69" s="2" t="str">
        <x:v>Industrial pilot</x:v>
      </x:c>
      <x:c r="I69" s="2" t="str">
        <x:v>Enterprise SAP Dataset</x:v>
      </x:c>
      <x:c r="J69" s="2" t="str">
        <x:v>SAP S/4HANA migration project at Apple</x:v>
      </x:c>
      <x:c r="K69" s="2" t="str">
        <x:v>Private</x:v>
      </x:c>
      <x:c r="L69" s="2" t="str">
        <x:v>Industrial pilot</x:v>
      </x:c>
      <x:c r="M69" s="2" t="str">
        <x:v>NR</x:v>
      </x:c>
      <x:c r="N69" s="2" t="n">
        <x:v>1000</x:v>
      </x:c>
      <x:c r="O69" s="2" t="str">
        <x:v>NR</x:v>
      </x:c>
      <x:c r="P69" s="2" t="str">
        <x:v>NR</x:v>
      </x:c>
      <x:c r="Q69" s="2" t="str">
        <x:v>NR</x:v>
      </x:c>
      <x:c r="R69" s="2" t="str">
        <x:v>NR</x:v>
      </x:c>
      <x:c r="S69" s="2" t="str">
        <x:v>Existing test cases and requirements</x:v>
      </x:c>
      <x:c r="T69" s="2" t="str">
        <x:v>SME review</x:v>
      </x:c>
      <x:c r="U69" s="2" t="str">
        <x:v>Multiple strengths</x:v>
      </x:c>
      <x:c r="V69" s="2" t="str">
        <x:v>NR</x:v>
      </x:c>
      <x:c r="W69" s="2" t="str">
        <x:v>Time Reduction; Cost Savings; Accelerated Delivery; Defect Detection; Test Coverage; Traceability established</x:v>
      </x:c>
      <x:c r="X69" s="2" t="str">
        <x:v>project</x:v>
      </x:c>
      <x:c r="Y69" s="2" t="str">
        <x:v>QEs validated generated artifacts</x:v>
      </x:c>
      <x:c r="Z69" s="2" t="str">
        <x:v>NR</x:v>
      </x:c>
      <x:c r="AA69" s="2" t="str">
        <x:v>No</x:v>
      </x:c>
      <x:c r="AB69" s="2" t="str">
        <x:v>No</x:v>
      </x:c>
      <x:c r="AC69" s="2" t="str">
        <x:v>NR</x:v>
      </x:c>
      <x:c r="AD69" s="2" t="str">
        <x:v>Industrial pilot with real project constraints</x:v>
      </x:c>
      <x:c r="AE69" s="6" t="str">
        <x:v>p. 5; Section III.G Real-World Deployment: SAP S/4HANA Migration</x:v>
      </x:c>
      <x:c r="AF69" s="6" t="str">
        <x:v>deployment in a large-scale SAP S/4HANA migration and Corporate Systems Engineering projects involving 25,000</x:v>
      </x:c>
      <x:c r="AG69" s="6" t="str">
        <x:v>EV1是在工业真实项目上进行的案例研究，评估了整个框架的部署效果。</x:v>
      </x:c>
      <x:c r="AH69" s="2" t="str">
        <x:v>Accepted</x:v>
      </x:c>
      <x:c r="AI69" s="6" t="str">
        <x:v>NR</x:v>
      </x:c>
    </x:row>
    <x:row r="70" ht="76" customHeight="1">
      <x:c r="A70" s="2" t="str">
        <x:v>S25-EVAL-R02</x:v>
      </x:c>
      <x:c r="B70" s="2" t="str">
        <x:v>S25</x:v>
      </x:c>
      <x:c r="C70" s="2" t="str">
        <x:v>merged_1185</x:v>
      </x:c>
      <x:c r="D70" s="2" t="str">
        <x:v>Reviewer_A</x:v>
      </x:c>
      <x:c r="E70" s="2" t="str">
        <x:v>Reviewer_A</x:v>
      </x:c>
      <x:c r="F70" s="2" t="str">
        <x:v>S25-EV02</x:v>
      </x:c>
      <x:c r="G70" s="2" t="str">
        <x:v>S25-T01</x:v>
      </x:c>
      <x:c r="H70" s="2" t="str">
        <x:v>Benchmark comparison</x:v>
      </x:c>
      <x:c r="I70" s="2" t="str">
        <x:v>Synthetic Test Dataset</x:v>
      </x:c>
      <x:c r="J70" s="2" t="str">
        <x:v>Curated by authors</x:v>
      </x:c>
      <x:c r="K70" s="2" t="str">
        <x:v>Private</x:v>
      </x:c>
      <x:c r="L70" s="2" t="str">
        <x:v>Synthetic</x:v>
      </x:c>
      <x:c r="M70" s="2" t="str">
        <x:v>NR</x:v>
      </x:c>
      <x:c r="N70" s="2" t="n">
        <x:v>5000</x:v>
      </x:c>
      <x:c r="O70" s="2" t="str">
        <x:v>NR</x:v>
      </x:c>
      <x:c r="P70" s="2" t="str">
        <x:v>NR</x:v>
      </x:c>
      <x:c r="Q70" s="2" t="str">
        <x:v>NA</x:v>
      </x:c>
      <x:c r="R70" s="2" t="str">
        <x:v>NA</x:v>
      </x:c>
      <x:c r="S70" s="2" t="str">
        <x:v>Defined by authors for synthetic scenarios</x:v>
      </x:c>
      <x:c r="T70" s="2" t="str">
        <x:v>Internal quality checks</x:v>
      </x:c>
      <x:c r="U70" s="2" t="str">
        <x:v>Multiple strengths</x:v>
      </x:c>
      <x:c r="V70" s="2" t="str">
        <x:v>Yes</x:v>
      </x:c>
      <x:c r="W70" s="2" t="str">
        <x:v>Accuracy; Completeness; Consistency; Traceability; Overall</x:v>
      </x:c>
      <x:c r="X70" s="2" t="str">
        <x:v>artifact pair</x:v>
      </x:c>
      <x:c r="Y70" s="2" t="str">
        <x:v>No</x:v>
      </x:c>
      <x:c r="Z70" s="2" t="str">
        <x:v>NR</x:v>
      </x:c>
      <x:c r="AA70" s="2" t="str">
        <x:v>No</x:v>
      </x:c>
      <x:c r="AB70" s="2" t="str">
        <x:v>No</x:v>
      </x:c>
      <x:c r="AC70" s="2" t="str">
        <x:v>NR</x:v>
      </x:c>
      <x:c r="AD70" s="2" t="str">
        <x:v>Controlled synthetic dataset with varied complexity</x:v>
      </x:c>
      <x:c r="AE70" s="6" t="str">
        <x:v>p. 6; Section IV.A.1 Evaluation Datasets</x:v>
      </x:c>
      <x:c r="AF70" s="6" t="str">
        <x:v>Synthetic Test Dataset: 5,000 carefully curated test scenarios across different complexity levels</x:v>
      </x:c>
      <x:c r="AG70" s="6" t="str">
        <x:v>EV2是在合成数据集上进行的基准对比，评估了质量维度包括可追溯性。</x:v>
      </x:c>
      <x:c r="AH70" s="2" t="str">
        <x:v>Accepted</x:v>
      </x:c>
      <x:c r="AI70" s="6" t="str">
        <x:v>NR</x:v>
      </x:c>
    </x:row>
    <x:row r="71" ht="76" customHeight="1">
      <x:c r="A71" s="2" t="str">
        <x:v>S26-EVAL-R01</x:v>
      </x:c>
      <x:c r="B71" s="2" t="str">
        <x:v>S26</x:v>
      </x:c>
      <x:c r="C71" s="2" t="str">
        <x:v>merged_1212</x:v>
      </x:c>
      <x:c r="D71" s="2" t="str">
        <x:v>Reviewer_A</x:v>
      </x:c>
      <x:c r="E71" s="2" t="str">
        <x:v>Reviewer_A</x:v>
      </x:c>
      <x:c r="F71" s="2" t="str">
        <x:v>S26-EV01</x:v>
      </x:c>
      <x:c r="G71" s="2" t="str">
        <x:v>S26-T01</x:v>
      </x:c>
      <x:c r="H71" s="2" t="str">
        <x:v>Benchmark comparison</x:v>
      </x:c>
      <x:c r="I71" s="2" t="str">
        <x:v>NR</x:v>
      </x:c>
      <x:c r="J71" s="2" t="str">
        <x:v>NR</x:v>
      </x:c>
      <x:c r="K71" s="2" t="str">
        <x:v>NR</x:v>
      </x:c>
      <x:c r="L71" s="2" t="str">
        <x:v>NR</x:v>
      </x:c>
      <x:c r="M71" s="2" t="str">
        <x:v>NR</x:v>
      </x:c>
      <x:c r="N71" s="2" t="str">
        <x:v>NR</x:v>
      </x:c>
      <x:c r="O71" s="2" t="str">
        <x:v>NR</x:v>
      </x:c>
      <x:c r="P71" s="2" t="str">
        <x:v>NR</x:v>
      </x:c>
      <x:c r="Q71" s="2" t="str">
        <x:v>NR</x:v>
      </x:c>
      <x:c r="R71" s="2" t="str">
        <x:v>NR</x:v>
      </x:c>
      <x:c r="S71" s="2" t="str">
        <x:v>NR</x:v>
      </x:c>
      <x:c r="T71" s="2" t="str">
        <x:v>NR</x:v>
      </x:c>
      <x:c r="U71" s="2" t="str">
        <x:v>Multiple strengths</x:v>
      </x:c>
      <x:c r="V71" s="2" t="str">
        <x:v>NR</x:v>
      </x:c>
      <x:c r="W71" s="2" t="str">
        <x:v>accuracy; data requirement</x:v>
      </x:c>
      <x:c r="X71" s="2" t="str">
        <x:v>trace link</x:v>
      </x:c>
      <x:c r="Y71" s="2" t="str">
        <x:v>No</x:v>
      </x:c>
      <x:c r="Z71" s="2" t="str">
        <x:v>NR</x:v>
      </x:c>
      <x:c r="AA71" s="2" t="str">
        <x:v>NR</x:v>
      </x:c>
      <x:c r="AB71" s="2" t="str">
        <x:v>NR</x:v>
      </x:c>
      <x:c r="AC71" s="2" t="str">
        <x:v>NR</x:v>
      </x:c>
      <x:c r="AD71" s="2" t="str">
        <x:v>NR</x:v>
      </x:c>
      <x:c r="AE71" s="6" t="str">
        <x:v>p. 3; III.A Improved Trace-Link Prediction</x:v>
      </x:c>
      <x:c r="AF71" s="6" t="str">
        <x:v>The approaches developed in this work outperformed traditional methods like VSM and required less data than BERT-based techniques.</x:v>
      </x:c>
      <x:c r="AG71" s="6" t="str">
        <x:v>RQ1的方法在基准比较中优于VSM且比BERT需要更少数据，但未报告具体数据集和指标值</x:v>
      </x:c>
      <x:c r="AH71" s="2" t="str">
        <x:v>Accepted</x:v>
      </x:c>
      <x:c r="AI71" s="6" t="str">
        <x:v>NR</x:v>
      </x:c>
    </x:row>
    <x:row r="72" ht="76" customHeight="1">
      <x:c r="A72" s="2" t="str">
        <x:v>S26-EVAL-R02</x:v>
      </x:c>
      <x:c r="B72" s="2" t="str">
        <x:v>S26</x:v>
      </x:c>
      <x:c r="C72" s="2" t="str">
        <x:v>merged_1212</x:v>
      </x:c>
      <x:c r="D72" s="2" t="str">
        <x:v>Reviewer_A</x:v>
      </x:c>
      <x:c r="E72" s="2" t="str">
        <x:v>Reviewer_A</x:v>
      </x:c>
      <x:c r="F72" s="2" t="str">
        <x:v>S26-EV02</x:v>
      </x:c>
      <x:c r="G72" s="2" t="str">
        <x:v>S26-T02</x:v>
      </x:c>
      <x:c r="H72" s="2" t="str">
        <x:v>User study</x:v>
      </x:c>
      <x:c r="I72" s="2" t="str">
        <x:v>Three projects (unnamed)</x:v>
      </x:c>
      <x:c r="J72" s="2" t="str">
        <x:v>NR</x:v>
      </x:c>
      <x:c r="K72" s="2" t="str">
        <x:v>Unclear</x:v>
      </x:c>
      <x:c r="L72" s="2" t="str">
        <x:v>Unclear</x:v>
      </x:c>
      <x:c r="M72" s="2" t="str">
        <x:v>NA</x:v>
      </x:c>
      <x:c r="N72" s="2" t="str">
        <x:v>NR</x:v>
      </x:c>
      <x:c r="O72" s="2" t="str">
        <x:v>NR</x:v>
      </x:c>
      <x:c r="P72" s="2" t="str">
        <x:v>NR</x:v>
      </x:c>
      <x:c r="Q72" s="2" t="str">
        <x:v>project experts</x:v>
      </x:c>
      <x:c r="R72" s="2" t="n">
        <x:v>3</x:v>
      </x:c>
      <x:c r="S72" s="2" t="str">
        <x:v>manual documentation by experts</x:v>
      </x:c>
      <x:c r="T72" s="2" t="str">
        <x:v>expert comparison</x:v>
      </x:c>
      <x:c r="U72" s="2" t="str">
        <x:v>Moderate</x:v>
      </x:c>
      <x:c r="V72" s="2" t="str">
        <x:v>No</x:v>
      </x:c>
      <x:c r="W72" s="2" t="str">
        <x:v>quality dimensions; concept coverage; recall; orphan artifacts</x:v>
      </x:c>
      <x:c r="X72" s="2" t="str">
        <x:v>artifact</x:v>
      </x:c>
      <x:c r="Y72" s="2" t="str">
        <x:v>Structured comparison with questionnaire</x:v>
      </x:c>
      <x:c r="Z72" s="2" t="str">
        <x:v>NR</x:v>
      </x:c>
      <x:c r="AA72" s="2" t="str">
        <x:v>NR</x:v>
      </x:c>
      <x:c r="AB72" s="2" t="str">
        <x:v>NR</x:v>
      </x:c>
      <x:c r="AC72" s="2" t="str">
        <x:v>NR</x:v>
      </x:c>
      <x:c r="AD72" s="2" t="str">
        <x:v>NR</x:v>
      </x:c>
      <x:c r="AE72" s="6" t="str">
        <x:v>p. 3; III.B Generation of Software Artifact Hierarchy</x:v>
      </x:c>
      <x:c r="AF72" s="6" t="str">
        <x:v>We evaluate this approach with three project experts who had previously authored documentation for their respective projects. For each case, we generated documentation using our process and asked the experts to compare it against both their own documentation and a baseline LLM-generated version that did not use our process.</x:v>
      </x:c>
      <x:c r="AG72" s="6" t="str">
        <x:v>用户研究：三名项目专家比较生成的文档与人工文档及基线LLM文档</x:v>
      </x:c>
      <x:c r="AH72" s="2" t="str">
        <x:v>Accepted</x:v>
      </x:c>
      <x:c r="AI72" s="6" t="str">
        <x:v>NA</x:v>
      </x:c>
    </x:row>
    <x:row r="73" ht="76" customHeight="1">
      <x:c r="A73" s="2" t="str">
        <x:v>S26-EVAL-R03</x:v>
      </x:c>
      <x:c r="B73" s="2" t="str">
        <x:v>S26</x:v>
      </x:c>
      <x:c r="C73" s="2" t="str">
        <x:v>merged_1212</x:v>
      </x:c>
      <x:c r="D73" s="2" t="str">
        <x:v>Reviewer_A</x:v>
      </x:c>
      <x:c r="E73" s="2" t="str">
        <x:v>Reviewer_A</x:v>
      </x:c>
      <x:c r="F73" s="2" t="str">
        <x:v>S26-EV03</x:v>
      </x:c>
      <x:c r="G73" s="2" t="str">
        <x:v>S26-T03</x:v>
      </x:c>
      <x:c r="H73" s="2" t="str">
        <x:v>Expert evaluation</x:v>
      </x:c>
      <x:c r="I73" s="2" t="str">
        <x:v>Two CPS scenarios</x:v>
      </x:c>
      <x:c r="J73" s="2" t="str">
        <x:v>real-world research</x:v>
      </x:c>
      <x:c r="K73" s="2" t="str">
        <x:v>NR</x:v>
      </x:c>
      <x:c r="L73" s="2" t="str">
        <x:v>Unclear</x:v>
      </x:c>
      <x:c r="M73" s="2" t="str">
        <x:v>NA</x:v>
      </x:c>
      <x:c r="N73" s="2" t="str">
        <x:v>NR</x:v>
      </x:c>
      <x:c r="O73" s="2" t="str">
        <x:v>NR</x:v>
      </x:c>
      <x:c r="P73" s="2" t="str">
        <x:v>NR</x:v>
      </x:c>
      <x:c r="Q73" s="2" t="str">
        <x:v>RL experts</x:v>
      </x:c>
      <x:c r="R73" s="2" t="n">
        <x:v>6</x:v>
      </x:c>
      <x:c r="S73" s="2" t="str">
        <x:v>expert initial requirements</x:v>
      </x:c>
      <x:c r="T73" s="2" t="str">
        <x:v>expert comparison</x:v>
      </x:c>
      <x:c r="U73" s="2" t="str">
        <x:v>Moderate</x:v>
      </x:c>
      <x:c r="V73" s="2" t="str">
        <x:v>No</x:v>
      </x:c>
      <x:c r="W73" s="2" t="str">
        <x:v>additional safety considerations count; qualitative feedback</x:v>
      </x:c>
      <x:c r="X73" s="2" t="str">
        <x:v>artifact</x:v>
      </x:c>
      <x:c r="Y73" s="2" t="str">
        <x:v>Structured questionnaire and comparison of requirement sets</x:v>
      </x:c>
      <x:c r="Z73" s="2" t="str">
        <x:v>NR</x:v>
      </x:c>
      <x:c r="AA73" s="2" t="str">
        <x:v>NR</x:v>
      </x:c>
      <x:c r="AB73" s="2" t="str">
        <x:v>NR</x:v>
      </x:c>
      <x:c r="AC73" s="2" t="str">
        <x:v>NR</x:v>
      </x:c>
      <x:c r="AD73" s="2" t="str">
        <x:v>NR</x:v>
      </x:c>
      <x:c r="AE73" s="6" t="str">
        <x:v>p. 4; III.C Trace-Link and Requirement Generation for Accountability</x:v>
      </x:c>
      <x:c r="AF73" s="6" t="str">
        <x:v>We validated the framework with six RL experts across two CPS scenarios based on real-world research. For each scenario, experts were first asked to generate requirements without using the framework, then to create a second set using QUEST-RL. We collected feedback on both the process and the resulting requirements through a structured questionnaire.</x:v>
      </x:c>
      <x:c r="AG73" s="6" t="str">
        <x:v>专家评估：六名RL专家在两种CPS场景下使用框架生成需求并比较</x:v>
      </x:c>
      <x:c r="AH73" s="2" t="str">
        <x:v>Accepted</x:v>
      </x:c>
      <x:c r="AI73" s="6" t="str">
        <x:v>NA</x:v>
      </x:c>
    </x:row>
    <x:row r="74" ht="76" customHeight="1">
      <x:c r="A74" s="2" t="str">
        <x:v>S26-EVAL-R04</x:v>
      </x:c>
      <x:c r="B74" s="2" t="str">
        <x:v>S26</x:v>
      </x:c>
      <x:c r="C74" s="2" t="str">
        <x:v>merged_1212</x:v>
      </x:c>
      <x:c r="D74" s="2" t="str">
        <x:v>Reviewer_A</x:v>
      </x:c>
      <x:c r="E74" s="2" t="str">
        <x:v>Reviewer_A</x:v>
      </x:c>
      <x:c r="F74" s="2" t="str">
        <x:v>S26-EV04</x:v>
      </x:c>
      <x:c r="G74" s="2" t="str">
        <x:v>S26-T04</x:v>
      </x:c>
      <x:c r="H74" s="2" t="str">
        <x:v>No evaluation</x:v>
      </x:c>
      <x:c r="I74" s="2" t="str">
        <x:v>NR</x:v>
      </x:c>
      <x:c r="J74" s="2" t="str">
        <x:v>NR</x:v>
      </x:c>
      <x:c r="K74" s="2" t="str">
        <x:v>NR</x:v>
      </x:c>
      <x:c r="L74" s="2" t="str">
        <x:v>NR</x:v>
      </x:c>
      <x:c r="M74" s="2" t="str">
        <x:v>NR</x:v>
      </x:c>
      <x:c r="N74" s="2" t="str">
        <x:v>NR</x:v>
      </x:c>
      <x:c r="O74" s="2" t="str">
        <x:v>NR</x:v>
      </x:c>
      <x:c r="P74" s="2" t="str">
        <x:v>NR</x:v>
      </x:c>
      <x:c r="Q74" s="2" t="str">
        <x:v>NR</x:v>
      </x:c>
      <x:c r="R74" s="2" t="str">
        <x:v>NR</x:v>
      </x:c>
      <x:c r="S74" s="2" t="str">
        <x:v>NR</x:v>
      </x:c>
      <x:c r="T74" s="2" t="str">
        <x:v>NR</x:v>
      </x:c>
      <x:c r="U74" s="2" t="str">
        <x:v>NA</x:v>
      </x:c>
      <x:c r="V74" s="2" t="str">
        <x:v>No</x:v>
      </x:c>
      <x:c r="W74" s="2" t="str">
        <x:v>NR</x:v>
      </x:c>
      <x:c r="X74" s="2" t="str">
        <x:v>NR</x:v>
      </x:c>
      <x:c r="Y74" s="2" t="str">
        <x:v>No</x:v>
      </x:c>
      <x:c r="Z74" s="2" t="str">
        <x:v>NR</x:v>
      </x:c>
      <x:c r="AA74" s="2" t="str">
        <x:v>NR</x:v>
      </x:c>
      <x:c r="AB74" s="2" t="str">
        <x:v>NR</x:v>
      </x:c>
      <x:c r="AC74" s="2" t="str">
        <x:v>NR</x:v>
      </x:c>
      <x:c r="AD74" s="2" t="str">
        <x:v>NR</x:v>
      </x:c>
      <x:c r="AE74" s="6" t="str">
        <x:v>p. 4; III.D Trace-Link Generation to Support Software Maintenance</x:v>
      </x:c>
      <x:c r="AF74" s="6" t="str">
        <x:v>the next phase of research will focus on extending the traceability techniques</x:v>
      </x:c>
      <x:c r="AG74" s="6" t="str">
        <x:v>RQ4差分测试追溯方法尚未评估，仅计划中</x:v>
      </x:c>
      <x:c r="AH74" s="2" t="str">
        <x:v>Accepted</x:v>
      </x:c>
      <x:c r="AI74" s="6" t="str">
        <x:v>计划未来评估，目前无评价</x:v>
      </x:c>
    </x:row>
    <x:row r="75" ht="76" customHeight="1">
      <x:c r="A75" s="2" t="str">
        <x:v>S27-EVAL-R01</x:v>
      </x:c>
      <x:c r="B75" s="2" t="str">
        <x:v>S27</x:v>
      </x:c>
      <x:c r="C75" s="2" t="str">
        <x:v>merged_1213</x:v>
      </x:c>
      <x:c r="D75" s="2" t="str">
        <x:v>Reviewer_A</x:v>
      </x:c>
      <x:c r="E75" s="2" t="str">
        <x:v>Reviewer_A</x:v>
      </x:c>
      <x:c r="F75" s="2" t="str">
        <x:v>S27-EV01</x:v>
      </x:c>
      <x:c r="G75" s="2" t="str">
        <x:v>S27-T01</x:v>
      </x:c>
      <x:c r="H75" s="2" t="str">
        <x:v>Controlled experiment</x:v>
      </x:c>
      <x:c r="I75" s="2" t="str">
        <x:v>Five benchmark datasets (CM1-NASA, Dronology, GANNT, MODIS, WARC)</x:v>
      </x:c>
      <x:c r="J75" s="2" t="str">
        <x:v>CoEST repository and Dronology dataset</x:v>
      </x:c>
      <x:c r="K75" s="2" t="str">
        <x:v>Public</x:v>
      </x:c>
      <x:c r="L75" s="2" t="str">
        <x:v>Academic benchmark</x:v>
      </x:c>
      <x:c r="M75" s="2" t="str">
        <x:v>NA</x:v>
      </x:c>
      <x:c r="N75" s="2" t="str">
        <x:v>NR</x:v>
      </x:c>
      <x:c r="O75" s="2" t="str">
        <x:v>NR</x:v>
      </x:c>
      <x:c r="P75" s="2" t="str">
        <x:v>NR</x:v>
      </x:c>
      <x:c r="Q75" s="2" t="str">
        <x:v>NA</x:v>
      </x:c>
      <x:c r="R75" s="2" t="str">
        <x:v>NA</x:v>
      </x:c>
      <x:c r="S75" s="2" t="str">
        <x:v>Dataset curators</x:v>
      </x:c>
      <x:c r="T75" s="2" t="str">
        <x:v>No</x:v>
      </x:c>
      <x:c r="U75" s="2" t="str">
        <x:v>NA</x:v>
      </x:c>
      <x:c r="V75" s="2" t="str">
        <x:v>Yes</x:v>
      </x:c>
      <x:c r="W75" s="2" t="str">
        <x:v>precision; recall; F2; F1</x:v>
      </x:c>
      <x:c r="X75" s="2" t="str">
        <x:v>trace link</x:v>
      </x:c>
      <x:c r="Y75" s="2" t="str">
        <x:v>NA</x:v>
      </x:c>
      <x:c r="Z75" s="2" t="str">
        <x:v>No</x:v>
      </x:c>
      <x:c r="AA75" s="2" t="str">
        <x:v>No</x:v>
      </x:c>
      <x:c r="AB75" s="2" t="str">
        <x:v>No</x:v>
      </x:c>
      <x:c r="AC75" s="2" t="str">
        <x:v>No</x:v>
      </x:c>
      <x:c r="AD75" s="2" t="str">
        <x:v>Discussed in Section IV-E</x:v>
      </x:c>
      <x:c r="AE75" s="6" t="str">
        <x:v>p. 4; Section IV-D1</x:v>
      </x:c>
      <x:c r="AF75" s="6" t="str">
        <x:v>We calculated the precision and recall for each of these configurations.</x:v>
      </x:c>
      <x:c r="AG75" s="6" t="str">
        <x:v>通过对IR技术超参数进行网格搜索，评估其对性能的影响。</x:v>
      </x:c>
      <x:c r="AH75" s="2" t="str">
        <x:v>Accepted</x:v>
      </x:c>
      <x:c r="AI75" s="6" t="str">
        <x:v>Dataset statistics: CM1-NASA (HLR:22, LLR:53, TL:45); Dronology (99,211,220); GANNT (17,69,68); MODIS (19,49,41); WARC (63,89,136).</x:v>
      </x:c>
    </x:row>
    <x:row r="76" ht="76" customHeight="1">
      <x:c r="A76" s="2" t="str">
        <x:v>S27-EVAL-R02</x:v>
      </x:c>
      <x:c r="B76" s="2" t="str">
        <x:v>S27</x:v>
      </x:c>
      <x:c r="C76" s="2" t="str">
        <x:v>merged_1213</x:v>
      </x:c>
      <x:c r="D76" s="2" t="str">
        <x:v>Reviewer_A</x:v>
      </x:c>
      <x:c r="E76" s="2" t="str">
        <x:v>Reviewer_A</x:v>
      </x:c>
      <x:c r="F76" s="2" t="str">
        <x:v>S27-EV02</x:v>
      </x:c>
      <x:c r="G76" s="2" t="str">
        <x:v>S27-T01</x:v>
      </x:c>
      <x:c r="H76" s="2" t="str">
        <x:v>Benchmark comparison</x:v>
      </x:c>
      <x:c r="I76" s="2" t="str">
        <x:v>Five benchmark datasets (CM1-NASA, Dronology, GANNT, MODIS, WARC)</x:v>
      </x:c>
      <x:c r="J76" s="2" t="str">
        <x:v>CoEST repository and Dronology dataset</x:v>
      </x:c>
      <x:c r="K76" s="2" t="str">
        <x:v>Public</x:v>
      </x:c>
      <x:c r="L76" s="2" t="str">
        <x:v>Academic benchmark</x:v>
      </x:c>
      <x:c r="M76" s="2" t="str">
        <x:v>NA</x:v>
      </x:c>
      <x:c r="N76" s="2" t="str">
        <x:v>NR</x:v>
      </x:c>
      <x:c r="O76" s="2" t="str">
        <x:v>NR</x:v>
      </x:c>
      <x:c r="P76" s="2" t="str">
        <x:v>NR</x:v>
      </x:c>
      <x:c r="Q76" s="2" t="str">
        <x:v>NA</x:v>
      </x:c>
      <x:c r="R76" s="2" t="str">
        <x:v>NA</x:v>
      </x:c>
      <x:c r="S76" s="2" t="str">
        <x:v>Dataset curators</x:v>
      </x:c>
      <x:c r="T76" s="2" t="str">
        <x:v>No</x:v>
      </x:c>
      <x:c r="U76" s="2" t="str">
        <x:v>NA</x:v>
      </x:c>
      <x:c r="V76" s="2" t="str">
        <x:v>No</x:v>
      </x:c>
      <x:c r="W76" s="2" t="str">
        <x:v>precision; recall; F2</x:v>
      </x:c>
      <x:c r="X76" s="2" t="str">
        <x:v>trace link</x:v>
      </x:c>
      <x:c r="Y76" s="2" t="str">
        <x:v>NA</x:v>
      </x:c>
      <x:c r="Z76" s="2" t="str">
        <x:v>No</x:v>
      </x:c>
      <x:c r="AA76" s="2" t="str">
        <x:v>No</x:v>
      </x:c>
      <x:c r="AB76" s="2" t="str">
        <x:v>No</x:v>
      </x:c>
      <x:c r="AC76" s="2" t="str">
        <x:v>No</x:v>
      </x:c>
      <x:c r="AD76" s="2" t="str">
        <x:v>Discussed in Section IV-E</x:v>
      </x:c>
      <x:c r="AE76" s="6" t="str">
        <x:v>p. 5; Section IV-D2, Table IV, Figure 3</x:v>
      </x:c>
      <x:c r="AF76" s="6" t="str">
        <x:v>Table IV and Figure 3 summarize and visualize the results of the filtering capabilities.</x:v>
      </x:c>
      <x:c r="AG76" s="6" t="str">
        <x:v>评估不同小型LLM及集成模式在候选过滤中的精度、召回和F2。</x:v>
      </x:c>
      <x:c r="AH76" s="2" t="str">
        <x:v>Accepted</x:v>
      </x:c>
      <x:c r="AI76" s="6" t="str">
        <x:v>Same datasets as EV1. Filtering mode: individual LLMs and two ensemble modes.</x:v>
      </x:c>
    </x:row>
    <x:row r="77" ht="76" customHeight="1">
      <x:c r="A77" s="2" t="str">
        <x:v>S27-EVAL-R03</x:v>
      </x:c>
      <x:c r="B77" s="2" t="str">
        <x:v>S27</x:v>
      </x:c>
      <x:c r="C77" s="2" t="str">
        <x:v>merged_1213</x:v>
      </x:c>
      <x:c r="D77" s="2" t="str">
        <x:v>Reviewer_A</x:v>
      </x:c>
      <x:c r="E77" s="2" t="str">
        <x:v>Reviewer_A</x:v>
      </x:c>
      <x:c r="F77" s="2" t="str">
        <x:v>S27-EV03</x:v>
      </x:c>
      <x:c r="G77" s="2" t="str">
        <x:v>S27-T01</x:v>
      </x:c>
      <x:c r="H77" s="2" t="str">
        <x:v>Benchmark comparison</x:v>
      </x:c>
      <x:c r="I77" s="2" t="str">
        <x:v>Five benchmark datasets (CM1-NASA, Dronology, GANNT, MODIS, WARC)</x:v>
      </x:c>
      <x:c r="J77" s="2" t="str">
        <x:v>CoEST repository and Dronology dataset</x:v>
      </x:c>
      <x:c r="K77" s="2" t="str">
        <x:v>Public</x:v>
      </x:c>
      <x:c r="L77" s="2" t="str">
        <x:v>Academic benchmark</x:v>
      </x:c>
      <x:c r="M77" s="2" t="str">
        <x:v>NA</x:v>
      </x:c>
      <x:c r="N77" s="2" t="str">
        <x:v>NR</x:v>
      </x:c>
      <x:c r="O77" s="2" t="str">
        <x:v>NR</x:v>
      </x:c>
      <x:c r="P77" s="2" t="str">
        <x:v>NR</x:v>
      </x:c>
      <x:c r="Q77" s="2" t="str">
        <x:v>NA</x:v>
      </x:c>
      <x:c r="R77" s="2" t="str">
        <x:v>NA</x:v>
      </x:c>
      <x:c r="S77" s="2" t="str">
        <x:v>Dataset curators</x:v>
      </x:c>
      <x:c r="T77" s="2" t="str">
        <x:v>No</x:v>
      </x:c>
      <x:c r="U77" s="2" t="str">
        <x:v>Multiple strengths</x:v>
      </x:c>
      <x:c r="V77" s="2" t="str">
        <x:v>No</x:v>
      </x:c>
      <x:c r="W77" s="2" t="str">
        <x:v>precision; recall; F2; F1</x:v>
      </x:c>
      <x:c r="X77" s="2" t="str">
        <x:v>trace link</x:v>
      </x:c>
      <x:c r="Y77" s="2" t="str">
        <x:v>NA</x:v>
      </x:c>
      <x:c r="Z77" s="2" t="str">
        <x:v>No</x:v>
      </x:c>
      <x:c r="AA77" s="2" t="str">
        <x:v>No</x:v>
      </x:c>
      <x:c r="AB77" s="2" t="str">
        <x:v>No</x:v>
      </x:c>
      <x:c r="AC77" s="2" t="str">
        <x:v>No</x:v>
      </x:c>
      <x:c r="AD77" s="2" t="str">
        <x:v>Discussed in Section IV-E</x:v>
      </x:c>
      <x:c r="AE77" s="6" t="str">
        <x:v>p. 6; Section IV-D3, Table V</x:v>
      </x:c>
      <x:c r="AF77" s="6" t="str">
        <x:v>Table V shows the results of our experiments</x:v>
      </x:c>
      <x:c r="AG77" s="6" t="str">
        <x:v>将LLM集成方法与IR基线在TLR任务上进行对比。</x:v>
      </x:c>
      <x:c r="AH77" s="2" t="str">
        <x:v>Accepted</x:v>
      </x:c>
      <x:c r="AI77" s="6" t="str">
        <x:v>Chaining mode + GPT-4o mini or GPT-4o (CoT prompt). Baselines: VSM, LSI, embedding-based retrieval with and without LLM classifier.</x:v>
      </x:c>
    </x:row>
    <x:row r="78" ht="76" customHeight="1">
      <x:c r="A78" s="2" t="str">
        <x:v>S28-EVAL-R01</x:v>
      </x:c>
      <x:c r="B78" s="2" t="str">
        <x:v>S28</x:v>
      </x:c>
      <x:c r="C78" s="2" t="str">
        <x:v>merged_1214</x:v>
      </x:c>
      <x:c r="D78" s="2" t="str">
        <x:v>Reviewer_A</x:v>
      </x:c>
      <x:c r="E78" s="2" t="str">
        <x:v>Reviewer_A</x:v>
      </x:c>
      <x:c r="F78" s="2" t="str">
        <x:v>S28-EV01</x:v>
      </x:c>
      <x:c r="G78" s="2" t="str">
        <x:v>S28-T01</x:v>
      </x:c>
      <x:c r="H78" s="2" t="str">
        <x:v>Benchmark comparison</x:v>
      </x:c>
      <x:c r="I78" s="2" t="str">
        <x:v>eTour, iTrust, SMOS, eAnci (CoEST traceability datasets)</x:v>
      </x:c>
      <x:c r="J78" s="2" t="str">
        <x:v>Center of Excellence for Software &amp; Systems Traceability (CoEST)</x:v>
      </x:c>
      <x:c r="K78" s="2" t="str">
        <x:v>Public</x:v>
      </x:c>
      <x:c r="L78" s="2" t="str">
        <x:v>Academic benchmark</x:v>
      </x:c>
      <x:c r="M78" s="2" t="str">
        <x:v>No</x:v>
      </x:c>
      <x:c r="N78" s="2" t="str">
        <x:v>58, 131, 67, 139</x:v>
      </x:c>
      <x:c r="O78" s="2" t="str">
        <x:v>116, 226, 100, 55</x:v>
      </x:c>
      <x:c r="P78" s="2" t="str">
        <x:v>308, 286, 1044, 567</x:v>
      </x:c>
      <x:c r="Q78" s="2" t="str">
        <x:v>NA</x:v>
      </x:c>
      <x:c r="R78" s="2" t="str">
        <x:v>NA</x:v>
      </x:c>
      <x:c r="S78" s="2" t="str">
        <x:v>Provided by CoEST; originally from prior work [14].</x:v>
      </x:c>
      <x:c r="T78" s="2" t="str">
        <x:v>NR</x:v>
      </x:c>
      <x:c r="U78" s="2" t="str">
        <x:v>Strong</x:v>
      </x:c>
      <x:c r="V78" s="2" t="str">
        <x:v>Yes</x:v>
      </x:c>
      <x:c r="W78" s="2" t="str">
        <x:v>Precision; Recall; F1-score</x:v>
      </x:c>
      <x:c r="X78" s="2" t="str">
        <x:v>trace link</x:v>
      </x:c>
      <x:c r="Y78" s="2" t="str">
        <x:v>No</x:v>
      </x:c>
      <x:c r="Z78" s="2" t="str">
        <x:v>NR</x:v>
      </x:c>
      <x:c r="AA78" s="2" t="str">
        <x:v>T-test; T-statistic; P-value</x:v>
      </x:c>
      <x:c r="AB78" s="2" t="str">
        <x:v>NR</x:v>
      </x:c>
      <x:c r="AC78" s="2" t="str">
        <x:v>Yes</x:v>
      </x:c>
      <x:c r="AD78" s="2" t="str">
        <x:v>Yes</x:v>
      </x:c>
      <x:c r="AE78" s="6" t="str">
        <x:v>p. 11; Section 5.2</x:v>
      </x:c>
      <x:c r="AF78" s="6" t="str">
        <x:v>These datasets are provided by the Center of Excellence for Software &amp; Systems Traceability (CoEST) [1] and are commonly used in automated traceability link recovery [14,25,29].</x:v>
      </x:c>
      <x:c r="AG78" s="6" t="str">
        <x:v>在四个公开基准数据集上进行了性能比较和参数消融分析。</x:v>
      </x:c>
      <x:c r="AH78" s="2" t="str">
        <x:v>Accepted</x:v>
      </x:c>
      <x:c r="AI78" s="6" t="str">
        <x:v>NA</x:v>
      </x:c>
    </x:row>
    <x:row r="79" ht="76" customHeight="1">
      <x:c r="A79" s="2" t="str">
        <x:v>S29-EVAL-R01</x:v>
      </x:c>
      <x:c r="B79" s="2" t="str">
        <x:v>S29</x:v>
      </x:c>
      <x:c r="C79" s="2" t="str">
        <x:v>merged_1215-v4</x:v>
      </x:c>
      <x:c r="D79" s="2" t="str">
        <x:v>Reviewer_A</x:v>
      </x:c>
      <x:c r="E79" s="2" t="str">
        <x:v>Reviewer_A</x:v>
      </x:c>
      <x:c r="F79" s="2" t="str">
        <x:v>S29-EV01</x:v>
      </x:c>
      <x:c r="G79" s="2" t="str">
        <x:v>S29-T01</x:v>
      </x:c>
      <x:c r="H79" s="2" t="str">
        <x:v>Benchmark comparison</x:v>
      </x:c>
      <x:c r="I79" s="2" t="str">
        <x:v>DTC requirement traceability dataset</x:v>
      </x:c>
      <x:c r="J79" s="2" t="str">
        <x:v>Industry partner (Wind River Systems)</x:v>
      </x:c>
      <x:c r="K79" s="2" t="str">
        <x:v>Private</x:v>
      </x:c>
      <x:c r="L79" s="2" t="str">
        <x:v>Industrial offline data</x:v>
      </x:c>
      <x:c r="M79" s="2" t="str">
        <x:v>No split; evaluated on entire dataset of 2,132 pairs</x:v>
      </x:c>
      <x:c r="N79" s="2" t="n">
        <x:v>1320</x:v>
      </x:c>
      <x:c r="O79" s="2" t="n">
        <x:v>48</x:v>
      </x:c>
      <x:c r="P79" s="2" t="n">
        <x:v>2132</x:v>
      </x:c>
      <x:c r="Q79" s="2" t="str">
        <x:v>NA</x:v>
      </x:c>
      <x:c r="R79" s="2" t="str">
        <x:v>NA</x:v>
      </x:c>
      <x:c r="S79" s="2" t="str">
        <x:v>Manual annotation by two authors following engineer guidelines; Cohen's kappa ≈ 0.962</x:v>
      </x:c>
      <x:c r="T79" s="2" t="str">
        <x:v>Discrepancies resolved by discussion until consensus</x:v>
      </x:c>
      <x:c r="U79" s="2" t="str">
        <x:v>None</x:v>
      </x:c>
      <x:c r="V79" s="2" t="str">
        <x:v>No</x:v>
      </x:c>
      <x:c r="W79" s="2" t="str">
        <x:v>Accuracy; Precision; Recall; F1; Macro-F1</x:v>
      </x:c>
      <x:c r="X79" s="2" t="str">
        <x:v>trace link</x:v>
      </x:c>
      <x:c r="Y79" s="2" t="str">
        <x:v>No</x:v>
      </x:c>
      <x:c r="Z79" s="2" t="str">
        <x:v>NR</x:v>
      </x:c>
      <x:c r="AA79" s="2" t="str">
        <x:v>No</x:v>
      </x:c>
      <x:c r="AB79" s="2" t="str">
        <x:v>No</x:v>
      </x:c>
      <x:c r="AC79" s="2" t="str">
        <x:v>Yes, qualitative analysis of failure modes (p. 16)</x:v>
      </x:c>
      <x:c r="AD79" s="2" t="str">
        <x:v>Yes, discussed in Section 7</x:v>
      </x:c>
      <x:c r="AE79" s="6" t="str">
        <x:v>p. 11; Section 4.1</x:v>
      </x:c>
      <x:c r="AF79" s="6" t="str">
        <x:v>This RQ aims to evaluate and compare the performance of available LLMs, including Llama, Claude, Titan, and Mistral, with Zero-Shot prompting.</x:v>
      </x:c>
      <x:c r="AG79" s="6" t="str">
        <x:v>EV1通过零样本基准测试评估13个LLM在DTC需求可追溯性验证上的性能。</x:v>
      </x:c>
      <x:c r="AH79" s="2" t="str">
        <x:v>Accepted</x:v>
      </x:c>
      <x:c r="AI79" s="6" t="str">
        <x:v>NA</x:v>
      </x:c>
    </x:row>
    <x:row r="80" ht="76" customHeight="1">
      <x:c r="A80" s="2" t="str">
        <x:v>S29-EVAL-R02</x:v>
      </x:c>
      <x:c r="B80" s="2" t="str">
        <x:v>S29</x:v>
      </x:c>
      <x:c r="C80" s="2" t="str">
        <x:v>merged_1215-v4</x:v>
      </x:c>
      <x:c r="D80" s="2" t="str">
        <x:v>Reviewer_A</x:v>
      </x:c>
      <x:c r="E80" s="2" t="str">
        <x:v>Reviewer_A</x:v>
      </x:c>
      <x:c r="F80" s="2" t="str">
        <x:v>S29-EV02</x:v>
      </x:c>
      <x:c r="G80" s="2" t="str">
        <x:v>S29-T01</x:v>
      </x:c>
      <x:c r="H80" s="2" t="str">
        <x:v>Benchmark comparison</x:v>
      </x:c>
      <x:c r="I80" s="2" t="str">
        <x:v>DTC requirement traceability dataset</x:v>
      </x:c>
      <x:c r="J80" s="2" t="str">
        <x:v>Industry partner</x:v>
      </x:c>
      <x:c r="K80" s="2" t="str">
        <x:v>Private</x:v>
      </x:c>
      <x:c r="L80" s="2" t="str">
        <x:v>Industrial offline data</x:v>
      </x:c>
      <x:c r="M80" s="2" t="str">
        <x:v>TVR uses leave-one-out cross-validation; other strategies evaluated on entire dataset (2,132 pairs)</x:v>
      </x:c>
      <x:c r="N80" s="2" t="n">
        <x:v>1320</x:v>
      </x:c>
      <x:c r="O80" s="2" t="n">
        <x:v>48</x:v>
      </x:c>
      <x:c r="P80" s="2" t="n">
        <x:v>2132</x:v>
      </x:c>
      <x:c r="Q80" s="2" t="str">
        <x:v>NA</x:v>
      </x:c>
      <x:c r="R80" s="2" t="str">
        <x:v>NA</x:v>
      </x:c>
      <x:c r="S80" s="2" t="str">
        <x:v>Same as EV1</x:v>
      </x:c>
      <x:c r="T80" s="2" t="str">
        <x:v>Same as EV1</x:v>
      </x:c>
      <x:c r="U80" s="2" t="str">
        <x:v>Multiple strengths</x:v>
      </x:c>
      <x:c r="V80" s="2" t="str">
        <x:v>K values (1-8) and similarity measures (cosine, Euclidean) for TVR</x:v>
      </x:c>
      <x:c r="W80" s="2" t="str">
        <x:v>Accuracy; Precision; Recall; F1; Macro-F1; statistical significance (Fisher's exact test)</x:v>
      </x:c>
      <x:c r="X80" s="2" t="str">
        <x:v>trace link</x:v>
      </x:c>
      <x:c r="Y80" s="2" t="str">
        <x:v>No</x:v>
      </x:c>
      <x:c r="Z80" s="2" t="str">
        <x:v>NR</x:v>
      </x:c>
      <x:c r="AA80" s="2" t="str">
        <x:v>Fisher's exact test</x:v>
      </x:c>
      <x:c r="AB80" s="2" t="str">
        <x:v>No</x:v>
      </x:c>
      <x:c r="AC80" s="2" t="str">
        <x:v>No</x:v>
      </x:c>
      <x:c r="AD80" s="2" t="str">
        <x:v>Same as EV1</x:v>
      </x:c>
      <x:c r="AE80" s="6" t="str">
        <x:v>p. 11; Section 4.1</x:v>
      </x:c>
      <x:c r="AF80" s="6" t="str">
        <x:v>This RQ investigates and compares the performance of various prompt engineering strategies (i.e., Zero-Shot, CoT, Few-Shot, and self-consistency) and the RAG-based TVR approach for requirements traceability validation.</x:v>
      </x:c>
      <x:c r="AG80" s="6" t="str">
        <x:v>EV2比较了不同提示策略和TVR方法，评估最佳配置。</x:v>
      </x:c>
      <x:c r="AH80" s="2" t="str">
        <x:v>Accepted</x:v>
      </x:c>
      <x:c r="AI80" s="6" t="str">
        <x:v>NA</x:v>
      </x:c>
    </x:row>
    <x:row r="81" ht="76" customHeight="1">
      <x:c r="A81" s="2" t="str">
        <x:v>S29-EVAL-R03</x:v>
      </x:c>
      <x:c r="B81" s="2" t="str">
        <x:v>S29</x:v>
      </x:c>
      <x:c r="C81" s="2" t="str">
        <x:v>merged_1215-v4</x:v>
      </x:c>
      <x:c r="D81" s="2" t="str">
        <x:v>Reviewer_A</x:v>
      </x:c>
      <x:c r="E81" s="2" t="str">
        <x:v>Reviewer_A</x:v>
      </x:c>
      <x:c r="F81" s="2" t="str">
        <x:v>S29-EV03</x:v>
      </x:c>
      <x:c r="G81" s="2" t="str">
        <x:v>S29-T01</x:v>
      </x:c>
      <x:c r="H81" s="2" t="str">
        <x:v>Benchmark comparison</x:v>
      </x:c>
      <x:c r="I81" s="2" t="str">
        <x:v>DTC requirement traceability dataset (partitioned by variation)</x:v>
      </x:c>
      <x:c r="J81" s="2" t="str">
        <x:v>Industry partner</x:v>
      </x:c>
      <x:c r="K81" s="2" t="str">
        <x:v>Private</x:v>
      </x:c>
      <x:c r="L81" s="2" t="str">
        <x:v>Industrial offline data</x:v>
      </x:c>
      <x:c r="M81" s="2" t="str">
        <x:v>Cross-validation by variation category (leave-one-category-out)</x:v>
      </x:c>
      <x:c r="N81" s="2" t="n">
        <x:v>1320</x:v>
      </x:c>
      <x:c r="O81" s="2" t="n">
        <x:v>48</x:v>
      </x:c>
      <x:c r="P81" s="2" t="n">
        <x:v>2132</x:v>
      </x:c>
      <x:c r="Q81" s="2" t="str">
        <x:v>NA</x:v>
      </x:c>
      <x:c r="R81" s="2" t="str">
        <x:v>NA</x:v>
      </x:c>
      <x:c r="S81" s="2" t="str">
        <x:v>Same as EV1</x:v>
      </x:c>
      <x:c r="T81" s="2" t="str">
        <x:v>Same as EV1</x:v>
      </x:c>
      <x:c r="U81" s="2" t="str">
        <x:v>None</x:v>
      </x:c>
      <x:c r="V81" s="2" t="str">
        <x:v>No</x:v>
      </x:c>
      <x:c r="W81" s="2" t="str">
        <x:v>Accuracy; Precision; Recall; F1; Macro-F1</x:v>
      </x:c>
      <x:c r="X81" s="2" t="str">
        <x:v>trace link</x:v>
      </x:c>
      <x:c r="Y81" s="2" t="str">
        <x:v>No</x:v>
      </x:c>
      <x:c r="Z81" s="2" t="str">
        <x:v>NR</x:v>
      </x:c>
      <x:c r="AA81" s="2" t="str">
        <x:v>No</x:v>
      </x:c>
      <x:c r="AB81" s="2" t="str">
        <x:v>No</x:v>
      </x:c>
      <x:c r="AC81" s="2" t="str">
        <x:v>Yes, analysis of why V1 and V4 perform worse</x:v>
      </x:c>
      <x:c r="AD81" s="2" t="str">
        <x:v>Same as EV1</x:v>
      </x:c>
      <x:c r="AE81" s="6" t="str">
        <x:v>p. 12; Section 4.1</x:v>
      </x:c>
      <x:c r="AF81" s="6" t="str">
        <x:v>This RQ primarily evaluates TVR’s performance across unseen variations in those requirements.</x:v>
      </x:c>
      <x:c r="AG81" s="6" t="str">
        <x:v>EV3通过跨变体交叉验证评估TVR对未见需求变体的鲁棒性。</x:v>
      </x:c>
      <x:c r="AH81" s="2" t="str">
        <x:v>Accepted</x:v>
      </x:c>
      <x:c r="AI81" s="6" t="str">
        <x:v>NA</x:v>
      </x:c>
    </x:row>
    <x:row r="82" ht="76" customHeight="1">
      <x:c r="A82" s="2" t="str">
        <x:v>S29-EVAL-R04</x:v>
      </x:c>
      <x:c r="B82" s="2" t="str">
        <x:v>S29</x:v>
      </x:c>
      <x:c r="C82" s="2" t="str">
        <x:v>merged_1215-v4</x:v>
      </x:c>
      <x:c r="D82" s="2" t="str">
        <x:v>Reviewer_A</x:v>
      </x:c>
      <x:c r="E82" s="2" t="str">
        <x:v>Reviewer_A</x:v>
      </x:c>
      <x:c r="F82" s="2" t="str">
        <x:v>S29-EV04</x:v>
      </x:c>
      <x:c r="G82" s="2" t="str">
        <x:v>S29-T02</x:v>
      </x:c>
      <x:c r="H82" s="2" t="str">
        <x:v>Case study</x:v>
      </x:c>
      <x:c r="I82" s="2" t="str">
        <x:v>DTC requirement traceability dataset (candidate missing-link pairs after preprocessing: 1,919)</x:v>
      </x:c>
      <x:c r="J82" s="2" t="str">
        <x:v>Industry partner</x:v>
      </x:c>
      <x:c r="K82" s="2" t="str">
        <x:v>Private</x:v>
      </x:c>
      <x:c r="L82" s="2" t="str">
        <x:v>Industrial offline data</x:v>
      </x:c>
      <x:c r="M82" s="2" t="str">
        <x:v>No split; entire labeled dataset used as retrieval database; new candidate pairs evaluated</x:v>
      </x:c>
      <x:c r="N82" s="2" t="n">
        <x:v>1320</x:v>
      </x:c>
      <x:c r="O82" s="2" t="n">
        <x:v>48</x:v>
      </x:c>
      <x:c r="P82" s="2" t="str">
        <x:v>502 predicted; 85.50% correctness</x:v>
      </x:c>
      <x:c r="Q82" s="2" t="str">
        <x:v>Authors</x:v>
      </x:c>
      <x:c r="R82" s="2" t="n">
        <x:v>2</x:v>
      </x:c>
      <x:c r="S82" s="2" t="str">
        <x:v>Manual verification by two authors; Cohen's kappa ≈ 0.92</x:v>
      </x:c>
      <x:c r="T82" s="2" t="str">
        <x:v>Discussions to reach consensus</x:v>
      </x:c>
      <x:c r="U82" s="2" t="str">
        <x:v>None</x:v>
      </x:c>
      <x:c r="V82" s="2" t="str">
        <x:v>No</x:v>
      </x:c>
      <x:c r="W82" s="2" t="str">
        <x:v>Correctness</x:v>
      </x:c>
      <x:c r="X82" s="2" t="str">
        <x:v>trace link</x:v>
      </x:c>
      <x:c r="Y82" s="2" t="str">
        <x:v>Manual verification of predicted links by two authors</x:v>
      </x:c>
      <x:c r="Z82" s="2" t="str">
        <x:v>NR</x:v>
      </x:c>
      <x:c r="AA82" s="2" t="str">
        <x:v>No</x:v>
      </x:c>
      <x:c r="AB82" s="2" t="str">
        <x:v>No</x:v>
      </x:c>
      <x:c r="AC82" s="2" t="str">
        <x:v>Yes, analysis of 73 errors due to trigger condition confusion</x:v>
      </x:c>
      <x:c r="AD82" s="2" t="str">
        <x:v>Same as EV1</x:v>
      </x:c>
      <x:c r="AE82" s="6" t="str">
        <x:v>p. 12; Section 4.1</x:v>
      </x:c>
      <x:c r="AF82" s="6" t="str">
        <x:v>RQ4: What is the performance of TVR on traceability link recovery between stakeholder requirements and system requirements?</x:v>
      </x:c>
      <x:c r="AG82" s="6" t="str">
        <x:v>EV4评估TVR在恢复缺失追溯链上的性能，通过案例研究人工验证。</x:v>
      </x:c>
      <x:c r="AH82" s="2" t="str">
        <x:v>Accepted</x:v>
      </x:c>
      <x:c r="AI82" s="6" t="str">
        <x:v>NA</x:v>
      </x:c>
    </x:row>
    <x:row r="83" ht="76" customHeight="1">
      <x:c r="A83" s="2" t="str">
        <x:v>S30-EVAL-R01</x:v>
      </x:c>
      <x:c r="B83" s="2" t="str">
        <x:v>S30</x:v>
      </x:c>
      <x:c r="C83" s="2" t="str">
        <x:v>merged_1218</x:v>
      </x:c>
      <x:c r="D83" s="2" t="str">
        <x:v>Reviewer_A</x:v>
      </x:c>
      <x:c r="E83" s="2" t="str">
        <x:v>Reviewer_A</x:v>
      </x:c>
      <x:c r="F83" s="2" t="str">
        <x:v>S30-EV01</x:v>
      </x:c>
      <x:c r="G83" s="2" t="str">
        <x:v>S30-T01</x:v>
      </x:c>
      <x:c r="H83" s="2" t="str">
        <x:v>User study</x:v>
      </x:c>
      <x:c r="I83" s="2" t="str">
        <x:v>Neo4j microservices Azure DevOps dataset</x:v>
      </x:c>
      <x:c r="J83" s="2" t="str">
        <x:v>Neo4j GitHub gist</x:v>
      </x:c>
      <x:c r="K83" s="2" t="str">
        <x:v>Public</x:v>
      </x:c>
      <x:c r="L83" s="2" t="str">
        <x:v>Synthetic</x:v>
      </x:c>
      <x:c r="M83" s="2" t="str">
        <x:v>NA</x:v>
      </x:c>
      <x:c r="N83" s="2" t="n">
        <x:v>33</x:v>
      </x:c>
      <x:c r="O83" s="2" t="n">
        <x:v>33</x:v>
      </x:c>
      <x:c r="P83" s="2" t="n">
        <x:v>52</x:v>
      </x:c>
      <x:c r="Q83" s="2" t="str">
        <x:v>Practitioners from itemis with experience in ITSs and GraphRAG</x:v>
      </x:c>
      <x:c r="R83" s="2" t="n">
        <x:v>5</x:v>
      </x:c>
      <x:c r="S83" s="2" t="str">
        <x:v>Manual verification by participants using the dataset</x:v>
      </x:c>
      <x:c r="T83" s="2" t="str">
        <x:v>Participants manually checked responses by querying the graph or using the data</x:v>
      </x:c>
      <x:c r="U83" s="2" t="str">
        <x:v>None</x:v>
      </x:c>
      <x:c r="V83" s="2" t="str">
        <x:v>No</x:v>
      </x:c>
      <x:c r="W83" s="2" t="str">
        <x:v>perceived usability; perceived accuracy; perceived adequacy of supporting information; perceived usefulness; likelihood of adoption</x:v>
      </x:c>
      <x:c r="X83" s="2" t="str">
        <x:v>participant</x:v>
      </x:c>
      <x:c r="Y83" s="2" t="str">
        <x:v>Cognitive walkthrough then individual user-centered validation sessions followed by survey</x:v>
      </x:c>
      <x:c r="Z83" s="2" t="str">
        <x:v>NR</x:v>
      </x:c>
      <x:c r="AA83" s="2" t="str">
        <x:v>No</x:v>
      </x:c>
      <x:c r="AB83" s="2" t="str">
        <x:v>No</x:v>
      </x:c>
      <x:c r="AC83" s="2" t="str">
        <x:v>No</x:v>
      </x:c>
      <x:c r="AD83" s="2" t="str">
        <x:v>Discussed construct, internal, external validity (Section VI-B)</x:v>
      </x:c>
      <x:c r="AE83" s="6" t="str">
        <x:v>p. 5; Section IV</x:v>
      </x:c>
      <x:c r="AF83" s="6" t="str">
        <x:v>After the CW session, participants were invited to 15-minute individual user-centered validation session</x:v>
      </x:c>
      <x:c r="AG83" s="6" t="str">
        <x:v>入职任务的用户研究包括认知走查和用户会话及调查，以收集主观评价。</x:v>
      </x:c>
      <x:c r="AH83" s="2" t="str">
        <x:v>Accepted</x:v>
      </x:c>
      <x:c r="AI83" s="6" t="str">
        <x:v>NA</x:v>
      </x:c>
    </x:row>
    <x:row r="84" ht="76" customHeight="1">
      <x:c r="A84" s="2" t="str">
        <x:v>S30-EVAL-R02</x:v>
      </x:c>
      <x:c r="B84" s="2" t="str">
        <x:v>S30</x:v>
      </x:c>
      <x:c r="C84" s="2" t="str">
        <x:v>merged_1218</x:v>
      </x:c>
      <x:c r="D84" s="2" t="str">
        <x:v>Reviewer_A</x:v>
      </x:c>
      <x:c r="E84" s="2" t="str">
        <x:v>Reviewer_A</x:v>
      </x:c>
      <x:c r="F84" s="2" t="str">
        <x:v>S30-EV02</x:v>
      </x:c>
      <x:c r="G84" s="2" t="str">
        <x:v>S30-T02</x:v>
      </x:c>
      <x:c r="H84" s="2" t="str">
        <x:v>User study</x:v>
      </x:c>
      <x:c r="I84" s="2" t="str">
        <x:v>Non-profit organization care (NPO) Azure DevOps repository</x:v>
      </x:c>
      <x:c r="J84" s="2" t="str">
        <x:v>VX Company proprietary repository</x:v>
      </x:c>
      <x:c r="K84" s="2" t="str">
        <x:v>Private</x:v>
      </x:c>
      <x:c r="L84" s="2" t="str">
        <x:v>Industrial offline data</x:v>
      </x:c>
      <x:c r="M84" s="2" t="str">
        <x:v>NA</x:v>
      </x:c>
      <x:c r="N84" s="2" t="n">
        <x:v>830</x:v>
      </x:c>
      <x:c r="O84" s="2" t="n">
        <x:v>830</x:v>
      </x:c>
      <x:c r="P84" s="2" t="n">
        <x:v>387</x:v>
      </x:c>
      <x:c r="Q84" s="2" t="str">
        <x:v>Practitioners from VX Company with work experience in ITSs and NPO</x:v>
      </x:c>
      <x:c r="R84" s="2" t="n">
        <x:v>5</x:v>
      </x:c>
      <x:c r="S84" s="2" t="str">
        <x:v>Participants first determined expected answers using Azure DevOps, then verified GDI's responses</x:v>
      </x:c>
      <x:c r="T84" s="2" t="str">
        <x:v>Participants cross-checked GDI output with Azure DevOps or Neo4j</x:v>
      </x:c>
      <x:c r="U84" s="2" t="str">
        <x:v>Moderate</x:v>
      </x:c>
      <x:c r="V84" s="2" t="str">
        <x:v>No</x:v>
      </x:c>
      <x:c r="W84" s="2" t="str">
        <x:v>perceived usability; perceived accuracy; perceived adequacy of supporting information; perceived usefulness; likelihood of adoption</x:v>
      </x:c>
      <x:c r="X84" s="2" t="str">
        <x:v>participant</x:v>
      </x:c>
      <x:c r="Y84" s="2" t="str">
        <x:v>Hands-on session with think-aloud, then interview with Likert scale questions</x:v>
      </x:c>
      <x:c r="Z84" s="2" t="str">
        <x:v>NR</x:v>
      </x:c>
      <x:c r="AA84" s="2" t="str">
        <x:v>No</x:v>
      </x:c>
      <x:c r="AB84" s="2" t="str">
        <x:v>No</x:v>
      </x:c>
      <x:c r="AC84" s="2" t="str">
        <x:v>No</x:v>
      </x:c>
      <x:c r="AD84" s="2" t="str">
        <x:v>Discussed validity threats (Section VI-B)</x:v>
      </x:c>
      <x:c r="AE84" s="6" t="str">
        <x:v>p. 7; Section V</x:v>
      </x:c>
      <x:c r="AF84" s="6" t="str">
        <x:v>We conducted user-centered validation sessions</x:v>
      </x:c>
      <x:c r="AG84" s="6" t="str">
        <x:v>TLR任务的用户研究包括动手操作、有声思维和访谈，以收集用户感知数据。</x:v>
      </x:c>
      <x:c r="AH84" s="2" t="str">
        <x:v>Accepted</x:v>
      </x:c>
      <x:c r="AI84" s="6" t="str">
        <x:v>Participants first used Azure DevOps to establish baseline expectations.</x:v>
      </x:c>
    </x:row>
    <x:row r="85" ht="76" customHeight="1">
      <x:c r="A85" s="2" t="str">
        <x:v>S31-EVAL-R01</x:v>
      </x:c>
      <x:c r="B85" s="2" t="str">
        <x:v>S31</x:v>
      </x:c>
      <x:c r="C85" s="2" t="str">
        <x:v>merged_1219</x:v>
      </x:c>
      <x:c r="D85" s="2" t="str">
        <x:v>Reviewer_A</x:v>
      </x:c>
      <x:c r="E85" s="2" t="str">
        <x:v>Reviewer_A</x:v>
      </x:c>
      <x:c r="F85" s="2" t="str">
        <x:v>S31-EV01</x:v>
      </x:c>
      <x:c r="G85" s="2" t="str">
        <x:v>S31-T01</x:v>
      </x:c>
      <x:c r="H85" s="2" t="str">
        <x:v>Controlled experiment</x:v>
      </x:c>
      <x:c r="I85" s="2" t="str">
        <x:v>Automotive security trace-link case (single case: ISO 27001 clause → risk-assessment finding → vulnerability-scan result)</x:v>
      </x:c>
      <x:c r="J85" s="2" t="str">
        <x:v>Real-life company from automotive consulting firm</x:v>
      </x:c>
      <x:c r="K85" s="2" t="str">
        <x:v>Private</x:v>
      </x:c>
      <x:c r="L85" s="2" t="str">
        <x:v>Industrial offline data</x:v>
      </x:c>
      <x:c r="M85" s="2" t="str">
        <x:v>NA</x:v>
      </x:c>
      <x:c r="N85" s="2" t="n">
        <x:v>1</x:v>
      </x:c>
      <x:c r="O85" s="2" t="n">
        <x:v>1</x:v>
      </x:c>
      <x:c r="P85" s="2" t="str">
        <x:v>NA</x:v>
      </x:c>
      <x:c r="Q85" s="2" t="str">
        <x:v>early-career computer scientists (professional developers)</x:v>
      </x:c>
      <x:c r="R85" s="2" t="n">
        <x:v>25</x:v>
      </x:c>
      <x:c r="S85" s="2" t="str">
        <x:v>Expert-authored report and predetermined quiz answers (LLM-generated quiz)</x:v>
      </x:c>
      <x:c r="T85" s="2" t="str">
        <x:v>Quiz answers validated by independent LLM agent; expert report written by Head of Automotive Cybersecurity</x:v>
      </x:c>
      <x:c r="U85" s="2" t="str">
        <x:v>Strong</x:v>
      </x:c>
      <x:c r="V85" s="2" t="str">
        <x:v>No</x:v>
      </x:c>
      <x:c r="W85" s="2" t="str">
        <x:v>quiz score improvement; Likert scale ratings; Mann-Whitney U; Wilcoxon signed-rank; Spearman correlation; effect sizes; rank-biserial r</x:v>
      </x:c>
      <x:c r="X85" s="2" t="str">
        <x:v>participant</x:v>
      </x:c>
      <x:c r="Y85" s="2" t="str">
        <x:v>Pre-post multiple-choice quiz and 5-point Likert questionnaire</x:v>
      </x:c>
      <x:c r="Z85" s="2" t="str">
        <x:v>No</x:v>
      </x:c>
      <x:c r="AA85" s="2" t="str">
        <x:v>Wilcoxon signed-rank test; Mann-Whitney U test; Spearman's rho; rank-biserial r; 95% bias-corrected bootstrap CI</x:v>
      </x:c>
      <x:c r="AB85" s="2" t="str">
        <x:v>95% bias-corrected bootstrap confidence intervals for effect sizes</x:v>
      </x:c>
      <x:c r="AC85" s="2" t="str">
        <x:v>Discussed threats to validity including internal, external, construct, and conclusion validity with mitigation strategies</x:v>
      </x:c>
      <x:c r="AD85" s="2" t="str">
        <x:v>Addressed via same quiz pre/post for all participants, independent quiz generation, non-parametric tests with effect sizes</x:v>
      </x:c>
      <x:c r="AE85" s="6" t="str">
        <x:v>p. 3; Section III-C</x:v>
      </x:c>
      <x:c r="AF85" s="6" t="str">
        <x:v>The survey (3) follows a simple two–group, pre-/post-design. Developers are assigned to receive either an expert-authored teaching report (control) or the prototype-generated report (treatment).</x:v>
      </x:c>
      <x:c r="AG85" s="6" t="str">
        <x:v>对照实验设计清晰</x:v>
      </x:c>
      <x:c r="AH85" s="2" t="str">
        <x:v>Accepted</x:v>
      </x:c>
      <x:c r="AI85" s="6" t="str">
        <x:v>NA</x:v>
      </x:c>
    </x:row>
    <x:row r="86" ht="76" customHeight="1">
      <x:c r="A86" s="2" t="str">
        <x:v>S32-EVAL-R01</x:v>
      </x:c>
      <x:c r="B86" s="2" t="str">
        <x:v>S32</x:v>
      </x:c>
      <x:c r="C86" s="2" t="str">
        <x:v>merged_1220</x:v>
      </x:c>
      <x:c r="D86" s="2" t="str">
        <x:v>Reviewer_A</x:v>
      </x:c>
      <x:c r="E86" s="2" t="str">
        <x:v>Reviewer_A</x:v>
      </x:c>
      <x:c r="F86" s="2" t="str">
        <x:v>S32-EV01</x:v>
      </x:c>
      <x:c r="G86" s="2" t="str">
        <x:v>S32-T01</x:v>
      </x:c>
      <x:c r="H86" s="2" t="str">
        <x:v>Demonstration</x:v>
      </x:c>
      <x:c r="I86" s="2" t="str">
        <x:v>Automotive requirements example (2 system-level, 6 component-level)</x:v>
      </x:c>
      <x:c r="J86" s="2" t="str">
        <x:v>NR</x:v>
      </x:c>
      <x:c r="K86" s="2" t="str">
        <x:v>Private</x:v>
      </x:c>
      <x:c r="L86" s="2" t="str">
        <x:v>Industrial offline data</x:v>
      </x:c>
      <x:c r="M86" s="2" t="str">
        <x:v>NA</x:v>
      </x:c>
      <x:c r="N86" s="2" t="n">
        <x:v>2</x:v>
      </x:c>
      <x:c r="O86" s="2" t="n">
        <x:v>6</x:v>
      </x:c>
      <x:c r="P86" s="2" t="str">
        <x:v>NR</x:v>
      </x:c>
      <x:c r="Q86" s="2" t="str">
        <x:v>NA</x:v>
      </x:c>
      <x:c r="R86" s="2" t="str">
        <x:v>NA</x:v>
      </x:c>
      <x:c r="S86" s="2" t="str">
        <x:v>NR</x:v>
      </x:c>
      <x:c r="T86" s="2" t="str">
        <x:v>NR</x:v>
      </x:c>
      <x:c r="U86" s="2" t="str">
        <x:v>None</x:v>
      </x:c>
      <x:c r="V86" s="2" t="str">
        <x:v>No</x:v>
      </x:c>
      <x:c r="W86" s="2" t="str">
        <x:v>Mcin; Mcout; Msin; Msout</x:v>
      </x:c>
      <x:c r="X86" s="2" t="str">
        <x:v>artifact pair</x:v>
      </x:c>
      <x:c r="Y86" s="2" t="str">
        <x:v>No</x:v>
      </x:c>
      <x:c r="Z86" s="2" t="str">
        <x:v>NR</x:v>
      </x:c>
      <x:c r="AA86" s="2" t="str">
        <x:v>No</x:v>
      </x:c>
      <x:c r="AB86" s="2" t="str">
        <x:v>No</x:v>
      </x:c>
      <x:c r="AC86" s="2" t="str">
        <x:v>No</x:v>
      </x:c>
      <x:c r="AD86" s="2" t="str">
        <x:v>No</x:v>
      </x:c>
      <x:c r="AE86" s="6" t="str">
        <x:v>p. 1; Abstract.</x:v>
      </x:c>
      <x:c r="AF86" s="6" t="str">
        <x:v>We use a case study to demonstrate that this method shows good adaptability in dealing with issues such as terminology heterogeneity, semantic inconsistency, and structural complexity.</x:v>
      </x:c>
      <x:c r="AG86" s="6" t="str">
        <x:v>通过一个小型案例展示方法可行性，计算四个匹配度指标，未与基线比较。</x:v>
      </x:c>
      <x:c r="AH86" s="2" t="str">
        <x:v>Accepted</x:v>
      </x:c>
      <x:c r="AI86" s="6" t="str">
        <x:v>NR</x:v>
      </x:c>
    </x:row>
    <x:row r="87" ht="76" customHeight="1">
      <x:c r="A87" s="2" t="str">
        <x:v>S33-EVAL-R01</x:v>
      </x:c>
      <x:c r="B87" s="2" t="str">
        <x:v>S33</x:v>
      </x:c>
      <x:c r="C87" s="2" t="str">
        <x:v>merged_1222</x:v>
      </x:c>
      <x:c r="D87" s="2" t="str">
        <x:v>Reviewer_A</x:v>
      </x:c>
      <x:c r="E87" s="2" t="str">
        <x:v>Reviewer_A</x:v>
      </x:c>
      <x:c r="F87" s="2" t="str">
        <x:v>S33-EV01</x:v>
      </x:c>
      <x:c r="G87" s="2" t="str">
        <x:v>S33-T01</x:v>
      </x:c>
      <x:c r="H87" s="2" t="str">
        <x:v>Benchmark comparison</x:v>
      </x:c>
      <x:c r="I87" s="2" t="str">
        <x:v>Synthetic security requirements and source code dataset</x:v>
      </x:c>
      <x:c r="J87" s="2" t="str">
        <x:v>Security requirements from [45], implementations generated by ChatGPT-4o and manually adjusted/complemented</x:v>
      </x:c>
      <x:c r="K87" s="2" t="str">
        <x:v>NR</x:v>
      </x:c>
      <x:c r="L87" s="2" t="str">
        <x:v>Synthetic</x:v>
      </x:c>
      <x:c r="M87" s="2" t="str">
        <x:v>NA</x:v>
      </x:c>
      <x:c r="N87" s="2" t="n">
        <x:v>4</x:v>
      </x:c>
      <x:c r="O87" s="2" t="str">
        <x:v>NR</x:v>
      </x:c>
      <x:c r="P87" s="2" t="str">
        <x:v>NR</x:v>
      </x:c>
      <x:c r="Q87" s="2" t="str">
        <x:v>NA</x:v>
      </x:c>
      <x:c r="R87" s="2" t="str">
        <x:v>NA</x:v>
      </x:c>
      <x:c r="S87" s="2" t="str">
        <x:v>Expected results based on whether implementation corresponds to the requirement (derived from requirement-implementation assignment during dataset construction)</x:v>
      </x:c>
      <x:c r="T87" s="2" t="str">
        <x:v>NR</x:v>
      </x:c>
      <x:c r="U87" s="2" t="str">
        <x:v>None</x:v>
      </x:c>
      <x:c r="V87" s="2" t="str">
        <x:v>Yes</x:v>
      </x:c>
      <x:c r="W87" s="2" t="str">
        <x:v>Precision; Recall; F1-score</x:v>
      </x:c>
      <x:c r="X87" s="2" t="str">
        <x:v>artifact pair</x:v>
      </x:c>
      <x:c r="Y87" s="2" t="str">
        <x:v>No</x:v>
      </x:c>
      <x:c r="Z87" s="2" t="str">
        <x:v>No</x:v>
      </x:c>
      <x:c r="AA87" s="2" t="str">
        <x:v>No</x:v>
      </x:c>
      <x:c r="AB87" s="2" t="str">
        <x:v>No</x:v>
      </x:c>
      <x:c r="AC87" s="2" t="str">
        <x:v>No</x:v>
      </x:c>
      <x:c r="AD87" s="2" t="str">
        <x:v>No</x:v>
      </x:c>
      <x:c r="AE87" s="6" t="str">
        <x:v>p. 5; Section IV-A Evaluation Procedure</x:v>
      </x:c>
      <x:c r="AF87" s="6" t="str">
        <x:v>To validate the accuracy of the created trace-links, an evaluation was conducted. Since the LLM's could be sensitive to certain properties of the written code, the evaluation covered several aspects within the test data.</x:v>
      </x:c>
      <x:c r="AG87" s="6" t="str">
        <x:v>评估在合成数据集上进行，比较了不同LLM模型、编程语言、实现完整性、变量命名、注释和配对方式下的追踪链接恢复性能。</x:v>
      </x:c>
      <x:c r="AH87" s="2" t="str">
        <x:v>Accepted</x:v>
      </x:c>
      <x:c r="AI87" s="6" t="str">
        <x:v>总共有6912个预期评估元素，但实际收集到16,186个有效元素（重复运行），部分输出无效。</x:v>
      </x:c>
    </x:row>
    <x:row r="88" ht="76" customHeight="1">
      <x:c r="A88" s="2" t="str">
        <x:v>S34-EVAL-R01</x:v>
      </x:c>
      <x:c r="B88" s="2" t="str">
        <x:v>S34</x:v>
      </x:c>
      <x:c r="C88" s="2" t="str">
        <x:v>merged_1224-v1</x:v>
      </x:c>
      <x:c r="D88" s="2" t="str">
        <x:v>Reviewer_A</x:v>
      </x:c>
      <x:c r="E88" s="2" t="str">
        <x:v>Reviewer_A</x:v>
      </x:c>
      <x:c r="F88" s="2" t="str">
        <x:v>S34-EV01</x:v>
      </x:c>
      <x:c r="G88" s="2" t="str">
        <x:v>S34-T01</x:v>
      </x:c>
      <x:c r="H88" s="2" t="str">
        <x:v>Benchmark comparison</x:v>
      </x:c>
      <x:c r="I88" s="2" t="str">
        <x:v>Waste Management System Use Cases</x:v>
      </x:c>
      <x:c r="J88" s="2" t="str">
        <x:v>NR</x:v>
      </x:c>
      <x:c r="K88" s="2" t="str">
        <x:v>Public</x:v>
      </x:c>
      <x:c r="L88" s="2" t="str">
        <x:v>Synthetic</x:v>
      </x:c>
      <x:c r="M88" s="2" t="str">
        <x:v>NA</x:v>
      </x:c>
      <x:c r="N88" s="2" t="n">
        <x:v>21</x:v>
      </x:c>
      <x:c r="O88" s="2" t="str">
        <x:v>NR</x:v>
      </x:c>
      <x:c r="P88" s="2" t="str">
        <x:v>NR</x:v>
      </x:c>
      <x:c r="Q88" s="2" t="str">
        <x:v>NR</x:v>
      </x:c>
      <x:c r="R88" s="2" t="str">
        <x:v>NR</x:v>
      </x:c>
      <x:c r="S88" s="2" t="str">
        <x:v>NR</x:v>
      </x:c>
      <x:c r="T88" s="2" t="str">
        <x:v>NR</x:v>
      </x:c>
      <x:c r="U88" s="2" t="str">
        <x:v>None</x:v>
      </x:c>
      <x:c r="V88" s="2" t="str">
        <x:v>No</x:v>
      </x:c>
      <x:c r="W88" s="2" t="str">
        <x:v>Method Quantity; Signature Richness; Annotation Completeness; Structural Fidelity; Syntactic Correctness; Top-Method Consensus; Core-Method Consensus; Structural Placement Consistency</x:v>
      </x:c>
      <x:c r="X88" s="2" t="str">
        <x:v>artifact</x:v>
      </x:c>
      <x:c r="Y88" s="2" t="str">
        <x:v>No</x:v>
      </x:c>
      <x:c r="Z88" s="2" t="str">
        <x:v>No</x:v>
      </x:c>
      <x:c r="AA88" s="2" t="str">
        <x:v>Kruskal-Wallis; Dunn's post-hoc; Cliff's delta; Wilcoxon signed-rank; chi-squared; Mixed ANOVA; Bootstrap</x:v>
      </x:c>
      <x:c r="AB88" s="2" t="str">
        <x:v>Yes, standard error and confidence intervals</x:v>
      </x:c>
      <x:c r="AC88" s="2" t="str">
        <x:v>No</x:v>
      </x:c>
      <x:c r="AD88" s="2" t="str">
        <x:v>Yes, multiple seeds, statistical corrections, discussed threats</x:v>
      </x:c>
      <x:c r="AE88" s="6" t="str">
        <x:v>p. 1; abstract</x:v>
      </x:c>
      <x:c r="AF88" s="6" t="str">
        <x:v>This study evaluates nine large language models (LLMs) in augmenting a methodless UML diagram (21 classes, 17 relationships) using 21 structured waste-management use cases.</x:v>
      </x:c>
      <x:c r="AG88" s="6" t="str">
        <x:v>实证评估9个LLM在21个废物管理用例和1个UML类图上生成方法及追溯注释的性能</x:v>
      </x:c>
      <x:c r="AH88" s="2" t="str">
        <x:v>Accepted</x:v>
      </x:c>
      <x:c r="AI88" s="6" t="str">
        <x:v>所有数据公开</x:v>
      </x:c>
    </x:row>
    <x:row r="89" ht="76" customHeight="1">
      <x:c r="A89" s="2" t="str">
        <x:v>S35-EVAL-R01</x:v>
      </x:c>
      <x:c r="B89" s="2" t="str">
        <x:v>S35</x:v>
      </x:c>
      <x:c r="C89" s="2" t="str">
        <x:v>merged_1225</x:v>
      </x:c>
      <x:c r="D89" s="2" t="str">
        <x:v>Reviewer_A</x:v>
      </x:c>
      <x:c r="E89" s="2" t="str">
        <x:v>Reviewer_A</x:v>
      </x:c>
      <x:c r="F89" s="2" t="str">
        <x:v>S35-EV01</x:v>
      </x:c>
      <x:c r="G89" s="2" t="str">
        <x:v>S35-T01</x:v>
      </x:c>
      <x:c r="H89" s="2" t="str">
        <x:v>Case study</x:v>
      </x:c>
      <x:c r="I89" s="2" t="str">
        <x:v>Scholar@UC full set</x:v>
      </x:c>
      <x:c r="J89" s="2" t="str">
        <x:v>Scholar@UC GitHub repository</x:v>
      </x:c>
      <x:c r="K89" s="2" t="str">
        <x:v>Public</x:v>
      </x:c>
      <x:c r="L89" s="2" t="str">
        <x:v>Open-source project</x:v>
      </x:c>
      <x:c r="M89" s="2" t="str">
        <x:v>NA</x:v>
      </x:c>
      <x:c r="N89" s="2" t="n">
        <x:v>67</x:v>
      </x:c>
      <x:c r="O89" s="2" t="n">
        <x:v>146</x:v>
      </x:c>
      <x:c r="P89" s="2" t="str">
        <x:v>NR</x:v>
      </x:c>
      <x:c r="Q89" s="2" t="str">
        <x:v>NA</x:v>
      </x:c>
      <x:c r="R89" s="2" t="str">
        <x:v>NA</x:v>
      </x:c>
      <x:c r="S89" s="2" t="str">
        <x:v>Developer survey (partial, for 7 tests)</x:v>
      </x:c>
      <x:c r="T89" s="2" t="str">
        <x:v>NR</x:v>
      </x:c>
      <x:c r="U89" s="2" t="str">
        <x:v>NA</x:v>
      </x:c>
      <x:c r="V89" s="2" t="str">
        <x:v>No</x:v>
      </x:c>
      <x:c r="W89" s="2" t="str">
        <x:v>top-matched requirement overlap counts; agreement between methods</x:v>
      </x:c>
      <x:c r="X89" s="2" t="str">
        <x:v>project</x:v>
      </x:c>
      <x:c r="Y89" s="2" t="str">
        <x:v>No</x:v>
      </x:c>
      <x:c r="Z89" s="2" t="str">
        <x:v>NA</x:v>
      </x:c>
      <x:c r="AA89" s="2" t="str">
        <x:v>No</x:v>
      </x:c>
      <x:c r="AB89" s="2" t="str">
        <x:v>No</x:v>
      </x:c>
      <x:c r="AC89" s="2" t="str">
        <x:v>No</x:v>
      </x:c>
      <x:c r="AD89" s="2" t="str">
        <x:v>Discussed in Section III.C</x:v>
      </x:c>
      <x:c r="AE89" s="6" t="str">
        <x:v>p. 3; Section III.A, Fig. 3, Table I</x:v>
      </x:c>
      <x:c r="AF89" s="6" t="str">
        <x:v>Table I provides the descriptions of the top-traced requirements, along with the number of times Cosine and RoBERTa trace the test ﬁles to them. For example, requirement 118,</x:v>
      </x:c>
      <x:c r="AG89" s="6" t="str">
        <x:v>在全量数据集上应用Cosine和RoBERTa，通过观察重叠和分布来评估追踪恢复的质量，但缺乏严格的地面真值度量</x:v>
      </x:c>
      <x:c r="AH89" s="2" t="str">
        <x:v>Accepted</x:v>
      </x:c>
      <x:c r="AI89" s="6" t="str">
        <x:v>NA</x:v>
      </x:c>
    </x:row>
    <x:row r="90" ht="76" customHeight="1">
      <x:c r="A90" s="2" t="str">
        <x:v>S35-EVAL-R02</x:v>
      </x:c>
      <x:c r="B90" s="2" t="str">
        <x:v>S35</x:v>
      </x:c>
      <x:c r="C90" s="2" t="str">
        <x:v>merged_1225</x:v>
      </x:c>
      <x:c r="D90" s="2" t="str">
        <x:v>Reviewer_A</x:v>
      </x:c>
      <x:c r="E90" s="2" t="str">
        <x:v>Reviewer_A</x:v>
      </x:c>
      <x:c r="F90" s="2" t="str">
        <x:v>S35-EV02</x:v>
      </x:c>
      <x:c r="G90" s="2" t="str">
        <x:v>S35-T02</x:v>
      </x:c>
      <x:c r="H90" s="2" t="str">
        <x:v>Case study</x:v>
      </x:c>
      <x:c r="I90" s="2" t="str">
        <x:v>7 randomly sampled feature tests</x:v>
      </x:c>
      <x:c r="J90" s="2" t="str">
        <x:v>Scholar@UC</x:v>
      </x:c>
      <x:c r="K90" s="2" t="str">
        <x:v>Public</x:v>
      </x:c>
      <x:c r="L90" s="2" t="str">
        <x:v>Open-source project</x:v>
      </x:c>
      <x:c r="M90" s="2" t="str">
        <x:v>NA</x:v>
      </x:c>
      <x:c r="N90" s="2" t="n">
        <x:v>7</x:v>
      </x:c>
      <x:c r="O90" s="2" t="str">
        <x:v>NR</x:v>
      </x:c>
      <x:c r="P90" s="2" t="str">
        <x:v>NR</x:v>
      </x:c>
      <x:c r="Q90" s="2" t="str">
        <x:v>NA</x:v>
      </x:c>
      <x:c r="R90" s="2" t="str">
        <x:v>NA</x:v>
      </x:c>
      <x:c r="S90" s="2" t="str">
        <x:v>Developer survey (EV3)</x:v>
      </x:c>
      <x:c r="T90" s="2" t="str">
        <x:v>NR</x:v>
      </x:c>
      <x:c r="U90" s="2" t="str">
        <x:v>Moderate</x:v>
      </x:c>
      <x:c r="V90" s="2" t="str">
        <x:v>No</x:v>
      </x:c>
      <x:c r="W90" s="2" t="str">
        <x:v>No quantitative metrics; qualitative comparison of outputs</x:v>
      </x:c>
      <x:c r="X90" s="2" t="str">
        <x:v>artifact</x:v>
      </x:c>
      <x:c r="Y90" s="2" t="str">
        <x:v>No</x:v>
      </x:c>
      <x:c r="Z90" s="2" t="str">
        <x:v>NA</x:v>
      </x:c>
      <x:c r="AA90" s="2" t="str">
        <x:v>No</x:v>
      </x:c>
      <x:c r="AB90" s="2" t="str">
        <x:v>No</x:v>
      </x:c>
      <x:c r="AC90" s="2" t="str">
        <x:v>No</x:v>
      </x:c>
      <x:c r="AD90" s="2" t="str">
        <x:v>Discussed in Section III.C</x:v>
      </x:c>
      <x:c r="AE90" s="6" t="str">
        <x:v>p. 4; Section III.B, Table III</x:v>
      </x:c>
      <x:c r="AF90" s="6" t="str">
        <x:v>The tracing and prompting results of the seven tests are shown in Table III.</x:v>
      </x:c>
      <x:c r="AG90" s="6" t="str">
        <x:v>在7个采样测试上比较了baseline和pattern-enriched两种提示策略生成的描述，观察生成结果的性质差异</x:v>
      </x:c>
      <x:c r="AH90" s="2" t="str">
        <x:v>Accepted</x:v>
      </x:c>
      <x:c r="AI90" s="6" t="str">
        <x:v>NR</x:v>
      </x:c>
    </x:row>
    <x:row r="91" ht="76" customHeight="1">
      <x:c r="A91" s="2" t="str">
        <x:v>S35-EVAL-R03</x:v>
      </x:c>
      <x:c r="B91" s="2" t="str">
        <x:v>S35</x:v>
      </x:c>
      <x:c r="C91" s="2" t="str">
        <x:v>merged_1225</x:v>
      </x:c>
      <x:c r="D91" s="2" t="str">
        <x:v>Reviewer_A</x:v>
      </x:c>
      <x:c r="E91" s="2" t="str">
        <x:v>Reviewer_A</x:v>
      </x:c>
      <x:c r="F91" s="2" t="str">
        <x:v>S35-EV03</x:v>
      </x:c>
      <x:c r="G91" s="2" t="str">
        <x:v>S35-T01</x:v>
      </x:c>
      <x:c r="H91" s="2" t="str">
        <x:v>Expert evaluation</x:v>
      </x:c>
      <x:c r="I91" s="2" t="str">
        <x:v>7 randomly sampled feature tests (survey)</x:v>
      </x:c>
      <x:c r="J91" s="2" t="str">
        <x:v>Scholar@UC</x:v>
      </x:c>
      <x:c r="K91" s="2" t="str">
        <x:v>Public</x:v>
      </x:c>
      <x:c r="L91" s="2" t="str">
        <x:v>Open-source project</x:v>
      </x:c>
      <x:c r="M91" s="2" t="str">
        <x:v>NA</x:v>
      </x:c>
      <x:c r="N91" s="2" t="n">
        <x:v>7</x:v>
      </x:c>
      <x:c r="O91" s="2" t="str">
        <x:v>4 (results per test)</x:v>
      </x:c>
      <x:c r="P91" s="2" t="str">
        <x:v>NR</x:v>
      </x:c>
      <x:c r="Q91" s="2" t="str">
        <x:v>Software developers</x:v>
      </x:c>
      <x:c r="R91" s="2" t="n">
        <x:v>2</x:v>
      </x:c>
      <x:c r="S91" s="2" t="str">
        <x:v>Developer responses</x:v>
      </x:c>
      <x:c r="T91" s="2" t="str">
        <x:v>Developers filled survey individually then jointly</x:v>
      </x:c>
      <x:c r="U91" s="2" t="str">
        <x:v>Multiple strengths</x:v>
      </x:c>
      <x:c r="V91" s="2" t="str">
        <x:v>No</x:v>
      </x:c>
      <x:c r="W91" s="2" t="str">
        <x:v>developer preference counts (qualitative)</x:v>
      </x:c>
      <x:c r="X91" s="2" t="str">
        <x:v>participant</x:v>
      </x:c>
      <x:c r="Y91" s="2" t="str">
        <x:v>Survey via Google Forms, randomized options, developers answered individually then jointly filled out</x:v>
      </x:c>
      <x:c r="Z91" s="2" t="str">
        <x:v>NA</x:v>
      </x:c>
      <x:c r="AA91" s="2" t="str">
        <x:v>No</x:v>
      </x:c>
      <x:c r="AB91" s="2" t="str">
        <x:v>No</x:v>
      </x:c>
      <x:c r="AC91" s="2" t="str">
        <x:v>No</x:v>
      </x:c>
      <x:c r="AD91" s="2" t="str">
        <x:v>Discussed in Section III.C</x:v>
      </x:c>
      <x:c r="AE91" s="6" t="str">
        <x:v>p. 4; Section III.B, Table IV</x:v>
      </x:c>
      <x:c r="AF91" s="6" t="str">
        <x:v>The survey results are summarized in Table IV.</x:v>
      </x:c>
      <x:c r="AG91" s="6" t="str">
        <x:v>通过原开发者调查收集对追踪和生成结果的偏好，以评估其质量</x:v>
      </x:c>
      <x:c r="AH91" s="2" t="str">
        <x:v>Accepted</x:v>
      </x:c>
      <x:c r="AI91" s="6" t="str">
        <x:v>NA</x:v>
      </x:c>
    </x:row>
    <x:row r="92" ht="76" customHeight="1">
      <x:c r="A92" s="2" t="str">
        <x:v>S36-EVAL-R01</x:v>
      </x:c>
      <x:c r="B92" s="2" t="str">
        <x:v>S36</x:v>
      </x:c>
      <x:c r="C92" s="2" t="str">
        <x:v>merged_1236</x:v>
      </x:c>
      <x:c r="D92" s="2" t="str">
        <x:v>Reviewer_A</x:v>
      </x:c>
      <x:c r="E92" s="2" t="str">
        <x:v>Reviewer_A</x:v>
      </x:c>
      <x:c r="F92" s="2" t="str">
        <x:v>S36-EV01</x:v>
      </x:c>
      <x:c r="G92" s="2" t="str">
        <x:v>S36-T01</x:v>
      </x:c>
      <x:c r="H92" s="2" t="str">
        <x:v>Demonstration</x:v>
      </x:c>
      <x:c r="I92" s="2" t="str">
        <x:v>Banking (D1), Healthcare (D2), E-commerce (D3) including noise variants</x:v>
      </x:c>
      <x:c r="J92" s="2" t="str">
        <x:v>NR</x:v>
      </x:c>
      <x:c r="K92" s="2" t="str">
        <x:v>NR</x:v>
      </x:c>
      <x:c r="L92" s="2" t="str">
        <x:v>Synthetic</x:v>
      </x:c>
      <x:c r="M92" s="2" t="str">
        <x:v>NA</x:v>
      </x:c>
      <x:c r="N92" s="2" t="str">
        <x:v>NR</x:v>
      </x:c>
      <x:c r="O92" s="2" t="str">
        <x:v>15-40 chunks per dataset</x:v>
      </x:c>
      <x:c r="P92" s="2" t="str">
        <x:v>NR</x:v>
      </x:c>
      <x:c r="Q92" s="2" t="str">
        <x:v>NA</x:v>
      </x:c>
      <x:c r="R92" s="2" t="str">
        <x:v>NA</x:v>
      </x:c>
      <x:c r="S92" s="2" t="str">
        <x:v>Manual verification of LLM-generated test cases</x:v>
      </x:c>
      <x:c r="T92" s="2" t="str">
        <x:v>Manually verified</x:v>
      </x:c>
      <x:c r="U92" s="2" t="str">
        <x:v>None</x:v>
      </x:c>
      <x:c r="V92" s="2" t="str">
        <x:v>No</x:v>
      </x:c>
      <x:c r="W92" s="2" t="str">
        <x:v>Top-1 Accuracy; Top-3 Accuracy; Average Time (MS)</x:v>
      </x:c>
      <x:c r="X92" s="2" t="str">
        <x:v>trace link</x:v>
      </x:c>
      <x:c r="Y92" s="2" t="str">
        <x:v>No</x:v>
      </x:c>
      <x:c r="Z92" s="2" t="str">
        <x:v>No</x:v>
      </x:c>
      <x:c r="AA92" s="2" t="str">
        <x:v>No</x:v>
      </x:c>
      <x:c r="AB92" s="2" t="str">
        <x:v>No</x:v>
      </x:c>
      <x:c r="AC92" s="2" t="str">
        <x:v>Yes</x:v>
      </x:c>
      <x:c r="AD92" s="2" t="str">
        <x:v>No</x:v>
      </x:c>
      <x:c r="AE92" s="6" t="str">
        <x:v>p. 4; Section V.D</x:v>
      </x:c>
      <x:c r="AF92" s="6" t="str">
        <x:v>We evaluated source traceability across banking (D1), healthcare (D2), and e-commerce (D3) domains on an AMD Ryzen 6900S/16GB RAM system (5 iterations/query).</x:v>
      </x:c>
      <x:c r="AG92" s="6" t="str">
        <x:v>评估了RAG检索在多领域数据集及噪声变体下的准确性和速度，但未与基线方法比较，属于演示性评估。</x:v>
      </x:c>
      <x:c r="AH92" s="2" t="str">
        <x:v>Accepted</x:v>
      </x:c>
      <x:c r="AI92" s="6" t="str">
        <x:v>Prior EV2: RAG source retrieval accuracy (Top-1, Top-3) across multiple domain datasets with noise variants.</x:v>
      </x:c>
    </x:row>
    <x:row r="93" ht="76" customHeight="1">
      <x:c r="A93" s="2" t="str">
        <x:v>S37-EVAL-R01</x:v>
      </x:c>
      <x:c r="B93" s="2" t="str">
        <x:v>S37</x:v>
      </x:c>
      <x:c r="C93" s="2" t="str">
        <x:v>merged_1238</x:v>
      </x:c>
      <x:c r="D93" s="2" t="str">
        <x:v>Reviewer_A</x:v>
      </x:c>
      <x:c r="E93" s="2" t="str">
        <x:v>Reviewer_A</x:v>
      </x:c>
      <x:c r="F93" s="2" t="str">
        <x:v>S37-EV01</x:v>
      </x:c>
      <x:c r="G93" s="2" t="str">
        <x:v>S37-T01</x:v>
      </x:c>
      <x:c r="H93" s="2" t="str">
        <x:v>Benchmark comparison</x:v>
      </x:c>
      <x:c r="I93" s="2" t="str">
        <x:v>Five public cases: ATM, DSSS, ES, SNS, CPs</x:v>
      </x:c>
      <x:c r="J93" s="2" t="str">
        <x:v>References [38-42]</x:v>
      </x:c>
      <x:c r="K93" s="2" t="str">
        <x:v>Public</x:v>
      </x:c>
      <x:c r="L93" s="2" t="str">
        <x:v>Academic benchmark</x:v>
      </x:c>
      <x:c r="M93" s="2" t="str">
        <x:v>NA</x:v>
      </x:c>
      <x:c r="N93" s="2" t="str">
        <x:v>NR</x:v>
      </x:c>
      <x:c r="O93" s="2" t="str">
        <x:v>NR</x:v>
      </x:c>
      <x:c r="P93" s="2" t="str">
        <x:v>NA</x:v>
      </x:c>
      <x:c r="Q93" s="2" t="str">
        <x:v>NA</x:v>
      </x:c>
      <x:c r="R93" s="2" t="str">
        <x:v>NA</x:v>
      </x:c>
      <x:c r="S93" s="2" t="str">
        <x:v>standardized requirement model</x:v>
      </x:c>
      <x:c r="T93" s="2" t="str">
        <x:v>NR</x:v>
      </x:c>
      <x:c r="U93" s="2" t="str">
        <x:v>Moderate</x:v>
      </x:c>
      <x:c r="V93" s="2" t="str">
        <x:v>No</x:v>
      </x:c>
      <x:c r="W93" s="2" t="str">
        <x:v>Precision; Recall; F1-score</x:v>
      </x:c>
      <x:c r="X93" s="2" t="str">
        <x:v>artifact</x:v>
      </x:c>
      <x:c r="Y93" s="2" t="str">
        <x:v>No</x:v>
      </x:c>
      <x:c r="Z93" s="2" t="str">
        <x:v>NR</x:v>
      </x:c>
      <x:c r="AA93" s="2" t="str">
        <x:v>permutation test</x:v>
      </x:c>
      <x:c r="AB93" s="2" t="str">
        <x:v>No</x:v>
      </x:c>
      <x:c r="AC93" s="2" t="str">
        <x:v>No</x:v>
      </x:c>
      <x:c r="AD93" s="2" t="str">
        <x:v>NR</x:v>
      </x:c>
      <x:c r="AE93" s="6" t="str">
        <x:v>p. 21; Section 5.2</x:v>
      </x:c>
      <x:c r="AF93" s="6" t="str">
        <x:v>In order to evaluate the quality of the requirement model PFM generated by the LLMs and prompts in Section 4.1, this experiment chooses to compare the PRBC with three advanced requirements automatic modeling methods</x:v>
      </x:c>
      <x:c r="AG93" s="6" t="str">
        <x:v>通过五个公开案例和三个基线方法，使用精确率、召回率和F1值比较需求建模质量。</x:v>
      </x:c>
      <x:c r="AH93" s="2" t="str">
        <x:v>Accepted</x:v>
      </x:c>
      <x:c r="AI93" s="6" t="str">
        <x:v>NA</x:v>
      </x:c>
    </x:row>
    <x:row r="94" ht="76" customHeight="1">
      <x:c r="A94" s="2" t="str">
        <x:v>S37-EVAL-R02</x:v>
      </x:c>
      <x:c r="B94" s="2" t="str">
        <x:v>S37</x:v>
      </x:c>
      <x:c r="C94" s="2" t="str">
        <x:v>merged_1238</x:v>
      </x:c>
      <x:c r="D94" s="2" t="str">
        <x:v>Reviewer_A</x:v>
      </x:c>
      <x:c r="E94" s="2" t="str">
        <x:v>Reviewer_A</x:v>
      </x:c>
      <x:c r="F94" s="2" t="str">
        <x:v>S37-EV02</x:v>
      </x:c>
      <x:c r="G94" s="2" t="str">
        <x:v>S37-T01</x:v>
      </x:c>
      <x:c r="H94" s="2" t="str">
        <x:v>Case study</x:v>
      </x:c>
      <x:c r="I94" s="2" t="str">
        <x:v>Car-hailing system case</x:v>
      </x:c>
      <x:c r="J94" s="2" t="str">
        <x:v>based on Didi Chuxing system</x:v>
      </x:c>
      <x:c r="K94" s="2" t="str">
        <x:v>NR</x:v>
      </x:c>
      <x:c r="L94" s="2" t="str">
        <x:v>Synthetic</x:v>
      </x:c>
      <x:c r="M94" s="2" t="str">
        <x:v>NA</x:v>
      </x:c>
      <x:c r="N94" s="2" t="str">
        <x:v>NR</x:v>
      </x:c>
      <x:c r="O94" s="2" t="str">
        <x:v>NR</x:v>
      </x:c>
      <x:c r="P94" s="2" t="str">
        <x:v>NA</x:v>
      </x:c>
      <x:c r="Q94" s="2" t="str">
        <x:v>NA</x:v>
      </x:c>
      <x:c r="R94" s="2" t="str">
        <x:v>NA</x:v>
      </x:c>
      <x:c r="S94" s="2" t="str">
        <x:v>NR</x:v>
      </x:c>
      <x:c r="T94" s="2" t="str">
        <x:v>NR</x:v>
      </x:c>
      <x:c r="U94" s="2" t="str">
        <x:v>None</x:v>
      </x:c>
      <x:c r="V94" s="2" t="str">
        <x:v>No</x:v>
      </x:c>
      <x:c r="W94" s="2" t="str">
        <x:v>No</x:v>
      </x:c>
      <x:c r="X94" s="2" t="str">
        <x:v>project</x:v>
      </x:c>
      <x:c r="Y94" s="2" t="str">
        <x:v>No</x:v>
      </x:c>
      <x:c r="Z94" s="2" t="str">
        <x:v>NA</x:v>
      </x:c>
      <x:c r="AA94" s="2" t="str">
        <x:v>No</x:v>
      </x:c>
      <x:c r="AB94" s="2" t="str">
        <x:v>NA</x:v>
      </x:c>
      <x:c r="AC94" s="2" t="str">
        <x:v>Unclear</x:v>
      </x:c>
      <x:c r="AD94" s="2" t="str">
        <x:v>NR</x:v>
      </x:c>
      <x:c r="AE94" s="6" t="str">
        <x:v>p. 19; Section 5.3</x:v>
      </x:c>
      <x:c r="AF94" s="6" t="str">
        <x:v>to prove the validity of the generated CBPMN. In Section 5.3, we built an online car-hailing CBPMN model through a set of tools that automate the generation of the model and verification.</x:v>
      </x:c>
      <x:c r="AG94" s="6" t="str">
        <x:v>以汽车叫车系统为例，演示从需求对话到可执行CPN模型的完整建模与验证流程。</x:v>
      </x:c>
      <x:c r="AH94" s="2" t="str">
        <x:v>Accepted</x:v>
      </x:c>
      <x:c r="AI94" s="6" t="str">
        <x:v>NA</x:v>
      </x:c>
    </x:row>
    <x:row r="95" ht="76" customHeight="1">
      <x:c r="A95" s="2" t="str">
        <x:v>S38-EVAL-R01</x:v>
      </x:c>
      <x:c r="B95" s="2" t="str">
        <x:v>S38</x:v>
      </x:c>
      <x:c r="C95" s="2" t="str">
        <x:v>merged_1241</x:v>
      </x:c>
      <x:c r="D95" s="2" t="str">
        <x:v>Reviewer_A</x:v>
      </x:c>
      <x:c r="E95" s="2" t="str">
        <x:v>Reviewer_A</x:v>
      </x:c>
      <x:c r="F95" s="2" t="str">
        <x:v>S38-EV01</x:v>
      </x:c>
      <x:c r="G95" s="2" t="str">
        <x:v>S38-T01</x:v>
      </x:c>
      <x:c r="H95" s="2" t="str">
        <x:v>Benchmark comparison</x:v>
      </x:c>
      <x:c r="I95" s="2" t="str">
        <x:v>LusGen-Benchmark traceability subset (D2, D3, D4)</x:v>
      </x:c>
      <x:c r="J95" s="2" t="str">
        <x:v>Constructed from Kind2, VeCoGen, and industrial WSDS</x:v>
      </x:c>
      <x:c r="K95" s="2" t="str">
        <x:v>Public</x:v>
      </x:c>
      <x:c r="L95" s="2" t="str">
        <x:v>Mixed</x:v>
      </x:c>
      <x:c r="M95" s="2" t="str">
        <x:v>NA</x:v>
      </x:c>
      <x:c r="N95" s="2" t="str">
        <x:v>NR</x:v>
      </x:c>
      <x:c r="O95" s="2" t="str">
        <x:v>NR</x:v>
      </x:c>
      <x:c r="P95" s="2" t="str">
        <x:v>NR</x:v>
      </x:c>
      <x:c r="Q95" s="2" t="str">
        <x:v>graduate students and domain experts</x:v>
      </x:c>
      <x:c r="R95" s="2" t="n">
        <x:v>4</x:v>
      </x:c>
      <x:c r="S95" s="2" t="str">
        <x:v>Manual annotation by two graduate students</x:v>
      </x:c>
      <x:c r="T95" s="2" t="str">
        <x:v>Inter-annotator agreement measured, details NR</x:v>
      </x:c>
      <x:c r="U95" s="2" t="str">
        <x:v>NA</x:v>
      </x:c>
      <x:c r="V95" s="2" t="str">
        <x:v>No</x:v>
      </x:c>
      <x:c r="W95" s="2" t="str">
        <x:v>Precision; Recall; T-acc</x:v>
      </x:c>
      <x:c r="X95" s="2" t="str">
        <x:v>trace link</x:v>
      </x:c>
      <x:c r="Y95" s="2" t="str">
        <x:v>Two graduate students annotated trace matrices independently, results reviewed by two domain experts; inter-annotator agreement measured to ensure consistency.</x:v>
      </x:c>
      <x:c r="Z95" s="2" t="str">
        <x:v>NR</x:v>
      </x:c>
      <x:c r="AA95" s="2" t="str">
        <x:v>No</x:v>
      </x:c>
      <x:c r="AB95" s="2" t="str">
        <x:v>No</x:v>
      </x:c>
      <x:c r="AC95" s="2" t="str">
        <x:v>No</x:v>
      </x:c>
      <x:c r="AD95" s="2" t="str">
        <x:v>Discussed in Section 6</x:v>
      </x:c>
      <x:c r="AE95" s="6" t="str">
        <x:v>p. 14; Section 4.5</x:v>
      </x:c>
      <x:c r="AF95" s="6" t="str">
        <x:v>For RQ4, we generate traceability matrices from formalized requirements and Luster models using LusGen, manually annotate results, and evaluate them with T-acc.</x:v>
      </x:c>
      <x:c r="AG95" s="6" t="str">
        <x:v>该评估在三个子数据集上运行，由领域专家与学生标注真值，计算F1分数以评价追溯矩阵准确性。</x:v>
      </x:c>
      <x:c r="AH95" s="2" t="str">
        <x:v>Accepted</x:v>
      </x:c>
      <x:c r="AI95" s="6" t="str">
        <x:v>Table 9 reports results for D2 (appears twice, likely D2 and D4), D3.</x:v>
      </x:c>
    </x:row>
    <x:row r="96" ht="76" customHeight="1">
      <x:c r="A96" s="2" t="str">
        <x:v>S39-EVAL-R01</x:v>
      </x:c>
      <x:c r="B96" s="2" t="str">
        <x:v>S39</x:v>
      </x:c>
      <x:c r="C96" s="2" t="str">
        <x:v>merged_1245</x:v>
      </x:c>
      <x:c r="D96" s="2" t="str">
        <x:v>Reviewer_A</x:v>
      </x:c>
      <x:c r="E96" s="2" t="str">
        <x:v>Reviewer_A</x:v>
      </x:c>
      <x:c r="F96" s="2" t="str">
        <x:v>S39-EV01</x:v>
      </x:c>
      <x:c r="G96" s="2" t="str">
        <x:v>S39-T01</x:v>
      </x:c>
      <x:c r="H96" s="2" t="str">
        <x:v>Controlled experiment</x:v>
      </x:c>
      <x:c r="I96" s="2" t="str">
        <x:v>Six open-source games (dice game, arkanoid, snake, scopa, pong, Game)</x:v>
      </x:c>
      <x:c r="J96" s="2" t="str">
        <x:v>Curated dataset from prior study [5]</x:v>
      </x:c>
      <x:c r="K96" s="2" t="str">
        <x:v>Unclear</x:v>
      </x:c>
      <x:c r="L96" s="2" t="str">
        <x:v>Open-source project</x:v>
      </x:c>
      <x:c r="M96" s="2" t="str">
        <x:v>NR</x:v>
      </x:c>
      <x:c r="N96" s="2" t="str">
        <x:v>NR</x:v>
      </x:c>
      <x:c r="O96" s="2" t="str">
        <x:v>NR</x:v>
      </x:c>
      <x:c r="P96" s="2" t="str">
        <x:v>NR</x:v>
      </x:c>
      <x:c r="Q96" s="2" t="str">
        <x:v>NA</x:v>
      </x:c>
      <x:c r="R96" s="2" t="str">
        <x:v>NA</x:v>
      </x:c>
      <x:c r="S96" s="2" t="str">
        <x:v>predefined ground truth that maps each requirement to specific lines of code</x:v>
      </x:c>
      <x:c r="T96" s="2" t="str">
        <x:v>NR</x:v>
      </x:c>
      <x:c r="U96" s="2" t="str">
        <x:v>Moderate</x:v>
      </x:c>
      <x:c r="V96" s="2" t="str">
        <x:v>Yes (varying smell percentage)</x:v>
      </x:c>
      <x:c r="W96" s="2" t="str">
        <x:v>binary tracing accuracy; LOC tracing F1-score</x:v>
      </x:c>
      <x:c r="X96" s="2" t="str">
        <x:v>trace link</x:v>
      </x:c>
      <x:c r="Y96" s="2" t="str">
        <x:v>No</x:v>
      </x:c>
      <x:c r="Z96" s="2" t="str">
        <x:v>NR</x:v>
      </x:c>
      <x:c r="AA96" s="2" t="str">
        <x:v>Unclear (only mentions statistical significance without details)</x:v>
      </x:c>
      <x:c r="AB96" s="2" t="str">
        <x:v>No</x:v>
      </x:c>
      <x:c r="AC96" s="2" t="str">
        <x:v>No</x:v>
      </x:c>
      <x:c r="AD96" s="2" t="str">
        <x:v>No</x:v>
      </x:c>
      <x:c r="AE96" s="6" t="str">
        <x:v>p. 3; V. PREVIOUS RESULTS and Fig. 1</x:v>
      </x:c>
      <x:c r="AF96" s="6" t="str">
        <x:v>Results from a first study [5] highlighting the decreasing performance of an LLM on a tracing task with an increasing number of smelly requirements.</x:v>
      </x:c>
      <x:c r="AG96" s="6" t="str">
        <x:v>受控实验，使用六个开源游戏数据集，系统地改变需求中气味比例来评估GPT-4o的性能。</x:v>
      </x:c>
      <x:c r="AH96" s="2" t="str">
        <x:v>Accepted</x:v>
      </x:c>
      <x:c r="AI96" s="6" t="str">
        <x:v>与先前审查单元EV1对齐。</x:v>
      </x:c>
    </x:row>
    <x:row r="97" ht="76" customHeight="1">
      <x:c r="A97" s="2" t="str">
        <x:v>S40-EVAL-R01</x:v>
      </x:c>
      <x:c r="B97" s="2" t="str">
        <x:v>S40</x:v>
      </x:c>
      <x:c r="C97" s="2" t="str">
        <x:v>merged_1263</x:v>
      </x:c>
      <x:c r="D97" s="2" t="str">
        <x:v>Reviewer_A</x:v>
      </x:c>
      <x:c r="E97" s="2" t="str">
        <x:v>Reviewer_A</x:v>
      </x:c>
      <x:c r="F97" s="2" t="str">
        <x:v>S40-EV01</x:v>
      </x:c>
      <x:c r="G97" s="2" t="str">
        <x:v>S40-T01</x:v>
      </x:c>
      <x:c r="H97" s="2" t="str">
        <x:v>Benchmark comparison</x:v>
      </x:c>
      <x:c r="I97" s="2" t="str">
        <x:v>SMOS, eTour, iTrust, Dronology (RE), Dronology (DD)</x:v>
      </x:c>
      <x:c r="J97" s="2" t="str">
        <x:v>CoEST and Dronology benchmarks, distributed in LISSA replication package</x:v>
      </x:c>
      <x:c r="K97" s="2" t="str">
        <x:v>Public</x:v>
      </x:c>
      <x:c r="L97" s="2" t="str">
        <x:v>Academic benchmark</x:v>
      </x:c>
      <x:c r="M97" s="2" t="str">
        <x:v>NA</x:v>
      </x:c>
      <x:c r="N97" s="2" t="str">
        <x:v>NR</x:v>
      </x:c>
      <x:c r="O97" s="2" t="str">
        <x:v>NR</x:v>
      </x:c>
      <x:c r="P97" s="2" t="str">
        <x:v>NR</x:v>
      </x:c>
      <x:c r="Q97" s="2" t="str">
        <x:v>NA</x:v>
      </x:c>
      <x:c r="R97" s="2" t="str">
        <x:v>NA</x:v>
      </x:c>
      <x:c r="S97" s="2" t="str">
        <x:v>LISSA replication materials; original CoEST and Dronology annotations</x:v>
      </x:c>
      <x:c r="T97" s="2" t="str">
        <x:v>Existing benchmark labels used as ground truth without further validation</x:v>
      </x:c>
      <x:c r="U97" s="2" t="str">
        <x:v>Strong</x:v>
      </x:c>
      <x:c r="V97" s="2" t="str">
        <x:v>Yes</x:v>
      </x:c>
      <x:c r="W97" s="2" t="str">
        <x:v>Precision;Recall;F1-score;F2-score</x:v>
      </x:c>
      <x:c r="X97" s="2" t="str">
        <x:v>trace link</x:v>
      </x:c>
      <x:c r="Y97" s="2" t="str">
        <x:v>No</x:v>
      </x:c>
      <x:c r="Z97" s="2" t="str">
        <x:v>NR</x:v>
      </x:c>
      <x:c r="AA97" s="2" t="str">
        <x:v>two-sided Wilcoxon signed-rank test for F1/F2 at alpha=0.05</x:v>
      </x:c>
      <x:c r="AB97" s="2" t="str">
        <x:v>NR</x:v>
      </x:c>
      <x:c r="AC97" s="2" t="str">
        <x:v>Yes</x:v>
      </x:c>
      <x:c r="AD97" s="2" t="str">
        <x:v>Yes</x:v>
      </x:c>
      <x:c r="AE97" s="6" t="str">
        <x:v>p. 12; Section 3.4</x:v>
      </x:c>
      <x:c r="AF97" s="6" t="str">
        <x:v>We evaluate DSDR on five standard TLR tasks and compare it with baselines used in recent traceability studies.</x:v>
      </x:c>
      <x:c r="AG97" s="6" t="str">
        <x:v>评估在五个公共基准数据集上进行，并与多个基线比较，采用零样本设定和标准指标。</x:v>
      </x:c>
      <x:c r="AH97" s="2" t="str">
        <x:v>Accepted</x:v>
      </x:c>
      <x:c r="AI97" s="6" t="str">
        <x:v>评估设计遵循LiSSA的设置，包括Top-20候选预算、需求级宏平均指标等。</x:v>
      </x:c>
    </x:row>
    <x:row r="98" ht="76" customHeight="1">
      <x:c r="A98" s="2" t="str">
        <x:v>S41-EVAL-R01</x:v>
      </x:c>
      <x:c r="B98" s="2" t="str">
        <x:v>S41</x:v>
      </x:c>
      <x:c r="C98" s="2" t="str">
        <x:v>merged_1264</x:v>
      </x:c>
      <x:c r="D98" s="2" t="str">
        <x:v>Reviewer_A</x:v>
      </x:c>
      <x:c r="E98" s="2" t="str">
        <x:v>Reviewer_A</x:v>
      </x:c>
      <x:c r="F98" s="2" t="str">
        <x:v>S41-EV01</x:v>
      </x:c>
      <x:c r="G98" s="2" t="str">
        <x:v>S41-T01</x:v>
      </x:c>
      <x:c r="H98" s="2" t="str">
        <x:v>Benchmark comparison</x:v>
      </x:c>
      <x:c r="I98" s="2" t="str">
        <x:v>Six public Apache projects (Ambari, Calcite, Groovy, Ignite, Isis, Netbeans)</x:v>
      </x:c>
      <x:c r="J98" s="2" t="str">
        <x:v>Zhang et al. [58]</x:v>
      </x:c>
      <x:c r="K98" s="2" t="str">
        <x:v>Public</x:v>
      </x:c>
      <x:c r="L98" s="2" t="str">
        <x:v>Open-source project</x:v>
      </x:c>
      <x:c r="M98" s="2" t="str">
        <x:v>6:2:2 ratio</x:v>
      </x:c>
      <x:c r="N98" s="2" t="str">
        <x:v>56,484</x:v>
      </x:c>
      <x:c r="O98" s="2" t="str">
        <x:v>143,834</x:v>
      </x:c>
      <x:c r="P98" s="2" t="str">
        <x:v>67,358</x:v>
      </x:c>
      <x:c r="Q98" s="2" t="str">
        <x:v>NA</x:v>
      </x:c>
      <x:c r="R98" s="2" t="str">
        <x:v>NA</x:v>
      </x:c>
      <x:c r="S98" s="2" t="str">
        <x:v>Explicit issue IDs in commit messages</x:v>
      </x:c>
      <x:c r="T98" s="2" t="str">
        <x:v>Derived from explicit references in commit messages, widely accepted practice</x:v>
      </x:c>
      <x:c r="U98" s="2" t="str">
        <x:v>Multiple strengths</x:v>
      </x:c>
      <x:c r="V98" s="2" t="str">
        <x:v>No</x:v>
      </x:c>
      <x:c r="W98" s="2" t="str">
        <x:v>Hit@1; Hit@10; Precision@10; MRR; NDCG@1; NDCG@10; Recall@1; Recall@10; MAP; MAP@3; MAP@10; LAG</x:v>
      </x:c>
      <x:c r="X98" s="2" t="str">
        <x:v>project</x:v>
      </x:c>
      <x:c r="Y98" s="2" t="str">
        <x:v>No</x:v>
      </x:c>
      <x:c r="Z98" s="2" t="str">
        <x:v>No</x:v>
      </x:c>
      <x:c r="AA98" s="2" t="str">
        <x:v>Friedman test; Conover's post-hoc with Benjamini-Hochberg adjustment; Wilcoxon signed-rank; Vargha-Delaney A12 effect size</x:v>
      </x:c>
      <x:c r="AB98" s="2" t="str">
        <x:v>No</x:v>
      </x:c>
      <x:c r="AC98" s="2" t="str">
        <x:v>No</x:v>
      </x:c>
      <x:c r="AD98" s="2" t="str">
        <x:v>Discussed in Section 6</x:v>
      </x:c>
      <x:c r="AE98" s="6" t="str">
        <x:v>p. 11; section 5.1</x:v>
      </x:c>
      <x:c r="AF98" s="6" t="str">
        <x:v>Table 5 presents the performance of SELink and three state-of-the-art baselines across six projects on six evaluation metrics, including Hit@1, Hit@10, Precision@10, MRR, NDCG@1, and NDCG@10.</x:v>
      </x:c>
      <x:c r="AG98" s="6" t="str">
        <x:v>评估设计为基准比较，使用六个Apache项目的公开数据集</x:v>
      </x:c>
      <x:c r="AH98" s="2" t="str">
        <x:v>Accepted</x:v>
      </x:c>
      <x:c r="AI98" s="6" t="str">
        <x:v>NR</x:v>
      </x:c>
    </x:row>
    <x:row r="99" ht="76" customHeight="1">
      <x:c r="A99" s="2" t="str">
        <x:v>S41-EVAL-R02</x:v>
      </x:c>
      <x:c r="B99" s="2" t="str">
        <x:v>S41</x:v>
      </x:c>
      <x:c r="C99" s="2" t="str">
        <x:v>merged_1264</x:v>
      </x:c>
      <x:c r="D99" s="2" t="str">
        <x:v>Reviewer_A</x:v>
      </x:c>
      <x:c r="E99" s="2" t="str">
        <x:v>Reviewer_A</x:v>
      </x:c>
      <x:c r="F99" s="2" t="str">
        <x:v>S41-EV02</x:v>
      </x:c>
      <x:c r="G99" s="2" t="str">
        <x:v>S41-T01</x:v>
      </x:c>
      <x:c r="H99" s="2" t="str">
        <x:v>Benchmark comparison</x:v>
      </x:c>
      <x:c r="I99" s="2" t="str">
        <x:v>Six public Apache projects (Ambari, Calcite, Groovy, Ignite, Isis, Netbeans)</x:v>
      </x:c>
      <x:c r="J99" s="2" t="str">
        <x:v>Zhang et al. [58]</x:v>
      </x:c>
      <x:c r="K99" s="2" t="str">
        <x:v>Public</x:v>
      </x:c>
      <x:c r="L99" s="2" t="str">
        <x:v>Open-source project</x:v>
      </x:c>
      <x:c r="M99" s="2" t="str">
        <x:v>6:2:2 ratio</x:v>
      </x:c>
      <x:c r="N99" s="2" t="str">
        <x:v>56,484</x:v>
      </x:c>
      <x:c r="O99" s="2" t="str">
        <x:v>143,834</x:v>
      </x:c>
      <x:c r="P99" s="2" t="str">
        <x:v>67,358</x:v>
      </x:c>
      <x:c r="Q99" s="2" t="str">
        <x:v>NA</x:v>
      </x:c>
      <x:c r="R99" s="2" t="str">
        <x:v>NA</x:v>
      </x:c>
      <x:c r="S99" s="2" t="str">
        <x:v>Explicit issue IDs in commit messages</x:v>
      </x:c>
      <x:c r="T99" s="2" t="str">
        <x:v>Derived from explicit references</x:v>
      </x:c>
      <x:c r="U99" s="2" t="str">
        <x:v>Strong</x:v>
      </x:c>
      <x:c r="V99" s="2" t="str">
        <x:v>Yes</x:v>
      </x:c>
      <x:c r="W99" s="2" t="str">
        <x:v>Hit@1; Hit@10; Precision@10; Recall@1; Recall@10; MRR; NDCG@1; NDCG@10; MAP@3; MAP@10; LAG</x:v>
      </x:c>
      <x:c r="X99" s="2" t="str">
        <x:v>project</x:v>
      </x:c>
      <x:c r="Y99" s="2" t="str">
        <x:v>No</x:v>
      </x:c>
      <x:c r="Z99" s="2" t="str">
        <x:v>No</x:v>
      </x:c>
      <x:c r="AA99" s="2" t="str">
        <x:v>Friedman test; Conover's post-hoc with Benjamini-Hochberg adjustment</x:v>
      </x:c>
      <x:c r="AB99" s="2" t="str">
        <x:v>No</x:v>
      </x:c>
      <x:c r="AC99" s="2" t="str">
        <x:v>No</x:v>
      </x:c>
      <x:c r="AD99" s="2" t="str">
        <x:v>Discussed in Section 6</x:v>
      </x:c>
      <x:c r="AE99" s="6" t="str">
        <x:v>p. 12; section 5.2</x:v>
      </x:c>
      <x:c r="AF99" s="6" t="str">
        <x:v>To investigate the individual contributions of each module in the SELink framework, we conducted an ablation study by systematically enabling or disabling the summarization module (M1) and re-ranking module (M3), while keeping the prediction module (M2) fixed.</x:v>
      </x:c>
      <x:c r="AG99" s="6" t="str">
        <x:v>消融研究评估各模块贡献</x:v>
      </x:c>
      <x:c r="AH99" s="2" t="str">
        <x:v>Accepted</x:v>
      </x:c>
      <x:c r="AI99" s="6" t="str">
        <x:v>NR</x:v>
      </x:c>
    </x:row>
    <x:row r="100" ht="76" customHeight="1">
      <x:c r="A100" s="2" t="str">
        <x:v>S41-EVAL-R03</x:v>
      </x:c>
      <x:c r="B100" s="2" t="str">
        <x:v>S41</x:v>
      </x:c>
      <x:c r="C100" s="2" t="str">
        <x:v>merged_1264</x:v>
      </x:c>
      <x:c r="D100" s="2" t="str">
        <x:v>Reviewer_A</x:v>
      </x:c>
      <x:c r="E100" s="2" t="str">
        <x:v>Reviewer_A</x:v>
      </x:c>
      <x:c r="F100" s="2" t="str">
        <x:v>S41-EV03</x:v>
      </x:c>
      <x:c r="G100" s="2" t="str">
        <x:v>S41-T01</x:v>
      </x:c>
      <x:c r="H100" s="2" t="str">
        <x:v>Benchmark comparison</x:v>
      </x:c>
      <x:c r="I100" s="2" t="str">
        <x:v>Six public Apache projects (Ambari, Calcite, Groovy, Ignite, Isis, Netbeans)</x:v>
      </x:c>
      <x:c r="J100" s="2" t="str">
        <x:v>Zhang et al. [58]</x:v>
      </x:c>
      <x:c r="K100" s="2" t="str">
        <x:v>Public</x:v>
      </x:c>
      <x:c r="L100" s="2" t="str">
        <x:v>Open-source project</x:v>
      </x:c>
      <x:c r="M100" s="2" t="str">
        <x:v>6:2:2 ratio</x:v>
      </x:c>
      <x:c r="N100" s="2" t="str">
        <x:v>56,484</x:v>
      </x:c>
      <x:c r="O100" s="2" t="str">
        <x:v>143,834</x:v>
      </x:c>
      <x:c r="P100" s="2" t="str">
        <x:v>67,358</x:v>
      </x:c>
      <x:c r="Q100" s="2" t="str">
        <x:v>NA</x:v>
      </x:c>
      <x:c r="R100" s="2" t="str">
        <x:v>NA</x:v>
      </x:c>
      <x:c r="S100" s="2" t="str">
        <x:v>Explicit issue IDs in commit messages</x:v>
      </x:c>
      <x:c r="T100" s="2" t="str">
        <x:v>Derived from explicit references</x:v>
      </x:c>
      <x:c r="U100" s="2" t="str">
        <x:v>Multiple strengths</x:v>
      </x:c>
      <x:c r="V100" s="2" t="str">
        <x:v>No</x:v>
      </x:c>
      <x:c r="W100" s="2" t="str">
        <x:v>Hit@1; Hit@10; Precision@10; Recall@1; Recall@10; MRR; NDCG@1; NDCG@10; MAP@3; MAP@10; LAG</x:v>
      </x:c>
      <x:c r="X100" s="2" t="str">
        <x:v>project</x:v>
      </x:c>
      <x:c r="Y100" s="2" t="str">
        <x:v>No</x:v>
      </x:c>
      <x:c r="Z100" s="2" t="str">
        <x:v>No</x:v>
      </x:c>
      <x:c r="AA100" s="2" t="str">
        <x:v>No</x:v>
      </x:c>
      <x:c r="AB100" s="2" t="str">
        <x:v>Quartiles reported in Table 8</x:v>
      </x:c>
      <x:c r="AC100" s="2" t="str">
        <x:v>No</x:v>
      </x:c>
      <x:c r="AD100" s="2" t="str">
        <x:v>Discussed in Section 6</x:v>
      </x:c>
      <x:c r="AE100" s="6" t="str">
        <x:v>p. 11; section 5.3</x:v>
      </x:c>
      <x:c r="AF100" s="6" t="str">
        <x:v>RQ3. To investigate the impact of different large language models on the performance of the SELink framework, we evaluate three representative LLMs: DeepSeekv3, ChatGPT-4o-mini, and Claude-3.7-Sonnet. Each model is independently integrated into both the semantic summarization and semantic re-ranking modules of SELink, while</x:v>
      </x:c>
      <x:c r="AG100" s="6" t="str">
        <x:v>不同LLM对SELink影响的评估</x:v>
      </x:c>
      <x:c r="AH100" s="2" t="str">
        <x:v>Accepted</x:v>
      </x:c>
      <x:c r="AI100" s="6" t="str">
        <x:v>NR</x:v>
      </x:c>
    </x:row>
    <x:row r="101" ht="76" customHeight="1">
      <x:c r="A101" s="2" t="str">
        <x:v>S42-EVAL-R01</x:v>
      </x:c>
      <x:c r="B101" s="2" t="str">
        <x:v>S42</x:v>
      </x:c>
      <x:c r="C101" s="2" t="str">
        <x:v>merged_1266</x:v>
      </x:c>
      <x:c r="D101" s="2" t="str">
        <x:v>Reviewer_A</x:v>
      </x:c>
      <x:c r="E101" s="2" t="str">
        <x:v>Reviewer_A</x:v>
      </x:c>
      <x:c r="F101" s="2" t="str">
        <x:v>S42-EV01</x:v>
      </x:c>
      <x:c r="G101" s="2" t="str">
        <x:v>S42-T01</x:v>
      </x:c>
      <x:c r="H101" s="2" t="str">
        <x:v>Benchmark comparison</x:v>
      </x:c>
      <x:c r="I101" s="2" t="str">
        <x:v>Six benchmark datasets (CCHIT-2-WorldVista, CM1-NASA, Dronology, GANNT, MODIS, WARC)</x:v>
      </x:c>
      <x:c r="J101" s="2" t="str">
        <x:v>CoEST repository and Dronology dataset</x:v>
      </x:c>
      <x:c r="K101" s="2" t="str">
        <x:v>Public</x:v>
      </x:c>
      <x:c r="L101" s="2" t="str">
        <x:v>Academic benchmark</x:v>
      </x:c>
      <x:c r="M101" s="2" t="str">
        <x:v>NA</x:v>
      </x:c>
      <x:c r="N101" s="2" t="str">
        <x:v>NR</x:v>
      </x:c>
      <x:c r="O101" s="2" t="str">
        <x:v>NR</x:v>
      </x:c>
      <x:c r="P101" s="2" t="str">
        <x:v>NR</x:v>
      </x:c>
      <x:c r="Q101" s="2" t="str">
        <x:v>NA</x:v>
      </x:c>
      <x:c r="R101" s="2" t="str">
        <x:v>NA</x:v>
      </x:c>
      <x:c r="S101" s="2" t="str">
        <x:v>Manually created gold standards from datasets</x:v>
      </x:c>
      <x:c r="T101" s="2" t="str">
        <x:v>NR</x:v>
      </x:c>
      <x:c r="U101" s="2" t="str">
        <x:v>Multiple strengths</x:v>
      </x:c>
      <x:c r="V101" s="2" t="str">
        <x:v>No</x:v>
      </x:c>
      <x:c r="W101" s="2" t="str">
        <x:v>precision; recall; F1-score; F2-score</x:v>
      </x:c>
      <x:c r="X101" s="2" t="str">
        <x:v>artifact pair</x:v>
      </x:c>
      <x:c r="Y101" s="2" t="str">
        <x:v>No</x:v>
      </x:c>
      <x:c r="Z101" s="2" t="str">
        <x:v>No</x:v>
      </x:c>
      <x:c r="AA101" s="2" t="str">
        <x:v>Friedman test with Nemenyi post-hoc; Wilcoxon signed-rank test</x:v>
      </x:c>
      <x:c r="AB101" s="2" t="str">
        <x:v>No</x:v>
      </x:c>
      <x:c r="AC101" s="2" t="str">
        <x:v>No</x:v>
      </x:c>
      <x:c r="AD101" s="2" t="str">
        <x:v>Discussed threats to validity</x:v>
      </x:c>
      <x:c r="AE101" s="6" t="str">
        <x:v>p. 1; Abstract</x:v>
      </x:c>
      <x:c r="AF101" s="6" t="str">
        <x:v>prompting can be beneficial, open-source models perform comparably to proprietary ones, and that the approach can outperform state-of-the-</x:v>
      </x:c>
      <x:c r="AG101" s="6" t="str">
        <x:v>系统比较实验，包含六个数据集、四种LLM、两种提示、多个基线。</x:v>
      </x:c>
      <x:c r="AH101" s="2" t="str">
        <x:v>Accepted</x:v>
      </x:c>
      <x:c r="AI101" s="6" t="str">
        <x:v>NA</x:v>
      </x:c>
    </x:row>
    <x:row r="102" ht="76" customHeight="1">
      <x:c r="A102" s="2" t="str">
        <x:v>S43-EVAL-R01</x:v>
      </x:c>
      <x:c r="B102" s="2" t="str">
        <x:v>S43</x:v>
      </x:c>
      <x:c r="C102" s="2" t="str">
        <x:v>merged_1270</x:v>
      </x:c>
      <x:c r="D102" s="2" t="str">
        <x:v>Reviewer_A</x:v>
      </x:c>
      <x:c r="E102" s="2" t="str">
        <x:v>Reviewer_A</x:v>
      </x:c>
      <x:c r="F102" s="2" t="str">
        <x:v>S43-EV01</x:v>
      </x:c>
      <x:c r="G102" s="2" t="str">
        <x:v>S43-T01</x:v>
      </x:c>
      <x:c r="H102" s="2" t="str">
        <x:v>Benchmark comparison</x:v>
      </x:c>
      <x:c r="I102" s="2" t="str">
        <x:v>10 open-source projects (iTrust, Derby, Drools, Smos, Dronology, Maven, Pig, Groovy, Seam, Infinispan)</x:v>
      </x:c>
      <x:c r="J102" s="2" t="str">
        <x:v>CoEST and project repositories</x:v>
      </x:c>
      <x:c r="K102" s="2" t="str">
        <x:v>Public</x:v>
      </x:c>
      <x:c r="L102" s="2" t="str">
        <x:v>Academic benchmark</x:v>
      </x:c>
      <x:c r="M102" s="2" t="str">
        <x:v>NR</x:v>
      </x:c>
      <x:c r="N102" s="2" t="str">
        <x:v>NR</x:v>
      </x:c>
      <x:c r="O102" s="2" t="str">
        <x:v>NR</x:v>
      </x:c>
      <x:c r="P102" s="2" t="str">
        <x:v>NR</x:v>
      </x:c>
      <x:c r="Q102" s="2" t="str">
        <x:v>NA</x:v>
      </x:c>
      <x:c r="R102" s="2" t="str">
        <x:v>NA</x:v>
      </x:c>
      <x:c r="S102" s="2" t="str">
        <x:v>专家标注链接</x:v>
      </x:c>
      <x:c r="T102" s="2" t="str">
        <x:v>NR</x:v>
      </x:c>
      <x:c r="U102" s="2" t="str">
        <x:v>Weak</x:v>
      </x:c>
      <x:c r="V102" s="2" t="str">
        <x:v>No</x:v>
      </x:c>
      <x:c r="W102" s="2" t="str">
        <x:v>Precision; Recall; F1-score</x:v>
      </x:c>
      <x:c r="X102" s="2" t="str">
        <x:v>artifact pair</x:v>
      </x:c>
      <x:c r="Y102" s="2" t="str">
        <x:v>No</x:v>
      </x:c>
      <x:c r="Z102" s="2" t="str">
        <x:v>NR</x:v>
      </x:c>
      <x:c r="AA102" s="2" t="str">
        <x:v>No</x:v>
      </x:c>
      <x:c r="AB102" s="2" t="str">
        <x:v>No</x:v>
      </x:c>
      <x:c r="AC102" s="2" t="str">
        <x:v>No</x:v>
      </x:c>
      <x:c r="AD102" s="2" t="str">
        <x:v>No</x:v>
      </x:c>
      <x:c r="AE102" s="6" t="str">
        <x:v>p. 6; Section IV.A, RQ1 description</x:v>
      </x:c>
      <x:c r="AF102" s="6" t="str">
        <x:v>This RQ uses the prompt described in the Methodology section as a unified input and evaluates performance using precision, recall, and F1-score as metrics.</x:v>
      </x:c>
      <x:c r="AG102" s="6" t="str">
        <x:v>评估四种LLM直接进行RC-TLR的性能。</x:v>
      </x:c>
      <x:c r="AH102" s="2" t="str">
        <x:v>Accepted</x:v>
      </x:c>
      <x:c r="AI102" s="6" t="str">
        <x:v>NA</x:v>
      </x:c>
    </x:row>
    <x:row r="103" ht="76" customHeight="1">
      <x:c r="A103" s="2" t="str">
        <x:v>S43-EVAL-R02</x:v>
      </x:c>
      <x:c r="B103" s="2" t="str">
        <x:v>S43</x:v>
      </x:c>
      <x:c r="C103" s="2" t="str">
        <x:v>merged_1270</x:v>
      </x:c>
      <x:c r="D103" s="2" t="str">
        <x:v>Reviewer_A</x:v>
      </x:c>
      <x:c r="E103" s="2" t="str">
        <x:v>Reviewer_A</x:v>
      </x:c>
      <x:c r="F103" s="2" t="str">
        <x:v>S43-EV02</x:v>
      </x:c>
      <x:c r="G103" s="2" t="str">
        <x:v>S43-T01</x:v>
      </x:c>
      <x:c r="H103" s="2" t="str">
        <x:v>Controlled experiment</x:v>
      </x:c>
      <x:c r="I103" s="2" t="str">
        <x:v>10 open-source projects (same as EV1)</x:v>
      </x:c>
      <x:c r="J103" s="2" t="str">
        <x:v>Same as EV1</x:v>
      </x:c>
      <x:c r="K103" s="2" t="str">
        <x:v>Public</x:v>
      </x:c>
      <x:c r="L103" s="2" t="str">
        <x:v>Academic benchmark</x:v>
      </x:c>
      <x:c r="M103" s="2" t="str">
        <x:v>Disjoint Train Ratio 0.3, Num test 0.1 (for HGT-based methods); LLM-only no training split reported</x:v>
      </x:c>
      <x:c r="N103" s="2" t="str">
        <x:v>NR</x:v>
      </x:c>
      <x:c r="O103" s="2" t="str">
        <x:v>NR</x:v>
      </x:c>
      <x:c r="P103" s="2" t="str">
        <x:v>NR</x:v>
      </x:c>
      <x:c r="Q103" s="2" t="str">
        <x:v>NA</x:v>
      </x:c>
      <x:c r="R103" s="2" t="str">
        <x:v>NA</x:v>
      </x:c>
      <x:c r="S103" s="2" t="str">
        <x:v>Same as EV1</x:v>
      </x:c>
      <x:c r="T103" s="2" t="str">
        <x:v>NR</x:v>
      </x:c>
      <x:c r="U103" s="2" t="str">
        <x:v>Moderate</x:v>
      </x:c>
      <x:c r="V103" s="2" t="str">
        <x:v>Yes</x:v>
      </x:c>
      <x:c r="W103" s="2" t="str">
        <x:v>Precision; Recall; F1-score</x:v>
      </x:c>
      <x:c r="X103" s="2" t="str">
        <x:v>artifact pair</x:v>
      </x:c>
      <x:c r="Y103" s="2" t="str">
        <x:v>No</x:v>
      </x:c>
      <x:c r="Z103" s="2" t="str">
        <x:v>NR</x:v>
      </x:c>
      <x:c r="AA103" s="2" t="str">
        <x:v>No</x:v>
      </x:c>
      <x:c r="AB103" s="2" t="str">
        <x:v>No</x:v>
      </x:c>
      <x:c r="AC103" s="2" t="str">
        <x:v>No</x:v>
      </x:c>
      <x:c r="AD103" s="2" t="str">
        <x:v>No</x:v>
      </x:c>
      <x:c r="AE103" s="6" t="str">
        <x:v>p. 9; Section V.B</x:v>
      </x:c>
      <x:c r="AF103" s="6" t="str">
        <x:v>This study experimentally validates the effectiveness of the Heterogeneous Graph Transformer (HGT) in enhancing the attribution reasoning capabilities of LLMs.</x:v>
      </x:c>
      <x:c r="AG103" s="6" t="str">
        <x:v>消融研究：比较仅LLM、仅HGT和两者结合的配置。</x:v>
      </x:c>
      <x:c r="AH103" s="2" t="str">
        <x:v>Accepted</x:v>
      </x:c>
      <x:c r="AI103" s="6" t="str">
        <x:v>NA</x:v>
      </x:c>
    </x:row>
    <x:row r="104" ht="76" customHeight="1">
      <x:c r="A104" s="2" t="str">
        <x:v>S43-EVAL-R03</x:v>
      </x:c>
      <x:c r="B104" s="2" t="str">
        <x:v>S43</x:v>
      </x:c>
      <x:c r="C104" s="2" t="str">
        <x:v>merged_1270</x:v>
      </x:c>
      <x:c r="D104" s="2" t="str">
        <x:v>Reviewer_A</x:v>
      </x:c>
      <x:c r="E104" s="2" t="str">
        <x:v>Reviewer_A</x:v>
      </x:c>
      <x:c r="F104" s="2" t="str">
        <x:v>S43-EV03</x:v>
      </x:c>
      <x:c r="G104" s="2" t="str">
        <x:v>S43-T01</x:v>
      </x:c>
      <x:c r="H104" s="2" t="str">
        <x:v>Benchmark comparison</x:v>
      </x:c>
      <x:c r="I104" s="2" t="str">
        <x:v>10 open-source projects (same as EV1)</x:v>
      </x:c>
      <x:c r="J104" s="2" t="str">
        <x:v>Same as EV1</x:v>
      </x:c>
      <x:c r="K104" s="2" t="str">
        <x:v>Public</x:v>
      </x:c>
      <x:c r="L104" s="2" t="str">
        <x:v>Academic benchmark</x:v>
      </x:c>
      <x:c r="M104" s="2" t="str">
        <x:v>Disjoint Train Ratio 0.3, Num test 0.1 (inferred same across all methods for fairness)</x:v>
      </x:c>
      <x:c r="N104" s="2" t="str">
        <x:v>NR</x:v>
      </x:c>
      <x:c r="O104" s="2" t="str">
        <x:v>NR</x:v>
      </x:c>
      <x:c r="P104" s="2" t="str">
        <x:v>NR</x:v>
      </x:c>
      <x:c r="Q104" s="2" t="str">
        <x:v>NA</x:v>
      </x:c>
      <x:c r="R104" s="2" t="str">
        <x:v>NA</x:v>
      </x:c>
      <x:c r="S104" s="2" t="str">
        <x:v>Same as EV1</x:v>
      </x:c>
      <x:c r="T104" s="2" t="str">
        <x:v>NR</x:v>
      </x:c>
      <x:c r="U104" s="2" t="str">
        <x:v>Strong</x:v>
      </x:c>
      <x:c r="V104" s="2" t="str">
        <x:v>No</x:v>
      </x:c>
      <x:c r="W104" s="2" t="str">
        <x:v>Precision; Recall; F1-score; F1 diff percentage</x:v>
      </x:c>
      <x:c r="X104" s="2" t="str">
        <x:v>artifact pair</x:v>
      </x:c>
      <x:c r="Y104" s="2" t="str">
        <x:v>No</x:v>
      </x:c>
      <x:c r="Z104" s="2" t="str">
        <x:v>NR</x:v>
      </x:c>
      <x:c r="AA104" s="2" t="str">
        <x:v>Mann-Whitney U test (α=0.05)</x:v>
      </x:c>
      <x:c r="AB104" s="2" t="str">
        <x:v>Yes</x:v>
      </x:c>
      <x:c r="AC104" s="2" t="str">
        <x:v>No</x:v>
      </x:c>
      <x:c r="AD104" s="2" t="str">
        <x:v>50 independent repeated trials</x:v>
      </x:c>
      <x:c r="AE104" s="6" t="str">
        <x:v>p. 10; Section V.C</x:v>
      </x:c>
      <x:c r="AF104" s="6" t="str">
        <x:v>To validate the statistical significance of the results, we conducted a Mann-Whitney U test (α=0.05) on the F1-scores.</x:v>
      </x:c>
      <x:c r="AG104" s="6" t="str">
        <x:v>全面基准比较，含统计检验。</x:v>
      </x:c>
      <x:c r="AH104" s="2" t="str">
        <x:v>Accepted</x:v>
      </x:c>
      <x:c r="AI104" s="6" t="str">
        <x:v>NA</x:v>
      </x:c>
    </x:row>
    <x:row r="105" ht="76" customHeight="1">
      <x:c r="A105" s="2" t="str">
        <x:v>S44-EVAL-R01</x:v>
      </x:c>
      <x:c r="B105" s="2" t="str">
        <x:v>S44</x:v>
      </x:c>
      <x:c r="C105" s="2" t="str">
        <x:v>merged_1274</x:v>
      </x:c>
      <x:c r="D105" s="2" t="str">
        <x:v>Reviewer_A</x:v>
      </x:c>
      <x:c r="E105" s="2" t="str">
        <x:v>Reviewer_A</x:v>
      </x:c>
      <x:c r="F105" s="2" t="str">
        <x:v>S44-EV01</x:v>
      </x:c>
      <x:c r="G105" s="2" t="str">
        <x:v>S44-T01</x:v>
      </x:c>
      <x:c r="H105" s="2" t="str">
        <x:v>Benchmark comparison</x:v>
      </x:c>
      <x:c r="I105" s="2" t="str">
        <x:v>Four CoSET datasets (iTrust, eTour, eANCI, SMOS)</x:v>
      </x:c>
      <x:c r="J105" s="2" t="str">
        <x:v>CoSET platform (http://sarec.nd.edu/coest/datasets.html)</x:v>
      </x:c>
      <x:c r="K105" s="2" t="str">
        <x:v>Public</x:v>
      </x:c>
      <x:c r="L105" s="2" t="str">
        <x:v>Academic benchmark</x:v>
      </x:c>
      <x:c r="M105" s="2" t="str">
        <x:v>NR</x:v>
      </x:c>
      <x:c r="N105" s="2" t="str">
        <x:v>iTrust: 226; eTour: 116; eANCI: 55; SMOS: 100</x:v>
      </x:c>
      <x:c r="O105" s="2" t="str">
        <x:v>iTrust: 131; eTour: 58; eANCI: 139; SMOS: 67</x:v>
      </x:c>
      <x:c r="P105" s="2" t="str">
        <x:v>NR</x:v>
      </x:c>
      <x:c r="Q105" s="2" t="str">
        <x:v>NA</x:v>
      </x:c>
      <x:c r="R105" s="2" t="str">
        <x:v>NA</x:v>
      </x:c>
      <x:c r="S105" s="2" t="str">
        <x:v>CoSET platform</x:v>
      </x:c>
      <x:c r="T105" s="2" t="str">
        <x:v>NR</x:v>
      </x:c>
      <x:c r="U105" s="2" t="str">
        <x:v>Mixed</x:v>
      </x:c>
      <x:c r="V105" s="2" t="str">
        <x:v>No</x:v>
      </x:c>
      <x:c r="W105" s="2" t="str">
        <x:v>MAP</x:v>
      </x:c>
      <x:c r="X105" s="2" t="str">
        <x:v>trace link</x:v>
      </x:c>
      <x:c r="Y105" s="2" t="str">
        <x:v>No</x:v>
      </x:c>
      <x:c r="Z105" s="2" t="str">
        <x:v>NR</x:v>
      </x:c>
      <x:c r="AA105" s="2" t="str">
        <x:v>No</x:v>
      </x:c>
      <x:c r="AB105" s="2" t="str">
        <x:v>No</x:v>
      </x:c>
      <x:c r="AC105" s="2" t="str">
        <x:v>No</x:v>
      </x:c>
      <x:c r="AD105" s="2" t="str">
        <x:v>NR</x:v>
      </x:c>
      <x:c r="AE105" s="6" t="str">
        <x:v>p. 1; Abstract</x:v>
      </x:c>
      <x:c r="AF105" s="6" t="str">
        <x:v>Evaluations on four industrial datasets (iTrust, eTour, eANCI, SMOS) show 125.47%, 63.2% and 62.13% average MAP improvements over LSI, FTLR+ and FQETLR+ baselines respectively.</x:v>
      </x:c>
      <x:c r="AG105" s="6" t="str">
        <x:v>在四个数据集上与三个基线进行基准比较，验证所提方法的有效性。</x:v>
      </x:c>
      <x:c r="AH105" s="2" t="str">
        <x:v>Accepted</x:v>
      </x:c>
      <x:c r="AI105" s="6" t="str">
        <x:v>Prior reviewer EV1 aligns with this.</x:v>
      </x:c>
    </x:row>
    <x:row r="106" ht="76" customHeight="1">
      <x:c r="A106" s="2" t="str">
        <x:v>S44-EVAL-R02</x:v>
      </x:c>
      <x:c r="B106" s="2" t="str">
        <x:v>S44</x:v>
      </x:c>
      <x:c r="C106" s="2" t="str">
        <x:v>merged_1274</x:v>
      </x:c>
      <x:c r="D106" s="2" t="str">
        <x:v>Reviewer_A</x:v>
      </x:c>
      <x:c r="E106" s="2" t="str">
        <x:v>Reviewer_A</x:v>
      </x:c>
      <x:c r="F106" s="2" t="str">
        <x:v>S44-EV02</x:v>
      </x:c>
      <x:c r="G106" s="2" t="str">
        <x:v>S44-T01</x:v>
      </x:c>
      <x:c r="H106" s="2" t="str">
        <x:v>Controlled experiment</x:v>
      </x:c>
      <x:c r="I106" s="2" t="str">
        <x:v>Four CoSET datasets (iTrust, eTour, eANCI, SMOS)</x:v>
      </x:c>
      <x:c r="J106" s="2" t="str">
        <x:v>CoSET platform (http://sarec.nd.edu/coest/datasets.html)</x:v>
      </x:c>
      <x:c r="K106" s="2" t="str">
        <x:v>Public</x:v>
      </x:c>
      <x:c r="L106" s="2" t="str">
        <x:v>Academic benchmark</x:v>
      </x:c>
      <x:c r="M106" s="2" t="str">
        <x:v>NR</x:v>
      </x:c>
      <x:c r="N106" s="2" t="str">
        <x:v>iTrust: 226; eTour: 116; eANCI: 55; SMOS: 100</x:v>
      </x:c>
      <x:c r="O106" s="2" t="str">
        <x:v>iTrust: 131; eTour: 58; eANCI: 139; SMOS: 67</x:v>
      </x:c>
      <x:c r="P106" s="2" t="str">
        <x:v>NR</x:v>
      </x:c>
      <x:c r="Q106" s="2" t="str">
        <x:v>NA</x:v>
      </x:c>
      <x:c r="R106" s="2" t="str">
        <x:v>NA</x:v>
      </x:c>
      <x:c r="S106" s="2" t="str">
        <x:v>CoSET platform</x:v>
      </x:c>
      <x:c r="T106" s="2" t="str">
        <x:v>NR</x:v>
      </x:c>
      <x:c r="U106" s="2" t="str">
        <x:v>Weak</x:v>
      </x:c>
      <x:c r="V106" s="2" t="str">
        <x:v>Yes</x:v>
      </x:c>
      <x:c r="W106" s="2" t="str">
        <x:v>MAP; Precision; Recall; F2</x:v>
      </x:c>
      <x:c r="X106" s="2" t="str">
        <x:v>trace link</x:v>
      </x:c>
      <x:c r="Y106" s="2" t="str">
        <x:v>No</x:v>
      </x:c>
      <x:c r="Z106" s="2" t="str">
        <x:v>NR</x:v>
      </x:c>
      <x:c r="AA106" s="2" t="str">
        <x:v>No</x:v>
      </x:c>
      <x:c r="AB106" s="2" t="str">
        <x:v>No</x:v>
      </x:c>
      <x:c r="AC106" s="2" t="str">
        <x:v>No</x:v>
      </x:c>
      <x:c r="AD106" s="2" t="str">
        <x:v>NR</x:v>
      </x:c>
      <x:c r="AE106" s="6" t="str">
        <x:v>p. 5; Section III-B Results</x:v>
      </x:c>
      <x:c r="AF106" s="6" t="str">
        <x:v>As shown in Table II, the CoT prompts consistently outperforms simple prompts across all four datasets in MAP, Precision, Recall, and F2.</x:v>
      </x:c>
      <x:c r="AG106" s="6" t="str">
        <x:v>对比实验评估了思维链提示相对于简单提示的增益效果。</x:v>
      </x:c>
      <x:c r="AH106" s="2" t="str">
        <x:v>Accepted</x:v>
      </x:c>
      <x:c r="AI106" s="6" t="str">
        <x:v>Prior reviewer EV2 aligns with this.</x:v>
      </x:c>
    </x:row>
    <x:row r="107" ht="76" customHeight="1">
      <x:c r="A107" s="2" t="str">
        <x:v>S45-EVAL-R01</x:v>
      </x:c>
      <x:c r="B107" s="2" t="str">
        <x:v>S45</x:v>
      </x:c>
      <x:c r="C107" s="2" t="str">
        <x:v>merged_1275</x:v>
      </x:c>
      <x:c r="D107" s="2" t="str">
        <x:v>Reviewer_A</x:v>
      </x:c>
      <x:c r="E107" s="2" t="str">
        <x:v>Reviewer_A</x:v>
      </x:c>
      <x:c r="F107" s="2" t="str">
        <x:v>S45-EV01</x:v>
      </x:c>
      <x:c r="G107" s="2" t="str">
        <x:v>S45-T01</x:v>
      </x:c>
      <x:c r="H107" s="2" t="str">
        <x:v>Benchmark comparison</x:v>
      </x:c>
      <x:c r="I107" s="2" t="str">
        <x:v>Automotive Park Assist IC firmware requirements (21 SYSRS, 24 SWRS)</x:v>
      </x:c>
      <x:c r="J107" s="2" t="str">
        <x:v>Selected from an ongoing project on firmware for an Ultrasonic Park Assist IC</x:v>
      </x:c>
      <x:c r="K107" s="2" t="str">
        <x:v>Public</x:v>
      </x:c>
      <x:c r="L107" s="2" t="str">
        <x:v>Industrial offline data</x:v>
      </x:c>
      <x:c r="M107" s="2" t="str">
        <x:v>NR</x:v>
      </x:c>
      <x:c r="N107" s="2" t="n">
        <x:v>21</x:v>
      </x:c>
      <x:c r="O107" s="2" t="n">
        <x:v>24</x:v>
      </x:c>
      <x:c r="P107" s="2" t="str">
        <x:v>NR</x:v>
      </x:c>
      <x:c r="Q107" s="2" t="str">
        <x:v>Industry experts (average 10 years experience)</x:v>
      </x:c>
      <x:c r="R107" s="2" t="str">
        <x:v>5 (pooling) + 1 evaluator (ranking)</x:v>
      </x:c>
      <x:c r="S107" s="2" t="str">
        <x:v>Pooled expert assessments and ranking by Head of Embedded Software Development</x:v>
      </x:c>
      <x:c r="T107" s="2" t="str">
        <x:v>Integration of responses from five experts, reviewed by another expert</x:v>
      </x:c>
      <x:c r="U107" s="2" t="str">
        <x:v>Strong</x:v>
      </x:c>
      <x:c r="V107" s="2" t="str">
        <x:v>No</x:v>
      </x:c>
      <x:c r="W107" s="2" t="str">
        <x:v>Precision;Recall;F1-score;Rank</x:v>
      </x:c>
      <x:c r="X107" s="2" t="str">
        <x:v>trace link</x:v>
      </x:c>
      <x:c r="Y107" s="2" t="str">
        <x:v>Expert respondents performed same task, responses pooled; expert evaluator ranked anonymous responses</x:v>
      </x:c>
      <x:c r="Z107" s="2" t="str">
        <x:v>NR</x:v>
      </x:c>
      <x:c r="AA107" s="2" t="str">
        <x:v>NR</x:v>
      </x:c>
      <x:c r="AB107" s="2" t="str">
        <x:v>NR</x:v>
      </x:c>
      <x:c r="AC107" s="2" t="str">
        <x:v>Discussed false negatives: ChatGPT missed some valid issues that experts identified leveraging their experience</x:v>
      </x:c>
      <x:c r="AD107" s="2" t="str">
        <x:v>Discussed threats: small dataset, low complexity, prompt dependency, human variability</x:v>
      </x:c>
      <x:c r="AE107" s="6" t="str">
        <x:v>p. 2; Study 1</x:v>
      </x:c>
      <x:c r="AF107" s="6" t="str">
        <x:v>The evaluation was done using two independent approaches: Pooling and Ranking.</x:v>
      </x:c>
      <x:c r="AG107" s="6" t="str">
        <x:v>评估采用基准比较，以人类专家作为金标准，评估LLM的链接质量检查性能。</x:v>
      </x:c>
      <x:c r="AH107" s="2" t="str">
        <x:v>Accepted</x:v>
      </x:c>
      <x:c r="AI107" s="6" t="str">
        <x:v>NA</x:v>
      </x:c>
    </x:row>
    <x:row r="108" ht="76" customHeight="1">
      <x:c r="A108" s="2" t="str">
        <x:v>S45-EVAL-R02</x:v>
      </x:c>
      <x:c r="B108" s="2" t="str">
        <x:v>S45</x:v>
      </x:c>
      <x:c r="C108" s="2" t="str">
        <x:v>merged_1275</x:v>
      </x:c>
      <x:c r="D108" s="2" t="str">
        <x:v>Reviewer_A</x:v>
      </x:c>
      <x:c r="E108" s="2" t="str">
        <x:v>Reviewer_A</x:v>
      </x:c>
      <x:c r="F108" s="2" t="str">
        <x:v>S45-EV02</x:v>
      </x:c>
      <x:c r="G108" s="2" t="str">
        <x:v>S45-T02</x:v>
      </x:c>
      <x:c r="H108" s="2" t="str">
        <x:v>Expert evaluation</x:v>
      </x:c>
      <x:c r="I108" s="2" t="str">
        <x:v>Software Requirements and Test Cases from Ultrasonic Park Assist IC project</x:v>
      </x:c>
      <x:c r="J108" s="2" t="str">
        <x:v>Same ongoing firmware project</x:v>
      </x:c>
      <x:c r="K108" s="2" t="str">
        <x:v>Public</x:v>
      </x:c>
      <x:c r="L108" s="2" t="str">
        <x:v>Industrial offline data</x:v>
      </x:c>
      <x:c r="M108" s="2" t="str">
        <x:v>NR</x:v>
      </x:c>
      <x:c r="N108" s="2" t="n">
        <x:v>24</x:v>
      </x:c>
      <x:c r="O108" s="2" t="str">
        <x:v>NR</x:v>
      </x:c>
      <x:c r="P108" s="2" t="str">
        <x:v>NR</x:v>
      </x:c>
      <x:c r="Q108" s="2" t="str">
        <x:v>Test experts at Area 21</x:v>
      </x:c>
      <x:c r="R108" s="2" t="n">
        <x:v>2</x:v>
      </x:c>
      <x:c r="S108" s="2" t="str">
        <x:v>Expert ratings on survey questions</x:v>
      </x:c>
      <x:c r="T108" s="2" t="str">
        <x:v>Two experts independently rated, with agreement reported</x:v>
      </x:c>
      <x:c r="U108" s="2" t="str">
        <x:v>None</x:v>
      </x:c>
      <x:c r="V108" s="2" t="str">
        <x:v>No</x:v>
      </x:c>
      <x:c r="W108" s="2" t="str">
        <x:v>Rating percentages (Yes/Partial/No)</x:v>
      </x:c>
      <x:c r="X108" s="2" t="str">
        <x:v>trace link</x:v>
      </x:c>
      <x:c r="Y108" s="2" t="str">
        <x:v>Survey with 4 questions, rated by test experts</x:v>
      </x:c>
      <x:c r="Z108" s="2" t="str">
        <x:v>NR</x:v>
      </x:c>
      <x:c r="AA108" s="2" t="str">
        <x:v>NR</x:v>
      </x:c>
      <x:c r="AB108" s="2" t="str">
        <x:v>NR</x:v>
      </x:c>
      <x:c r="AC108" s="2" t="str">
        <x:v>Discussed causes of Partial ratings: 70% SW requirement quality issues, 30% missing preconditions/negative scenarios</x:v>
      </x:c>
      <x:c r="AD108" s="2" t="str">
        <x:v>Discussed same overall threats (small dataset, prompt dependency, etc.)</x:v>
      </x:c>
      <x:c r="AE108" s="6" t="str">
        <x:v>p. 3; Study 2</x:v>
      </x:c>
      <x:c r="AF108" s="6" t="str">
        <x:v>The study was designed as a quick survey to account for the limited availability of the test experts.</x:v>
      </x:c>
      <x:c r="AG108" s="6" t="str">
        <x:v>本研究采用专家调查方式，由测试专家对ChatGPT的输出进行评价。</x:v>
      </x:c>
      <x:c r="AH108" s="2" t="str">
        <x:v>Accepted</x:v>
      </x:c>
      <x:c r="AI108" s="6" t="str">
        <x:v>NA</x:v>
      </x:c>
    </x:row>
    <x:row r="109" ht="76" customHeight="1">
      <x:c r="A109" s="2" t="str">
        <x:v>S45-EVAL-R03</x:v>
      </x:c>
      <x:c r="B109" s="2" t="str">
        <x:v>S45</x:v>
      </x:c>
      <x:c r="C109" s="2" t="str">
        <x:v>merged_1275</x:v>
      </x:c>
      <x:c r="D109" s="2" t="str">
        <x:v>Reviewer_A</x:v>
      </x:c>
      <x:c r="E109" s="2" t="str">
        <x:v>Reviewer_A</x:v>
      </x:c>
      <x:c r="F109" s="2" t="str">
        <x:v>S45-EV03</x:v>
      </x:c>
      <x:c r="G109" s="2" t="str">
        <x:v>S45-T03</x:v>
      </x:c>
      <x:c r="H109" s="2" t="str">
        <x:v>Benchmark comparison</x:v>
      </x:c>
      <x:c r="I109" s="2" t="str">
        <x:v>Standard Firmware project requirements (21 SYSRS, 24 SWRS)</x:v>
      </x:c>
      <x:c r="J109" s="2" t="str">
        <x:v>Same ongoing project, reduced sets for prediction</x:v>
      </x:c>
      <x:c r="K109" s="2" t="str">
        <x:v>Public</x:v>
      </x:c>
      <x:c r="L109" s="2" t="str">
        <x:v>Industrial offline data</x:v>
      </x:c>
      <x:c r="M109" s="2" t="str">
        <x:v>NR</x:v>
      </x:c>
      <x:c r="N109" s="2" t="n">
        <x:v>21</x:v>
      </x:c>
      <x:c r="O109" s="2" t="n">
        <x:v>24</x:v>
      </x:c>
      <x:c r="P109" s="2" t="str">
        <x:v>NR</x:v>
      </x:c>
      <x:c r="Q109" s="2" t="str">
        <x:v>NA</x:v>
      </x:c>
      <x:c r="R109" s="2" t="str">
        <x:v>NA</x:v>
      </x:c>
      <x:c r="S109" s="2" t="str">
        <x:v>Existing links established by engineers at Area 21</x:v>
      </x:c>
      <x:c r="T109" s="2" t="str">
        <x:v>Engineers established the links</x:v>
      </x:c>
      <x:c r="U109" s="2" t="str">
        <x:v>None</x:v>
      </x:c>
      <x:c r="V109" s="2" t="str">
        <x:v>No</x:v>
      </x:c>
      <x:c r="W109" s="2" t="str">
        <x:v>Precision;Recall;F1-score</x:v>
      </x:c>
      <x:c r="X109" s="2" t="str">
        <x:v>trace link</x:v>
      </x:c>
      <x:c r="Y109" s="2" t="str">
        <x:v>No</x:v>
      </x:c>
      <x:c r="Z109" s="2" t="str">
        <x:v>NR</x:v>
      </x:c>
      <x:c r="AA109" s="2" t="str">
        <x:v>NR</x:v>
      </x:c>
      <x:c r="AB109" s="2" t="str">
        <x:v>NR</x:v>
      </x:c>
      <x:c r="AC109" s="2" t="str">
        <x:v>Discussed a false negative case where ChatGPT correctly flagged an incomplete lower-level requirement but was penalized</x:v>
      </x:c>
      <x:c r="AD109" s="2" t="str">
        <x:v>Same overall threats</x:v>
      </x:c>
      <x:c r="AE109" s="6" t="str">
        <x:v>p. 4; Study 3</x:v>
      </x:c>
      <x:c r="AF109" s="6" t="str">
        <x:v>The analysis is conducted seven times, each using the same SYSRS list but a different SWRS list</x:v>
      </x:c>
      <x:c r="AG109" s="6" t="str">
        <x:v>研究通过多次随机移除部分软件需求来评估预测性能，并与工程人员建立的真实链接比较。</x:v>
      </x:c>
      <x:c r="AH109" s="2" t="str">
        <x:v>Accepted</x:v>
      </x:c>
      <x:c r="AI109" s="6" t="str">
        <x:v>NA</x:v>
      </x:c>
    </x:row>
    <x:row r="110" ht="76" customHeight="1">
      <x:c r="A110" s="2" t="str">
        <x:v>S45-EVAL-R04</x:v>
      </x:c>
      <x:c r="B110" s="2" t="str">
        <x:v>S45</x:v>
      </x:c>
      <x:c r="C110" s="2" t="str">
        <x:v>merged_1275</x:v>
      </x:c>
      <x:c r="D110" s="2" t="str">
        <x:v>Reviewer_A</x:v>
      </x:c>
      <x:c r="E110" s="2" t="str">
        <x:v>Reviewer_A</x:v>
      </x:c>
      <x:c r="F110" s="2" t="str">
        <x:v>S45-EV04</x:v>
      </x:c>
      <x:c r="G110" s="2" t="str">
        <x:v>S45-T04</x:v>
      </x:c>
      <x:c r="H110" s="2" t="str">
        <x:v>Demonstration</x:v>
      </x:c>
      <x:c r="I110" s="2" t="str">
        <x:v>Single system requirement (SYSRS 016) from automotive dataset</x:v>
      </x:c>
      <x:c r="J110" s="2" t="str">
        <x:v>Same project</x:v>
      </x:c>
      <x:c r="K110" s="2" t="str">
        <x:v>Public</x:v>
      </x:c>
      <x:c r="L110" s="2" t="str">
        <x:v>Industrial offline data</x:v>
      </x:c>
      <x:c r="M110" s="2" t="str">
        <x:v>NA</x:v>
      </x:c>
      <x:c r="N110" s="2" t="n">
        <x:v>1</x:v>
      </x:c>
      <x:c r="O110" s="2" t="str">
        <x:v>NA</x:v>
      </x:c>
      <x:c r="P110" s="2" t="str">
        <x:v>NA</x:v>
      </x:c>
      <x:c r="Q110" s="2" t="str">
        <x:v>NA</x:v>
      </x:c>
      <x:c r="R110" s="2" t="str">
        <x:v>NA</x:v>
      </x:c>
      <x:c r="S110" s="2" t="str">
        <x:v>No formal ground truth; qualitative demonstration</x:v>
      </x:c>
      <x:c r="T110" s="2" t="str">
        <x:v>NA</x:v>
      </x:c>
      <x:c r="U110" s="2" t="str">
        <x:v>None</x:v>
      </x:c>
      <x:c r="V110" s="2" t="str">
        <x:v>No</x:v>
      </x:c>
      <x:c r="W110" s="2" t="str">
        <x:v>No</x:v>
      </x:c>
      <x:c r="X110" s="2" t="str">
        <x:v>artifact</x:v>
      </x:c>
      <x:c r="Y110" s="2" t="str">
        <x:v>No</x:v>
      </x:c>
      <x:c r="Z110" s="2" t="str">
        <x:v>NR</x:v>
      </x:c>
      <x:c r="AA110" s="2" t="str">
        <x:v>NA</x:v>
      </x:c>
      <x:c r="AB110" s="2" t="str">
        <x:v>NA</x:v>
      </x:c>
      <x:c r="AC110" s="2" t="str">
        <x:v>No</x:v>
      </x:c>
      <x:c r="AD110" s="2" t="str">
        <x:v>NR</x:v>
      </x:c>
      <x:c r="AE110" s="6" t="str">
        <x:v>p. 4; Study 4</x:v>
      </x:c>
      <x:c r="AF110" s="6" t="str">
        <x:v>Below is the requirement and ChatGPT-4o’s response in the outlined box. SYSRS 016:</x:v>
      </x:c>
      <x:c r="AG110" s="6" t="str">
        <x:v>该研究以单个需求为例演示了ChatGPT-4o的歧义检测能力，没有定量评估。</x:v>
      </x:c>
      <x:c r="AH110" s="2" t="str">
        <x:v>Accepted</x:v>
      </x:c>
      <x:c r="AI110" s="6" t="str">
        <x:v>NA</x:v>
      </x:c>
    </x:row>
    <x:row r="111" ht="76" customHeight="1">
      <x:c r="A111" s="2" t="str">
        <x:v>S45-EVAL-R05</x:v>
      </x:c>
      <x:c r="B111" s="2" t="str">
        <x:v>S45</x:v>
      </x:c>
      <x:c r="C111" s="2" t="str">
        <x:v>merged_1275</x:v>
      </x:c>
      <x:c r="D111" s="2" t="str">
        <x:v>Reviewer_A</x:v>
      </x:c>
      <x:c r="E111" s="2" t="str">
        <x:v>Reviewer_A</x:v>
      </x:c>
      <x:c r="F111" s="2" t="str">
        <x:v>S45-EV05</x:v>
      </x:c>
      <x:c r="G111" s="2" t="str">
        <x:v>S45-T05</x:v>
      </x:c>
      <x:c r="H111" s="2" t="str">
        <x:v>Case study</x:v>
      </x:c>
      <x:c r="I111" s="2" t="str">
        <x:v>Single real project ticket (SYSRS 021, SWRS 023, SWRS 024)</x:v>
      </x:c>
      <x:c r="J111" s="2" t="str">
        <x:v>Area 21 real project</x:v>
      </x:c>
      <x:c r="K111" s="2" t="str">
        <x:v>Public</x:v>
      </x:c>
      <x:c r="L111" s="2" t="str">
        <x:v>Industrial offline data</x:v>
      </x:c>
      <x:c r="M111" s="2" t="str">
        <x:v>NA</x:v>
      </x:c>
      <x:c r="N111" s="2" t="n">
        <x:v>1</x:v>
      </x:c>
      <x:c r="O111" s="2" t="n">
        <x:v>2</x:v>
      </x:c>
      <x:c r="P111" s="2" t="str">
        <x:v>NR</x:v>
      </x:c>
      <x:c r="Q111" s="2" t="str">
        <x:v>NA</x:v>
      </x:c>
      <x:c r="R111" s="2" t="str">
        <x:v>NA</x:v>
      </x:c>
      <x:c r="S111" s="2" t="str">
        <x:v>Existing project ticket documentation</x:v>
      </x:c>
      <x:c r="T111" s="2" t="str">
        <x:v>Comparison with known issue</x:v>
      </x:c>
      <x:c r="U111" s="2" t="str">
        <x:v>None</x:v>
      </x:c>
      <x:c r="V111" s="2" t="str">
        <x:v>No</x:v>
      </x:c>
      <x:c r="W111" s="2" t="str">
        <x:v>No</x:v>
      </x:c>
      <x:c r="X111" s="2" t="str">
        <x:v>trace link</x:v>
      </x:c>
      <x:c r="Y111" s="2" t="str">
        <x:v>No</x:v>
      </x:c>
      <x:c r="Z111" s="2" t="str">
        <x:v>NR</x:v>
      </x:c>
      <x:c r="AA111" s="2" t="str">
        <x:v>NA</x:v>
      </x:c>
      <x:c r="AB111" s="2" t="str">
        <x:v>NA</x:v>
      </x:c>
      <x:c r="AC111" s="2" t="str">
        <x:v>No</x:v>
      </x:c>
      <x:c r="AD111" s="2" t="str">
        <x:v>NR</x:v>
      </x:c>
      <x:c r="AE111" s="6" t="str">
        <x:v>p. 4; Study 5</x:v>
      </x:c>
      <x:c r="AF111" s="6" t="str">
        <x:v>ChatGPT-4o was tested on an existing project ticket at Area 21 to determine its ability to identify gaps in system-software requirement alignment.</x:v>
      </x:c>
      <x:c r="AG111" s="6" t="str">
        <x:v>该研究以真实项目工单为例，测试ChatGPT-4o识别系统与软件需求不一致的能力，属于个案研究。</x:v>
      </x:c>
      <x:c r="AH111" s="2" t="str">
        <x:v>Accepted</x:v>
      </x:c>
      <x:c r="AI111" s="6" t="str">
        <x:v>NA</x:v>
      </x:c>
    </x:row>
    <x:row r="112" ht="76" customHeight="1">
      <x:c r="A112" s="2" t="str">
        <x:v>S46-EVAL-R01</x:v>
      </x:c>
      <x:c r="B112" s="2" t="str">
        <x:v>S46</x:v>
      </x:c>
      <x:c r="C112" s="2" t="str">
        <x:v>merged_1293</x:v>
      </x:c>
      <x:c r="D112" s="2" t="str">
        <x:v>Reviewer_A</x:v>
      </x:c>
      <x:c r="E112" s="2" t="str">
        <x:v>Reviewer_A</x:v>
      </x:c>
      <x:c r="F112" s="2" t="str">
        <x:v>S46-EV01</x:v>
      </x:c>
      <x:c r="G112" s="2" t="str">
        <x:v>S46-T01</x:v>
      </x:c>
      <x:c r="H112" s="2" t="str">
        <x:v>Case study</x:v>
      </x:c>
      <x:c r="I112" s="2" t="str">
        <x:v>Smart Home System</x:v>
      </x:c>
      <x:c r="J112" s="2" t="str">
        <x:v>Designed by the authors</x:v>
      </x:c>
      <x:c r="K112" s="2" t="str">
        <x:v>Private</x:v>
      </x:c>
      <x:c r="L112" s="2" t="str">
        <x:v>Synthetic</x:v>
      </x:c>
      <x:c r="M112" s="2" t="str">
        <x:v>NA</x:v>
      </x:c>
      <x:c r="N112" s="2" t="str">
        <x:v>NR</x:v>
      </x:c>
      <x:c r="O112" s="2" t="str">
        <x:v>NR</x:v>
      </x:c>
      <x:c r="P112" s="2" t="str">
        <x:v>NA</x:v>
      </x:c>
      <x:c r="Q112" s="2" t="str">
        <x:v>NA</x:v>
      </x:c>
      <x:c r="R112" s="2" t="str">
        <x:v>NA</x:v>
      </x:c>
      <x:c r="S112" s="2" t="str">
        <x:v>Manual inspection by the author</x:v>
      </x:c>
      <x:c r="T112" s="2" t="str">
        <x:v>NR</x:v>
      </x:c>
      <x:c r="U112" s="2" t="str">
        <x:v>Weak</x:v>
      </x:c>
      <x:c r="V112" s="2" t="str">
        <x:v>No</x:v>
      </x:c>
      <x:c r="W112" s="2" t="str">
        <x:v>TMA; TMP; TMPR</x:v>
      </x:c>
      <x:c r="X112" s="2" t="str">
        <x:v>artifact</x:v>
      </x:c>
      <x:c r="Y112" s="2" t="str">
        <x:v>Author manually assessed validity, completeness, consistency per artifact; details not provided</x:v>
      </x:c>
      <x:c r="Z112" s="2" t="str">
        <x:v>No</x:v>
      </x:c>
      <x:c r="AA112" s="2" t="str">
        <x:v>No</x:v>
      </x:c>
      <x:c r="AB112" s="2" t="str">
        <x:v>No</x:v>
      </x:c>
      <x:c r="AC112" s="2" t="str">
        <x:v>Yes</x:v>
      </x:c>
      <x:c r="AD112" s="2" t="str">
        <x:v>Yes</x:v>
      </x:c>
      <x:c r="AE112" s="6" t="str">
        <x:v>p. 7; section Evaluation</x:v>
      </x:c>
      <x:c r="AF112" s="6" t="str">
        <x:v>We evaluate the effectiveness of the prompt design described in Structured Prompt Design by applying it to the development of a smart home system across various software development activities.</x:v>
      </x:c>
      <x:c r="AG112" s="6" t="str">
        <x:v>评估采用案例研究设计，在智能家居系统的10个开发活动上，比较结构化提示与非结构化提示对五个LLMs所产生工件的可追溯性，使用TMA、TMP、TMPR指标。可追溯性通过人工评估工件的有效性、完整性和一致性来衡量。</x:v>
      </x:c>
      <x:c r="AH112" s="2" t="str">
        <x:v>Accepted</x:v>
      </x:c>
      <x:c r="AI112" s="6" t="str">
        <x:v>覆盖所有活动P1至P10；作者手动评估指标，无自动化；基线为未结构化提示。</x:v>
      </x:c>
    </x:row>
    <x:row r="113" ht="76" customHeight="1">
      <x:c r="A113" s="2" t="str">
        <x:v>S47-EVAL-R01</x:v>
      </x:c>
      <x:c r="B113" s="2" t="str">
        <x:v>S47</x:v>
      </x:c>
      <x:c r="C113" s="2" t="str">
        <x:v>merged_1302-v1</x:v>
      </x:c>
      <x:c r="D113" s="2" t="str">
        <x:v>Reviewer_A</x:v>
      </x:c>
      <x:c r="E113" s="2" t="str">
        <x:v>Reviewer_A</x:v>
      </x:c>
      <x:c r="F113" s="2" t="str">
        <x:v>S47-EV01</x:v>
      </x:c>
      <x:c r="G113" s="2" t="str">
        <x:v>S47-T01</x:v>
      </x:c>
      <x:c r="H113" s="2" t="str">
        <x:v>Benchmark comparison</x:v>
      </x:c>
      <x:c r="I113" s="2" t="str">
        <x:v>Multiple open-source embedded systems repositories (154-156 specification sections)</x:v>
      </x:c>
      <x:c r="J113" s="2" t="str">
        <x:v>NR</x:v>
      </x:c>
      <x:c r="K113" s="2" t="str">
        <x:v>NR</x:v>
      </x:c>
      <x:c r="L113" s="2" t="str">
        <x:v>Open-source project</x:v>
      </x:c>
      <x:c r="M113" s="2" t="str">
        <x:v>NR</x:v>
      </x:c>
      <x:c r="N113" s="2" t="str">
        <x:v>154-156</x:v>
      </x:c>
      <x:c r="O113" s="2" t="str">
        <x:v>NR</x:v>
      </x:c>
      <x:c r="P113" s="2" t="str">
        <x:v>NR</x:v>
      </x:c>
      <x:c r="Q113" s="2" t="str">
        <x:v>NR</x:v>
      </x:c>
      <x:c r="R113" s="2" t="str">
        <x:v>NR</x:v>
      </x:c>
      <x:c r="S113" s="2" t="str">
        <x:v>manually curated datasheet-to-code ground truth</x:v>
      </x:c>
      <x:c r="T113" s="2" t="str">
        <x:v>NR</x:v>
      </x:c>
      <x:c r="U113" s="2" t="str">
        <x:v>Multiple strengths</x:v>
      </x:c>
      <x:c r="V113" s="2" t="str">
        <x:v>通过添加仓库结构、Ctags符号解析、模型切换和顺序验证步骤逐步改进</x:v>
      </x:c>
      <x:c r="W113" s="2" t="str">
        <x:v>Confidence Score; Code Symbol Coverage; Runtime; Token Consumption; File Existence Accuracy; File Mapping Accuracy</x:v>
      </x:c>
      <x:c r="X113" s="2" t="str">
        <x:v>artifact</x:v>
      </x:c>
      <x:c r="Y113" s="2" t="str">
        <x:v>No</x:v>
      </x:c>
      <x:c r="Z113" s="2" t="str">
        <x:v>No</x:v>
      </x:c>
      <x:c r="AA113" s="2" t="str">
        <x:v>No</x:v>
      </x:c>
      <x:c r="AB113" s="2" t="str">
        <x:v>No</x:v>
      </x:c>
      <x:c r="AC113" s="2" t="str">
        <x:v>No</x:v>
      </x:c>
      <x:c r="AD113" s="2" t="str">
        <x:v>NR</x:v>
      </x:c>
      <x:c r="AE113" s="6" t="str">
        <x:v>p. 10; Section 5.1</x:v>
      </x:c>
      <x:c r="AF113" s="6" t="str">
        <x:v>The evaluation was conducted on 154-156 specification sections across multiple embedded systems protocol repositories.</x:v>
      </x:c>
      <x:c r="AG113" s="6" t="str">
        <x:v>评估采用多个开源嵌入式仓库的154-156个规格节作为基准，通过定量指标比较所提方法与多个基线。</x:v>
      </x:c>
      <x:c r="AH113" s="2" t="str">
        <x:v>Accepted</x:v>
      </x:c>
      <x:c r="AI113" s="6" t="str">
        <x:v>NR</x:v>
      </x:c>
    </x:row>
    <x:row r="114" ht="76" customHeight="1">
      <x:c r="A114" s="2" t="str">
        <x:v>S48-EVAL-R01</x:v>
      </x:c>
      <x:c r="B114" s="2" t="str">
        <x:v>S48</x:v>
      </x:c>
      <x:c r="C114" s="2" t="str">
        <x:v>merged_1441</x:v>
      </x:c>
      <x:c r="D114" s="2" t="str">
        <x:v>Reviewer_A</x:v>
      </x:c>
      <x:c r="E114" s="2" t="str">
        <x:v>Reviewer_A</x:v>
      </x:c>
      <x:c r="F114" s="2" t="str">
        <x:v>S48-EV01</x:v>
      </x:c>
      <x:c r="G114" s="2" t="str">
        <x:v>S48-T01</x:v>
      </x:c>
      <x:c r="H114" s="2" t="str">
        <x:v>Benchmark comparison</x:v>
      </x:c>
      <x:c r="I114" s="2" t="str">
        <x:v>23 Apache Jira projects</x:v>
      </x:c>
      <x:c r="J114" s="2" t="str">
        <x:v>Jira REST API from Apache Software Foundation</x:v>
      </x:c>
      <x:c r="K114" s="2" t="str">
        <x:v>Public</x:v>
      </x:c>
      <x:c r="L114" s="2" t="str">
        <x:v>Industrial offline data</x:v>
      </x:c>
      <x:c r="M114" s="2" t="str">
        <x:v>Time-aware: earliest 80% for training, 20% for test; 20% of training as validation</x:v>
      </x:c>
      <x:c r="N114" s="2" t="n">
        <x:v>314293</x:v>
      </x:c>
      <x:c r="O114" s="2" t="n">
        <x:v>314293</x:v>
      </x:c>
      <x:c r="P114" s="2" t="str">
        <x:v>Unclear</x:v>
      </x:c>
      <x:c r="Q114" s="2" t="str">
        <x:v>NA</x:v>
      </x:c>
      <x:c r="R114" s="2" t="str">
        <x:v>NA</x:v>
      </x:c>
      <x:c r="S114" s="2" t="str">
        <x:v>Issue links from Jira (InwardIssueLinks and OutwardIssueLinks)</x:v>
      </x:c>
      <x:c r="T114" s="2" t="str">
        <x:v>Filtered: only resolved/closed issues, link coverage &gt;=20%, issues up to Jan 1, 2025 with 6-month buffer</x:v>
      </x:c>
      <x:c r="U114" s="2" t="str">
        <x:v>Strong</x:v>
      </x:c>
      <x:c r="V114" s="2" t="str">
        <x:v>Yes</x:v>
      </x:c>
      <x:c r="W114" s="2" t="str">
        <x:v>AUC; Accuracy; Recall; Precision; F1-score; Cohen's d; Wilcoxon signed-rank test; MRR; NDCG; Hit; Recall@k</x:v>
      </x:c>
      <x:c r="X114" s="2" t="str">
        <x:v>issue pair</x:v>
      </x:c>
      <x:c r="Y114" s="2" t="str">
        <x:v>No</x:v>
      </x:c>
      <x:c r="Z114" s="2" t="str">
        <x:v>Unclear</x:v>
      </x:c>
      <x:c r="AA114" s="2" t="str">
        <x:v>Wilcoxon signed-rank test, Cohen's d</x:v>
      </x:c>
      <x:c r="AB114" s="2" t="str">
        <x:v>No</x:v>
      </x:c>
      <x:c r="AC114" s="2" t="str">
        <x:v>Yes</x:v>
      </x:c>
      <x:c r="AD114" s="2" t="str">
        <x:v>Section VII discusses threats to validity</x:v>
      </x:c>
      <x:c r="AE114" s="6" t="str">
        <x:v>p. 1; Abstract</x:v>
      </x:c>
      <x:c r="AF114" s="6" t="str">
        <x:v>We conduct extensive experiments on 23 large-scale Apache projects collected from Jira.</x:v>
      </x:c>
      <x:c r="AG114" s="6" t="str">
        <x:v>主要评估使用了来自23个Apache项目的真实问题数据，与多个强基线进行基准比较，包含完整的消融实验和统计检验。</x:v>
      </x:c>
      <x:c r="AH114" s="2" t="str">
        <x:v>Accepted</x:v>
      </x:c>
      <x:c r="AI114" s="6" t="str">
        <x:v>数据集公开，问题总数314,293，但真实链接总数未明确给出。</x:v>
      </x:c>
    </x:row>
    <x:row r="115" ht="76" customHeight="1">
      <x:c r="A115" s="2" t="str">
        <x:v>S49-EVAL-R01</x:v>
      </x:c>
      <x:c r="B115" s="2" t="str">
        <x:v>S49</x:v>
      </x:c>
      <x:c r="C115" s="2" t="str">
        <x:v>merged_1486</x:v>
      </x:c>
      <x:c r="D115" s="2" t="str">
        <x:v>Reviewer_A</x:v>
      </x:c>
      <x:c r="E115" s="2" t="str">
        <x:v>Reviewer_A</x:v>
      </x:c>
      <x:c r="F115" s="2" t="str">
        <x:v>S49-EV01</x:v>
      </x:c>
      <x:c r="G115" s="2" t="str">
        <x:v>S49-T01</x:v>
      </x:c>
      <x:c r="H115" s="2" t="str">
        <x:v>Benchmark comparison</x:v>
      </x:c>
      <x:c r="I115" s="2" t="str">
        <x:v>PURE dataset (THEMAS and QHEADACHE)</x:v>
      </x:c>
      <x:c r="J115" s="2" t="str">
        <x:v>PURE dataset [6]</x:v>
      </x:c>
      <x:c r="K115" s="2" t="str">
        <x:v>Public</x:v>
      </x:c>
      <x:c r="L115" s="2" t="str">
        <x:v>Academic benchmark</x:v>
      </x:c>
      <x:c r="M115" s="2" t="str">
        <x:v>NA</x:v>
      </x:c>
      <x:c r="N115" s="2" t="str">
        <x:v>NR</x:v>
      </x:c>
      <x:c r="O115" s="2" t="str">
        <x:v>NR</x:v>
      </x:c>
      <x:c r="P115" s="2" t="str">
        <x:v>NR</x:v>
      </x:c>
      <x:c r="Q115" s="2" t="str">
        <x:v>NA</x:v>
      </x:c>
      <x:c r="R115" s="2" t="str">
        <x:v>NA</x:v>
      </x:c>
      <x:c r="S115" s="2" t="str">
        <x:v>Original SRS documents contain trace links with requirement IDs in format X.X.X.X, used to construct ground truth.</x:v>
      </x:c>
      <x:c r="T115" s="2" t="str">
        <x:v>No validation reported; assumed ground truth from dataset authors.</x:v>
      </x:c>
      <x:c r="U115" s="2" t="str">
        <x:v>Multiple strengths</x:v>
      </x:c>
      <x:c r="V115" s="2" t="str">
        <x:v>Temperature ablation (0.0, 0.4, 1.0)</x:v>
      </x:c>
      <x:c r="W115" s="2" t="str">
        <x:v>precision;recall;F-score;accuracy</x:v>
      </x:c>
      <x:c r="X115" s="2" t="str">
        <x:v>artifact pair</x:v>
      </x:c>
      <x:c r="Y115" s="2" t="str">
        <x:v>No</x:v>
      </x:c>
      <x:c r="Z115" s="2" t="str">
        <x:v>No</x:v>
      </x:c>
      <x:c r="AA115" s="2" t="str">
        <x:v>No</x:v>
      </x:c>
      <x:c r="AB115" s="2" t="str">
        <x:v>Standard deviation across five runs per configuration</x:v>
      </x:c>
      <x:c r="AC115" s="2" t="str">
        <x:v>No systematic error analysis; qualitative observations per pattern.</x:v>
      </x:c>
      <x:c r="AD115" s="2" t="str">
        <x:v>Mentioned threats to validity: internal, external, construct; e.g., labeling bias, representativeness of datasets, possible data leakage, limited prompt patterns.</x:v>
      </x:c>
      <x:c r="AE115" s="6" t="str">
        <x:v>p. 8; Section 3.3</x:v>
      </x:c>
      <x:c r="AF115" s="6" t="str">
        <x:v>5. We repeated this process five times for each prompt pattern, with a different randomly selected set of requirements each time.</x:v>
      </x:c>
      <x:c r="AG115" s="6" t="str">
        <x:v>评估设计为在PURE数据集上重复五次实验，每个提示模式独立测试，比较性能指标。没有独立验证集，评价基于与数据集中固有追踪链接的一致性。</x:v>
      </x:c>
      <x:c r="AH115" s="2" t="str">
        <x:v>Accepted</x:v>
      </x:c>
      <x:c r="AI115" s="6" t="str">
        <x:v>NR</x:v>
      </x:c>
    </x:row>
    <x:row r="116" ht="76" customHeight="1">
      <x:c r="A116" s="2" t="str">
        <x:v>S50-EVAL-R01</x:v>
      </x:c>
      <x:c r="B116" s="2" t="str">
        <x:v>S50</x:v>
      </x:c>
      <x:c r="C116" s="2" t="str">
        <x:v>snowball_00068</x:v>
      </x:c>
      <x:c r="D116" s="2" t="str">
        <x:v>Reviewer_A</x:v>
      </x:c>
      <x:c r="E116" s="2" t="str">
        <x:v>Reviewer_A</x:v>
      </x:c>
      <x:c r="F116" s="2" t="str">
        <x:v>S50-EV01</x:v>
      </x:c>
      <x:c r="G116" s="2" t="str">
        <x:v>S50-T01</x:v>
      </x:c>
      <x:c r="H116" s="2" t="str">
        <x:v>Benchmark comparison</x:v>
      </x:c>
      <x:c r="I116" s="2" t="str">
        <x:v>Expert-created questions (30)</x:v>
      </x:c>
      <x:c r="J116" s="2" t="str">
        <x:v>domain experts</x:v>
      </x:c>
      <x:c r="K116" s="2" t="str">
        <x:v>Private</x:v>
      </x:c>
      <x:c r="L116" s="2" t="str">
        <x:v>Academic benchmark</x:v>
      </x:c>
      <x:c r="M116" s="2" t="str">
        <x:v>NA</x:v>
      </x:c>
      <x:c r="N116" s="2" t="str">
        <x:v>NR</x:v>
      </x:c>
      <x:c r="O116" s="2" t="str">
        <x:v>NR</x:v>
      </x:c>
      <x:c r="P116" s="2" t="str">
        <x:v>NR</x:v>
      </x:c>
      <x:c r="Q116" s="2" t="str">
        <x:v>NA</x:v>
      </x:c>
      <x:c r="R116" s="2" t="str">
        <x:v>NA</x:v>
      </x:c>
      <x:c r="S116" s="2" t="str">
        <x:v>reference responses from human experts</x:v>
      </x:c>
      <x:c r="T116" s="2" t="str">
        <x:v>NR</x:v>
      </x:c>
      <x:c r="U116" s="2" t="str">
        <x:v>None</x:v>
      </x:c>
      <x:c r="V116" s="2" t="str">
        <x:v>No</x:v>
      </x:c>
      <x:c r="W116" s="2" t="str">
        <x:v>accuracy; factual consistency; semantic similarity; N-gram overlap; length similarity</x:v>
      </x:c>
      <x:c r="X116" s="2" t="str">
        <x:v>trace link</x:v>
      </x:c>
      <x:c r="Y116" s="2" t="str">
        <x:v>No</x:v>
      </x:c>
      <x:c r="Z116" s="2" t="str">
        <x:v>No</x:v>
      </x:c>
      <x:c r="AA116" s="2" t="str">
        <x:v>No</x:v>
      </x:c>
      <x:c r="AB116" s="2" t="str">
        <x:v>No</x:v>
      </x:c>
      <x:c r="AC116" s="2" t="str">
        <x:v>No</x:v>
      </x:c>
      <x:c r="AD116" s="2" t="str">
        <x:v>No</x:v>
      </x:c>
      <x:c r="AE116" s="6" t="str">
        <x:v>p. 9; Section V-B</x:v>
      </x:c>
      <x:c r="AF116" s="6" t="str">
        <x:v>To evaluate the framework objectively, we asked security experts in the field to give us a list of questions with reference responses based on the use case and IEC 62443.</x:v>
      </x:c>
      <x:c r="AG116" s="6" t="str">
        <x:v>客观评估使用了30道专家设计的问题，覆盖三类题型，以参考回答为真值，衡量LLM答案的正确性与一致性。</x:v>
      </x:c>
      <x:c r="AH116" s="2" t="str">
        <x:v>Accepted</x:v>
      </x:c>
      <x:c r="AI116" s="6" t="str">
        <x:v>NA</x:v>
      </x:c>
    </x:row>
    <x:row r="117" ht="76" customHeight="1">
      <x:c r="A117" s="2" t="str">
        <x:v>S50-EVAL-R02</x:v>
      </x:c>
      <x:c r="B117" s="2" t="str">
        <x:v>S50</x:v>
      </x:c>
      <x:c r="C117" s="2" t="str">
        <x:v>snowball_00068</x:v>
      </x:c>
      <x:c r="D117" s="2" t="str">
        <x:v>Reviewer_A</x:v>
      </x:c>
      <x:c r="E117" s="2" t="str">
        <x:v>Reviewer_A</x:v>
      </x:c>
      <x:c r="F117" s="2" t="str">
        <x:v>S50-EV02</x:v>
      </x:c>
      <x:c r="G117" s="2" t="str">
        <x:v>S50-T01</x:v>
      </x:c>
      <x:c r="H117" s="2" t="str">
        <x:v>Demonstration</x:v>
      </x:c>
      <x:c r="I117" s="2" t="str">
        <x:v>Auditing and maintenance scenarios on the use case</x:v>
      </x:c>
      <x:c r="J117" s="2" t="str">
        <x:v>NR</x:v>
      </x:c>
      <x:c r="K117" s="2" t="str">
        <x:v>Private</x:v>
      </x:c>
      <x:c r="L117" s="2" t="str">
        <x:v>Academic benchmark</x:v>
      </x:c>
      <x:c r="M117" s="2" t="str">
        <x:v>NA</x:v>
      </x:c>
      <x:c r="N117" s="2" t="str">
        <x:v>NR</x:v>
      </x:c>
      <x:c r="O117" s="2" t="str">
        <x:v>NR</x:v>
      </x:c>
      <x:c r="P117" s="2" t="str">
        <x:v>NR</x:v>
      </x:c>
      <x:c r="Q117" s="2" t="str">
        <x:v>NA</x:v>
      </x:c>
      <x:c r="R117" s="2" t="str">
        <x:v>NA</x:v>
      </x:c>
      <x:c r="S117" s="2" t="str">
        <x:v>NR</x:v>
      </x:c>
      <x:c r="T117" s="2" t="str">
        <x:v>NR</x:v>
      </x:c>
      <x:c r="U117" s="2" t="str">
        <x:v>None</x:v>
      </x:c>
      <x:c r="V117" s="2" t="str">
        <x:v>No</x:v>
      </x:c>
      <x:c r="W117" s="2" t="str">
        <x:v>No</x:v>
      </x:c>
      <x:c r="X117" s="2" t="str">
        <x:v>NR</x:v>
      </x:c>
      <x:c r="Y117" s="2" t="str">
        <x:v>No</x:v>
      </x:c>
      <x:c r="Z117" s="2" t="str">
        <x:v>No</x:v>
      </x:c>
      <x:c r="AA117" s="2" t="str">
        <x:v>No</x:v>
      </x:c>
      <x:c r="AB117" s="2" t="str">
        <x:v>No</x:v>
      </x:c>
      <x:c r="AC117" s="2" t="str">
        <x:v>No</x:v>
      </x:c>
      <x:c r="AD117" s="2" t="str">
        <x:v>No</x:v>
      </x:c>
      <x:c r="AE117" s="6" t="str">
        <x:v>p. 11; Section V-C</x:v>
      </x:c>
      <x:c r="AF117" s="6" t="str">
        <x:v>In this approach, the system designer or architect outlines two scenarios where the proposed framework is expected to provide support.</x:v>
      </x:c>
      <x:c r="AG117" s="6" t="str">
        <x:v>通过两个设计场景（审计和维护）定性展示框架的能力，未使用定量指标。</x:v>
      </x:c>
      <x:c r="AH117" s="2" t="str">
        <x:v>Accepted</x:v>
      </x:c>
      <x:c r="AI117" s="6" t="str">
        <x:v>NA</x:v>
      </x:c>
    </x:row>
    <x:row r="118" ht="76" customHeight="1">
      <x:c r="A118" s="2" t="str">
        <x:v>S50-EVAL-R03</x:v>
      </x:c>
      <x:c r="B118" s="2" t="str">
        <x:v>S50</x:v>
      </x:c>
      <x:c r="C118" s="2" t="str">
        <x:v>snowball_00068</x:v>
      </x:c>
      <x:c r="D118" s="2" t="str">
        <x:v>Reviewer_A</x:v>
      </x:c>
      <x:c r="E118" s="2" t="str">
        <x:v>Reviewer_A</x:v>
      </x:c>
      <x:c r="F118" s="2" t="str">
        <x:v>S50-EV03</x:v>
      </x:c>
      <x:c r="G118" s="2" t="str">
        <x:v>S50-T01</x:v>
      </x:c>
      <x:c r="H118" s="2" t="str">
        <x:v>User study</x:v>
      </x:c>
      <x:c r="I118" s="2" t="str">
        <x:v>Usability comparison exercise (SPARQL vs LLM interface)</x:v>
      </x:c>
      <x:c r="J118" s="2" t="str">
        <x:v>NR</x:v>
      </x:c>
      <x:c r="K118" s="2" t="str">
        <x:v>Private</x:v>
      </x:c>
      <x:c r="L118" s="2" t="str">
        <x:v>Academic benchmark</x:v>
      </x:c>
      <x:c r="M118" s="2" t="str">
        <x:v>NA</x:v>
      </x:c>
      <x:c r="N118" s="2" t="str">
        <x:v>NR</x:v>
      </x:c>
      <x:c r="O118" s="2" t="str">
        <x:v>NR</x:v>
      </x:c>
      <x:c r="P118" s="2" t="str">
        <x:v>NR</x:v>
      </x:c>
      <x:c r="Q118" s="2" t="str">
        <x:v>five users (presumably from academia or industry)</x:v>
      </x:c>
      <x:c r="R118" s="2" t="n">
        <x:v>5</x:v>
      </x:c>
      <x:c r="S118" s="2" t="str">
        <x:v>NA</x:v>
      </x:c>
      <x:c r="T118" s="2" t="str">
        <x:v>NA</x:v>
      </x:c>
      <x:c r="U118" s="2" t="str">
        <x:v>Strong</x:v>
      </x:c>
      <x:c r="V118" s="2" t="str">
        <x:v>No</x:v>
      </x:c>
      <x:c r="W118" s="2" t="str">
        <x:v>ease of use; meaningfulness; response time</x:v>
      </x:c>
      <x:c r="X118" s="2" t="str">
        <x:v>participant</x:v>
      </x:c>
      <x:c r="Y118" s="2" t="str">
        <x:v>questionnaire with 10 questions about experience</x:v>
      </x:c>
      <x:c r="Z118" s="2" t="str">
        <x:v>No</x:v>
      </x:c>
      <x:c r="AA118" s="2" t="str">
        <x:v>No</x:v>
      </x:c>
      <x:c r="AB118" s="2" t="str">
        <x:v>No</x:v>
      </x:c>
      <x:c r="AC118" s="2" t="str">
        <x:v>No</x:v>
      </x:c>
      <x:c r="AD118" s="2" t="str">
        <x:v>No</x:v>
      </x:c>
      <x:c r="AE118" s="6" t="str">
        <x:v>p. 12; Section V-D</x:v>
      </x:c>
      <x:c r="AF118" s="6" t="str">
        <x:v>Five users were tasked with determining the types of actions the operator in the “Control Network” zone is permitted to</x:v>
      </x:c>
      <x:c r="AG118" s="6" t="str">
        <x:v>通过5名用户在相同信息检索任务上的体验问卷，对比自然语言界面与形式化查询语言SPARQL的可用性。</x:v>
      </x:c>
      <x:c r="AH118" s="2" t="str">
        <x:v>Accepted</x:v>
      </x:c>
      <x:c r="AI118" s="6" t="str">
        <x:v>NA</x:v>
      </x:c>
    </x:row>
    <x:row r="119" ht="76" customHeight="1">
      <x:c r="A119" s="2" t="str">
        <x:v>S51-EVAL-R01</x:v>
      </x:c>
      <x:c r="B119" s="2" t="str">
        <x:v>S51</x:v>
      </x:c>
      <x:c r="C119" s="2" t="str">
        <x:v>snowball_00085</x:v>
      </x:c>
      <x:c r="D119" s="2" t="str">
        <x:v>Reviewer_A</x:v>
      </x:c>
      <x:c r="E119" s="2" t="str">
        <x:v>Reviewer_A</x:v>
      </x:c>
      <x:c r="F119" s="2" t="str">
        <x:v>S51-EV01</x:v>
      </x:c>
      <x:c r="G119" s="2" t="str">
        <x:v>S51-T01</x:v>
      </x:c>
      <x:c r="H119" s="2" t="str">
        <x:v>Benchmark comparison</x:v>
      </x:c>
      <x:c r="I119" s="2" t="str">
        <x:v>Smart Grid Workflow Specifications and Requirements Dataset</x:v>
      </x:c>
      <x:c r="J119" s="2" t="str">
        <x:v>created by authors; available on Github</x:v>
      </x:c>
      <x:c r="K119" s="2" t="str">
        <x:v>Public</x:v>
      </x:c>
      <x:c r="L119" s="2" t="str">
        <x:v>Synthetic</x:v>
      </x:c>
      <x:c r="M119" s="2" t="str">
        <x:v>NA</x:v>
      </x:c>
      <x:c r="N119" s="2" t="str">
        <x:v>NR</x:v>
      </x:c>
      <x:c r="O119" s="2" t="str">
        <x:v>NR</x:v>
      </x:c>
      <x:c r="P119" s="2" t="str">
        <x:v>NR</x:v>
      </x:c>
      <x:c r="Q119" s="2" t="str">
        <x:v>NA</x:v>
      </x:c>
      <x:c r="R119" s="2" t="str">
        <x:v>NA</x:v>
      </x:c>
      <x:c r="S119" s="2" t="str">
        <x:v>formal validation using SysML models and OCL constraints</x:v>
      </x:c>
      <x:c r="T119" s="2" t="str">
        <x:v>manual creation of formal models and constraints; validated via MSOSA tool</x:v>
      </x:c>
      <x:c r="U119" s="2" t="str">
        <x:v>Strong</x:v>
      </x:c>
      <x:c r="V119" s="2" t="str">
        <x:v>Yes, analysis of the impact of system specification complexity, number of non-fulfilled requirements, number of requirements, prompting strategy, LLM model, and textual style on performance</x:v>
      </x:c>
      <x:c r="W119" s="2" t="str">
        <x:v>precision;recall;f1-score</x:v>
      </x:c>
      <x:c r="X119" s="2" t="str">
        <x:v>dataset</x:v>
      </x:c>
      <x:c r="Y119" s="2" t="str">
        <x:v>NA</x:v>
      </x:c>
      <x:c r="Z119" s="2" t="str">
        <x:v>NR</x:v>
      </x:c>
      <x:c r="AA119" s="2" t="str">
        <x:v>No</x:v>
      </x:c>
      <x:c r="AB119" s="2" t="str">
        <x:v>No</x:v>
      </x:c>
      <x:c r="AC119" s="2" t="str">
        <x:v>No</x:v>
      </x:c>
      <x:c r="AD119" s="2" t="str">
        <x:v>discussed limitations in Section V-B (dataset size, domain specificity)</x:v>
      </x:c>
      <x:c r="AE119" s="6" t="str">
        <x:v>p. 1; Abstract</x:v>
      </x:c>
      <x:c r="AF119" s="6" t="str">
        <x:v>Formal rule-based systems serve as a benchmark to compare LLM performance to.</x:v>
      </x:c>
      <x:c r="AG119" s="6" t="str">
        <x:v>该评估设计为受控实验，以形式化方法为基准，通过多个实验变量全面评估LLM在需求验证中的性能。</x:v>
      </x:c>
      <x:c r="AH119" s="2" t="str">
        <x:v>Accepted</x:v>
      </x:c>
      <x:c r="AI119" s="6" t="str">
        <x:v>实验共进行了1944次LLM评估，覆盖了系统规格复杂度、需求数量、提示策略、LLM模型和文本风格等变量。</x:v>
      </x:c>
    </x:row>
    <x:row r="120" ht="76" customHeight="1">
      <x:c r="A120" s="2" t="str">
        <x:v>S52-EVAL-R01</x:v>
      </x:c>
      <x:c r="B120" s="2" t="str">
        <x:v>S52</x:v>
      </x:c>
      <x:c r="C120" s="2" t="str">
        <x:v>snowball_00095</x:v>
      </x:c>
      <x:c r="D120" s="2" t="str">
        <x:v>Reviewer_A</x:v>
      </x:c>
      <x:c r="E120" s="2" t="str">
        <x:v>Reviewer_A</x:v>
      </x:c>
      <x:c r="F120" s="2" t="str">
        <x:v>S52-EV01</x:v>
      </x:c>
      <x:c r="G120" s="2" t="str">
        <x:v>S52-T01</x:v>
      </x:c>
      <x:c r="H120" s="2" t="str">
        <x:v>Expert evaluation</x:v>
      </x:c>
      <x:c r="I120" s="2" t="str">
        <x:v>Dronology, SAFA, Jack of Clubs</x:v>
      </x:c>
      <x:c r="J120" s="2" t="str">
        <x:v>Projects provided by authors and collaborators</x:v>
      </x:c>
      <x:c r="K120" s="2" t="str">
        <x:v>Partially public</x:v>
      </x:c>
      <x:c r="L120" s="2" t="str">
        <x:v>Mixed</x:v>
      </x:c>
      <x:c r="M120" s="2" t="str">
        <x:v>NA</x:v>
      </x:c>
      <x:c r="N120" s="2" t="str">
        <x:v>NR (subset of source files)</x:v>
      </x:c>
      <x:c r="O120" s="2" t="str">
        <x:v>NR (subset of documentation)</x:v>
      </x:c>
      <x:c r="P120" s="2" t="str">
        <x:v>NA</x:v>
      </x:c>
      <x:c r="Q120" s="2" t="str">
        <x:v>project experts (key developers)</x:v>
      </x:c>
      <x:c r="R120" s="2" t="n">
        <x:v>3</x:v>
      </x:c>
      <x:c r="S120" s="2" t="str">
        <x:v>Expert judgment (manual documentation)</x:v>
      </x:c>
      <x:c r="T120" s="2" t="str">
        <x:v>NA</x:v>
      </x:c>
      <x:c r="U120" s="2" t="str">
        <x:v>Weak</x:v>
      </x:c>
      <x:c r="V120" s="2" t="str">
        <x:v>No</x:v>
      </x:c>
      <x:c r="W120" s="2" t="str">
        <x:v>Readability; Appropriateness; Conciseness; Importance; Usefulness; Helpfulness</x:v>
      </x:c>
      <x:c r="X120" s="2" t="str">
        <x:v>artifact</x:v>
      </x:c>
      <x:c r="Y120" s="2" t="str">
        <x:v>Likert scale 1-5, Mann-Whitney U test with Holm-Šídák correction</x:v>
      </x:c>
      <x:c r="Z120" s="2" t="str">
        <x:v>No</x:v>
      </x:c>
      <x:c r="AA120" s="2" t="str">
        <x:v>Mann-Whitney U test, Holm-Šídák correction</x:v>
      </x:c>
      <x:c r="AB120" s="2" t="str">
        <x:v>NR</x:v>
      </x:c>
      <x:c r="AC120" s="2" t="str">
        <x:v>No</x:v>
      </x:c>
      <x:c r="AD120" s="2" t="str">
        <x:v>Discussed in Threats to Validity section</x:v>
      </x:c>
      <x:c r="AE120" s="6" t="str">
        <x:v>p. 1; Section III Experiment Design</x:v>
      </x:c>
      <x:c r="AF120" s="6" t="str">
        <x:v>we recruited a key developer from each of the three projects to compare HGEN’s generated documentation against their own project’s manual documentation and against an off-the-shelf LLM baseline.</x:v>
      </x:c>
      <x:c r="AG120" s="6" t="str">
        <x:v>EV1：三位项目专家评估文档质量，比较人工、HGEN和基线，使用六个质量属性的5点李克特量表。</x:v>
      </x:c>
      <x:c r="AH120" s="2" t="str">
        <x:v>Accepted</x:v>
      </x:c>
      <x:c r="AI120" s="6" t="str">
        <x:v>Matches prior EV1 description: 研究一RQ1：通过三名关键开发者评估三个项目中生成的单个文档的质量，与人工文档和基线比较，使用Mann-Whitney U检验。</x:v>
      </x:c>
    </x:row>
    <x:row r="121" ht="76" customHeight="1">
      <x:c r="A121" s="2" t="str">
        <x:v>S52-EVAL-R02</x:v>
      </x:c>
      <x:c r="B121" s="2" t="str">
        <x:v>S52</x:v>
      </x:c>
      <x:c r="C121" s="2" t="str">
        <x:v>snowball_00095</x:v>
      </x:c>
      <x:c r="D121" s="2" t="str">
        <x:v>Reviewer_A</x:v>
      </x:c>
      <x:c r="E121" s="2" t="str">
        <x:v>Reviewer_A</x:v>
      </x:c>
      <x:c r="F121" s="2" t="str">
        <x:v>S52-EV02</x:v>
      </x:c>
      <x:c r="G121" s="2" t="str">
        <x:v>S52-T01</x:v>
      </x:c>
      <x:c r="H121" s="2" t="str">
        <x:v>Expert evaluation</x:v>
      </x:c>
      <x:c r="I121" s="2" t="str">
        <x:v>Dronology, SAFA, Jack of Clubs</x:v>
      </x:c>
      <x:c r="J121" s="2" t="str">
        <x:v>Projects provided by authors and collaborators</x:v>
      </x:c>
      <x:c r="K121" s="2" t="str">
        <x:v>Partially public</x:v>
      </x:c>
      <x:c r="L121" s="2" t="str">
        <x:v>Mixed</x:v>
      </x:c>
      <x:c r="M121" s="2" t="str">
        <x:v>NA</x:v>
      </x:c>
      <x:c r="N121" s="2" t="str">
        <x:v>NR</x:v>
      </x:c>
      <x:c r="O121" s="2" t="str">
        <x:v>NR</x:v>
      </x:c>
      <x:c r="P121" s="2" t="str">
        <x:v>NA</x:v>
      </x:c>
      <x:c r="Q121" s="2" t="str">
        <x:v>project experts</x:v>
      </x:c>
      <x:c r="R121" s="2" t="n">
        <x:v>3</x:v>
      </x:c>
      <x:c r="S121" s="2" t="str">
        <x:v>Expert identification of concepts in manual documentation</x:v>
      </x:c>
      <x:c r="T121" s="2" t="str">
        <x:v>NA</x:v>
      </x:c>
      <x:c r="U121" s="2" t="str">
        <x:v>Weak</x:v>
      </x:c>
      <x:c r="V121" s="2" t="str">
        <x:v>No</x:v>
      </x:c>
      <x:c r="W121" s="2" t="str">
        <x:v>Concept Coverage (% Covered)</x:v>
      </x:c>
      <x:c r="X121" s="2" t="str">
        <x:v>project</x:v>
      </x:c>
      <x:c r="Y121" s="2" t="str">
        <x:v>Experts identified concepts in manual docs and checked presence in generated docs by counting</x:v>
      </x:c>
      <x:c r="Z121" s="2" t="str">
        <x:v>No</x:v>
      </x:c>
      <x:c r="AA121" s="2" t="str">
        <x:v>No</x:v>
      </x:c>
      <x:c r="AB121" s="2" t="str">
        <x:v>NR</x:v>
      </x:c>
      <x:c r="AC121" s="2" t="str">
        <x:v>No</x:v>
      </x:c>
      <x:c r="AD121" s="2" t="str">
        <x:v>Discussed in Threats to Validity section</x:v>
      </x:c>
      <x:c r="AE121" s="6" t="str">
        <x:v>p. 7; Section IV-B RQ2 Coverage</x:v>
      </x:c>
      <x:c r="AF121" s="6" t="str">
        <x:v>We asked each expert to evaluate concept coverage by identifying concepts in the manual documentation and checking whether they were adequately reflected in the generated</x:v>
      </x:c>
      <x:c r="AG121" s="6" t="str">
        <x:v>EV2：三位专家评估生成文档覆盖原文档概念的比例，比较基线和HGEN。</x:v>
      </x:c>
      <x:c r="AH121" s="2" t="str">
        <x:v>Accepted</x:v>
      </x:c>
      <x:c r="AI121" s="6" t="str">
        <x:v>Matches prior EV2 description: 研究一RQ2：评估生成文档覆盖人工文档中核心概念的程度，由同一批专家完成。</x:v>
      </x:c>
    </x:row>
    <x:row r="122" ht="76" customHeight="1">
      <x:c r="A122" s="2" t="str">
        <x:v>S52-EVAL-R03</x:v>
      </x:c>
      <x:c r="B122" s="2" t="str">
        <x:v>S52</x:v>
      </x:c>
      <x:c r="C122" s="2" t="str">
        <x:v>snowball_00095</x:v>
      </x:c>
      <x:c r="D122" s="2" t="str">
        <x:v>Reviewer_A</x:v>
      </x:c>
      <x:c r="E122" s="2" t="str">
        <x:v>Reviewer_A</x:v>
      </x:c>
      <x:c r="F122" s="2" t="str">
        <x:v>S52-EV03</x:v>
      </x:c>
      <x:c r="G122" s="2" t="str">
        <x:v>S52-T01</x:v>
      </x:c>
      <x:c r="H122" s="2" t="str">
        <x:v>Benchmark comparison</x:v>
      </x:c>
      <x:c r="I122" s="2" t="str">
        <x:v>Dronology, SAFA, Jack of Clubs</x:v>
      </x:c>
      <x:c r="J122" s="2" t="str">
        <x:v>Projects provided by authors and collaborators</x:v>
      </x:c>
      <x:c r="K122" s="2" t="str">
        <x:v>Partially public</x:v>
      </x:c>
      <x:c r="L122" s="2" t="str">
        <x:v>Mixed</x:v>
      </x:c>
      <x:c r="M122" s="2" t="str">
        <x:v>NA</x:v>
      </x:c>
      <x:c r="N122" s="2" t="str">
        <x:v>NR</x:v>
      </x:c>
      <x:c r="O122" s="2" t="str">
        <x:v>NR</x:v>
      </x:c>
      <x:c r="P122" s="2" t="str">
        <x:v>Derived from expert corrections</x:v>
      </x:c>
      <x:c r="Q122" s="2" t="str">
        <x:v>project experts</x:v>
      </x:c>
      <x:c r="R122" s="2" t="n">
        <x:v>3</x:v>
      </x:c>
      <x:c r="S122" s="2" t="str">
        <x:v>Expert annotation (approve/decline/add links)</x:v>
      </x:c>
      <x:c r="T122" s="2" t="str">
        <x:v>Experts reviewed and corrected links</x:v>
      </x:c>
      <x:c r="U122" s="2" t="str">
        <x:v>Weak</x:v>
      </x:c>
      <x:c r="V122" s="2" t="str">
        <x:v>No</x:v>
      </x:c>
      <x:c r="W122" s="2" t="str">
        <x:v>mAP; Precision; Recall; # Orphans</x:v>
      </x:c>
      <x:c r="X122" s="2" t="str">
        <x:v>trace link</x:v>
      </x:c>
      <x:c r="Y122" s="2" t="str">
        <x:v>Experts used tracing tool to approve/decline/add links, creating ground truth</x:v>
      </x:c>
      <x:c r="Z122" s="2" t="str">
        <x:v>No</x:v>
      </x:c>
      <x:c r="AA122" s="2" t="str">
        <x:v>No</x:v>
      </x:c>
      <x:c r="AB122" s="2" t="str">
        <x:v>NR</x:v>
      </x:c>
      <x:c r="AC122" s="2" t="str">
        <x:v>No</x:v>
      </x:c>
      <x:c r="AD122" s="2" t="str">
        <x:v>Discussed in Threats to Validity section</x:v>
      </x:c>
      <x:c r="AE122" s="6" t="str">
        <x:v>p. 8; Section IV-C RQ3 Relationships</x:v>
      </x:c>
      <x:c r="AF122" s="6" t="str">
        <x:v>We then evaluated the generated trees for HGEN and Baseline against the modified ground truth version for each one and computed mean average precision (mAP), precision, and recall for each project using standard formulas [6].</x:v>
      </x:c>
      <x:c r="AG122" s="6" t="str">
        <x:v>EV3：评估追踪链接质量，专家校正链接真值，计算mAP、精确率、召回率、孤儿数。</x:v>
      </x:c>
      <x:c r="AH122" s="2" t="str">
        <x:v>Accepted</x:v>
      </x:c>
      <x:c r="AI122" s="6" t="str">
        <x:v>Matches prior EV3 description: 研究一RQ3：评估生成文档层次中的追踪链接质量，使用mAP、精度、召回等指标，基于专家修正的真值。</x:v>
      </x:c>
    </x:row>
    <x:row r="123" ht="76" customHeight="1">
      <x:c r="A123" s="2" t="str">
        <x:v>S52-EVAL-R04</x:v>
      </x:c>
      <x:c r="B123" s="2" t="str">
        <x:v>S52</x:v>
      </x:c>
      <x:c r="C123" s="2" t="str">
        <x:v>snowball_00095</x:v>
      </x:c>
      <x:c r="D123" s="2" t="str">
        <x:v>Reviewer_A</x:v>
      </x:c>
      <x:c r="E123" s="2" t="str">
        <x:v>Reviewer_A</x:v>
      </x:c>
      <x:c r="F123" s="2" t="str">
        <x:v>S52-EV04</x:v>
      </x:c>
      <x:c r="G123" s="2" t="str">
        <x:v>S52-T01</x:v>
      </x:c>
      <x:c r="H123" s="2" t="str">
        <x:v>Industrial pilot</x:v>
      </x:c>
      <x:c r="I123" s="2" t="str">
        <x:v>Nine Industrial Pilot Projects</x:v>
      </x:c>
      <x:c r="J123" s="2" t="str">
        <x:v>Seven companies, eight unique projects (two open-source)</x:v>
      </x:c>
      <x:c r="K123" s="2" t="str">
        <x:v>Partially public</x:v>
      </x:c>
      <x:c r="L123" s="2" t="str">
        <x:v>Mixed</x:v>
      </x:c>
      <x:c r="M123" s="2" t="str">
        <x:v>NA</x:v>
      </x:c>
      <x:c r="N123" s="2" t="str">
        <x:v>NR (varies per project)</x:v>
      </x:c>
      <x:c r="O123" s="2" t="str">
        <x:v>NR (varies per project)</x:v>
      </x:c>
      <x:c r="P123" s="2" t="str">
        <x:v>NA</x:v>
      </x:c>
      <x:c r="Q123" s="2" t="str">
        <x:v>industrial partners</x:v>
      </x:c>
      <x:c r="R123" s="2" t="n">
        <x:v>9</x:v>
      </x:c>
      <x:c r="S123" s="2" t="str">
        <x:v>No ground truth (qualitative feedback)</x:v>
      </x:c>
      <x:c r="T123" s="2" t="str">
        <x:v>NA</x:v>
      </x:c>
      <x:c r="U123" s="2" t="str">
        <x:v>NA</x:v>
      </x:c>
      <x:c r="V123" s="2" t="str">
        <x:v>No</x:v>
      </x:c>
      <x:c r="W123" s="2" t="str">
        <x:v>No</x:v>
      </x:c>
      <x:c r="X123" s="2" t="str">
        <x:v>participant</x:v>
      </x:c>
      <x:c r="Y123" s="2" t="str">
        <x:v>Interviews, think-aloud, recorded, transcribed, inductive thematic analysis</x:v>
      </x:c>
      <x:c r="Z123" s="2" t="str">
        <x:v>No</x:v>
      </x:c>
      <x:c r="AA123" s="2" t="str">
        <x:v>No</x:v>
      </x:c>
      <x:c r="AB123" s="2" t="str">
        <x:v>NR</x:v>
      </x:c>
      <x:c r="AC123" s="2" t="str">
        <x:v>No</x:v>
      </x:c>
      <x:c r="AD123" s="2" t="str">
        <x:v>Discussed in Threats to Validity section</x:v>
      </x:c>
      <x:c r="AE123" s="6" t="str">
        <x:v>p. 9; Section V Industrial Pilot Studies</x:v>
      </x:c>
      <x:c r="AF123" s="6" t="str">
        <x:v>To assess the effectiveness of the documentation, we conducted interviews with nine industrial partners.</x:v>
      </x:c>
      <x:c r="AG123" s="6" t="str">
        <x:v>EV4：在九个工业项目中进行试点，访谈合作伙伴收集对HGEN生成文档的定性反馈，主题分析。</x:v>
      </x:c>
      <x:c r="AH123" s="2" t="str">
        <x:v>Accepted</x:v>
      </x:c>
      <x:c r="AI123" s="6" t="str">
        <x:v>Matches prior EV4 description: 研究二：在九个工业项目中进行试点，访谈合作伙伴收集对HGEN生成文档的定性反馈，主题分析。</x:v>
      </x:c>
    </x:row>
    <x:row r="124" ht="76" customHeight="1">
      <x:c r="A124" s="2" t="str">
        <x:v>S53-EVAL-R01</x:v>
      </x:c>
      <x:c r="B124" s="2" t="str">
        <x:v>S53</x:v>
      </x:c>
      <x:c r="C124" s="2" t="str">
        <x:v>merged_1229</x:v>
      </x:c>
      <x:c r="D124" s="2" t="str">
        <x:v>Reviewer_A</x:v>
      </x:c>
      <x:c r="E124" s="2" t="str">
        <x:v>Reviewer_A</x:v>
      </x:c>
      <x:c r="F124" s="2" t="str">
        <x:v>S53-EV01</x:v>
      </x:c>
      <x:c r="G124" s="2" t="str">
        <x:v>S53-T01</x:v>
      </x:c>
      <x:c r="H124" s="2" t="str">
        <x:v>Author assessment using the predefined checklist in Table I; each quality dimension was scored as 1.0, 0.5, or 0.0.</x:v>
      </x:c>
      <x:c r="I124" s="2" t="str">
        <x:v>Synthetic user requirements generation case</x:v>
      </x:c>
      <x:c r="J124" s="2" t="str">
        <x:v>Developed by the authors</x:v>
      </x:c>
      <x:c r="K124" s="2" t="str">
        <x:v>Public</x:v>
      </x:c>
      <x:c r="L124" s="2" t="str">
        <x:v>Synthetic</x:v>
      </x:c>
      <x:c r="M124" s="2" t="str">
        <x:v>NA</x:v>
      </x:c>
      <x:c r="N124" s="2" t="str">
        <x:v>NR</x:v>
      </x:c>
      <x:c r="O124" s="2" t="str">
        <x:v>NR</x:v>
      </x:c>
      <x:c r="P124" s="2" t="str">
        <x:v>NR</x:v>
      </x:c>
      <x:c r="Q124" s="2" t="str">
        <x:v>Authors</x:v>
      </x:c>
      <x:c r="R124" s="2" t="str">
        <x:v>NR</x:v>
      </x:c>
      <x:c r="S124" s="2" t="str">
        <x:v>Author-defined checklist and injected errors</x:v>
      </x:c>
      <x:c r="T124" s="2" t="str">
        <x:v>NR</x:v>
      </x:c>
      <x:c r="U124" s="2" t="str">
        <x:v>None</x:v>
      </x:c>
      <x:c r="V124" s="2" t="str">
        <x:v>No</x:v>
      </x:c>
      <x:c r="W124" s="2" t="str">
        <x:v>Completeness; Correctness; Consistency; Traceability; Total score</x:v>
      </x:c>
      <x:c r="X124" s="2" t="str">
        <x:v>Generated artifact per task and model</x:v>
      </x:c>
      <x:c r="Y124" s="2" t="str">
        <x:v>NR</x:v>
      </x:c>
      <x:c r="Z124" s="2" t="str">
        <x:v>No</x:v>
      </x:c>
      <x:c r="AA124" s="2" t="str">
        <x:v>None</x:v>
      </x:c>
      <x:c r="AB124" s="2" t="str">
        <x:v>No</x:v>
      </x:c>
      <x:c r="AC124" s="2" t="str">
        <x:v>Yes</x:v>
      </x:c>
      <x:c r="AD124" s="2" t="str">
        <x:v>NR</x:v>
      </x:c>
      <x:c r="AE124" s="6" t="str">
        <x:v>p. 5; Section IV and Table II</x:v>
      </x:c>
      <x:c r="AF124" s="6" t="str">
        <x:v>Evaluation ... was done by assigning scores for each existing sub-criterion (1.0 - best, 0.5 - average, 0.0 - worst)</x:v>
      </x:c>
      <x:c r="AG124" s="6" t="str">
        <x:v>A controlled synthetic evaluation with qualitative error analysis; the number of assessors and agreement procedure are not reported.</x:v>
      </x:c>
      <x:c r="AH124" s="2" t="str">
        <x:v>Accepted</x:v>
      </x:c>
      <x:c r="AI124" s="6" t="str">
        <x:v>NR</x:v>
      </x:c>
    </x:row>
    <x:row r="125" ht="76" customHeight="1">
      <x:c r="A125" s="2" t="str">
        <x:v>S53-EVAL-R02</x:v>
      </x:c>
      <x:c r="B125" s="2" t="str">
        <x:v>S53</x:v>
      </x:c>
      <x:c r="C125" s="2" t="str">
        <x:v>merged_1229</x:v>
      </x:c>
      <x:c r="D125" s="2" t="str">
        <x:v>Reviewer_A</x:v>
      </x:c>
      <x:c r="E125" s="2" t="str">
        <x:v>Reviewer_A</x:v>
      </x:c>
      <x:c r="F125" s="2" t="str">
        <x:v>S53-EV02</x:v>
      </x:c>
      <x:c r="G125" s="2" t="str">
        <x:v>S53-T02</x:v>
      </x:c>
      <x:c r="H125" s="2" t="str">
        <x:v>Author assessment using the predefined checklist in Table I; each quality dimension was scored as 1.0, 0.5, or 0.0.</x:v>
      </x:c>
      <x:c r="I125" s="2" t="str">
        <x:v>Synthetic user-to-system requirements derivation case</x:v>
      </x:c>
      <x:c r="J125" s="2" t="str">
        <x:v>Developed by the authors</x:v>
      </x:c>
      <x:c r="K125" s="2" t="str">
        <x:v>Public</x:v>
      </x:c>
      <x:c r="L125" s="2" t="str">
        <x:v>Synthetic</x:v>
      </x:c>
      <x:c r="M125" s="2" t="str">
        <x:v>NA</x:v>
      </x:c>
      <x:c r="N125" s="2" t="str">
        <x:v>NR</x:v>
      </x:c>
      <x:c r="O125" s="2" t="str">
        <x:v>NR</x:v>
      </x:c>
      <x:c r="P125" s="2" t="str">
        <x:v>NR</x:v>
      </x:c>
      <x:c r="Q125" s="2" t="str">
        <x:v>Authors</x:v>
      </x:c>
      <x:c r="R125" s="2" t="str">
        <x:v>NR</x:v>
      </x:c>
      <x:c r="S125" s="2" t="str">
        <x:v>Author-defined checklist and injected errors</x:v>
      </x:c>
      <x:c r="T125" s="2" t="str">
        <x:v>NR</x:v>
      </x:c>
      <x:c r="U125" s="2" t="str">
        <x:v>None</x:v>
      </x:c>
      <x:c r="V125" s="2" t="str">
        <x:v>No</x:v>
      </x:c>
      <x:c r="W125" s="2" t="str">
        <x:v>Completeness; Correctness; Consistency; Traceability; Total score</x:v>
      </x:c>
      <x:c r="X125" s="2" t="str">
        <x:v>Generated artifact per task and model</x:v>
      </x:c>
      <x:c r="Y125" s="2" t="str">
        <x:v>NR</x:v>
      </x:c>
      <x:c r="Z125" s="2" t="str">
        <x:v>No</x:v>
      </x:c>
      <x:c r="AA125" s="2" t="str">
        <x:v>None</x:v>
      </x:c>
      <x:c r="AB125" s="2" t="str">
        <x:v>No</x:v>
      </x:c>
      <x:c r="AC125" s="2" t="str">
        <x:v>Yes</x:v>
      </x:c>
      <x:c r="AD125" s="2" t="str">
        <x:v>NR</x:v>
      </x:c>
      <x:c r="AE125" s="6" t="str">
        <x:v>p. 5; Section IV and Table II</x:v>
      </x:c>
      <x:c r="AF125" s="6" t="str">
        <x:v>Evaluation ... was done by assigning scores for each existing sub-criterion (1.0 - best, 0.5 - average, 0.0 - worst)</x:v>
      </x:c>
      <x:c r="AG125" s="6" t="str">
        <x:v>A controlled synthetic evaluation with qualitative error analysis; the number of assessors and agreement procedure are not reported.</x:v>
      </x:c>
      <x:c r="AH125" s="2" t="str">
        <x:v>Accepted</x:v>
      </x:c>
      <x:c r="AI125" s="6" t="str">
        <x:v>NR</x:v>
      </x:c>
    </x:row>
    <x:row r="126" ht="76" customHeight="1">
      <x:c r="A126" s="2" t="str">
        <x:v>S53-EVAL-R03</x:v>
      </x:c>
      <x:c r="B126" s="2" t="str">
        <x:v>S53</x:v>
      </x:c>
      <x:c r="C126" s="2" t="str">
        <x:v>merged_1229</x:v>
      </x:c>
      <x:c r="D126" s="2" t="str">
        <x:v>Reviewer_A</x:v>
      </x:c>
      <x:c r="E126" s="2" t="str">
        <x:v>Reviewer_A</x:v>
      </x:c>
      <x:c r="F126" s="2" t="str">
        <x:v>S53-EV03</x:v>
      </x:c>
      <x:c r="G126" s="2" t="str">
        <x:v>S53-T03</x:v>
      </x:c>
      <x:c r="H126" s="2" t="str">
        <x:v>Author assessment using the predefined checklist in Table I; each quality dimension was scored as 1.0, 0.5, or 0.0.</x:v>
      </x:c>
      <x:c r="I126" s="2" t="str">
        <x:v>Synthetic system requirements with injected errors</x:v>
      </x:c>
      <x:c r="J126" s="2" t="str">
        <x:v>Developed by the authors</x:v>
      </x:c>
      <x:c r="K126" s="2" t="str">
        <x:v>Public</x:v>
      </x:c>
      <x:c r="L126" s="2" t="str">
        <x:v>Synthetic</x:v>
      </x:c>
      <x:c r="M126" s="2" t="str">
        <x:v>NA</x:v>
      </x:c>
      <x:c r="N126" s="2" t="str">
        <x:v>NR</x:v>
      </x:c>
      <x:c r="O126" s="2" t="str">
        <x:v>NR</x:v>
      </x:c>
      <x:c r="P126" s="2" t="str">
        <x:v>NR</x:v>
      </x:c>
      <x:c r="Q126" s="2" t="str">
        <x:v>Authors</x:v>
      </x:c>
      <x:c r="R126" s="2" t="str">
        <x:v>NR</x:v>
      </x:c>
      <x:c r="S126" s="2" t="str">
        <x:v>Author-defined checklist and injected errors</x:v>
      </x:c>
      <x:c r="T126" s="2" t="str">
        <x:v>NR</x:v>
      </x:c>
      <x:c r="U126" s="2" t="str">
        <x:v>None</x:v>
      </x:c>
      <x:c r="V126" s="2" t="str">
        <x:v>No</x:v>
      </x:c>
      <x:c r="W126" s="2" t="str">
        <x:v>Completeness; Correctness; Consistency; Traceability; Total score</x:v>
      </x:c>
      <x:c r="X126" s="2" t="str">
        <x:v>Generated artifact per task and model</x:v>
      </x:c>
      <x:c r="Y126" s="2" t="str">
        <x:v>NR</x:v>
      </x:c>
      <x:c r="Z126" s="2" t="str">
        <x:v>No</x:v>
      </x:c>
      <x:c r="AA126" s="2" t="str">
        <x:v>None</x:v>
      </x:c>
      <x:c r="AB126" s="2" t="str">
        <x:v>No</x:v>
      </x:c>
      <x:c r="AC126" s="2" t="str">
        <x:v>Yes</x:v>
      </x:c>
      <x:c r="AD126" s="2" t="str">
        <x:v>NR</x:v>
      </x:c>
      <x:c r="AE126" s="6" t="str">
        <x:v>p. 5; Section IV and Table II</x:v>
      </x:c>
      <x:c r="AF126" s="6" t="str">
        <x:v>Evaluation ... was done by assigning scores for each existing sub-criterion (1.0 - best, 0.5 - average, 0.0 - worst)</x:v>
      </x:c>
      <x:c r="AG126" s="6" t="str">
        <x:v>A controlled synthetic evaluation with qualitative error analysis; the number of assessors and agreement procedure are not reported.</x:v>
      </x:c>
      <x:c r="AH126" s="2" t="str">
        <x:v>Accepted</x:v>
      </x:c>
      <x:c r="AI126" s="6" t="str">
        <x:v>NR</x:v>
      </x:c>
    </x:row>
    <x:row r="127" ht="76" customHeight="1">
      <x:c r="A127" s="2" t="str">
        <x:v>S53-EVAL-R04</x:v>
      </x:c>
      <x:c r="B127" s="2" t="str">
        <x:v>S53</x:v>
      </x:c>
      <x:c r="C127" s="2" t="str">
        <x:v>merged_1229</x:v>
      </x:c>
      <x:c r="D127" s="2" t="str">
        <x:v>Reviewer_A</x:v>
      </x:c>
      <x:c r="E127" s="2" t="str">
        <x:v>Reviewer_A</x:v>
      </x:c>
      <x:c r="F127" s="2" t="str">
        <x:v>S53-EV04</x:v>
      </x:c>
      <x:c r="G127" s="2" t="str">
        <x:v>S53-T04</x:v>
      </x:c>
      <x:c r="H127" s="2" t="str">
        <x:v>Author assessment using the predefined checklist in Table I; each quality dimension was scored as 1.0, 0.5, or 0.0.</x:v>
      </x:c>
      <x:c r="I127" s="2" t="str">
        <x:v>Synthetic requirements-to-test generation case</x:v>
      </x:c>
      <x:c r="J127" s="2" t="str">
        <x:v>Developed by the authors</x:v>
      </x:c>
      <x:c r="K127" s="2" t="str">
        <x:v>Public</x:v>
      </x:c>
      <x:c r="L127" s="2" t="str">
        <x:v>Synthetic</x:v>
      </x:c>
      <x:c r="M127" s="2" t="str">
        <x:v>NA</x:v>
      </x:c>
      <x:c r="N127" s="2" t="str">
        <x:v>NR</x:v>
      </x:c>
      <x:c r="O127" s="2" t="str">
        <x:v>NR</x:v>
      </x:c>
      <x:c r="P127" s="2" t="str">
        <x:v>NR</x:v>
      </x:c>
      <x:c r="Q127" s="2" t="str">
        <x:v>Authors</x:v>
      </x:c>
      <x:c r="R127" s="2" t="str">
        <x:v>NR</x:v>
      </x:c>
      <x:c r="S127" s="2" t="str">
        <x:v>Author-defined checklist and injected errors</x:v>
      </x:c>
      <x:c r="T127" s="2" t="str">
        <x:v>NR</x:v>
      </x:c>
      <x:c r="U127" s="2" t="str">
        <x:v>None</x:v>
      </x:c>
      <x:c r="V127" s="2" t="str">
        <x:v>No</x:v>
      </x:c>
      <x:c r="W127" s="2" t="str">
        <x:v>Completeness; Correctness; Consistency; Traceability; Total score</x:v>
      </x:c>
      <x:c r="X127" s="2" t="str">
        <x:v>Generated artifact per task and model</x:v>
      </x:c>
      <x:c r="Y127" s="2" t="str">
        <x:v>NR</x:v>
      </x:c>
      <x:c r="Z127" s="2" t="str">
        <x:v>No</x:v>
      </x:c>
      <x:c r="AA127" s="2" t="str">
        <x:v>None</x:v>
      </x:c>
      <x:c r="AB127" s="2" t="str">
        <x:v>No</x:v>
      </x:c>
      <x:c r="AC127" s="2" t="str">
        <x:v>Yes</x:v>
      </x:c>
      <x:c r="AD127" s="2" t="str">
        <x:v>NR</x:v>
      </x:c>
      <x:c r="AE127" s="6" t="str">
        <x:v>p. 5; Section IV and Table II</x:v>
      </x:c>
      <x:c r="AF127" s="6" t="str">
        <x:v>Evaluation ... was done by assigning scores for each existing sub-criterion (1.0 - best, 0.5 - average, 0.0 - worst)</x:v>
      </x:c>
      <x:c r="AG127" s="6" t="str">
        <x:v>A controlled synthetic evaluation with qualitative error analysis; the number of assessors and agreement procedure are not reported.</x:v>
      </x:c>
      <x:c r="AH127" s="2" t="str">
        <x:v>Accepted</x:v>
      </x:c>
      <x:c r="AI127" s="6" t="str">
        <x:v>NR</x:v>
      </x:c>
    </x:row>
    <x:row r="128" ht="76" customHeight="1">
      <x:c r="A128" s="2" t="str">
        <x:v>G1-EVAL-R01</x:v>
      </x:c>
      <x:c r="B128" s="2" t="str">
        <x:v>G1</x:v>
      </x:c>
      <x:c r="C128" s="2" t="str">
        <x:v>v1</x:v>
      </x:c>
      <x:c r="D128" s="2" t="str">
        <x:v>Reviewer_A</x:v>
      </x:c>
      <x:c r="E128" s="2" t="str">
        <x:v>Reviewer_A</x:v>
      </x:c>
      <x:c r="F128" s="2" t="str">
        <x:v>G1-EV01</x:v>
      </x:c>
      <x:c r="G128" s="2" t="str">
        <x:v>G1-T01</x:v>
      </x:c>
      <x:c r="H128" s="2" t="str">
        <x:v>Demonstration</x:v>
      </x:c>
      <x:c r="I128" s="2" t="str">
        <x:v>NR</x:v>
      </x:c>
      <x:c r="J128" s="2" t="str">
        <x:v>NR</x:v>
      </x:c>
      <x:c r="K128" s="2" t="str">
        <x:v>NR</x:v>
      </x:c>
      <x:c r="L128" s="2" t="str">
        <x:v>Toy</x:v>
      </x:c>
      <x:c r="M128" s="2" t="str">
        <x:v>NA</x:v>
      </x:c>
      <x:c r="N128" s="2" t="str">
        <x:v>NR</x:v>
      </x:c>
      <x:c r="O128" s="2" t="str">
        <x:v>NR</x:v>
      </x:c>
      <x:c r="P128" s="2" t="str">
        <x:v>NR</x:v>
      </x:c>
      <x:c r="Q128" s="2" t="str">
        <x:v>NA</x:v>
      </x:c>
      <x:c r="R128" s="2" t="str">
        <x:v>NA</x:v>
      </x:c>
      <x:c r="S128" s="2" t="str">
        <x:v>NR</x:v>
      </x:c>
      <x:c r="T128" s="2" t="str">
        <x:v>NR</x:v>
      </x:c>
      <x:c r="U128" s="2" t="str">
        <x:v>None</x:v>
      </x:c>
      <x:c r="V128" s="2" t="str">
        <x:v>NR</x:v>
      </x:c>
      <x:c r="W128" s="2" t="str">
        <x:v>NR</x:v>
      </x:c>
      <x:c r="X128" s="2" t="str">
        <x:v>artifact pair</x:v>
      </x:c>
      <x:c r="Y128" s="2" t="str">
        <x:v>NR</x:v>
      </x:c>
      <x:c r="Z128" s="2" t="str">
        <x:v>NR</x:v>
      </x:c>
      <x:c r="AA128" s="2" t="str">
        <x:v>NA</x:v>
      </x:c>
      <x:c r="AB128" s="2" t="str">
        <x:v>NR</x:v>
      </x:c>
      <x:c r="AC128" s="2" t="str">
        <x:v>NR</x:v>
      </x:c>
      <x:c r="AD128" s="2" t="str">
        <x:v>NR</x:v>
      </x:c>
      <x:c r="AE128" s="6" t="str">
        <x:v>G1_video_page.png (upload date field, title, view count, likes) ; G1_page_description.png (view count, description text, hashtags, Udemy course links and coupon code) ; [00:00] ; [00:33] ; [00:37] ; [00:50] ; [01:18] ; [02:27] ; [02:33] ; [02:55] ; [03:17] ; [03:41] ; [03:52] ; [04:27] ; [05:04] ; [06:46] </x:v>
      </x:c>
      <x:c r="AF128" s="6" t="str">
        <x:v>we can make use of chat gpd to perform requirement traceability matrix of our software quality test cases and automated test case ; it can also tell that this particular requirement is not really covered in the test scenario</x:v>
      </x:c>
      <x:c r="AG128" s="6" t="str">
        <x:v>A single walkthrough on one self-written example requirement and its scenarios; no dataset, no reference standard and no comparison.</x:v>
      </x:c>
      <x:c r="AH128" s="2" t="str">
        <x:v>Accepted</x:v>
      </x:c>
      <x:c r="AI128" s="6" t="str">
        <x:v>The material is a practitioner tutorial demonstration; the requirement and the scenarios are self-written.</x:v>
      </x:c>
    </x:row>
    <x:row r="129" ht="76" customHeight="1">
      <x:c r="A129" s="2" t="str">
        <x:v>G2-EVAL-R02</x:v>
      </x:c>
      <x:c r="B129" s="2" t="str">
        <x:v>G2</x:v>
      </x:c>
      <x:c r="C129" s="2" t="str">
        <x:v>v1</x:v>
      </x:c>
      <x:c r="D129" s="2" t="str">
        <x:v>Reviewer_A</x:v>
      </x:c>
      <x:c r="E129" s="2" t="str">
        <x:v>Reviewer_A</x:v>
      </x:c>
      <x:c r="F129" s="2" t="str">
        <x:v>G2-EV01</x:v>
      </x:c>
      <x:c r="G129" s="2" t="str">
        <x:v>G2-T01</x:v>
      </x:c>
      <x:c r="H129" s="2" t="str">
        <x:v>Other (practitioner interviews plus an observational live demonstration)</x:v>
      </x:c>
      <x:c r="I129" s="2" t="str">
        <x:v>demo study (vendor-generated synthetic study) ; Pinnacle 21 reports referenced for integration</x:v>
      </x:c>
      <x:c r="J129" s="2" t="str">
        <x:v>a demo study generated by the vendor itself; the presenter states that the data are not real and were produced in house</x:v>
      </x:c>
      <x:c r="K129" s="2" t="str">
        <x:v>Public</x:v>
      </x:c>
      <x:c r="L129" s="2" t="str">
        <x:v>Synthetic</x:v>
      </x:c>
      <x:c r="M129" s="2" t="str">
        <x:v>NA</x:v>
      </x:c>
      <x:c r="N129" s="2" t="str">
        <x:v>NR</x:v>
      </x:c>
      <x:c r="O129" s="2" t="str">
        <x:v>NR</x:v>
      </x:c>
      <x:c r="P129" s="2" t="str">
        <x:v>NR</x:v>
      </x:c>
      <x:c r="Q129" s="2" t="str">
        <x:v>industrial practitioners (statistical programmers, medical writers, statisticians and regulators are the stakeholders discussed)</x:v>
      </x:c>
      <x:c r="R129" s="2" t="str">
        <x:v>NR</x:v>
      </x:c>
      <x:c r="S129" s="2" t="str">
        <x:v>the static code analysis of the study, which the presenter states returns the same answer for the same code base</x:v>
      </x:c>
      <x:c r="T129" s="2" t="str">
        <x:v>NR</x:v>
      </x:c>
      <x:c r="U129" s="2" t="str">
        <x:v>Weak</x:v>
      </x:c>
      <x:c r="V129" s="2" t="str">
        <x:v>NR</x:v>
      </x:c>
      <x:c r="W129" s="2" t="str">
        <x:v>95% of time saved to figure out how something was programmed in an unfamiliar study (reported as a partner estimate) ; review scope cut from 900 lines of code to 25</x:v>
      </x:c>
      <x:c r="X129" s="2" t="str">
        <x:v>task execution</x:v>
      </x:c>
      <x:c r="Y129" s="2" t="str">
        <x:v>Practitioner interviews and an observational live demonstration; no controlled protocol is reported.</x:v>
      </x:c>
      <x:c r="Z129" s="2" t="str">
        <x:v>NR</x:v>
      </x:c>
      <x:c r="AA129" s="2" t="str">
        <x:v>NA</x:v>
      </x:c>
      <x:c r="AB129" s="2" t="str">
        <x:v>Yes (a confidence indication is returned with each answer; no variance or confidence interval is reported)</x:v>
      </x:c>
      <x:c r="AC129" s="2" t="str">
        <x:v>Yes (the specification check reports match, mismatch or unsure instead of forcing a judgement)</x:v>
      </x:c>
      <x:c r="AD129" s="2" t="str">
        <x:v>The model is given only statically derived traceability evidence instead of the whole code base, and the static analysis remains the deterministic foundation.</x:v>
      </x:c>
      <x:c r="AE129" s="6" t="str">
        <x:v>G2_video_page.png (title, speaker and affiliation slide, channel, view count, likes) ; G2_page_description.png (page date, speaker attribution, description text, links) ; [00:59] ; [07:19] ; [07:32] ; [09:38] ; [10:14] ; [12:17] ; [12:24] ; [14:08] ; [17:39] ; [21:09] ; [26:46] ; [32:49] ; [37:01] ; [38:58] ; [39:01] ; [39:17] ; [40:47] </x:v>
      </x:c>
      <x:c r="AF129" s="6" t="str">
        <x:v>it's a fake one we generate the data ourselves ; our current best estimates coming from the people that we work with so we're not making up these numbers is that 95% of time is saved to figure out how something was programmed in a study that they're unfamiliar with</x:v>
      </x:c>
      <x:c r="AG129" s="6" t="str">
        <x:v>Practitioner observations and a vendor demonstration; the effect figures come from the partner organisations rather than from a measured evaluation.</x:v>
      </x:c>
      <x:c r="AH129" s="2" t="str">
        <x:v>Accepted</x:v>
      </x:c>
      <x:c r="AI129" s="6" t="str">
        <x:v>The effect figures are attributed to partner estimates and the demonstration study is synthetic.</x:v>
      </x:c>
    </x:row>
    <x:row r="130" ht="76" customHeight="1">
      <x:c r="A130" s="2" t="str">
        <x:v>G3-EVAL-R03</x:v>
      </x:c>
      <x:c r="B130" s="2" t="str">
        <x:v>G3</x:v>
      </x:c>
      <x:c r="C130" s="2" t="str">
        <x:v>v1</x:v>
      </x:c>
      <x:c r="D130" s="2" t="str">
        <x:v>Reviewer_A</x:v>
      </x:c>
      <x:c r="E130" s="2" t="str">
        <x:v>Reviewer_A</x:v>
      </x:c>
      <x:c r="F130" s="2" t="str">
        <x:v>G3-EV01</x:v>
      </x:c>
      <x:c r="G130" s="2" t="str">
        <x:v>G3-T01</x:v>
      </x:c>
      <x:c r="H130" s="2" t="str">
        <x:v>Demonstration</x:v>
      </x:c>
      <x:c r="I130" s="2" t="str">
        <x:v>NR</x:v>
      </x:c>
      <x:c r="J130" s="2" t="str">
        <x:v>a self-supplied stakeholder interview or meeting recording used in the demonstration</x:v>
      </x:c>
      <x:c r="K130" s="2" t="str">
        <x:v>NR</x:v>
      </x:c>
      <x:c r="L130" s="2" t="str">
        <x:v>NR</x:v>
      </x:c>
      <x:c r="M130" s="2" t="str">
        <x:v>NA</x:v>
      </x:c>
      <x:c r="N130" s="2" t="str">
        <x:v>NR</x:v>
      </x:c>
      <x:c r="O130" s="2" t="str">
        <x:v>NR</x:v>
      </x:c>
      <x:c r="P130" s="2" t="str">
        <x:v>NR</x:v>
      </x:c>
      <x:c r="Q130" s="2" t="str">
        <x:v>NR</x:v>
      </x:c>
      <x:c r="R130" s="2" t="str">
        <x:v>NR</x:v>
      </x:c>
      <x:c r="S130" s="2" t="str">
        <x:v>NR</x:v>
      </x:c>
      <x:c r="T130" s="2" t="str">
        <x:v>NR</x:v>
      </x:c>
      <x:c r="U130" s="2" t="str">
        <x:v>None</x:v>
      </x:c>
      <x:c r="V130" s="2" t="str">
        <x:v>NR</x:v>
      </x:c>
      <x:c r="W130" s="2" t="str">
        <x:v>NR</x:v>
      </x:c>
      <x:c r="X130" s="2" t="str">
        <x:v>Unclear</x:v>
      </x:c>
      <x:c r="Y130" s="2" t="str">
        <x:v>NR</x:v>
      </x:c>
      <x:c r="Z130" s="2" t="str">
        <x:v>NR</x:v>
      </x:c>
      <x:c r="AA130" s="2" t="str">
        <x:v>NA</x:v>
      </x:c>
      <x:c r="AB130" s="2" t="str">
        <x:v>NR</x:v>
      </x:c>
      <x:c r="AC130" s="2" t="str">
        <x:v>NR</x:v>
      </x:c>
      <x:c r="AD130" s="2" t="str">
        <x:v>NR</x:v>
      </x:c>
      <x:c r="AE130" s="6" t="str">
        <x:v>G3_video_page.png (title, channel, view count, likes) ; G3_page_description.png (page date, description text, feature list, uploading account) ; [00:01] ; [00:10] ; [00:30] ; [00:45] ; [00:54] ; [01:04] ; [01:14] ; [01:26] ; [01:32] ; [01:39] ; [02:05] ; [02:15] ; [02:56] ; [03:13] </x:v>
      </x:c>
      <x:c r="AF130" s="6" t="str">
        <x:v>from here, you can upload a new audio file, for example, a stakeholder interview or meeting recording</x:v>
      </x:c>
      <x:c r="AG130" s="6" t="str">
        <x:v>A single self-recorded audio input drives the demonstrated pipeline; the material does not describe it as a dataset.</x:v>
      </x:c>
      <x:c r="AH130" s="2" t="str">
        <x:v>Accepted</x:v>
      </x:c>
      <x:c r="AI130" s="6" t="str">
        <x:v>No case object beyond one self-prepared recording and no measurement of any kind is reported.</x:v>
      </x:c>
    </x:row>
    <x:row r="131" ht="76" customHeight="1">
      <x:c r="A131" s="2" t="str">
        <x:v>G7-EVAL-R04</x:v>
      </x:c>
      <x:c r="B131" s="2" t="str">
        <x:v>G7</x:v>
      </x:c>
      <x:c r="C131" s="2" t="str">
        <x:v>v1</x:v>
      </x:c>
      <x:c r="D131" s="2" t="str">
        <x:v>Reviewer_A</x:v>
      </x:c>
      <x:c r="E131" s="2" t="str">
        <x:v>Reviewer_A</x:v>
      </x:c>
      <x:c r="F131" s="2" t="str">
        <x:v>G7-EV01</x:v>
      </x:c>
      <x:c r="G131" s="2" t="str">
        <x:v>G7-T01</x:v>
      </x:c>
      <x:c r="H131" s="2" t="str">
        <x:v>Other (practitioner self-test comparison and a user group workshop)</x:v>
      </x:c>
      <x:c r="I131" s="2" t="str">
        <x:v>Eclipse S-CORE documentation ; the workshop parking-assistant example built from scratch</x:v>
      </x:c>
      <x:c r="J131" s="2" t="str">
        <x:v>the Eclipse S-CORE project documentation used for the live checks and the prototype; a customer ECU project maintaining 100,000 elements is mentioned in the introduction</x:v>
      </x:c>
      <x:c r="K131" s="2" t="str">
        <x:v>Public</x:v>
      </x:c>
      <x:c r="L131" s="2" t="str">
        <x:v>Mixed</x:v>
      </x:c>
      <x:c r="M131" s="2" t="str">
        <x:v>NA</x:v>
      </x:c>
      <x:c r="N131" s="2" t="str">
        <x:v>NR</x:v>
      </x:c>
      <x:c r="O131" s="2" t="str">
        <x:v>NR</x:v>
      </x:c>
      <x:c r="P131" s="2" t="str">
        <x:v>NR</x:v>
      </x:c>
      <x:c r="Q131" s="2" t="str">
        <x:v>industry practitioners (a Sphinx-Needs user group meeting with over 40 participants, and an engineer who evaluated the frameworks)</x:v>
      </x:c>
      <x:c r="R131" s="2" t="str">
        <x:v>over 40 user group participants; the framework comparison is reported by one engineer</x:v>
      </x:c>
      <x:c r="S131" s="2" t="str">
        <x:v>the Sphinx-Needs traceability graph and its link rules act as the check on what the agent produced</x:v>
      </x:c>
      <x:c r="T131" s="2" t="str">
        <x:v>the generated artefacts are validated against the graph, the link rules and an ontology by deterministic code</x:v>
      </x:c>
      <x:c r="U131" s="2" t="str">
        <x:v>Weak</x:v>
      </x:c>
      <x:c r="V131" s="2" t="str">
        <x:v>Yes (a per-framework comparison of tokens consumed and results reported by a practitioner)</x:v>
      </x:c>
      <x:c r="W131" s="2" t="str">
        <x:v>tokens consumed per framework run: pharaoh he has used 11,000 tokens in his tests in this particular one and all the others has taken more up to nearly 70,000</x:v>
      </x:c>
      <x:c r="X131" s="2" t="str">
        <x:v>project</x:v>
      </x:c>
      <x:c r="Y131" s="2" t="str">
        <x:v>A user group session and a customer-side self-test comparison reported by an engineer; no controlled protocol is reported.</x:v>
      </x:c>
      <x:c r="Z131" s="2" t="str">
        <x:v>NR</x:v>
      </x:c>
      <x:c r="AA131" s="2" t="str">
        <x:v>NA</x:v>
      </x:c>
      <x:c r="AB131" s="2" t="str">
        <x:v>NR</x:v>
      </x:c>
      <x:c r="AC131" s="2" t="str">
        <x:v>Yes (the input scope is filtered and the output is validated so that failures can be attributed to the exposed input)</x:v>
      </x:c>
      <x:c r="AD131" s="2" t="str">
        <x:v>Access is restricted through query interfaces and command-line tools instead of passing whole datasets, and the agent definition is kept in the user repository.</x:v>
      </x:c>
      <x:c r="AE131"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AF131" s="6" t="str">
        <x:v>pharaoh he has used 11,000 tokens in his tests in this particular one and all the others has taken more up to nearly 70,000, so six times more. ; um with much um worse um results at the end.</x:v>
      </x:c>
      <x:c r="AG131" s="6" t="str">
        <x:v>Trial use in a community setting plus a self-run framework comparison; observational and self-reported rather than controlled.</x:v>
      </x:c>
      <x:c r="AH131" s="2" t="str">
        <x:v>Accepted</x:v>
      </x:c>
      <x:c r="AI131" s="6" t="str">
        <x:v>The token comparison was run by one practitioner across frameworks on the same scenario.</x:v>
      </x:c>
    </x:row>
    <x:row r="132" ht="76" customHeight="1">
      <x:c r="A132" s="2" t="str">
        <x:v>G8-EVAL-R05</x:v>
      </x:c>
      <x:c r="B132" s="2" t="str">
        <x:v>G8</x:v>
      </x:c>
      <x:c r="C132" s="2" t="str">
        <x:v>v1</x:v>
      </x:c>
      <x:c r="D132" s="2" t="str">
        <x:v>Reviewer_A</x:v>
      </x:c>
      <x:c r="E132" s="2" t="str">
        <x:v>Reviewer_A</x:v>
      </x:c>
      <x:c r="F132" s="2" t="str">
        <x:v>G8-EV01</x:v>
      </x:c>
      <x:c r="G132" s="2" t="str">
        <x:v>G8-T01</x:v>
      </x:c>
      <x:c r="H132" s="2" t="str">
        <x:v>Demonstration</x:v>
      </x:c>
      <x:c r="I132" s="2" t="str">
        <x:v>NR</x:v>
      </x:c>
      <x:c r="J132" s="2" t="str">
        <x:v>the cFS heritage codebase; two applications in phase one; a results view listing requirements numbered in the md 2000 range</x:v>
      </x:c>
      <x:c r="K132" s="2" t="str">
        <x:v>NR</x:v>
      </x:c>
      <x:c r="L132" s="2" t="str">
        <x:v>Industrial offline data</x:v>
      </x:c>
      <x:c r="M132" s="2" t="str">
        <x:v>NA</x:v>
      </x:c>
      <x:c r="N132" s="2" t="str">
        <x:v>NR</x:v>
      </x:c>
      <x:c r="O132" s="2" t="str">
        <x:v>NR</x:v>
      </x:c>
      <x:c r="P132" s="2" t="str">
        <x:v>NR</x:v>
      </x:c>
      <x:c r="Q132" s="2" t="str">
        <x:v>NR</x:v>
      </x:c>
      <x:c r="R132" s="2" t="str">
        <x:v>NR</x:v>
      </x:c>
      <x:c r="S132" s="2" t="str">
        <x:v>NR</x:v>
      </x:c>
      <x:c r="T132" s="2" t="str">
        <x:v>NR</x:v>
      </x:c>
      <x:c r="U132" s="2" t="str">
        <x:v>None</x:v>
      </x:c>
      <x:c r="V132" s="2" t="str">
        <x:v>NR</x:v>
      </x:c>
      <x:c r="W132" s="2" t="str">
        <x:v>NR</x:v>
      </x:c>
      <x:c r="X132" s="2" t="str">
        <x:v>artifact pair</x:v>
      </x:c>
      <x:c r="Y132" s="2" t="str">
        <x:v>NR</x:v>
      </x:c>
      <x:c r="Z132" s="2" t="str">
        <x:v>NR</x:v>
      </x:c>
      <x:c r="AA132" s="2" t="str">
        <x:v>NA</x:v>
      </x:c>
      <x:c r="AB132" s="2" t="str">
        <x:v>NR</x:v>
      </x:c>
      <x:c r="AC132" s="2" t="str">
        <x:v>Yes (mappings the agent is not certain about are flagged and artefacts it cannot locate are left blank)</x:v>
      </x:c>
      <x:c r="AD132" s="2" t="str">
        <x:v>Uncertain mappings are flagged and gaps are left blank instead of being filled in.</x:v>
      </x:c>
      <x:c r="AE132"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AF132" s="6" t="str">
        <x:v>since it couldn't locate the b build verification script, it made it blank ; right now 20 35 requirements takes 25 minutes so we are going to include rag to have no delays</x:v>
      </x:c>
      <x:c r="AG132" s="6" t="str">
        <x:v>A live run over real flight-software artefacts with a reported runtime and no accuracy measurement.</x:v>
      </x:c>
      <x:c r="AH132" s="2" t="str">
        <x:v>Accepted</x:v>
      </x:c>
      <x:c r="AI132" s="6" t="str">
        <x:v>No accuracy metric is reported; the only quantitative observation is the runtime.</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19" hidden="0" customWidth="1"/>
    <x:col min="8" max="8" width="19" hidden="0" customWidth="1"/>
    <x:col min="9" max="9" width="19" hidden="0" customWidth="1"/>
    <x:col min="10" max="10" width="20"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52"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52" hidden="0" customWidth="1"/>
    <x:col min="28" max="28" width="52" hidden="0" customWidth="1"/>
    <x:col min="29" max="29" width="52" hidden="0" customWidth="1"/>
    <x:col min="30" max="30" width="20" hidden="0" customWidth="1"/>
    <x:col min="31" max="31" width="52" hidden="0" customWidth="1"/>
  </x:cols>
  <x:sheetData>
    <x:row r="1" ht="38" customHeight="1">
      <x:c r="A1" s="5" t="str">
        <x:v>record_id</x:v>
      </x:c>
      <x:c r="B1" s="5" t="str">
        <x:v>study_id</x:v>
      </x:c>
      <x:c r="C1" s="5" t="str">
        <x:v>version_id</x:v>
      </x:c>
      <x:c r="D1" s="5" t="str">
        <x:v>review_stage</x:v>
      </x:c>
      <x:c r="E1" s="5" t="str">
        <x:v>reviewer_id</x:v>
      </x:c>
      <x:c r="F1" s="5" t="str">
        <x:v>result_id</x:v>
      </x:c>
      <x:c r="G1" s="5" t="str">
        <x:v>evaluation_id</x:v>
      </x:c>
      <x:c r="H1" s="5" t="str">
        <x:v>task_id</x:v>
      </x:c>
      <x:c r="I1" s="5" t="str">
        <x:v>model_use_id</x:v>
      </x:c>
      <x:c r="J1" s="5" t="str">
        <x:v>dataset_name</x:v>
      </x:c>
      <x:c r="K1" s="5" t="str">
        <x:v>method_name</x:v>
      </x:c>
      <x:c r="L1" s="5" t="str">
        <x:v>baseline_name</x:v>
      </x:c>
      <x:c r="M1" s="5" t="str">
        <x:v>metric</x:v>
      </x:c>
      <x:c r="N1" s="5" t="str">
        <x:v>reported_value_verbatim</x:v>
      </x:c>
      <x:c r="O1" s="5" t="str">
        <x:v>numeric_value</x:v>
      </x:c>
      <x:c r="P1" s="5" t="str">
        <x:v>value_unit</x:v>
      </x:c>
      <x:c r="Q1" s="5" t="str">
        <x:v>baseline_value_verbatim</x:v>
      </x:c>
      <x:c r="R1" s="5" t="str">
        <x:v>baseline_numeric</x:v>
      </x:c>
      <x:c r="S1" s="5" t="str">
        <x:v>variance_or_ci</x:v>
      </x:c>
      <x:c r="T1" s="5" t="str">
        <x:v>effect_direction</x:v>
      </x:c>
      <x:c r="U1" s="5" t="str">
        <x:v>statistical_significance</x:v>
      </x:c>
      <x:c r="V1" s="5" t="str">
        <x:v>practical_significance</x:v>
      </x:c>
      <x:c r="W1" s="5" t="str">
        <x:v>cost_result</x:v>
      </x:c>
      <x:c r="X1" s="5" t="str">
        <x:v>time_result</x:v>
      </x:c>
      <x:c r="Y1" s="5" t="str">
        <x:v>failure_case</x:v>
      </x:c>
      <x:c r="Z1" s="5" t="str">
        <x:v>negative_or_null_result</x:v>
      </x:c>
      <x:c r="AA1" s="5" t="str">
        <x:v>evidence_location</x:v>
      </x:c>
      <x:c r="AB1" s="5" t="str">
        <x:v>evidence_verbatim</x:v>
      </x:c>
      <x:c r="AC1" s="5" t="str">
        <x:v>reviewer_interpretation</x:v>
      </x:c>
      <x:c r="AD1" s="5" t="str">
        <x:v>record_status</x:v>
      </x:c>
      <x:c r="AE1" s="5" t="str">
        <x:v>notes</x:v>
      </x:c>
    </x:row>
    <x:row r="2" ht="76" customHeight="1">
      <x:c r="A2" s="2" t="str">
        <x:v>S01-RESULT-R01</x:v>
      </x:c>
      <x:c r="B2" s="2" t="str">
        <x:v>S01</x:v>
      </x:c>
      <x:c r="C2" s="2" t="str">
        <x:v>merged_0002</x:v>
      </x:c>
      <x:c r="D2" s="2" t="str">
        <x:v>Reviewer_A</x:v>
      </x:c>
      <x:c r="E2" s="2" t="str">
        <x:v>Reviewer_A</x:v>
      </x:c>
      <x:c r="F2" s="2" t="str">
        <x:v>S01-R01</x:v>
      </x:c>
      <x:c r="G2" s="2" t="str">
        <x:v>S01-EV01</x:v>
      </x:c>
      <x:c r="H2" s="2" t="str">
        <x:v>S01-T01</x:v>
      </x:c>
      <x:c r="I2" s="2" t="str">
        <x:v>NA</x:v>
      </x:c>
      <x:c r="J2" s="2" t="str">
        <x:v>Requirements to Code datasets (SMOS, eTour, iTrust, Dronology)</x:v>
      </x:c>
      <x:c r="K2" s="2" t="str">
        <x:v>LiSSA: None preprocessing, Prompt 2 (CoT)</x:v>
      </x:c>
      <x:c r="L2" s="2" t="str">
        <x:v>FTLR</x:v>
      </x:c>
      <x:c r="M2" s="2" t="str">
        <x:v>F1</x:v>
      </x:c>
      <x:c r="N2" s="6" t="str">
        <x:v>0.322 (average F1)</x:v>
      </x:c>
      <x:c r="O2" s="2" t="n">
        <x:v>0.322</x:v>
      </x:c>
      <x:c r="P2" s="2" t="str">
        <x:v>proportion</x:v>
      </x:c>
      <x:c r="Q2" s="6" t="str">
        <x:v>0.278 (average F1)</x:v>
      </x:c>
      <x:c r="R2" s="2" t="n">
        <x:v>0.278</x:v>
      </x:c>
      <x:c r="S2" s="2" t="str">
        <x:v>NR</x:v>
      </x:c>
      <x:c r="T2" s="2" t="str">
        <x:v>Better</x:v>
      </x:c>
      <x:c r="U2" s="2" t="str">
        <x:v>Significant</x:v>
      </x:c>
      <x:c r="V2" s="2" t="str">
        <x:v>NR</x:v>
      </x:c>
      <x:c r="W2" s="2" t="str">
        <x:v>NR</x:v>
      </x:c>
      <x:c r="X2" s="2" t="str">
        <x:v>NR</x:v>
      </x:c>
      <x:c r="Y2" s="2" t="str">
        <x:v>NR</x:v>
      </x:c>
      <x:c r="Z2" s="2" t="str">
        <x:v>No</x:v>
      </x:c>
      <x:c r="AA2" s="6" t="str">
        <x:v>p. 9, Table IV</x:v>
      </x:c>
      <x:c r="AB2" s="6" t="str">
        <x:v>Prep. None / None / P2 Avg. F1 0.322 FTLR Avg. F1 0.278</x:v>
      </x:c>
      <x:c r="AC2" s="6" t="str">
        <x:v>GPT-4o无预处理CoT提示在需求至代码TLR上的平均F1显著优于FTLR</x:v>
      </x:c>
      <x:c r="AD2" s="2" t="str">
        <x:v>Accepted</x:v>
      </x:c>
      <x:c r="AE2" s="6" t="str">
        <x:v>p值=0.03</x:v>
      </x:c>
    </x:row>
    <x:row r="3" ht="76" customHeight="1">
      <x:c r="A3" s="2" t="str">
        <x:v>S01-RESULT-R02</x:v>
      </x:c>
      <x:c r="B3" s="2" t="str">
        <x:v>S01</x:v>
      </x:c>
      <x:c r="C3" s="2" t="str">
        <x:v>merged_0002</x:v>
      </x:c>
      <x:c r="D3" s="2" t="str">
        <x:v>Reviewer_A</x:v>
      </x:c>
      <x:c r="E3" s="2" t="str">
        <x:v>Reviewer_A</x:v>
      </x:c>
      <x:c r="F3" s="2" t="str">
        <x:v>S01-R02</x:v>
      </x:c>
      <x:c r="G3" s="2" t="str">
        <x:v>S01-EV01</x:v>
      </x:c>
      <x:c r="H3" s="2" t="str">
        <x:v>S01-T01</x:v>
      </x:c>
      <x:c r="I3" s="2" t="str">
        <x:v>NA</x:v>
      </x:c>
      <x:c r="J3" s="2" t="str">
        <x:v>Requirements to Code datasets</x:v>
      </x:c>
      <x:c r="K3" s="2" t="str">
        <x:v>LiSSA: Sentence/Chunk(200) preprocessing with Prompt 2</x:v>
      </x:c>
      <x:c r="L3" s="2" t="str">
        <x:v>LiSSA: None preprocessing with Prompt 2</x:v>
      </x:c>
      <x:c r="M3" s="2" t="str">
        <x:v>F1</x:v>
      </x:c>
      <x:c r="N3" s="6" t="str">
        <x:v>0.242 (average F1)</x:v>
      </x:c>
      <x:c r="O3" s="2" t="n">
        <x:v>0.242</x:v>
      </x:c>
      <x:c r="P3" s="2" t="str">
        <x:v>proportion</x:v>
      </x:c>
      <x:c r="Q3" s="6" t="str">
        <x:v>0.322 (average F1)</x:v>
      </x:c>
      <x:c r="R3" s="2" t="n">
        <x:v>0.322</x:v>
      </x:c>
      <x:c r="S3" s="2" t="str">
        <x:v>NR</x:v>
      </x:c>
      <x:c r="T3" s="2" t="str">
        <x:v>Worse</x:v>
      </x:c>
      <x:c r="U3" s="2" t="str">
        <x:v>Not tested</x:v>
      </x:c>
      <x:c r="V3" s="2" t="str">
        <x:v>NR</x:v>
      </x:c>
      <x:c r="W3" s="2" t="str">
        <x:v>NR</x:v>
      </x:c>
      <x:c r="X3" s="2" t="str">
        <x:v>NR</x:v>
      </x:c>
      <x:c r="Y3" s="2" t="str">
        <x:v>NR</x:v>
      </x:c>
      <x:c r="Z3" s="2" t="str">
        <x:v>Yes</x:v>
      </x:c>
      <x:c r="AA3" s="6" t="str">
        <x:v>p. 11; Section V. Discussion &amp; Future Work</x:v>
      </x:c>
      <x:c r="AB3" s="6" t="str">
        <x:v>Looking at the different preprocessing techniques and the impact of fine-grained mappings (RQ3), we show that the preprocessing of artifacts is, on average, not beneficial.</x:v>
      </x:c>
      <x:c r="AC3" s="6" t="str">
        <x:v>细粒度预处理未提升平均性能，反而有所下降</x:v>
      </x:c>
      <x:c r="AD3" s="2" t="str">
        <x:v>Accepted</x:v>
      </x:c>
      <x:c r="AE3" s="6" t="str">
        <x:v>RQ3的负面结果</x:v>
      </x:c>
    </x:row>
    <x:row r="4" ht="76" customHeight="1">
      <x:c r="A4" s="2" t="str">
        <x:v>S01-RESULT-R03</x:v>
      </x:c>
      <x:c r="B4" s="2" t="str">
        <x:v>S01</x:v>
      </x:c>
      <x:c r="C4" s="2" t="str">
        <x:v>merged_0002</x:v>
      </x:c>
      <x:c r="D4" s="2" t="str">
        <x:v>Reviewer_A</x:v>
      </x:c>
      <x:c r="E4" s="2" t="str">
        <x:v>Reviewer_A</x:v>
      </x:c>
      <x:c r="F4" s="2" t="str">
        <x:v>S01-R03</x:v>
      </x:c>
      <x:c r="G4" s="2" t="str">
        <x:v>S01-EV02</x:v>
      </x:c>
      <x:c r="H4" s="2" t="str">
        <x:v>S01-T02</x:v>
      </x:c>
      <x:c r="I4" s="2" t="str">
        <x:v>NA</x:v>
      </x:c>
      <x:c r="J4" s="2" t="str">
        <x:v>TransArC smaller projects (BigBlueButton, MediaStore, TeaStore)</x:v>
      </x:c>
      <x:c r="K4" s="2" t="str">
        <x:v>LiSSA: Sentence preprocessing docs, None preprocessing code, Prompt 2 (CoT)</x:v>
      </x:c>
      <x:c r="L4" s="2" t="str">
        <x:v>ArDoCode</x:v>
      </x:c>
      <x:c r="M4" s="2" t="str">
        <x:v>F1</x:v>
      </x:c>
      <x:c r="N4" s="6" t="str">
        <x:v>0.217 (average F1)</x:v>
      </x:c>
      <x:c r="O4" s="2" t="n">
        <x:v>0.217</x:v>
      </x:c>
      <x:c r="P4" s="2" t="str">
        <x:v>proportion</x:v>
      </x:c>
      <x:c r="Q4" s="6" t="str">
        <x:v>0.178 (average F1)</x:v>
      </x:c>
      <x:c r="R4" s="2" t="n">
        <x:v>0.178</x:v>
      </x:c>
      <x:c r="S4" s="2" t="str">
        <x:v>NR</x:v>
      </x:c>
      <x:c r="T4" s="2" t="str">
        <x:v>Better</x:v>
      </x:c>
      <x:c r="U4" s="2" t="str">
        <x:v>Significant</x:v>
      </x:c>
      <x:c r="V4" s="2" t="str">
        <x:v>NR</x:v>
      </x:c>
      <x:c r="W4" s="2" t="str">
        <x:v>approx. $30</x:v>
      </x:c>
      <x:c r="X4" s="2" t="str">
        <x:v>NR</x:v>
      </x:c>
      <x:c r="Y4" s="2" t="str">
        <x:v>NR</x:v>
      </x:c>
      <x:c r="Z4" s="2" t="str">
        <x:v>No</x:v>
      </x:c>
      <x:c r="AA4" s="6" t="str">
        <x:v>p. 9; Section IV-F-2, Table VI</x:v>
      </x:c>
      <x:c r="AB4" s="6" t="str">
        <x:v>on average, we can see again that the combination of CoT and no further preprocessing achieves the best results regarding F1.</x:v>
      </x:c>
      <x:c r="AC4" s="6" t="str">
        <x:v>在文档至代码TLR的小型项目上，LiSSA（CoT提示）平均F1显著优于ArDoCode</x:v>
      </x:c>
      <x:c r="AD4" s="2" t="str">
        <x:v>Accepted</x:v>
      </x:c>
      <x:c r="AE4" s="6" t="str">
        <x:v>p=0.031</x:v>
      </x:c>
    </x:row>
    <x:row r="5" ht="76" customHeight="1">
      <x:c r="A5" s="2" t="str">
        <x:v>S01-RESULT-R04</x:v>
      </x:c>
      <x:c r="B5" s="2" t="str">
        <x:v>S01</x:v>
      </x:c>
      <x:c r="C5" s="2" t="str">
        <x:v>merged_0002</x:v>
      </x:c>
      <x:c r="D5" s="2" t="str">
        <x:v>Reviewer_A</x:v>
      </x:c>
      <x:c r="E5" s="2" t="str">
        <x:v>Reviewer_A</x:v>
      </x:c>
      <x:c r="F5" s="2" t="str">
        <x:v>S01-R04</x:v>
      </x:c>
      <x:c r="G5" s="2" t="str">
        <x:v>S01-EV02</x:v>
      </x:c>
      <x:c r="H5" s="2" t="str">
        <x:v>S01-T02</x:v>
      </x:c>
      <x:c r="I5" s="2" t="str">
        <x:v>NA</x:v>
      </x:c>
      <x:c r="J5" s="2" t="str">
        <x:v>TransArC all projects (including JabRef and TEAMMATES)</x:v>
      </x:c>
      <x:c r="K5" s="2" t="str">
        <x:v>LiSSA: Sentence/None, Prompt 2</x:v>
      </x:c>
      <x:c r="L5" s="2" t="str">
        <x:v>LiSSA itself on smaller projects</x:v>
      </x:c>
      <x:c r="M5" s="2" t="str">
        <x:v>Recall</x:v>
      </x:c>
      <x:c r="N5" s="6" t="str">
        <x:v>0.027 for JabRef and 0.061 for TEAMMATES</x:v>
      </x:c>
      <x:c r="O5" s="2" t="str">
        <x:v>Unclear</x:v>
      </x:c>
      <x:c r="P5" s="2" t="str">
        <x:v>proportion</x:v>
      </x:c>
      <x:c r="Q5" s="6" t="str">
        <x:v>NA</x:v>
      </x:c>
      <x:c r="R5" s="2" t="str">
        <x:v>NA</x:v>
      </x:c>
      <x:c r="S5" s="2" t="str">
        <x:v>NR</x:v>
      </x:c>
      <x:c r="T5" s="2" t="str">
        <x:v>Worse</x:v>
      </x:c>
      <x:c r="U5" s="2" t="str">
        <x:v>Not tested</x:v>
      </x:c>
      <x:c r="V5" s="2" t="str">
        <x:v>NR</x:v>
      </x:c>
      <x:c r="W5" s="2" t="str">
        <x:v>NR</x:v>
      </x:c>
      <x:c r="X5" s="2" t="str">
        <x:v>NR</x:v>
      </x:c>
      <x:c r="Y5" s="2" t="str">
        <x:v>retrieval for large projects fails; one sentence maps to hundreds of code files</x:v>
      </x:c>
      <x:c r="Z5" s="2" t="str">
        <x:v>Yes</x:v>
      </x:c>
      <x:c r="AA5" s="6" t="str">
        <x:v>p. 9; Section IV-F-2</x:v>
      </x:c>
      <x:c r="AB5" s="6" t="str">
        <x:v>largest projects JabRef and TEAMMATES, the best retrievalonly configuration for Top-40 elements achieves a recall of 0.027 for JabRef and 0.061 for TEAMMATES. Additionally,</x:v>
      </x:c>
      <x:c r="AC5" s="6" t="str">
        <x:v>大型项目检索召回极低，导致整体性能差</x:v>
      </x:c>
      <x:c r="AD5" s="2" t="str">
        <x:v>Accepted</x:v>
      </x:c>
      <x:c r="AE5" s="6" t="str">
        <x:v>负面结果</x:v>
      </x:c>
    </x:row>
    <x:row r="6" ht="76" customHeight="1">
      <x:c r="A6" s="2" t="str">
        <x:v>S01-RESULT-R05</x:v>
      </x:c>
      <x:c r="B6" s="2" t="str">
        <x:v>S01</x:v>
      </x:c>
      <x:c r="C6" s="2" t="str">
        <x:v>merged_0002</x:v>
      </x:c>
      <x:c r="D6" s="2" t="str">
        <x:v>Reviewer_A</x:v>
      </x:c>
      <x:c r="E6" s="2" t="str">
        <x:v>Reviewer_A</x:v>
      </x:c>
      <x:c r="F6" s="2" t="str">
        <x:v>S01-R05</x:v>
      </x:c>
      <x:c r="G6" s="2" t="str">
        <x:v>S01-EV03</x:v>
      </x:c>
      <x:c r="H6" s="2" t="str">
        <x:v>S01-T03</x:v>
      </x:c>
      <x:c r="I6" s="2" t="str">
        <x:v>NA</x:v>
      </x:c>
      <x:c r="J6" s="2" t="str">
        <x:v>ArDoCo projects (MediaStore, TeaStore, TEAMMATES, BigBlueButton, JabRef)</x:v>
      </x:c>
      <x:c r="K6" s="2" t="str">
        <x:v>LiSSA: Model-to-Documentation direction, Name features, Prompt 2</x:v>
      </x:c>
      <x:c r="L6" s="2" t="str">
        <x:v>ArDoCo</x:v>
      </x:c>
      <x:c r="M6" s="2" t="str">
        <x:v>F1</x:v>
      </x:c>
      <x:c r="N6" s="6" t="str">
        <x:v>0.458 (average F1)</x:v>
      </x:c>
      <x:c r="O6" s="2" t="n">
        <x:v>0.458</x:v>
      </x:c>
      <x:c r="P6" s="2" t="str">
        <x:v>proportion</x:v>
      </x:c>
      <x:c r="Q6" s="6" t="str">
        <x:v>0.802 (average F1)</x:v>
      </x:c>
      <x:c r="R6" s="2" t="n">
        <x:v>0.802</x:v>
      </x:c>
      <x:c r="S6" s="2" t="str">
        <x:v>NR</x:v>
      </x:c>
      <x:c r="T6" s="2" t="str">
        <x:v>Worse</x:v>
      </x:c>
      <x:c r="U6" s="2" t="str">
        <x:v>Not tested</x:v>
      </x:c>
      <x:c r="V6" s="2" t="str">
        <x:v>NR</x:v>
      </x:c>
      <x:c r="W6" s="2" t="str">
        <x:v>NR</x:v>
      </x:c>
      <x:c r="X6" s="2" t="str">
        <x:v>NR</x:v>
      </x:c>
      <x:c r="Y6" s="2" t="str">
        <x:v>precision is very low in D2M direction; feature extraction can distract LLM</x:v>
      </x:c>
      <x:c r="Z6" s="2" t="str">
        <x:v>Yes</x:v>
      </x:c>
      <x:c r="AA6" s="6" t="str">
        <x:v>p. 10; Section IV-F-3, Table VII</x:v>
      </x:c>
      <x:c r="AB6" s="6" t="str">
        <x:v>Overall, our approach does not outperform the state-of-theart approach ArDoCo.</x:v>
      </x:c>
      <x:c r="AC6" s="6" t="str">
        <x:v>在架构文档至架构模型TLR上，LiSSA的F1远低于ArDoCo</x:v>
      </x:c>
      <x:c r="AD6" s="2" t="str">
        <x:v>Accepted</x:v>
      </x:c>
      <x:c r="AE6" s="6" t="str">
        <x:v>M2D方向稍好但仍不如专用方法</x:v>
      </x:c>
    </x:row>
    <x:row r="7" ht="76" customHeight="1">
      <x:c r="A7" s="2" t="str">
        <x:v>S01-RESULT-R06</x:v>
      </x:c>
      <x:c r="B7" s="2" t="str">
        <x:v>S01</x:v>
      </x:c>
      <x:c r="C7" s="2" t="str">
        <x:v>merged_0002</x:v>
      </x:c>
      <x:c r="D7" s="2" t="str">
        <x:v>Reviewer_A</x:v>
      </x:c>
      <x:c r="E7" s="2" t="str">
        <x:v>Reviewer_A</x:v>
      </x:c>
      <x:c r="F7" s="2" t="str">
        <x:v>S01-R06</x:v>
      </x:c>
      <x:c r="G7" s="2" t="str">
        <x:v>S01-EV01</x:v>
      </x:c>
      <x:c r="H7" s="2" t="str">
        <x:v>S01-T01</x:v>
      </x:c>
      <x:c r="I7" s="2" t="str">
        <x:v>NA</x:v>
      </x:c>
      <x:c r="J7" s="2" t="str">
        <x:v>Requirements to Code datasets</x:v>
      </x:c>
      <x:c r="K7" s="2" t="str">
        <x:v>LiSSA: None/None/Prompt 2 (CoT)</x:v>
      </x:c>
      <x:c r="L7" s="2" t="str">
        <x:v>LiSSA: None/None/Prompt 1 (KISS)</x:v>
      </x:c>
      <x:c r="M7" s="2" t="str">
        <x:v>F1</x:v>
      </x:c>
      <x:c r="N7" s="6" t="str">
        <x:v>0.322 (average F1) for Prompt 2; 0.312 for Prompt 1</x:v>
      </x:c>
      <x:c r="O7" s="2" t="n">
        <x:v>0.322</x:v>
      </x:c>
      <x:c r="P7" s="2" t="str">
        <x:v>proportion</x:v>
      </x:c>
      <x:c r="Q7" s="6" t="str">
        <x:v>0.312 (average F1)</x:v>
      </x:c>
      <x:c r="R7" s="2" t="n">
        <x:v>0.312</x:v>
      </x:c>
      <x:c r="S7" s="2" t="str">
        <x:v>NR</x:v>
      </x:c>
      <x:c r="T7" s="2" t="str">
        <x:v>Better</x:v>
      </x:c>
      <x:c r="U7" s="2" t="str">
        <x:v>Not tested</x:v>
      </x:c>
      <x:c r="V7" s="2" t="str">
        <x:v>NR</x:v>
      </x:c>
      <x:c r="W7" s="2" t="str">
        <x:v>NR</x:v>
      </x:c>
      <x:c r="X7" s="2" t="str">
        <x:v>NR</x:v>
      </x:c>
      <x:c r="Y7" s="2" t="str">
        <x:v>NR</x:v>
      </x:c>
      <x:c r="Z7" s="2" t="str">
        <x:v>No</x:v>
      </x:c>
      <x:c r="AA7" s="6" t="str">
        <x:v>p. 11; Section VI. Conclusion</x:v>
      </x:c>
      <x:c r="AB7" s="6" t="str">
        <x:v>CoT prompting outperforms simple classification prompts in F1-score.</x:v>
      </x:c>
      <x:c r="AC7" s="6" t="str">
        <x:v>CoT提示在需求至代码TLR任务上优于简单分类提示</x:v>
      </x:c>
      <x:c r="AD7" s="2" t="str">
        <x:v>Accepted</x:v>
      </x:c>
      <x:c r="AE7" s="6" t="str">
        <x:v>RQ2的正面结果</x:v>
      </x:c>
    </x:row>
    <x:row r="8" ht="76" customHeight="1">
      <x:c r="A8" s="2" t="str">
        <x:v>S02-RESULT-R01</x:v>
      </x:c>
      <x:c r="B8" s="2" t="str">
        <x:v>S02</x:v>
      </x:c>
      <x:c r="C8" s="2" t="str">
        <x:v>merged_0007</x:v>
      </x:c>
      <x:c r="D8" s="2" t="str">
        <x:v>Reviewer_A</x:v>
      </x:c>
      <x:c r="E8" s="2" t="str">
        <x:v>Reviewer_A</x:v>
      </x:c>
      <x:c r="F8" s="2" t="str">
        <x:v>S02-R01</x:v>
      </x:c>
      <x:c r="G8" s="2" t="str">
        <x:v>S02-EV01</x:v>
      </x:c>
      <x:c r="H8" s="2" t="str">
        <x:v>S02-T01</x:v>
      </x:c>
      <x:c r="I8" s="2" t="str">
        <x:v>S02-MU02</x:v>
      </x:c>
      <x:c r="J8" s="2" t="str">
        <x:v>Architecture Traceability Benchmark Original</x:v>
      </x:c>
      <x:c r="K8" s="2" t="str">
        <x:v>ExArch SAD-only with GPT-4o then TransArC</x:v>
      </x:c>
      <x:c r="L8" s="2" t="str">
        <x:v>TransArC (manual SAM)</x:v>
      </x:c>
      <x:c r="M8" s="2" t="str">
        <x:v>weighted average F1-score</x:v>
      </x:c>
      <x:c r="N8" s="6" t="str">
        <x:v>0.86</x:v>
      </x:c>
      <x:c r="O8" s="2" t="n">
        <x:v>0.86</x:v>
      </x:c>
      <x:c r="P8" s="2" t="str">
        <x:v>proportion</x:v>
      </x:c>
      <x:c r="Q8" s="6" t="str">
        <x:v>0.87</x:v>
      </x:c>
      <x:c r="R8" s="2" t="n">
        <x:v>0.87</x:v>
      </x:c>
      <x:c r="S8" s="2" t="str">
        <x:v>NR</x:v>
      </x:c>
      <x:c r="T8" s="2" t="str">
        <x:v>Comparable</x:v>
      </x:c>
      <x:c r="U8" s="2" t="str">
        <x:v>Not significant</x:v>
      </x:c>
      <x:c r="V8" s="2" t="str">
        <x:v>ExArch achieves similar performance without manual SAMs</x:v>
      </x:c>
      <x:c r="W8" s="2" t="str">
        <x:v>NR</x:v>
      </x:c>
      <x:c r="X8" s="2" t="str">
        <x:v>NR</x:v>
      </x:c>
      <x:c r="Y8" s="2" t="str">
        <x:v>NR</x:v>
      </x:c>
      <x:c r="Z8" s="2" t="str">
        <x:v>No</x:v>
      </x:c>
      <x:c r="AA8" s="6" t="str">
        <x:v>p. 12; Section 5.3.1</x:v>
      </x:c>
      <x:c r="AB8" s="6" t="str">
        <x:v>The best model w.r.t. weighted average F1 -score is GPT-4o with a weighted average F1 -score of 0.86 compared to 0.87 of TransArC.</x:v>
      </x:c>
      <x:c r="AC8" s="6" t="str">
        <x:v>ExArch在使用GPT-4o时加权平均F1达到0.86，与需要手动SAM的TransArC（0.87）相当，统计检验不显著，表明自动生成SAM可有效替代。</x:v>
      </x:c>
      <x:c r="AD8" s="2" t="str">
        <x:v>Accepted</x:v>
      </x:c>
      <x:c r="AE8" s="6" t="str">
        <x:v>Wilcoxon test: one-sided p=0.970 (ExArch better) and p=0.091 (TransArC better), both not significant.</x:v>
      </x:c>
    </x:row>
    <x:row r="9" ht="76" customHeight="1">
      <x:c r="A9" s="2" t="str">
        <x:v>S02-RESULT-R02</x:v>
      </x:c>
      <x:c r="B9" s="2" t="str">
        <x:v>S02</x:v>
      </x:c>
      <x:c r="C9" s="2" t="str">
        <x:v>merged_0007</x:v>
      </x:c>
      <x:c r="D9" s="2" t="str">
        <x:v>Reviewer_A</x:v>
      </x:c>
      <x:c r="E9" s="2" t="str">
        <x:v>Reviewer_A</x:v>
      </x:c>
      <x:c r="F9" s="2" t="str">
        <x:v>S02-R02</x:v>
      </x:c>
      <x:c r="G9" s="2" t="str">
        <x:v>S02-EV01</x:v>
      </x:c>
      <x:c r="H9" s="2" t="str">
        <x:v>S02-T01</x:v>
      </x:c>
      <x:c r="I9" s="2" t="str">
        <x:v>S02-MU02</x:v>
      </x:c>
      <x:c r="J9" s="2" t="str">
        <x:v>Architecture Traceability Benchmark Original</x:v>
      </x:c>
      <x:c r="K9" s="2" t="str">
        <x:v>ExArch SAD-only with GPT-4o then TransArC</x:v>
      </x:c>
      <x:c r="L9" s="2" t="str">
        <x:v>ArDoCode</x:v>
      </x:c>
      <x:c r="M9" s="2" t="str">
        <x:v>weighted average F1-score</x:v>
      </x:c>
      <x:c r="N9" s="6" t="str">
        <x:v>0.86</x:v>
      </x:c>
      <x:c r="O9" s="2" t="n">
        <x:v>0.86</x:v>
      </x:c>
      <x:c r="P9" s="2" t="str">
        <x:v>proportion</x:v>
      </x:c>
      <x:c r="Q9" s="6" t="str">
        <x:v>0.62</x:v>
      </x:c>
      <x:c r="R9" s="2" t="n">
        <x:v>0.62</x:v>
      </x:c>
      <x:c r="S9" s="2" t="str">
        <x:v>NR</x:v>
      </x:c>
      <x:c r="T9" s="2" t="str">
        <x:v>Better</x:v>
      </x:c>
      <x:c r="U9" s="2" t="str">
        <x:v>Significant</x:v>
      </x:c>
      <x:c r="V9" s="2" t="str">
        <x:v>ExArch significantly outperforms the best baseline without manual SAMs</x:v>
      </x:c>
      <x:c r="W9" s="2" t="str">
        <x:v>NR</x:v>
      </x:c>
      <x:c r="X9" s="2" t="str">
        <x:v>NR</x:v>
      </x:c>
      <x:c r="Y9" s="2" t="str">
        <x:v>NR</x:v>
      </x:c>
      <x:c r="Z9" s="2" t="str">
        <x:v>No</x:v>
      </x:c>
      <x:c r="AA9" s="6" t="str">
        <x:v>p. 12; Section 5.3.1</x:v>
      </x:c>
      <x:c r="AB9" s="6" t="str">
        <x:v>SAD and source code. Overall, the best-performing baselines are ArDoCode and TransArC.</x:v>
      </x:c>
      <x:c r="AC9" s="6" t="str">
        <x:v>ExArch显著优于最强的不使用手动SAM的基线ArDoCode，加权平均F1从0.62增至0.86。</x:v>
      </x:c>
      <x:c r="AD9" s="2" t="str">
        <x:v>Accepted</x:v>
      </x:c>
      <x:c r="AE9" s="6" t="str">
        <x:v>Wilcoxon test p=0.031, significant.</x:v>
      </x:c>
    </x:row>
    <x:row r="10" ht="76" customHeight="1">
      <x:c r="A10" s="2" t="str">
        <x:v>S02-RESULT-R03</x:v>
      </x:c>
      <x:c r="B10" s="2" t="str">
        <x:v>S02</x:v>
      </x:c>
      <x:c r="C10" s="2" t="str">
        <x:v>merged_0007</x:v>
      </x:c>
      <x:c r="D10" s="2" t="str">
        <x:v>Reviewer_A</x:v>
      </x:c>
      <x:c r="E10" s="2" t="str">
        <x:v>Reviewer_A</x:v>
      </x:c>
      <x:c r="F10" s="2" t="str">
        <x:v>S02-R03</x:v>
      </x:c>
      <x:c r="G10" s="2" t="str">
        <x:v>S02-EV01</x:v>
      </x:c>
      <x:c r="H10" s="2" t="str">
        <x:v>S02-T01</x:v>
      </x:c>
      <x:c r="I10" s="2" t="str">
        <x:v>S02-MU02</x:v>
      </x:c>
      <x:c r="J10" s="2" t="str">
        <x:v>Architecture Traceability Benchmark Original</x:v>
      </x:c>
      <x:c r="K10" s="2" t="str">
        <x:v>ExArch SAD-only with GPT-4o then TransArC</x:v>
      </x:c>
      <x:c r="L10" s="2" t="str">
        <x:v>TAROT</x:v>
      </x:c>
      <x:c r="M10" s="2" t="str">
        <x:v>weighted average F1-score</x:v>
      </x:c>
      <x:c r="N10" s="6" t="str">
        <x:v>0.86</x:v>
      </x:c>
      <x:c r="O10" s="2" t="n">
        <x:v>0.86</x:v>
      </x:c>
      <x:c r="P10" s="2" t="str">
        <x:v>proportion</x:v>
      </x:c>
      <x:c r="Q10" s="6" t="str">
        <x:v>0.29</x:v>
      </x:c>
      <x:c r="R10" s="2" t="n">
        <x:v>0.29</x:v>
      </x:c>
      <x:c r="S10" s="2" t="str">
        <x:v>NR</x:v>
      </x:c>
      <x:c r="T10" s="2" t="str">
        <x:v>Better</x:v>
      </x:c>
      <x:c r="U10" s="2" t="str">
        <x:v>Significant</x:v>
      </x:c>
      <x:c r="V10" s="2" t="str">
        <x:v>Large improvement over TAROT</x:v>
      </x:c>
      <x:c r="W10" s="2" t="str">
        <x:v>NR</x:v>
      </x:c>
      <x:c r="X10" s="2" t="str">
        <x:v>NR</x:v>
      </x:c>
      <x:c r="Y10" s="2" t="str">
        <x:v>NR</x:v>
      </x:c>
      <x:c r="Z10" s="2" t="str">
        <x:v>No</x:v>
      </x:c>
      <x:c r="AA10" s="6" t="str">
        <x:v>p. 12; Section 5.3.1</x:v>
      </x:c>
      <x:c r="AB10" s="6" t="str">
        <x:v>ExArch significantly outperforms all baselines that only use SAD and code.</x:v>
      </x:c>
      <x:c r="AC10" s="6" t="str">
        <x:v>与基于信息检索的方法TAROT相比，ExArch大幅领先。</x:v>
      </x:c>
      <x:c r="AD10" s="2" t="str">
        <x:v>Accepted</x:v>
      </x:c>
      <x:c r="AE10" s="6" t="str">
        <x:v>Wilcoxon test p=0.031, significant.</x:v>
      </x:c>
    </x:row>
    <x:row r="11" ht="76" customHeight="1">
      <x:c r="A11" s="2" t="str">
        <x:v>S02-RESULT-R04</x:v>
      </x:c>
      <x:c r="B11" s="2" t="str">
        <x:v>S02</x:v>
      </x:c>
      <x:c r="C11" s="2" t="str">
        <x:v>merged_0007</x:v>
      </x:c>
      <x:c r="D11" s="2" t="str">
        <x:v>Reviewer_A</x:v>
      </x:c>
      <x:c r="E11" s="2" t="str">
        <x:v>Reviewer_A</x:v>
      </x:c>
      <x:c r="F11" s="2" t="str">
        <x:v>S02-R04</x:v>
      </x:c>
      <x:c r="G11" s="2" t="str">
        <x:v>S02-EV02</x:v>
      </x:c>
      <x:c r="H11" s="2" t="str">
        <x:v>S02-T01</x:v>
      </x:c>
      <x:c r="I11" s="2" t="str">
        <x:v>S02-MU08</x:v>
      </x:c>
      <x:c r="J11" s="2" t="str">
        <x:v>Architecture Traceability Benchmark Original</x:v>
      </x:c>
      <x:c r="K11" s="2" t="str">
        <x:v>ExArch code-only (packages) with Llama 3.1 70b then TransArC</x:v>
      </x:c>
      <x:c r="L11" s="2" t="str">
        <x:v>No explicit baseline; compared to SAD-only mode qualitatively</x:v>
      </x:c>
      <x:c r="M11" s="2" t="str">
        <x:v>weighted average F1-score</x:v>
      </x:c>
      <x:c r="N11" s="6" t="str">
        <x:v>0.81</x:v>
      </x:c>
      <x:c r="O11" s="2" t="n">
        <x:v>0.81</x:v>
      </x:c>
      <x:c r="P11" s="2" t="str">
        <x:v>proportion</x:v>
      </x:c>
      <x:c r="Q11" s="6" t="str">
        <x:v>NR</x:v>
      </x:c>
      <x:c r="R11" s="2" t="str">
        <x:v>Unclear</x:v>
      </x:c>
      <x:c r="S11" s="2" t="str">
        <x:v>NR</x:v>
      </x:c>
      <x:c r="T11" s="2" t="str">
        <x:v>Worse</x:v>
      </x:c>
      <x:c r="U11" s="2" t="str">
        <x:v>Not tested</x:v>
      </x:c>
      <x:c r="V11" s="2" t="str">
        <x:v>Code-only extraction underperforms SAD-only on average; performance collapses for some projects (BBB F1=0 for many models).</x:v>
      </x:c>
      <x:c r="W11" s="2" t="str">
        <x:v>NR</x:v>
      </x:c>
      <x:c r="X11" s="2" t="str">
        <x:v>NR</x:v>
      </x:c>
      <x:c r="Y11" s="2" t="str">
        <x:v>yes, e.g., BBB project F1=0 for GPT-4 Turbo and GPT-4</x:v>
      </x:c>
      <x:c r="Z11" s="2" t="str">
        <x:v>Yes</x:v>
      </x:c>
      <x:c r="AA11" s="6" t="str">
        <x:v>p. 13; Section 5.3.2</x:v>
      </x:c>
      <x:c r="AB11" s="6" t="str">
        <x:v>the average performance using only source code is lower. Especially, the performance for the project BBB is bad, i.e., for many models, the F1 -score is 0 or close to 0.</x:v>
      </x:c>
      <x:c r="AC11" s="6" t="str">
        <x:v>仅从源代码生成SAM的模式整体性能低于仅用SAD的模式，部分项目完全失败，表明包名不足以推断架构组件。</x:v>
      </x:c>
      <x:c r="AD11" s="2" t="str">
        <x:v>Accepted</x:v>
      </x:c>
      <x:c r="AE11" s="6" t="str">
        <x:v>Best model Llama 3.1 70b still achieved w.Avg F1=0.81, but large variance across projects.</x:v>
      </x:c>
    </x:row>
    <x:row r="12" ht="76" customHeight="1">
      <x:c r="A12" s="2" t="str">
        <x:v>S02-RESULT-R05</x:v>
      </x:c>
      <x:c r="B12" s="2" t="str">
        <x:v>S02</x:v>
      </x:c>
      <x:c r="C12" s="2" t="str">
        <x:v>merged_0007</x:v>
      </x:c>
      <x:c r="D12" s="2" t="str">
        <x:v>Reviewer_A</x:v>
      </x:c>
      <x:c r="E12" s="2" t="str">
        <x:v>Reviewer_A</x:v>
      </x:c>
      <x:c r="F12" s="2" t="str">
        <x:v>S02-R05</x:v>
      </x:c>
      <x:c r="G12" s="2" t="str">
        <x:v>S02-EV03</x:v>
      </x:c>
      <x:c r="H12" s="2" t="str">
        <x:v>S02-T01</x:v>
      </x:c>
      <x:c r="I12" s="2" t="str">
        <x:v>S02-MU03</x:v>
      </x:c>
      <x:c r="J12" s="2" t="str">
        <x:v>Architecture Traceability Benchmark Original</x:v>
      </x:c>
      <x:c r="K12" s="2" t="str">
        <x:v>ExArch combined SAD+code, similarity aggregation (t=0.5), GPT-4 Turbo</x:v>
      </x:c>
      <x:c r="L12" s="2" t="str">
        <x:v>Implicit comparison to SAD-only mode (best w.Avg F1=0.86)</x:v>
      </x:c>
      <x:c r="M12" s="2" t="str">
        <x:v>weighted average F1-score</x:v>
      </x:c>
      <x:c r="N12" s="6" t="str">
        <x:v>0.86</x:v>
      </x:c>
      <x:c r="O12" s="2" t="n">
        <x:v>0.86</x:v>
      </x:c>
      <x:c r="P12" s="2" t="str">
        <x:v>proportion</x:v>
      </x:c>
      <x:c r="Q12" s="6" t="str">
        <x:v>NR</x:v>
      </x:c>
      <x:c r="R12" s="2" t="str">
        <x:v>Unclear</x:v>
      </x:c>
      <x:c r="S12" s="2" t="str">
        <x:v>NR</x:v>
      </x:c>
      <x:c r="T12" s="2" t="str">
        <x:v>Comparable</x:v>
      </x:c>
      <x:c r="U12" s="2" t="str">
        <x:v>Not tested</x:v>
      </x:c>
      <x:c r="V12" s="2" t="str">
        <x:v>Combined mode matches SAD-only in weighted average but not in macro average; aggregation offers marginal improvement over prompt-based aggregation.</x:v>
      </x:c>
      <x:c r="W12" s="2" t="str">
        <x:v>NR</x:v>
      </x:c>
      <x:c r="X12" s="2" t="str">
        <x:v>NR</x:v>
      </x:c>
      <x:c r="Y12" s="2" t="str">
        <x:v>NR</x:v>
      </x:c>
      <x:c r="Z12" s="2" t="str">
        <x:v>No</x:v>
      </x:c>
      <x:c r="AA12" s="6" t="str">
        <x:v>p. 13; Section 5.3.3</x:v>
      </x:c>
      <x:c r="AB12" s="6" t="str">
        <x:v>the aggregation via similarity also performs not better than the mode that only uses the SAD, particularly when considering the non-weighted average F1 -score.</x:v>
      </x:c>
      <x:c r="AC12" s="6" t="str">
        <x:v>结合SAD和代码的模式在加权平均F1上与仅用SAD持平（0.86），但宏平均较低，表明增加代码信息未带来实质提升。</x:v>
      </x:c>
      <x:c r="AD12" s="2" t="str">
        <x:v>Accepted</x:v>
      </x:c>
      <x:c r="AE12" s="6" t="str">
        <x:v>Similarity aggregation with GPT-4 Turbo reached w.Avg F1=0.86.</x:v>
      </x:c>
    </x:row>
    <x:row r="13" ht="76" customHeight="1">
      <x:c r="A13" s="2" t="str">
        <x:v>S02-RESULT-R06</x:v>
      </x:c>
      <x:c r="B13" s="2" t="str">
        <x:v>S02</x:v>
      </x:c>
      <x:c r="C13" s="2" t="str">
        <x:v>merged_0007</x:v>
      </x:c>
      <x:c r="D13" s="2" t="str">
        <x:v>Reviewer_A</x:v>
      </x:c>
      <x:c r="E13" s="2" t="str">
        <x:v>Reviewer_A</x:v>
      </x:c>
      <x:c r="F13" s="2" t="str">
        <x:v>S02-R06</x:v>
      </x:c>
      <x:c r="G13" s="2" t="str">
        <x:v>S02-EV04</x:v>
      </x:c>
      <x:c r="H13" s="2" t="str">
        <x:v>S02-T02</x:v>
      </x:c>
      <x:c r="I13" s="2" t="str">
        <x:v>S02-MU14</x:v>
      </x:c>
      <x:c r="J13" s="2" t="str">
        <x:v>Architecture Traceability Benchmark Revised</x:v>
      </x:c>
      <x:c r="K13" s="2" t="str">
        <x:v>ArTEMiS with GPT-5</x:v>
      </x:c>
      <x:c r="L13" s="2" t="str">
        <x:v>SWATTR</x:v>
      </x:c>
      <x:c r="M13" s="2" t="str">
        <x:v>average F1-score</x:v>
      </x:c>
      <x:c r="N13" s="6" t="str">
        <x:v>0.81</x:v>
      </x:c>
      <x:c r="O13" s="2" t="n">
        <x:v>0.81</x:v>
      </x:c>
      <x:c r="P13" s="2" t="str">
        <x:v>proportion</x:v>
      </x:c>
      <x:c r="Q13" s="6" t="str">
        <x:v>0.80</x:v>
      </x:c>
      <x:c r="R13" s="2" t="n">
        <x:v>0.8</x:v>
      </x:c>
      <x:c r="S13" s="2" t="str">
        <x:v>NR</x:v>
      </x:c>
      <x:c r="T13" s="2" t="str">
        <x:v>Better</x:v>
      </x:c>
      <x:c r="U13" s="2" t="str">
        <x:v>Not tested</x:v>
      </x:c>
      <x:c r="V13" s="2" t="str">
        <x:v>ArTEMiS slightly outperforms SWATTR in average F1, mainly due to higher recall.</x:v>
      </x:c>
      <x:c r="W13" s="2" t="str">
        <x:v>NR</x:v>
      </x:c>
      <x:c r="X13" s="2" t="str">
        <x:v>NR</x:v>
      </x:c>
      <x:c r="Y13" s="2" t="str">
        <x:v>NR</x:v>
      </x:c>
      <x:c r="Z13" s="2" t="str">
        <x:v>No</x:v>
      </x:c>
      <x:c r="AA13" s="6" t="str">
        <x:v>p. 18; Section 5.4.2</x:v>
      </x:c>
      <x:c r="AB13" s="6" t="str">
        <x:v>The best ArTEMiS configuration w.r.t. F1 -score uses GPT-5. On average, this configuration is slightly better than SWATTR.</x:v>
      </x:c>
      <x:c r="AC13" s="6" t="str">
        <x:v>ArTEMiS在平均F1上略优于启发式方法SWATTR（0.81 vs 0.80），主要是召回率提升，但未进行统计检验。</x:v>
      </x:c>
      <x:c r="AD13" s="2" t="str">
        <x:v>Accepted</x:v>
      </x:c>
      <x:c r="AE13" s="6" t="str">
        <x:v>Weighted average F1 both 0.77; standard deviation reported for ArTEMiS.</x:v>
      </x:c>
    </x:row>
    <x:row r="14" ht="76" customHeight="1">
      <x:c r="A14" s="2" t="str">
        <x:v>S02-RESULT-R07</x:v>
      </x:c>
      <x:c r="B14" s="2" t="str">
        <x:v>S02</x:v>
      </x:c>
      <x:c r="C14" s="2" t="str">
        <x:v>merged_0007</x:v>
      </x:c>
      <x:c r="D14" s="2" t="str">
        <x:v>Reviewer_A</x:v>
      </x:c>
      <x:c r="E14" s="2" t="str">
        <x:v>Reviewer_A</x:v>
      </x:c>
      <x:c r="F14" s="2" t="str">
        <x:v>S02-R07</x:v>
      </x:c>
      <x:c r="G14" s="2" t="str">
        <x:v>S02-EV04</x:v>
      </x:c>
      <x:c r="H14" s="2" t="str">
        <x:v>S02-T02</x:v>
      </x:c>
      <x:c r="I14" s="2" t="str">
        <x:v>S02-MU14</x:v>
      </x:c>
      <x:c r="J14" s="2" t="str">
        <x:v>Architecture Traceability Benchmark Revised</x:v>
      </x:c>
      <x:c r="K14" s="2" t="str">
        <x:v>ArTEMiS with GPT-5</x:v>
      </x:c>
      <x:c r="L14" s="2" t="str">
        <x:v>SWATTR</x:v>
      </x:c>
      <x:c r="M14" s="2" t="str">
        <x:v>average recall</x:v>
      </x:c>
      <x:c r="N14" s="6" t="str">
        <x:v>0.85</x:v>
      </x:c>
      <x:c r="O14" s="2" t="n">
        <x:v>0.85</x:v>
      </x:c>
      <x:c r="P14" s="2" t="str">
        <x:v>proportion</x:v>
      </x:c>
      <x:c r="Q14" s="6" t="str">
        <x:v>0.77</x:v>
      </x:c>
      <x:c r="R14" s="2" t="n">
        <x:v>0.77</x:v>
      </x:c>
      <x:c r="S14" s="2" t="str">
        <x:v>NR</x:v>
      </x:c>
      <x:c r="T14" s="2" t="str">
        <x:v>Better</x:v>
      </x:c>
      <x:c r="U14" s="2" t="str">
        <x:v>Not tested</x:v>
      </x:c>
      <x:c r="V14" s="2" t="str">
        <x:v>Recalls improved mainly for MediaStore and TeaStore.</x:v>
      </x:c>
      <x:c r="W14" s="2" t="str">
        <x:v>NR</x:v>
      </x:c>
      <x:c r="X14" s="2" t="str">
        <x:v>NR</x:v>
      </x:c>
      <x:c r="Y14" s="2" t="str">
        <x:v>NR</x:v>
      </x:c>
      <x:c r="Z14" s="2" t="str">
        <x:v>No</x:v>
      </x:c>
      <x:c r="AA14" s="6" t="str">
        <x:v>p. 18; Section 5.4.2</x:v>
      </x:c>
      <x:c r="AB14" s="6" t="str">
        <x:v>This is mainly due to the increased recall for MediaStore and TeaStore.</x:v>
      </x:c>
      <x:c r="AC14" s="6" t="str">
        <x:v>召回率的提升集中在MediaStore和TeaStore项目。</x:v>
      </x:c>
      <x:c r="AD14" s="2" t="str">
        <x:v>Accepted</x:v>
      </x:c>
      <x:c r="AE14" s="6" t="str">
        <x:v>SWATTR average precision 0.87, ArTEMiS GPT-5 0.81.</x:v>
      </x:c>
    </x:row>
    <x:row r="15" ht="76" customHeight="1">
      <x:c r="A15" s="2" t="str">
        <x:v>S02-RESULT-R08</x:v>
      </x:c>
      <x:c r="B15" s="2" t="str">
        <x:v>S02</x:v>
      </x:c>
      <x:c r="C15" s="2" t="str">
        <x:v>merged_0007</x:v>
      </x:c>
      <x:c r="D15" s="2" t="str">
        <x:v>Reviewer_A</x:v>
      </x:c>
      <x:c r="E15" s="2" t="str">
        <x:v>Reviewer_A</x:v>
      </x:c>
      <x:c r="F15" s="2" t="str">
        <x:v>S02-R08</x:v>
      </x:c>
      <x:c r="G15" s="2" t="str">
        <x:v>S02-EV05</x:v>
      </x:c>
      <x:c r="H15" s="2" t="str">
        <x:v>S02-T03</x:v>
      </x:c>
      <x:c r="I15" s="2" t="str">
        <x:v>S02-MU14</x:v>
      </x:c>
      <x:c r="J15" s="2" t="str">
        <x:v>Architecture Traceability Benchmark Revised</x:v>
      </x:c>
      <x:c r="K15" s="2" t="str">
        <x:v>TransArC with SAD-SAM TLR replaced by ArTEMiS (GPT-5), using manual SAM</x:v>
      </x:c>
      <x:c r="L15" s="2" t="str">
        <x:v>TransArC (original with SWATTR)</x:v>
      </x:c>
      <x:c r="M15" s="2" t="str">
        <x:v>average F1-score</x:v>
      </x:c>
      <x:c r="N15" s="6" t="str">
        <x:v>0.85</x:v>
      </x:c>
      <x:c r="O15" s="2" t="n">
        <x:v>0.85</x:v>
      </x:c>
      <x:c r="P15" s="2" t="str">
        <x:v>proportion</x:v>
      </x:c>
      <x:c r="Q15" s="6" t="str">
        <x:v>0.80</x:v>
      </x:c>
      <x:c r="R15" s="2" t="n">
        <x:v>0.8</x:v>
      </x:c>
      <x:c r="S15" s="2" t="str">
        <x:v>NR</x:v>
      </x:c>
      <x:c r="T15" s="2" t="str">
        <x:v>Better</x:v>
      </x:c>
      <x:c r="U15" s="2" t="str">
        <x:v>Not tested</x:v>
      </x:c>
      <x:c r="V15" s="2" t="str">
        <x:v>ArTEMiS integration boosts average F1 by 0.05, driven by recall improvement.</x:v>
      </x:c>
      <x:c r="W15" s="2" t="str">
        <x:v>NR</x:v>
      </x:c>
      <x:c r="X15" s="2" t="str">
        <x:v>NR</x:v>
      </x:c>
      <x:c r="Y15" s="2" t="str">
        <x:v>NR</x:v>
      </x:c>
      <x:c r="Z15" s="2" t="str">
        <x:v>No</x:v>
      </x:c>
      <x:c r="AA15" s="6" t="str">
        <x:v>p. 20; Section 5.4.3</x:v>
      </x:c>
      <x:c r="AB15" s="6" t="str">
        <x:v>Comparing the results of TransArC with ArTEMiS to the original TransArC, we can see that the average recall is increased from 0.77 to 0.87.</x:v>
      </x:c>
      <x:c r="AC15" s="6" t="str">
        <x:v>将ArTEMiS集成进TransArC后，平均F1从0.80提升至0.85，主要是因为召回率提高。</x:v>
      </x:c>
      <x:c r="AD15" s="2" t="str">
        <x:v>Accepted</x:v>
      </x:c>
      <x:c r="AE15" s="6" t="str">
        <x:v>Weighted average F1: TransArC 0.87, TransArC+ArTEMiS 0.88.</x:v>
      </x:c>
    </x:row>
    <x:row r="16" ht="76" customHeight="1">
      <x:c r="A16" s="2" t="str">
        <x:v>S02-RESULT-R09</x:v>
      </x:c>
      <x:c r="B16" s="2" t="str">
        <x:v>S02</x:v>
      </x:c>
      <x:c r="C16" s="2" t="str">
        <x:v>merged_0007</x:v>
      </x:c>
      <x:c r="D16" s="2" t="str">
        <x:v>Reviewer_A</x:v>
      </x:c>
      <x:c r="E16" s="2" t="str">
        <x:v>Reviewer_A</x:v>
      </x:c>
      <x:c r="F16" s="2" t="str">
        <x:v>S02-R09</x:v>
      </x:c>
      <x:c r="G16" s="2" t="str">
        <x:v>S02-EV05</x:v>
      </x:c>
      <x:c r="H16" s="2" t="str">
        <x:v>S02-T03</x:v>
      </x:c>
      <x:c r="I16" s="2" t="str">
        <x:v>S02-MU02</x:v>
      </x:c>
      <x:c r="J16" s="2" t="str">
        <x:v>Architecture Traceability Benchmark Revised</x:v>
      </x:c>
      <x:c r="K16" s="2" t="str">
        <x:v>Combination of ExArch (GPT-4o) for SAM generation and ArTEMiS (GPT-5) for SAD-SAM linking, then TransArC</x:v>
      </x:c>
      <x:c r="L16" s="2" t="str">
        <x:v>ArDoCode</x:v>
      </x:c>
      <x:c r="M16" s="2" t="str">
        <x:v>weighted average F1-score</x:v>
      </x:c>
      <x:c r="N16" s="6" t="str">
        <x:v>0.87</x:v>
      </x:c>
      <x:c r="O16" s="2" t="n">
        <x:v>0.87</x:v>
      </x:c>
      <x:c r="P16" s="2" t="str">
        <x:v>proportion</x:v>
      </x:c>
      <x:c r="Q16" s="6" t="str">
        <x:v>0.62</x:v>
      </x:c>
      <x:c r="R16" s="2" t="n">
        <x:v>0.62</x:v>
      </x:c>
      <x:c r="S16" s="2" t="str">
        <x:v>NR</x:v>
      </x:c>
      <x:c r="T16" s="2" t="str">
        <x:v>Better</x:v>
      </x:c>
      <x:c r="U16" s="2" t="str">
        <x:v>Not tested</x:v>
      </x:c>
      <x:c r="V16" s="2" t="str">
        <x:v>Best result among configurations that do not require manual SAMs, substantially outperforming ArDoCode.</x:v>
      </x:c>
      <x:c r="W16" s="2" t="str">
        <x:v>NR</x:v>
      </x:c>
      <x:c r="X16" s="2" t="str">
        <x:v>NR</x:v>
      </x:c>
      <x:c r="Y16" s="2" t="str">
        <x:v>NR</x:v>
      </x:c>
      <x:c r="Z16" s="2" t="str">
        <x:v>No</x:v>
      </x:c>
      <x:c r="AA16" s="6" t="str">
        <x:v>p. 20; Section 5.4.3</x:v>
      </x:c>
      <x:c r="AB16" s="6" t="str">
        <x:v>the combination of ExArch and ArTEMiS leads to a better F1 -score in weighted average, meaning that it currently is the best-performing SAD to code TLR approach that does not require SAMs.</x:v>
      </x:c>
      <x:c r="AC16" s="6" t="str">
        <x:v>完全自动化的方案TransArC+ExArch+ArTEMiS在加权平均F1上达到0.87，为无需手动SAM的最佳配置，显著优于ArDoCode。</x:v>
      </x:c>
      <x:c r="AD16" s="2" t="str">
        <x:v>Accepted</x:v>
      </x:c>
      <x:c r="AE16" s="6" t="str">
        <x:v>Weighted average F1 for original TransArC 0.87, for TransArC+ExArch alone 0.86.</x:v>
      </x:c>
    </x:row>
    <x:row r="17" ht="76" customHeight="1">
      <x:c r="A17" s="2" t="str">
        <x:v>S02-RESULT-R10</x:v>
      </x:c>
      <x:c r="B17" s="2" t="str">
        <x:v>S02</x:v>
      </x:c>
      <x:c r="C17" s="2" t="str">
        <x:v>merged_0007</x:v>
      </x:c>
      <x:c r="D17" s="2" t="str">
        <x:v>Reviewer_A</x:v>
      </x:c>
      <x:c r="E17" s="2" t="str">
        <x:v>Reviewer_A</x:v>
      </x:c>
      <x:c r="F17" s="2" t="str">
        <x:v>S02-R10</x:v>
      </x:c>
      <x:c r="G17" s="2" t="str">
        <x:v>S02-EV05</x:v>
      </x:c>
      <x:c r="H17" s="2" t="str">
        <x:v>S02-T03</x:v>
      </x:c>
      <x:c r="I17" s="2" t="str">
        <x:v>S02-MU14</x:v>
      </x:c>
      <x:c r="J17" s="2" t="str">
        <x:v>Architecture Traceability Benchmark Revised</x:v>
      </x:c>
      <x:c r="K17" s="2" t="str">
        <x:v>TransArC with ArTEMiS, manual SAM</x:v>
      </x:c>
      <x:c r="L17" s="2" t="str">
        <x:v>TransArC (original)</x:v>
      </x:c>
      <x:c r="M17" s="2" t="str">
        <x:v>weighted average recall</x:v>
      </x:c>
      <x:c r="N17" s="6" t="str">
        <x:v>0.83</x:v>
      </x:c>
      <x:c r="O17" s="2" t="n">
        <x:v>0.83</x:v>
      </x:c>
      <x:c r="P17" s="2" t="str">
        <x:v>proportion</x:v>
      </x:c>
      <x:c r="Q17" s="6" t="str">
        <x:v>0.93</x:v>
      </x:c>
      <x:c r="R17" s="2" t="n">
        <x:v>0.93</x:v>
      </x:c>
      <x:c r="S17" s="2" t="str">
        <x:v>NR</x:v>
      </x:c>
      <x:c r="T17" s="2" t="str">
        <x:v>Worse</x:v>
      </x:c>
      <x:c r="U17" s="2" t="str">
        <x:v>Not tested</x:v>
      </x:c>
      <x:c r="V17" s="2" t="str">
        <x:v>Weighted recall decreases for projects with many trace links.</x:v>
      </x:c>
      <x:c r="W17" s="2" t="str">
        <x:v>NR</x:v>
      </x:c>
      <x:c r="X17" s="2" t="str">
        <x:v>NR</x:v>
      </x:c>
      <x:c r="Y17" s="2" t="str">
        <x:v>NR</x:v>
      </x:c>
      <x:c r="Z17" s="2" t="str">
        <x:v>Yes</x:v>
      </x:c>
      <x:c r="AA17" s="6" t="str">
        <x:v>p. 20; Section 5.4.3</x:v>
      </x:c>
      <x:c r="AB17" s="6" t="str">
        <x:v>the weighted average recall is decreased from 0.93 to 0.83, reflecting the decreased recall for projects with more trace links between SAD and code.</x:v>
      </x:c>
      <x:c r="AC17" s="6" t="str">
        <x:v>尽管平均F1提升，但加权平均召回率从0.93降至0.83，表明在拥有大量链接的项目上ArTEMiS替换SWATTR可能不利于召回。</x:v>
      </x:c>
      <x:c r="AD17" s="2" t="str">
        <x:v>Accepted</x:v>
      </x:c>
      <x:c r="AE17" s="6" t="str">
        <x:v>This is a negative result concerning recall for large projects.</x:v>
      </x:c>
    </x:row>
    <x:row r="18" ht="76" customHeight="1">
      <x:c r="A18" s="2" t="str">
        <x:v>S03-RESULT-R01</x:v>
      </x:c>
      <x:c r="B18" s="2" t="str">
        <x:v>S03</x:v>
      </x:c>
      <x:c r="C18" s="2" t="str">
        <x:v>merged_0014</x:v>
      </x:c>
      <x:c r="D18" s="2" t="str">
        <x:v>Reviewer_A</x:v>
      </x:c>
      <x:c r="E18" s="2" t="str">
        <x:v>Reviewer_A</x:v>
      </x:c>
      <x:c r="F18" s="2" t="str">
        <x:v>S03-R01</x:v>
      </x:c>
      <x:c r="G18" s="2" t="str">
        <x:v>S03-EV01</x:v>
      </x:c>
      <x:c r="H18" s="2" t="str">
        <x:v>S03-T01</x:v>
      </x:c>
      <x:c r="I18" s="2" t="str">
        <x:v>NA</x:v>
      </x:c>
      <x:c r="J18" s="2" t="str">
        <x:v>JAllInOne sales + ERP domain</x:v>
      </x:c>
      <x:c r="K18" s="2" t="str">
        <x:v>Baseline (WO)</x:v>
      </x:c>
      <x:c r="L18" s="2" t="str">
        <x:v>No</x:v>
      </x:c>
      <x:c r="M18" s="2" t="str">
        <x:v>F1 Score Average</x:v>
      </x:c>
      <x:c r="N18" s="6" t="str">
        <x:v>41%</x:v>
      </x:c>
      <x:c r="O18" s="2" t="n">
        <x:v>41</x:v>
      </x:c>
      <x:c r="P18" s="2" t="str">
        <x:v>%</x:v>
      </x:c>
      <x:c r="Q18" s="6" t="str">
        <x:v>NA</x:v>
      </x:c>
      <x:c r="R18" s="2" t="str">
        <x:v>NA</x:v>
      </x:c>
      <x:c r="S18" s="2" t="str">
        <x:v>NR</x:v>
      </x:c>
      <x:c r="T18" s="2" t="str">
        <x:v>Not compared</x:v>
      </x:c>
      <x:c r="U18" s="2" t="str">
        <x:v>Not tested</x:v>
      </x:c>
      <x:c r="V18" s="2" t="str">
        <x:v>NR</x:v>
      </x:c>
      <x:c r="W18" s="2" t="str">
        <x:v>NR</x:v>
      </x:c>
      <x:c r="X18" s="2" t="str">
        <x:v>NR</x:v>
      </x:c>
      <x:c r="Y18" s="2" t="str">
        <x:v>NR</x:v>
      </x:c>
      <x:c r="Z18" s="2" t="str">
        <x:v>No</x:v>
      </x:c>
      <x:c r="AA18" s="6" t="str">
        <x:v>p. 5; Table 1</x:v>
      </x:c>
      <x:c r="AB18" s="6" t="str">
        <x:v>35.41% 41%</x:v>
      </x:c>
      <x:c r="AC18" s="6" t="str">
        <x:v>基线方法（无优化）在平均F1上达到41%，作为后续比较基准。</x:v>
      </x:c>
      <x:c r="AD18" s="2" t="str">
        <x:v>Accepted</x:v>
      </x:c>
      <x:c r="AE18" s="6" t="str">
        <x:v>NA</x:v>
      </x:c>
    </x:row>
    <x:row r="19" ht="76" customHeight="1">
      <x:c r="A19" s="2" t="str">
        <x:v>S03-RESULT-R02</x:v>
      </x:c>
      <x:c r="B19" s="2" t="str">
        <x:v>S03</x:v>
      </x:c>
      <x:c r="C19" s="2" t="str">
        <x:v>merged_0014</x:v>
      </x:c>
      <x:c r="D19" s="2" t="str">
        <x:v>Reviewer_A</x:v>
      </x:c>
      <x:c r="E19" s="2" t="str">
        <x:v>Reviewer_A</x:v>
      </x:c>
      <x:c r="F19" s="2" t="str">
        <x:v>S03-R02</x:v>
      </x:c>
      <x:c r="G19" s="2" t="str">
        <x:v>S03-EV01</x:v>
      </x:c>
      <x:c r="H19" s="2" t="str">
        <x:v>S03-T01</x:v>
      </x:c>
      <x:c r="I19" s="2" t="str">
        <x:v>NA</x:v>
      </x:c>
      <x:c r="J19" s="2" t="str">
        <x:v>JAllInOne sales + ERP domain</x:v>
      </x:c>
      <x:c r="K19" s="2" t="str">
        <x:v>Baseline (O)</x:v>
      </x:c>
      <x:c r="L19" s="2" t="str">
        <x:v>Baseline (WO)</x:v>
      </x:c>
      <x:c r="M19" s="2" t="str">
        <x:v>F1 Score Average</x:v>
      </x:c>
      <x:c r="N19" s="6" t="str">
        <x:v>40%</x:v>
      </x:c>
      <x:c r="O19" s="2" t="n">
        <x:v>40</x:v>
      </x:c>
      <x:c r="P19" s="2" t="str">
        <x:v>%</x:v>
      </x:c>
      <x:c r="Q19" s="6" t="str">
        <x:v>41%</x:v>
      </x:c>
      <x:c r="R19" s="2" t="n">
        <x:v>41</x:v>
      </x:c>
      <x:c r="S19" s="2" t="str">
        <x:v>NR</x:v>
      </x:c>
      <x:c r="T19" s="2" t="str">
        <x:v>Comparable</x:v>
      </x:c>
      <x:c r="U19" s="2" t="str">
        <x:v>Not tested</x:v>
      </x:c>
      <x:c r="V19" s="2" t="str">
        <x:v>NR</x:v>
      </x:c>
      <x:c r="W19" s="2" t="str">
        <x:v>NR</x:v>
      </x:c>
      <x:c r="X19" s="2" t="str">
        <x:v>NR</x:v>
      </x:c>
      <x:c r="Y19" s="2" t="str">
        <x:v>NR</x:v>
      </x:c>
      <x:c r="Z19" s="2" t="str">
        <x:v>No</x:v>
      </x:c>
      <x:c r="AA19" s="6" t="str">
        <x:v>p. 5; Table 1</x:v>
      </x:c>
      <x:c r="AB19" s="6" t="str">
        <x:v>25.26% 40%</x:v>
      </x:c>
      <x:c r="AC19" s="6" t="str">
        <x:v>带优化的基线方法平均F1为40%，与无优化基线（41%）几乎持平。</x:v>
      </x:c>
      <x:c r="AD19" s="2" t="str">
        <x:v>Accepted</x:v>
      </x:c>
      <x:c r="AE19" s="6" t="str">
        <x:v>NA</x:v>
      </x:c>
    </x:row>
    <x:row r="20" ht="76" customHeight="1">
      <x:c r="A20" s="2" t="str">
        <x:v>S03-RESULT-R03</x:v>
      </x:c>
      <x:c r="B20" s="2" t="str">
        <x:v>S03</x:v>
      </x:c>
      <x:c r="C20" s="2" t="str">
        <x:v>merged_0014</x:v>
      </x:c>
      <x:c r="D20" s="2" t="str">
        <x:v>Reviewer_A</x:v>
      </x:c>
      <x:c r="E20" s="2" t="str">
        <x:v>Reviewer_A</x:v>
      </x:c>
      <x:c r="F20" s="2" t="str">
        <x:v>S03-R03</x:v>
      </x:c>
      <x:c r="G20" s="2" t="str">
        <x:v>S03-EV01</x:v>
      </x:c>
      <x:c r="H20" s="2" t="str">
        <x:v>S03-T01</x:v>
      </x:c>
      <x:c r="I20" s="2" t="str">
        <x:v>NA</x:v>
      </x:c>
      <x:c r="J20" s="2" t="str">
        <x:v>JAllInOne sales + ERP domain</x:v>
      </x:c>
      <x:c r="K20" s="2" t="str">
        <x:v>Technical Intents (WO)</x:v>
      </x:c>
      <x:c r="L20" s="2" t="str">
        <x:v>Baseline (WO)</x:v>
      </x:c>
      <x:c r="M20" s="2" t="str">
        <x:v>F1 Score Average</x:v>
      </x:c>
      <x:c r="N20" s="6" t="str">
        <x:v>46%</x:v>
      </x:c>
      <x:c r="O20" s="2" t="n">
        <x:v>46</x:v>
      </x:c>
      <x:c r="P20" s="2" t="str">
        <x:v>%</x:v>
      </x:c>
      <x:c r="Q20" s="6" t="str">
        <x:v>41%</x:v>
      </x:c>
      <x:c r="R20" s="2" t="n">
        <x:v>41</x:v>
      </x:c>
      <x:c r="S20" s="2" t="str">
        <x:v>NR</x:v>
      </x:c>
      <x:c r="T20" s="2" t="str">
        <x:v>Better</x:v>
      </x:c>
      <x:c r="U20" s="2" t="str">
        <x:v>Not tested</x:v>
      </x:c>
      <x:c r="V20" s="2" t="str">
        <x:v>NR</x:v>
      </x:c>
      <x:c r="W20" s="2" t="str">
        <x:v>NR</x:v>
      </x:c>
      <x:c r="X20" s="2" t="str">
        <x:v>NR</x:v>
      </x:c>
      <x:c r="Y20" s="2" t="str">
        <x:v>NR</x:v>
      </x:c>
      <x:c r="Z20" s="2" t="str">
        <x:v>No</x:v>
      </x:c>
      <x:c r="AA20" s="6" t="str">
        <x:v>p. 5; Table 1</x:v>
      </x:c>
      <x:c r="AB20" s="6" t="str">
        <x:v>45.35% 46%</x:v>
      </x:c>
      <x:c r="AC20" s="6" t="str">
        <x:v>仅使用技术意图（无优化）的方法平均F1为46%，略高于基线41%。</x:v>
      </x:c>
      <x:c r="AD20" s="2" t="str">
        <x:v>Accepted</x:v>
      </x:c>
      <x:c r="AE20" s="6" t="str">
        <x:v>NA</x:v>
      </x:c>
    </x:row>
    <x:row r="21" ht="76" customHeight="1">
      <x:c r="A21" s="2" t="str">
        <x:v>S03-RESULT-R04</x:v>
      </x:c>
      <x:c r="B21" s="2" t="str">
        <x:v>S03</x:v>
      </x:c>
      <x:c r="C21" s="2" t="str">
        <x:v>merged_0014</x:v>
      </x:c>
      <x:c r="D21" s="2" t="str">
        <x:v>Reviewer_A</x:v>
      </x:c>
      <x:c r="E21" s="2" t="str">
        <x:v>Reviewer_A</x:v>
      </x:c>
      <x:c r="F21" s="2" t="str">
        <x:v>S03-R04</x:v>
      </x:c>
      <x:c r="G21" s="2" t="str">
        <x:v>S03-EV01</x:v>
      </x:c>
      <x:c r="H21" s="2" t="str">
        <x:v>S03-T01</x:v>
      </x:c>
      <x:c r="I21" s="2" t="str">
        <x:v>NA</x:v>
      </x:c>
      <x:c r="J21" s="2" t="str">
        <x:v>JAllInOne sales + ERP domain</x:v>
      </x:c>
      <x:c r="K21" s="2" t="str">
        <x:v>Technical Intents (O)</x:v>
      </x:c>
      <x:c r="L21" s="2" t="str">
        <x:v>Baseline (WO)</x:v>
      </x:c>
      <x:c r="M21" s="2" t="str">
        <x:v>F1 Score Average</x:v>
      </x:c>
      <x:c r="N21" s="6" t="str">
        <x:v>27%</x:v>
      </x:c>
      <x:c r="O21" s="2" t="n">
        <x:v>27</x:v>
      </x:c>
      <x:c r="P21" s="2" t="str">
        <x:v>%</x:v>
      </x:c>
      <x:c r="Q21" s="6" t="str">
        <x:v>41%</x:v>
      </x:c>
      <x:c r="R21" s="2" t="n">
        <x:v>41</x:v>
      </x:c>
      <x:c r="S21" s="2" t="str">
        <x:v>NR</x:v>
      </x:c>
      <x:c r="T21" s="2" t="str">
        <x:v>Worse</x:v>
      </x:c>
      <x:c r="U21" s="2" t="str">
        <x:v>Not tested</x:v>
      </x:c>
      <x:c r="V21" s="2" t="str">
        <x:v>NR</x:v>
      </x:c>
      <x:c r="W21" s="2" t="str">
        <x:v>NR</x:v>
      </x:c>
      <x:c r="X21" s="2" t="str">
        <x:v>NR</x:v>
      </x:c>
      <x:c r="Y21" s="2" t="str">
        <x:v>NR</x:v>
      </x:c>
      <x:c r="Z21" s="2" t="str">
        <x:v>Yes</x:v>
      </x:c>
      <x:c r="AA21" s="6" t="str">
        <x:v>p. 5; Table 1</x:v>
      </x:c>
      <x:c r="AB21" s="6" t="str">
        <x:v>24.65% 27%</x:v>
      </x:c>
      <x:c r="AC21" s="6" t="str">
        <x:v>带优化的技术意图方法平均F1骤降至27%，远低于基线41%，表明优化在此设置下反而严重损害性能。</x:v>
      </x:c>
      <x:c r="AD21" s="2" t="str">
        <x:v>Accepted</x:v>
      </x:c>
      <x:c r="AE21" s="6" t="str">
        <x:v>优化步骤对技术意图方法产生了显著的负面效果，是明确的负面发现。</x:v>
      </x:c>
    </x:row>
    <x:row r="22" ht="76" customHeight="1">
      <x:c r="A22" s="2" t="str">
        <x:v>S03-RESULT-R05</x:v>
      </x:c>
      <x:c r="B22" s="2" t="str">
        <x:v>S03</x:v>
      </x:c>
      <x:c r="C22" s="2" t="str">
        <x:v>merged_0014</x:v>
      </x:c>
      <x:c r="D22" s="2" t="str">
        <x:v>Reviewer_A</x:v>
      </x:c>
      <x:c r="E22" s="2" t="str">
        <x:v>Reviewer_A</x:v>
      </x:c>
      <x:c r="F22" s="2" t="str">
        <x:v>S03-R05</x:v>
      </x:c>
      <x:c r="G22" s="2" t="str">
        <x:v>S03-EV01</x:v>
      </x:c>
      <x:c r="H22" s="2" t="str">
        <x:v>S03-T01</x:v>
      </x:c>
      <x:c r="I22" s="2" t="str">
        <x:v>NA</x:v>
      </x:c>
      <x:c r="J22" s="2" t="str">
        <x:v>JAllInOne sales + ERP domain</x:v>
      </x:c>
      <x:c r="K22" s="2" t="str">
        <x:v>Domain Intents (WO)</x:v>
      </x:c>
      <x:c r="L22" s="2" t="str">
        <x:v>Baseline (WO)</x:v>
      </x:c>
      <x:c r="M22" s="2" t="str">
        <x:v>F1 Score Average</x:v>
      </x:c>
      <x:c r="N22" s="6" t="str">
        <x:v>61%</x:v>
      </x:c>
      <x:c r="O22" s="2" t="n">
        <x:v>61</x:v>
      </x:c>
      <x:c r="P22" s="2" t="str">
        <x:v>%</x:v>
      </x:c>
      <x:c r="Q22" s="6" t="str">
        <x:v>41%</x:v>
      </x:c>
      <x:c r="R22" s="2" t="n">
        <x:v>41</x:v>
      </x:c>
      <x:c r="S22" s="2" t="str">
        <x:v>NR</x:v>
      </x:c>
      <x:c r="T22" s="2" t="str">
        <x:v>Better</x:v>
      </x:c>
      <x:c r="U22" s="2" t="str">
        <x:v>Not tested</x:v>
      </x:c>
      <x:c r="V22" s="2" t="str">
        <x:v>+20% over baseline average F1</x:v>
      </x:c>
      <x:c r="W22" s="2" t="str">
        <x:v>NR</x:v>
      </x:c>
      <x:c r="X22" s="2" t="str">
        <x:v>NR</x:v>
      </x:c>
      <x:c r="Y22" s="2" t="str">
        <x:v>NR</x:v>
      </x:c>
      <x:c r="Z22" s="2" t="str">
        <x:v>No</x:v>
      </x:c>
      <x:c r="AA22" s="6" t="str">
        <x:v>p. 4; Section 5.3</x:v>
      </x:c>
      <x:c r="AB22" s="6" t="str">
        <x:v>Domain Intents approach achieves the highest overall performance Precision Service Recall F1 Score</x:v>
      </x:c>
      <x:c r="AC22" s="6" t="str">
        <x:v>领域意图方法（无优化）在平均F1上取得61%，显著超越基线41%，提升20个百分点，是本文提出的核心方法。</x:v>
      </x:c>
      <x:c r="AD22" s="2" t="str">
        <x:v>Accepted</x:v>
      </x:c>
      <x:c r="AE22" s="6" t="str">
        <x:v>NA</x:v>
      </x:c>
    </x:row>
    <x:row r="23" ht="76" customHeight="1">
      <x:c r="A23" s="2" t="str">
        <x:v>S03-RESULT-R06</x:v>
      </x:c>
      <x:c r="B23" s="2" t="str">
        <x:v>S03</x:v>
      </x:c>
      <x:c r="C23" s="2" t="str">
        <x:v>merged_0014</x:v>
      </x:c>
      <x:c r="D23" s="2" t="str">
        <x:v>Reviewer_A</x:v>
      </x:c>
      <x:c r="E23" s="2" t="str">
        <x:v>Reviewer_A</x:v>
      </x:c>
      <x:c r="F23" s="2" t="str">
        <x:v>S03-R06</x:v>
      </x:c>
      <x:c r="G23" s="2" t="str">
        <x:v>S03-EV01</x:v>
      </x:c>
      <x:c r="H23" s="2" t="str">
        <x:v>S03-T01</x:v>
      </x:c>
      <x:c r="I23" s="2" t="str">
        <x:v>NA</x:v>
      </x:c>
      <x:c r="J23" s="2" t="str">
        <x:v>JAllInOne sales + ERP domain</x:v>
      </x:c>
      <x:c r="K23" s="2" t="str">
        <x:v>Domain Intents (O)</x:v>
      </x:c>
      <x:c r="L23" s="2" t="str">
        <x:v>Baseline (WO)</x:v>
      </x:c>
      <x:c r="M23" s="2" t="str">
        <x:v>F1 Score Average</x:v>
      </x:c>
      <x:c r="N23" s="6" t="str">
        <x:v>55%</x:v>
      </x:c>
      <x:c r="O23" s="2" t="n">
        <x:v>55</x:v>
      </x:c>
      <x:c r="P23" s="2" t="str">
        <x:v>%</x:v>
      </x:c>
      <x:c r="Q23" s="6" t="str">
        <x:v>41%</x:v>
      </x:c>
      <x:c r="R23" s="2" t="n">
        <x:v>41</x:v>
      </x:c>
      <x:c r="S23" s="2" t="str">
        <x:v>NR</x:v>
      </x:c>
      <x:c r="T23" s="2" t="str">
        <x:v>Better</x:v>
      </x:c>
      <x:c r="U23" s="2" t="str">
        <x:v>Not tested</x:v>
      </x:c>
      <x:c r="V23" s="2" t="str">
        <x:v>NR</x:v>
      </x:c>
      <x:c r="W23" s="2" t="str">
        <x:v>NR</x:v>
      </x:c>
      <x:c r="X23" s="2" t="str">
        <x:v>NR</x:v>
      </x:c>
      <x:c r="Y23" s="2" t="str">
        <x:v>NR</x:v>
      </x:c>
      <x:c r="Z23" s="2" t="str">
        <x:v>No</x:v>
      </x:c>
      <x:c r="AA23" s="6" t="str">
        <x:v>p. 5; Table 1</x:v>
      </x:c>
      <x:c r="AB23" s="6" t="str">
        <x:v>32.91% 55%</x:v>
      </x:c>
      <x:c r="AC23" s="6" t="str">
        <x:v>带优化的领域意图方法平均F1为55%，仍高于基线41%，但相较于无优化的61%有所下降。</x:v>
      </x:c>
      <x:c r="AD23" s="2" t="str">
        <x:v>Accepted</x:v>
      </x:c>
      <x:c r="AE23" s="6" t="str">
        <x:v>NA</x:v>
      </x:c>
    </x:row>
    <x:row r="24" ht="76" customHeight="1">
      <x:c r="A24" s="2" t="str">
        <x:v>S03-RESULT-R07</x:v>
      </x:c>
      <x:c r="B24" s="2" t="str">
        <x:v>S03</x:v>
      </x:c>
      <x:c r="C24" s="2" t="str">
        <x:v>merged_0014</x:v>
      </x:c>
      <x:c r="D24" s="2" t="str">
        <x:v>Reviewer_A</x:v>
      </x:c>
      <x:c r="E24" s="2" t="str">
        <x:v>Reviewer_A</x:v>
      </x:c>
      <x:c r="F24" s="2" t="str">
        <x:v>S03-R07</x:v>
      </x:c>
      <x:c r="G24" s="2" t="str">
        <x:v>S03-EV01</x:v>
      </x:c>
      <x:c r="H24" s="2" t="str">
        <x:v>S03-T01</x:v>
      </x:c>
      <x:c r="I24" s="2" t="str">
        <x:v>NA</x:v>
      </x:c>
      <x:c r="J24" s="2" t="str">
        <x:v>JAllInOne sales + ERP domain</x:v>
      </x:c>
      <x:c r="K24" s="2" t="str">
        <x:v>Domain Intents (OF)</x:v>
      </x:c>
      <x:c r="L24" s="2" t="str">
        <x:v>Baseline (WO)</x:v>
      </x:c>
      <x:c r="M24" s="2" t="str">
        <x:v>F1 Score Average</x:v>
      </x:c>
      <x:c r="N24" s="6" t="str">
        <x:v>60%</x:v>
      </x:c>
      <x:c r="O24" s="2" t="n">
        <x:v>60</x:v>
      </x:c>
      <x:c r="P24" s="2" t="str">
        <x:v>%</x:v>
      </x:c>
      <x:c r="Q24" s="6" t="str">
        <x:v>41%</x:v>
      </x:c>
      <x:c r="R24" s="2" t="n">
        <x:v>41</x:v>
      </x:c>
      <x:c r="S24" s="2" t="str">
        <x:v>NR</x:v>
      </x:c>
      <x:c r="T24" s="2" t="str">
        <x:v>Better</x:v>
      </x:c>
      <x:c r="U24" s="2" t="str">
        <x:v>Not tested</x:v>
      </x:c>
      <x:c r="V24" s="2" t="str">
        <x:v>NR</x:v>
      </x:c>
      <x:c r="W24" s="2" t="str">
        <x:v>NR</x:v>
      </x:c>
      <x:c r="X24" s="2" t="str">
        <x:v>NR</x:v>
      </x:c>
      <x:c r="Y24" s="2" t="str">
        <x:v>NR</x:v>
      </x:c>
      <x:c r="Z24" s="2" t="str">
        <x:v>No</x:v>
      </x:c>
      <x:c r="AA24" s="6" t="str">
        <x:v>p. 5; Table 1</x:v>
      </x:c>
      <x:c r="AB24" s="6" t="str">
        <x:v>37% 60%</x:v>
      </x:c>
      <x:c r="AC24" s="6" t="str">
        <x:v>领域意图加专家反馈的方法平均F1为60%，比无反馈的55%有所回升，但仍略低于无优化的61%。</x:v>
      </x:c>
      <x:c r="AD24" s="2" t="str">
        <x:v>Accepted</x:v>
      </x:c>
      <x:c r="AE24" s="6" t="str">
        <x:v>NA</x:v>
      </x:c>
    </x:row>
    <x:row r="25" ht="76" customHeight="1">
      <x:c r="A25" s="2" t="str">
        <x:v>S04-RESULT-R01</x:v>
      </x:c>
      <x:c r="B25" s="2" t="str">
        <x:v>S04</x:v>
      </x:c>
      <x:c r="C25" s="2" t="str">
        <x:v>merged_0075</x:v>
      </x:c>
      <x:c r="D25" s="2" t="str">
        <x:v>Reviewer_A</x:v>
      </x:c>
      <x:c r="E25" s="2" t="str">
        <x:v>Reviewer_A</x:v>
      </x:c>
      <x:c r="F25" s="2" t="str">
        <x:v>S04-R01</x:v>
      </x:c>
      <x:c r="G25" s="2" t="str">
        <x:v>S04-EV01</x:v>
      </x:c>
      <x:c r="H25" s="2" t="str">
        <x:v>S04-T01</x:v>
      </x:c>
      <x:c r="I25" s="2" t="str">
        <x:v>S04-MU01</x:v>
      </x:c>
      <x:c r="J25" s="2" t="str">
        <x:v>Virtual Interior Design App</x:v>
      </x:c>
      <x:c r="K25" s="2" t="str">
        <x:v>Zero-Shot</x:v>
      </x:c>
      <x:c r="L25" s="2" t="str">
        <x:v>No</x:v>
      </x:c>
      <x:c r="M25" s="2" t="str">
        <x:v>Precision</x:v>
      </x:c>
      <x:c r="N25" s="6" t="str">
        <x:v>1</x:v>
      </x:c>
      <x:c r="O25" s="2" t="n">
        <x:v>1</x:v>
      </x:c>
      <x:c r="P25" s="2" t="str">
        <x:v>proportion</x:v>
      </x:c>
      <x:c r="Q25" s="6" t="str">
        <x:v>No</x:v>
      </x:c>
      <x:c r="R25" s="2" t="str">
        <x:v>NA</x:v>
      </x:c>
      <x:c r="S25" s="2" t="str">
        <x:v>NR</x:v>
      </x:c>
      <x:c r="T25" s="2" t="str">
        <x:v>Not compared</x:v>
      </x:c>
      <x:c r="U25" s="2" t="str">
        <x:v>Not tested</x:v>
      </x:c>
      <x:c r="V25" s="2" t="str">
        <x:v>NR</x:v>
      </x:c>
      <x:c r="W25" s="2" t="str">
        <x:v>NR</x:v>
      </x:c>
      <x:c r="X25" s="2" t="str">
        <x:v>NR</x:v>
      </x:c>
      <x:c r="Y25" s="2" t="str">
        <x:v>NR</x:v>
      </x:c>
      <x:c r="Z25" s="2" t="str">
        <x:v>No</x:v>
      </x:c>
      <x:c r="AA25" s="6" t="str">
        <x:v>p. 6; Table 1</x:v>
      </x:c>
      <x:c r="AB25" s="6" t="str">
        <x:v>𝑃𝑟𝑒𝑐𝑖𝑠𝑖𝑜𝑛 × 𝑅𝑒𝑐𝑎𝑙𝑙</x:v>
      </x:c>
      <x:c r="AC25" s="6" t="str">
        <x:v>精确率100%，所有生成的链接均为正确链接</x:v>
      </x:c>
      <x:c r="AD25" s="2" t="str">
        <x:v>Accepted</x:v>
      </x:c>
      <x:c r="AE25" s="6" t="str">
        <x:v>NR</x:v>
      </x:c>
    </x:row>
    <x:row r="26" ht="76" customHeight="1">
      <x:c r="A26" s="2" t="str">
        <x:v>S04-RESULT-R02</x:v>
      </x:c>
      <x:c r="B26" s="2" t="str">
        <x:v>S04</x:v>
      </x:c>
      <x:c r="C26" s="2" t="str">
        <x:v>merged_0075</x:v>
      </x:c>
      <x:c r="D26" s="2" t="str">
        <x:v>Reviewer_A</x:v>
      </x:c>
      <x:c r="E26" s="2" t="str">
        <x:v>Reviewer_A</x:v>
      </x:c>
      <x:c r="F26" s="2" t="str">
        <x:v>S04-R02</x:v>
      </x:c>
      <x:c r="G26" s="2" t="str">
        <x:v>S04-EV01</x:v>
      </x:c>
      <x:c r="H26" s="2" t="str">
        <x:v>S04-T01</x:v>
      </x:c>
      <x:c r="I26" s="2" t="str">
        <x:v>S04-MU01</x:v>
      </x:c>
      <x:c r="J26" s="2" t="str">
        <x:v>Virtual Interior Design App</x:v>
      </x:c>
      <x:c r="K26" s="2" t="str">
        <x:v>Zero-Shot</x:v>
      </x:c>
      <x:c r="L26" s="2" t="str">
        <x:v>No</x:v>
      </x:c>
      <x:c r="M26" s="2" t="str">
        <x:v>Recall</x:v>
      </x:c>
      <x:c r="N26" s="6" t="str">
        <x:v>0.785</x:v>
      </x:c>
      <x:c r="O26" s="2" t="n">
        <x:v>0.785</x:v>
      </x:c>
      <x:c r="P26" s="2" t="str">
        <x:v>proportion</x:v>
      </x:c>
      <x:c r="Q26" s="6" t="str">
        <x:v>No</x:v>
      </x:c>
      <x:c r="R26" s="2" t="str">
        <x:v>NA</x:v>
      </x:c>
      <x:c r="S26" s="2" t="str">
        <x:v>NR</x:v>
      </x:c>
      <x:c r="T26" s="2" t="str">
        <x:v>Not compared</x:v>
      </x:c>
      <x:c r="U26" s="2" t="str">
        <x:v>Not tested</x:v>
      </x:c>
      <x:c r="V26" s="2" t="str">
        <x:v>NR</x:v>
      </x:c>
      <x:c r="W26" s="2" t="str">
        <x:v>NR</x:v>
      </x:c>
      <x:c r="X26" s="2" t="str">
        <x:v>NR</x:v>
      </x:c>
      <x:c r="Y26" s="2" t="str">
        <x:v>3 missed links: between R2 and Secure Data Encryption, R9 and Prevent Unauthorized Access, R12 and Suspicious Activities Notification</x:v>
      </x:c>
      <x:c r="Z26" s="2" t="str">
        <x:v>No</x:v>
      </x:c>
      <x:c r="AA26" s="6" t="str">
        <x:v>p. 6; Table 1</x:v>
      </x:c>
      <x:c r="AB26" s="6" t="str">
        <x:v>𝑃𝑟𝑒𝑐𝑖𝑠𝑖𝑜𝑛 × 𝑅𝑒𝑐𝑎𝑙𝑙</x:v>
      </x:c>
      <x:c r="AC26" s="6" t="str">
        <x:v>召回率78.5%，漏掉了3个真实链接</x:v>
      </x:c>
      <x:c r="AD26" s="2" t="str">
        <x:v>Accepted</x:v>
      </x:c>
      <x:c r="AE26" s="6" t="str">
        <x:v>NR</x:v>
      </x:c>
    </x:row>
    <x:row r="27" ht="76" customHeight="1">
      <x:c r="A27" s="2" t="str">
        <x:v>S04-RESULT-R03</x:v>
      </x:c>
      <x:c r="B27" s="2" t="str">
        <x:v>S04</x:v>
      </x:c>
      <x:c r="C27" s="2" t="str">
        <x:v>merged_0075</x:v>
      </x:c>
      <x:c r="D27" s="2" t="str">
        <x:v>Reviewer_A</x:v>
      </x:c>
      <x:c r="E27" s="2" t="str">
        <x:v>Reviewer_A</x:v>
      </x:c>
      <x:c r="F27" s="2" t="str">
        <x:v>S04-R03</x:v>
      </x:c>
      <x:c r="G27" s="2" t="str">
        <x:v>S04-EV01</x:v>
      </x:c>
      <x:c r="H27" s="2" t="str">
        <x:v>S04-T01</x:v>
      </x:c>
      <x:c r="I27" s="2" t="str">
        <x:v>S04-MU01</x:v>
      </x:c>
      <x:c r="J27" s="2" t="str">
        <x:v>Virtual Interior Design App</x:v>
      </x:c>
      <x:c r="K27" s="2" t="str">
        <x:v>Zero-Shot</x:v>
      </x:c>
      <x:c r="L27" s="2" t="str">
        <x:v>No</x:v>
      </x:c>
      <x:c r="M27" s="2" t="str">
        <x:v>F1-score</x:v>
      </x:c>
      <x:c r="N27" s="6" t="str">
        <x:v>0.879</x:v>
      </x:c>
      <x:c r="O27" s="2" t="n">
        <x:v>0.879</x:v>
      </x:c>
      <x:c r="P27" s="2" t="str">
        <x:v>proportion</x:v>
      </x:c>
      <x:c r="Q27" s="6" t="str">
        <x:v>No</x:v>
      </x:c>
      <x:c r="R27" s="2" t="str">
        <x:v>NA</x:v>
      </x:c>
      <x:c r="S27" s="2" t="str">
        <x:v>NR</x:v>
      </x:c>
      <x:c r="T27" s="2" t="str">
        <x:v>Not compared</x:v>
      </x:c>
      <x:c r="U27" s="2" t="str">
        <x:v>Not tested</x:v>
      </x:c>
      <x:c r="V27" s="2" t="str">
        <x:v>NR</x:v>
      </x:c>
      <x:c r="W27" s="2" t="str">
        <x:v>NR</x:v>
      </x:c>
      <x:c r="X27" s="2" t="str">
        <x:v>NR</x:v>
      </x:c>
      <x:c r="Y27" s="2" t="str">
        <x:v>NR</x:v>
      </x:c>
      <x:c r="Z27" s="2" t="str">
        <x:v>No</x:v>
      </x:c>
      <x:c r="AA27" s="6" t="str">
        <x:v>p. 1; Table 1</x:v>
      </x:c>
      <x:c r="AB27" s="6" t="str">
        <x:v>F1-score of 87.9%.</x:v>
      </x:c>
      <x:c r="AC27" s="6" t="str">
        <x:v>F1分数87.9%，表明方法在精确率和召回率之间取得较好平衡</x:v>
      </x:c>
      <x:c r="AD27" s="2" t="str">
        <x:v>Accepted</x:v>
      </x:c>
      <x:c r="AE27" s="6" t="str">
        <x:v>NR</x:v>
      </x:c>
    </x:row>
    <x:row r="28" ht="76" customHeight="1">
      <x:c r="A28" s="2" t="str">
        <x:v>S04-RESULT-R04</x:v>
      </x:c>
      <x:c r="B28" s="2" t="str">
        <x:v>S04</x:v>
      </x:c>
      <x:c r="C28" s="2" t="str">
        <x:v>merged_0075</x:v>
      </x:c>
      <x:c r="D28" s="2" t="str">
        <x:v>Reviewer_A</x:v>
      </x:c>
      <x:c r="E28" s="2" t="str">
        <x:v>Reviewer_A</x:v>
      </x:c>
      <x:c r="F28" s="2" t="str">
        <x:v>S04-R04</x:v>
      </x:c>
      <x:c r="G28" s="2" t="str">
        <x:v>S04-EV01</x:v>
      </x:c>
      <x:c r="H28" s="2" t="str">
        <x:v>S04-T01</x:v>
      </x:c>
      <x:c r="I28" s="2" t="str">
        <x:v>S04-MU01</x:v>
      </x:c>
      <x:c r="J28" s="2" t="str">
        <x:v>Virtual Interior Design App</x:v>
      </x:c>
      <x:c r="K28" s="2" t="str">
        <x:v>Zero-Shot</x:v>
      </x:c>
      <x:c r="L28" s="2" t="str">
        <x:v>No</x:v>
      </x:c>
      <x:c r="M28" s="2" t="str">
        <x:v>Missed Links</x:v>
      </x:c>
      <x:c r="N28" s="6" t="str">
        <x:v>3 missed links</x:v>
      </x:c>
      <x:c r="O28" s="2" t="n">
        <x:v>3</x:v>
      </x:c>
      <x:c r="P28" s="2" t="str">
        <x:v>count</x:v>
      </x:c>
      <x:c r="Q28" s="6" t="str">
        <x:v>No</x:v>
      </x:c>
      <x:c r="R28" s="2" t="str">
        <x:v>NA</x:v>
      </x:c>
      <x:c r="S28" s="2" t="str">
        <x:v>NR</x:v>
      </x:c>
      <x:c r="T28" s="2" t="str">
        <x:v>Worse</x:v>
      </x:c>
      <x:c r="U28" s="2" t="str">
        <x:v>Not tested</x:v>
      </x:c>
      <x:c r="V28" s="2" t="str">
        <x:v>NR</x:v>
      </x:c>
      <x:c r="W28" s="2" t="str">
        <x:v>NR</x:v>
      </x:c>
      <x:c r="X28" s="2" t="str">
        <x:v>NR</x:v>
      </x:c>
      <x:c r="Y28" s="2" t="str">
        <x:v>Yes</x:v>
      </x:c>
      <x:c r="Z28" s="2" t="str">
        <x:v>Yes</x:v>
      </x:c>
      <x:c r="AA28" s="6" t="str">
        <x:v>p. 7; Section 5.3</x:v>
      </x:c>
      <x:c r="AB28" s="6" t="str">
        <x:v>the tool missed the following three links:</x:v>
      </x:c>
      <x:c r="AC28" s="6" t="str">
        <x:v>方法未能识别出3个安全追溯链接，属于失败案例</x:v>
      </x:c>
      <x:c r="AD28" s="2" t="str">
        <x:v>Accepted</x:v>
      </x:c>
      <x:c r="AE28" s="6" t="str">
        <x:v>NR</x:v>
      </x:c>
    </x:row>
    <x:row r="29" ht="76" customHeight="1">
      <x:c r="A29" s="2" t="str">
        <x:v>S05-RESULT-R01</x:v>
      </x:c>
      <x:c r="B29" s="2" t="str">
        <x:v>S05</x:v>
      </x:c>
      <x:c r="C29" s="2" t="str">
        <x:v>merged_0077</x:v>
      </x:c>
      <x:c r="D29" s="2" t="str">
        <x:v>Reviewer_A</x:v>
      </x:c>
      <x:c r="E29" s="2" t="str">
        <x:v>Reviewer_A</x:v>
      </x:c>
      <x:c r="F29" s="2" t="str">
        <x:v>S05-R01</x:v>
      </x:c>
      <x:c r="G29" s="2" t="str">
        <x:v>S05-EV01</x:v>
      </x:c>
      <x:c r="H29" s="2" t="str">
        <x:v>S05-T01</x:v>
      </x:c>
      <x:c r="I29" s="2" t="str">
        <x:v>NA</x:v>
      </x:c>
      <x:c r="J29" s="2" t="str">
        <x:v>Crawl4AI</x:v>
      </x:c>
      <x:c r="K29" s="2" t="str">
        <x:v>Claude Sonnet 3.5 (one-to-many, default params)</x:v>
      </x:c>
      <x:c r="L29" s="2" t="str">
        <x:v>TF-IDF</x:v>
      </x:c>
      <x:c r="M29" s="2" t="str">
        <x:v>F1</x:v>
      </x:c>
      <x:c r="N29" s="6" t="str">
        <x:v>79.4%</x:v>
      </x:c>
      <x:c r="O29" s="2" t="n">
        <x:v>79.4</x:v>
      </x:c>
      <x:c r="P29" s="2" t="str">
        <x:v>%</x:v>
      </x:c>
      <x:c r="Q29" s="6" t="str">
        <x:v>54.2%</x:v>
      </x:c>
      <x:c r="R29" s="2" t="n">
        <x:v>54.2</x:v>
      </x:c>
      <x:c r="S29" s="2" t="str">
        <x:v>NR</x:v>
      </x:c>
      <x:c r="T29" s="2" t="str">
        <x:v>Better</x:v>
      </x:c>
      <x:c r="U29" s="2" t="str">
        <x:v>Significant</x:v>
      </x:c>
      <x:c r="V29" s="2" t="str">
        <x:v>LLM F1提升约25个百分点，具有显著实际意义。</x:v>
      </x:c>
      <x:c r="W29" s="2" t="str">
        <x:v>NR</x:v>
      </x:c>
      <x:c r="X29" s="2" t="str">
        <x:v>NR</x:v>
      </x:c>
      <x:c r="Y29" s="2" t="str">
        <x:v>NR</x:v>
      </x:c>
      <x:c r="Z29" s="2" t="str">
        <x:v>No</x:v>
      </x:c>
      <x:c r="AA29" s="6" t="str">
        <x:v>p. 2; Section 1</x:v>
      </x:c>
      <x:c r="AB29" s="6" t="str">
        <x:v>the best-performing LLM achieves F1-scores of 79.4% and 80.4% on the Crawl4AI and Unity Catalog datasets, respectively, substantially outperforming our baselines (whose best F1-scores were 54.2%</x:v>
      </x:c>
      <x:c r="AC29" s="6" t="str">
        <x:v>Claude 3.5在Crawl4AI上F1达79.4%，远超TF-IDF的54.2%，差异经Scott-Knott检验显著。</x:v>
      </x:c>
      <x:c r="AD29" s="2" t="str">
        <x:v>Accepted</x:v>
      </x:c>
      <x:c r="AE29" s="6" t="str">
        <x:v>NA</x:v>
      </x:c>
    </x:row>
    <x:row r="30" ht="76" customHeight="1">
      <x:c r="A30" s="2" t="str">
        <x:v>S05-RESULT-R02</x:v>
      </x:c>
      <x:c r="B30" s="2" t="str">
        <x:v>S05</x:v>
      </x:c>
      <x:c r="C30" s="2" t="str">
        <x:v>merged_0077</x:v>
      </x:c>
      <x:c r="D30" s="2" t="str">
        <x:v>Reviewer_A</x:v>
      </x:c>
      <x:c r="E30" s="2" t="str">
        <x:v>Reviewer_A</x:v>
      </x:c>
      <x:c r="F30" s="2" t="str">
        <x:v>S05-R02</x:v>
      </x:c>
      <x:c r="G30" s="2" t="str">
        <x:v>S05-EV01</x:v>
      </x:c>
      <x:c r="H30" s="2" t="str">
        <x:v>S05-T01</x:v>
      </x:c>
      <x:c r="I30" s="2" t="str">
        <x:v>NA</x:v>
      </x:c>
      <x:c r="J30" s="2" t="str">
        <x:v>Unity Catalog</x:v>
      </x:c>
      <x:c r="K30" s="2" t="str">
        <x:v>Claude Sonnet 3.5 (one-to-many, default params)</x:v>
      </x:c>
      <x:c r="L30" s="2" t="str">
        <x:v>TF-IDF</x:v>
      </x:c>
      <x:c r="M30" s="2" t="str">
        <x:v>F1</x:v>
      </x:c>
      <x:c r="N30" s="6" t="str">
        <x:v>80.4%</x:v>
      </x:c>
      <x:c r="O30" s="2" t="n">
        <x:v>80.4</x:v>
      </x:c>
      <x:c r="P30" s="2" t="str">
        <x:v>%</x:v>
      </x:c>
      <x:c r="Q30" s="6" t="str">
        <x:v>69.3%</x:v>
      </x:c>
      <x:c r="R30" s="2" t="n">
        <x:v>69.3</x:v>
      </x:c>
      <x:c r="S30" s="2" t="str">
        <x:v>NR</x:v>
      </x:c>
      <x:c r="T30" s="2" t="str">
        <x:v>Better</x:v>
      </x:c>
      <x:c r="U30" s="2" t="str">
        <x:v>Significant</x:v>
      </x:c>
      <x:c r="V30" s="2" t="str">
        <x:v>LLM F1提升约11个百分点。</x:v>
      </x:c>
      <x:c r="W30" s="2" t="str">
        <x:v>NR</x:v>
      </x:c>
      <x:c r="X30" s="2" t="str">
        <x:v>NR</x:v>
      </x:c>
      <x:c r="Y30" s="2" t="str">
        <x:v>NR</x:v>
      </x:c>
      <x:c r="Z30" s="2" t="str">
        <x:v>No</x:v>
      </x:c>
      <x:c r="AA30" s="6" t="str">
        <x:v>p. 2; Section 1</x:v>
      </x:c>
      <x:c r="AB30" s="6" t="str">
        <x:v>the best-performing LLM achieves F1-scores of 79.4% and 80.4% on the Crawl4AI and Unity Catalog datasets, respectively, substantially outperforming our baselines (whose best F1-scores were 54.2%</x:v>
      </x:c>
      <x:c r="AC30" s="6" t="str">
        <x:v>Claude 3.5在Unity Catalog上F1达80.4%，依然是三个LLM中最好，显著优于基线。</x:v>
      </x:c>
      <x:c r="AD30" s="2" t="str">
        <x:v>Accepted</x:v>
      </x:c>
      <x:c r="AE30" s="6" t="str">
        <x:v>NA</x:v>
      </x:c>
    </x:row>
    <x:row r="31" ht="76" customHeight="1">
      <x:c r="A31" s="2" t="str">
        <x:v>S05-RESULT-R03</x:v>
      </x:c>
      <x:c r="B31" s="2" t="str">
        <x:v>S05</x:v>
      </x:c>
      <x:c r="C31" s="2" t="str">
        <x:v>merged_0077</x:v>
      </x:c>
      <x:c r="D31" s="2" t="str">
        <x:v>Reviewer_A</x:v>
      </x:c>
      <x:c r="E31" s="2" t="str">
        <x:v>Reviewer_A</x:v>
      </x:c>
      <x:c r="F31" s="2" t="str">
        <x:v>S05-R03</x:v>
      </x:c>
      <x:c r="G31" s="2" t="str">
        <x:v>S05-EV01</x:v>
      </x:c>
      <x:c r="H31" s="2" t="str">
        <x:v>S05-T01</x:v>
      </x:c>
      <x:c r="I31" s="2" t="str">
        <x:v>S05-MU06</x:v>
      </x:c>
      <x:c r="J31" s="2" t="str">
        <x:v>Crawl4AI</x:v>
      </x:c>
      <x:c r="K31" s="2" t="str">
        <x:v>GPT-4o (one-to-many, default params)</x:v>
      </x:c>
      <x:c r="L31" s="2" t="str">
        <x:v>TF-IDF</x:v>
      </x:c>
      <x:c r="M31" s="2" t="str">
        <x:v>F1</x:v>
      </x:c>
      <x:c r="N31" s="6" t="str">
        <x:v>68.5%</x:v>
      </x:c>
      <x:c r="O31" s="2" t="n">
        <x:v>68.5</x:v>
      </x:c>
      <x:c r="P31" s="2" t="str">
        <x:v>%</x:v>
      </x:c>
      <x:c r="Q31" s="6" t="str">
        <x:v>54.2%</x:v>
      </x:c>
      <x:c r="R31" s="2" t="n">
        <x:v>54.2</x:v>
      </x:c>
      <x:c r="S31" s="2" t="str">
        <x:v>NR</x:v>
      </x:c>
      <x:c r="T31" s="2" t="str">
        <x:v>Better</x:v>
      </x:c>
      <x:c r="U31" s="2" t="str">
        <x:v>Significant</x:v>
      </x:c>
      <x:c r="V31" s="2" t="str">
        <x:v>GPT-4o仍大幅超过基线。</x:v>
      </x:c>
      <x:c r="W31" s="2" t="str">
        <x:v>NR</x:v>
      </x:c>
      <x:c r="X31" s="2" t="str">
        <x:v>NR</x:v>
      </x:c>
      <x:c r="Y31" s="2" t="str">
        <x:v>NR</x:v>
      </x:c>
      <x:c r="Z31" s="2" t="str">
        <x:v>No</x:v>
      </x:c>
      <x:c r="AA31" s="6" t="str">
        <x:v>p. 16; Section 4.3</x:v>
      </x:c>
      <x:c r="AB31" s="6" t="str">
        <x:v>the TF-IDF baseline achieves an F1 score competitive with GPT-4o and superior to o3-mini on this specific dataset.</x:v>
      </x:c>
      <x:c r="AC31" s="6" t="str">
        <x:v>GPT-4o在Crawl4AI上F1为68.5%，优于基线，但在Unity上与TF-IDF持平。此处引用的是另一条证据，但结果仍成立。</x:v>
      </x:c>
      <x:c r="AD31" s="2" t="str">
        <x:v>Accepted</x:v>
      </x:c>
      <x:c r="AE31" s="6" t="str">
        <x:v>证据引用略有偏移，但说明GPT-4o的表现在Crawl4AI上仍优于基线。</x:v>
      </x:c>
    </x:row>
    <x:row r="32" ht="76" customHeight="1">
      <x:c r="A32" s="2" t="str">
        <x:v>S05-RESULT-R04</x:v>
      </x:c>
      <x:c r="B32" s="2" t="str">
        <x:v>S05</x:v>
      </x:c>
      <x:c r="C32" s="2" t="str">
        <x:v>merged_0077</x:v>
      </x:c>
      <x:c r="D32" s="2" t="str">
        <x:v>Reviewer_A</x:v>
      </x:c>
      <x:c r="E32" s="2" t="str">
        <x:v>Reviewer_A</x:v>
      </x:c>
      <x:c r="F32" s="2" t="str">
        <x:v>S05-R04</x:v>
      </x:c>
      <x:c r="G32" s="2" t="str">
        <x:v>S05-EV01</x:v>
      </x:c>
      <x:c r="H32" s="2" t="str">
        <x:v>S05-T01</x:v>
      </x:c>
      <x:c r="I32" s="2" t="str">
        <x:v>S05-MU06</x:v>
      </x:c>
      <x:c r="J32" s="2" t="str">
        <x:v>Unity Catalog</x:v>
      </x:c>
      <x:c r="K32" s="2" t="str">
        <x:v>GPT-4o (one-to-many, default params)</x:v>
      </x:c>
      <x:c r="L32" s="2" t="str">
        <x:v>TF-IDF</x:v>
      </x:c>
      <x:c r="M32" s="2" t="str">
        <x:v>F1</x:v>
      </x:c>
      <x:c r="N32" s="6" t="str">
        <x:v>69.3%</x:v>
      </x:c>
      <x:c r="O32" s="2" t="n">
        <x:v>69.3</x:v>
      </x:c>
      <x:c r="P32" s="2" t="str">
        <x:v>%</x:v>
      </x:c>
      <x:c r="Q32" s="6" t="str">
        <x:v>69.3%</x:v>
      </x:c>
      <x:c r="R32" s="2" t="n">
        <x:v>69.3</x:v>
      </x:c>
      <x:c r="S32" s="2" t="str">
        <x:v>NR</x:v>
      </x:c>
      <x:c r="T32" s="2" t="str">
        <x:v>Comparable</x:v>
      </x:c>
      <x:c r="U32" s="2" t="str">
        <x:v>Not tested</x:v>
      </x:c>
      <x:c r="V32" s="2" t="str">
        <x:v>与TF-IDF完全持平。</x:v>
      </x:c>
      <x:c r="W32" s="2" t="str">
        <x:v>NR</x:v>
      </x:c>
      <x:c r="X32" s="2" t="str">
        <x:v>NR</x:v>
      </x:c>
      <x:c r="Y32" s="2" t="str">
        <x:v>NR</x:v>
      </x:c>
      <x:c r="Z32" s="2" t="str">
        <x:v>No</x:v>
      </x:c>
      <x:c r="AA32" s="6" t="str">
        <x:v>p. 16; Section 4.3</x:v>
      </x:c>
      <x:c r="AB32" s="6" t="str">
        <x:v>the TF-IDF baseline achieves an F1 score competitive with GPT-4o and superior to o3-mini on this specific dataset.</x:v>
      </x:c>
      <x:c r="AC32" s="6" t="str">
        <x:v>在Unity Catalog上，GPT-4o的F1与TF-IDF完全相同（69.3%），表明在该数据集上LLM未显示出优势。</x:v>
      </x:c>
      <x:c r="AD32" s="2" t="str">
        <x:v>Accepted</x:v>
      </x:c>
      <x:c r="AE32" s="6" t="str">
        <x:v>NA</x:v>
      </x:c>
    </x:row>
    <x:row r="33" ht="76" customHeight="1">
      <x:c r="A33" s="2" t="str">
        <x:v>S05-RESULT-R05</x:v>
      </x:c>
      <x:c r="B33" s="2" t="str">
        <x:v>S05</x:v>
      </x:c>
      <x:c r="C33" s="2" t="str">
        <x:v>merged_0077</x:v>
      </x:c>
      <x:c r="D33" s="2" t="str">
        <x:v>Reviewer_A</x:v>
      </x:c>
      <x:c r="E33" s="2" t="str">
        <x:v>Reviewer_A</x:v>
      </x:c>
      <x:c r="F33" s="2" t="str">
        <x:v>S05-R05</x:v>
      </x:c>
      <x:c r="G33" s="2" t="str">
        <x:v>S05-EV01</x:v>
      </x:c>
      <x:c r="H33" s="2" t="str">
        <x:v>S05-T01</x:v>
      </x:c>
      <x:c r="I33" s="2" t="str">
        <x:v>S05-MU09</x:v>
      </x:c>
      <x:c r="J33" s="2" t="str">
        <x:v>Crawl4AI</x:v>
      </x:c>
      <x:c r="K33" s="2" t="str">
        <x:v>o3-mini (one-to-many, reasoning_effort=high)</x:v>
      </x:c>
      <x:c r="L33" s="2" t="str">
        <x:v>TF-IDF</x:v>
      </x:c>
      <x:c r="M33" s="2" t="str">
        <x:v>F1</x:v>
      </x:c>
      <x:c r="N33" s="6" t="str">
        <x:v>73.0%</x:v>
      </x:c>
      <x:c r="O33" s="2" t="n">
        <x:v>73</x:v>
      </x:c>
      <x:c r="P33" s="2" t="str">
        <x:v>%</x:v>
      </x:c>
      <x:c r="Q33" s="6" t="str">
        <x:v>54.2%</x:v>
      </x:c>
      <x:c r="R33" s="2" t="n">
        <x:v>54.2</x:v>
      </x:c>
      <x:c r="S33" s="2" t="str">
        <x:v>NR</x:v>
      </x:c>
      <x:c r="T33" s="2" t="str">
        <x:v>Better</x:v>
      </x:c>
      <x:c r="U33" s="2" t="str">
        <x:v>Significant</x:v>
      </x:c>
      <x:c r="V33" s="2" t="str">
        <x:v>o3-mini显著优于基线。</x:v>
      </x:c>
      <x:c r="W33" s="2" t="str">
        <x:v>NR</x:v>
      </x:c>
      <x:c r="X33" s="2" t="str">
        <x:v>NR</x:v>
      </x:c>
      <x:c r="Y33" s="2" t="str">
        <x:v>NR</x:v>
      </x:c>
      <x:c r="Z33" s="2" t="str">
        <x:v>No</x:v>
      </x:c>
      <x:c r="AA33" s="6" t="str">
        <x:v>p. 1; Section 1</x:v>
      </x:c>
      <x:c r="AB33" s="6" t="str">
        <x:v>Results show that the best-performing LLM achieves F1-scores of 79.4% and 80.4% across the two datasets, substantially outperforming our baselines</x:v>
      </x:c>
      <x:c r="AC33" s="6" t="str">
        <x:v>o3-mini在Crawl4AI上F1为73.0%，虽非最佳但仍优于基线，统计显著。</x:v>
      </x:c>
      <x:c r="AD33" s="2" t="str">
        <x:v>Accepted</x:v>
      </x:c>
      <x:c r="AE33" s="6" t="str">
        <x:v>NA</x:v>
      </x:c>
    </x:row>
    <x:row r="34" ht="76" customHeight="1">
      <x:c r="A34" s="2" t="str">
        <x:v>S05-RESULT-R06</x:v>
      </x:c>
      <x:c r="B34" s="2" t="str">
        <x:v>S05</x:v>
      </x:c>
      <x:c r="C34" s="2" t="str">
        <x:v>merged_0077</x:v>
      </x:c>
      <x:c r="D34" s="2" t="str">
        <x:v>Reviewer_A</x:v>
      </x:c>
      <x:c r="E34" s="2" t="str">
        <x:v>Reviewer_A</x:v>
      </x:c>
      <x:c r="F34" s="2" t="str">
        <x:v>S05-R06</x:v>
      </x:c>
      <x:c r="G34" s="2" t="str">
        <x:v>S05-EV01</x:v>
      </x:c>
      <x:c r="H34" s="2" t="str">
        <x:v>S05-T01</x:v>
      </x:c>
      <x:c r="I34" s="2" t="str">
        <x:v>S05-MU09</x:v>
      </x:c>
      <x:c r="J34" s="2" t="str">
        <x:v>Unity Catalog</x:v>
      </x:c>
      <x:c r="K34" s="2" t="str">
        <x:v>o3-mini (one-to-many, reasoning_effort=high)</x:v>
      </x:c>
      <x:c r="L34" s="2" t="str">
        <x:v>TF-IDF</x:v>
      </x:c>
      <x:c r="M34" s="2" t="str">
        <x:v>F1</x:v>
      </x:c>
      <x:c r="N34" s="6" t="str">
        <x:v>64.2%</x:v>
      </x:c>
      <x:c r="O34" s="2" t="n">
        <x:v>64.2</x:v>
      </x:c>
      <x:c r="P34" s="2" t="str">
        <x:v>%</x:v>
      </x:c>
      <x:c r="Q34" s="6" t="str">
        <x:v>69.3%</x:v>
      </x:c>
      <x:c r="R34" s="2" t="n">
        <x:v>69.3</x:v>
      </x:c>
      <x:c r="S34" s="2" t="str">
        <x:v>NR</x:v>
      </x:c>
      <x:c r="T34" s="2" t="str">
        <x:v>Worse</x:v>
      </x:c>
      <x:c r="U34" s="2" t="str">
        <x:v>Not tested</x:v>
      </x:c>
      <x:c r="V34" s="2" t="str">
        <x:v>o3-mini表现甚至不如简单的TF-IDF。</x:v>
      </x:c>
      <x:c r="W34" s="2" t="str">
        <x:v>NR</x:v>
      </x:c>
      <x:c r="X34" s="2" t="str">
        <x:v>NR</x:v>
      </x:c>
      <x:c r="Y34" s="2" t="str">
        <x:v>NR</x:v>
      </x:c>
      <x:c r="Z34" s="2" t="str">
        <x:v>Yes</x:v>
      </x:c>
      <x:c r="AA34" s="6" t="str">
        <x:v>p. 16; Section 4.3</x:v>
      </x:c>
      <x:c r="AB34" s="6" t="str">
        <x:v>the TF-IDF baseline achieves an F1 score competitive with GPT-4o and superior to o3-mini on this specific dataset.</x:v>
      </x:c>
      <x:c r="AC34" s="6" t="str">
        <x:v>在Unity Catalog上，o3-mini的F1（64.2%）低于TF-IDF（69.3%），为负面结果。</x:v>
      </x:c>
      <x:c r="AD34" s="2" t="str">
        <x:v>Accepted</x:v>
      </x:c>
      <x:c r="AE34" s="6" t="str">
        <x:v>negative_or_null_result=Yes，因为这是一个明确的LLM表现不如简单基线的发现。</x:v>
      </x:c>
    </x:row>
    <x:row r="35" ht="76" customHeight="1">
      <x:c r="A35" s="2" t="str">
        <x:v>S05-RESULT-R07</x:v>
      </x:c>
      <x:c r="B35" s="2" t="str">
        <x:v>S05</x:v>
      </x:c>
      <x:c r="C35" s="2" t="str">
        <x:v>merged_0077</x:v>
      </x:c>
      <x:c r="D35" s="2" t="str">
        <x:v>Reviewer_A</x:v>
      </x:c>
      <x:c r="E35" s="2" t="str">
        <x:v>Reviewer_A</x:v>
      </x:c>
      <x:c r="F35" s="2" t="str">
        <x:v>S05-R07</x:v>
      </x:c>
      <x:c r="G35" s="2" t="str">
        <x:v>S05-EV01</x:v>
      </x:c>
      <x:c r="H35" s="2" t="str">
        <x:v>S05-T01</x:v>
      </x:c>
      <x:c r="I35" s="2" t="str">
        <x:v>NA</x:v>
      </x:c>
      <x:c r="J35" s="2" t="str">
        <x:v>Crawl4AI</x:v>
      </x:c>
      <x:c r="K35" s="2" t="str">
        <x:v>Claude Sonnet 3.5 (one-to-many)</x:v>
      </x:c>
      <x:c r="L35" s="2" t="str">
        <x:v>TF-IDF (best baseline precision)</x:v>
      </x:c>
      <x:c r="M35" s="2" t="str">
        <x:v>Precision</x:v>
      </x:c>
      <x:c r="N35" s="6" t="str">
        <x:v>95.3%</x:v>
      </x:c>
      <x:c r="O35" s="2" t="n">
        <x:v>95.3</x:v>
      </x:c>
      <x:c r="P35" s="2" t="str">
        <x:v>%</x:v>
      </x:c>
      <x:c r="Q35" s="6" t="str">
        <x:v>50.3%</x:v>
      </x:c>
      <x:c r="R35" s="2" t="n">
        <x:v>50.3</x:v>
      </x:c>
      <x:c r="S35" s="2" t="str">
        <x:v>NR</x:v>
      </x:c>
      <x:c r="T35" s="2" t="str">
        <x:v>Better</x:v>
      </x:c>
      <x:c r="U35" s="2" t="str">
        <x:v>Not tested</x:v>
      </x:c>
      <x:c r="V35" s="2" t="str">
        <x:v>LLM的精确率几乎是基线的两倍。</x:v>
      </x:c>
      <x:c r="W35" s="2" t="str">
        <x:v>NR</x:v>
      </x:c>
      <x:c r="X35" s="2" t="str">
        <x:v>NR</x:v>
      </x:c>
      <x:c r="Y35" s="2" t="str">
        <x:v>NR</x:v>
      </x:c>
      <x:c r="Z35" s="2" t="str">
        <x:v>No</x:v>
      </x:c>
      <x:c r="AA35" s="6" t="str">
        <x:v>p. 17; Table 2</x:v>
      </x:c>
      <x:c r="AB35" s="6" t="str">
        <x:v>Claude Sonnet 3.5 95.3 68.0 79.4</x:v>
      </x:c>
      <x:c r="AC35" s="6" t="str">
        <x:v>Claude 3.5在Crawl4AI上的精确率高达95.3%，远超TF-IDF的50.3%，凸显LLM在减少误报方面的优势。</x:v>
      </x:c>
      <x:c r="AD35" s="2" t="str">
        <x:v>Accepted</x:v>
      </x:c>
      <x:c r="AE35" s="6" t="str">
        <x:v>由于Scott-Knott测试是对F1进行的，精确率差异未直接报告统计显著性。</x:v>
      </x:c>
    </x:row>
    <x:row r="36" ht="76" customHeight="1">
      <x:c r="A36" s="2" t="str">
        <x:v>S05-RESULT-R08</x:v>
      </x:c>
      <x:c r="B36" s="2" t="str">
        <x:v>S05</x:v>
      </x:c>
      <x:c r="C36" s="2" t="str">
        <x:v>merged_0077</x:v>
      </x:c>
      <x:c r="D36" s="2" t="str">
        <x:v>Reviewer_A</x:v>
      </x:c>
      <x:c r="E36" s="2" t="str">
        <x:v>Reviewer_A</x:v>
      </x:c>
      <x:c r="F36" s="2" t="str">
        <x:v>S05-R08</x:v>
      </x:c>
      <x:c r="G36" s="2" t="str">
        <x:v>S05-EV01</x:v>
      </x:c>
      <x:c r="H36" s="2" t="str">
        <x:v>S05-T01</x:v>
      </x:c>
      <x:c r="I36" s="2" t="str">
        <x:v>NA</x:v>
      </x:c>
      <x:c r="J36" s="2" t="str">
        <x:v>Crawl4AI</x:v>
      </x:c>
      <x:c r="K36" s="2" t="str">
        <x:v>Claude Sonnet 3.5 (one-to-many)</x:v>
      </x:c>
      <x:c r="L36" s="2" t="str">
        <x:v>CodeBERT (highest recall baseline)</x:v>
      </x:c>
      <x:c r="M36" s="2" t="str">
        <x:v>Recall</x:v>
      </x:c>
      <x:c r="N36" s="6" t="str">
        <x:v>68.0%</x:v>
      </x:c>
      <x:c r="O36" s="2" t="n">
        <x:v>68</x:v>
      </x:c>
      <x:c r="P36" s="2" t="str">
        <x:v>%</x:v>
      </x:c>
      <x:c r="Q36" s="6" t="str">
        <x:v>87.7%</x:v>
      </x:c>
      <x:c r="R36" s="2" t="n">
        <x:v>87.7</x:v>
      </x:c>
      <x:c r="S36" s="2" t="str">
        <x:v>NR</x:v>
      </x:c>
      <x:c r="T36" s="2" t="str">
        <x:v>Worse</x:v>
      </x:c>
      <x:c r="U36" s="2" t="str">
        <x:v>Not tested</x:v>
      </x:c>
      <x:c r="V36" s="2" t="str">
        <x:v>LLM的召回率低于最佳召回基线CodeBERT，表明LLM会遗漏许多真实链接。</x:v>
      </x:c>
      <x:c r="W36" s="2" t="str">
        <x:v>NR</x:v>
      </x:c>
      <x:c r="X36" s="2" t="str">
        <x:v>NR</x:v>
      </x:c>
      <x:c r="Y36" s="2" t="str">
        <x:v>NR</x:v>
      </x:c>
      <x:c r="Z36" s="2" t="str">
        <x:v>Yes</x:v>
      </x:c>
      <x:c r="AA36" s="6" t="str">
        <x:v>p. 17; Table 2</x:v>
      </x:c>
      <x:c r="AB36" s="6" t="str">
        <x:v>Claude Sonnet 3.5 95.3 68.0 79.4</x:v>
      </x:c>
      <x:c r="AC36" s="6" t="str">
        <x:v>该项结果明确显示，尽管精确率高，但LLM在召回上逊于传统方法，属于LLM局限性的负面发现。</x:v>
      </x:c>
      <x:c r="AD36" s="2" t="str">
        <x:v>Accepted</x:v>
      </x:c>
      <x:c r="AE36" s="6" t="str">
        <x:v>negative_or_null_result=Yes</x:v>
      </x:c>
    </x:row>
    <x:row r="37" ht="76" customHeight="1">
      <x:c r="A37" s="2" t="str">
        <x:v>S05-RESULT-R09</x:v>
      </x:c>
      <x:c r="B37" s="2" t="str">
        <x:v>S05</x:v>
      </x:c>
      <x:c r="C37" s="2" t="str">
        <x:v>merged_0077</x:v>
      </x:c>
      <x:c r="D37" s="2" t="str">
        <x:v>Reviewer_A</x:v>
      </x:c>
      <x:c r="E37" s="2" t="str">
        <x:v>Reviewer_A</x:v>
      </x:c>
      <x:c r="F37" s="2" t="str">
        <x:v>S05-R09</x:v>
      </x:c>
      <x:c r="G37" s="2" t="str">
        <x:v>S05-EV01</x:v>
      </x:c>
      <x:c r="H37" s="2" t="str">
        <x:v>S05-T01</x:v>
      </x:c>
      <x:c r="I37" s="2" t="str">
        <x:v>NA</x:v>
      </x:c>
      <x:c r="J37" s="2" t="str">
        <x:v>Crawl4AI</x:v>
      </x:c>
      <x:c r="K37" s="2" t="str">
        <x:v>Claude Sonnet 3.5 (one-to-many)</x:v>
      </x:c>
      <x:c r="L37" s="2" t="str">
        <x:v>No</x:v>
      </x:c>
      <x:c r="M37" s="2" t="str">
        <x:v>F1 (Method-level granularity)</x:v>
      </x:c>
      <x:c r="N37" s="6" t="str">
        <x:v>98.9%</x:v>
      </x:c>
      <x:c r="O37" s="2" t="n">
        <x:v>98.9</x:v>
      </x:c>
      <x:c r="P37" s="2" t="str">
        <x:v>%</x:v>
      </x:c>
      <x:c r="Q37" s="6" t="str">
        <x:v>No</x:v>
      </x:c>
      <x:c r="R37" s="2" t="str">
        <x:v>NA</x:v>
      </x:c>
      <x:c r="S37" s="2" t="str">
        <x:v>NR</x:v>
      </x:c>
      <x:c r="T37" s="2" t="str">
        <x:v>Not compared</x:v>
      </x:c>
      <x:c r="U37" s="2" t="str">
        <x:v>Not tested</x:v>
      </x:c>
      <x:c r="V37" s="2" t="str">
        <x:v>在方法级粒度上，LLM几乎完美地恢复了追溯链接。</x:v>
      </x:c>
      <x:c r="W37" s="2" t="str">
        <x:v>NR</x:v>
      </x:c>
      <x:c r="X37" s="2" t="str">
        <x:v>NR</x:v>
      </x:c>
      <x:c r="Y37" s="2" t="str">
        <x:v>NR</x:v>
      </x:c>
      <x:c r="Z37" s="2" t="str">
        <x:v>NA</x:v>
      </x:c>
      <x:c r="AA37" s="6" t="str">
        <x:v>p. 17; Table 2</x:v>
      </x:c>
      <x:c r="AB37" s="6" t="str">
        <x:v>Method 97.8 100.0 98.9</x:v>
      </x:c>
      <x:c r="AC37" s="6" t="str">
        <x:v>该项展示了LLM在特定粒度（方法级）上的突出性能，F1接近99%，此为未与基线直接比较的绝对能力展示。</x:v>
      </x:c>
      <x:c r="AD37" s="2" t="str">
        <x:v>Accepted</x:v>
      </x:c>
      <x:c r="AE37" s="6" t="str">
        <x:v>此结果为LLM能力的正面展示，但无基线对比。</x:v>
      </x:c>
    </x:row>
    <x:row r="38" ht="76" customHeight="1">
      <x:c r="A38" s="2" t="str">
        <x:v>S05-RESULT-R10</x:v>
      </x:c>
      <x:c r="B38" s="2" t="str">
        <x:v>S05</x:v>
      </x:c>
      <x:c r="C38" s="2" t="str">
        <x:v>merged_0077</x:v>
      </x:c>
      <x:c r="D38" s="2" t="str">
        <x:v>Reviewer_A</x:v>
      </x:c>
      <x:c r="E38" s="2" t="str">
        <x:v>Reviewer_A</x:v>
      </x:c>
      <x:c r="F38" s="2" t="str">
        <x:v>S05-R10</x:v>
      </x:c>
      <x:c r="G38" s="2" t="str">
        <x:v>S05-EV02</x:v>
      </x:c>
      <x:c r="H38" s="2" t="str">
        <x:v>S05-T02</x:v>
      </x:c>
      <x:c r="I38" s="2" t="str">
        <x:v>NA</x:v>
      </x:c>
      <x:c r="J38" s="2" t="str">
        <x:v>Crawl4AI</x:v>
      </x:c>
      <x:c r="K38" s="2" t="str">
        <x:v>Claude Sonnet 3.5</x:v>
      </x:c>
      <x:c r="L38" s="2" t="str">
        <x:v>No</x:v>
      </x:c>
      <x:c r="M38" s="2" t="str">
        <x:v>Strict Accuracy</x:v>
      </x:c>
      <x:c r="N38" s="6" t="str">
        <x:v>44.7%</x:v>
      </x:c>
      <x:c r="O38" s="2" t="n">
        <x:v>44.7</x:v>
      </x:c>
      <x:c r="P38" s="2" t="str">
        <x:v>%</x:v>
      </x:c>
      <x:c r="Q38" s="6" t="str">
        <x:v>No</x:v>
      </x:c>
      <x:c r="R38" s="2" t="str">
        <x:v>NA</x:v>
      </x:c>
      <x:c r="S38" s="2" t="str">
        <x:v>NR</x:v>
      </x:c>
      <x:c r="T38" s="2" t="str">
        <x:v>Not compared</x:v>
      </x:c>
      <x:c r="U38" s="2" t="str">
        <x:v>Not tested</x:v>
      </x:c>
      <x:c r="V38" s="2" t="str">
        <x:v>不到一半的解释被判定为完全正确。</x:v>
      </x:c>
      <x:c r="W38" s="2" t="str">
        <x:v>NR</x:v>
      </x:c>
      <x:c r="X38" s="2" t="str">
        <x:v>NR</x:v>
      </x:c>
      <x:c r="Y38" s="2" t="str">
        <x:v>NR</x:v>
      </x:c>
      <x:c r="Z38" s="2" t="str">
        <x:v>NA</x:v>
      </x:c>
      <x:c r="AA38" s="6" t="str">
        <x:v>p. 22; Table 5</x:v>
      </x:c>
      <x:c r="AB38" s="6" t="str">
        <x:v>Claude Sonnet 3.5 Crawl4AI 2,200 983 1,196 21 44.7% 99.0%</x:v>
      </x:c>
      <x:c r="AC38" s="6" t="str">
        <x:v>在Crawl4AI上，Claude 3.5的严格准确率仅为44.7%，表明其解释经常遗漏关键细节。</x:v>
      </x:c>
      <x:c r="AD38" s="2" t="str">
        <x:v>Accepted</x:v>
      </x:c>
      <x:c r="AE38" s="6" t="str">
        <x:v>NA</x:v>
      </x:c>
    </x:row>
    <x:row r="39" ht="76" customHeight="1">
      <x:c r="A39" s="2" t="str">
        <x:v>S05-RESULT-R11</x:v>
      </x:c>
      <x:c r="B39" s="2" t="str">
        <x:v>S05</x:v>
      </x:c>
      <x:c r="C39" s="2" t="str">
        <x:v>merged_0077</x:v>
      </x:c>
      <x:c r="D39" s="2" t="str">
        <x:v>Reviewer_A</x:v>
      </x:c>
      <x:c r="E39" s="2" t="str">
        <x:v>Reviewer_A</x:v>
      </x:c>
      <x:c r="F39" s="2" t="str">
        <x:v>S05-R11</x:v>
      </x:c>
      <x:c r="G39" s="2" t="str">
        <x:v>S05-EV02</x:v>
      </x:c>
      <x:c r="H39" s="2" t="str">
        <x:v>S05-T02</x:v>
      </x:c>
      <x:c r="I39" s="2" t="str">
        <x:v>NA</x:v>
      </x:c>
      <x:c r="J39" s="2" t="str">
        <x:v>Crawl4AI</x:v>
      </x:c>
      <x:c r="K39" s="2" t="str">
        <x:v>Claude Sonnet 3.5</x:v>
      </x:c>
      <x:c r="L39" s="2" t="str">
        <x:v>No</x:v>
      </x:c>
      <x:c r="M39" s="2" t="str">
        <x:v>Relaxed Accuracy</x:v>
      </x:c>
      <x:c r="N39" s="6" t="str">
        <x:v>99.0%</x:v>
      </x:c>
      <x:c r="O39" s="2" t="n">
        <x:v>99</x:v>
      </x:c>
      <x:c r="P39" s="2" t="str">
        <x:v>%</x:v>
      </x:c>
      <x:c r="Q39" s="6" t="str">
        <x:v>No</x:v>
      </x:c>
      <x:c r="R39" s="2" t="str">
        <x:v>NA</x:v>
      </x:c>
      <x:c r="S39" s="2" t="str">
        <x:v>NR</x:v>
      </x:c>
      <x:c r="T39" s="2" t="str">
        <x:v>Not compared</x:v>
      </x:c>
      <x:c r="U39" s="2" t="str">
        <x:v>Not tested</x:v>
      </x:c>
      <x:c r="V39" s="2" t="str">
        <x:v>几乎所有的解释至少部分正确，意味着LLM基本不会完全误解关系。</x:v>
      </x:c>
      <x:c r="W39" s="2" t="str">
        <x:v>NR</x:v>
      </x:c>
      <x:c r="X39" s="2" t="str">
        <x:v>NR</x:v>
      </x:c>
      <x:c r="Y39" s="2" t="str">
        <x:v>NR</x:v>
      </x:c>
      <x:c r="Z39" s="2" t="str">
        <x:v>NA</x:v>
      </x:c>
      <x:c r="AA39" s="6" t="str">
        <x:v>p. 22; Table 5</x:v>
      </x:c>
      <x:c r="AB39" s="6" t="str">
        <x:v>Claude Sonnet 3.5 Crawl4AI 2,200 983 1,196 21 44.7% 99.0%</x:v>
      </x:c>
      <x:c r="AC39" s="6" t="str">
        <x:v>放松准确率高达99%，印证了论文的核心发现：LLM几乎总能抓住关系的大致内容。</x:v>
      </x:c>
      <x:c r="AD39" s="2" t="str">
        <x:v>Accepted</x:v>
      </x:c>
      <x:c r="AE39" s="6" t="str">
        <x:v>NA</x:v>
      </x:c>
    </x:row>
    <x:row r="40" ht="76" customHeight="1">
      <x:c r="A40" s="2" t="str">
        <x:v>S05-RESULT-R12</x:v>
      </x:c>
      <x:c r="B40" s="2" t="str">
        <x:v>S05</x:v>
      </x:c>
      <x:c r="C40" s="2" t="str">
        <x:v>merged_0077</x:v>
      </x:c>
      <x:c r="D40" s="2" t="str">
        <x:v>Reviewer_A</x:v>
      </x:c>
      <x:c r="E40" s="2" t="str">
        <x:v>Reviewer_A</x:v>
      </x:c>
      <x:c r="F40" s="2" t="str">
        <x:v>S05-R12</x:v>
      </x:c>
      <x:c r="G40" s="2" t="str">
        <x:v>S05-EV02</x:v>
      </x:c>
      <x:c r="H40" s="2" t="str">
        <x:v>S05-T02</x:v>
      </x:c>
      <x:c r="I40" s="2" t="str">
        <x:v>NA</x:v>
      </x:c>
      <x:c r="J40" s="2" t="str">
        <x:v>Unity Catalog</x:v>
      </x:c>
      <x:c r="K40" s="2" t="str">
        <x:v>Claude Sonnet 3.5</x:v>
      </x:c>
      <x:c r="L40" s="2" t="str">
        <x:v>No</x:v>
      </x:c>
      <x:c r="M40" s="2" t="str">
        <x:v>Strict Accuracy</x:v>
      </x:c>
      <x:c r="N40" s="6" t="str">
        <x:v>57.6%</x:v>
      </x:c>
      <x:c r="O40" s="2" t="n">
        <x:v>57.6</x:v>
      </x:c>
      <x:c r="P40" s="2" t="str">
        <x:v>%</x:v>
      </x:c>
      <x:c r="Q40" s="6" t="str">
        <x:v>No</x:v>
      </x:c>
      <x:c r="R40" s="2" t="str">
        <x:v>NA</x:v>
      </x:c>
      <x:c r="S40" s="2" t="str">
        <x:v>NR</x:v>
      </x:c>
      <x:c r="T40" s="2" t="str">
        <x:v>Not compared</x:v>
      </x:c>
      <x:c r="U40" s="2" t="str">
        <x:v>Not tested</x:v>
      </x:c>
      <x:c r="V40" s="2" t="str">
        <x:v>在结构化文档上，完全正确率有所提升。</x:v>
      </x:c>
      <x:c r="W40" s="2" t="str">
        <x:v>NR</x:v>
      </x:c>
      <x:c r="X40" s="2" t="str">
        <x:v>NR</x:v>
      </x:c>
      <x:c r="Y40" s="2" t="str">
        <x:v>NR</x:v>
      </x:c>
      <x:c r="Z40" s="2" t="str">
        <x:v>NA</x:v>
      </x:c>
      <x:c r="AA40" s="6" t="str">
        <x:v>p. 22; Table 5</x:v>
      </x:c>
      <x:c r="AB40" s="6" t="str">
        <x:v>Unity Catalog 580 334 245 1 57.6% 99.8%</x:v>
      </x:c>
      <x:c r="AC40" s="6" t="str">
        <x:v>在Unity Catalog上，严格准确率升至57.6%，但仍未过半。</x:v>
      </x:c>
      <x:c r="AD40" s="2" t="str">
        <x:v>Accepted</x:v>
      </x:c>
      <x:c r="AE40" s="6" t="str">
        <x:v>NA</x:v>
      </x:c>
    </x:row>
    <x:row r="41" ht="76" customHeight="1">
      <x:c r="A41" s="2" t="str">
        <x:v>S05-RESULT-R13</x:v>
      </x:c>
      <x:c r="B41" s="2" t="str">
        <x:v>S05</x:v>
      </x:c>
      <x:c r="C41" s="2" t="str">
        <x:v>merged_0077</x:v>
      </x:c>
      <x:c r="D41" s="2" t="str">
        <x:v>Reviewer_A</x:v>
      </x:c>
      <x:c r="E41" s="2" t="str">
        <x:v>Reviewer_A</x:v>
      </x:c>
      <x:c r="F41" s="2" t="str">
        <x:v>S05-R13</x:v>
      </x:c>
      <x:c r="G41" s="2" t="str">
        <x:v>S05-EV02</x:v>
      </x:c>
      <x:c r="H41" s="2" t="str">
        <x:v>S05-T02</x:v>
      </x:c>
      <x:c r="I41" s="2" t="str">
        <x:v>S05-MU06</x:v>
      </x:c>
      <x:c r="J41" s="2" t="str">
        <x:v>Crawl4AI</x:v>
      </x:c>
      <x:c r="K41" s="2" t="str">
        <x:v>GPT-4o</x:v>
      </x:c>
      <x:c r="L41" s="2" t="str">
        <x:v>No</x:v>
      </x:c>
      <x:c r="M41" s="2" t="str">
        <x:v>Strict Accuracy</x:v>
      </x:c>
      <x:c r="N41" s="6" t="str">
        <x:v>42.9%</x:v>
      </x:c>
      <x:c r="O41" s="2" t="n">
        <x:v>42.9</x:v>
      </x:c>
      <x:c r="P41" s="2" t="str">
        <x:v>%</x:v>
      </x:c>
      <x:c r="Q41" s="6" t="str">
        <x:v>No</x:v>
      </x:c>
      <x:c r="R41" s="2" t="str">
        <x:v>NA</x:v>
      </x:c>
      <x:c r="S41" s="2" t="str">
        <x:v>NR</x:v>
      </x:c>
      <x:c r="T41" s="2" t="str">
        <x:v>Not compared</x:v>
      </x:c>
      <x:c r="U41" s="2" t="str">
        <x:v>Not tested</x:v>
      </x:c>
      <x:c r="V41" s="2" t="str">
        <x:v>GPT-4o的严格准确率在Crawl4AI上最低。</x:v>
      </x:c>
      <x:c r="W41" s="2" t="str">
        <x:v>NR</x:v>
      </x:c>
      <x:c r="X41" s="2" t="str">
        <x:v>NR</x:v>
      </x:c>
      <x:c r="Y41" s="2" t="str">
        <x:v>NR</x:v>
      </x:c>
      <x:c r="Z41" s="2" t="str">
        <x:v>NA</x:v>
      </x:c>
      <x:c r="AA41" s="6" t="str">
        <x:v>p. 22; Table 5</x:v>
      </x:c>
      <x:c r="AB41" s="6" t="str">
        <x:v>GPT-4o Crawl4AI 1,687 723 927 37 42.9% 97.8%</x:v>
      </x:c>
      <x:c r="AC41" s="6" t="str">
        <x:v>GPT-4o在Crawl4AI上的严格准确率为42.9%。</x:v>
      </x:c>
      <x:c r="AD41" s="2" t="str">
        <x:v>Accepted</x:v>
      </x:c>
      <x:c r="AE41" s="6" t="str">
        <x:v>NA</x:v>
      </x:c>
    </x:row>
    <x:row r="42" ht="76" customHeight="1">
      <x:c r="A42" s="2" t="str">
        <x:v>S05-RESULT-R14</x:v>
      </x:c>
      <x:c r="B42" s="2" t="str">
        <x:v>S05</x:v>
      </x:c>
      <x:c r="C42" s="2" t="str">
        <x:v>merged_0077</x:v>
      </x:c>
      <x:c r="D42" s="2" t="str">
        <x:v>Reviewer_A</x:v>
      </x:c>
      <x:c r="E42" s="2" t="str">
        <x:v>Reviewer_A</x:v>
      </x:c>
      <x:c r="F42" s="2" t="str">
        <x:v>S05-R14</x:v>
      </x:c>
      <x:c r="G42" s="2" t="str">
        <x:v>S05-EV02</x:v>
      </x:c>
      <x:c r="H42" s="2" t="str">
        <x:v>S05-T02</x:v>
      </x:c>
      <x:c r="I42" s="2" t="str">
        <x:v>S05-MU06</x:v>
      </x:c>
      <x:c r="J42" s="2" t="str">
        <x:v>Unity Catalog</x:v>
      </x:c>
      <x:c r="K42" s="2" t="str">
        <x:v>GPT-4o</x:v>
      </x:c>
      <x:c r="L42" s="2" t="str">
        <x:v>No</x:v>
      </x:c>
      <x:c r="M42" s="2" t="str">
        <x:v>Strict Accuracy</x:v>
      </x:c>
      <x:c r="N42" s="6" t="str">
        <x:v>48.5%</x:v>
      </x:c>
      <x:c r="O42" s="2" t="n">
        <x:v>48.5</x:v>
      </x:c>
      <x:c r="P42" s="2" t="str">
        <x:v>%</x:v>
      </x:c>
      <x:c r="Q42" s="6" t="str">
        <x:v>No</x:v>
      </x:c>
      <x:c r="R42" s="2" t="str">
        <x:v>NA</x:v>
      </x:c>
      <x:c r="S42" s="2" t="str">
        <x:v>NR</x:v>
      </x:c>
      <x:c r="T42" s="2" t="str">
        <x:v>Not compared</x:v>
      </x:c>
      <x:c r="U42" s="2" t="str">
        <x:v>Not tested</x:v>
      </x:c>
      <x:c r="V42" s="2" t="str">
        <x:v>NR</x:v>
      </x:c>
      <x:c r="W42" s="2" t="str">
        <x:v>NR</x:v>
      </x:c>
      <x:c r="X42" s="2" t="str">
        <x:v>NR</x:v>
      </x:c>
      <x:c r="Y42" s="2" t="str">
        <x:v>NR</x:v>
      </x:c>
      <x:c r="Z42" s="2" t="str">
        <x:v>NA</x:v>
      </x:c>
      <x:c r="AA42" s="6" t="str">
        <x:v>p. 22; Table 5</x:v>
      </x:c>
      <x:c r="AB42" s="6" t="str">
        <x:v>Unity Catalog 412 200 211 1 48.5% 99.8%</x:v>
      </x:c>
      <x:c r="AC42" s="6" t="str">
        <x:v>GPT-4o在Unity Catalog上的严格准确率为48.5%。</x:v>
      </x:c>
      <x:c r="AD42" s="2" t="str">
        <x:v>Accepted</x:v>
      </x:c>
      <x:c r="AE42" s="6" t="str">
        <x:v>NA</x:v>
      </x:c>
    </x:row>
    <x:row r="43" ht="76" customHeight="1">
      <x:c r="A43" s="2" t="str">
        <x:v>S05-RESULT-R15</x:v>
      </x:c>
      <x:c r="B43" s="2" t="str">
        <x:v>S05</x:v>
      </x:c>
      <x:c r="C43" s="2" t="str">
        <x:v>merged_0077</x:v>
      </x:c>
      <x:c r="D43" s="2" t="str">
        <x:v>Reviewer_A</x:v>
      </x:c>
      <x:c r="E43" s="2" t="str">
        <x:v>Reviewer_A</x:v>
      </x:c>
      <x:c r="F43" s="2" t="str">
        <x:v>S05-R15</x:v>
      </x:c>
      <x:c r="G43" s="2" t="str">
        <x:v>S05-EV02</x:v>
      </x:c>
      <x:c r="H43" s="2" t="str">
        <x:v>S05-T02</x:v>
      </x:c>
      <x:c r="I43" s="2" t="str">
        <x:v>S05-MU09</x:v>
      </x:c>
      <x:c r="J43" s="2" t="str">
        <x:v>Crawl4AI</x:v>
      </x:c>
      <x:c r="K43" s="2" t="str">
        <x:v>o3-mini (reasoning_effort=high)</x:v>
      </x:c>
      <x:c r="L43" s="2" t="str">
        <x:v>No</x:v>
      </x:c>
      <x:c r="M43" s="2" t="str">
        <x:v>Strict Accuracy</x:v>
      </x:c>
      <x:c r="N43" s="6" t="str">
        <x:v>54.8%</x:v>
      </x:c>
      <x:c r="O43" s="2" t="n">
        <x:v>54.8</x:v>
      </x:c>
      <x:c r="P43" s="2" t="str">
        <x:v>%</x:v>
      </x:c>
      <x:c r="Q43" s="6" t="str">
        <x:v>No</x:v>
      </x:c>
      <x:c r="R43" s="2" t="str">
        <x:v>NA</x:v>
      </x:c>
      <x:c r="S43" s="2" t="str">
        <x:v>NR</x:v>
      </x:c>
      <x:c r="T43" s="2" t="str">
        <x:v>Not compared</x:v>
      </x:c>
      <x:c r="U43" s="2" t="str">
        <x:v>Not tested</x:v>
      </x:c>
      <x:c r="V43" s="2" t="str">
        <x:v>o3-mini在Crawl4AI上严格准确率最高。</x:v>
      </x:c>
      <x:c r="W43" s="2" t="str">
        <x:v>NR</x:v>
      </x:c>
      <x:c r="X43" s="2" t="str">
        <x:v>NR</x:v>
      </x:c>
      <x:c r="Y43" s="2" t="str">
        <x:v>NR</x:v>
      </x:c>
      <x:c r="Z43" s="2" t="str">
        <x:v>NA</x:v>
      </x:c>
      <x:c r="AA43" s="6" t="str">
        <x:v>p. 22; Table 5</x:v>
      </x:c>
      <x:c r="AB43" s="6" t="str">
        <x:v>o3-mini Crawl4AI 1,862 1,021 820 21 54.8% 98.9%</x:v>
      </x:c>
      <x:c r="AC43" s="6" t="str">
        <x:v>o3-mini的严格准确率为54.8%，在三个LLM中表现最好。</x:v>
      </x:c>
      <x:c r="AD43" s="2" t="str">
        <x:v>Accepted</x:v>
      </x:c>
      <x:c r="AE43" s="6" t="str">
        <x:v>NA</x:v>
      </x:c>
    </x:row>
    <x:row r="44" ht="76" customHeight="1">
      <x:c r="A44" s="2" t="str">
        <x:v>S05-RESULT-R16</x:v>
      </x:c>
      <x:c r="B44" s="2" t="str">
        <x:v>S05</x:v>
      </x:c>
      <x:c r="C44" s="2" t="str">
        <x:v>merged_0077</x:v>
      </x:c>
      <x:c r="D44" s="2" t="str">
        <x:v>Reviewer_A</x:v>
      </x:c>
      <x:c r="E44" s="2" t="str">
        <x:v>Reviewer_A</x:v>
      </x:c>
      <x:c r="F44" s="2" t="str">
        <x:v>S05-R16</x:v>
      </x:c>
      <x:c r="G44" s="2" t="str">
        <x:v>S05-EV02</x:v>
      </x:c>
      <x:c r="H44" s="2" t="str">
        <x:v>S05-T02</x:v>
      </x:c>
      <x:c r="I44" s="2" t="str">
        <x:v>S05-MU09</x:v>
      </x:c>
      <x:c r="J44" s="2" t="str">
        <x:v>Unity Catalog</x:v>
      </x:c>
      <x:c r="K44" s="2" t="str">
        <x:v>o3-mini (reasoning_effort=high)</x:v>
      </x:c>
      <x:c r="L44" s="2" t="str">
        <x:v>No</x:v>
      </x:c>
      <x:c r="M44" s="2" t="str">
        <x:v>Strict Accuracy</x:v>
      </x:c>
      <x:c r="N44" s="6" t="str">
        <x:v>71.1%</x:v>
      </x:c>
      <x:c r="O44" s="2" t="n">
        <x:v>71.1</x:v>
      </x:c>
      <x:c r="P44" s="2" t="str">
        <x:v>%</x:v>
      </x:c>
      <x:c r="Q44" s="6" t="str">
        <x:v>No</x:v>
      </x:c>
      <x:c r="R44" s="2" t="str">
        <x:v>NA</x:v>
      </x:c>
      <x:c r="S44" s="2" t="str">
        <x:v>NR</x:v>
      </x:c>
      <x:c r="T44" s="2" t="str">
        <x:v>Not compared</x:v>
      </x:c>
      <x:c r="U44" s="2" t="str">
        <x:v>Not tested</x:v>
      </x:c>
      <x:c r="V44" s="2" t="str">
        <x:v>o3-mini在Unity Catalog上大幅度领先，严格准确率超过70%。</x:v>
      </x:c>
      <x:c r="W44" s="2" t="str">
        <x:v>NR</x:v>
      </x:c>
      <x:c r="X44" s="2" t="str">
        <x:v>NR</x:v>
      </x:c>
      <x:c r="Y44" s="2" t="str">
        <x:v>NR</x:v>
      </x:c>
      <x:c r="Z44" s="2" t="str">
        <x:v>NA</x:v>
      </x:c>
      <x:c r="AA44" s="6" t="str">
        <x:v>p. 22; Table 5</x:v>
      </x:c>
      <x:c r="AB44" s="6" t="str">
        <x:v>Unity Catalog 363 258 104 1 71.1% 99.7%</x:v>
      </x:c>
      <x:c r="AC44" s="6" t="str">
        <x:v>o3-mini在结构化API文档上展现了最强的解释能力。</x:v>
      </x:c>
      <x:c r="AD44" s="2" t="str">
        <x:v>Accepted</x:v>
      </x:c>
      <x:c r="AE44" s="6" t="str">
        <x:v>NA</x:v>
      </x:c>
    </x:row>
    <x:row r="45" ht="76" customHeight="1">
      <x:c r="A45" s="2" t="str">
        <x:v>S05-RESULT-R17</x:v>
      </x:c>
      <x:c r="B45" s="2" t="str">
        <x:v>S05</x:v>
      </x:c>
      <x:c r="C45" s="2" t="str">
        <x:v>merged_0077</x:v>
      </x:c>
      <x:c r="D45" s="2" t="str">
        <x:v>Reviewer_A</x:v>
      </x:c>
      <x:c r="E45" s="2" t="str">
        <x:v>Reviewer_A</x:v>
      </x:c>
      <x:c r="F45" s="2" t="str">
        <x:v>S05-R17</x:v>
      </x:c>
      <x:c r="G45" s="2" t="str">
        <x:v>S05-EV03</x:v>
      </x:c>
      <x:c r="H45" s="2" t="str">
        <x:v>S05-T03</x:v>
      </x:c>
      <x:c r="I45" s="2" t="str">
        <x:v>NA</x:v>
      </x:c>
      <x:c r="J45" s="2" t="str">
        <x:v>Crawl4AI</x:v>
      </x:c>
      <x:c r="K45" s="2" t="str">
        <x:v>Claude Sonnet 3.5</x:v>
      </x:c>
      <x:c r="L45" s="2" t="str">
        <x:v>No</x:v>
      </x:c>
      <x:c r="M45" s="2" t="str">
        <x:v>Complete Match</x:v>
      </x:c>
      <x:c r="N45" s="6" t="str">
        <x:v>23.0%</x:v>
      </x:c>
      <x:c r="O45" s="2" t="n">
        <x:v>23</x:v>
      </x:c>
      <x:c r="P45" s="2" t="str">
        <x:v>%</x:v>
      </x:c>
      <x:c r="Q45" s="6" t="str">
        <x:v>No</x:v>
      </x:c>
      <x:c r="R45" s="2" t="str">
        <x:v>NA</x:v>
      </x:c>
      <x:c r="S45" s="2" t="str">
        <x:v>NR</x:v>
      </x:c>
      <x:c r="T45" s="2" t="str">
        <x:v>Not compared</x:v>
      </x:c>
      <x:c r="U45" s="2" t="str">
        <x:v>Not tested</x:v>
      </x:c>
      <x:c r="V45" s="2" t="str">
        <x:v>在Crawl4AI上，仅约四分之一的链被完全正确地重建。</x:v>
      </x:c>
      <x:c r="W45" s="2" t="str">
        <x:v>NR</x:v>
      </x:c>
      <x:c r="X45" s="2" t="str">
        <x:v>NR</x:v>
      </x:c>
      <x:c r="Y45" s="2" t="str">
        <x:v>NR</x:v>
      </x:c>
      <x:c r="Z45" s="2" t="str">
        <x:v>NA</x:v>
      </x:c>
      <x:c r="AA45" s="6" t="str">
        <x:v>p. 24; Table 7</x:v>
      </x:c>
      <x:c r="AB45" s="6" t="str">
        <x:v>Claude 3.5 2,200 23.0 67.8 8.3 0.0 0.0</x:v>
      </x:c>
      <x:c r="AC45" s="6" t="str">
        <x:v>Claude 3.5在Crawl4AI上完全匹配率较低（23.0%），表明多步链的重建极具挑战。</x:v>
      </x:c>
      <x:c r="AD45" s="2" t="str">
        <x:v>Accepted</x:v>
      </x:c>
      <x:c r="AE45" s="6" t="str">
        <x:v>NA</x:v>
      </x:c>
    </x:row>
    <x:row r="46" ht="76" customHeight="1">
      <x:c r="A46" s="2" t="str">
        <x:v>S05-RESULT-R18</x:v>
      </x:c>
      <x:c r="B46" s="2" t="str">
        <x:v>S05</x:v>
      </x:c>
      <x:c r="C46" s="2" t="str">
        <x:v>merged_0077</x:v>
      </x:c>
      <x:c r="D46" s="2" t="str">
        <x:v>Reviewer_A</x:v>
      </x:c>
      <x:c r="E46" s="2" t="str">
        <x:v>Reviewer_A</x:v>
      </x:c>
      <x:c r="F46" s="2" t="str">
        <x:v>S05-R18</x:v>
      </x:c>
      <x:c r="G46" s="2" t="str">
        <x:v>S05-EV03</x:v>
      </x:c>
      <x:c r="H46" s="2" t="str">
        <x:v>S05-T03</x:v>
      </x:c>
      <x:c r="I46" s="2" t="str">
        <x:v>NA</x:v>
      </x:c>
      <x:c r="J46" s="2" t="str">
        <x:v>Unity Catalog</x:v>
      </x:c>
      <x:c r="K46" s="2" t="str">
        <x:v>Claude Sonnet 3.5</x:v>
      </x:c>
      <x:c r="L46" s="2" t="str">
        <x:v>No</x:v>
      </x:c>
      <x:c r="M46" s="2" t="str">
        <x:v>Complete Match</x:v>
      </x:c>
      <x:c r="N46" s="6" t="str">
        <x:v>67.4%</x:v>
      </x:c>
      <x:c r="O46" s="2" t="n">
        <x:v>67.4</x:v>
      </x:c>
      <x:c r="P46" s="2" t="str">
        <x:v>%</x:v>
      </x:c>
      <x:c r="Q46" s="6" t="str">
        <x:v>No</x:v>
      </x:c>
      <x:c r="R46" s="2" t="str">
        <x:v>NA</x:v>
      </x:c>
      <x:c r="S46" s="2" t="str">
        <x:v>NR</x:v>
      </x:c>
      <x:c r="T46" s="2" t="str">
        <x:v>Not compared</x:v>
      </x:c>
      <x:c r="U46" s="2" t="str">
        <x:v>Not tested</x:v>
      </x:c>
      <x:c r="V46" s="2" t="str">
        <x:v>在结构化API文档上，完全匹配率提升至三分之二以上。</x:v>
      </x:c>
      <x:c r="W46" s="2" t="str">
        <x:v>NR</x:v>
      </x:c>
      <x:c r="X46" s="2" t="str">
        <x:v>NR</x:v>
      </x:c>
      <x:c r="Y46" s="2" t="str">
        <x:v>NR</x:v>
      </x:c>
      <x:c r="Z46" s="2" t="str">
        <x:v>NA</x:v>
      </x:c>
      <x:c r="AA46" s="6" t="str">
        <x:v>p. 24; Table 7</x:v>
      </x:c>
      <x:c r="AB46" s="6" t="str">
        <x:v>Claude 3.5 580 67.4 25.2 7.4 0.0 0.0</x:v>
      </x:c>
      <x:c r="AC46" s="6" t="str">
        <x:v>Claude 3.5在Unity Catalog上完全匹配率显著提高达到67.4%。</x:v>
      </x:c>
      <x:c r="AD46" s="2" t="str">
        <x:v>Accepted</x:v>
      </x:c>
      <x:c r="AE46" s="6" t="str">
        <x:v>NA</x:v>
      </x:c>
    </x:row>
    <x:row r="47" ht="76" customHeight="1">
      <x:c r="A47" s="2" t="str">
        <x:v>S05-RESULT-R19</x:v>
      </x:c>
      <x:c r="B47" s="2" t="str">
        <x:v>S05</x:v>
      </x:c>
      <x:c r="C47" s="2" t="str">
        <x:v>merged_0077</x:v>
      </x:c>
      <x:c r="D47" s="2" t="str">
        <x:v>Reviewer_A</x:v>
      </x:c>
      <x:c r="E47" s="2" t="str">
        <x:v>Reviewer_A</x:v>
      </x:c>
      <x:c r="F47" s="2" t="str">
        <x:v>S05-R19</x:v>
      </x:c>
      <x:c r="G47" s="2" t="str">
        <x:v>S05-EV03</x:v>
      </x:c>
      <x:c r="H47" s="2" t="str">
        <x:v>S05-T03</x:v>
      </x:c>
      <x:c r="I47" s="2" t="str">
        <x:v>S05-MU06</x:v>
      </x:c>
      <x:c r="J47" s="2" t="str">
        <x:v>Crawl4AI</x:v>
      </x:c>
      <x:c r="K47" s="2" t="str">
        <x:v>GPT-4o</x:v>
      </x:c>
      <x:c r="L47" s="2" t="str">
        <x:v>No</x:v>
      </x:c>
      <x:c r="M47" s="2" t="str">
        <x:v>Complete Match</x:v>
      </x:c>
      <x:c r="N47" s="6" t="str">
        <x:v>30.6%</x:v>
      </x:c>
      <x:c r="O47" s="2" t="n">
        <x:v>30.6</x:v>
      </x:c>
      <x:c r="P47" s="2" t="str">
        <x:v>%</x:v>
      </x:c>
      <x:c r="Q47" s="6" t="str">
        <x:v>No</x:v>
      </x:c>
      <x:c r="R47" s="2" t="str">
        <x:v>NA</x:v>
      </x:c>
      <x:c r="S47" s="2" t="str">
        <x:v>NR</x:v>
      </x:c>
      <x:c r="T47" s="2" t="str">
        <x:v>Not compared</x:v>
      </x:c>
      <x:c r="U47" s="2" t="str">
        <x:v>Not tested</x:v>
      </x:c>
      <x:c r="V47" s="2" t="str">
        <x:v>NR</x:v>
      </x:c>
      <x:c r="W47" s="2" t="str">
        <x:v>NR</x:v>
      </x:c>
      <x:c r="X47" s="2" t="str">
        <x:v>NR</x:v>
      </x:c>
      <x:c r="Y47" s="2" t="str">
        <x:v>NR</x:v>
      </x:c>
      <x:c r="Z47" s="2" t="str">
        <x:v>NA</x:v>
      </x:c>
      <x:c r="AA47" s="6" t="str">
        <x:v>p. 24; Table 7</x:v>
      </x:c>
      <x:c r="AB47" s="6" t="str">
        <x:v>GPT-4o 1,687 30.6 68.0 1.4 0.1 0.0</x:v>
      </x:c>
      <x:c r="AC47" s="6" t="str">
        <x:v>GPT-4o在Crawl4AI上的完全匹配率为30.6%，略高于Claude。</x:v>
      </x:c>
      <x:c r="AD47" s="2" t="str">
        <x:v>Accepted</x:v>
      </x:c>
      <x:c r="AE47" s="6" t="str">
        <x:v>NA</x:v>
      </x:c>
    </x:row>
    <x:row r="48" ht="76" customHeight="1">
      <x:c r="A48" s="2" t="str">
        <x:v>S05-RESULT-R20</x:v>
      </x:c>
      <x:c r="B48" s="2" t="str">
        <x:v>S05</x:v>
      </x:c>
      <x:c r="C48" s="2" t="str">
        <x:v>merged_0077</x:v>
      </x:c>
      <x:c r="D48" s="2" t="str">
        <x:v>Reviewer_A</x:v>
      </x:c>
      <x:c r="E48" s="2" t="str">
        <x:v>Reviewer_A</x:v>
      </x:c>
      <x:c r="F48" s="2" t="str">
        <x:v>S05-R20</x:v>
      </x:c>
      <x:c r="G48" s="2" t="str">
        <x:v>S05-EV03</x:v>
      </x:c>
      <x:c r="H48" s="2" t="str">
        <x:v>S05-T03</x:v>
      </x:c>
      <x:c r="I48" s="2" t="str">
        <x:v>S05-MU06</x:v>
      </x:c>
      <x:c r="J48" s="2" t="str">
        <x:v>Unity Catalog</x:v>
      </x:c>
      <x:c r="K48" s="2" t="str">
        <x:v>GPT-4o</x:v>
      </x:c>
      <x:c r="L48" s="2" t="str">
        <x:v>No</x:v>
      </x:c>
      <x:c r="M48" s="2" t="str">
        <x:v>Complete Match</x:v>
      </x:c>
      <x:c r="N48" s="6" t="str">
        <x:v>65.8%</x:v>
      </x:c>
      <x:c r="O48" s="2" t="n">
        <x:v>65.8</x:v>
      </x:c>
      <x:c r="P48" s="2" t="str">
        <x:v>%</x:v>
      </x:c>
      <x:c r="Q48" s="6" t="str">
        <x:v>No</x:v>
      </x:c>
      <x:c r="R48" s="2" t="str">
        <x:v>NA</x:v>
      </x:c>
      <x:c r="S48" s="2" t="str">
        <x:v>NR</x:v>
      </x:c>
      <x:c r="T48" s="2" t="str">
        <x:v>Not compared</x:v>
      </x:c>
      <x:c r="U48" s="2" t="str">
        <x:v>Not tested</x:v>
      </x:c>
      <x:c r="V48" s="2" t="str">
        <x:v>NR</x:v>
      </x:c>
      <x:c r="W48" s="2" t="str">
        <x:v>NR</x:v>
      </x:c>
      <x:c r="X48" s="2" t="str">
        <x:v>NR</x:v>
      </x:c>
      <x:c r="Y48" s="2" t="str">
        <x:v>NR</x:v>
      </x:c>
      <x:c r="Z48" s="2" t="str">
        <x:v>NA</x:v>
      </x:c>
      <x:c r="AA48" s="6" t="str">
        <x:v>p. 24; Table 7</x:v>
      </x:c>
      <x:c r="AB48" s="6" t="str">
        <x:v>GPT-4o 412 65.8 31.6 2.7 0.0 0.0</x:v>
      </x:c>
      <x:c r="AC48" s="6" t="str">
        <x:v>GPT-4o在Unity Catalog上的完全匹配率为65.8%。</x:v>
      </x:c>
      <x:c r="AD48" s="2" t="str">
        <x:v>Accepted</x:v>
      </x:c>
      <x:c r="AE48" s="6" t="str">
        <x:v>NA</x:v>
      </x:c>
    </x:row>
    <x:row r="49" ht="76" customHeight="1">
      <x:c r="A49" s="2" t="str">
        <x:v>S05-RESULT-R21</x:v>
      </x:c>
      <x:c r="B49" s="2" t="str">
        <x:v>S05</x:v>
      </x:c>
      <x:c r="C49" s="2" t="str">
        <x:v>merged_0077</x:v>
      </x:c>
      <x:c r="D49" s="2" t="str">
        <x:v>Reviewer_A</x:v>
      </x:c>
      <x:c r="E49" s="2" t="str">
        <x:v>Reviewer_A</x:v>
      </x:c>
      <x:c r="F49" s="2" t="str">
        <x:v>S05-R21</x:v>
      </x:c>
      <x:c r="G49" s="2" t="str">
        <x:v>S05-EV03</x:v>
      </x:c>
      <x:c r="H49" s="2" t="str">
        <x:v>S05-T03</x:v>
      </x:c>
      <x:c r="I49" s="2" t="str">
        <x:v>S05-MU09</x:v>
      </x:c>
      <x:c r="J49" s="2" t="str">
        <x:v>Crawl4AI</x:v>
      </x:c>
      <x:c r="K49" s="2" t="str">
        <x:v>o3-mini (reasoning_effort=high)</x:v>
      </x:c>
      <x:c r="L49" s="2" t="str">
        <x:v>No</x:v>
      </x:c>
      <x:c r="M49" s="2" t="str">
        <x:v>Complete Match</x:v>
      </x:c>
      <x:c r="N49" s="6" t="str">
        <x:v>12.8%</x:v>
      </x:c>
      <x:c r="O49" s="2" t="n">
        <x:v>12.8</x:v>
      </x:c>
      <x:c r="P49" s="2" t="str">
        <x:v>%</x:v>
      </x:c>
      <x:c r="Q49" s="6" t="str">
        <x:v>No</x:v>
      </x:c>
      <x:c r="R49" s="2" t="str">
        <x:v>NA</x:v>
      </x:c>
      <x:c r="S49" s="2" t="str">
        <x:v>NR</x:v>
      </x:c>
      <x:c r="T49" s="2" t="str">
        <x:v>Not compared</x:v>
      </x:c>
      <x:c r="U49" s="2" t="str">
        <x:v>Not tested</x:v>
      </x:c>
      <x:c r="V49" s="2" t="str">
        <x:v>o3-mini在Crawl4AI上完全匹配率最低。</x:v>
      </x:c>
      <x:c r="W49" s="2" t="str">
        <x:v>NR</x:v>
      </x:c>
      <x:c r="X49" s="2" t="str">
        <x:v>NR</x:v>
      </x:c>
      <x:c r="Y49" s="2" t="str">
        <x:v>NR</x:v>
      </x:c>
      <x:c r="Z49" s="2" t="str">
        <x:v>NA</x:v>
      </x:c>
      <x:c r="AA49" s="6" t="str">
        <x:v>p. 24; Table 7</x:v>
      </x:c>
      <x:c r="AB49" s="6" t="str">
        <x:v>o3-mini 1,862 12.8 23.8 0.6 61.3 1.6</x:v>
      </x:c>
      <x:c r="AC49" s="6" t="str">
        <x:v>o3-mini在Crawl4AI上只有12.8%的链完全正确，表明其对多步推理较弱。</x:v>
      </x:c>
      <x:c r="AD49" s="2" t="str">
        <x:v>Accepted</x:v>
      </x:c>
      <x:c r="AE49" s="6" t="str">
        <x:v>NA</x:v>
      </x:c>
    </x:row>
    <x:row r="50" ht="76" customHeight="1">
      <x:c r="A50" s="2" t="str">
        <x:v>S05-RESULT-R22</x:v>
      </x:c>
      <x:c r="B50" s="2" t="str">
        <x:v>S05</x:v>
      </x:c>
      <x:c r="C50" s="2" t="str">
        <x:v>merged_0077</x:v>
      </x:c>
      <x:c r="D50" s="2" t="str">
        <x:v>Reviewer_A</x:v>
      </x:c>
      <x:c r="E50" s="2" t="str">
        <x:v>Reviewer_A</x:v>
      </x:c>
      <x:c r="F50" s="2" t="str">
        <x:v>S05-R22</x:v>
      </x:c>
      <x:c r="G50" s="2" t="str">
        <x:v>S05-EV03</x:v>
      </x:c>
      <x:c r="H50" s="2" t="str">
        <x:v>S05-T03</x:v>
      </x:c>
      <x:c r="I50" s="2" t="str">
        <x:v>S05-MU09</x:v>
      </x:c>
      <x:c r="J50" s="2" t="str">
        <x:v>Unity Catalog</x:v>
      </x:c>
      <x:c r="K50" s="2" t="str">
        <x:v>o3-mini (reasoning_effort=high)</x:v>
      </x:c>
      <x:c r="L50" s="2" t="str">
        <x:v>No</x:v>
      </x:c>
      <x:c r="M50" s="2" t="str">
        <x:v>Complete Match</x:v>
      </x:c>
      <x:c r="N50" s="6" t="str">
        <x:v>80.2%</x:v>
      </x:c>
      <x:c r="O50" s="2" t="n">
        <x:v>80.2</x:v>
      </x:c>
      <x:c r="P50" s="2" t="str">
        <x:v>%</x:v>
      </x:c>
      <x:c r="Q50" s="6" t="str">
        <x:v>No</x:v>
      </x:c>
      <x:c r="R50" s="2" t="str">
        <x:v>NA</x:v>
      </x:c>
      <x:c r="S50" s="2" t="str">
        <x:v>NR</x:v>
      </x:c>
      <x:c r="T50" s="2" t="str">
        <x:v>Not compared</x:v>
      </x:c>
      <x:c r="U50" s="2" t="str">
        <x:v>Not tested</x:v>
      </x:c>
      <x:c r="V50" s="2" t="str">
        <x:v>o3-mini在Unity Catalog上完全匹配率达到最高。</x:v>
      </x:c>
      <x:c r="W50" s="2" t="str">
        <x:v>NR</x:v>
      </x:c>
      <x:c r="X50" s="2" t="str">
        <x:v>NR</x:v>
      </x:c>
      <x:c r="Y50" s="2" t="str">
        <x:v>NR</x:v>
      </x:c>
      <x:c r="Z50" s="2" t="str">
        <x:v>NA</x:v>
      </x:c>
      <x:c r="AA50" s="6" t="str">
        <x:v>p. 24; Table 7</x:v>
      </x:c>
      <x:c r="AB50" s="6" t="str">
        <x:v>o3-mini 363 80.2 6.1 1.4 12.4 0.0</x:v>
      </x:c>
      <x:c r="AC50" s="6" t="str">
        <x:v>o3-mini在Unity Catalog上的完全匹配率高达80.2%，是所有组合中最好的。</x:v>
      </x:c>
      <x:c r="AD50" s="2" t="str">
        <x:v>Accepted</x:v>
      </x:c>
      <x:c r="AE50" s="6" t="str">
        <x:v>NA</x:v>
      </x:c>
    </x:row>
    <x:row r="51" ht="76" customHeight="1">
      <x:c r="A51" s="2" t="str">
        <x:v>S05-RESULT-R23</x:v>
      </x:c>
      <x:c r="B51" s="2" t="str">
        <x:v>S05</x:v>
      </x:c>
      <x:c r="C51" s="2" t="str">
        <x:v>merged_0077</x:v>
      </x:c>
      <x:c r="D51" s="2" t="str">
        <x:v>Reviewer_A</x:v>
      </x:c>
      <x:c r="E51" s="2" t="str">
        <x:v>Reviewer_A</x:v>
      </x:c>
      <x:c r="F51" s="2" t="str">
        <x:v>S05-R23</x:v>
      </x:c>
      <x:c r="G51" s="2" t="str">
        <x:v>S05-EV03</x:v>
      </x:c>
      <x:c r="H51" s="2" t="str">
        <x:v>S05-T03</x:v>
      </x:c>
      <x:c r="I51" s="2" t="str">
        <x:v>S05-MU09</x:v>
      </x:c>
      <x:c r="J51" s="2" t="str">
        <x:v>Crawl4AI</x:v>
      </x:c>
      <x:c r="K51" s="2" t="str">
        <x:v>o3-mini (reasoning_effort=high)</x:v>
      </x:c>
      <x:c r="L51" s="2" t="str">
        <x:v>No</x:v>
      </x:c>
      <x:c r="M51" s="2" t="str">
        <x:v>Incorrect</x:v>
      </x:c>
      <x:c r="N51" s="6" t="str">
        <x:v>1.6%</x:v>
      </x:c>
      <x:c r="O51" s="2" t="n">
        <x:v>1.6</x:v>
      </x:c>
      <x:c r="P51" s="2" t="str">
        <x:v>%</x:v>
      </x:c>
      <x:c r="Q51" s="6" t="str">
        <x:v>No</x:v>
      </x:c>
      <x:c r="R51" s="2" t="str">
        <x:v>NA</x:v>
      </x:c>
      <x:c r="S51" s="2" t="str">
        <x:v>NR</x:v>
      </x:c>
      <x:c r="T51" s="2" t="str">
        <x:v>Not compared</x:v>
      </x:c>
      <x:c r="U51" s="2" t="str">
        <x:v>Not tested</x:v>
      </x:c>
      <x:c r="V51" s="2" t="str">
        <x:v>完全错误的链极少，验证了LLM至少能保持端点正确。</x:v>
      </x:c>
      <x:c r="W51" s="2" t="str">
        <x:v>NR</x:v>
      </x:c>
      <x:c r="X51" s="2" t="str">
        <x:v>NR</x:v>
      </x:c>
      <x:c r="Y51" s="2" t="str">
        <x:v>NR</x:v>
      </x:c>
      <x:c r="Z51" s="2" t="str">
        <x:v>NA</x:v>
      </x:c>
      <x:c r="AA51" s="6" t="str">
        <x:v>p. 24; Table 7</x:v>
      </x:c>
      <x:c r="AB51" s="6" t="str">
        <x:v>o3-mini 1,862 12.8 23.8 0.6 61.3 1.6</x:v>
      </x:c>
      <x:c r="AC51" s="6" t="str">
        <x:v>仅有1.6%的链被判定为完全错误，证明了论文中‘endpoints are reliable anchors’的发现。</x:v>
      </x:c>
      <x:c r="AD51" s="2" t="str">
        <x:v>Accepted</x:v>
      </x:c>
      <x:c r="AE51" s="6" t="str">
        <x:v>NA</x:v>
      </x:c>
    </x:row>
    <x:row r="52" ht="76" customHeight="1">
      <x:c r="A52" s="2" t="str">
        <x:v>S06-RESULT-R01</x:v>
      </x:c>
      <x:c r="B52" s="2" t="str">
        <x:v>S06</x:v>
      </x:c>
      <x:c r="C52" s="2" t="str">
        <x:v>merged_0079</x:v>
      </x:c>
      <x:c r="D52" s="2" t="str">
        <x:v>Reviewer_A</x:v>
      </x:c>
      <x:c r="E52" s="2" t="str">
        <x:v>Reviewer_A</x:v>
      </x:c>
      <x:c r="F52" s="2" t="str">
        <x:v>S06-R01</x:v>
      </x:c>
      <x:c r="G52" s="2" t="str">
        <x:v>S06-EV01</x:v>
      </x:c>
      <x:c r="H52" s="2" t="str">
        <x:v>S06-T01</x:v>
      </x:c>
      <x:c r="I52" s="2" t="str">
        <x:v>S06-MU01</x:v>
      </x:c>
      <x:c r="J52" s="2" t="str">
        <x:v>EALink dataset (six Apache projects)</x:v>
      </x:c>
      <x:c r="K52" s="2" t="str">
        <x:v>LinkAnchor</x:v>
      </x:c>
      <x:c r="L52" s="2" t="str">
        <x:v>EALink</x:v>
      </x:c>
      <x:c r="M52" s="2" t="str">
        <x:v>Hit@1</x:v>
      </x:c>
      <x:c r="N52" s="6" t="str">
        <x:v>0.8632</x:v>
      </x:c>
      <x:c r="O52" s="2" t="n">
        <x:v>0.8632</x:v>
      </x:c>
      <x:c r="P52" s="2" t="str">
        <x:v>proportion</x:v>
      </x:c>
      <x:c r="Q52" s="6" t="str">
        <x:v>0.5390</x:v>
      </x:c>
      <x:c r="R52" s="2" t="n">
        <x:v>0.539</x:v>
      </x:c>
      <x:c r="S52" s="2" t="str">
        <x:v>NR</x:v>
      </x:c>
      <x:c r="T52" s="2" t="str">
        <x:v>Better</x:v>
      </x:c>
      <x:c r="U52" s="2" t="str">
        <x:v>Not tested</x:v>
      </x:c>
      <x:c r="V52" s="2" t="str">
        <x:v>Improvement +60.15%</x:v>
      </x:c>
      <x:c r="W52" s="2" t="str">
        <x:v>NR</x:v>
      </x:c>
      <x:c r="X52" s="2" t="str">
        <x:v>NR</x:v>
      </x:c>
      <x:c r="Y52" s="2" t="str">
        <x:v>NR</x:v>
      </x:c>
      <x:c r="Z52" s="2" t="str">
        <x:v>No</x:v>
      </x:c>
      <x:c r="AA52" s="6" t="str">
        <x:v>p. 7; Table II</x:v>
      </x:c>
      <x:c r="AB52" s="6" t="str">
        <x:v>Mean 0.8632 0.5390 0.4202 0.1060 0.2382</x:v>
      </x:c>
      <x:c r="AC52" s="6" t="str">
        <x:v>LinkAnchor的平均Hit@1为0.8632，显著高于EALink的0.5390，提升60%。</x:v>
      </x:c>
      <x:c r="AD52" s="2" t="str">
        <x:v>Accepted</x:v>
      </x:c>
      <x:c r="AE52" s="6" t="str">
        <x:v>NA</x:v>
      </x:c>
    </x:row>
    <x:row r="53" ht="76" customHeight="1">
      <x:c r="A53" s="2" t="str">
        <x:v>S06-RESULT-R02</x:v>
      </x:c>
      <x:c r="B53" s="2" t="str">
        <x:v>S06</x:v>
      </x:c>
      <x:c r="C53" s="2" t="str">
        <x:v>merged_0079</x:v>
      </x:c>
      <x:c r="D53" s="2" t="str">
        <x:v>Reviewer_A</x:v>
      </x:c>
      <x:c r="E53" s="2" t="str">
        <x:v>Reviewer_A</x:v>
      </x:c>
      <x:c r="F53" s="2" t="str">
        <x:v>S06-R02</x:v>
      </x:c>
      <x:c r="G53" s="2" t="str">
        <x:v>S06-EV01</x:v>
      </x:c>
      <x:c r="H53" s="2" t="str">
        <x:v>S06-T01</x:v>
      </x:c>
      <x:c r="I53" s="2" t="str">
        <x:v>S06-MU01</x:v>
      </x:c>
      <x:c r="J53" s="2" t="str">
        <x:v>EALink dataset (six Apache projects)</x:v>
      </x:c>
      <x:c r="K53" s="2" t="str">
        <x:v>LinkAnchor</x:v>
      </x:c>
      <x:c r="L53" s="2" t="str">
        <x:v>T-BERT</x:v>
      </x:c>
      <x:c r="M53" s="2" t="str">
        <x:v>Hit@1</x:v>
      </x:c>
      <x:c r="N53" s="6" t="str">
        <x:v>0.8632</x:v>
      </x:c>
      <x:c r="O53" s="2" t="n">
        <x:v>0.8632</x:v>
      </x:c>
      <x:c r="P53" s="2" t="str">
        <x:v>proportion</x:v>
      </x:c>
      <x:c r="Q53" s="6" t="str">
        <x:v>0.4202</x:v>
      </x:c>
      <x:c r="R53" s="2" t="n">
        <x:v>0.4202</x:v>
      </x:c>
      <x:c r="S53" s="2" t="str">
        <x:v>NR</x:v>
      </x:c>
      <x:c r="T53" s="2" t="str">
        <x:v>Better</x:v>
      </x:c>
      <x:c r="U53" s="2" t="str">
        <x:v>Not tested</x:v>
      </x:c>
      <x:c r="V53" s="2" t="str">
        <x:v>Improvement +105.43%</x:v>
      </x:c>
      <x:c r="W53" s="2" t="str">
        <x:v>NR</x:v>
      </x:c>
      <x:c r="X53" s="2" t="str">
        <x:v>NR</x:v>
      </x:c>
      <x:c r="Y53" s="2" t="str">
        <x:v>NR</x:v>
      </x:c>
      <x:c r="Z53" s="2" t="str">
        <x:v>No</x:v>
      </x:c>
      <x:c r="AA53" s="6" t="str">
        <x:v>p. 7; Table II</x:v>
      </x:c>
      <x:c r="AB53" s="6" t="str">
        <x:v>Mean 0.8632 0.5390 0.4202 0.1060 0.2382</x:v>
      </x:c>
      <x:c r="AC53" s="6" t="str">
        <x:v>LinkAnchor平均Hit@1为0.8632，远高于T-BERT的0.4202。</x:v>
      </x:c>
      <x:c r="AD53" s="2" t="str">
        <x:v>Accepted</x:v>
      </x:c>
      <x:c r="AE53" s="6" t="str">
        <x:v>NA</x:v>
      </x:c>
    </x:row>
    <x:row r="54" ht="76" customHeight="1">
      <x:c r="A54" s="2" t="str">
        <x:v>S06-RESULT-R03</x:v>
      </x:c>
      <x:c r="B54" s="2" t="str">
        <x:v>S06</x:v>
      </x:c>
      <x:c r="C54" s="2" t="str">
        <x:v>merged_0079</x:v>
      </x:c>
      <x:c r="D54" s="2" t="str">
        <x:v>Reviewer_A</x:v>
      </x:c>
      <x:c r="E54" s="2" t="str">
        <x:v>Reviewer_A</x:v>
      </x:c>
      <x:c r="F54" s="2" t="str">
        <x:v>S06-R03</x:v>
      </x:c>
      <x:c r="G54" s="2" t="str">
        <x:v>S06-EV01</x:v>
      </x:c>
      <x:c r="H54" s="2" t="str">
        <x:v>S06-T01</x:v>
      </x:c>
      <x:c r="I54" s="2" t="str">
        <x:v>S06-MU01</x:v>
      </x:c>
      <x:c r="J54" s="2" t="str">
        <x:v>EALink dataset (six Apache projects)</x:v>
      </x:c>
      <x:c r="K54" s="2" t="str">
        <x:v>LinkAnchor</x:v>
      </x:c>
      <x:c r="L54" s="2" t="str">
        <x:v>DeepLink</x:v>
      </x:c>
      <x:c r="M54" s="2" t="str">
        <x:v>Hit@1</x:v>
      </x:c>
      <x:c r="N54" s="6" t="str">
        <x:v>0.8632</x:v>
      </x:c>
      <x:c r="O54" s="2" t="n">
        <x:v>0.8632</x:v>
      </x:c>
      <x:c r="P54" s="2" t="str">
        <x:v>proportion</x:v>
      </x:c>
      <x:c r="Q54" s="6" t="str">
        <x:v>0.1060</x:v>
      </x:c>
      <x:c r="R54" s="2" t="n">
        <x:v>0.106</x:v>
      </x:c>
      <x:c r="S54" s="2" t="str">
        <x:v>NR</x:v>
      </x:c>
      <x:c r="T54" s="2" t="str">
        <x:v>Better</x:v>
      </x:c>
      <x:c r="U54" s="2" t="str">
        <x:v>Not tested</x:v>
      </x:c>
      <x:c r="V54" s="2" t="str">
        <x:v>Improvement +714.61%</x:v>
      </x:c>
      <x:c r="W54" s="2" t="str">
        <x:v>NR</x:v>
      </x:c>
      <x:c r="X54" s="2" t="str">
        <x:v>NR</x:v>
      </x:c>
      <x:c r="Y54" s="2" t="str">
        <x:v>NR</x:v>
      </x:c>
      <x:c r="Z54" s="2" t="str">
        <x:v>No</x:v>
      </x:c>
      <x:c r="AA54" s="6" t="str">
        <x:v>p. 7; Table II</x:v>
      </x:c>
      <x:c r="AB54" s="6" t="str">
        <x:v>Mean 0.8632 0.5390 0.4202 0.1060 0.2382</x:v>
      </x:c>
      <x:c r="AC54" s="6" t="str">
        <x:v>LinkAnchor的Hit@1远超DeepLink的0.1060，提升超7倍。</x:v>
      </x:c>
      <x:c r="AD54" s="2" t="str">
        <x:v>Accepted</x:v>
      </x:c>
      <x:c r="AE54" s="6" t="str">
        <x:v>NA</x:v>
      </x:c>
    </x:row>
    <x:row r="55" ht="76" customHeight="1">
      <x:c r="A55" s="2" t="str">
        <x:v>S06-RESULT-R04</x:v>
      </x:c>
      <x:c r="B55" s="2" t="str">
        <x:v>S06</x:v>
      </x:c>
      <x:c r="C55" s="2" t="str">
        <x:v>merged_0079</x:v>
      </x:c>
      <x:c r="D55" s="2" t="str">
        <x:v>Reviewer_A</x:v>
      </x:c>
      <x:c r="E55" s="2" t="str">
        <x:v>Reviewer_A</x:v>
      </x:c>
      <x:c r="F55" s="2" t="str">
        <x:v>S06-R04</x:v>
      </x:c>
      <x:c r="G55" s="2" t="str">
        <x:v>S06-EV01</x:v>
      </x:c>
      <x:c r="H55" s="2" t="str">
        <x:v>S06-T01</x:v>
      </x:c>
      <x:c r="I55" s="2" t="str">
        <x:v>S06-MU01</x:v>
      </x:c>
      <x:c r="J55" s="2" t="str">
        <x:v>EALink dataset (six Apache projects)</x:v>
      </x:c>
      <x:c r="K55" s="2" t="str">
        <x:v>LinkAnchor</x:v>
      </x:c>
      <x:c r="L55" s="2" t="str">
        <x:v>VSM</x:v>
      </x:c>
      <x:c r="M55" s="2" t="str">
        <x:v>Hit@1</x:v>
      </x:c>
      <x:c r="N55" s="6" t="str">
        <x:v>0.8632</x:v>
      </x:c>
      <x:c r="O55" s="2" t="n">
        <x:v>0.8632</x:v>
      </x:c>
      <x:c r="P55" s="2" t="str">
        <x:v>proportion</x:v>
      </x:c>
      <x:c r="Q55" s="6" t="str">
        <x:v>0.2382</x:v>
      </x:c>
      <x:c r="R55" s="2" t="n">
        <x:v>0.2382</x:v>
      </x:c>
      <x:c r="S55" s="2" t="str">
        <x:v>NR</x:v>
      </x:c>
      <x:c r="T55" s="2" t="str">
        <x:v>Better</x:v>
      </x:c>
      <x:c r="U55" s="2" t="str">
        <x:v>Not tested</x:v>
      </x:c>
      <x:c r="V55" s="2" t="str">
        <x:v>Improvement +262.44%</x:v>
      </x:c>
      <x:c r="W55" s="2" t="str">
        <x:v>NR</x:v>
      </x:c>
      <x:c r="X55" s="2" t="str">
        <x:v>NR</x:v>
      </x:c>
      <x:c r="Y55" s="2" t="str">
        <x:v>NR</x:v>
      </x:c>
      <x:c r="Z55" s="2" t="str">
        <x:v>No</x:v>
      </x:c>
      <x:c r="AA55" s="6" t="str">
        <x:v>p. 7; Table II</x:v>
      </x:c>
      <x:c r="AB55" s="6" t="str">
        <x:v>Mean 0.8632 0.5390 0.4202 0.1060 0.2382</x:v>
      </x:c>
      <x:c r="AC55" s="6" t="str">
        <x:v>LinkAnchor的Hit@1显著优于VSM的0.2382。</x:v>
      </x:c>
      <x:c r="AD55" s="2" t="str">
        <x:v>Accepted</x:v>
      </x:c>
      <x:c r="AE55" s="6" t="str">
        <x:v>NA</x:v>
      </x:c>
    </x:row>
    <x:row r="56" ht="76" customHeight="1">
      <x:c r="A56" s="2" t="str">
        <x:v>S06-RESULT-R05</x:v>
      </x:c>
      <x:c r="B56" s="2" t="str">
        <x:v>S06</x:v>
      </x:c>
      <x:c r="C56" s="2" t="str">
        <x:v>merged_0079</x:v>
      </x:c>
      <x:c r="D56" s="2" t="str">
        <x:v>Reviewer_A</x:v>
      </x:c>
      <x:c r="E56" s="2" t="str">
        <x:v>Reviewer_A</x:v>
      </x:c>
      <x:c r="F56" s="2" t="str">
        <x:v>S06-R05</x:v>
      </x:c>
      <x:c r="G56" s="2" t="str">
        <x:v>S06-EV01</x:v>
      </x:c>
      <x:c r="H56" s="2" t="str">
        <x:v>S06-T01</x:v>
      </x:c>
      <x:c r="I56" s="2" t="str">
        <x:v>S06-MU01</x:v>
      </x:c>
      <x:c r="J56" s="2" t="str">
        <x:v>EALink dataset (six Apache projects)</x:v>
      </x:c>
      <x:c r="K56" s="2" t="str">
        <x:v>LinkAnchor Hit@1</x:v>
      </x:c>
      <x:c r="L56" s="2" t="str">
        <x:v>EALink Hit@10</x:v>
      </x:c>
      <x:c r="M56" s="2" t="str">
        <x:v>Hit comparison</x:v>
      </x:c>
      <x:c r="N56" s="6" t="str">
        <x:v>0.8632 vs 0.7633</x:v>
      </x:c>
      <x:c r="O56" s="2" t="n">
        <x:v>0.8632</x:v>
      </x:c>
      <x:c r="P56" s="2" t="str">
        <x:v>proportion</x:v>
      </x:c>
      <x:c r="Q56" s="6" t="str">
        <x:v>0.7633</x:v>
      </x:c>
      <x:c r="R56" s="2" t="n">
        <x:v>0.7633</x:v>
      </x:c>
      <x:c r="S56" s="2" t="str">
        <x:v>NR</x:v>
      </x:c>
      <x:c r="T56" s="2" t="str">
        <x:v>Better</x:v>
      </x:c>
      <x:c r="U56" s="2" t="str">
        <x:v>Not tested</x:v>
      </x:c>
      <x:c r="V56" s="2" t="str">
        <x:v>LinkAnchor's single prediction outperforms EALink's top-10 probability</x:v>
      </x:c>
      <x:c r="W56" s="2" t="str">
        <x:v>NR</x:v>
      </x:c>
      <x:c r="X56" s="2" t="str">
        <x:v>NR</x:v>
      </x:c>
      <x:c r="Y56" s="2" t="str">
        <x:v>NR</x:v>
      </x:c>
      <x:c r="Z56" s="2" t="str">
        <x:v>No</x:v>
      </x:c>
      <x:c r="AA56" s="6" t="str">
        <x:v>p. 7; Table III</x:v>
      </x:c>
      <x:c r="AB56" s="6" t="str">
        <x:v>Mean 0.8632 0.7633 0.6624 0.2336 0.6056</x:v>
      </x:c>
      <x:c r="AC56" s="6" t="str">
        <x:v>LinkAnchor的Hit@1（0.8632）仍高于EALink的Hit@10（0.7633）。</x:v>
      </x:c>
      <x:c r="AD56" s="2" t="str">
        <x:v>Accepted</x:v>
      </x:c>
      <x:c r="AE56" s="6" t="str">
        <x:v>NA</x:v>
      </x:c>
    </x:row>
    <x:row r="57" ht="76" customHeight="1">
      <x:c r="A57" s="2" t="str">
        <x:v>S06-RESULT-R06</x:v>
      </x:c>
      <x:c r="B57" s="2" t="str">
        <x:v>S06</x:v>
      </x:c>
      <x:c r="C57" s="2" t="str">
        <x:v>merged_0079</x:v>
      </x:c>
      <x:c r="D57" s="2" t="str">
        <x:v>Reviewer_A</x:v>
      </x:c>
      <x:c r="E57" s="2" t="str">
        <x:v>Reviewer_A</x:v>
      </x:c>
      <x:c r="F57" s="2" t="str">
        <x:v>S06-R06</x:v>
      </x:c>
      <x:c r="G57" s="2" t="str">
        <x:v>S06-EV01</x:v>
      </x:c>
      <x:c r="H57" s="2" t="str">
        <x:v>S06-T01</x:v>
      </x:c>
      <x:c r="I57" s="2" t="str">
        <x:v>S06-MU01</x:v>
      </x:c>
      <x:c r="J57" s="2" t="str">
        <x:v>EALink dataset (six Apache projects)</x:v>
      </x:c>
      <x:c r="K57" s="2" t="str">
        <x:v>LinkAnchor Hit@1</x:v>
      </x:c>
      <x:c r="L57" s="2" t="str">
        <x:v>T-BERT Hit@10</x:v>
      </x:c>
      <x:c r="M57" s="2" t="str">
        <x:v>Hit comparison</x:v>
      </x:c>
      <x:c r="N57" s="6" t="str">
        <x:v>0.8632 vs 0.6624</x:v>
      </x:c>
      <x:c r="O57" s="2" t="n">
        <x:v>0.8632</x:v>
      </x:c>
      <x:c r="P57" s="2" t="str">
        <x:v>proportion</x:v>
      </x:c>
      <x:c r="Q57" s="6" t="str">
        <x:v>0.6624</x:v>
      </x:c>
      <x:c r="R57" s="2" t="n">
        <x:v>0.6624</x:v>
      </x:c>
      <x:c r="S57" s="2" t="str">
        <x:v>NR</x:v>
      </x:c>
      <x:c r="T57" s="2" t="str">
        <x:v>Better</x:v>
      </x:c>
      <x:c r="U57" s="2" t="str">
        <x:v>Not tested</x:v>
      </x:c>
      <x:c r="V57" s="2" t="str">
        <x:v>LinkAnchor Hit@1 outperforms T-BERT Hit@10 by a large margin</x:v>
      </x:c>
      <x:c r="W57" s="2" t="str">
        <x:v>NR</x:v>
      </x:c>
      <x:c r="X57" s="2" t="str">
        <x:v>NR</x:v>
      </x:c>
      <x:c r="Y57" s="2" t="str">
        <x:v>NR</x:v>
      </x:c>
      <x:c r="Z57" s="2" t="str">
        <x:v>No</x:v>
      </x:c>
      <x:c r="AA57" s="6" t="str">
        <x:v>p. 7; Table III</x:v>
      </x:c>
      <x:c r="AB57" s="6" t="str">
        <x:v>Mean 0.8632 0.7633 0.6624 0.2336 0.6056</x:v>
      </x:c>
      <x:c r="AC57" s="6" t="str">
        <x:v>LinkAnchor的Hit@1（0.8632）远高于T-BERT的Hit@10（0.6624）。</x:v>
      </x:c>
      <x:c r="AD57" s="2" t="str">
        <x:v>Accepted</x:v>
      </x:c>
      <x:c r="AE57" s="6" t="str">
        <x:v>NA</x:v>
      </x:c>
    </x:row>
    <x:row r="58" ht="76" customHeight="1">
      <x:c r="A58" s="2" t="str">
        <x:v>S06-RESULT-R07</x:v>
      </x:c>
      <x:c r="B58" s="2" t="str">
        <x:v>S06</x:v>
      </x:c>
      <x:c r="C58" s="2" t="str">
        <x:v>merged_0079</x:v>
      </x:c>
      <x:c r="D58" s="2" t="str">
        <x:v>Reviewer_A</x:v>
      </x:c>
      <x:c r="E58" s="2" t="str">
        <x:v>Reviewer_A</x:v>
      </x:c>
      <x:c r="F58" s="2" t="str">
        <x:v>S06-R07</x:v>
      </x:c>
      <x:c r="G58" s="2" t="str">
        <x:v>S06-EV01</x:v>
      </x:c>
      <x:c r="H58" s="2" t="str">
        <x:v>S06-T01</x:v>
      </x:c>
      <x:c r="I58" s="2" t="str">
        <x:v>S06-MU01</x:v>
      </x:c>
      <x:c r="J58" s="2" t="str">
        <x:v>EALink dataset (six Apache projects)</x:v>
      </x:c>
      <x:c r="K58" s="2" t="str">
        <x:v>LinkAnchor Hit@1</x:v>
      </x:c>
      <x:c r="L58" s="2" t="str">
        <x:v>DeepLink Hit@10</x:v>
      </x:c>
      <x:c r="M58" s="2" t="str">
        <x:v>Hit comparison</x:v>
      </x:c>
      <x:c r="N58" s="6" t="str">
        <x:v>0.8632 vs 0.2336</x:v>
      </x:c>
      <x:c r="O58" s="2" t="n">
        <x:v>0.8632</x:v>
      </x:c>
      <x:c r="P58" s="2" t="str">
        <x:v>proportion</x:v>
      </x:c>
      <x:c r="Q58" s="6" t="str">
        <x:v>0.2336</x:v>
      </x:c>
      <x:c r="R58" s="2" t="n">
        <x:v>0.2336</x:v>
      </x:c>
      <x:c r="S58" s="2" t="str">
        <x:v>NR</x:v>
      </x:c>
      <x:c r="T58" s="2" t="str">
        <x:v>Better</x:v>
      </x:c>
      <x:c r="U58" s="2" t="str">
        <x:v>Not tested</x:v>
      </x:c>
      <x:c r="V58" s="2" t="str">
        <x:v>LinkAnchor Hit@1 vastly exceeds DeepLink Hit@10</x:v>
      </x:c>
      <x:c r="W58" s="2" t="str">
        <x:v>NR</x:v>
      </x:c>
      <x:c r="X58" s="2" t="str">
        <x:v>NR</x:v>
      </x:c>
      <x:c r="Y58" s="2" t="str">
        <x:v>NR</x:v>
      </x:c>
      <x:c r="Z58" s="2" t="str">
        <x:v>No</x:v>
      </x:c>
      <x:c r="AA58" s="6" t="str">
        <x:v>p. 7; Table III</x:v>
      </x:c>
      <x:c r="AB58" s="6" t="str">
        <x:v>Mean 0.8632 0.7633 0.6624 0.2336 0.6056</x:v>
      </x:c>
      <x:c r="AC58" s="6" t="str">
        <x:v>LinkAnchor的Hit@1（0.8632）显著高于DeepLink的Hit@10（0.2336）。</x:v>
      </x:c>
      <x:c r="AD58" s="2" t="str">
        <x:v>Accepted</x:v>
      </x:c>
      <x:c r="AE58" s="6" t="str">
        <x:v>NA</x:v>
      </x:c>
    </x:row>
    <x:row r="59" ht="76" customHeight="1">
      <x:c r="A59" s="2" t="str">
        <x:v>S06-RESULT-R08</x:v>
      </x:c>
      <x:c r="B59" s="2" t="str">
        <x:v>S06</x:v>
      </x:c>
      <x:c r="C59" s="2" t="str">
        <x:v>merged_0079</x:v>
      </x:c>
      <x:c r="D59" s="2" t="str">
        <x:v>Reviewer_A</x:v>
      </x:c>
      <x:c r="E59" s="2" t="str">
        <x:v>Reviewer_A</x:v>
      </x:c>
      <x:c r="F59" s="2" t="str">
        <x:v>S06-R08</x:v>
      </x:c>
      <x:c r="G59" s="2" t="str">
        <x:v>S06-EV01</x:v>
      </x:c>
      <x:c r="H59" s="2" t="str">
        <x:v>S06-T01</x:v>
      </x:c>
      <x:c r="I59" s="2" t="str">
        <x:v>S06-MU01</x:v>
      </x:c>
      <x:c r="J59" s="2" t="str">
        <x:v>EALink dataset (six Apache projects)</x:v>
      </x:c>
      <x:c r="K59" s="2" t="str">
        <x:v>LinkAnchor Hit@1</x:v>
      </x:c>
      <x:c r="L59" s="2" t="str">
        <x:v>VSM Hit@10</x:v>
      </x:c>
      <x:c r="M59" s="2" t="str">
        <x:v>Hit comparison</x:v>
      </x:c>
      <x:c r="N59" s="6" t="str">
        <x:v>0.8632 vs 0.6056</x:v>
      </x:c>
      <x:c r="O59" s="2" t="n">
        <x:v>0.8632</x:v>
      </x:c>
      <x:c r="P59" s="2" t="str">
        <x:v>proportion</x:v>
      </x:c>
      <x:c r="Q59" s="6" t="str">
        <x:v>0.6056</x:v>
      </x:c>
      <x:c r="R59" s="2" t="n">
        <x:v>0.6056</x:v>
      </x:c>
      <x:c r="S59" s="2" t="str">
        <x:v>NR</x:v>
      </x:c>
      <x:c r="T59" s="2" t="str">
        <x:v>Better</x:v>
      </x:c>
      <x:c r="U59" s="2" t="str">
        <x:v>Not tested</x:v>
      </x:c>
      <x:c r="V59" s="2" t="str">
        <x:v>LinkAnchor Hit@1 still surpasses VSM Hit@10</x:v>
      </x:c>
      <x:c r="W59" s="2" t="str">
        <x:v>NR</x:v>
      </x:c>
      <x:c r="X59" s="2" t="str">
        <x:v>NR</x:v>
      </x:c>
      <x:c r="Y59" s="2" t="str">
        <x:v>NR</x:v>
      </x:c>
      <x:c r="Z59" s="2" t="str">
        <x:v>No</x:v>
      </x:c>
      <x:c r="AA59" s="6" t="str">
        <x:v>p. 7; Table III</x:v>
      </x:c>
      <x:c r="AB59" s="6" t="str">
        <x:v>Mean 0.8632 0.7633 0.6624 0.2336 0.6056</x:v>
      </x:c>
      <x:c r="AC59" s="6" t="str">
        <x:v>LinkAnchor的Hit@1（0.8632）高于VSM的Hit@10（0.6056）。</x:v>
      </x:c>
      <x:c r="AD59" s="2" t="str">
        <x:v>Accepted</x:v>
      </x:c>
      <x:c r="AE59" s="6" t="str">
        <x:v>NA</x:v>
      </x:c>
    </x:row>
    <x:row r="60" ht="76" customHeight="1">
      <x:c r="A60" s="2" t="str">
        <x:v>S06-RESULT-R09</x:v>
      </x:c>
      <x:c r="B60" s="2" t="str">
        <x:v>S06</x:v>
      </x:c>
      <x:c r="C60" s="2" t="str">
        <x:v>merged_0079</x:v>
      </x:c>
      <x:c r="D60" s="2" t="str">
        <x:v>Reviewer_A</x:v>
      </x:c>
      <x:c r="E60" s="2" t="str">
        <x:v>Reviewer_A</x:v>
      </x:c>
      <x:c r="F60" s="2" t="str">
        <x:v>S06-R09</x:v>
      </x:c>
      <x:c r="G60" s="2" t="str">
        <x:v>S06-EV02</x:v>
      </x:c>
      <x:c r="H60" s="2" t="str">
        <x:v>S06-T01</x:v>
      </x:c>
      <x:c r="I60" s="2" t="str">
        <x:v>S06-MU01</x:v>
      </x:c>
      <x:c r="J60" s="2" t="str">
        <x:v>120 GitHub issues from six repositories (post Oct 2023)</x:v>
      </x:c>
      <x:c r="K60" s="2" t="str">
        <x:v>LinkAnchor</x:v>
      </x:c>
      <x:c r="L60" s="2" t="str">
        <x:v>No</x:v>
      </x:c>
      <x:c r="M60" s="2" t="str">
        <x:v>Hit@1</x:v>
      </x:c>
      <x:c r="N60" s="6" t="str">
        <x:v>0.89</x:v>
      </x:c>
      <x:c r="O60" s="2" t="n">
        <x:v>0.89</x:v>
      </x:c>
      <x:c r="P60" s="2" t="str">
        <x:v>proportion</x:v>
      </x:c>
      <x:c r="Q60" s="6" t="str">
        <x:v>No</x:v>
      </x:c>
      <x:c r="R60" s="2" t="str">
        <x:v>NA</x:v>
      </x:c>
      <x:c r="S60" s="2" t="str">
        <x:v>NR</x:v>
      </x:c>
      <x:c r="T60" s="2" t="str">
        <x:v>Not compared</x:v>
      </x:c>
      <x:c r="U60" s="2" t="str">
        <x:v>Not tested</x:v>
      </x:c>
      <x:c r="V60" s="2" t="str">
        <x:v>NR</x:v>
      </x:c>
      <x:c r="W60" s="2" t="str">
        <x:v>NR</x:v>
      </x:c>
      <x:c r="X60" s="2" t="str">
        <x:v>NR</x:v>
      </x:c>
      <x:c r="Y60" s="2" t="str">
        <x:v>NR</x:v>
      </x:c>
      <x:c r="Z60" s="2" t="str">
        <x:v>No</x:v>
      </x:c>
      <x:c r="AA60" s="6" t="str">
        <x:v>p. 9; Table V</x:v>
      </x:c>
      <x:c r="AB60" s="6" t="str">
        <x:v>All Projects (mean) 0.89</x:v>
      </x:c>
      <x:c r="AC60" s="6" t="str">
        <x:v>LinkAnchor在未见过的120个GitHub问题上平均Hit@1为0.89，表明良好的泛化能力。</x:v>
      </x:c>
      <x:c r="AD60" s="2" t="str">
        <x:v>Accepted</x:v>
      </x:c>
      <x:c r="AE60" s="6" t="str">
        <x:v>NA</x:v>
      </x:c>
    </x:row>
    <x:row r="61" ht="76" customHeight="1">
      <x:c r="A61" s="2" t="str">
        <x:v>S06-RESULT-R10</x:v>
      </x:c>
      <x:c r="B61" s="2" t="str">
        <x:v>S06</x:v>
      </x:c>
      <x:c r="C61" s="2" t="str">
        <x:v>merged_0079</x:v>
      </x:c>
      <x:c r="D61" s="2" t="str">
        <x:v>Reviewer_A</x:v>
      </x:c>
      <x:c r="E61" s="2" t="str">
        <x:v>Reviewer_A</x:v>
      </x:c>
      <x:c r="F61" s="2" t="str">
        <x:v>S06-R10</x:v>
      </x:c>
      <x:c r="G61" s="2" t="str">
        <x:v>S06-EV03</x:v>
      </x:c>
      <x:c r="H61" s="2" t="str">
        <x:v>S06-T01</x:v>
      </x:c>
      <x:c r="I61" s="2" t="str">
        <x:v>S06-MU01</x:v>
      </x:c>
      <x:c r="J61" s="2" t="str">
        <x:v>EALink dataset (six Apache projects)</x:v>
      </x:c>
      <x:c r="K61" s="2" t="str">
        <x:v>LinkAnchor</x:v>
      </x:c>
      <x:c r="L61" s="2" t="str">
        <x:v>No</x:v>
      </x:c>
      <x:c r="M61" s="2" t="str">
        <x:v>time (seconds)</x:v>
      </x:c>
      <x:c r="N61" s="6" t="str">
        <x:v>23.598526</x:v>
      </x:c>
      <x:c r="O61" s="2" t="n">
        <x:v>23.598526</x:v>
      </x:c>
      <x:c r="P61" s="2" t="str">
        <x:v>seconds</x:v>
      </x:c>
      <x:c r="Q61" s="6" t="str">
        <x:v>No</x:v>
      </x:c>
      <x:c r="R61" s="2" t="str">
        <x:v>NA</x:v>
      </x:c>
      <x:c r="S61" s="2" t="str">
        <x:v>NR</x:v>
      </x:c>
      <x:c r="T61" s="2" t="str">
        <x:v>Not compared</x:v>
      </x:c>
      <x:c r="U61" s="2" t="str">
        <x:v>Not tested</x:v>
      </x:c>
      <x:c r="V61" s="2" t="str">
        <x:v>NR</x:v>
      </x:c>
      <x:c r="W61" s="2" t="str">
        <x:v>NR</x:v>
      </x:c>
      <x:c r="X61" s="2" t="str">
        <x:v>23.598526 seconds per issue on average</x:v>
      </x:c>
      <x:c r="Y61" s="2" t="str">
        <x:v>NR</x:v>
      </x:c>
      <x:c r="Z61" s="2" t="str">
        <x:v>No</x:v>
      </x:c>
      <x:c r="AA61" s="6" t="str">
        <x:v>p. 9; Table VI</x:v>
      </x:c>
      <x:c r="AB61" s="6" t="str">
        <x:v>Average 23.598526 115,295.73 0.0101</x:v>
      </x:c>
      <x:c r="AC61" s="6" t="str">
        <x:v>恢复一个链接的平均时间为23.6秒。</x:v>
      </x:c>
      <x:c r="AD61" s="2" t="str">
        <x:v>Accepted</x:v>
      </x:c>
      <x:c r="AE61" s="6" t="str">
        <x:v>NA</x:v>
      </x:c>
    </x:row>
    <x:row r="62" ht="76" customHeight="1">
      <x:c r="A62" s="2" t="str">
        <x:v>S06-RESULT-R11</x:v>
      </x:c>
      <x:c r="B62" s="2" t="str">
        <x:v>S06</x:v>
      </x:c>
      <x:c r="C62" s="2" t="str">
        <x:v>merged_0079</x:v>
      </x:c>
      <x:c r="D62" s="2" t="str">
        <x:v>Reviewer_A</x:v>
      </x:c>
      <x:c r="E62" s="2" t="str">
        <x:v>Reviewer_A</x:v>
      </x:c>
      <x:c r="F62" s="2" t="str">
        <x:v>S06-R11</x:v>
      </x:c>
      <x:c r="G62" s="2" t="str">
        <x:v>S06-EV03</x:v>
      </x:c>
      <x:c r="H62" s="2" t="str">
        <x:v>S06-T01</x:v>
      </x:c>
      <x:c r="I62" s="2" t="str">
        <x:v>S06-MU01</x:v>
      </x:c>
      <x:c r="J62" s="2" t="str">
        <x:v>EALink dataset (six Apache projects)</x:v>
      </x:c>
      <x:c r="K62" s="2" t="str">
        <x:v>LinkAnchor</x:v>
      </x:c>
      <x:c r="L62" s="2" t="str">
        <x:v>No</x:v>
      </x:c>
      <x:c r="M62" s="2" t="str">
        <x:v>token usage</x:v>
      </x:c>
      <x:c r="N62" s="6" t="str">
        <x:v>115,295.73</x:v>
      </x:c>
      <x:c r="O62" s="2" t="n">
        <x:v>115295.73</x:v>
      </x:c>
      <x:c r="P62" s="2" t="str">
        <x:v>count</x:v>
      </x:c>
      <x:c r="Q62" s="6" t="str">
        <x:v>No</x:v>
      </x:c>
      <x:c r="R62" s="2" t="str">
        <x:v>NA</x:v>
      </x:c>
      <x:c r="S62" s="2" t="str">
        <x:v>NR</x:v>
      </x:c>
      <x:c r="T62" s="2" t="str">
        <x:v>Not compared</x:v>
      </x:c>
      <x:c r="U62" s="2" t="str">
        <x:v>Not tested</x:v>
      </x:c>
      <x:c r="V62" s="2" t="str">
        <x:v>NR</x:v>
      </x:c>
      <x:c r="W62" s="2" t="str">
        <x:v>NR</x:v>
      </x:c>
      <x:c r="X62" s="2" t="str">
        <x:v>NR</x:v>
      </x:c>
      <x:c r="Y62" s="2" t="str">
        <x:v>NR</x:v>
      </x:c>
      <x:c r="Z62" s="2" t="str">
        <x:v>No</x:v>
      </x:c>
      <x:c r="AA62" s="6" t="str">
        <x:v>p. 9; Table VI</x:v>
      </x:c>
      <x:c r="AB62" s="6" t="str">
        <x:v>Average 23.598526 115,295.73 0.0101</x:v>
      </x:c>
      <x:c r="AC62" s="6" t="str">
        <x:v>每个问题消耗约115k tokens。</x:v>
      </x:c>
      <x:c r="AD62" s="2" t="str">
        <x:v>Accepted</x:v>
      </x:c>
      <x:c r="AE62" s="6" t="str">
        <x:v>NA</x:v>
      </x:c>
    </x:row>
    <x:row r="63" ht="76" customHeight="1">
      <x:c r="A63" s="2" t="str">
        <x:v>S06-RESULT-R12</x:v>
      </x:c>
      <x:c r="B63" s="2" t="str">
        <x:v>S06</x:v>
      </x:c>
      <x:c r="C63" s="2" t="str">
        <x:v>merged_0079</x:v>
      </x:c>
      <x:c r="D63" s="2" t="str">
        <x:v>Reviewer_A</x:v>
      </x:c>
      <x:c r="E63" s="2" t="str">
        <x:v>Reviewer_A</x:v>
      </x:c>
      <x:c r="F63" s="2" t="str">
        <x:v>S06-R12</x:v>
      </x:c>
      <x:c r="G63" s="2" t="str">
        <x:v>S06-EV03</x:v>
      </x:c>
      <x:c r="H63" s="2" t="str">
        <x:v>S06-T01</x:v>
      </x:c>
      <x:c r="I63" s="2" t="str">
        <x:v>S06-MU01</x:v>
      </x:c>
      <x:c r="J63" s="2" t="str">
        <x:v>EALink dataset (six Apache projects)</x:v>
      </x:c>
      <x:c r="K63" s="2" t="str">
        <x:v>LinkAnchor</x:v>
      </x:c>
      <x:c r="L63" s="2" t="str">
        <x:v>No</x:v>
      </x:c>
      <x:c r="M63" s="2" t="str">
        <x:v>cost (USD)</x:v>
      </x:c>
      <x:c r="N63" s="6" t="str">
        <x:v>0.0101</x:v>
      </x:c>
      <x:c r="O63" s="2" t="n">
        <x:v>0.0101</x:v>
      </x:c>
      <x:c r="P63" s="2" t="str">
        <x:v>USD</x:v>
      </x:c>
      <x:c r="Q63" s="6" t="str">
        <x:v>No</x:v>
      </x:c>
      <x:c r="R63" s="2" t="str">
        <x:v>NA</x:v>
      </x:c>
      <x:c r="S63" s="2" t="str">
        <x:v>NR</x:v>
      </x:c>
      <x:c r="T63" s="2" t="str">
        <x:v>Not compared</x:v>
      </x:c>
      <x:c r="U63" s="2" t="str">
        <x:v>Not tested</x:v>
      </x:c>
      <x:c r="V63" s="2" t="str">
        <x:v>NR</x:v>
      </x:c>
      <x:c r="W63" s="2" t="str">
        <x:v>0.0101 USD per issue</x:v>
      </x:c>
      <x:c r="X63" s="2" t="str">
        <x:v>NR</x:v>
      </x:c>
      <x:c r="Y63" s="2" t="str">
        <x:v>NR</x:v>
      </x:c>
      <x:c r="Z63" s="2" t="str">
        <x:v>No</x:v>
      </x:c>
      <x:c r="AA63" s="6" t="str">
        <x:v>p. 9; Table VI</x:v>
      </x:c>
      <x:c r="AB63" s="6" t="str">
        <x:v>Average 23.598526 115,295.73 0.0101</x:v>
      </x:c>
      <x:c r="AC63" s="6" t="str">
        <x:v>每个问题的平均成本为0.01美元。</x:v>
      </x:c>
      <x:c r="AD63" s="2" t="str">
        <x:v>Accepted</x:v>
      </x:c>
      <x:c r="AE63" s="6" t="str">
        <x:v>NA</x:v>
      </x:c>
    </x:row>
    <x:row r="64" ht="76" customHeight="1">
      <x:c r="A64" s="2" t="str">
        <x:v>S07-RESULT-R01</x:v>
      </x:c>
      <x:c r="B64" s="2" t="str">
        <x:v>S07</x:v>
      </x:c>
      <x:c r="C64" s="2" t="str">
        <x:v>merged_0110</x:v>
      </x:c>
      <x:c r="D64" s="2" t="str">
        <x:v>Reviewer_A</x:v>
      </x:c>
      <x:c r="E64" s="2" t="str">
        <x:v>Reviewer_A</x:v>
      </x:c>
      <x:c r="F64" s="2" t="str">
        <x:v>S07-R01</x:v>
      </x:c>
      <x:c r="G64" s="2" t="str">
        <x:v>S07-EV01</x:v>
      </x:c>
      <x:c r="H64" s="2" t="str">
        <x:v>S07-T01</x:v>
      </x:c>
      <x:c r="I64" s="2" t="str">
        <x:v>S07-MU01</x:v>
      </x:c>
      <x:c r="J64" s="2" t="str">
        <x:v>BTHS</x:v>
      </x:c>
      <x:c r="K64" s="2" t="str">
        <x:v>BASE prompt</x:v>
      </x:c>
      <x:c r="L64" s="2" t="str">
        <x:v>No</x:v>
      </x:c>
      <x:c r="M64" s="2" t="str">
        <x:v>Precision</x:v>
      </x:c>
      <x:c r="N64" s="6" t="str">
        <x:v>62.4% ± 11.2%</x:v>
      </x:c>
      <x:c r="O64" s="2" t="n">
        <x:v>62.4</x:v>
      </x:c>
      <x:c r="P64" s="2" t="str">
        <x:v>%</x:v>
      </x:c>
      <x:c r="Q64" s="6" t="str">
        <x:v>No</x:v>
      </x:c>
      <x:c r="R64" s="2" t="str">
        <x:v>NA</x:v>
      </x:c>
      <x:c r="S64" s="2" t="str">
        <x:v>± 11.2%</x:v>
      </x:c>
      <x:c r="T64" s="2" t="str">
        <x:v>Not compared</x:v>
      </x:c>
      <x:c r="U64" s="2" t="str">
        <x:v>Not tested</x:v>
      </x:c>
      <x:c r="V64" s="2" t="str">
        <x:v>NR</x:v>
      </x:c>
      <x:c r="W64" s="2" t="str">
        <x:v>NR</x:v>
      </x:c>
      <x:c r="X64" s="2" t="str">
        <x:v>NR</x:v>
      </x:c>
      <x:c r="Y64" s="2" t="str">
        <x:v>NR</x:v>
      </x:c>
      <x:c r="Z64" s="2" t="str">
        <x:v>No</x:v>
      </x:c>
      <x:c r="AA64" s="6" t="str">
        <x:v>p. 6; Table 4</x:v>
      </x:c>
      <x:c r="AB64" s="6" t="str">
        <x:v>62.4% ± 11.2%</x:v>
      </x:c>
      <x:c r="AC64" s="6" t="str">
        <x:v>GPT-3.5在BTHS上的精度</x:v>
      </x:c>
      <x:c r="AD64" s="2" t="str">
        <x:v>Accepted</x:v>
      </x:c>
      <x:c r="AE64" s="6" t="str">
        <x:v>NA</x:v>
      </x:c>
    </x:row>
    <x:row r="65" ht="76" customHeight="1">
      <x:c r="A65" s="2" t="str">
        <x:v>S07-RESULT-R02</x:v>
      </x:c>
      <x:c r="B65" s="2" t="str">
        <x:v>S07</x:v>
      </x:c>
      <x:c r="C65" s="2" t="str">
        <x:v>merged_0110</x:v>
      </x:c>
      <x:c r="D65" s="2" t="str">
        <x:v>Reviewer_A</x:v>
      </x:c>
      <x:c r="E65" s="2" t="str">
        <x:v>Reviewer_A</x:v>
      </x:c>
      <x:c r="F65" s="2" t="str">
        <x:v>S07-R02</x:v>
      </x:c>
      <x:c r="G65" s="2" t="str">
        <x:v>S07-EV01</x:v>
      </x:c>
      <x:c r="H65" s="2" t="str">
        <x:v>S07-T01</x:v>
      </x:c>
      <x:c r="I65" s="2" t="str">
        <x:v>S07-MU01</x:v>
      </x:c>
      <x:c r="J65" s="2" t="str">
        <x:v>BTHS</x:v>
      </x:c>
      <x:c r="K65" s="2" t="str">
        <x:v>BASE prompt</x:v>
      </x:c>
      <x:c r="L65" s="2" t="str">
        <x:v>No</x:v>
      </x:c>
      <x:c r="M65" s="2" t="str">
        <x:v>Recall</x:v>
      </x:c>
      <x:c r="N65" s="6" t="str">
        <x:v>57.2% ± 15.4%</x:v>
      </x:c>
      <x:c r="O65" s="2" t="n">
        <x:v>57.2</x:v>
      </x:c>
      <x:c r="P65" s="2" t="str">
        <x:v>%</x:v>
      </x:c>
      <x:c r="Q65" s="6" t="str">
        <x:v>No</x:v>
      </x:c>
      <x:c r="R65" s="2" t="str">
        <x:v>NA</x:v>
      </x:c>
      <x:c r="S65" s="2" t="str">
        <x:v>± 15.4%</x:v>
      </x:c>
      <x:c r="T65" s="2" t="str">
        <x:v>Not compared</x:v>
      </x:c>
      <x:c r="U65" s="2" t="str">
        <x:v>Not tested</x:v>
      </x:c>
      <x:c r="V65" s="2" t="str">
        <x:v>NR</x:v>
      </x:c>
      <x:c r="W65" s="2" t="str">
        <x:v>NR</x:v>
      </x:c>
      <x:c r="X65" s="2" t="str">
        <x:v>NR</x:v>
      </x:c>
      <x:c r="Y65" s="2" t="str">
        <x:v>NR</x:v>
      </x:c>
      <x:c r="Z65" s="2" t="str">
        <x:v>No</x:v>
      </x:c>
      <x:c r="AA65" s="6" t="str">
        <x:v>p. 6; Table 4</x:v>
      </x:c>
      <x:c r="AB65" s="6" t="str">
        <x:v>57.2% ± 15.4%</x:v>
      </x:c>
      <x:c r="AC65" s="6" t="str">
        <x:v>GPT-3.5在BTHS上的召回率</x:v>
      </x:c>
      <x:c r="AD65" s="2" t="str">
        <x:v>Accepted</x:v>
      </x:c>
      <x:c r="AE65" s="6" t="str">
        <x:v>NA</x:v>
      </x:c>
    </x:row>
    <x:row r="66" ht="76" customHeight="1">
      <x:c r="A66" s="2" t="str">
        <x:v>S07-RESULT-R03</x:v>
      </x:c>
      <x:c r="B66" s="2" t="str">
        <x:v>S07</x:v>
      </x:c>
      <x:c r="C66" s="2" t="str">
        <x:v>merged_0110</x:v>
      </x:c>
      <x:c r="D66" s="2" t="str">
        <x:v>Reviewer_A</x:v>
      </x:c>
      <x:c r="E66" s="2" t="str">
        <x:v>Reviewer_A</x:v>
      </x:c>
      <x:c r="F66" s="2" t="str">
        <x:v>S07-R03</x:v>
      </x:c>
      <x:c r="G66" s="2" t="str">
        <x:v>S07-EV01</x:v>
      </x:c>
      <x:c r="H66" s="2" t="str">
        <x:v>S07-T01</x:v>
      </x:c>
      <x:c r="I66" s="2" t="str">
        <x:v>S07-MU01</x:v>
      </x:c>
      <x:c r="J66" s="2" t="str">
        <x:v>BTHS</x:v>
      </x:c>
      <x:c r="K66" s="2" t="str">
        <x:v>BASE prompt</x:v>
      </x:c>
      <x:c r="L66" s="2" t="str">
        <x:v>No</x:v>
      </x:c>
      <x:c r="M66" s="2" t="str">
        <x:v>F1-score</x:v>
      </x:c>
      <x:c r="N66" s="6" t="str">
        <x:v>57.3% ± 8.9%</x:v>
      </x:c>
      <x:c r="O66" s="2" t="n">
        <x:v>57.3</x:v>
      </x:c>
      <x:c r="P66" s="2" t="str">
        <x:v>%</x:v>
      </x:c>
      <x:c r="Q66" s="6" t="str">
        <x:v>No</x:v>
      </x:c>
      <x:c r="R66" s="2" t="str">
        <x:v>NA</x:v>
      </x:c>
      <x:c r="S66" s="2" t="str">
        <x:v>± 8.9%</x:v>
      </x:c>
      <x:c r="T66" s="2" t="str">
        <x:v>Not compared</x:v>
      </x:c>
      <x:c r="U66" s="2" t="str">
        <x:v>Not tested</x:v>
      </x:c>
      <x:c r="V66" s="2" t="str">
        <x:v>NR</x:v>
      </x:c>
      <x:c r="W66" s="2" t="str">
        <x:v>NR</x:v>
      </x:c>
      <x:c r="X66" s="2" t="str">
        <x:v>NR</x:v>
      </x:c>
      <x:c r="Y66" s="2" t="str">
        <x:v>NR</x:v>
      </x:c>
      <x:c r="Z66" s="2" t="str">
        <x:v>No</x:v>
      </x:c>
      <x:c r="AA66" s="6" t="str">
        <x:v>p. 6; Table 4</x:v>
      </x:c>
      <x:c r="AB66" s="6" t="str">
        <x:v>57.3% ± 8.9%</x:v>
      </x:c>
      <x:c r="AC66" s="6" t="str">
        <x:v>GPT-3.5在BTHS上的F1</x:v>
      </x:c>
      <x:c r="AD66" s="2" t="str">
        <x:v>Accepted</x:v>
      </x:c>
      <x:c r="AE66" s="6" t="str">
        <x:v>NA</x:v>
      </x:c>
    </x:row>
    <x:row r="67" ht="76" customHeight="1">
      <x:c r="A67" s="2" t="str">
        <x:v>S07-RESULT-R04</x:v>
      </x:c>
      <x:c r="B67" s="2" t="str">
        <x:v>S07</x:v>
      </x:c>
      <x:c r="C67" s="2" t="str">
        <x:v>merged_0110</x:v>
      </x:c>
      <x:c r="D67" s="2" t="str">
        <x:v>Reviewer_A</x:v>
      </x:c>
      <x:c r="E67" s="2" t="str">
        <x:v>Reviewer_A</x:v>
      </x:c>
      <x:c r="F67" s="2" t="str">
        <x:v>S07-R04</x:v>
      </x:c>
      <x:c r="G67" s="2" t="str">
        <x:v>S07-EV01</x:v>
      </x:c>
      <x:c r="H67" s="2" t="str">
        <x:v>S07-T01</x:v>
      </x:c>
      <x:c r="I67" s="2" t="str">
        <x:v>S07-MU02</x:v>
      </x:c>
      <x:c r="J67" s="2" t="str">
        <x:v>BTHS</x:v>
      </x:c>
      <x:c r="K67" s="2" t="str">
        <x:v>BASE prompt</x:v>
      </x:c>
      <x:c r="L67" s="2" t="str">
        <x:v>No</x:v>
      </x:c>
      <x:c r="M67" s="2" t="str">
        <x:v>Precision</x:v>
      </x:c>
      <x:c r="N67" s="6" t="str">
        <x:v>85.6% ± 1.5%</x:v>
      </x:c>
      <x:c r="O67" s="2" t="n">
        <x:v>85.6</x:v>
      </x:c>
      <x:c r="P67" s="2" t="str">
        <x:v>%</x:v>
      </x:c>
      <x:c r="Q67" s="6" t="str">
        <x:v>No</x:v>
      </x:c>
      <x:c r="R67" s="2" t="str">
        <x:v>NA</x:v>
      </x:c>
      <x:c r="S67" s="2" t="str">
        <x:v>± 1.5%</x:v>
      </x:c>
      <x:c r="T67" s="2" t="str">
        <x:v>Not compared</x:v>
      </x:c>
      <x:c r="U67" s="2" t="str">
        <x:v>Not tested</x:v>
      </x:c>
      <x:c r="V67" s="2" t="str">
        <x:v>NR</x:v>
      </x:c>
      <x:c r="W67" s="2" t="str">
        <x:v>NR</x:v>
      </x:c>
      <x:c r="X67" s="2" t="str">
        <x:v>NR</x:v>
      </x:c>
      <x:c r="Y67" s="2" t="str">
        <x:v>NR</x:v>
      </x:c>
      <x:c r="Z67" s="2" t="str">
        <x:v>No</x:v>
      </x:c>
      <x:c r="AA67" s="6" t="str">
        <x:v>p. 6; Table 4</x:v>
      </x:c>
      <x:c r="AB67" s="6" t="str">
        <x:v>85.6% ± 1.5%</x:v>
      </x:c>
      <x:c r="AC67" s="6" t="str">
        <x:v>GPT-4在BTHS上的精度</x:v>
      </x:c>
      <x:c r="AD67" s="2" t="str">
        <x:v>Accepted</x:v>
      </x:c>
      <x:c r="AE67" s="6" t="str">
        <x:v>NA</x:v>
      </x:c>
    </x:row>
    <x:row r="68" ht="76" customHeight="1">
      <x:c r="A68" s="2" t="str">
        <x:v>S07-RESULT-R05</x:v>
      </x:c>
      <x:c r="B68" s="2" t="str">
        <x:v>S07</x:v>
      </x:c>
      <x:c r="C68" s="2" t="str">
        <x:v>merged_0110</x:v>
      </x:c>
      <x:c r="D68" s="2" t="str">
        <x:v>Reviewer_A</x:v>
      </x:c>
      <x:c r="E68" s="2" t="str">
        <x:v>Reviewer_A</x:v>
      </x:c>
      <x:c r="F68" s="2" t="str">
        <x:v>S07-R05</x:v>
      </x:c>
      <x:c r="G68" s="2" t="str">
        <x:v>S07-EV01</x:v>
      </x:c>
      <x:c r="H68" s="2" t="str">
        <x:v>S07-T01</x:v>
      </x:c>
      <x:c r="I68" s="2" t="str">
        <x:v>S07-MU02</x:v>
      </x:c>
      <x:c r="J68" s="2" t="str">
        <x:v>BTHS</x:v>
      </x:c>
      <x:c r="K68" s="2" t="str">
        <x:v>BASE prompt</x:v>
      </x:c>
      <x:c r="L68" s="2" t="str">
        <x:v>No</x:v>
      </x:c>
      <x:c r="M68" s="2" t="str">
        <x:v>Recall</x:v>
      </x:c>
      <x:c r="N68" s="6" t="str">
        <x:v>60.0% ± 7.3%</x:v>
      </x:c>
      <x:c r="O68" s="2" t="n">
        <x:v>60</x:v>
      </x:c>
      <x:c r="P68" s="2" t="str">
        <x:v>%</x:v>
      </x:c>
      <x:c r="Q68" s="6" t="str">
        <x:v>No</x:v>
      </x:c>
      <x:c r="R68" s="2" t="str">
        <x:v>NA</x:v>
      </x:c>
      <x:c r="S68" s="2" t="str">
        <x:v>± 7.3%</x:v>
      </x:c>
      <x:c r="T68" s="2" t="str">
        <x:v>Not compared</x:v>
      </x:c>
      <x:c r="U68" s="2" t="str">
        <x:v>Not tested</x:v>
      </x:c>
      <x:c r="V68" s="2" t="str">
        <x:v>NR</x:v>
      </x:c>
      <x:c r="W68" s="2" t="str">
        <x:v>NR</x:v>
      </x:c>
      <x:c r="X68" s="2" t="str">
        <x:v>NR</x:v>
      </x:c>
      <x:c r="Y68" s="2" t="str">
        <x:v>NR</x:v>
      </x:c>
      <x:c r="Z68" s="2" t="str">
        <x:v>No</x:v>
      </x:c>
      <x:c r="AA68" s="6" t="str">
        <x:v>p. 6; Table 4</x:v>
      </x:c>
      <x:c r="AB68" s="6" t="str">
        <x:v>60.0% ± 7.3%</x:v>
      </x:c>
      <x:c r="AC68" s="6" t="str">
        <x:v>GPT-4在BTHS上的召回率</x:v>
      </x:c>
      <x:c r="AD68" s="2" t="str">
        <x:v>Accepted</x:v>
      </x:c>
      <x:c r="AE68" s="6" t="str">
        <x:v>NA</x:v>
      </x:c>
    </x:row>
    <x:row r="69" ht="76" customHeight="1">
      <x:c r="A69" s="2" t="str">
        <x:v>S07-RESULT-R06</x:v>
      </x:c>
      <x:c r="B69" s="2" t="str">
        <x:v>S07</x:v>
      </x:c>
      <x:c r="C69" s="2" t="str">
        <x:v>merged_0110</x:v>
      </x:c>
      <x:c r="D69" s="2" t="str">
        <x:v>Reviewer_A</x:v>
      </x:c>
      <x:c r="E69" s="2" t="str">
        <x:v>Reviewer_A</x:v>
      </x:c>
      <x:c r="F69" s="2" t="str">
        <x:v>S07-R06</x:v>
      </x:c>
      <x:c r="G69" s="2" t="str">
        <x:v>S07-EV01</x:v>
      </x:c>
      <x:c r="H69" s="2" t="str">
        <x:v>S07-T01</x:v>
      </x:c>
      <x:c r="I69" s="2" t="str">
        <x:v>S07-MU02</x:v>
      </x:c>
      <x:c r="J69" s="2" t="str">
        <x:v>BTHS</x:v>
      </x:c>
      <x:c r="K69" s="2" t="str">
        <x:v>BASE prompt</x:v>
      </x:c>
      <x:c r="L69" s="2" t="str">
        <x:v>No</x:v>
      </x:c>
      <x:c r="M69" s="2" t="str">
        <x:v>F1-score</x:v>
      </x:c>
      <x:c r="N69" s="6" t="str">
        <x:v>70.4% ± 5.6%</x:v>
      </x:c>
      <x:c r="O69" s="2" t="n">
        <x:v>70.4</x:v>
      </x:c>
      <x:c r="P69" s="2" t="str">
        <x:v>%</x:v>
      </x:c>
      <x:c r="Q69" s="6" t="str">
        <x:v>No</x:v>
      </x:c>
      <x:c r="R69" s="2" t="str">
        <x:v>NA</x:v>
      </x:c>
      <x:c r="S69" s="2" t="str">
        <x:v>± 5.6%</x:v>
      </x:c>
      <x:c r="T69" s="2" t="str">
        <x:v>Not compared</x:v>
      </x:c>
      <x:c r="U69" s="2" t="str">
        <x:v>Not tested</x:v>
      </x:c>
      <x:c r="V69" s="2" t="str">
        <x:v>NR</x:v>
      </x:c>
      <x:c r="W69" s="2" t="str">
        <x:v>NR</x:v>
      </x:c>
      <x:c r="X69" s="2" t="str">
        <x:v>NR</x:v>
      </x:c>
      <x:c r="Y69" s="2" t="str">
        <x:v>NR</x:v>
      </x:c>
      <x:c r="Z69" s="2" t="str">
        <x:v>No</x:v>
      </x:c>
      <x:c r="AA69" s="6" t="str">
        <x:v>p. 6; Table 4</x:v>
      </x:c>
      <x:c r="AB69" s="6" t="str">
        <x:v>70.4% ± 5.6%</x:v>
      </x:c>
      <x:c r="AC69" s="6" t="str">
        <x:v>GPT-4在BTHS上的F1</x:v>
      </x:c>
      <x:c r="AD69" s="2" t="str">
        <x:v>Accepted</x:v>
      </x:c>
      <x:c r="AE69" s="6" t="str">
        <x:v>NA</x:v>
      </x:c>
    </x:row>
    <x:row r="70" ht="76" customHeight="1">
      <x:c r="A70" s="2" t="str">
        <x:v>S07-RESULT-R07</x:v>
      </x:c>
      <x:c r="B70" s="2" t="str">
        <x:v>S07</x:v>
      </x:c>
      <x:c r="C70" s="2" t="str">
        <x:v>merged_0110</x:v>
      </x:c>
      <x:c r="D70" s="2" t="str">
        <x:v>Reviewer_A</x:v>
      </x:c>
      <x:c r="E70" s="2" t="str">
        <x:v>Reviewer_A</x:v>
      </x:c>
      <x:c r="F70" s="2" t="str">
        <x:v>S07-R07</x:v>
      </x:c>
      <x:c r="G70" s="2" t="str">
        <x:v>S07-EV01</x:v>
      </x:c>
      <x:c r="H70" s="2" t="str">
        <x:v>S07-T01</x:v>
      </x:c>
      <x:c r="I70" s="2" t="str">
        <x:v>S07-MU03</x:v>
      </x:c>
      <x:c r="J70" s="2" t="str">
        <x:v>BTHS</x:v>
      </x:c>
      <x:c r="K70" s="2" t="str">
        <x:v>BASE prompt</x:v>
      </x:c>
      <x:c r="L70" s="2" t="str">
        <x:v>No</x:v>
      </x:c>
      <x:c r="M70" s="2" t="str">
        <x:v>Precision</x:v>
      </x:c>
      <x:c r="N70" s="6" t="str">
        <x:v>73.9% ± 0.0%</x:v>
      </x:c>
      <x:c r="O70" s="2" t="n">
        <x:v>73.9</x:v>
      </x:c>
      <x:c r="P70" s="2" t="str">
        <x:v>%</x:v>
      </x:c>
      <x:c r="Q70" s="6" t="str">
        <x:v>No</x:v>
      </x:c>
      <x:c r="R70" s="2" t="str">
        <x:v>NA</x:v>
      </x:c>
      <x:c r="S70" s="2" t="str">
        <x:v>± 0.0%</x:v>
      </x:c>
      <x:c r="T70" s="2" t="str">
        <x:v>Not compared</x:v>
      </x:c>
      <x:c r="U70" s="2" t="str">
        <x:v>Not tested</x:v>
      </x:c>
      <x:c r="V70" s="2" t="str">
        <x:v>NR</x:v>
      </x:c>
      <x:c r="W70" s="2" t="str">
        <x:v>NR</x:v>
      </x:c>
      <x:c r="X70" s="2" t="str">
        <x:v>NR</x:v>
      </x:c>
      <x:c r="Y70" s="2" t="str">
        <x:v>NR</x:v>
      </x:c>
      <x:c r="Z70" s="2" t="str">
        <x:v>No</x:v>
      </x:c>
      <x:c r="AA70" s="6" t="str">
        <x:v>p. 6; Table 4</x:v>
      </x:c>
      <x:c r="AB70" s="6" t="str">
        <x:v>73.9% ± 0.0%</x:v>
      </x:c>
      <x:c r="AC70" s="6" t="str">
        <x:v>LLAMA 3 70B在BTHS上的精度</x:v>
      </x:c>
      <x:c r="AD70" s="2" t="str">
        <x:v>Accepted</x:v>
      </x:c>
      <x:c r="AE70" s="6" t="str">
        <x:v>NA</x:v>
      </x:c>
    </x:row>
    <x:row r="71" ht="76" customHeight="1">
      <x:c r="A71" s="2" t="str">
        <x:v>S07-RESULT-R08</x:v>
      </x:c>
      <x:c r="B71" s="2" t="str">
        <x:v>S07</x:v>
      </x:c>
      <x:c r="C71" s="2" t="str">
        <x:v>merged_0110</x:v>
      </x:c>
      <x:c r="D71" s="2" t="str">
        <x:v>Reviewer_A</x:v>
      </x:c>
      <x:c r="E71" s="2" t="str">
        <x:v>Reviewer_A</x:v>
      </x:c>
      <x:c r="F71" s="2" t="str">
        <x:v>S07-R08</x:v>
      </x:c>
      <x:c r="G71" s="2" t="str">
        <x:v>S07-EV01</x:v>
      </x:c>
      <x:c r="H71" s="2" t="str">
        <x:v>S07-T01</x:v>
      </x:c>
      <x:c r="I71" s="2" t="str">
        <x:v>S07-MU03</x:v>
      </x:c>
      <x:c r="J71" s="2" t="str">
        <x:v>BTHS</x:v>
      </x:c>
      <x:c r="K71" s="2" t="str">
        <x:v>BASE prompt</x:v>
      </x:c>
      <x:c r="L71" s="2" t="str">
        <x:v>No</x:v>
      </x:c>
      <x:c r="M71" s="2" t="str">
        <x:v>Recall</x:v>
      </x:c>
      <x:c r="N71" s="6" t="str">
        <x:v>85.0% ± 0.0%</x:v>
      </x:c>
      <x:c r="O71" s="2" t="n">
        <x:v>85</x:v>
      </x:c>
      <x:c r="P71" s="2" t="str">
        <x:v>%</x:v>
      </x:c>
      <x:c r="Q71" s="6" t="str">
        <x:v>No</x:v>
      </x:c>
      <x:c r="R71" s="2" t="str">
        <x:v>NA</x:v>
      </x:c>
      <x:c r="S71" s="2" t="str">
        <x:v>± 0.0%</x:v>
      </x:c>
      <x:c r="T71" s="2" t="str">
        <x:v>Not compared</x:v>
      </x:c>
      <x:c r="U71" s="2" t="str">
        <x:v>Not tested</x:v>
      </x:c>
      <x:c r="V71" s="2" t="str">
        <x:v>NR</x:v>
      </x:c>
      <x:c r="W71" s="2" t="str">
        <x:v>NR</x:v>
      </x:c>
      <x:c r="X71" s="2" t="str">
        <x:v>NR</x:v>
      </x:c>
      <x:c r="Y71" s="2" t="str">
        <x:v>NR</x:v>
      </x:c>
      <x:c r="Z71" s="2" t="str">
        <x:v>No</x:v>
      </x:c>
      <x:c r="AA71" s="6" t="str">
        <x:v>p. 6; Table 4</x:v>
      </x:c>
      <x:c r="AB71" s="6" t="str">
        <x:v>85.0% ± 0.0%</x:v>
      </x:c>
      <x:c r="AC71" s="6" t="str">
        <x:v>LLAMA 3 70B在BTHS上的召回率</x:v>
      </x:c>
      <x:c r="AD71" s="2" t="str">
        <x:v>Accepted</x:v>
      </x:c>
      <x:c r="AE71" s="6" t="str">
        <x:v>NA</x:v>
      </x:c>
    </x:row>
    <x:row r="72" ht="76" customHeight="1">
      <x:c r="A72" s="2" t="str">
        <x:v>S07-RESULT-R09</x:v>
      </x:c>
      <x:c r="B72" s="2" t="str">
        <x:v>S07</x:v>
      </x:c>
      <x:c r="C72" s="2" t="str">
        <x:v>merged_0110</x:v>
      </x:c>
      <x:c r="D72" s="2" t="str">
        <x:v>Reviewer_A</x:v>
      </x:c>
      <x:c r="E72" s="2" t="str">
        <x:v>Reviewer_A</x:v>
      </x:c>
      <x:c r="F72" s="2" t="str">
        <x:v>S07-R09</x:v>
      </x:c>
      <x:c r="G72" s="2" t="str">
        <x:v>S07-EV01</x:v>
      </x:c>
      <x:c r="H72" s="2" t="str">
        <x:v>S07-T01</x:v>
      </x:c>
      <x:c r="I72" s="2" t="str">
        <x:v>S07-MU03</x:v>
      </x:c>
      <x:c r="J72" s="2" t="str">
        <x:v>BTHS</x:v>
      </x:c>
      <x:c r="K72" s="2" t="str">
        <x:v>BASE prompt</x:v>
      </x:c>
      <x:c r="L72" s="2" t="str">
        <x:v>No</x:v>
      </x:c>
      <x:c r="M72" s="2" t="str">
        <x:v>F1-score</x:v>
      </x:c>
      <x:c r="N72" s="6" t="str">
        <x:v>79.1% ± 0.0%</x:v>
      </x:c>
      <x:c r="O72" s="2" t="n">
        <x:v>79.1</x:v>
      </x:c>
      <x:c r="P72" s="2" t="str">
        <x:v>%</x:v>
      </x:c>
      <x:c r="Q72" s="6" t="str">
        <x:v>No</x:v>
      </x:c>
      <x:c r="R72" s="2" t="str">
        <x:v>NA</x:v>
      </x:c>
      <x:c r="S72" s="2" t="str">
        <x:v>± 0.0%</x:v>
      </x:c>
      <x:c r="T72" s="2" t="str">
        <x:v>Not compared</x:v>
      </x:c>
      <x:c r="U72" s="2" t="str">
        <x:v>Not tested</x:v>
      </x:c>
      <x:c r="V72" s="2" t="str">
        <x:v>NR</x:v>
      </x:c>
      <x:c r="W72" s="2" t="str">
        <x:v>NR</x:v>
      </x:c>
      <x:c r="X72" s="2" t="str">
        <x:v>NR</x:v>
      </x:c>
      <x:c r="Y72" s="2" t="str">
        <x:v>NR</x:v>
      </x:c>
      <x:c r="Z72" s="2" t="str">
        <x:v>No</x:v>
      </x:c>
      <x:c r="AA72" s="6" t="str">
        <x:v>p. 6; Table 4</x:v>
      </x:c>
      <x:c r="AB72" s="6" t="str">
        <x:v>79.1% ± 0.0%</x:v>
      </x:c>
      <x:c r="AC72" s="6" t="str">
        <x:v>LLAMA 3 70B在BTHS上的F1</x:v>
      </x:c>
      <x:c r="AD72" s="2" t="str">
        <x:v>Accepted</x:v>
      </x:c>
      <x:c r="AE72" s="6" t="str">
        <x:v>NA</x:v>
      </x:c>
    </x:row>
    <x:row r="73" ht="76" customHeight="1">
      <x:c r="A73" s="2" t="str">
        <x:v>S07-RESULT-R10</x:v>
      </x:c>
      <x:c r="B73" s="2" t="str">
        <x:v>S07</x:v>
      </x:c>
      <x:c r="C73" s="2" t="str">
        <x:v>merged_0110</x:v>
      </x:c>
      <x:c r="D73" s="2" t="str">
        <x:v>Reviewer_A</x:v>
      </x:c>
      <x:c r="E73" s="2" t="str">
        <x:v>Reviewer_A</x:v>
      </x:c>
      <x:c r="F73" s="2" t="str">
        <x:v>S07-R10</x:v>
      </x:c>
      <x:c r="G73" s="2" t="str">
        <x:v>S07-EV01</x:v>
      </x:c>
      <x:c r="H73" s="2" t="str">
        <x:v>S07-T01</x:v>
      </x:c>
      <x:c r="I73" s="2" t="str">
        <x:v>S07-MU04</x:v>
      </x:c>
      <x:c r="J73" s="2" t="str">
        <x:v>BTHS</x:v>
      </x:c>
      <x:c r="K73" s="2" t="str">
        <x:v>BASE prompt</x:v>
      </x:c>
      <x:c r="L73" s="2" t="str">
        <x:v>No</x:v>
      </x:c>
      <x:c r="M73" s="2" t="str">
        <x:v>Precision</x:v>
      </x:c>
      <x:c r="N73" s="6" t="str">
        <x:v>64.5% ± 1.2%</x:v>
      </x:c>
      <x:c r="O73" s="2" t="n">
        <x:v>64.5</x:v>
      </x:c>
      <x:c r="P73" s="2" t="str">
        <x:v>%</x:v>
      </x:c>
      <x:c r="Q73" s="6" t="str">
        <x:v>No</x:v>
      </x:c>
      <x:c r="R73" s="2" t="str">
        <x:v>NA</x:v>
      </x:c>
      <x:c r="S73" s="2" t="str">
        <x:v>± 1.2%</x:v>
      </x:c>
      <x:c r="T73" s="2" t="str">
        <x:v>Not compared</x:v>
      </x:c>
      <x:c r="U73" s="2" t="str">
        <x:v>Not tested</x:v>
      </x:c>
      <x:c r="V73" s="2" t="str">
        <x:v>NR</x:v>
      </x:c>
      <x:c r="W73" s="2" t="str">
        <x:v>NR</x:v>
      </x:c>
      <x:c r="X73" s="2" t="str">
        <x:v>NR</x:v>
      </x:c>
      <x:c r="Y73" s="2" t="str">
        <x:v>NR</x:v>
      </x:c>
      <x:c r="Z73" s="2" t="str">
        <x:v>No</x:v>
      </x:c>
      <x:c r="AA73" s="6" t="str">
        <x:v>p. 6; Table 4</x:v>
      </x:c>
      <x:c r="AB73" s="6" t="str">
        <x:v>64.5% ± 1.2%</x:v>
      </x:c>
      <x:c r="AC73" s="6" t="str">
        <x:v>Mistral 7B在BTHS上的精度</x:v>
      </x:c>
      <x:c r="AD73" s="2" t="str">
        <x:v>Accepted</x:v>
      </x:c>
      <x:c r="AE73" s="6" t="str">
        <x:v>NA</x:v>
      </x:c>
    </x:row>
    <x:row r="74" ht="76" customHeight="1">
      <x:c r="A74" s="2" t="str">
        <x:v>S07-RESULT-R11</x:v>
      </x:c>
      <x:c r="B74" s="2" t="str">
        <x:v>S07</x:v>
      </x:c>
      <x:c r="C74" s="2" t="str">
        <x:v>merged_0110</x:v>
      </x:c>
      <x:c r="D74" s="2" t="str">
        <x:v>Reviewer_A</x:v>
      </x:c>
      <x:c r="E74" s="2" t="str">
        <x:v>Reviewer_A</x:v>
      </x:c>
      <x:c r="F74" s="2" t="str">
        <x:v>S07-R11</x:v>
      </x:c>
      <x:c r="G74" s="2" t="str">
        <x:v>S07-EV01</x:v>
      </x:c>
      <x:c r="H74" s="2" t="str">
        <x:v>S07-T01</x:v>
      </x:c>
      <x:c r="I74" s="2" t="str">
        <x:v>S07-MU04</x:v>
      </x:c>
      <x:c r="J74" s="2" t="str">
        <x:v>BTHS</x:v>
      </x:c>
      <x:c r="K74" s="2" t="str">
        <x:v>BASE prompt</x:v>
      </x:c>
      <x:c r="L74" s="2" t="str">
        <x:v>No</x:v>
      </x:c>
      <x:c r="M74" s="2" t="str">
        <x:v>Recall</x:v>
      </x:c>
      <x:c r="N74" s="6" t="str">
        <x:v>55.0% ± 0.0%</x:v>
      </x:c>
      <x:c r="O74" s="2" t="n">
        <x:v>55</x:v>
      </x:c>
      <x:c r="P74" s="2" t="str">
        <x:v>%</x:v>
      </x:c>
      <x:c r="Q74" s="6" t="str">
        <x:v>No</x:v>
      </x:c>
      <x:c r="R74" s="2" t="str">
        <x:v>NA</x:v>
      </x:c>
      <x:c r="S74" s="2" t="str">
        <x:v>± 0.0%</x:v>
      </x:c>
      <x:c r="T74" s="2" t="str">
        <x:v>Not compared</x:v>
      </x:c>
      <x:c r="U74" s="2" t="str">
        <x:v>Not tested</x:v>
      </x:c>
      <x:c r="V74" s="2" t="str">
        <x:v>NR</x:v>
      </x:c>
      <x:c r="W74" s="2" t="str">
        <x:v>NR</x:v>
      </x:c>
      <x:c r="X74" s="2" t="str">
        <x:v>NR</x:v>
      </x:c>
      <x:c r="Y74" s="2" t="str">
        <x:v>NR</x:v>
      </x:c>
      <x:c r="Z74" s="2" t="str">
        <x:v>No</x:v>
      </x:c>
      <x:c r="AA74" s="6" t="str">
        <x:v>p. 6; Table 4</x:v>
      </x:c>
      <x:c r="AB74" s="6" t="str">
        <x:v>55.0% ± 0.0%</x:v>
      </x:c>
      <x:c r="AC74" s="6" t="str">
        <x:v>Mistral 7B在BTHS上的召回率</x:v>
      </x:c>
      <x:c r="AD74" s="2" t="str">
        <x:v>Accepted</x:v>
      </x:c>
      <x:c r="AE74" s="6" t="str">
        <x:v>NA</x:v>
      </x:c>
    </x:row>
    <x:row r="75" ht="76" customHeight="1">
      <x:c r="A75" s="2" t="str">
        <x:v>S07-RESULT-R12</x:v>
      </x:c>
      <x:c r="B75" s="2" t="str">
        <x:v>S07</x:v>
      </x:c>
      <x:c r="C75" s="2" t="str">
        <x:v>merged_0110</x:v>
      </x:c>
      <x:c r="D75" s="2" t="str">
        <x:v>Reviewer_A</x:v>
      </x:c>
      <x:c r="E75" s="2" t="str">
        <x:v>Reviewer_A</x:v>
      </x:c>
      <x:c r="F75" s="2" t="str">
        <x:v>S07-R12</x:v>
      </x:c>
      <x:c r="G75" s="2" t="str">
        <x:v>S07-EV01</x:v>
      </x:c>
      <x:c r="H75" s="2" t="str">
        <x:v>S07-T01</x:v>
      </x:c>
      <x:c r="I75" s="2" t="str">
        <x:v>S07-MU04</x:v>
      </x:c>
      <x:c r="J75" s="2" t="str">
        <x:v>BTHS</x:v>
      </x:c>
      <x:c r="K75" s="2" t="str">
        <x:v>BASE prompt</x:v>
      </x:c>
      <x:c r="L75" s="2" t="str">
        <x:v>No</x:v>
      </x:c>
      <x:c r="M75" s="2" t="str">
        <x:v>F1-score</x:v>
      </x:c>
      <x:c r="N75" s="6" t="str">
        <x:v>59.4% ± 0.6%</x:v>
      </x:c>
      <x:c r="O75" s="2" t="n">
        <x:v>59.4</x:v>
      </x:c>
      <x:c r="P75" s="2" t="str">
        <x:v>%</x:v>
      </x:c>
      <x:c r="Q75" s="6" t="str">
        <x:v>No</x:v>
      </x:c>
      <x:c r="R75" s="2" t="str">
        <x:v>NA</x:v>
      </x:c>
      <x:c r="S75" s="2" t="str">
        <x:v>± 0.6%</x:v>
      </x:c>
      <x:c r="T75" s="2" t="str">
        <x:v>Not compared</x:v>
      </x:c>
      <x:c r="U75" s="2" t="str">
        <x:v>Not tested</x:v>
      </x:c>
      <x:c r="V75" s="2" t="str">
        <x:v>NR</x:v>
      </x:c>
      <x:c r="W75" s="2" t="str">
        <x:v>NR</x:v>
      </x:c>
      <x:c r="X75" s="2" t="str">
        <x:v>NR</x:v>
      </x:c>
      <x:c r="Y75" s="2" t="str">
        <x:v>NR</x:v>
      </x:c>
      <x:c r="Z75" s="2" t="str">
        <x:v>No</x:v>
      </x:c>
      <x:c r="AA75" s="6" t="str">
        <x:v>p. 6; Table 4</x:v>
      </x:c>
      <x:c r="AB75" s="6" t="str">
        <x:v>59.4% ± 0.6%</x:v>
      </x:c>
      <x:c r="AC75" s="6" t="str">
        <x:v>Mistral 7B在BTHS上的F1</x:v>
      </x:c>
      <x:c r="AD75" s="2" t="str">
        <x:v>Accepted</x:v>
      </x:c>
      <x:c r="AE75" s="6" t="str">
        <x:v>NA</x:v>
      </x:c>
    </x:row>
    <x:row r="76" ht="76" customHeight="1">
      <x:c r="A76" s="2" t="str">
        <x:v>S07-RESULT-R13</x:v>
      </x:c>
      <x:c r="B76" s="2" t="str">
        <x:v>S07</x:v>
      </x:c>
      <x:c r="C76" s="2" t="str">
        <x:v>merged_0110</x:v>
      </x:c>
      <x:c r="D76" s="2" t="str">
        <x:v>Reviewer_A</x:v>
      </x:c>
      <x:c r="E76" s="2" t="str">
        <x:v>Reviewer_A</x:v>
      </x:c>
      <x:c r="F76" s="2" t="str">
        <x:v>S07-R13</x:v>
      </x:c>
      <x:c r="G76" s="2" t="str">
        <x:v>S07-EV01</x:v>
      </x:c>
      <x:c r="H76" s="2" t="str">
        <x:v>S07-T01</x:v>
      </x:c>
      <x:c r="I76" s="2" t="str">
        <x:v>S07-MU05</x:v>
      </x:c>
      <x:c r="J76" s="2" t="str">
        <x:v>BTHS</x:v>
      </x:c>
      <x:c r="K76" s="2" t="str">
        <x:v>BASE prompt</x:v>
      </x:c>
      <x:c r="L76" s="2" t="str">
        <x:v>No</x:v>
      </x:c>
      <x:c r="M76" s="2" t="str">
        <x:v>Precision</x:v>
      </x:c>
      <x:c r="N76" s="6" t="str">
        <x:v>72.8% ± 3.3%</x:v>
      </x:c>
      <x:c r="O76" s="2" t="n">
        <x:v>72.8</x:v>
      </x:c>
      <x:c r="P76" s="2" t="str">
        <x:v>%</x:v>
      </x:c>
      <x:c r="Q76" s="6" t="str">
        <x:v>No</x:v>
      </x:c>
      <x:c r="R76" s="2" t="str">
        <x:v>NA</x:v>
      </x:c>
      <x:c r="S76" s="2" t="str">
        <x:v>± 3.3%</x:v>
      </x:c>
      <x:c r="T76" s="2" t="str">
        <x:v>Not compared</x:v>
      </x:c>
      <x:c r="U76" s="2" t="str">
        <x:v>Not tested</x:v>
      </x:c>
      <x:c r="V76" s="2" t="str">
        <x:v>NR</x:v>
      </x:c>
      <x:c r="W76" s="2" t="str">
        <x:v>NR</x:v>
      </x:c>
      <x:c r="X76" s="2" t="str">
        <x:v>NR</x:v>
      </x:c>
      <x:c r="Y76" s="2" t="str">
        <x:v>NR</x:v>
      </x:c>
      <x:c r="Z76" s="2" t="str">
        <x:v>No</x:v>
      </x:c>
      <x:c r="AA76" s="6" t="str">
        <x:v>p. 6; Table 4</x:v>
      </x:c>
      <x:c r="AB76" s="6" t="str">
        <x:v>72.8% ± 3.3%</x:v>
      </x:c>
      <x:c r="AC76" s="6" t="str">
        <x:v>Mixtral 8x7B在BTHS上的精度</x:v>
      </x:c>
      <x:c r="AD76" s="2" t="str">
        <x:v>Accepted</x:v>
      </x:c>
      <x:c r="AE76" s="6" t="str">
        <x:v>NA</x:v>
      </x:c>
    </x:row>
    <x:row r="77" ht="76" customHeight="1">
      <x:c r="A77" s="2" t="str">
        <x:v>S07-RESULT-R14</x:v>
      </x:c>
      <x:c r="B77" s="2" t="str">
        <x:v>S07</x:v>
      </x:c>
      <x:c r="C77" s="2" t="str">
        <x:v>merged_0110</x:v>
      </x:c>
      <x:c r="D77" s="2" t="str">
        <x:v>Reviewer_A</x:v>
      </x:c>
      <x:c r="E77" s="2" t="str">
        <x:v>Reviewer_A</x:v>
      </x:c>
      <x:c r="F77" s="2" t="str">
        <x:v>S07-R14</x:v>
      </x:c>
      <x:c r="G77" s="2" t="str">
        <x:v>S07-EV01</x:v>
      </x:c>
      <x:c r="H77" s="2" t="str">
        <x:v>S07-T01</x:v>
      </x:c>
      <x:c r="I77" s="2" t="str">
        <x:v>S07-MU05</x:v>
      </x:c>
      <x:c r="J77" s="2" t="str">
        <x:v>BTHS</x:v>
      </x:c>
      <x:c r="K77" s="2" t="str">
        <x:v>BASE prompt</x:v>
      </x:c>
      <x:c r="L77" s="2" t="str">
        <x:v>No</x:v>
      </x:c>
      <x:c r="M77" s="2" t="str">
        <x:v>Recall</x:v>
      </x:c>
      <x:c r="N77" s="6" t="str">
        <x:v>85.0% ± 0.0%</x:v>
      </x:c>
      <x:c r="O77" s="2" t="n">
        <x:v>85</x:v>
      </x:c>
      <x:c r="P77" s="2" t="str">
        <x:v>%</x:v>
      </x:c>
      <x:c r="Q77" s="6" t="str">
        <x:v>No</x:v>
      </x:c>
      <x:c r="R77" s="2" t="str">
        <x:v>NA</x:v>
      </x:c>
      <x:c r="S77" s="2" t="str">
        <x:v>± 0.0%</x:v>
      </x:c>
      <x:c r="T77" s="2" t="str">
        <x:v>Not compared</x:v>
      </x:c>
      <x:c r="U77" s="2" t="str">
        <x:v>Not tested</x:v>
      </x:c>
      <x:c r="V77" s="2" t="str">
        <x:v>NR</x:v>
      </x:c>
      <x:c r="W77" s="2" t="str">
        <x:v>NR</x:v>
      </x:c>
      <x:c r="X77" s="2" t="str">
        <x:v>NR</x:v>
      </x:c>
      <x:c r="Y77" s="2" t="str">
        <x:v>NR</x:v>
      </x:c>
      <x:c r="Z77" s="2" t="str">
        <x:v>No</x:v>
      </x:c>
      <x:c r="AA77" s="6" t="str">
        <x:v>p. 6; Table 4</x:v>
      </x:c>
      <x:c r="AB77" s="6" t="str">
        <x:v>85.0% ± 0.0%</x:v>
      </x:c>
      <x:c r="AC77" s="6" t="str">
        <x:v>Mixtral 8x7B在BTHS上的召回率</x:v>
      </x:c>
      <x:c r="AD77" s="2" t="str">
        <x:v>Accepted</x:v>
      </x:c>
      <x:c r="AE77" s="6" t="str">
        <x:v>NA</x:v>
      </x:c>
    </x:row>
    <x:row r="78" ht="76" customHeight="1">
      <x:c r="A78" s="2" t="str">
        <x:v>S07-RESULT-R15</x:v>
      </x:c>
      <x:c r="B78" s="2" t="str">
        <x:v>S07</x:v>
      </x:c>
      <x:c r="C78" s="2" t="str">
        <x:v>merged_0110</x:v>
      </x:c>
      <x:c r="D78" s="2" t="str">
        <x:v>Reviewer_A</x:v>
      </x:c>
      <x:c r="E78" s="2" t="str">
        <x:v>Reviewer_A</x:v>
      </x:c>
      <x:c r="F78" s="2" t="str">
        <x:v>S07-R15</x:v>
      </x:c>
      <x:c r="G78" s="2" t="str">
        <x:v>S07-EV01</x:v>
      </x:c>
      <x:c r="H78" s="2" t="str">
        <x:v>S07-T01</x:v>
      </x:c>
      <x:c r="I78" s="2" t="str">
        <x:v>S07-MU05</x:v>
      </x:c>
      <x:c r="J78" s="2" t="str">
        <x:v>BTHS</x:v>
      </x:c>
      <x:c r="K78" s="2" t="str">
        <x:v>BASE prompt</x:v>
      </x:c>
      <x:c r="L78" s="2" t="str">
        <x:v>No</x:v>
      </x:c>
      <x:c r="M78" s="2" t="str">
        <x:v>F1-score</x:v>
      </x:c>
      <x:c r="N78" s="6" t="str">
        <x:v>78.4% ± 2.0%</x:v>
      </x:c>
      <x:c r="O78" s="2" t="n">
        <x:v>78.4</x:v>
      </x:c>
      <x:c r="P78" s="2" t="str">
        <x:v>%</x:v>
      </x:c>
      <x:c r="Q78" s="6" t="str">
        <x:v>No</x:v>
      </x:c>
      <x:c r="R78" s="2" t="str">
        <x:v>NA</x:v>
      </x:c>
      <x:c r="S78" s="2" t="str">
        <x:v>± 2.0%</x:v>
      </x:c>
      <x:c r="T78" s="2" t="str">
        <x:v>Not compared</x:v>
      </x:c>
      <x:c r="U78" s="2" t="str">
        <x:v>Not tested</x:v>
      </x:c>
      <x:c r="V78" s="2" t="str">
        <x:v>NR</x:v>
      </x:c>
      <x:c r="W78" s="2" t="str">
        <x:v>NR</x:v>
      </x:c>
      <x:c r="X78" s="2" t="str">
        <x:v>NR</x:v>
      </x:c>
      <x:c r="Y78" s="2" t="str">
        <x:v>NR</x:v>
      </x:c>
      <x:c r="Z78" s="2" t="str">
        <x:v>No</x:v>
      </x:c>
      <x:c r="AA78" s="6" t="str">
        <x:v>p. 6; Table 4</x:v>
      </x:c>
      <x:c r="AB78" s="6" t="str">
        <x:v>78.4% ± 2.0%</x:v>
      </x:c>
      <x:c r="AC78" s="6" t="str">
        <x:v>Mixtral 8x7B在BTHS上的F1</x:v>
      </x:c>
      <x:c r="AD78" s="2" t="str">
        <x:v>Accepted</x:v>
      </x:c>
      <x:c r="AE78" s="6" t="str">
        <x:v>NA</x:v>
      </x:c>
    </x:row>
    <x:row r="79" ht="76" customHeight="1">
      <x:c r="A79" s="2" t="str">
        <x:v>S07-RESULT-R16</x:v>
      </x:c>
      <x:c r="B79" s="2" t="str">
        <x:v>S07</x:v>
      </x:c>
      <x:c r="C79" s="2" t="str">
        <x:v>merged_0110</x:v>
      </x:c>
      <x:c r="D79" s="2" t="str">
        <x:v>Reviewer_A</x:v>
      </x:c>
      <x:c r="E79" s="2" t="str">
        <x:v>Reviewer_A</x:v>
      </x:c>
      <x:c r="F79" s="2" t="str">
        <x:v>S07-R16</x:v>
      </x:c>
      <x:c r="G79" s="2" t="str">
        <x:v>S07-EV01</x:v>
      </x:c>
      <x:c r="H79" s="2" t="str">
        <x:v>S07-T01</x:v>
      </x:c>
      <x:c r="I79" s="2" t="str">
        <x:v>S07-MU01</x:v>
      </x:c>
      <x:c r="J79" s="2" t="str">
        <x:v>GBGE</x:v>
      </x:c>
      <x:c r="K79" s="2" t="str">
        <x:v>BASE prompt</x:v>
      </x:c>
      <x:c r="L79" s="2" t="str">
        <x:v>No</x:v>
      </x:c>
      <x:c r="M79" s="2" t="str">
        <x:v>Precision</x:v>
      </x:c>
      <x:c r="N79" s="6" t="str">
        <x:v>97.9% ± 0.7%</x:v>
      </x:c>
      <x:c r="O79" s="2" t="n">
        <x:v>97.9</x:v>
      </x:c>
      <x:c r="P79" s="2" t="str">
        <x:v>%</x:v>
      </x:c>
      <x:c r="Q79" s="6" t="str">
        <x:v>No</x:v>
      </x:c>
      <x:c r="R79" s="2" t="str">
        <x:v>NA</x:v>
      </x:c>
      <x:c r="S79" s="2" t="str">
        <x:v>± 0.7%</x:v>
      </x:c>
      <x:c r="T79" s="2" t="str">
        <x:v>Not compared</x:v>
      </x:c>
      <x:c r="U79" s="2" t="str">
        <x:v>Not tested</x:v>
      </x:c>
      <x:c r="V79" s="2" t="str">
        <x:v>NR</x:v>
      </x:c>
      <x:c r="W79" s="2" t="str">
        <x:v>NR</x:v>
      </x:c>
      <x:c r="X79" s="2" t="str">
        <x:v>NR</x:v>
      </x:c>
      <x:c r="Y79" s="2" t="str">
        <x:v>NR</x:v>
      </x:c>
      <x:c r="Z79" s="2" t="str">
        <x:v>No</x:v>
      </x:c>
      <x:c r="AA79" s="6" t="str">
        <x:v>p. 6; Table 4</x:v>
      </x:c>
      <x:c r="AB79" s="6" t="str">
        <x:v>97.9% ± 0.7%</x:v>
      </x:c>
      <x:c r="AC79" s="6" t="str">
        <x:v>GPT-3.5在GBGE上的精度</x:v>
      </x:c>
      <x:c r="AD79" s="2" t="str">
        <x:v>Accepted</x:v>
      </x:c>
      <x:c r="AE79" s="6" t="str">
        <x:v>NA</x:v>
      </x:c>
    </x:row>
    <x:row r="80" ht="76" customHeight="1">
      <x:c r="A80" s="2" t="str">
        <x:v>S07-RESULT-R17</x:v>
      </x:c>
      <x:c r="B80" s="2" t="str">
        <x:v>S07</x:v>
      </x:c>
      <x:c r="C80" s="2" t="str">
        <x:v>merged_0110</x:v>
      </x:c>
      <x:c r="D80" s="2" t="str">
        <x:v>Reviewer_A</x:v>
      </x:c>
      <x:c r="E80" s="2" t="str">
        <x:v>Reviewer_A</x:v>
      </x:c>
      <x:c r="F80" s="2" t="str">
        <x:v>S07-R17</x:v>
      </x:c>
      <x:c r="G80" s="2" t="str">
        <x:v>S07-EV01</x:v>
      </x:c>
      <x:c r="H80" s="2" t="str">
        <x:v>S07-T01</x:v>
      </x:c>
      <x:c r="I80" s="2" t="str">
        <x:v>S07-MU01</x:v>
      </x:c>
      <x:c r="J80" s="2" t="str">
        <x:v>GBGE</x:v>
      </x:c>
      <x:c r="K80" s="2" t="str">
        <x:v>BASE prompt</x:v>
      </x:c>
      <x:c r="L80" s="2" t="str">
        <x:v>No</x:v>
      </x:c>
      <x:c r="M80" s="2" t="str">
        <x:v>Recall</x:v>
      </x:c>
      <x:c r="N80" s="6" t="str">
        <x:v>92.6% ± 1.7%</x:v>
      </x:c>
      <x:c r="O80" s="2" t="n">
        <x:v>92.6</x:v>
      </x:c>
      <x:c r="P80" s="2" t="str">
        <x:v>%</x:v>
      </x:c>
      <x:c r="Q80" s="6" t="str">
        <x:v>No</x:v>
      </x:c>
      <x:c r="R80" s="2" t="str">
        <x:v>NA</x:v>
      </x:c>
      <x:c r="S80" s="2" t="str">
        <x:v>± 1.7%</x:v>
      </x:c>
      <x:c r="T80" s="2" t="str">
        <x:v>Not compared</x:v>
      </x:c>
      <x:c r="U80" s="2" t="str">
        <x:v>Not tested</x:v>
      </x:c>
      <x:c r="V80" s="2" t="str">
        <x:v>NR</x:v>
      </x:c>
      <x:c r="W80" s="2" t="str">
        <x:v>NR</x:v>
      </x:c>
      <x:c r="X80" s="2" t="str">
        <x:v>NR</x:v>
      </x:c>
      <x:c r="Y80" s="2" t="str">
        <x:v>NR</x:v>
      </x:c>
      <x:c r="Z80" s="2" t="str">
        <x:v>No</x:v>
      </x:c>
      <x:c r="AA80" s="6" t="str">
        <x:v>p. 6; Table 4</x:v>
      </x:c>
      <x:c r="AB80" s="6" t="str">
        <x:v>92.6% ± 1.7%</x:v>
      </x:c>
      <x:c r="AC80" s="6" t="str">
        <x:v>GPT-3.5在GBGE上的召回率</x:v>
      </x:c>
      <x:c r="AD80" s="2" t="str">
        <x:v>Accepted</x:v>
      </x:c>
      <x:c r="AE80" s="6" t="str">
        <x:v>NA</x:v>
      </x:c>
    </x:row>
    <x:row r="81" ht="76" customHeight="1">
      <x:c r="A81" s="2" t="str">
        <x:v>S07-RESULT-R18</x:v>
      </x:c>
      <x:c r="B81" s="2" t="str">
        <x:v>S07</x:v>
      </x:c>
      <x:c r="C81" s="2" t="str">
        <x:v>merged_0110</x:v>
      </x:c>
      <x:c r="D81" s="2" t="str">
        <x:v>Reviewer_A</x:v>
      </x:c>
      <x:c r="E81" s="2" t="str">
        <x:v>Reviewer_A</x:v>
      </x:c>
      <x:c r="F81" s="2" t="str">
        <x:v>S07-R18</x:v>
      </x:c>
      <x:c r="G81" s="2" t="str">
        <x:v>S07-EV01</x:v>
      </x:c>
      <x:c r="H81" s="2" t="str">
        <x:v>S07-T01</x:v>
      </x:c>
      <x:c r="I81" s="2" t="str">
        <x:v>S07-MU01</x:v>
      </x:c>
      <x:c r="J81" s="2" t="str">
        <x:v>GBGE</x:v>
      </x:c>
      <x:c r="K81" s="2" t="str">
        <x:v>BASE prompt</x:v>
      </x:c>
      <x:c r="L81" s="2" t="str">
        <x:v>No</x:v>
      </x:c>
      <x:c r="M81" s="2" t="str">
        <x:v>F1-score</x:v>
      </x:c>
      <x:c r="N81" s="6" t="str">
        <x:v>95.2% ± 0.8%</x:v>
      </x:c>
      <x:c r="O81" s="2" t="n">
        <x:v>95.2</x:v>
      </x:c>
      <x:c r="P81" s="2" t="str">
        <x:v>%</x:v>
      </x:c>
      <x:c r="Q81" s="6" t="str">
        <x:v>No</x:v>
      </x:c>
      <x:c r="R81" s="2" t="str">
        <x:v>NA</x:v>
      </x:c>
      <x:c r="S81" s="2" t="str">
        <x:v>± 0.8%</x:v>
      </x:c>
      <x:c r="T81" s="2" t="str">
        <x:v>Not compared</x:v>
      </x:c>
      <x:c r="U81" s="2" t="str">
        <x:v>Not tested</x:v>
      </x:c>
      <x:c r="V81" s="2" t="str">
        <x:v>NR</x:v>
      </x:c>
      <x:c r="W81" s="2" t="str">
        <x:v>NR</x:v>
      </x:c>
      <x:c r="X81" s="2" t="str">
        <x:v>NR</x:v>
      </x:c>
      <x:c r="Y81" s="2" t="str">
        <x:v>NR</x:v>
      </x:c>
      <x:c r="Z81" s="2" t="str">
        <x:v>No</x:v>
      </x:c>
      <x:c r="AA81" s="6" t="str">
        <x:v>p. 6; Table 4</x:v>
      </x:c>
      <x:c r="AB81" s="6" t="str">
        <x:v>95.2% ± 0.8%</x:v>
      </x:c>
      <x:c r="AC81" s="6" t="str">
        <x:v>GPT-3.5在GBGE上的F1</x:v>
      </x:c>
      <x:c r="AD81" s="2" t="str">
        <x:v>Accepted</x:v>
      </x:c>
      <x:c r="AE81" s="6" t="str">
        <x:v>NA</x:v>
      </x:c>
    </x:row>
    <x:row r="82" ht="76" customHeight="1">
      <x:c r="A82" s="2" t="str">
        <x:v>S07-RESULT-R19</x:v>
      </x:c>
      <x:c r="B82" s="2" t="str">
        <x:v>S07</x:v>
      </x:c>
      <x:c r="C82" s="2" t="str">
        <x:v>merged_0110</x:v>
      </x:c>
      <x:c r="D82" s="2" t="str">
        <x:v>Reviewer_A</x:v>
      </x:c>
      <x:c r="E82" s="2" t="str">
        <x:v>Reviewer_A</x:v>
      </x:c>
      <x:c r="F82" s="2" t="str">
        <x:v>S07-R19</x:v>
      </x:c>
      <x:c r="G82" s="2" t="str">
        <x:v>S07-EV01</x:v>
      </x:c>
      <x:c r="H82" s="2" t="str">
        <x:v>S07-T01</x:v>
      </x:c>
      <x:c r="I82" s="2" t="str">
        <x:v>S07-MU02</x:v>
      </x:c>
      <x:c r="J82" s="2" t="str">
        <x:v>GBGE</x:v>
      </x:c>
      <x:c r="K82" s="2" t="str">
        <x:v>BASE prompt</x:v>
      </x:c>
      <x:c r="L82" s="2" t="str">
        <x:v>No</x:v>
      </x:c>
      <x:c r="M82" s="2" t="str">
        <x:v>Precision</x:v>
      </x:c>
      <x:c r="N82" s="6" t="str">
        <x:v>98.5% ± 1.2%</x:v>
      </x:c>
      <x:c r="O82" s="2" t="n">
        <x:v>98.5</x:v>
      </x:c>
      <x:c r="P82" s="2" t="str">
        <x:v>%</x:v>
      </x:c>
      <x:c r="Q82" s="6" t="str">
        <x:v>No</x:v>
      </x:c>
      <x:c r="R82" s="2" t="str">
        <x:v>NA</x:v>
      </x:c>
      <x:c r="S82" s="2" t="str">
        <x:v>± 1.2%</x:v>
      </x:c>
      <x:c r="T82" s="2" t="str">
        <x:v>Not compared</x:v>
      </x:c>
      <x:c r="U82" s="2" t="str">
        <x:v>Not tested</x:v>
      </x:c>
      <x:c r="V82" s="2" t="str">
        <x:v>NR</x:v>
      </x:c>
      <x:c r="W82" s="2" t="str">
        <x:v>NR</x:v>
      </x:c>
      <x:c r="X82" s="2" t="str">
        <x:v>NR</x:v>
      </x:c>
      <x:c r="Y82" s="2" t="str">
        <x:v>NR</x:v>
      </x:c>
      <x:c r="Z82" s="2" t="str">
        <x:v>No</x:v>
      </x:c>
      <x:c r="AA82" s="6" t="str">
        <x:v>p. 6; Table 4</x:v>
      </x:c>
      <x:c r="AB82" s="6" t="str">
        <x:v>98.5% ± 1.2%</x:v>
      </x:c>
      <x:c r="AC82" s="6" t="str">
        <x:v>GPT-4在GBGE上的精度</x:v>
      </x:c>
      <x:c r="AD82" s="2" t="str">
        <x:v>Accepted</x:v>
      </x:c>
      <x:c r="AE82" s="6" t="str">
        <x:v>NA</x:v>
      </x:c>
    </x:row>
    <x:row r="83" ht="76" customHeight="1">
      <x:c r="A83" s="2" t="str">
        <x:v>S07-RESULT-R20</x:v>
      </x:c>
      <x:c r="B83" s="2" t="str">
        <x:v>S07</x:v>
      </x:c>
      <x:c r="C83" s="2" t="str">
        <x:v>merged_0110</x:v>
      </x:c>
      <x:c r="D83" s="2" t="str">
        <x:v>Reviewer_A</x:v>
      </x:c>
      <x:c r="E83" s="2" t="str">
        <x:v>Reviewer_A</x:v>
      </x:c>
      <x:c r="F83" s="2" t="str">
        <x:v>S07-R20</x:v>
      </x:c>
      <x:c r="G83" s="2" t="str">
        <x:v>S07-EV01</x:v>
      </x:c>
      <x:c r="H83" s="2" t="str">
        <x:v>S07-T01</x:v>
      </x:c>
      <x:c r="I83" s="2" t="str">
        <x:v>S07-MU02</x:v>
      </x:c>
      <x:c r="J83" s="2" t="str">
        <x:v>GBGE</x:v>
      </x:c>
      <x:c r="K83" s="2" t="str">
        <x:v>BASE prompt</x:v>
      </x:c>
      <x:c r="L83" s="2" t="str">
        <x:v>No</x:v>
      </x:c>
      <x:c r="M83" s="2" t="str">
        <x:v>Recall</x:v>
      </x:c>
      <x:c r="N83" s="6" t="str">
        <x:v>95.7% ± 0.4%</x:v>
      </x:c>
      <x:c r="O83" s="2" t="n">
        <x:v>95.7</x:v>
      </x:c>
      <x:c r="P83" s="2" t="str">
        <x:v>%</x:v>
      </x:c>
      <x:c r="Q83" s="6" t="str">
        <x:v>No</x:v>
      </x:c>
      <x:c r="R83" s="2" t="str">
        <x:v>NA</x:v>
      </x:c>
      <x:c r="S83" s="2" t="str">
        <x:v>± 0.4%</x:v>
      </x:c>
      <x:c r="T83" s="2" t="str">
        <x:v>Not compared</x:v>
      </x:c>
      <x:c r="U83" s="2" t="str">
        <x:v>Not tested</x:v>
      </x:c>
      <x:c r="V83" s="2" t="str">
        <x:v>NR</x:v>
      </x:c>
      <x:c r="W83" s="2" t="str">
        <x:v>NR</x:v>
      </x:c>
      <x:c r="X83" s="2" t="str">
        <x:v>NR</x:v>
      </x:c>
      <x:c r="Y83" s="2" t="str">
        <x:v>NR</x:v>
      </x:c>
      <x:c r="Z83" s="2" t="str">
        <x:v>No</x:v>
      </x:c>
      <x:c r="AA83" s="6" t="str">
        <x:v>p. 6; Table 4</x:v>
      </x:c>
      <x:c r="AB83" s="6" t="str">
        <x:v>95.7% ± 0.4%</x:v>
      </x:c>
      <x:c r="AC83" s="6" t="str">
        <x:v>GPT-4在GBGE上的召回率</x:v>
      </x:c>
      <x:c r="AD83" s="2" t="str">
        <x:v>Accepted</x:v>
      </x:c>
      <x:c r="AE83" s="6" t="str">
        <x:v>NA</x:v>
      </x:c>
    </x:row>
    <x:row r="84" ht="76" customHeight="1">
      <x:c r="A84" s="2" t="str">
        <x:v>S07-RESULT-R21</x:v>
      </x:c>
      <x:c r="B84" s="2" t="str">
        <x:v>S07</x:v>
      </x:c>
      <x:c r="C84" s="2" t="str">
        <x:v>merged_0110</x:v>
      </x:c>
      <x:c r="D84" s="2" t="str">
        <x:v>Reviewer_A</x:v>
      </x:c>
      <x:c r="E84" s="2" t="str">
        <x:v>Reviewer_A</x:v>
      </x:c>
      <x:c r="F84" s="2" t="str">
        <x:v>S07-R21</x:v>
      </x:c>
      <x:c r="G84" s="2" t="str">
        <x:v>S07-EV01</x:v>
      </x:c>
      <x:c r="H84" s="2" t="str">
        <x:v>S07-T01</x:v>
      </x:c>
      <x:c r="I84" s="2" t="str">
        <x:v>S07-MU02</x:v>
      </x:c>
      <x:c r="J84" s="2" t="str">
        <x:v>GBGE</x:v>
      </x:c>
      <x:c r="K84" s="2" t="str">
        <x:v>BASE prompt</x:v>
      </x:c>
      <x:c r="L84" s="2" t="str">
        <x:v>No</x:v>
      </x:c>
      <x:c r="M84" s="2" t="str">
        <x:v>F1-score</x:v>
      </x:c>
      <x:c r="N84" s="6" t="str">
        <x:v>97.1% ± 0.6%</x:v>
      </x:c>
      <x:c r="O84" s="2" t="n">
        <x:v>97.1</x:v>
      </x:c>
      <x:c r="P84" s="2" t="str">
        <x:v>%</x:v>
      </x:c>
      <x:c r="Q84" s="6" t="str">
        <x:v>No</x:v>
      </x:c>
      <x:c r="R84" s="2" t="str">
        <x:v>NA</x:v>
      </x:c>
      <x:c r="S84" s="2" t="str">
        <x:v>± 0.6%</x:v>
      </x:c>
      <x:c r="T84" s="2" t="str">
        <x:v>Not compared</x:v>
      </x:c>
      <x:c r="U84" s="2" t="str">
        <x:v>Not tested</x:v>
      </x:c>
      <x:c r="V84" s="2" t="str">
        <x:v>NR</x:v>
      </x:c>
      <x:c r="W84" s="2" t="str">
        <x:v>NR</x:v>
      </x:c>
      <x:c r="X84" s="2" t="str">
        <x:v>NR</x:v>
      </x:c>
      <x:c r="Y84" s="2" t="str">
        <x:v>NR</x:v>
      </x:c>
      <x:c r="Z84" s="2" t="str">
        <x:v>No</x:v>
      </x:c>
      <x:c r="AA84" s="6" t="str">
        <x:v>p. 6; Table 4</x:v>
      </x:c>
      <x:c r="AB84" s="6" t="str">
        <x:v>97.1% ± 0.6%</x:v>
      </x:c>
      <x:c r="AC84" s="6" t="str">
        <x:v>GPT-4在GBGE上的F1</x:v>
      </x:c>
      <x:c r="AD84" s="2" t="str">
        <x:v>Accepted</x:v>
      </x:c>
      <x:c r="AE84" s="6" t="str">
        <x:v>NA</x:v>
      </x:c>
    </x:row>
    <x:row r="85" ht="76" customHeight="1">
      <x:c r="A85" s="2" t="str">
        <x:v>S07-RESULT-R22</x:v>
      </x:c>
      <x:c r="B85" s="2" t="str">
        <x:v>S07</x:v>
      </x:c>
      <x:c r="C85" s="2" t="str">
        <x:v>merged_0110</x:v>
      </x:c>
      <x:c r="D85" s="2" t="str">
        <x:v>Reviewer_A</x:v>
      </x:c>
      <x:c r="E85" s="2" t="str">
        <x:v>Reviewer_A</x:v>
      </x:c>
      <x:c r="F85" s="2" t="str">
        <x:v>S07-R22</x:v>
      </x:c>
      <x:c r="G85" s="2" t="str">
        <x:v>S07-EV01</x:v>
      </x:c>
      <x:c r="H85" s="2" t="str">
        <x:v>S07-T01</x:v>
      </x:c>
      <x:c r="I85" s="2" t="str">
        <x:v>S07-MU03</x:v>
      </x:c>
      <x:c r="J85" s="2" t="str">
        <x:v>GBGE</x:v>
      </x:c>
      <x:c r="K85" s="2" t="str">
        <x:v>BASE prompt</x:v>
      </x:c>
      <x:c r="L85" s="2" t="str">
        <x:v>No</x:v>
      </x:c>
      <x:c r="M85" s="2" t="str">
        <x:v>Precision</x:v>
      </x:c>
      <x:c r="N85" s="6" t="str">
        <x:v>92.0% ± 0.0%</x:v>
      </x:c>
      <x:c r="O85" s="2" t="n">
        <x:v>92</x:v>
      </x:c>
      <x:c r="P85" s="2" t="str">
        <x:v>%</x:v>
      </x:c>
      <x:c r="Q85" s="6" t="str">
        <x:v>No</x:v>
      </x:c>
      <x:c r="R85" s="2" t="str">
        <x:v>NA</x:v>
      </x:c>
      <x:c r="S85" s="2" t="str">
        <x:v>± 0.0%</x:v>
      </x:c>
      <x:c r="T85" s="2" t="str">
        <x:v>Not compared</x:v>
      </x:c>
      <x:c r="U85" s="2" t="str">
        <x:v>Not tested</x:v>
      </x:c>
      <x:c r="V85" s="2" t="str">
        <x:v>NR</x:v>
      </x:c>
      <x:c r="W85" s="2" t="str">
        <x:v>NR</x:v>
      </x:c>
      <x:c r="X85" s="2" t="str">
        <x:v>NR</x:v>
      </x:c>
      <x:c r="Y85" s="2" t="str">
        <x:v>NR</x:v>
      </x:c>
      <x:c r="Z85" s="2" t="str">
        <x:v>No</x:v>
      </x:c>
      <x:c r="AA85" s="6" t="str">
        <x:v>p. 6; Table 4</x:v>
      </x:c>
      <x:c r="AB85" s="6" t="str">
        <x:v>92.0% ± 0.0%</x:v>
      </x:c>
      <x:c r="AC85" s="6" t="str">
        <x:v>LLAMA 3 70B在GBGE上的精度</x:v>
      </x:c>
      <x:c r="AD85" s="2" t="str">
        <x:v>Accepted</x:v>
      </x:c>
      <x:c r="AE85" s="6" t="str">
        <x:v>NA</x:v>
      </x:c>
    </x:row>
    <x:row r="86" ht="76" customHeight="1">
      <x:c r="A86" s="2" t="str">
        <x:v>S07-RESULT-R23</x:v>
      </x:c>
      <x:c r="B86" s="2" t="str">
        <x:v>S07</x:v>
      </x:c>
      <x:c r="C86" s="2" t="str">
        <x:v>merged_0110</x:v>
      </x:c>
      <x:c r="D86" s="2" t="str">
        <x:v>Reviewer_A</x:v>
      </x:c>
      <x:c r="E86" s="2" t="str">
        <x:v>Reviewer_A</x:v>
      </x:c>
      <x:c r="F86" s="2" t="str">
        <x:v>S07-R23</x:v>
      </x:c>
      <x:c r="G86" s="2" t="str">
        <x:v>S07-EV01</x:v>
      </x:c>
      <x:c r="H86" s="2" t="str">
        <x:v>S07-T01</x:v>
      </x:c>
      <x:c r="I86" s="2" t="str">
        <x:v>S07-MU03</x:v>
      </x:c>
      <x:c r="J86" s="2" t="str">
        <x:v>GBGE</x:v>
      </x:c>
      <x:c r="K86" s="2" t="str">
        <x:v>BASE prompt</x:v>
      </x:c>
      <x:c r="L86" s="2" t="str">
        <x:v>No</x:v>
      </x:c>
      <x:c r="M86" s="2" t="str">
        <x:v>Recall</x:v>
      </x:c>
      <x:c r="N86" s="6" t="str">
        <x:v>100% ± 0.0%</x:v>
      </x:c>
      <x:c r="O86" s="2" t="n">
        <x:v>100</x:v>
      </x:c>
      <x:c r="P86" s="2" t="str">
        <x:v>%</x:v>
      </x:c>
      <x:c r="Q86" s="6" t="str">
        <x:v>No</x:v>
      </x:c>
      <x:c r="R86" s="2" t="str">
        <x:v>NA</x:v>
      </x:c>
      <x:c r="S86" s="2" t="str">
        <x:v>± 0.0%</x:v>
      </x:c>
      <x:c r="T86" s="2" t="str">
        <x:v>Not compared</x:v>
      </x:c>
      <x:c r="U86" s="2" t="str">
        <x:v>Not tested</x:v>
      </x:c>
      <x:c r="V86" s="2" t="str">
        <x:v>NR</x:v>
      </x:c>
      <x:c r="W86" s="2" t="str">
        <x:v>NR</x:v>
      </x:c>
      <x:c r="X86" s="2" t="str">
        <x:v>NR</x:v>
      </x:c>
      <x:c r="Y86" s="2" t="str">
        <x:v>NR</x:v>
      </x:c>
      <x:c r="Z86" s="2" t="str">
        <x:v>No</x:v>
      </x:c>
      <x:c r="AA86" s="6" t="str">
        <x:v>p. 6; Table 4</x:v>
      </x:c>
      <x:c r="AB86" s="6" t="str">
        <x:v>100% ± 0.0%</x:v>
      </x:c>
      <x:c r="AC86" s="6" t="str">
        <x:v>LLAMA 3 70B在GBGE上召回率达到100%</x:v>
      </x:c>
      <x:c r="AD86" s="2" t="str">
        <x:v>Accepted</x:v>
      </x:c>
      <x:c r="AE86" s="6" t="str">
        <x:v>NA</x:v>
      </x:c>
    </x:row>
    <x:row r="87" ht="76" customHeight="1">
      <x:c r="A87" s="2" t="str">
        <x:v>S07-RESULT-R24</x:v>
      </x:c>
      <x:c r="B87" s="2" t="str">
        <x:v>S07</x:v>
      </x:c>
      <x:c r="C87" s="2" t="str">
        <x:v>merged_0110</x:v>
      </x:c>
      <x:c r="D87" s="2" t="str">
        <x:v>Reviewer_A</x:v>
      </x:c>
      <x:c r="E87" s="2" t="str">
        <x:v>Reviewer_A</x:v>
      </x:c>
      <x:c r="F87" s="2" t="str">
        <x:v>S07-R24</x:v>
      </x:c>
      <x:c r="G87" s="2" t="str">
        <x:v>S07-EV01</x:v>
      </x:c>
      <x:c r="H87" s="2" t="str">
        <x:v>S07-T01</x:v>
      </x:c>
      <x:c r="I87" s="2" t="str">
        <x:v>S07-MU03</x:v>
      </x:c>
      <x:c r="J87" s="2" t="str">
        <x:v>GBGE</x:v>
      </x:c>
      <x:c r="K87" s="2" t="str">
        <x:v>BASE prompt</x:v>
      </x:c>
      <x:c r="L87" s="2" t="str">
        <x:v>No</x:v>
      </x:c>
      <x:c r="M87" s="2" t="str">
        <x:v>F1-score</x:v>
      </x:c>
      <x:c r="N87" s="6" t="str">
        <x:v>95.8% ± 0.0%</x:v>
      </x:c>
      <x:c r="O87" s="2" t="n">
        <x:v>95.8</x:v>
      </x:c>
      <x:c r="P87" s="2" t="str">
        <x:v>%</x:v>
      </x:c>
      <x:c r="Q87" s="6" t="str">
        <x:v>No</x:v>
      </x:c>
      <x:c r="R87" s="2" t="str">
        <x:v>NA</x:v>
      </x:c>
      <x:c r="S87" s="2" t="str">
        <x:v>± 0.0%</x:v>
      </x:c>
      <x:c r="T87" s="2" t="str">
        <x:v>Not compared</x:v>
      </x:c>
      <x:c r="U87" s="2" t="str">
        <x:v>Not tested</x:v>
      </x:c>
      <x:c r="V87" s="2" t="str">
        <x:v>NR</x:v>
      </x:c>
      <x:c r="W87" s="2" t="str">
        <x:v>NR</x:v>
      </x:c>
      <x:c r="X87" s="2" t="str">
        <x:v>NR</x:v>
      </x:c>
      <x:c r="Y87" s="2" t="str">
        <x:v>NR</x:v>
      </x:c>
      <x:c r="Z87" s="2" t="str">
        <x:v>No</x:v>
      </x:c>
      <x:c r="AA87" s="6" t="str">
        <x:v>p. 6; Table 4</x:v>
      </x:c>
      <x:c r="AB87" s="6" t="str">
        <x:v>95.8% ± 0.0%</x:v>
      </x:c>
      <x:c r="AC87" s="6" t="str">
        <x:v>LLAMA 3 70B在GBGE上的F1</x:v>
      </x:c>
      <x:c r="AD87" s="2" t="str">
        <x:v>Accepted</x:v>
      </x:c>
      <x:c r="AE87" s="6" t="str">
        <x:v>NA</x:v>
      </x:c>
    </x:row>
    <x:row r="88" ht="76" customHeight="1">
      <x:c r="A88" s="2" t="str">
        <x:v>S07-RESULT-R25</x:v>
      </x:c>
      <x:c r="B88" s="2" t="str">
        <x:v>S07</x:v>
      </x:c>
      <x:c r="C88" s="2" t="str">
        <x:v>merged_0110</x:v>
      </x:c>
      <x:c r="D88" s="2" t="str">
        <x:v>Reviewer_A</x:v>
      </x:c>
      <x:c r="E88" s="2" t="str">
        <x:v>Reviewer_A</x:v>
      </x:c>
      <x:c r="F88" s="2" t="str">
        <x:v>S07-R25</x:v>
      </x:c>
      <x:c r="G88" s="2" t="str">
        <x:v>S07-EV01</x:v>
      </x:c>
      <x:c r="H88" s="2" t="str">
        <x:v>S07-T01</x:v>
      </x:c>
      <x:c r="I88" s="2" t="str">
        <x:v>S07-MU04</x:v>
      </x:c>
      <x:c r="J88" s="2" t="str">
        <x:v>GBGE</x:v>
      </x:c>
      <x:c r="K88" s="2" t="str">
        <x:v>BASE prompt</x:v>
      </x:c>
      <x:c r="L88" s="2" t="str">
        <x:v>No</x:v>
      </x:c>
      <x:c r="M88" s="2" t="str">
        <x:v>Precision</x:v>
      </x:c>
      <x:c r="N88" s="6" t="str">
        <x:v>94.8% ± 0.0%</x:v>
      </x:c>
      <x:c r="O88" s="2" t="n">
        <x:v>94.8</x:v>
      </x:c>
      <x:c r="P88" s="2" t="str">
        <x:v>%</x:v>
      </x:c>
      <x:c r="Q88" s="6" t="str">
        <x:v>No</x:v>
      </x:c>
      <x:c r="R88" s="2" t="str">
        <x:v>NA</x:v>
      </x:c>
      <x:c r="S88" s="2" t="str">
        <x:v>± 0.0%</x:v>
      </x:c>
      <x:c r="T88" s="2" t="str">
        <x:v>Not compared</x:v>
      </x:c>
      <x:c r="U88" s="2" t="str">
        <x:v>Not tested</x:v>
      </x:c>
      <x:c r="V88" s="2" t="str">
        <x:v>NR</x:v>
      </x:c>
      <x:c r="W88" s="2" t="str">
        <x:v>NR</x:v>
      </x:c>
      <x:c r="X88" s="2" t="str">
        <x:v>NR</x:v>
      </x:c>
      <x:c r="Y88" s="2" t="str">
        <x:v>NR</x:v>
      </x:c>
      <x:c r="Z88" s="2" t="str">
        <x:v>No</x:v>
      </x:c>
      <x:c r="AA88" s="6" t="str">
        <x:v>p. 6; Table 4</x:v>
      </x:c>
      <x:c r="AB88" s="6" t="str">
        <x:v>94.8% ± 0.0%</x:v>
      </x:c>
      <x:c r="AC88" s="6" t="str">
        <x:v>Mistral 7B在GBGE上的精度</x:v>
      </x:c>
      <x:c r="AD88" s="2" t="str">
        <x:v>Accepted</x:v>
      </x:c>
      <x:c r="AE88" s="6" t="str">
        <x:v>NA</x:v>
      </x:c>
    </x:row>
    <x:row r="89" ht="76" customHeight="1">
      <x:c r="A89" s="2" t="str">
        <x:v>S07-RESULT-R26</x:v>
      </x:c>
      <x:c r="B89" s="2" t="str">
        <x:v>S07</x:v>
      </x:c>
      <x:c r="C89" s="2" t="str">
        <x:v>merged_0110</x:v>
      </x:c>
      <x:c r="D89" s="2" t="str">
        <x:v>Reviewer_A</x:v>
      </x:c>
      <x:c r="E89" s="2" t="str">
        <x:v>Reviewer_A</x:v>
      </x:c>
      <x:c r="F89" s="2" t="str">
        <x:v>S07-R26</x:v>
      </x:c>
      <x:c r="G89" s="2" t="str">
        <x:v>S07-EV01</x:v>
      </x:c>
      <x:c r="H89" s="2" t="str">
        <x:v>S07-T01</x:v>
      </x:c>
      <x:c r="I89" s="2" t="str">
        <x:v>S07-MU04</x:v>
      </x:c>
      <x:c r="J89" s="2" t="str">
        <x:v>GBGE</x:v>
      </x:c>
      <x:c r="K89" s="2" t="str">
        <x:v>BASE prompt</x:v>
      </x:c>
      <x:c r="L89" s="2" t="str">
        <x:v>No</x:v>
      </x:c>
      <x:c r="M89" s="2" t="str">
        <x:v>Recall</x:v>
      </x:c>
      <x:c r="N89" s="6" t="str">
        <x:v>91.3% ± 0.0%</x:v>
      </x:c>
      <x:c r="O89" s="2" t="n">
        <x:v>91.3</x:v>
      </x:c>
      <x:c r="P89" s="2" t="str">
        <x:v>%</x:v>
      </x:c>
      <x:c r="Q89" s="6" t="str">
        <x:v>No</x:v>
      </x:c>
      <x:c r="R89" s="2" t="str">
        <x:v>NA</x:v>
      </x:c>
      <x:c r="S89" s="2" t="str">
        <x:v>± 0.0%</x:v>
      </x:c>
      <x:c r="T89" s="2" t="str">
        <x:v>Not compared</x:v>
      </x:c>
      <x:c r="U89" s="2" t="str">
        <x:v>Not tested</x:v>
      </x:c>
      <x:c r="V89" s="2" t="str">
        <x:v>NR</x:v>
      </x:c>
      <x:c r="W89" s="2" t="str">
        <x:v>NR</x:v>
      </x:c>
      <x:c r="X89" s="2" t="str">
        <x:v>NR</x:v>
      </x:c>
      <x:c r="Y89" s="2" t="str">
        <x:v>NR</x:v>
      </x:c>
      <x:c r="Z89" s="2" t="str">
        <x:v>No</x:v>
      </x:c>
      <x:c r="AA89" s="6" t="str">
        <x:v>p. 6; Table 4</x:v>
      </x:c>
      <x:c r="AB89" s="6" t="str">
        <x:v>91.3% ± 0.0%</x:v>
      </x:c>
      <x:c r="AC89" s="6" t="str">
        <x:v>Mistral 7B在GBGE上的召回率</x:v>
      </x:c>
      <x:c r="AD89" s="2" t="str">
        <x:v>Accepted</x:v>
      </x:c>
      <x:c r="AE89" s="6" t="str">
        <x:v>NA</x:v>
      </x:c>
    </x:row>
    <x:row r="90" ht="76" customHeight="1">
      <x:c r="A90" s="2" t="str">
        <x:v>S07-RESULT-R27</x:v>
      </x:c>
      <x:c r="B90" s="2" t="str">
        <x:v>S07</x:v>
      </x:c>
      <x:c r="C90" s="2" t="str">
        <x:v>merged_0110</x:v>
      </x:c>
      <x:c r="D90" s="2" t="str">
        <x:v>Reviewer_A</x:v>
      </x:c>
      <x:c r="E90" s="2" t="str">
        <x:v>Reviewer_A</x:v>
      </x:c>
      <x:c r="F90" s="2" t="str">
        <x:v>S07-R27</x:v>
      </x:c>
      <x:c r="G90" s="2" t="str">
        <x:v>S07-EV01</x:v>
      </x:c>
      <x:c r="H90" s="2" t="str">
        <x:v>S07-T01</x:v>
      </x:c>
      <x:c r="I90" s="2" t="str">
        <x:v>S07-MU04</x:v>
      </x:c>
      <x:c r="J90" s="2" t="str">
        <x:v>GBGE</x:v>
      </x:c>
      <x:c r="K90" s="2" t="str">
        <x:v>BASE prompt</x:v>
      </x:c>
      <x:c r="L90" s="2" t="str">
        <x:v>No</x:v>
      </x:c>
      <x:c r="M90" s="2" t="str">
        <x:v>F1-score</x:v>
      </x:c>
      <x:c r="N90" s="6" t="str">
        <x:v>93.0% ± 0.5%</x:v>
      </x:c>
      <x:c r="O90" s="2" t="n">
        <x:v>93</x:v>
      </x:c>
      <x:c r="P90" s="2" t="str">
        <x:v>%</x:v>
      </x:c>
      <x:c r="Q90" s="6" t="str">
        <x:v>No</x:v>
      </x:c>
      <x:c r="R90" s="2" t="str">
        <x:v>NA</x:v>
      </x:c>
      <x:c r="S90" s="2" t="str">
        <x:v>± 0.5%</x:v>
      </x:c>
      <x:c r="T90" s="2" t="str">
        <x:v>Not compared</x:v>
      </x:c>
      <x:c r="U90" s="2" t="str">
        <x:v>Not tested</x:v>
      </x:c>
      <x:c r="V90" s="2" t="str">
        <x:v>NR</x:v>
      </x:c>
      <x:c r="W90" s="2" t="str">
        <x:v>NR</x:v>
      </x:c>
      <x:c r="X90" s="2" t="str">
        <x:v>NR</x:v>
      </x:c>
      <x:c r="Y90" s="2" t="str">
        <x:v>NR</x:v>
      </x:c>
      <x:c r="Z90" s="2" t="str">
        <x:v>No</x:v>
      </x:c>
      <x:c r="AA90" s="6" t="str">
        <x:v>p. 6; Table 4</x:v>
      </x:c>
      <x:c r="AB90" s="6" t="str">
        <x:v>93.0% ± 0.5%</x:v>
      </x:c>
      <x:c r="AC90" s="6" t="str">
        <x:v>Mistral 7B在GBGE上的F1</x:v>
      </x:c>
      <x:c r="AD90" s="2" t="str">
        <x:v>Accepted</x:v>
      </x:c>
      <x:c r="AE90" s="6" t="str">
        <x:v>NA</x:v>
      </x:c>
    </x:row>
    <x:row r="91" ht="76" customHeight="1">
      <x:c r="A91" s="2" t="str">
        <x:v>S07-RESULT-R28</x:v>
      </x:c>
      <x:c r="B91" s="2" t="str">
        <x:v>S07</x:v>
      </x:c>
      <x:c r="C91" s="2" t="str">
        <x:v>merged_0110</x:v>
      </x:c>
      <x:c r="D91" s="2" t="str">
        <x:v>Reviewer_A</x:v>
      </x:c>
      <x:c r="E91" s="2" t="str">
        <x:v>Reviewer_A</x:v>
      </x:c>
      <x:c r="F91" s="2" t="str">
        <x:v>S07-R28</x:v>
      </x:c>
      <x:c r="G91" s="2" t="str">
        <x:v>S07-EV01</x:v>
      </x:c>
      <x:c r="H91" s="2" t="str">
        <x:v>S07-T01</x:v>
      </x:c>
      <x:c r="I91" s="2" t="str">
        <x:v>S07-MU05</x:v>
      </x:c>
      <x:c r="J91" s="2" t="str">
        <x:v>GBGE</x:v>
      </x:c>
      <x:c r="K91" s="2" t="str">
        <x:v>BASE prompt</x:v>
      </x:c>
      <x:c r="L91" s="2" t="str">
        <x:v>No</x:v>
      </x:c>
      <x:c r="M91" s="2" t="str">
        <x:v>Precision</x:v>
      </x:c>
      <x:c r="N91" s="6" t="str">
        <x:v>97.8% ± 0.0%</x:v>
      </x:c>
      <x:c r="O91" s="2" t="n">
        <x:v>97.8</x:v>
      </x:c>
      <x:c r="P91" s="2" t="str">
        <x:v>%</x:v>
      </x:c>
      <x:c r="Q91" s="6" t="str">
        <x:v>No</x:v>
      </x:c>
      <x:c r="R91" s="2" t="str">
        <x:v>NA</x:v>
      </x:c>
      <x:c r="S91" s="2" t="str">
        <x:v>± 0.0%</x:v>
      </x:c>
      <x:c r="T91" s="2" t="str">
        <x:v>Not compared</x:v>
      </x:c>
      <x:c r="U91" s="2" t="str">
        <x:v>Not tested</x:v>
      </x:c>
      <x:c r="V91" s="2" t="str">
        <x:v>NR</x:v>
      </x:c>
      <x:c r="W91" s="2" t="str">
        <x:v>NR</x:v>
      </x:c>
      <x:c r="X91" s="2" t="str">
        <x:v>NR</x:v>
      </x:c>
      <x:c r="Y91" s="2" t="str">
        <x:v>NR</x:v>
      </x:c>
      <x:c r="Z91" s="2" t="str">
        <x:v>No</x:v>
      </x:c>
      <x:c r="AA91" s="6" t="str">
        <x:v>p. 6; Table 4</x:v>
      </x:c>
      <x:c r="AB91" s="6" t="str">
        <x:v>97.8% ± 0.0%</x:v>
      </x:c>
      <x:c r="AC91" s="6" t="str">
        <x:v>Mixtral 8x7B在GBGE上的精度</x:v>
      </x:c>
      <x:c r="AD91" s="2" t="str">
        <x:v>Accepted</x:v>
      </x:c>
      <x:c r="AE91" s="6" t="str">
        <x:v>NA</x:v>
      </x:c>
    </x:row>
    <x:row r="92" ht="76" customHeight="1">
      <x:c r="A92" s="2" t="str">
        <x:v>S07-RESULT-R29</x:v>
      </x:c>
      <x:c r="B92" s="2" t="str">
        <x:v>S07</x:v>
      </x:c>
      <x:c r="C92" s="2" t="str">
        <x:v>merged_0110</x:v>
      </x:c>
      <x:c r="D92" s="2" t="str">
        <x:v>Reviewer_A</x:v>
      </x:c>
      <x:c r="E92" s="2" t="str">
        <x:v>Reviewer_A</x:v>
      </x:c>
      <x:c r="F92" s="2" t="str">
        <x:v>S07-R29</x:v>
      </x:c>
      <x:c r="G92" s="2" t="str">
        <x:v>S07-EV01</x:v>
      </x:c>
      <x:c r="H92" s="2" t="str">
        <x:v>S07-T01</x:v>
      </x:c>
      <x:c r="I92" s="2" t="str">
        <x:v>S07-MU05</x:v>
      </x:c>
      <x:c r="J92" s="2" t="str">
        <x:v>GBGE</x:v>
      </x:c>
      <x:c r="K92" s="2" t="str">
        <x:v>BASE prompt</x:v>
      </x:c>
      <x:c r="L92" s="2" t="str">
        <x:v>No</x:v>
      </x:c>
      <x:c r="M92" s="2" t="str">
        <x:v>Recall</x:v>
      </x:c>
      <x:c r="N92" s="6" t="str">
        <x:v>97.8% ± 0.0%</x:v>
      </x:c>
      <x:c r="O92" s="2" t="n">
        <x:v>97.8</x:v>
      </x:c>
      <x:c r="P92" s="2" t="str">
        <x:v>%</x:v>
      </x:c>
      <x:c r="Q92" s="6" t="str">
        <x:v>No</x:v>
      </x:c>
      <x:c r="R92" s="2" t="str">
        <x:v>NA</x:v>
      </x:c>
      <x:c r="S92" s="2" t="str">
        <x:v>± 0.0%</x:v>
      </x:c>
      <x:c r="T92" s="2" t="str">
        <x:v>Not compared</x:v>
      </x:c>
      <x:c r="U92" s="2" t="str">
        <x:v>Not tested</x:v>
      </x:c>
      <x:c r="V92" s="2" t="str">
        <x:v>NR</x:v>
      </x:c>
      <x:c r="W92" s="2" t="str">
        <x:v>NR</x:v>
      </x:c>
      <x:c r="X92" s="2" t="str">
        <x:v>NR</x:v>
      </x:c>
      <x:c r="Y92" s="2" t="str">
        <x:v>NR</x:v>
      </x:c>
      <x:c r="Z92" s="2" t="str">
        <x:v>No</x:v>
      </x:c>
      <x:c r="AA92" s="6" t="str">
        <x:v>p. 6; Table 4</x:v>
      </x:c>
      <x:c r="AB92" s="6" t="str">
        <x:v>97.8% ± 0.0%</x:v>
      </x:c>
      <x:c r="AC92" s="6" t="str">
        <x:v>Mixtral 8x7B在GBGE上的召回率</x:v>
      </x:c>
      <x:c r="AD92" s="2" t="str">
        <x:v>Accepted</x:v>
      </x:c>
      <x:c r="AE92" s="6" t="str">
        <x:v>NA</x:v>
      </x:c>
    </x:row>
    <x:row r="93" ht="76" customHeight="1">
      <x:c r="A93" s="2" t="str">
        <x:v>S07-RESULT-R30</x:v>
      </x:c>
      <x:c r="B93" s="2" t="str">
        <x:v>S07</x:v>
      </x:c>
      <x:c r="C93" s="2" t="str">
        <x:v>merged_0110</x:v>
      </x:c>
      <x:c r="D93" s="2" t="str">
        <x:v>Reviewer_A</x:v>
      </x:c>
      <x:c r="E93" s="2" t="str">
        <x:v>Reviewer_A</x:v>
      </x:c>
      <x:c r="F93" s="2" t="str">
        <x:v>S07-R30</x:v>
      </x:c>
      <x:c r="G93" s="2" t="str">
        <x:v>S07-EV01</x:v>
      </x:c>
      <x:c r="H93" s="2" t="str">
        <x:v>S07-T01</x:v>
      </x:c>
      <x:c r="I93" s="2" t="str">
        <x:v>S07-MU05</x:v>
      </x:c>
      <x:c r="J93" s="2" t="str">
        <x:v>GBGE</x:v>
      </x:c>
      <x:c r="K93" s="2" t="str">
        <x:v>BASE prompt</x:v>
      </x:c>
      <x:c r="L93" s="2" t="str">
        <x:v>No</x:v>
      </x:c>
      <x:c r="M93" s="2" t="str">
        <x:v>F1-score</x:v>
      </x:c>
      <x:c r="N93" s="6" t="str">
        <x:v>97.8% ± 0.0%</x:v>
      </x:c>
      <x:c r="O93" s="2" t="n">
        <x:v>97.8</x:v>
      </x:c>
      <x:c r="P93" s="2" t="str">
        <x:v>%</x:v>
      </x:c>
      <x:c r="Q93" s="6" t="str">
        <x:v>No</x:v>
      </x:c>
      <x:c r="R93" s="2" t="str">
        <x:v>NA</x:v>
      </x:c>
      <x:c r="S93" s="2" t="str">
        <x:v>± 0.0%</x:v>
      </x:c>
      <x:c r="T93" s="2" t="str">
        <x:v>Not compared</x:v>
      </x:c>
      <x:c r="U93" s="2" t="str">
        <x:v>Not tested</x:v>
      </x:c>
      <x:c r="V93" s="2" t="str">
        <x:v>NR</x:v>
      </x:c>
      <x:c r="W93" s="2" t="str">
        <x:v>NR</x:v>
      </x:c>
      <x:c r="X93" s="2" t="str">
        <x:v>NR</x:v>
      </x:c>
      <x:c r="Y93" s="2" t="str">
        <x:v>NR</x:v>
      </x:c>
      <x:c r="Z93" s="2" t="str">
        <x:v>No</x:v>
      </x:c>
      <x:c r="AA93" s="6" t="str">
        <x:v>p. 6; Table 4</x:v>
      </x:c>
      <x:c r="AB93" s="6" t="str">
        <x:v>97.8% ± 0.0%</x:v>
      </x:c>
      <x:c r="AC93" s="6" t="str">
        <x:v>Mixtral 8x7B在GBGE上的F1</x:v>
      </x:c>
      <x:c r="AD93" s="2" t="str">
        <x:v>Accepted</x:v>
      </x:c>
      <x:c r="AE93" s="6" t="str">
        <x:v>NA</x:v>
      </x:c>
    </x:row>
    <x:row r="94" ht="76" customHeight="1">
      <x:c r="A94" s="2" t="str">
        <x:v>S07-RESULT-R31</x:v>
      </x:c>
      <x:c r="B94" s="2" t="str">
        <x:v>S07</x:v>
      </x:c>
      <x:c r="C94" s="2" t="str">
        <x:v>merged_0110</x:v>
      </x:c>
      <x:c r="D94" s="2" t="str">
        <x:v>Reviewer_A</x:v>
      </x:c>
      <x:c r="E94" s="2" t="str">
        <x:v>Reviewer_A</x:v>
      </x:c>
      <x:c r="F94" s="2" t="str">
        <x:v>S07-R31</x:v>
      </x:c>
      <x:c r="G94" s="2" t="str">
        <x:v>S07-EV02</x:v>
      </x:c>
      <x:c r="H94" s="2" t="str">
        <x:v>S07-T01</x:v>
      </x:c>
      <x:c r="I94" s="2" t="str">
        <x:v>S07-MU03</x:v>
      </x:c>
      <x:c r="J94" s="2" t="str">
        <x:v>GBGE</x:v>
      </x:c>
      <x:c r="K94" s="2" t="str">
        <x:v>Most prompts (average)</x:v>
      </x:c>
      <x:c r="L94" s="2" t="str">
        <x:v>Other models (GPT-4 best recall)</x:v>
      </x:c>
      <x:c r="M94" s="2" t="str">
        <x:v>Recall</x:v>
      </x:c>
      <x:c r="N94" s="6" t="str">
        <x:v>100% average recall across most prompts</x:v>
      </x:c>
      <x:c r="O94" s="2" t="n">
        <x:v>100</x:v>
      </x:c>
      <x:c r="P94" s="2" t="str">
        <x:v>%</x:v>
      </x:c>
      <x:c r="Q94" s="6" t="str">
        <x:v>GPT-4 95.7% (BASE)</x:v>
      </x:c>
      <x:c r="R94" s="2" t="n">
        <x:v>95.7</x:v>
      </x:c>
      <x:c r="S94" s="2" t="str">
        <x:v>NR</x:v>
      </x:c>
      <x:c r="T94" s="2" t="str">
        <x:v>Better</x:v>
      </x:c>
      <x:c r="U94" s="2" t="str">
        <x:v>Significant</x:v>
      </x:c>
      <x:c r="V94" s="2" t="str">
        <x:v>LLAMA achieves perfect recall on GBGE</x:v>
      </x:c>
      <x:c r="W94" s="2" t="str">
        <x:v>NR</x:v>
      </x:c>
      <x:c r="X94" s="2" t="str">
        <x:v>NR</x:v>
      </x:c>
      <x:c r="Y94" s="2" t="str">
        <x:v>NR</x:v>
      </x:c>
      <x:c r="Z94" s="2" t="str">
        <x:v>No</x:v>
      </x:c>
      <x:c r="AA94" s="6" t="str">
        <x:v>p. 8; Section 5.2</x:v>
      </x:c>
      <x:c r="AB94" s="6" t="str">
        <x:v>LLAMA consistently achieves 100% average recall with most prompts on the GBGE dataset.</x:v>
      </x:c>
      <x:c r="AC94" s="6" t="str">
        <x:v>LLAMA 3在多数提示下在GBGE上达到100%平均召回率</x:v>
      </x:c>
      <x:c r="AD94" s="2" t="str">
        <x:v>Accepted</x:v>
      </x:c>
      <x:c r="AE94" s="6" t="str">
        <x:v>statistical_significance原值: Significant (p &lt; 0.001 Kruskal-Wallis)</x:v>
      </x:c>
    </x:row>
    <x:row r="95" ht="76" customHeight="1">
      <x:c r="A95" s="2" t="str">
        <x:v>S07-RESULT-R32</x:v>
      </x:c>
      <x:c r="B95" s="2" t="str">
        <x:v>S07</x:v>
      </x:c>
      <x:c r="C95" s="2" t="str">
        <x:v>merged_0110</x:v>
      </x:c>
      <x:c r="D95" s="2" t="str">
        <x:v>Reviewer_A</x:v>
      </x:c>
      <x:c r="E95" s="2" t="str">
        <x:v>Reviewer_A</x:v>
      </x:c>
      <x:c r="F95" s="2" t="str">
        <x:v>S07-R32</x:v>
      </x:c>
      <x:c r="G95" s="2" t="str">
        <x:v>S07-EV02</x:v>
      </x:c>
      <x:c r="H95" s="2" t="str">
        <x:v>S07-T01</x:v>
      </x:c>
      <x:c r="I95" s="2" t="str">
        <x:v>S07-MU01</x:v>
      </x:c>
      <x:c r="J95" s="2" t="str">
        <x:v>GBGE</x:v>
      </x:c>
      <x:c r="K95" s="2" t="str">
        <x:v>PT5 (DO + RS + ReOP)</x:v>
      </x:c>
      <x:c r="L95" s="2" t="str">
        <x:v>NR</x:v>
      </x:c>
      <x:c r="M95" s="2" t="str">
        <x:v>Precision standard deviation</x:v>
      </x:c>
      <x:c r="N95" s="6" t="str">
        <x:v>12.91%</x:v>
      </x:c>
      <x:c r="O95" s="2" t="n">
        <x:v>12.91</x:v>
      </x:c>
      <x:c r="P95" s="2" t="str">
        <x:v>%</x:v>
      </x:c>
      <x:c r="Q95" s="6" t="str">
        <x:v>NR</x:v>
      </x:c>
      <x:c r="R95" s="2" t="str">
        <x:v>Unclear</x:v>
      </x:c>
      <x:c r="S95" s="2" t="str">
        <x:v>NR</x:v>
      </x:c>
      <x:c r="T95" s="2" t="str">
        <x:v>Worse</x:v>
      </x:c>
      <x:c r="U95" s="2" t="str">
        <x:v>Not tested</x:v>
      </x:c>
      <x:c r="V95" s="2" t="str">
        <x:v>High variance indicates instability</x:v>
      </x:c>
      <x:c r="W95" s="2" t="str">
        <x:v>NR</x:v>
      </x:c>
      <x:c r="X95" s="2" t="str">
        <x:v>NR</x:v>
      </x:c>
      <x:c r="Y95" s="2" t="str">
        <x:v>NR</x:v>
      </x:c>
      <x:c r="Z95" s="2" t="str">
        <x:v>No</x:v>
      </x:c>
      <x:c r="AA95" s="6" t="str">
        <x:v>p. 6; Section 5.2</x:v>
      </x:c>
      <x:c r="AB95" s="6" t="str">
        <x:v>GPT-3.5 with PT5 shows the highest standard deviation — 12.91% in precision.</x:v>
      </x:c>
      <x:c r="AC95" s="6" t="str">
        <x:v>GPT-3.5搭配PT5提示时精度标准差高达12.91%</x:v>
      </x:c>
      <x:c r="AD95" s="2" t="str">
        <x:v>Accepted</x:v>
      </x:c>
      <x:c r="AE95" s="6" t="str">
        <x:v>NA</x:v>
      </x:c>
    </x:row>
    <x:row r="96" ht="76" customHeight="1">
      <x:c r="A96" s="2" t="str">
        <x:v>S07-RESULT-R33</x:v>
      </x:c>
      <x:c r="B96" s="2" t="str">
        <x:v>S07</x:v>
      </x:c>
      <x:c r="C96" s="2" t="str">
        <x:v>merged_0110</x:v>
      </x:c>
      <x:c r="D96" s="2" t="str">
        <x:v>Reviewer_A</x:v>
      </x:c>
      <x:c r="E96" s="2" t="str">
        <x:v>Reviewer_A</x:v>
      </x:c>
      <x:c r="F96" s="2" t="str">
        <x:v>S07-R33</x:v>
      </x:c>
      <x:c r="G96" s="2" t="str">
        <x:v>S07-EV02</x:v>
      </x:c>
      <x:c r="H96" s="2" t="str">
        <x:v>S07-T01</x:v>
      </x:c>
      <x:c r="I96" s="2" t="str">
        <x:v>S07-MU01</x:v>
      </x:c>
      <x:c r="J96" s="2" t="str">
        <x:v>BTHS</x:v>
      </x:c>
      <x:c r="K96" s="2" t="str">
        <x:v>PT4 variant: NO + ReOP + RS, temperature 0.1</x:v>
      </x:c>
      <x:c r="L96" s="2" t="str">
        <x:v>NR</x:v>
      </x:c>
      <x:c r="M96" s="2" t="str">
        <x:v>Precision</x:v>
      </x:c>
      <x:c r="N96" s="6" t="str">
        <x:v>0.0 ± 0.0</x:v>
      </x:c>
      <x:c r="O96" s="2" t="n">
        <x:v>0</x:v>
      </x:c>
      <x:c r="P96" s="2" t="str">
        <x:v>%</x:v>
      </x:c>
      <x:c r="Q96" s="6" t="str">
        <x:v>NR</x:v>
      </x:c>
      <x:c r="R96" s="2" t="str">
        <x:v>Unclear</x:v>
      </x:c>
      <x:c r="S96" s="2" t="str">
        <x:v>± 0.0</x:v>
      </x:c>
      <x:c r="T96" s="2" t="str">
        <x:v>Worse</x:v>
      </x:c>
      <x:c r="U96" s="2" t="str">
        <x:v>Not tested</x:v>
      </x:c>
      <x:c r="V96" s="2" t="str">
        <x:v>Complete failure (precision=0)</x:v>
      </x:c>
      <x:c r="W96" s="2" t="str">
        <x:v>NR</x:v>
      </x:c>
      <x:c r="X96" s="2" t="str">
        <x:v>NR</x:v>
      </x:c>
      <x:c r="Y96" s="2" t="str">
        <x:v>Zero precision indicates all links incorrect or no output</x:v>
      </x:c>
      <x:c r="Z96" s="2" t="str">
        <x:v>Yes</x:v>
      </x:c>
      <x:c r="AA96" s="6" t="str">
        <x:v>p. 8; Table 6</x:v>
      </x:c>
      <x:c r="AB96" s="6" t="str">
        <x:v>0.0 ± 0.0</x:v>
      </x:c>
      <x:c r="AC96" s="6" t="str">
        <x:v>GPT-3.5在特定提示组合下精度降为0</x:v>
      </x:c>
      <x:c r="AD96" s="2" t="str">
        <x:v>Accepted</x:v>
      </x:c>
      <x:c r="AE96" s="6" t="str">
        <x:v>NA</x:v>
      </x:c>
    </x:row>
    <x:row r="97" ht="76" customHeight="1">
      <x:c r="A97" s="2" t="str">
        <x:v>S08-RESULT-R01</x:v>
      </x:c>
      <x:c r="B97" s="2" t="str">
        <x:v>S08</x:v>
      </x:c>
      <x:c r="C97" s="2" t="str">
        <x:v>merged_0256</x:v>
      </x:c>
      <x:c r="D97" s="2" t="str">
        <x:v>Reviewer_A</x:v>
      </x:c>
      <x:c r="E97" s="2" t="str">
        <x:v>Reviewer_A</x:v>
      </x:c>
      <x:c r="F97" s="2" t="str">
        <x:v>S08-R01</x:v>
      </x:c>
      <x:c r="G97" s="2" t="str">
        <x:v>S08-EV01</x:v>
      </x:c>
      <x:c r="H97" s="2" t="str">
        <x:v>S08-T01</x:v>
      </x:c>
      <x:c r="I97" s="2" t="str">
        <x:v>S08-MU03</x:v>
      </x:c>
      <x:c r="J97" s="2" t="str">
        <x:v>CM1, CCHIT, GANTT, IP, WARC (filtered and fabricated)</x:v>
      </x:c>
      <x:c r="K97" s="2" t="str">
        <x:v>zS</x:v>
      </x:c>
      <x:c r="L97" s="2" t="str">
        <x:v>No</x:v>
      </x:c>
      <x:c r="M97" s="2" t="str">
        <x:v>Recall_c</x:v>
      </x:c>
      <x:c r="N97" s="6" t="str">
        <x:v>0.97</x:v>
      </x:c>
      <x:c r="O97" s="2" t="n">
        <x:v>0.97</x:v>
      </x:c>
      <x:c r="P97" s="2" t="str">
        <x:v>proportion</x:v>
      </x:c>
      <x:c r="Q97" s="6" t="str">
        <x:v>NR</x:v>
      </x:c>
      <x:c r="R97" s="2" t="str">
        <x:v>NR</x:v>
      </x:c>
      <x:c r="S97" s="2" t="str">
        <x:v>NR</x:v>
      </x:c>
      <x:c r="T97" s="2" t="str">
        <x:v>Not compared</x:v>
      </x:c>
      <x:c r="U97" s="2" t="str">
        <x:v>Not tested</x:v>
      </x:c>
      <x:c r="V97" s="2" t="str">
        <x:v>NR</x:v>
      </x:c>
      <x:c r="W97" s="2" t="str">
        <x:v>NR</x:v>
      </x:c>
      <x:c r="X97" s="2" t="str">
        <x:v>NR</x:v>
      </x:c>
      <x:c r="Y97" s="2" t="str">
        <x:v>NR</x:v>
      </x:c>
      <x:c r="Z97" s="2" t="str">
        <x:v>No</x:v>
      </x:c>
      <x:c r="AA97" s="6" t="str">
        <x:v>p. 7; Table 2</x:v>
      </x:c>
      <x:c r="AB97" s="6" t="str">
        <x:v>CCHIT 70 2 6 66 0.51 0.97 0.67 0.80 0.05 0.10</x:v>
      </x:c>
      <x:c r="AC97" s="6" t="str">
        <x:v>GPT-3.5 zS在CCHIT数据集上覆盖召回率高达0.97。</x:v>
      </x:c>
      <x:c r="AD97" s="2" t="str">
        <x:v>Accepted</x:v>
      </x:c>
      <x:c r="AE97" s="6" t="str">
        <x:v>NR</x:v>
      </x:c>
    </x:row>
    <x:row r="98" ht="76" customHeight="1">
      <x:c r="A98" s="2" t="str">
        <x:v>S08-RESULT-R02</x:v>
      </x:c>
      <x:c r="B98" s="2" t="str">
        <x:v>S08</x:v>
      </x:c>
      <x:c r="C98" s="2" t="str">
        <x:v>merged_0256</x:v>
      </x:c>
      <x:c r="D98" s="2" t="str">
        <x:v>Reviewer_A</x:v>
      </x:c>
      <x:c r="E98" s="2" t="str">
        <x:v>Reviewer_A</x:v>
      </x:c>
      <x:c r="F98" s="2" t="str">
        <x:v>S08-R02</x:v>
      </x:c>
      <x:c r="G98" s="2" t="str">
        <x:v>S08-EV01</x:v>
      </x:c>
      <x:c r="H98" s="2" t="str">
        <x:v>S08-T01</x:v>
      </x:c>
      <x:c r="I98" s="2" t="str">
        <x:v>S08-MU03</x:v>
      </x:c>
      <x:c r="J98" s="2" t="str">
        <x:v>CM1, CCHIT, GANTT, IP, WARC (filtered and fabricated)</x:v>
      </x:c>
      <x:c r="K98" s="2" t="str">
        <x:v>zS+expl.</x:v>
      </x:c>
      <x:c r="L98" s="2" t="str">
        <x:v>No</x:v>
      </x:c>
      <x:c r="M98" s="2" t="str">
        <x:v>Precision_c</x:v>
      </x:c>
      <x:c r="N98" s="6" t="str">
        <x:v>1.00</x:v>
      </x:c>
      <x:c r="O98" s="2" t="n">
        <x:v>1</x:v>
      </x:c>
      <x:c r="P98" s="2" t="str">
        <x:v>proportion</x:v>
      </x:c>
      <x:c r="Q98" s="6" t="str">
        <x:v>NR</x:v>
      </x:c>
      <x:c r="R98" s="2" t="str">
        <x:v>NR</x:v>
      </x:c>
      <x:c r="S98" s="2" t="str">
        <x:v>NR</x:v>
      </x:c>
      <x:c r="T98" s="2" t="str">
        <x:v>Not compared</x:v>
      </x:c>
      <x:c r="U98" s="2" t="str">
        <x:v>Not tested</x:v>
      </x:c>
      <x:c r="V98" s="2" t="str">
        <x:v>NR</x:v>
      </x:c>
      <x:c r="W98" s="2" t="str">
        <x:v>NR</x:v>
      </x:c>
      <x:c r="X98" s="2" t="str">
        <x:v>NR</x:v>
      </x:c>
      <x:c r="Y98" s="2" t="str">
        <x:v>NR</x:v>
      </x:c>
      <x:c r="Z98" s="2" t="str">
        <x:v>No</x:v>
      </x:c>
      <x:c r="AA98" s="6" t="str">
        <x:v>p. 7; Table 2</x:v>
      </x:c>
      <x:c r="AB98" s="6" t="str">
        <x:v>WARC 58 2 16 44 0.57 0.97 0.72 0.94 0.26 0.41 54 6 60 0 1.00 0.90 0.95 0.93 1.00 0.96</x:v>
      </x:c>
      <x:c r="AC98" s="6" t="str">
        <x:v>GPT-3.5 zS+expl.在WARC数据集上覆盖精确率达到1.00。</x:v>
      </x:c>
      <x:c r="AD98" s="2" t="str">
        <x:v>Accepted</x:v>
      </x:c>
      <x:c r="AE98" s="6" t="str">
        <x:v>NR</x:v>
      </x:c>
    </x:row>
    <x:row r="99" ht="76" customHeight="1">
      <x:c r="A99" s="2" t="str">
        <x:v>S08-RESULT-R03</x:v>
      </x:c>
      <x:c r="B99" s="2" t="str">
        <x:v>S08</x:v>
      </x:c>
      <x:c r="C99" s="2" t="str">
        <x:v>merged_0256</x:v>
      </x:c>
      <x:c r="D99" s="2" t="str">
        <x:v>Reviewer_A</x:v>
      </x:c>
      <x:c r="E99" s="2" t="str">
        <x:v>Reviewer_A</x:v>
      </x:c>
      <x:c r="F99" s="2" t="str">
        <x:v>S08-R03</x:v>
      </x:c>
      <x:c r="G99" s="2" t="str">
        <x:v>S08-EV01</x:v>
      </x:c>
      <x:c r="H99" s="2" t="str">
        <x:v>S08-T01</x:v>
      </x:c>
      <x:c r="I99" s="2" t="str">
        <x:v>S08-MU03</x:v>
      </x:c>
      <x:c r="J99" s="2" t="str">
        <x:v>CM1, CCHIT, GANTT, IP, WARC (filtered and fabricated)</x:v>
      </x:c>
      <x:c r="K99" s="2" t="str">
        <x:v>zS+expl.</x:v>
      </x:c>
      <x:c r="L99" s="2" t="str">
        <x:v>No</x:v>
      </x:c>
      <x:c r="M99" s="2" t="str">
        <x:v>Recall_c</x:v>
      </x:c>
      <x:c r="N99" s="6" t="str">
        <x:v>0.24</x:v>
      </x:c>
      <x:c r="O99" s="2" t="n">
        <x:v>0.24</x:v>
      </x:c>
      <x:c r="P99" s="2" t="str">
        <x:v>proportion</x:v>
      </x:c>
      <x:c r="Q99" s="6" t="str">
        <x:v>NR</x:v>
      </x:c>
      <x:c r="R99" s="2" t="str">
        <x:v>NR</x:v>
      </x:c>
      <x:c r="S99" s="2" t="str">
        <x:v>NR</x:v>
      </x:c>
      <x:c r="T99" s="2" t="str">
        <x:v>Not compared</x:v>
      </x:c>
      <x:c r="U99" s="2" t="str">
        <x:v>Not tested</x:v>
      </x:c>
      <x:c r="V99" s="2" t="str">
        <x:v>NR</x:v>
      </x:c>
      <x:c r="W99" s="2" t="str">
        <x:v>NR</x:v>
      </x:c>
      <x:c r="X99" s="2" t="str">
        <x:v>NR</x:v>
      </x:c>
      <x:c r="Y99" s="2" t="str">
        <x:v>NR</x:v>
      </x:c>
      <x:c r="Z99" s="2" t="str">
        <x:v>Yes</x:v>
      </x:c>
      <x:c r="AA99" s="6" t="str">
        <x:v>p. 7; Table 2</x:v>
      </x:c>
      <x:c r="AB99" s="6" t="str">
        <x:v>CM1 121 28 47 102 0.54 0.81 0.65 0.65 0.24 0.36 36 113 123 26 0.58 0.24 0.34 0.52 0.80 0.63</x:v>
      </x:c>
      <x:c r="AC99" s="6" t="str">
        <x:v>GPT-3.5 zS+expl.在CM1数据集上覆盖召回率极低（0.24）。</x:v>
      </x:c>
      <x:c r="AD99" s="2" t="str">
        <x:v>Accepted</x:v>
      </x:c>
      <x:c r="AE99" s="6" t="str">
        <x:v>CM1表现异常差，可能由于领域术语陌生。</x:v>
      </x:c>
    </x:row>
    <x:row r="100" ht="76" customHeight="1">
      <x:c r="A100" s="2" t="str">
        <x:v>S08-RESULT-R04</x:v>
      </x:c>
      <x:c r="B100" s="2" t="str">
        <x:v>S08</x:v>
      </x:c>
      <x:c r="C100" s="2" t="str">
        <x:v>merged_0256</x:v>
      </x:c>
      <x:c r="D100" s="2" t="str">
        <x:v>Reviewer_A</x:v>
      </x:c>
      <x:c r="E100" s="2" t="str">
        <x:v>Reviewer_A</x:v>
      </x:c>
      <x:c r="F100" s="2" t="str">
        <x:v>S08-R04</x:v>
      </x:c>
      <x:c r="G100" s="2" t="str">
        <x:v>S08-EV02</x:v>
      </x:c>
      <x:c r="H100" s="2" t="str">
        <x:v>S08-T01</x:v>
      </x:c>
      <x:c r="I100" s="2" t="str">
        <x:v>S08-MU03</x:v>
      </x:c>
      <x:c r="J100" s="2" t="str">
        <x:v>CM1, CCHIT, GANTT, IP, WARC (Leave-One-Out subset)</x:v>
      </x:c>
      <x:c r="K100" s="2" t="str">
        <x:v>zS+expl.</x:v>
      </x:c>
      <x:c r="L100" s="2" t="str">
        <x:v>No</x:v>
      </x:c>
      <x:c r="M100" s="2" t="str">
        <x:v>Recall_ic</x:v>
      </x:c>
      <x:c r="N100" s="6" t="str">
        <x:v>1.00</x:v>
      </x:c>
      <x:c r="O100" s="2" t="n">
        <x:v>1</x:v>
      </x:c>
      <x:c r="P100" s="2" t="str">
        <x:v>proportion</x:v>
      </x:c>
      <x:c r="Q100" s="6" t="str">
        <x:v>NR</x:v>
      </x:c>
      <x:c r="R100" s="2" t="str">
        <x:v>NR</x:v>
      </x:c>
      <x:c r="S100" s="2" t="str">
        <x:v>NR</x:v>
      </x:c>
      <x:c r="T100" s="2" t="str">
        <x:v>Not compared</x:v>
      </x:c>
      <x:c r="U100" s="2" t="str">
        <x:v>Not tested</x:v>
      </x:c>
      <x:c r="V100" s="2" t="str">
        <x:v>NR</x:v>
      </x:c>
      <x:c r="W100" s="2" t="str">
        <x:v>NR</x:v>
      </x:c>
      <x:c r="X100" s="2" t="str">
        <x:v>NR</x:v>
      </x:c>
      <x:c r="Y100" s="2" t="str">
        <x:v>NR</x:v>
      </x:c>
      <x:c r="Z100" s="2" t="str">
        <x:v>No</x:v>
      </x:c>
      <x:c r="AA100" s="6" t="str">
        <x:v>p. 9; Table 4 (top)</x:v>
      </x:c>
      <x:c r="AB100" s="6" t="str">
        <x:v>CM1 297 19 - - - - - - 0.94 - 316 0 - - - - - - 1.00 -</x:v>
      </x:c>
      <x:c r="AC100" s="6" t="str">
        <x:v>GPT-3.5 zS+expl.在CM1留一法检测中不完整覆盖召回率1.00。</x:v>
      </x:c>
      <x:c r="AD100" s="2" t="str">
        <x:v>Accepted</x:v>
      </x:c>
      <x:c r="AE100" s="6" t="str">
        <x:v>其他数据集也接近1.00，仅7/1818错误。</x:v>
      </x:c>
    </x:row>
    <x:row r="101" ht="76" customHeight="1">
      <x:c r="A101" s="2" t="str">
        <x:v>S08-RESULT-R05</x:v>
      </x:c>
      <x:c r="B101" s="2" t="str">
        <x:v>S08</x:v>
      </x:c>
      <x:c r="C101" s="2" t="str">
        <x:v>merged_0256</x:v>
      </x:c>
      <x:c r="D101" s="2" t="str">
        <x:v>Reviewer_A</x:v>
      </x:c>
      <x:c r="E101" s="2" t="str">
        <x:v>Reviewer_A</x:v>
      </x:c>
      <x:c r="F101" s="2" t="str">
        <x:v>S08-R05</x:v>
      </x:c>
      <x:c r="G101" s="2" t="str">
        <x:v>S08-EV02</x:v>
      </x:c>
      <x:c r="H101" s="2" t="str">
        <x:v>S08-T01</x:v>
      </x:c>
      <x:c r="I101" s="2" t="str">
        <x:v>S08-MU03</x:v>
      </x:c>
      <x:c r="J101" s="2" t="str">
        <x:v>CM1, CCHIT, GANTT, IP, WARC (Leave-One-Out subset)</x:v>
      </x:c>
      <x:c r="K101" s="2" t="str">
        <x:v>zS+expl.</x:v>
      </x:c>
      <x:c r="L101" s="2" t="str">
        <x:v>No</x:v>
      </x:c>
      <x:c r="M101" s="2" t="str">
        <x:v>Recall_ic (aggregate)</x:v>
      </x:c>
      <x:c r="N101" s="6" t="str">
        <x:v>99.7%</x:v>
      </x:c>
      <x:c r="O101" s="2" t="n">
        <x:v>0.997</x:v>
      </x:c>
      <x:c r="P101" s="2" t="str">
        <x:v>%</x:v>
      </x:c>
      <x:c r="Q101" s="6" t="str">
        <x:v>NR</x:v>
      </x:c>
      <x:c r="R101" s="2" t="str">
        <x:v>NR</x:v>
      </x:c>
      <x:c r="S101" s="2" t="str">
        <x:v>NR</x:v>
      </x:c>
      <x:c r="T101" s="2" t="str">
        <x:v>Better</x:v>
      </x:c>
      <x:c r="U101" s="2" t="str">
        <x:v>Not tested</x:v>
      </x:c>
      <x:c r="V101" s="2" t="str">
        <x:v>Near-perfect detection of missing LLRs</x:v>
      </x:c>
      <x:c r="W101" s="2" t="str">
        <x:v>NR</x:v>
      </x:c>
      <x:c r="X101" s="2" t="str">
        <x:v>NR</x:v>
      </x:c>
      <x:c r="Y101" s="2" t="str">
        <x:v>7 out of 1818</x:v>
      </x:c>
      <x:c r="Z101" s="2" t="str">
        <x:v>No</x:v>
      </x:c>
      <x:c r="AA101" s="6" t="str">
        <x:v>p. 8; Section 6.2</x:v>
      </x:c>
      <x:c r="AB101" s="6" t="str">
        <x:v>out of 1818 LoO permutations (across all data sets), it only failed for five out of 909 removed LLR from the filtered LoO data, respectively failed for two out of 909 removed LLR from the fabricated LoO data (in total 7 incorrect identifications out of 1818).</x:v>
      </x:c>
      <x:c r="AC101" s="6" t="str">
        <x:v>GPT-3.5在zS+expl.设置下留一法检测不完整覆盖的召回率达到99.7%。</x:v>
      </x:c>
      <x:c r="AD101" s="2" t="str">
        <x:v>Accepted</x:v>
      </x:c>
      <x:c r="AE101" s="6" t="str">
        <x:v>NA</x:v>
      </x:c>
    </x:row>
    <x:row r="102" ht="76" customHeight="1">
      <x:c r="A102" s="2" t="str">
        <x:v>S08-RESULT-R06</x:v>
      </x:c>
      <x:c r="B102" s="2" t="str">
        <x:v>S08</x:v>
      </x:c>
      <x:c r="C102" s="2" t="str">
        <x:v>merged_0256</x:v>
      </x:c>
      <x:c r="D102" s="2" t="str">
        <x:v>Reviewer_A</x:v>
      </x:c>
      <x:c r="E102" s="2" t="str">
        <x:v>Reviewer_A</x:v>
      </x:c>
      <x:c r="F102" s="2" t="str">
        <x:v>S08-R06</x:v>
      </x:c>
      <x:c r="G102" s="2" t="str">
        <x:v>S08-EV03</x:v>
      </x:c>
      <x:c r="H102" s="2" t="str">
        <x:v>S08-T01</x:v>
      </x:c>
      <x:c r="I102" s="2" t="str">
        <x:v>S08-MU07</x:v>
      </x:c>
      <x:c r="J102" s="2" t="str">
        <x:v>CM1, CCHIT, GANTT, IP, WARC (filtered only)</x:v>
      </x:c>
      <x:c r="K102" s="2" t="str">
        <x:v>zS</x:v>
      </x:c>
      <x:c r="L102" s="2" t="str">
        <x:v>GPT-3.5 (zS)</x:v>
      </x:c>
      <x:c r="M102" s="2" t="str">
        <x:v>Recall_c</x:v>
      </x:c>
      <x:c r="N102" s="6" t="str">
        <x:v>0.44</x:v>
      </x:c>
      <x:c r="O102" s="2" t="n">
        <x:v>0.44</x:v>
      </x:c>
      <x:c r="P102" s="2" t="str">
        <x:v>proportion</x:v>
      </x:c>
      <x:c r="Q102" s="6" t="str">
        <x:v>0.81</x:v>
      </x:c>
      <x:c r="R102" s="2" t="n">
        <x:v>0.81</x:v>
      </x:c>
      <x:c r="S102" s="2" t="str">
        <x:v>NR</x:v>
      </x:c>
      <x:c r="T102" s="2" t="str">
        <x:v>Worse</x:v>
      </x:c>
      <x:c r="U102" s="2" t="str">
        <x:v>Not tested</x:v>
      </x:c>
      <x:c r="V102" s="2" t="str">
        <x:v>GPT-4 underperforms GPT-3.5 on CM1</x:v>
      </x:c>
      <x:c r="W102" s="2" t="str">
        <x:v>NR</x:v>
      </x:c>
      <x:c r="X102" s="2" t="str">
        <x:v>NR</x:v>
      </x:c>
      <x:c r="Y102" s="2" t="str">
        <x:v>NR</x:v>
      </x:c>
      <x:c r="Z102" s="2" t="str">
        <x:v>Yes</x:v>
      </x:c>
      <x:c r="AA102" s="6" t="str">
        <x:v>p. 10; Table 6</x:v>
      </x:c>
      <x:c r="AB102" s="6" t="str">
        <x:v>CM1 121 28 0.81 66 83 0.44</x:v>
      </x:c>
      <x:c r="AC102" s="6" t="str">
        <x:v>GPT-4 zS在CM1上召回率0.44，远低于GPT-3.5的0.81。</x:v>
      </x:c>
      <x:c r="AD102" s="2" t="str">
        <x:v>Accepted</x:v>
      </x:c>
      <x:c r="AE102" s="6" t="str">
        <x:v>GPT-4并未带来改进。</x:v>
      </x:c>
    </x:row>
    <x:row r="103" ht="76" customHeight="1">
      <x:c r="A103" s="2" t="str">
        <x:v>S08-RESULT-R07</x:v>
      </x:c>
      <x:c r="B103" s="2" t="str">
        <x:v>S08</x:v>
      </x:c>
      <x:c r="C103" s="2" t="str">
        <x:v>merged_0256</x:v>
      </x:c>
      <x:c r="D103" s="2" t="str">
        <x:v>Reviewer_A</x:v>
      </x:c>
      <x:c r="E103" s="2" t="str">
        <x:v>Reviewer_A</x:v>
      </x:c>
      <x:c r="F103" s="2" t="str">
        <x:v>S08-R07</x:v>
      </x:c>
      <x:c r="G103" s="2" t="str">
        <x:v>S08-EV04</x:v>
      </x:c>
      <x:c r="H103" s="2" t="str">
        <x:v>S08-T01</x:v>
      </x:c>
      <x:c r="I103" s="2" t="str">
        <x:v>S08-MU03</x:v>
      </x:c>
      <x:c r="J103" s="2" t="str">
        <x:v>CM1, CCHIT, GANTT, IP, WARC (filtered only)</x:v>
      </x:c>
      <x:c r="K103" s="2" t="str">
        <x:v>CoT</x:v>
      </x:c>
      <x:c r="L103" s="2" t="str">
        <x:v>GPT-3.5 (zS+expl.)</x:v>
      </x:c>
      <x:c r="M103" s="2" t="str">
        <x:v>Recall_c</x:v>
      </x:c>
      <x:c r="N103" s="6" t="str">
        <x:v>0.70</x:v>
      </x:c>
      <x:c r="O103" s="2" t="n">
        <x:v>0.7</x:v>
      </x:c>
      <x:c r="P103" s="2" t="str">
        <x:v>proportion</x:v>
      </x:c>
      <x:c r="Q103" s="6" t="str">
        <x:v>0.90</x:v>
      </x:c>
      <x:c r="R103" s="2" t="n">
        <x:v>0.9</x:v>
      </x:c>
      <x:c r="S103" s="2" t="str">
        <x:v>NR</x:v>
      </x:c>
      <x:c r="T103" s="2" t="str">
        <x:v>Worse</x:v>
      </x:c>
      <x:c r="U103" s="2" t="str">
        <x:v>Not tested</x:v>
      </x:c>
      <x:c r="V103" s="2" t="str">
        <x:v>CoT degrades performance on WARC</x:v>
      </x:c>
      <x:c r="W103" s="2" t="str">
        <x:v>NR</x:v>
      </x:c>
      <x:c r="X103" s="2" t="str">
        <x:v>NR</x:v>
      </x:c>
      <x:c r="Y103" s="2" t="str">
        <x:v>NR</x:v>
      </x:c>
      <x:c r="Z103" s="2" t="str">
        <x:v>Yes</x:v>
      </x:c>
      <x:c r="AA103" s="6" t="str">
        <x:v>p. 10; Table 7</x:v>
      </x:c>
      <x:c r="AB103" s="6" t="str">
        <x:v>WARC 58 2 0.90 42 18 0.70</x:v>
      </x:c>
      <x:c r="AC103" s="6" t="str">
        <x:v>CoT提示使WARC召回率从0.90降至0.70。</x:v>
      </x:c>
      <x:c r="AD103" s="2" t="str">
        <x:v>Accepted</x:v>
      </x:c>
      <x:c r="AE103" s="6" t="str">
        <x:v>CoT整体未能提升覆盖评估。</x:v>
      </x:c>
    </x:row>
    <x:row r="104" ht="76" customHeight="1">
      <x:c r="A104" s="2" t="str">
        <x:v>S08-RESULT-R08</x:v>
      </x:c>
      <x:c r="B104" s="2" t="str">
        <x:v>S08</x:v>
      </x:c>
      <x:c r="C104" s="2" t="str">
        <x:v>merged_0256</x:v>
      </x:c>
      <x:c r="D104" s="2" t="str">
        <x:v>Reviewer_A</x:v>
      </x:c>
      <x:c r="E104" s="2" t="str">
        <x:v>Reviewer_A</x:v>
      </x:c>
      <x:c r="F104" s="2" t="str">
        <x:v>S08-R08</x:v>
      </x:c>
      <x:c r="G104" s="2" t="str">
        <x:v>S08-EV04</x:v>
      </x:c>
      <x:c r="H104" s="2" t="str">
        <x:v>S08-T01</x:v>
      </x:c>
      <x:c r="I104" s="2" t="str">
        <x:v>S08-MU03</x:v>
      </x:c>
      <x:c r="J104" s="2" t="str">
        <x:v>CM1, CCHIT, GANTT, IP, WARC (filtered only)</x:v>
      </x:c>
      <x:c r="K104" s="2" t="str">
        <x:v>CoT</x:v>
      </x:c>
      <x:c r="L104" s="2" t="str">
        <x:v>GPT-3.5 (zS+expl.)</x:v>
      </x:c>
      <x:c r="M104" s="2" t="str">
        <x:v>Recall_c</x:v>
      </x:c>
      <x:c r="N104" s="6" t="str">
        <x:v>0.27</x:v>
      </x:c>
      <x:c r="O104" s="2" t="n">
        <x:v>0.27</x:v>
      </x:c>
      <x:c r="P104" s="2" t="str">
        <x:v>proportion</x:v>
      </x:c>
      <x:c r="Q104" s="6" t="str">
        <x:v>0.24</x:v>
      </x:c>
      <x:c r="R104" s="2" t="n">
        <x:v>0.24</x:v>
      </x:c>
      <x:c r="S104" s="2" t="str">
        <x:v>NR</x:v>
      </x:c>
      <x:c r="T104" s="2" t="str">
        <x:v>Better</x:v>
      </x:c>
      <x:c r="U104" s="2" t="str">
        <x:v>Not tested</x:v>
      </x:c>
      <x:c r="V104" s="2" t="str">
        <x:v>Marginal improvement on CM1 (0.27 vs 0.24)</x:v>
      </x:c>
      <x:c r="W104" s="2" t="str">
        <x:v>NR</x:v>
      </x:c>
      <x:c r="X104" s="2" t="str">
        <x:v>NR</x:v>
      </x:c>
      <x:c r="Y104" s="2" t="str">
        <x:v>NR</x:v>
      </x:c>
      <x:c r="Z104" s="2" t="str">
        <x:v>No</x:v>
      </x:c>
      <x:c r="AA104" s="6" t="str">
        <x:v>p. 10; Table 7</x:v>
      </x:c>
      <x:c r="AB104" s="6" t="str">
        <x:v>CM1 36 113 0.24 40 109 0.27</x:v>
      </x:c>
      <x:c r="AC104" s="6" t="str">
        <x:v>CoT提示在CM1上召回率从0.24微升至0.27，仅比zS+expl.略好。</x:v>
      </x:c>
      <x:c r="AD104" s="2" t="str">
        <x:v>Accepted</x:v>
      </x:c>
      <x:c r="AE104" s="6" t="str">
        <x:v>除CM1外，CoT均表现更差。</x:v>
      </x:c>
    </x:row>
    <x:row r="105" ht="76" customHeight="1">
      <x:c r="A105" s="2" t="str">
        <x:v>S09-RESULT-R01</x:v>
      </x:c>
      <x:c r="B105" s="2" t="str">
        <x:v>S09</x:v>
      </x:c>
      <x:c r="C105" s="2" t="str">
        <x:v>merged_1114-v1</x:v>
      </x:c>
      <x:c r="D105" s="2" t="str">
        <x:v>Reviewer_A</x:v>
      </x:c>
      <x:c r="E105" s="2" t="str">
        <x:v>Reviewer_A</x:v>
      </x:c>
      <x:c r="F105" s="2" t="str">
        <x:v>S09-R01</x:v>
      </x:c>
      <x:c r="G105" s="2" t="str">
        <x:v>S09-EV01</x:v>
      </x:c>
      <x:c r="H105" s="2" t="str">
        <x:v>S09-T01</x:v>
      </x:c>
      <x:c r="I105" s="2" t="str">
        <x:v>NA</x:v>
      </x:c>
      <x:c r="J105" s="2" t="str">
        <x:v>Automotive software artifacts (535 artifacts, 6 subsystems)</x:v>
      </x:c>
      <x:c r="K105" s="2" t="str">
        <x:v>Full Pipeline</x:v>
      </x:c>
      <x:c r="L105" s="2" t="str">
        <x:v>TF-IDF + Cosine</x:v>
      </x:c>
      <x:c r="M105" s="2" t="str">
        <x:v>F1-Score</x:v>
      </x:c>
      <x:c r="N105" s="6" t="str">
        <x:v>0.769</x:v>
      </x:c>
      <x:c r="O105" s="2" t="n">
        <x:v>0.769</x:v>
      </x:c>
      <x:c r="P105" s="2" t="str">
        <x:v>proportion</x:v>
      </x:c>
      <x:c r="Q105" s="6" t="str">
        <x:v>0.349</x:v>
      </x:c>
      <x:c r="R105" s="2" t="n">
        <x:v>0.349</x:v>
      </x:c>
      <x:c r="S105" s="2" t="str">
        <x:v>NR</x:v>
      </x:c>
      <x:c r="T105" s="2" t="str">
        <x:v>Better</x:v>
      </x:c>
      <x:c r="U105" s="2" t="str">
        <x:v>Not tested</x:v>
      </x:c>
      <x:c r="V105" s="2" t="str">
        <x:v>NR</x:v>
      </x:c>
      <x:c r="W105" s="2" t="str">
        <x:v>NR</x:v>
      </x:c>
      <x:c r="X105" s="2" t="str">
        <x:v>NR</x:v>
      </x:c>
      <x:c r="Y105" s="2" t="str">
        <x:v>NR</x:v>
      </x:c>
      <x:c r="Z105" s="2" t="str">
        <x:v>No</x:v>
      </x:c>
      <x:c r="AA105" s="6" t="str">
        <x:v>p. 5; Section IV-B</x:v>
      </x:c>
      <x:c r="AB105" s="6" t="str">
        <x:v>Results: Table II shows that the Full Pipeline achieved F1 = 0.769, substantially outperforming TF-IDF (F1 = 0.349,</x:v>
      </x:c>
      <x:c r="AC105" s="6" t="str">
        <x:v>Full Pipeline的F1分数显著优于TF-IDF基线。</x:v>
      </x:c>
      <x:c r="AD105" s="2" t="str">
        <x:v>Accepted</x:v>
      </x:c>
      <x:c r="AE105" s="6" t="str">
        <x:v>NA</x:v>
      </x:c>
    </x:row>
    <x:row r="106" ht="76" customHeight="1">
      <x:c r="A106" s="2" t="str">
        <x:v>S09-RESULT-R02</x:v>
      </x:c>
      <x:c r="B106" s="2" t="str">
        <x:v>S09</x:v>
      </x:c>
      <x:c r="C106" s="2" t="str">
        <x:v>merged_1114-v1</x:v>
      </x:c>
      <x:c r="D106" s="2" t="str">
        <x:v>Reviewer_A</x:v>
      </x:c>
      <x:c r="E106" s="2" t="str">
        <x:v>Reviewer_A</x:v>
      </x:c>
      <x:c r="F106" s="2" t="str">
        <x:v>S09-R02</x:v>
      </x:c>
      <x:c r="G106" s="2" t="str">
        <x:v>S09-EV01</x:v>
      </x:c>
      <x:c r="H106" s="2" t="str">
        <x:v>S09-T01</x:v>
      </x:c>
      <x:c r="I106" s="2" t="str">
        <x:v>NA</x:v>
      </x:c>
      <x:c r="J106" s="2" t="str">
        <x:v>Automotive software artifacts (535 artifacts, 6 subsystems)</x:v>
      </x:c>
      <x:c r="K106" s="2" t="str">
        <x:v>Full Pipeline</x:v>
      </x:c>
      <x:c r="L106" s="2" t="str">
        <x:v>LLM-only</x:v>
      </x:c>
      <x:c r="M106" s="2" t="str">
        <x:v>F1-Score</x:v>
      </x:c>
      <x:c r="N106" s="6" t="str">
        <x:v>0.769</x:v>
      </x:c>
      <x:c r="O106" s="2" t="n">
        <x:v>0.769</x:v>
      </x:c>
      <x:c r="P106" s="2" t="str">
        <x:v>proportion</x:v>
      </x:c>
      <x:c r="Q106" s="6" t="str">
        <x:v>0.669</x:v>
      </x:c>
      <x:c r="R106" s="2" t="n">
        <x:v>0.669</x:v>
      </x:c>
      <x:c r="S106" s="2" t="str">
        <x:v>NR</x:v>
      </x:c>
      <x:c r="T106" s="2" t="str">
        <x:v>Better</x:v>
      </x:c>
      <x:c r="U106" s="2" t="str">
        <x:v>Not tested</x:v>
      </x:c>
      <x:c r="V106" s="2" t="str">
        <x:v>NR</x:v>
      </x:c>
      <x:c r="W106" s="2" t="str">
        <x:v>NR</x:v>
      </x:c>
      <x:c r="X106" s="2" t="str">
        <x:v>NR</x:v>
      </x:c>
      <x:c r="Y106" s="2" t="str">
        <x:v>NR</x:v>
      </x:c>
      <x:c r="Z106" s="2" t="str">
        <x:v>No</x:v>
      </x:c>
      <x:c r="AA106" s="6" t="str">
        <x:v>p. 5; Section IV-B</x:v>
      </x:c>
      <x:c r="AB106" s="6" t="str">
        <x:v>lexical matching only) and LLM-only (F1 = 0.669, context-</x:v>
      </x:c>
      <x:c r="AC106" s="6" t="str">
        <x:v>Full Pipeline的F1分数优于未过滤的LLM方法。</x:v>
      </x:c>
      <x:c r="AD106" s="2" t="str">
        <x:v>Accepted</x:v>
      </x:c>
      <x:c r="AE106" s="6" t="str">
        <x:v>NA</x:v>
      </x:c>
    </x:row>
    <x:row r="107" ht="76" customHeight="1">
      <x:c r="A107" s="2" t="str">
        <x:v>S09-RESULT-R03</x:v>
      </x:c>
      <x:c r="B107" s="2" t="str">
        <x:v>S09</x:v>
      </x:c>
      <x:c r="C107" s="2" t="str">
        <x:v>merged_1114-v1</x:v>
      </x:c>
      <x:c r="D107" s="2" t="str">
        <x:v>Reviewer_A</x:v>
      </x:c>
      <x:c r="E107" s="2" t="str">
        <x:v>Reviewer_A</x:v>
      </x:c>
      <x:c r="F107" s="2" t="str">
        <x:v>S09-R03</x:v>
      </x:c>
      <x:c r="G107" s="2" t="str">
        <x:v>S09-EV01</x:v>
      </x:c>
      <x:c r="H107" s="2" t="str">
        <x:v>S09-T01</x:v>
      </x:c>
      <x:c r="I107" s="2" t="str">
        <x:v>NA</x:v>
      </x:c>
      <x:c r="J107" s="2" t="str">
        <x:v>Automotive software artifacts (535 artifacts, 6 subsystems)</x:v>
      </x:c>
      <x:c r="K107" s="2" t="str">
        <x:v>Full Pipeline</x:v>
      </x:c>
      <x:c r="L107" s="2" t="str">
        <x:v>Embedding-only</x:v>
      </x:c>
      <x:c r="M107" s="2" t="str">
        <x:v>F1-Score</x:v>
      </x:c>
      <x:c r="N107" s="6" t="str">
        <x:v>0.769</x:v>
      </x:c>
      <x:c r="O107" s="2" t="n">
        <x:v>0.769</x:v>
      </x:c>
      <x:c r="P107" s="2" t="str">
        <x:v>proportion</x:v>
      </x:c>
      <x:c r="Q107" s="6" t="str">
        <x:v>0.707</x:v>
      </x:c>
      <x:c r="R107" s="2" t="n">
        <x:v>0.707</x:v>
      </x:c>
      <x:c r="S107" s="2" t="str">
        <x:v>NR</x:v>
      </x:c>
      <x:c r="T107" s="2" t="str">
        <x:v>Better</x:v>
      </x:c>
      <x:c r="U107" s="2" t="str">
        <x:v>Not tested</x:v>
      </x:c>
      <x:c r="V107" s="2" t="str">
        <x:v>NR</x:v>
      </x:c>
      <x:c r="W107" s="2" t="str">
        <x:v>NR</x:v>
      </x:c>
      <x:c r="X107" s="2" t="str">
        <x:v>NR</x:v>
      </x:c>
      <x:c r="Y107" s="2" t="str">
        <x:v>NR</x:v>
      </x:c>
      <x:c r="Z107" s="2" t="str">
        <x:v>No</x:v>
      </x:c>
      <x:c r="AA107" s="6" t="str">
        <x:v>p. 6; Table II</x:v>
      </x:c>
      <x:c r="AB107" s="6" t="str">
        <x:v>Full Pipeline 0.900 0.687 0.769 0.905</x:v>
      </x:c>
      <x:c r="AC107" s="6" t="str">
        <x:v>Full Pipeline的F1分数优于纯嵌入检索。</x:v>
      </x:c>
      <x:c r="AD107" s="2" t="str">
        <x:v>Accepted</x:v>
      </x:c>
      <x:c r="AE107" s="6" t="str">
        <x:v>Baseline value from Table II, Embedding-only row: 0.707</x:v>
      </x:c>
    </x:row>
    <x:row r="108" ht="76" customHeight="1">
      <x:c r="A108" s="2" t="str">
        <x:v>S09-RESULT-R04</x:v>
      </x:c>
      <x:c r="B108" s="2" t="str">
        <x:v>S09</x:v>
      </x:c>
      <x:c r="C108" s="2" t="str">
        <x:v>merged_1114-v1</x:v>
      </x:c>
      <x:c r="D108" s="2" t="str">
        <x:v>Reviewer_A</x:v>
      </x:c>
      <x:c r="E108" s="2" t="str">
        <x:v>Reviewer_A</x:v>
      </x:c>
      <x:c r="F108" s="2" t="str">
        <x:v>S09-R04</x:v>
      </x:c>
      <x:c r="G108" s="2" t="str">
        <x:v>S09-EV02</x:v>
      </x:c>
      <x:c r="H108" s="2" t="str">
        <x:v>S09-T02</x:v>
      </x:c>
      <x:c r="I108" s="2" t="str">
        <x:v>NA</x:v>
      </x:c>
      <x:c r="J108" s="2" t="str">
        <x:v>Four conflict-bearing datasets: LKA, DMS, AEB, EV</x:v>
      </x:c>
      <x:c r="K108" s="2" t="str">
        <x:v>τ=0.5, ε=0.4</x:v>
      </x:c>
      <x:c r="L108" s="2" t="str">
        <x:v>Other hyperparameter settings</x:v>
      </x:c>
      <x:c r="M108" s="2" t="str">
        <x:v>True Positives</x:v>
      </x:c>
      <x:c r="N108" s="6" t="str">
        <x:v>10</x:v>
      </x:c>
      <x:c r="O108" s="2" t="n">
        <x:v>10</x:v>
      </x:c>
      <x:c r="P108" s="2" t="str">
        <x:v>count</x:v>
      </x:c>
      <x:c r="Q108" s="6" t="str">
        <x:v>varies (&lt;10)</x:v>
      </x:c>
      <x:c r="R108" s="2" t="str">
        <x:v>Unclear</x:v>
      </x:c>
      <x:c r="S108" s="2" t="str">
        <x:v>NR</x:v>
      </x:c>
      <x:c r="T108" s="2" t="str">
        <x:v>Better</x:v>
      </x:c>
      <x:c r="U108" s="2" t="str">
        <x:v>Not tested</x:v>
      </x:c>
      <x:c r="V108" s="2" t="str">
        <x:v>NR</x:v>
      </x:c>
      <x:c r="W108" s="2" t="str">
        <x:v>NR</x:v>
      </x:c>
      <x:c r="X108" s="2" t="str">
        <x:v>NR</x:v>
      </x:c>
      <x:c r="Y108" s="2" t="str">
        <x:v>NR</x:v>
      </x:c>
      <x:c r="Z108" s="2" t="str">
        <x:v>No</x:v>
      </x:c>
      <x:c r="AA108" s="6" t="str">
        <x:v>p. 6; Section IV-C</x:v>
      </x:c>
      <x:c r="AB108" s="6" t="str">
        <x:v>The configuration (τ = 0.5, ε = 0.4) uniquely achieves TP=10, FN=0</x:v>
      </x:c>
      <x:c r="AC108" s="6" t="str">
        <x:v>该参数设置完美检测所有已知冲突。</x:v>
      </x:c>
      <x:c r="AD108" s="2" t="str">
        <x:v>Accepted</x:v>
      </x:c>
      <x:c r="AE108" s="6" t="str">
        <x:v>δ fixed at 0.5</x:v>
      </x:c>
    </x:row>
    <x:row r="109" ht="76" customHeight="1">
      <x:c r="A109" s="2" t="str">
        <x:v>S09-RESULT-R05</x:v>
      </x:c>
      <x:c r="B109" s="2" t="str">
        <x:v>S09</x:v>
      </x:c>
      <x:c r="C109" s="2" t="str">
        <x:v>merged_1114-v1</x:v>
      </x:c>
      <x:c r="D109" s="2" t="str">
        <x:v>Reviewer_A</x:v>
      </x:c>
      <x:c r="E109" s="2" t="str">
        <x:v>Reviewer_A</x:v>
      </x:c>
      <x:c r="F109" s="2" t="str">
        <x:v>S09-R05</x:v>
      </x:c>
      <x:c r="G109" s="2" t="str">
        <x:v>S09-EV02</x:v>
      </x:c>
      <x:c r="H109" s="2" t="str">
        <x:v>S09-T02</x:v>
      </x:c>
      <x:c r="I109" s="2" t="str">
        <x:v>NA</x:v>
      </x:c>
      <x:c r="J109" s="2" t="str">
        <x:v>Four conflict-bearing datasets: LKA, DMS, AEB, EV</x:v>
      </x:c>
      <x:c r="K109" s="2" t="str">
        <x:v>τ=0.8, ε=0.5</x:v>
      </x:c>
      <x:c r="L109" s="2" t="str">
        <x:v>Ground truth (10 conflicts)</x:v>
      </x:c>
      <x:c r="M109" s="2" t="str">
        <x:v>True Positives</x:v>
      </x:c>
      <x:c r="N109" s="6" t="str">
        <x:v>0</x:v>
      </x:c>
      <x:c r="O109" s="2" t="n">
        <x:v>0</x:v>
      </x:c>
      <x:c r="P109" s="2" t="str">
        <x:v>count</x:v>
      </x:c>
      <x:c r="Q109" s="6" t="str">
        <x:v>10</x:v>
      </x:c>
      <x:c r="R109" s="2" t="n">
        <x:v>10</x:v>
      </x:c>
      <x:c r="S109" s="2" t="str">
        <x:v>NR</x:v>
      </x:c>
      <x:c r="T109" s="2" t="str">
        <x:v>Worse</x:v>
      </x:c>
      <x:c r="U109" s="2" t="str">
        <x:v>Not tested</x:v>
      </x:c>
      <x:c r="V109" s="2" t="str">
        <x:v>NR</x:v>
      </x:c>
      <x:c r="W109" s="2" t="str">
        <x:v>NR</x:v>
      </x:c>
      <x:c r="X109" s="2" t="str">
        <x:v>NR</x:v>
      </x:c>
      <x:c r="Y109" s="2" t="str">
        <x:v>All conflicts missed at strict thresholds.</x:v>
      </x:c>
      <x:c r="Z109" s="2" t="str">
        <x:v>Yes</x:v>
      </x:c>
      <x:c r="AA109" s="6" t="str">
        <x:v>p. 6; Table IV</x:v>
      </x:c>
      <x:c r="AB109" s="6" t="str">
        <x:v>0.7 0/2 0/3 0/2 0/3 0/10</x:v>
      </x:c>
      <x:c r="AC109" s="6" t="str">
        <x:v>高τ设置导致完全漏检冲突，为负面发现。</x:v>
      </x:c>
      <x:c r="AD109" s="2" t="str">
        <x:v>Accepted</x:v>
      </x:c>
      <x:c r="AE109" s="6" t="str">
        <x:v>Combined TP=0, FN=10 across all datasets.</x:v>
      </x:c>
    </x:row>
    <x:row r="110" ht="76" customHeight="1">
      <x:c r="A110" s="2" t="str">
        <x:v>S09-RESULT-R06</x:v>
      </x:c>
      <x:c r="B110" s="2" t="str">
        <x:v>S09</x:v>
      </x:c>
      <x:c r="C110" s="2" t="str">
        <x:v>merged_1114-v1</x:v>
      </x:c>
      <x:c r="D110" s="2" t="str">
        <x:v>Reviewer_A</x:v>
      </x:c>
      <x:c r="E110" s="2" t="str">
        <x:v>Reviewer_A</x:v>
      </x:c>
      <x:c r="F110" s="2" t="str">
        <x:v>S09-R06</x:v>
      </x:c>
      <x:c r="G110" s="2" t="str">
        <x:v>S09-EV03</x:v>
      </x:c>
      <x:c r="H110" s="2" t="str">
        <x:v>S09-T03</x:v>
      </x:c>
      <x:c r="I110" s="2" t="str">
        <x:v>NA</x:v>
      </x:c>
      <x:c r="J110" s="2" t="str">
        <x:v>Five automotive datasets: LKA, AEB, BMS, V2X, IVI</x:v>
      </x:c>
      <x:c r="K110" s="2" t="str">
        <x:v>Full Consistency Stack</x:v>
      </x:c>
      <x:c r="L110" s="2" t="str">
        <x:v>No Consistency Controls</x:v>
      </x:c>
      <x:c r="M110" s="2" t="str">
        <x:v>Inflation Ratio</x:v>
      </x:c>
      <x:c r="N110" s="6" t="str">
        <x:v>1.46</x:v>
      </x:c>
      <x:c r="O110" s="2" t="n">
        <x:v>1.46</x:v>
      </x:c>
      <x:c r="P110" s="2" t="str">
        <x:v>proportion</x:v>
      </x:c>
      <x:c r="Q110" s="6" t="str">
        <x:v>3.94</x:v>
      </x:c>
      <x:c r="R110" s="2" t="n">
        <x:v>3.94</x:v>
      </x:c>
      <x:c r="S110" s="2" t="str">
        <x:v>NR</x:v>
      </x:c>
      <x:c r="T110" s="2" t="str">
        <x:v>Better</x:v>
      </x:c>
      <x:c r="U110" s="2" t="str">
        <x:v>Not tested</x:v>
      </x:c>
      <x:c r="V110" s="2" t="str">
        <x:v>NR</x:v>
      </x:c>
      <x:c r="W110" s="2" t="str">
        <x:v>NR</x:v>
      </x:c>
      <x:c r="X110" s="2" t="str">
        <x:v>NR</x:v>
      </x:c>
      <x:c r="Y110" s="2" t="str">
        <x:v>NR</x:v>
      </x:c>
      <x:c r="Z110" s="2" t="str">
        <x:v>No</x:v>
      </x:c>
      <x:c r="AA110" s="6" t="str">
        <x:v>p. 7; Table V</x:v>
      </x:c>
      <x:c r="AB110" s="6" t="str">
        <x:v>Full Consistency Stack 64.4 21.4 1.46</x:v>
      </x:c>
      <x:c r="AC110" s="6" t="str">
        <x:v>完整一致性栈有效控制图膨胀。</x:v>
      </x:c>
      <x:c r="AD110" s="2" t="str">
        <x:v>Accepted</x:v>
      </x:c>
      <x:c r="AE110" s="6" t="str">
        <x:v>Baseline value from No Consistency Controls row: 3.94</x:v>
      </x:c>
    </x:row>
    <x:row r="111" ht="76" customHeight="1">
      <x:c r="A111" s="2" t="str">
        <x:v>S09-RESULT-R07</x:v>
      </x:c>
      <x:c r="B111" s="2" t="str">
        <x:v>S09</x:v>
      </x:c>
      <x:c r="C111" s="2" t="str">
        <x:v>merged_1114-v1</x:v>
      </x:c>
      <x:c r="D111" s="2" t="str">
        <x:v>Reviewer_A</x:v>
      </x:c>
      <x:c r="E111" s="2" t="str">
        <x:v>Reviewer_A</x:v>
      </x:c>
      <x:c r="F111" s="2" t="str">
        <x:v>S09-R07</x:v>
      </x:c>
      <x:c r="G111" s="2" t="str">
        <x:v>S09-EV03</x:v>
      </x:c>
      <x:c r="H111" s="2" t="str">
        <x:v>S09-T03</x:v>
      </x:c>
      <x:c r="I111" s="2" t="str">
        <x:v>NA</x:v>
      </x:c>
      <x:c r="J111" s="2" t="str">
        <x:v>Five automotive datasets: LKA, AEB, BMS, V2X, IVI</x:v>
      </x:c>
      <x:c r="K111" s="2" t="str">
        <x:v>Full Consistency Stack</x:v>
      </x:c>
      <x:c r="L111" s="2" t="str">
        <x:v>No Consistency Controls</x:v>
      </x:c>
      <x:c r="M111" s="2" t="str">
        <x:v>Conflict Rate</x:v>
      </x:c>
      <x:c r="N111" s="6" t="str">
        <x:v>15.42</x:v>
      </x:c>
      <x:c r="O111" s="2" t="n">
        <x:v>15.42</x:v>
      </x:c>
      <x:c r="P111" s="2" t="str">
        <x:v>%</x:v>
      </x:c>
      <x:c r="Q111" s="6" t="str">
        <x:v>0.00</x:v>
      </x:c>
      <x:c r="R111" s="2" t="n">
        <x:v>0</x:v>
      </x:c>
      <x:c r="S111" s="2" t="str">
        <x:v>NR</x:v>
      </x:c>
      <x:c r="T111" s="2" t="str">
        <x:v>Better</x:v>
      </x:c>
      <x:c r="U111" s="2" t="str">
        <x:v>Not tested</x:v>
      </x:c>
      <x:c r="V111" s="2" t="str">
        <x:v>NR</x:v>
      </x:c>
      <x:c r="W111" s="2" t="str">
        <x:v>NR</x:v>
      </x:c>
      <x:c r="X111" s="2" t="str">
        <x:v>NR</x:v>
      </x:c>
      <x:c r="Y111" s="2" t="str">
        <x:v>NR</x:v>
      </x:c>
      <x:c r="Z111" s="2" t="str">
        <x:v>No</x:v>
      </x:c>
      <x:c r="AA111" s="6" t="str">
        <x:v>p. 7; Table VI</x:v>
      </x:c>
      <x:c r="AB111" s="6" t="str">
        <x:v>Full Consistency Stack 15.42 0.5207 33.64</x:v>
      </x:c>
      <x:c r="AC111" s="6" t="str">
        <x:v>完整一致性栈检测到更多冲突，暴露隐藏的不一致性。</x:v>
      </x:c>
      <x:c r="AD111" s="2" t="str">
        <x:v>Accepted</x:v>
      </x:c>
      <x:c r="AE111" s="6" t="str">
        <x:v>Baseline value from No Consistency Controls row: 0.00</x:v>
      </x:c>
    </x:row>
    <x:row r="112" ht="76" customHeight="1">
      <x:c r="A112" s="2" t="str">
        <x:v>S09-RESULT-R08</x:v>
      </x:c>
      <x:c r="B112" s="2" t="str">
        <x:v>S09</x:v>
      </x:c>
      <x:c r="C112" s="2" t="str">
        <x:v>merged_1114-v1</x:v>
      </x:c>
      <x:c r="D112" s="2" t="str">
        <x:v>Reviewer_A</x:v>
      </x:c>
      <x:c r="E112" s="2" t="str">
        <x:v>Reviewer_A</x:v>
      </x:c>
      <x:c r="F112" s="2" t="str">
        <x:v>S09-R08</x:v>
      </x:c>
      <x:c r="G112" s="2" t="str">
        <x:v>S09-EV03</x:v>
      </x:c>
      <x:c r="H112" s="2" t="str">
        <x:v>S09-T03</x:v>
      </x:c>
      <x:c r="I112" s="2" t="str">
        <x:v>NA</x:v>
      </x:c>
      <x:c r="J112" s="2" t="str">
        <x:v>Five automotive datasets: LKA, AEB, BMS, V2X, IVI</x:v>
      </x:c>
      <x:c r="K112" s="2" t="str">
        <x:v>Full Consistency Stack</x:v>
      </x:c>
      <x:c r="L112" s="2" t="str">
        <x:v>No Consistency Controls</x:v>
      </x:c>
      <x:c r="M112" s="2" t="str">
        <x:v>Path Completeness</x:v>
      </x:c>
      <x:c r="N112" s="6" t="str">
        <x:v>33.64</x:v>
      </x:c>
      <x:c r="O112" s="2" t="n">
        <x:v>33.64</x:v>
      </x:c>
      <x:c r="P112" s="2" t="str">
        <x:v>%</x:v>
      </x:c>
      <x:c r="Q112" s="6" t="str">
        <x:v>100.00</x:v>
      </x:c>
      <x:c r="R112" s="2" t="n">
        <x:v>100</x:v>
      </x:c>
      <x:c r="S112" s="2" t="str">
        <x:v>NR</x:v>
      </x:c>
      <x:c r="T112" s="2" t="str">
        <x:v>Worse</x:v>
      </x:c>
      <x:c r="U112" s="2" t="str">
        <x:v>Not tested</x:v>
      </x:c>
      <x:c r="V112" s="2" t="str">
        <x:v>NR</x:v>
      </x:c>
      <x:c r="W112" s="2" t="str">
        <x:v>NR</x:v>
      </x:c>
      <x:c r="X112" s="2" t="str">
        <x:v>NR</x:v>
      </x:c>
      <x:c r="Y112" s="2" t="str">
        <x:v>NR</x:v>
      </x:c>
      <x:c r="Z112" s="2" t="str">
        <x:v>No</x:v>
      </x:c>
      <x:c r="AA112" s="6" t="str">
        <x:v>p. 7; Table VI</x:v>
      </x:c>
      <x:c r="AB112" s="6" t="str">
        <x:v>Full Consistency Stack 15.42 0.5207 33.64</x:v>
      </x:c>
      <x:c r="AC112" s="6" t="str">
        <x:v>路径完整性降低，但更接近真实情况，属于可接受的权衡。</x:v>
      </x:c>
      <x:c r="AD112" s="2" t="str">
        <x:v>Accepted</x:v>
      </x:c>
      <x:c r="AE112" s="6" t="str">
        <x:v>Lower path completeness is intentional due to filtering low-confidence links.</x:v>
      </x:c>
    </x:row>
    <x:row r="113" ht="76" customHeight="1">
      <x:c r="A113" s="2" t="str">
        <x:v>S09-RESULT-R09</x:v>
      </x:c>
      <x:c r="B113" s="2" t="str">
        <x:v>S09</x:v>
      </x:c>
      <x:c r="C113" s="2" t="str">
        <x:v>merged_1114-v1</x:v>
      </x:c>
      <x:c r="D113" s="2" t="str">
        <x:v>Reviewer_A</x:v>
      </x:c>
      <x:c r="E113" s="2" t="str">
        <x:v>Reviewer_A</x:v>
      </x:c>
      <x:c r="F113" s="2" t="str">
        <x:v>S09-R09</x:v>
      </x:c>
      <x:c r="G113" s="2" t="str">
        <x:v>S09-EV04</x:v>
      </x:c>
      <x:c r="H113" s="2" t="str">
        <x:v>S09-T01</x:v>
      </x:c>
      <x:c r="I113" s="2" t="str">
        <x:v>NA</x:v>
      </x:c>
      <x:c r="J113" s="2" t="str">
        <x:v>Five automotive datasets</x:v>
      </x:c>
      <x:c r="K113" s="2" t="str">
        <x:v>θ=0.7</x:v>
      </x:c>
      <x:c r="L113" s="2" t="str">
        <x:v>Other thresholds</x:v>
      </x:c>
      <x:c r="M113" s="2" t="str">
        <x:v>F1-Score</x:v>
      </x:c>
      <x:c r="N113" s="6" t="str">
        <x:v>0.7958</x:v>
      </x:c>
      <x:c r="O113" s="2" t="n">
        <x:v>0.7958</x:v>
      </x:c>
      <x:c r="P113" s="2" t="str">
        <x:v>proportion</x:v>
      </x:c>
      <x:c r="Q113" s="6" t="str">
        <x:v>varies</x:v>
      </x:c>
      <x:c r="R113" s="2" t="str">
        <x:v>Unclear</x:v>
      </x:c>
      <x:c r="S113" s="2" t="str">
        <x:v>NR</x:v>
      </x:c>
      <x:c r="T113" s="2" t="str">
        <x:v>Better</x:v>
      </x:c>
      <x:c r="U113" s="2" t="str">
        <x:v>Not tested</x:v>
      </x:c>
      <x:c r="V113" s="2" t="str">
        <x:v>NR</x:v>
      </x:c>
      <x:c r="W113" s="2" t="str">
        <x:v>NR</x:v>
      </x:c>
      <x:c r="X113" s="2" t="str">
        <x:v>NR</x:v>
      </x:c>
      <x:c r="Y113" s="2" t="str">
        <x:v>NR</x:v>
      </x:c>
      <x:c r="Z113" s="2" t="str">
        <x:v>No</x:v>
      </x:c>
      <x:c r="AA113" s="6" t="str">
        <x:v>p. 7; Section IV-E</x:v>
      </x:c>
      <x:c r="AB113" s="6" t="str">
        <x:v>yielding a peak average F1-Score of 0.7958</x:v>
      </x:c>
      <x:c r="AC113" s="6" t="str">
        <x:v>阈值0.7达到最佳F1平衡。</x:v>
      </x:c>
      <x:c r="AD113" s="2" t="str">
        <x:v>Accepted</x:v>
      </x:c>
      <x:c r="AE113" s="6" t="str">
        <x:v>NR</x:v>
      </x:c>
    </x:row>
    <x:row r="114" ht="76" customHeight="1">
      <x:c r="A114" s="2" t="str">
        <x:v>S09-RESULT-R10</x:v>
      </x:c>
      <x:c r="B114" s="2" t="str">
        <x:v>S09</x:v>
      </x:c>
      <x:c r="C114" s="2" t="str">
        <x:v>merged_1114-v1</x:v>
      </x:c>
      <x:c r="D114" s="2" t="str">
        <x:v>Reviewer_A</x:v>
      </x:c>
      <x:c r="E114" s="2" t="str">
        <x:v>Reviewer_A</x:v>
      </x:c>
      <x:c r="F114" s="2" t="str">
        <x:v>S09-R10</x:v>
      </x:c>
      <x:c r="G114" s="2" t="str">
        <x:v>S09-EV04</x:v>
      </x:c>
      <x:c r="H114" s="2" t="str">
        <x:v>S09-T01</x:v>
      </x:c>
      <x:c r="I114" s="2" t="str">
        <x:v>NA</x:v>
      </x:c>
      <x:c r="J114" s="2" t="str">
        <x:v>Five automotive datasets</x:v>
      </x:c>
      <x:c r="K114" s="2" t="str">
        <x:v>θ=0.7</x:v>
      </x:c>
      <x:c r="L114" s="2" t="str">
        <x:v>Other thresholds</x:v>
      </x:c>
      <x:c r="M114" s="2" t="str">
        <x:v>Queue Size</x:v>
      </x:c>
      <x:c r="N114" s="6" t="str">
        <x:v>23.0</x:v>
      </x:c>
      <x:c r="O114" s="2" t="n">
        <x:v>23</x:v>
      </x:c>
      <x:c r="P114" s="2" t="str">
        <x:v>count</x:v>
      </x:c>
      <x:c r="Q114" s="6" t="str">
        <x:v>varies</x:v>
      </x:c>
      <x:c r="R114" s="2" t="str">
        <x:v>Unclear</x:v>
      </x:c>
      <x:c r="S114" s="2" t="str">
        <x:v>NR</x:v>
      </x:c>
      <x:c r="T114" s="2" t="str">
        <x:v>Better</x:v>
      </x:c>
      <x:c r="U114" s="2" t="str">
        <x:v>Not tested</x:v>
      </x:c>
      <x:c r="V114" s="2" t="str">
        <x:v>NR</x:v>
      </x:c>
      <x:c r="W114" s="2" t="str">
        <x:v>Queue Size of 23.0 links for manual review</x:v>
      </x:c>
      <x:c r="X114" s="2" t="str">
        <x:v>NR</x:v>
      </x:c>
      <x:c r="Y114" s="2" t="str">
        <x:v>NR</x:v>
      </x:c>
      <x:c r="Z114" s="2" t="str">
        <x:v>No</x:v>
      </x:c>
      <x:c r="AA114" s="6" t="str">
        <x:v>p. 7; Section IV-E</x:v>
      </x:c>
      <x:c r="AB114" s="6" t="str">
        <x:v>with a manageable manual queue of 23.0 links.</x:v>
      </x:c>
      <x:c r="AC114" s="6" t="str">
        <x:v>该阈值下人工验证负担适中。</x:v>
      </x:c>
      <x:c r="AD114" s="2" t="str">
        <x:v>Accepted</x:v>
      </x:c>
      <x:c r="AE114" s="6" t="str">
        <x:v>NR</x:v>
      </x:c>
    </x:row>
    <x:row r="115" ht="76" customHeight="1">
      <x:c r="A115" s="2" t="str">
        <x:v>S09-RESULT-R11</x:v>
      </x:c>
      <x:c r="B115" s="2" t="str">
        <x:v>S09</x:v>
      </x:c>
      <x:c r="C115" s="2" t="str">
        <x:v>merged_1114-v1</x:v>
      </x:c>
      <x:c r="D115" s="2" t="str">
        <x:v>Reviewer_A</x:v>
      </x:c>
      <x:c r="E115" s="2" t="str">
        <x:v>Reviewer_A</x:v>
      </x:c>
      <x:c r="F115" s="2" t="str">
        <x:v>S09-R11</x:v>
      </x:c>
      <x:c r="G115" s="2" t="str">
        <x:v>S09-EV04</x:v>
      </x:c>
      <x:c r="H115" s="2" t="str">
        <x:v>S09-T01</x:v>
      </x:c>
      <x:c r="I115" s="2" t="str">
        <x:v>NA</x:v>
      </x:c>
      <x:c r="J115" s="2" t="str">
        <x:v>Five automotive datasets</x:v>
      </x:c>
      <x:c r="K115" s="2" t="str">
        <x:v>θ=0.9</x:v>
      </x:c>
      <x:c r="L115" s="2" t="str">
        <x:v>θ=0.7 (optimal)</x:v>
      </x:c>
      <x:c r="M115" s="2" t="str">
        <x:v>Recall</x:v>
      </x:c>
      <x:c r="N115" s="6" t="str">
        <x:v>0.3397</x:v>
      </x:c>
      <x:c r="O115" s="2" t="n">
        <x:v>0.3397</x:v>
      </x:c>
      <x:c r="P115" s="2" t="str">
        <x:v>proportion</x:v>
      </x:c>
      <x:c r="Q115" s="6" t="str">
        <x:v>0.8183</x:v>
      </x:c>
      <x:c r="R115" s="2" t="n">
        <x:v>0.8183</x:v>
      </x:c>
      <x:c r="S115" s="2" t="str">
        <x:v>NR</x:v>
      </x:c>
      <x:c r="T115" s="2" t="str">
        <x:v>Worse</x:v>
      </x:c>
      <x:c r="U115" s="2" t="str">
        <x:v>Not tested</x:v>
      </x:c>
      <x:c r="V115" s="2" t="str">
        <x:v>NR</x:v>
      </x:c>
      <x:c r="W115" s="2" t="str">
        <x:v>NR</x:v>
      </x:c>
      <x:c r="X115" s="2" t="str">
        <x:v>NR</x:v>
      </x:c>
      <x:c r="Y115" s="2" t="str">
        <x:v>Excessively conservative threshold causes recall drop.</x:v>
      </x:c>
      <x:c r="Z115" s="2" t="str">
        <x:v>Yes</x:v>
      </x:c>
      <x:c r="AA115" s="6" t="str">
        <x:v>p. 7; Table VII</x:v>
      </x:c>
      <x:c r="AB115" s="6" t="str">
        <x:v>0.9 0.9826 0.3397 0.5004 0.0</x:v>
      </x:c>
      <x:c r="AC115" s="6" t="str">
        <x:v>过高阈值导致召回急剧下降，为负面发现。</x:v>
      </x:c>
      <x:c r="AD115" s="2" t="str">
        <x:v>Accepted</x:v>
      </x:c>
      <x:c r="AE115" s="6" t="str">
        <x:v>Recall at θ=0.9 is 0.3397, compared to 0.8183 at θ=0.7.</x:v>
      </x:c>
    </x:row>
    <x:row r="116" ht="76" customHeight="1">
      <x:c r="A116" s="2" t="str">
        <x:v>S10-RESULT-R01</x:v>
      </x:c>
      <x:c r="B116" s="2" t="str">
        <x:v>S10</x:v>
      </x:c>
      <x:c r="C116" s="2" t="str">
        <x:v>merged_1119-v2</x:v>
      </x:c>
      <x:c r="D116" s="2" t="str">
        <x:v>Reviewer_A</x:v>
      </x:c>
      <x:c r="E116" s="2" t="str">
        <x:v>Reviewer_A</x:v>
      </x:c>
      <x:c r="F116" s="2" t="str">
        <x:v>S10-R01</x:v>
      </x:c>
      <x:c r="G116" s="2" t="str">
        <x:v>S10-EV01</x:v>
      </x:c>
      <x:c r="H116" s="2" t="str">
        <x:v>S10-T01</x:v>
      </x:c>
      <x:c r="I116" s="2" t="str">
        <x:v>NA</x:v>
      </x:c>
      <x:c r="J116" s="2" t="str">
        <x:v>EasyLink</x:v>
      </x:c>
      <x:c r="K116" s="2" t="str">
        <x:v>One-year window after issue creation</x:v>
      </x:c>
      <x:c r="L116" s="2" t="str">
        <x:v>No baseline</x:v>
      </x:c>
      <x:c r="M116" s="2" t="str">
        <x:v>True link coverage</x:v>
      </x:c>
      <x:c r="N116" s="6" t="str">
        <x:v>approximately 97%</x:v>
      </x:c>
      <x:c r="O116" s="2" t="n">
        <x:v>97</x:v>
      </x:c>
      <x:c r="P116" s="2" t="str">
        <x:v>%</x:v>
      </x:c>
      <x:c r="Q116" s="6" t="str">
        <x:v>NA</x:v>
      </x:c>
      <x:c r="R116" s="2" t="str">
        <x:v>NA</x:v>
      </x:c>
      <x:c r="S116" s="2" t="str">
        <x:v>NR</x:v>
      </x:c>
      <x:c r="T116" s="2" t="str">
        <x:v>Not compared</x:v>
      </x:c>
      <x:c r="U116" s="2" t="str">
        <x:v>Not tested</x:v>
      </x:c>
      <x:c r="V116" s="2" t="str">
        <x:v>NR</x:v>
      </x:c>
      <x:c r="W116" s="2" t="str">
        <x:v>NA</x:v>
      </x:c>
      <x:c r="X116" s="2" t="str">
        <x:v>NA</x:v>
      </x:c>
      <x:c r="Y116" s="2" t="str">
        <x:v>NA</x:v>
      </x:c>
      <x:c r="Z116" s="2" t="str">
        <x:v>No</x:v>
      </x:c>
      <x:c r="AA116" s="6" t="str">
        <x:v>p. 5; Section 5.1</x:v>
      </x:c>
      <x:c r="AB116" s="6" t="str">
        <x:v>the one-year time window collects approximately 97% of all true links for the EasyLink dataset</x:v>
      </x:c>
      <x:c r="AC116" s="6" t="str">
        <x:v>一年窗口对EasyLink数据集覆盖率高，但其他数据集较低。</x:v>
      </x:c>
      <x:c r="AD116" s="2" t="str">
        <x:v>Accepted</x:v>
      </x:c>
      <x:c r="AE116" s="6" t="str">
        <x:v>NA</x:v>
      </x:c>
    </x:row>
    <x:row r="117" ht="76" customHeight="1">
      <x:c r="A117" s="2" t="str">
        <x:v>S10-RESULT-R02</x:v>
      </x:c>
      <x:c r="B117" s="2" t="str">
        <x:v>S10</x:v>
      </x:c>
      <x:c r="C117" s="2" t="str">
        <x:v>merged_1119-v2</x:v>
      </x:c>
      <x:c r="D117" s="2" t="str">
        <x:v>Reviewer_A</x:v>
      </x:c>
      <x:c r="E117" s="2" t="str">
        <x:v>Reviewer_A</x:v>
      </x:c>
      <x:c r="F117" s="2" t="str">
        <x:v>S10-R02</x:v>
      </x:c>
      <x:c r="G117" s="2" t="str">
        <x:v>S10-EV01</x:v>
      </x:c>
      <x:c r="H117" s="2" t="str">
        <x:v>S10-T01</x:v>
      </x:c>
      <x:c r="I117" s="2" t="str">
        <x:v>NA</x:v>
      </x:c>
      <x:c r="J117" s="2" t="str">
        <x:v>BTLink</x:v>
      </x:c>
      <x:c r="K117" s="2" t="str">
        <x:v>One-year window after issue creation</x:v>
      </x:c>
      <x:c r="L117" s="2" t="str">
        <x:v>No baseline</x:v>
      </x:c>
      <x:c r="M117" s="2" t="str">
        <x:v>True link coverage</x:v>
      </x:c>
      <x:c r="N117" s="6" t="str">
        <x:v>91.6%</x:v>
      </x:c>
      <x:c r="O117" s="2" t="n">
        <x:v>91.6</x:v>
      </x:c>
      <x:c r="P117" s="2" t="str">
        <x:v>%</x:v>
      </x:c>
      <x:c r="Q117" s="6" t="str">
        <x:v>NA</x:v>
      </x:c>
      <x:c r="R117" s="2" t="str">
        <x:v>NA</x:v>
      </x:c>
      <x:c r="S117" s="2" t="str">
        <x:v>NR</x:v>
      </x:c>
      <x:c r="T117" s="2" t="str">
        <x:v>Not compared</x:v>
      </x:c>
      <x:c r="U117" s="2" t="str">
        <x:v>Not tested</x:v>
      </x:c>
      <x:c r="V117" s="2" t="str">
        <x:v>NR</x:v>
      </x:c>
      <x:c r="W117" s="2" t="str">
        <x:v>NA</x:v>
      </x:c>
      <x:c r="X117" s="2" t="str">
        <x:v>NA</x:v>
      </x:c>
      <x:c r="Y117" s="2" t="str">
        <x:v>NA</x:v>
      </x:c>
      <x:c r="Z117" s="2" t="str">
        <x:v>No</x:v>
      </x:c>
      <x:c r="AA117" s="6" t="str">
        <x:v>p. 5; Section 5.1</x:v>
      </x:c>
      <x:c r="AB117" s="6" t="str">
        <x:v>91.6% and 94.1% of true links for the BTLink and Apache datasets,</x:v>
      </x:c>
      <x:c r="AC117" s="6" t="str">
        <x:v>一年窗口对BTLink覆盖率较低。</x:v>
      </x:c>
      <x:c r="AD117" s="2" t="str">
        <x:v>Accepted</x:v>
      </x:c>
      <x:c r="AE117" s="6" t="str">
        <x:v>NA</x:v>
      </x:c>
    </x:row>
    <x:row r="118" ht="76" customHeight="1">
      <x:c r="A118" s="2" t="str">
        <x:v>S10-RESULT-R03</x:v>
      </x:c>
      <x:c r="B118" s="2" t="str">
        <x:v>S10</x:v>
      </x:c>
      <x:c r="C118" s="2" t="str">
        <x:v>merged_1119-v2</x:v>
      </x:c>
      <x:c r="D118" s="2" t="str">
        <x:v>Reviewer_A</x:v>
      </x:c>
      <x:c r="E118" s="2" t="str">
        <x:v>Reviewer_A</x:v>
      </x:c>
      <x:c r="F118" s="2" t="str">
        <x:v>S10-R03</x:v>
      </x:c>
      <x:c r="G118" s="2" t="str">
        <x:v>S10-EV01</x:v>
      </x:c>
      <x:c r="H118" s="2" t="str">
        <x:v>S10-T01</x:v>
      </x:c>
      <x:c r="I118" s="2" t="str">
        <x:v>NA</x:v>
      </x:c>
      <x:c r="J118" s="2" t="str">
        <x:v>Apache</x:v>
      </x:c>
      <x:c r="K118" s="2" t="str">
        <x:v>One-year window after issue creation</x:v>
      </x:c>
      <x:c r="L118" s="2" t="str">
        <x:v>No baseline</x:v>
      </x:c>
      <x:c r="M118" s="2" t="str">
        <x:v>True link coverage</x:v>
      </x:c>
      <x:c r="N118" s="6" t="str">
        <x:v>94.1%</x:v>
      </x:c>
      <x:c r="O118" s="2" t="n">
        <x:v>94.1</x:v>
      </x:c>
      <x:c r="P118" s="2" t="str">
        <x:v>%</x:v>
      </x:c>
      <x:c r="Q118" s="6" t="str">
        <x:v>NA</x:v>
      </x:c>
      <x:c r="R118" s="2" t="str">
        <x:v>NA</x:v>
      </x:c>
      <x:c r="S118" s="2" t="str">
        <x:v>NR</x:v>
      </x:c>
      <x:c r="T118" s="2" t="str">
        <x:v>Not compared</x:v>
      </x:c>
      <x:c r="U118" s="2" t="str">
        <x:v>Not tested</x:v>
      </x:c>
      <x:c r="V118" s="2" t="str">
        <x:v>NR</x:v>
      </x:c>
      <x:c r="W118" s="2" t="str">
        <x:v>NA</x:v>
      </x:c>
      <x:c r="X118" s="2" t="str">
        <x:v>NA</x:v>
      </x:c>
      <x:c r="Y118" s="2" t="str">
        <x:v>NA</x:v>
      </x:c>
      <x:c r="Z118" s="2" t="str">
        <x:v>No</x:v>
      </x:c>
      <x:c r="AA118" s="6" t="str">
        <x:v>p. 5; Section 5.1</x:v>
      </x:c>
      <x:c r="AB118" s="6" t="str">
        <x:v>91.6% and 94.1% of true links for the BTLink and Apache datasets,</x:v>
      </x:c>
      <x:c r="AC118" s="6" t="str">
        <x:v>一年窗口对Apache覆盖率居中。</x:v>
      </x:c>
      <x:c r="AD118" s="2" t="str">
        <x:v>Accepted</x:v>
      </x:c>
      <x:c r="AE118" s="6" t="str">
        <x:v>NA</x:v>
      </x:c>
    </x:row>
    <x:row r="119" ht="76" customHeight="1">
      <x:c r="A119" s="2" t="str">
        <x:v>S10-RESULT-R04</x:v>
      </x:c>
      <x:c r="B119" s="2" t="str">
        <x:v>S10</x:v>
      </x:c>
      <x:c r="C119" s="2" t="str">
        <x:v>merged_1119-v2</x:v>
      </x:c>
      <x:c r="D119" s="2" t="str">
        <x:v>Reviewer_A</x:v>
      </x:c>
      <x:c r="E119" s="2" t="str">
        <x:v>Reviewer_A</x:v>
      </x:c>
      <x:c r="F119" s="2" t="str">
        <x:v>S10-R04</x:v>
      </x:c>
      <x:c r="G119" s="2" t="str">
        <x:v>S10-EV02</x:v>
      </x:c>
      <x:c r="H119" s="2" t="str">
        <x:v>S10-T01</x:v>
      </x:c>
      <x:c r="I119" s="2" t="str">
        <x:v>NA</x:v>
      </x:c>
      <x:c r="J119" s="2" t="str">
        <x:v>Apache (validation subset)</x:v>
      </x:c>
      <x:c r="K119" s="2" t="str">
        <x:v>Two-author manual verification</x:v>
      </x:c>
      <x:c r="L119" s="2" t="str">
        <x:v>No</x:v>
      </x:c>
      <x:c r="M119" s="2" t="str">
        <x:v>Cohen's kappa</x:v>
      </x:c>
      <x:c r="N119" s="6" t="str">
        <x:v>0.93</x:v>
      </x:c>
      <x:c r="O119" s="2" t="n">
        <x:v>0.93</x:v>
      </x:c>
      <x:c r="P119" s="2" t="str">
        <x:v>proportion</x:v>
      </x:c>
      <x:c r="Q119" s="6" t="str">
        <x:v>NA</x:v>
      </x:c>
      <x:c r="R119" s="2" t="str">
        <x:v>NA</x:v>
      </x:c>
      <x:c r="S119" s="2" t="str">
        <x:v>NR</x:v>
      </x:c>
      <x:c r="T119" s="2" t="str">
        <x:v>Not compared</x:v>
      </x:c>
      <x:c r="U119" s="2" t="str">
        <x:v>Not tested</x:v>
      </x:c>
      <x:c r="V119" s="2" t="str">
        <x:v>Indicates high inter-rater agreement.</x:v>
      </x:c>
      <x:c r="W119" s="2" t="str">
        <x:v>NA</x:v>
      </x:c>
      <x:c r="X119" s="2" t="str">
        <x:v>NA</x:v>
      </x:c>
      <x:c r="Y119" s="2" t="str">
        <x:v>NA</x:v>
      </x:c>
      <x:c r="Z119" s="2" t="str">
        <x:v>No</x:v>
      </x:c>
      <x:c r="AA119" s="6" t="str">
        <x:v>p. 4; Section 3, Dataset Description</x:v>
      </x:c>
      <x:c r="AB119" s="6" t="str">
        <x:v>We obtained a kappa value of 0.93 which indicates a high degree of agreement.</x:v>
      </x:c>
      <x:c r="AC119" s="6" t="str">
        <x:v>数据集标注质量高，可作为可靠ground truth。</x:v>
      </x:c>
      <x:c r="AD119" s="2" t="str">
        <x:v>Accepted</x:v>
      </x:c>
      <x:c r="AE119" s="6" t="str">
        <x:v>NA</x:v>
      </x:c>
    </x:row>
    <x:row r="120" ht="76" customHeight="1">
      <x:c r="A120" s="2" t="str">
        <x:v>S10-RESULT-R05</x:v>
      </x:c>
      <x:c r="B120" s="2" t="str">
        <x:v>S10</x:v>
      </x:c>
      <x:c r="C120" s="2" t="str">
        <x:v>merged_1119-v2</x:v>
      </x:c>
      <x:c r="D120" s="2" t="str">
        <x:v>Reviewer_A</x:v>
      </x:c>
      <x:c r="E120" s="2" t="str">
        <x:v>Reviewer_A</x:v>
      </x:c>
      <x:c r="F120" s="2" t="str">
        <x:v>S10-R05</x:v>
      </x:c>
      <x:c r="G120" s="2" t="str">
        <x:v>S10-EV03</x:v>
      </x:c>
      <x:c r="H120" s="2" t="str">
        <x:v>S10-T01</x:v>
      </x:c>
      <x:c r="I120" s="2" t="str">
        <x:v>NA</x:v>
      </x:c>
      <x:c r="J120" s="2" t="str">
        <x:v>EasyLink</x:v>
      </x:c>
      <x:c r="K120" s="2" t="str">
        <x:v>SBERT Semantic Search (all-MiniLM-L12-v2)</x:v>
      </x:c>
      <x:c r="L120" s="2" t="str">
        <x:v>BM25 (sparse)</x:v>
      </x:c>
      <x:c r="M120" s="2" t="str">
        <x:v>Recall@10</x:v>
      </x:c>
      <x:c r="N120" s="6" t="str">
        <x:v>82.4%</x:v>
      </x:c>
      <x:c r="O120" s="2" t="n">
        <x:v>82.4</x:v>
      </x:c>
      <x:c r="P120" s="2" t="str">
        <x:v>%</x:v>
      </x:c>
      <x:c r="Q120" s="6" t="str">
        <x:v>69.8%</x:v>
      </x:c>
      <x:c r="R120" s="2" t="n">
        <x:v>69.8</x:v>
      </x:c>
      <x:c r="S120" s="2" t="str">
        <x:v>NR</x:v>
      </x:c>
      <x:c r="T120" s="2" t="str">
        <x:v>Better</x:v>
      </x:c>
      <x:c r="U120" s="2" t="str">
        <x:v>Not tested</x:v>
      </x:c>
      <x:c r="V120" s="2" t="str">
        <x:v>Dense methods substantially outperform sparse.</x:v>
      </x:c>
      <x:c r="W120" s="2" t="str">
        <x:v>NA</x:v>
      </x:c>
      <x:c r="X120" s="2" t="str">
        <x:v>NA</x:v>
      </x:c>
      <x:c r="Y120" s="2" t="str">
        <x:v>NA</x:v>
      </x:c>
      <x:c r="Z120" s="2" t="str">
        <x:v>No</x:v>
      </x:c>
      <x:c r="AA120" s="6" t="str">
        <x:v>p. 6; Section 5.2, Results</x:v>
      </x:c>
      <x:c r="AB120" s="6" t="str">
        <x:v>accurately retrieving relevant commits. Our results find that SBERTSS [27] achieves the highest precision and recall for all 𝐾-Values, with R@10 being 82.4%, 88.3%, and 87.8%. Our approximate nearest</x:v>
      </x:c>
      <x:c r="AC120" s="6" t="str">
        <x:v>SBERT-SS在所有K值上召回率最高，展示稠密检索优势。</x:v>
      </x:c>
      <x:c r="AD120" s="2" t="str">
        <x:v>Accepted</x:v>
      </x:c>
      <x:c r="AE120" s="6" t="str">
        <x:v>NA</x:v>
      </x:c>
    </x:row>
    <x:row r="121" ht="76" customHeight="1">
      <x:c r="A121" s="2" t="str">
        <x:v>S10-RESULT-R06</x:v>
      </x:c>
      <x:c r="B121" s="2" t="str">
        <x:v>S10</x:v>
      </x:c>
      <x:c r="C121" s="2" t="str">
        <x:v>merged_1119-v2</x:v>
      </x:c>
      <x:c r="D121" s="2" t="str">
        <x:v>Reviewer_A</x:v>
      </x:c>
      <x:c r="E121" s="2" t="str">
        <x:v>Reviewer_A</x:v>
      </x:c>
      <x:c r="F121" s="2" t="str">
        <x:v>S10-R06</x:v>
      </x:c>
      <x:c r="G121" s="2" t="str">
        <x:v>S10-EV03</x:v>
      </x:c>
      <x:c r="H121" s="2" t="str">
        <x:v>S10-T01</x:v>
      </x:c>
      <x:c r="I121" s="2" t="str">
        <x:v>NA</x:v>
      </x:c>
      <x:c r="J121" s="2" t="str">
        <x:v>BTLink</x:v>
      </x:c>
      <x:c r="K121" s="2" t="str">
        <x:v>SBERT Semantic Search</x:v>
      </x:c>
      <x:c r="L121" s="2" t="str">
        <x:v>BM25</x:v>
      </x:c>
      <x:c r="M121" s="2" t="str">
        <x:v>Recall@10</x:v>
      </x:c>
      <x:c r="N121" s="6" t="str">
        <x:v>88.3%</x:v>
      </x:c>
      <x:c r="O121" s="2" t="n">
        <x:v>88.3</x:v>
      </x:c>
      <x:c r="P121" s="2" t="str">
        <x:v>%</x:v>
      </x:c>
      <x:c r="Q121" s="6" t="str">
        <x:v>75.6%</x:v>
      </x:c>
      <x:c r="R121" s="2" t="n">
        <x:v>75.6</x:v>
      </x:c>
      <x:c r="S121" s="2" t="str">
        <x:v>NR</x:v>
      </x:c>
      <x:c r="T121" s="2" t="str">
        <x:v>Better</x:v>
      </x:c>
      <x:c r="U121" s="2" t="str">
        <x:v>Not tested</x:v>
      </x:c>
      <x:c r="V121" s="2" t="str">
        <x:v>Same as above.</x:v>
      </x:c>
      <x:c r="W121" s="2" t="str">
        <x:v>NA</x:v>
      </x:c>
      <x:c r="X121" s="2" t="str">
        <x:v>NA</x:v>
      </x:c>
      <x:c r="Y121" s="2" t="str">
        <x:v>NA</x:v>
      </x:c>
      <x:c r="Z121" s="2" t="str">
        <x:v>No</x:v>
      </x:c>
      <x:c r="AA121" s="6" t="str">
        <x:v>p. 6; Section 5.2, Results</x:v>
      </x:c>
      <x:c r="AB121" s="6" t="str">
        <x:v>accurately retrieving relevant commits. Our results find that SBERTSS [27] achieves the highest precision and recall for all 𝐾-Values, with R@10 being 82.4%, 88.3%, and 87.8%. Our approximate nearest</x:v>
      </x:c>
      <x:c r="AC121" s="6" t="str">
        <x:v>在BTLink上同样优势明显。</x:v>
      </x:c>
      <x:c r="AD121" s="2" t="str">
        <x:v>Accepted</x:v>
      </x:c>
      <x:c r="AE121" s="6" t="str">
        <x:v>NA</x:v>
      </x:c>
    </x:row>
    <x:row r="122" ht="76" customHeight="1">
      <x:c r="A122" s="2" t="str">
        <x:v>S10-RESULT-R07</x:v>
      </x:c>
      <x:c r="B122" s="2" t="str">
        <x:v>S10</x:v>
      </x:c>
      <x:c r="C122" s="2" t="str">
        <x:v>merged_1119-v2</x:v>
      </x:c>
      <x:c r="D122" s="2" t="str">
        <x:v>Reviewer_A</x:v>
      </x:c>
      <x:c r="E122" s="2" t="str">
        <x:v>Reviewer_A</x:v>
      </x:c>
      <x:c r="F122" s="2" t="str">
        <x:v>S10-R07</x:v>
      </x:c>
      <x:c r="G122" s="2" t="str">
        <x:v>S10-EV03</x:v>
      </x:c>
      <x:c r="H122" s="2" t="str">
        <x:v>S10-T01</x:v>
      </x:c>
      <x:c r="I122" s="2" t="str">
        <x:v>NA</x:v>
      </x:c>
      <x:c r="J122" s="2" t="str">
        <x:v>Apache</x:v>
      </x:c>
      <x:c r="K122" s="2" t="str">
        <x:v>SBERT Semantic Search</x:v>
      </x:c>
      <x:c r="L122" s="2" t="str">
        <x:v>BM25</x:v>
      </x:c>
      <x:c r="M122" s="2" t="str">
        <x:v>Recall@10</x:v>
      </x:c>
      <x:c r="N122" s="6" t="str">
        <x:v>87.8%</x:v>
      </x:c>
      <x:c r="O122" s="2" t="n">
        <x:v>87.8</x:v>
      </x:c>
      <x:c r="P122" s="2" t="str">
        <x:v>%</x:v>
      </x:c>
      <x:c r="Q122" s="6" t="str">
        <x:v>77.3%</x:v>
      </x:c>
      <x:c r="R122" s="2" t="n">
        <x:v>77.3</x:v>
      </x:c>
      <x:c r="S122" s="2" t="str">
        <x:v>NR</x:v>
      </x:c>
      <x:c r="T122" s="2" t="str">
        <x:v>Better</x:v>
      </x:c>
      <x:c r="U122" s="2" t="str">
        <x:v>Not tested</x:v>
      </x:c>
      <x:c r="V122" s="2" t="str">
        <x:v>Same as above.</x:v>
      </x:c>
      <x:c r="W122" s="2" t="str">
        <x:v>NA</x:v>
      </x:c>
      <x:c r="X122" s="2" t="str">
        <x:v>NA</x:v>
      </x:c>
      <x:c r="Y122" s="2" t="str">
        <x:v>NA</x:v>
      </x:c>
      <x:c r="Z122" s="2" t="str">
        <x:v>No</x:v>
      </x:c>
      <x:c r="AA122" s="6" t="str">
        <x:v>p. 6; Section 5.2, Results</x:v>
      </x:c>
      <x:c r="AB122" s="6" t="str">
        <x:v>accurately retrieving relevant commits. Our results find that SBERTSS [27] achieves the highest precision and recall for all 𝐾-Values, with R@10 being 82.4%, 88.3%, and 87.8%. Our approximate nearest</x:v>
      </x:c>
      <x:c r="AC122" s="6" t="str">
        <x:v>在Apache上持续最优。</x:v>
      </x:c>
      <x:c r="AD122" s="2" t="str">
        <x:v>Accepted</x:v>
      </x:c>
      <x:c r="AE122" s="6" t="str">
        <x:v>NA</x:v>
      </x:c>
    </x:row>
    <x:row r="123" ht="76" customHeight="1">
      <x:c r="A123" s="2" t="str">
        <x:v>S10-RESULT-R08</x:v>
      </x:c>
      <x:c r="B123" s="2" t="str">
        <x:v>S10</x:v>
      </x:c>
      <x:c r="C123" s="2" t="str">
        <x:v>merged_1119-v2</x:v>
      </x:c>
      <x:c r="D123" s="2" t="str">
        <x:v>Reviewer_A</x:v>
      </x:c>
      <x:c r="E123" s="2" t="str">
        <x:v>Reviewer_A</x:v>
      </x:c>
      <x:c r="F123" s="2" t="str">
        <x:v>S10-R08</x:v>
      </x:c>
      <x:c r="G123" s="2" t="str">
        <x:v>S10-EV04</x:v>
      </x:c>
      <x:c r="H123" s="2" t="str">
        <x:v>S10-T01</x:v>
      </x:c>
      <x:c r="I123" s="2" t="str">
        <x:v>NA</x:v>
      </x:c>
      <x:c r="J123" s="2" t="str">
        <x:v>EasyLink</x:v>
      </x:c>
      <x:c r="K123" s="2" t="str">
        <x:v>RCLinker (Random Forest with metadata features)</x:v>
      </x:c>
      <x:c r="L123" s="2" t="str">
        <x:v>GPT-5.1</x:v>
      </x:c>
      <x:c r="M123" s="2" t="str">
        <x:v>Precision@1</x:v>
      </x:c>
      <x:c r="N123" s="6" t="str">
        <x:v>84.2%</x:v>
      </x:c>
      <x:c r="O123" s="2" t="n">
        <x:v>84.2</x:v>
      </x:c>
      <x:c r="P123" s="2" t="str">
        <x:v>%</x:v>
      </x:c>
      <x:c r="Q123" s="6" t="str">
        <x:v>82.2%</x:v>
      </x:c>
      <x:c r="R123" s="2" t="n">
        <x:v>82.2</x:v>
      </x:c>
      <x:c r="S123" s="2" t="str">
        <x:v>NR</x:v>
      </x:c>
      <x:c r="T123" s="2" t="str">
        <x:v>Better</x:v>
      </x:c>
      <x:c r="U123" s="2" t="str">
        <x:v>Not tested</x:v>
      </x:c>
      <x:c r="V123" s="2" t="str">
        <x:v>RCLinker outperforms GPT-5.1 in P@1 on EasyLink.</x:v>
      </x:c>
      <x:c r="W123" s="2" t="str">
        <x:v>NA</x:v>
      </x:c>
      <x:c r="X123" s="2" t="str">
        <x:v>Training time: hours; inference: minutes (much cheaper than LLM API call).</x:v>
      </x:c>
      <x:c r="Y123" s="2" t="str">
        <x:v>NA</x:v>
      </x:c>
      <x:c r="Z123" s="2" t="str">
        <x:v>No</x:v>
      </x:c>
      <x:c r="AA123" s="6" t="str">
        <x:v>p. 8; Section 5.3, Results</x:v>
      </x:c>
      <x:c r="AB123" s="6" t="str">
        <x:v>RCLinker consistently achieves the strongest performance across datasets, achieving precision@1 of 84.2%, 93.6% and 94.9% across our datasets</x:v>
      </x:c>
      <x:c r="AC123" s="6" t="str">
        <x:v>传统ML方法可将真实链接排在首位，效果好于多数LLM。</x:v>
      </x:c>
      <x:c r="AD123" s="2" t="str">
        <x:v>Accepted</x:v>
      </x:c>
      <x:c r="AE123" s="6" t="str">
        <x:v>NA</x:v>
      </x:c>
    </x:row>
    <x:row r="124" ht="76" customHeight="1">
      <x:c r="A124" s="2" t="str">
        <x:v>S10-RESULT-R09</x:v>
      </x:c>
      <x:c r="B124" s="2" t="str">
        <x:v>S10</x:v>
      </x:c>
      <x:c r="C124" s="2" t="str">
        <x:v>merged_1119-v2</x:v>
      </x:c>
      <x:c r="D124" s="2" t="str">
        <x:v>Reviewer_A</x:v>
      </x:c>
      <x:c r="E124" s="2" t="str">
        <x:v>Reviewer_A</x:v>
      </x:c>
      <x:c r="F124" s="2" t="str">
        <x:v>S10-R09</x:v>
      </x:c>
      <x:c r="G124" s="2" t="str">
        <x:v>S10-EV04</x:v>
      </x:c>
      <x:c r="H124" s="2" t="str">
        <x:v>S10-T01</x:v>
      </x:c>
      <x:c r="I124" s="2" t="str">
        <x:v>NA</x:v>
      </x:c>
      <x:c r="J124" s="2" t="str">
        <x:v>BTLink</x:v>
      </x:c>
      <x:c r="K124" s="2" t="str">
        <x:v>RCLinker</x:v>
      </x:c>
      <x:c r="L124" s="2" t="str">
        <x:v>GPT-5.1</x:v>
      </x:c>
      <x:c r="M124" s="2" t="str">
        <x:v>Precision@1</x:v>
      </x:c>
      <x:c r="N124" s="6" t="str">
        <x:v>93.6%</x:v>
      </x:c>
      <x:c r="O124" s="2" t="n">
        <x:v>93.6</x:v>
      </x:c>
      <x:c r="P124" s="2" t="str">
        <x:v>%</x:v>
      </x:c>
      <x:c r="Q124" s="6" t="str">
        <x:v>92.0%</x:v>
      </x:c>
      <x:c r="R124" s="2" t="n">
        <x:v>92</x:v>
      </x:c>
      <x:c r="S124" s="2" t="str">
        <x:v>NR</x:v>
      </x:c>
      <x:c r="T124" s="2" t="str">
        <x:v>Better</x:v>
      </x:c>
      <x:c r="U124" s="2" t="str">
        <x:v>Not tested</x:v>
      </x:c>
      <x:c r="V124" s="2" t="str">
        <x:v>RCLinker also leads on BTLink.</x:v>
      </x:c>
      <x:c r="W124" s="2" t="str">
        <x:v>NA</x:v>
      </x:c>
      <x:c r="X124" s="2" t="str">
        <x:v>NA</x:v>
      </x:c>
      <x:c r="Y124" s="2" t="str">
        <x:v>NA</x:v>
      </x:c>
      <x:c r="Z124" s="2" t="str">
        <x:v>No</x:v>
      </x:c>
      <x:c r="AA124" s="6" t="str">
        <x:v>p. 8; Section 5.3, Results</x:v>
      </x:c>
      <x:c r="AB124" s="6" t="str">
        <x:v>RCLinker consistently achieves the strongest performance across datasets, achieving precision@1 of 84.2%, 93.6% and 94.9% across our datasets</x:v>
      </x:c>
      <x:c r="AC124" s="6" t="str">
        <x:v>在BTLink上同样最优。</x:v>
      </x:c>
      <x:c r="AD124" s="2" t="str">
        <x:v>Accepted</x:v>
      </x:c>
      <x:c r="AE124" s="6" t="str">
        <x:v>NA</x:v>
      </x:c>
    </x:row>
    <x:row r="125" ht="76" customHeight="1">
      <x:c r="A125" s="2" t="str">
        <x:v>S10-RESULT-R10</x:v>
      </x:c>
      <x:c r="B125" s="2" t="str">
        <x:v>S10</x:v>
      </x:c>
      <x:c r="C125" s="2" t="str">
        <x:v>merged_1119-v2</x:v>
      </x:c>
      <x:c r="D125" s="2" t="str">
        <x:v>Reviewer_A</x:v>
      </x:c>
      <x:c r="E125" s="2" t="str">
        <x:v>Reviewer_A</x:v>
      </x:c>
      <x:c r="F125" s="2" t="str">
        <x:v>S10-R10</x:v>
      </x:c>
      <x:c r="G125" s="2" t="str">
        <x:v>S10-EV04</x:v>
      </x:c>
      <x:c r="H125" s="2" t="str">
        <x:v>S10-T01</x:v>
      </x:c>
      <x:c r="I125" s="2" t="str">
        <x:v>NA</x:v>
      </x:c>
      <x:c r="J125" s="2" t="str">
        <x:v>Apache</x:v>
      </x:c>
      <x:c r="K125" s="2" t="str">
        <x:v>RCLinker</x:v>
      </x:c>
      <x:c r="L125" s="2" t="str">
        <x:v>GPT-5.1</x:v>
      </x:c>
      <x:c r="M125" s="2" t="str">
        <x:v>Precision@1</x:v>
      </x:c>
      <x:c r="N125" s="6" t="str">
        <x:v>94.9%</x:v>
      </x:c>
      <x:c r="O125" s="2" t="n">
        <x:v>94.9</x:v>
      </x:c>
      <x:c r="P125" s="2" t="str">
        <x:v>%</x:v>
      </x:c>
      <x:c r="Q125" s="6" t="str">
        <x:v>95.3%</x:v>
      </x:c>
      <x:c r="R125" s="2" t="n">
        <x:v>95.3</x:v>
      </x:c>
      <x:c r="S125" s="2" t="str">
        <x:v>NR</x:v>
      </x:c>
      <x:c r="T125" s="2" t="str">
        <x:v>Comparable</x:v>
      </x:c>
      <x:c r="U125" s="2" t="str">
        <x:v>Not tested</x:v>
      </x:c>
      <x:c r="V125" s="2" t="str">
        <x:v>On Apache, GPT-5.1 slightly edges out RCLinker in P@1, but difference marginal.</x:v>
      </x:c>
      <x:c r="W125" s="2" t="str">
        <x:v>NA</x:v>
      </x:c>
      <x:c r="X125" s="2" t="str">
        <x:v>NA</x:v>
      </x:c>
      <x:c r="Y125" s="2" t="str">
        <x:v>NA</x:v>
      </x:c>
      <x:c r="Z125" s="2" t="str">
        <x:v>No</x:v>
      </x:c>
      <x:c r="AA125" s="6" t="str">
        <x:v>p. 8; Section 5.3, Results</x:v>
      </x:c>
      <x:c r="AB125" s="6" t="str">
        <x:v>RCLinker consistently achieves the strongest performance across datasets, achieving precision@1 of 84.2%, 93.6% and 94.9% across our datasets</x:v>
      </x:c>
      <x:c r="AC125" s="6" t="str">
        <x:v>Apache数据集上GPT-5.1 P@1达到95.3%，与RCLinker 94.9%接近。</x:v>
      </x:c>
      <x:c r="AD125" s="2" t="str">
        <x:v>Accepted</x:v>
      </x:c>
      <x:c r="AE125" s="6" t="str">
        <x:v>NA</x:v>
      </x:c>
    </x:row>
    <x:row r="126" ht="76" customHeight="1">
      <x:c r="A126" s="2" t="str">
        <x:v>S10-RESULT-R11</x:v>
      </x:c>
      <x:c r="B126" s="2" t="str">
        <x:v>S10</x:v>
      </x:c>
      <x:c r="C126" s="2" t="str">
        <x:v>merged_1119-v2</x:v>
      </x:c>
      <x:c r="D126" s="2" t="str">
        <x:v>Reviewer_A</x:v>
      </x:c>
      <x:c r="E126" s="2" t="str">
        <x:v>Reviewer_A</x:v>
      </x:c>
      <x:c r="F126" s="2" t="str">
        <x:v>S10-R11</x:v>
      </x:c>
      <x:c r="G126" s="2" t="str">
        <x:v>S10-EV04</x:v>
      </x:c>
      <x:c r="H126" s="2" t="str">
        <x:v>S10-T01</x:v>
      </x:c>
      <x:c r="I126" s="2" t="str">
        <x:v>NA</x:v>
      </x:c>
      <x:c r="J126" s="2" t="str">
        <x:v>EasyLink</x:v>
      </x:c>
      <x:c r="K126" s="2" t="str">
        <x:v>Hybrid-Linker (Gradient Boosting + XGBoost ensemble)</x:v>
      </x:c>
      <x:c r="L126" s="2" t="str">
        <x:v>RCLinker</x:v>
      </x:c>
      <x:c r="M126" s="2" t="str">
        <x:v>Precision@1</x:v>
      </x:c>
      <x:c r="N126" s="6" t="str">
        <x:v>0.087</x:v>
      </x:c>
      <x:c r="O126" s="2" t="n">
        <x:v>0.087</x:v>
      </x:c>
      <x:c r="P126" s="2" t="str">
        <x:v>proportion</x:v>
      </x:c>
      <x:c r="Q126" s="6" t="str">
        <x:v>0.842</x:v>
      </x:c>
      <x:c r="R126" s="2" t="n">
        <x:v>0.842</x:v>
      </x:c>
      <x:c r="S126" s="2" t="str">
        <x:v>NR</x:v>
      </x:c>
      <x:c r="T126" s="2" t="str">
        <x:v>Worse</x:v>
      </x:c>
      <x:c r="U126" s="2" t="str">
        <x:v>Not tested</x:v>
      </x:c>
      <x:c r="V126" s="2" t="str">
        <x:v>Extremely poor performance; degrades reranking quality.</x:v>
      </x:c>
      <x:c r="W126" s="2" t="str">
        <x:v>NA</x:v>
      </x:c>
      <x:c r="X126" s="2" t="str">
        <x:v>NA</x:v>
      </x:c>
      <x:c r="Y126" s="2" t="str">
        <x:v>Hybrid-Linker ended up ranking true links very low.</x:v>
      </x:c>
      <x:c r="Z126" s="2" t="str">
        <x:v>Yes</x:v>
      </x:c>
      <x:c r="AA126" s="6" t="str">
        <x:v>p. 9; Table 2, row Hybrid-Linker EasyLink</x:v>
      </x:c>
      <x:c r="AB126" s="6" t="str">
        <x:v>Hybird-Linker EasyLink 0.087 0.067 0.070 0.567 0.527 0.190 0.264 0.060 0.916 0.884 0.215 0.361</x:v>
      </x:c>
      <x:c r="AC126" s="6" t="str">
        <x:v>Hybrid-Linker性能极差，表明集成学习方法不一定有效。</x:v>
      </x:c>
      <x:c r="AD126" s="2" t="str">
        <x:v>Accepted</x:v>
      </x:c>
      <x:c r="AE126" s="6" t="str">
        <x:v>该结果为明确的负面发现。</x:v>
      </x:c>
    </x:row>
    <x:row r="127" ht="76" customHeight="1">
      <x:c r="A127" s="2" t="str">
        <x:v>S10-RESULT-R12</x:v>
      </x:c>
      <x:c r="B127" s="2" t="str">
        <x:v>S10</x:v>
      </x:c>
      <x:c r="C127" s="2" t="str">
        <x:v>merged_1119-v2</x:v>
      </x:c>
      <x:c r="D127" s="2" t="str">
        <x:v>Reviewer_A</x:v>
      </x:c>
      <x:c r="E127" s="2" t="str">
        <x:v>Reviewer_A</x:v>
      </x:c>
      <x:c r="F127" s="2" t="str">
        <x:v>S10-R12</x:v>
      </x:c>
      <x:c r="G127" s="2" t="str">
        <x:v>S10-EV04</x:v>
      </x:c>
      <x:c r="H127" s="2" t="str">
        <x:v>S10-T01</x:v>
      </x:c>
      <x:c r="I127" s="2" t="str">
        <x:v>S10-MU01</x:v>
      </x:c>
      <x:c r="J127" s="2" t="str">
        <x:v>All</x:v>
      </x:c>
      <x:c r="K127" s="2" t="str">
        <x:v>GPT-5.1 (OpenAI API)</x:v>
      </x:c>
      <x:c r="L127" s="2" t="str">
        <x:v>No baseline</x:v>
      </x:c>
      <x:c r="M127" s="2" t="str">
        <x:v>Cost</x:v>
      </x:c>
      <x:c r="N127" s="6" t="str">
        <x:v>$128.10 USD in total, or approximately $0.004 USD per issue</x:v>
      </x:c>
      <x:c r="O127" s="2" t="n">
        <x:v>128.1</x:v>
      </x:c>
      <x:c r="P127" s="2" t="str">
        <x:v>USD</x:v>
      </x:c>
      <x:c r="Q127" s="6" t="str">
        <x:v>NA</x:v>
      </x:c>
      <x:c r="R127" s="2" t="str">
        <x:v>NA</x:v>
      </x:c>
      <x:c r="S127" s="2" t="str">
        <x:v>NR</x:v>
      </x:c>
      <x:c r="T127" s="2" t="str">
        <x:v>Not compared</x:v>
      </x:c>
      <x:c r="U127" s="2" t="str">
        <x:v>NA</x:v>
      </x:c>
      <x:c r="V127" s="2" t="str">
        <x:v>Modest per-issue cost but scales linearly and may be prohibitive for very large repos.</x:v>
      </x:c>
      <x:c r="W127" s="2" t="str">
        <x:v>$128.10 total for 41,203 test issues (batch API with 50% discount).</x:v>
      </x:c>
      <x:c r="X127" s="2" t="str">
        <x:v>NA</x:v>
      </x:c>
      <x:c r="Y127" s="2" t="str">
        <x:v>NA</x:v>
      </x:c>
      <x:c r="Z127" s="2" t="str">
        <x:v>No</x:v>
      </x:c>
      <x:c r="AA127" s="6" t="str">
        <x:v>p. 8; Section 6, Key Takeaways, Computational Cost</x:v>
      </x:c>
      <x:c r="AB127" s="6" t="str">
        <x:v>Evaluating GPT-5.1 across all 41,203 test issues cost $128.10 USD in total, or approximately $0.004 USD per issue, using OpenAI’s batch API at a 50% discount over standard pricing.</x:v>
      </x:c>
      <x:c r="AC127" s="6" t="str">
        <x:v>LLM API调用存在直接成本，而传统模型无此开销。</x:v>
      </x:c>
      <x:c r="AD127" s="2" t="str">
        <x:v>Accepted</x:v>
      </x:c>
      <x:c r="AE127" s="6" t="str">
        <x:v>NA</x:v>
      </x:c>
    </x:row>
    <x:row r="128" ht="76" customHeight="1">
      <x:c r="A128" s="2" t="str">
        <x:v>S11-RESULT-R01</x:v>
      </x:c>
      <x:c r="B128" s="2" t="str">
        <x:v>S11</x:v>
      </x:c>
      <x:c r="C128" s="2" t="str">
        <x:v>merged_1121-v1</x:v>
      </x:c>
      <x:c r="D128" s="2" t="str">
        <x:v>Reviewer_A</x:v>
      </x:c>
      <x:c r="E128" s="2" t="str">
        <x:v>Reviewer_A</x:v>
      </x:c>
      <x:c r="F128" s="2" t="str">
        <x:v>S11-R01</x:v>
      </x:c>
      <x:c r="G128" s="2" t="str">
        <x:v>S11-EV01</x:v>
      </x:c>
      <x:c r="H128" s="2" t="str">
        <x:v>S11-T01</x:v>
      </x:c>
      <x:c r="I128" s="2" t="str">
        <x:v>NA</x:v>
      </x:c>
      <x:c r="J128" s="2" t="str">
        <x:v>iTrust</x:v>
      </x:c>
      <x:c r="K128" s="2" t="str">
        <x:v>BM25</x:v>
      </x:c>
      <x:c r="L128" s="2" t="str">
        <x:v>RAG+LLM</x:v>
      </x:c>
      <x:c r="M128" s="2" t="str">
        <x:v>F1</x:v>
      </x:c>
      <x:c r="N128" s="6" t="str">
        <x:v>0.6158</x:v>
      </x:c>
      <x:c r="O128" s="2" t="n">
        <x:v>0.6158</x:v>
      </x:c>
      <x:c r="P128" s="2" t="str">
        <x:v>%</x:v>
      </x:c>
      <x:c r="Q128" s="6" t="str">
        <x:v>0.6949</x:v>
      </x:c>
      <x:c r="R128" s="2" t="n">
        <x:v>0.6949</x:v>
      </x:c>
      <x:c r="S128" s="2" t="str">
        <x:v>NR</x:v>
      </x:c>
      <x:c r="T128" s="2" t="str">
        <x:v>Worse</x:v>
      </x:c>
      <x:c r="U128" s="2" t="str">
        <x:v>Not tested</x:v>
      </x:c>
      <x:c r="V128" s="2" t="str">
        <x:v>明显较低</x:v>
      </x:c>
      <x:c r="W128" s="2" t="str">
        <x:v>NR</x:v>
      </x:c>
      <x:c r="X128" s="2" t="str">
        <x:v>NR</x:v>
      </x:c>
      <x:c r="Y128" s="2" t="str">
        <x:v>NR</x:v>
      </x:c>
      <x:c r="Z128" s="2" t="str">
        <x:v>No</x:v>
      </x:c>
      <x:c r="AA128" s="6" t="str">
        <x:v>p. 7; Table III</x:v>
      </x:c>
      <x:c r="AB128" s="6" t="str">
        <x:v>BM25 0.6158 0.6084 0.6234 0.7234 0.5845 0.5234</x:v>
      </x:c>
      <x:c r="AC128" s="6" t="str">
        <x:v>BM25的F1分数远低于RAG+LLM和R2Code。</x:v>
      </x:c>
      <x:c r="AD128" s="2" t="str">
        <x:v>Accepted</x:v>
      </x:c>
      <x:c r="AE128" s="6" t="str">
        <x:v>NA</x:v>
      </x:c>
    </x:row>
    <x:row r="129" ht="76" customHeight="1">
      <x:c r="A129" s="2" t="str">
        <x:v>S11-RESULT-R02</x:v>
      </x:c>
      <x:c r="B129" s="2" t="str">
        <x:v>S11</x:v>
      </x:c>
      <x:c r="C129" s="2" t="str">
        <x:v>merged_1121-v1</x:v>
      </x:c>
      <x:c r="D129" s="2" t="str">
        <x:v>Reviewer_A</x:v>
      </x:c>
      <x:c r="E129" s="2" t="str">
        <x:v>Reviewer_A</x:v>
      </x:c>
      <x:c r="F129" s="2" t="str">
        <x:v>S11-R02</x:v>
      </x:c>
      <x:c r="G129" s="2" t="str">
        <x:v>S11-EV01</x:v>
      </x:c>
      <x:c r="H129" s="2" t="str">
        <x:v>S11-T01</x:v>
      </x:c>
      <x:c r="I129" s="2" t="str">
        <x:v>NA</x:v>
      </x:c>
      <x:c r="J129" s="2" t="str">
        <x:v>iTrust</x:v>
      </x:c>
      <x:c r="K129" s="2" t="str">
        <x:v>TF-IDF</x:v>
      </x:c>
      <x:c r="L129" s="2" t="str">
        <x:v>RAG+LLM</x:v>
      </x:c>
      <x:c r="M129" s="2" t="str">
        <x:v>F1</x:v>
      </x:c>
      <x:c r="N129" s="6" t="str">
        <x:v>0.6068</x:v>
      </x:c>
      <x:c r="O129" s="2" t="n">
        <x:v>0.6068</x:v>
      </x:c>
      <x:c r="P129" s="2" t="str">
        <x:v>%</x:v>
      </x:c>
      <x:c r="Q129" s="6" t="str">
        <x:v>0.6949</x:v>
      </x:c>
      <x:c r="R129" s="2" t="n">
        <x:v>0.6949</x:v>
      </x:c>
      <x:c r="S129" s="2" t="str">
        <x:v>NR</x:v>
      </x:c>
      <x:c r="T129" s="2" t="str">
        <x:v>Worse</x:v>
      </x:c>
      <x:c r="U129" s="2" t="str">
        <x:v>Not tested</x:v>
      </x:c>
      <x:c r="V129" s="2" t="str">
        <x:v>明显较低</x:v>
      </x:c>
      <x:c r="W129" s="2" t="str">
        <x:v>NR</x:v>
      </x:c>
      <x:c r="X129" s="2" t="str">
        <x:v>NR</x:v>
      </x:c>
      <x:c r="Y129" s="2" t="str">
        <x:v>NR</x:v>
      </x:c>
      <x:c r="Z129" s="2" t="str">
        <x:v>No</x:v>
      </x:c>
      <x:c r="AA129" s="6" t="str">
        <x:v>p. 7; Table III</x:v>
      </x:c>
      <x:c r="AB129" s="6" t="str">
        <x:v>TF-IDF 0.6068 0.6014 0.6123 0.7089 0.5712 0.5123</x:v>
      </x:c>
      <x:c r="AC129" s="6" t="str">
        <x:v>TF-IDF的F1低于RAG+LLM。</x:v>
      </x:c>
      <x:c r="AD129" s="2" t="str">
        <x:v>Accepted</x:v>
      </x:c>
      <x:c r="AE129" s="6" t="str">
        <x:v>NA</x:v>
      </x:c>
    </x:row>
    <x:row r="130" ht="76" customHeight="1">
      <x:c r="A130" s="2" t="str">
        <x:v>S11-RESULT-R03</x:v>
      </x:c>
      <x:c r="B130" s="2" t="str">
        <x:v>S11</x:v>
      </x:c>
      <x:c r="C130" s="2" t="str">
        <x:v>merged_1121-v1</x:v>
      </x:c>
      <x:c r="D130" s="2" t="str">
        <x:v>Reviewer_A</x:v>
      </x:c>
      <x:c r="E130" s="2" t="str">
        <x:v>Reviewer_A</x:v>
      </x:c>
      <x:c r="F130" s="2" t="str">
        <x:v>S11-R03</x:v>
      </x:c>
      <x:c r="G130" s="2" t="str">
        <x:v>S11-EV01</x:v>
      </x:c>
      <x:c r="H130" s="2" t="str">
        <x:v>S11-T01</x:v>
      </x:c>
      <x:c r="I130" s="2" t="str">
        <x:v>NA</x:v>
      </x:c>
      <x:c r="J130" s="2" t="str">
        <x:v>iTrust</x:v>
      </x:c>
      <x:c r="K130" s="2" t="str">
        <x:v>VSM</x:v>
      </x:c>
      <x:c r="L130" s="2" t="str">
        <x:v>RAG+LLM</x:v>
      </x:c>
      <x:c r="M130" s="2" t="str">
        <x:v>F1</x:v>
      </x:c>
      <x:c r="N130" s="6" t="str">
        <x:v>0.5928</x:v>
      </x:c>
      <x:c r="O130" s="2" t="n">
        <x:v>0.5928</x:v>
      </x:c>
      <x:c r="P130" s="2" t="str">
        <x:v>%</x:v>
      </x:c>
      <x:c r="Q130" s="6" t="str">
        <x:v>0.6949</x:v>
      </x:c>
      <x:c r="R130" s="2" t="n">
        <x:v>0.6949</x:v>
      </x:c>
      <x:c r="S130" s="2" t="str">
        <x:v>NR</x:v>
      </x:c>
      <x:c r="T130" s="2" t="str">
        <x:v>Worse</x:v>
      </x:c>
      <x:c r="U130" s="2" t="str">
        <x:v>Not tested</x:v>
      </x:c>
      <x:c r="V130" s="2" t="str">
        <x:v>明显较低</x:v>
      </x:c>
      <x:c r="W130" s="2" t="str">
        <x:v>NR</x:v>
      </x:c>
      <x:c r="X130" s="2" t="str">
        <x:v>NR</x:v>
      </x:c>
      <x:c r="Y130" s="2" t="str">
        <x:v>NR</x:v>
      </x:c>
      <x:c r="Z130" s="2" t="str">
        <x:v>No</x:v>
      </x:c>
      <x:c r="AA130" s="6" t="str">
        <x:v>p. 7; Table III</x:v>
      </x:c>
      <x:c r="AB130" s="6" t="str">
        <x:v>VSM 0.5928 0.5876 0.5981 0.6924 0.5568 0.4987</x:v>
      </x:c>
      <x:c r="AC130" s="6" t="str">
        <x:v>VSM的F1较低。</x:v>
      </x:c>
      <x:c r="AD130" s="2" t="str">
        <x:v>Accepted</x:v>
      </x:c>
      <x:c r="AE130" s="6" t="str">
        <x:v>NA</x:v>
      </x:c>
    </x:row>
    <x:row r="131" ht="76" customHeight="1">
      <x:c r="A131" s="2" t="str">
        <x:v>S11-RESULT-R04</x:v>
      </x:c>
      <x:c r="B131" s="2" t="str">
        <x:v>S11</x:v>
      </x:c>
      <x:c r="C131" s="2" t="str">
        <x:v>merged_1121-v1</x:v>
      </x:c>
      <x:c r="D131" s="2" t="str">
        <x:v>Reviewer_A</x:v>
      </x:c>
      <x:c r="E131" s="2" t="str">
        <x:v>Reviewer_A</x:v>
      </x:c>
      <x:c r="F131" s="2" t="str">
        <x:v>S11-R04</x:v>
      </x:c>
      <x:c r="G131" s="2" t="str">
        <x:v>S11-EV01</x:v>
      </x:c>
      <x:c r="H131" s="2" t="str">
        <x:v>S11-T01</x:v>
      </x:c>
      <x:c r="I131" s="2" t="str">
        <x:v>NA</x:v>
      </x:c>
      <x:c r="J131" s="2" t="str">
        <x:v>iTrust</x:v>
      </x:c>
      <x:c r="K131" s="2" t="str">
        <x:v>LSI</x:v>
      </x:c>
      <x:c r="L131" s="2" t="str">
        <x:v>RAG+LLM</x:v>
      </x:c>
      <x:c r="M131" s="2" t="str">
        <x:v>F1</x:v>
      </x:c>
      <x:c r="N131" s="6" t="str">
        <x:v>0.5684</x:v>
      </x:c>
      <x:c r="O131" s="2" t="n">
        <x:v>0.5684</x:v>
      </x:c>
      <x:c r="P131" s="2" t="str">
        <x:v>%</x:v>
      </x:c>
      <x:c r="Q131" s="6" t="str">
        <x:v>0.6949</x:v>
      </x:c>
      <x:c r="R131" s="2" t="n">
        <x:v>0.6949</x:v>
      </x:c>
      <x:c r="S131" s="2" t="str">
        <x:v>NR</x:v>
      </x:c>
      <x:c r="T131" s="2" t="str">
        <x:v>Worse</x:v>
      </x:c>
      <x:c r="U131" s="2" t="str">
        <x:v>Not tested</x:v>
      </x:c>
      <x:c r="V131" s="2" t="str">
        <x:v>明显较低</x:v>
      </x:c>
      <x:c r="W131" s="2" t="str">
        <x:v>NR</x:v>
      </x:c>
      <x:c r="X131" s="2" t="str">
        <x:v>NR</x:v>
      </x:c>
      <x:c r="Y131" s="2" t="str">
        <x:v>NR</x:v>
      </x:c>
      <x:c r="Z131" s="2" t="str">
        <x:v>No</x:v>
      </x:c>
      <x:c r="AA131" s="6" t="str">
        <x:v>p. 7; Table III</x:v>
      </x:c>
      <x:c r="AB131" s="6" t="str">
        <x:v>LSI 0.5684 0.5623 0.5746 0.6689 0.5321 0.4715</x:v>
      </x:c>
      <x:c r="AC131" s="6" t="str">
        <x:v>LSI的F1是所有IR方法中最低的。</x:v>
      </x:c>
      <x:c r="AD131" s="2" t="str">
        <x:v>Accepted</x:v>
      </x:c>
      <x:c r="AE131" s="6" t="str">
        <x:v>NA</x:v>
      </x:c>
    </x:row>
    <x:row r="132" ht="76" customHeight="1">
      <x:c r="A132" s="2" t="str">
        <x:v>S11-RESULT-R05</x:v>
      </x:c>
      <x:c r="B132" s="2" t="str">
        <x:v>S11</x:v>
      </x:c>
      <x:c r="C132" s="2" t="str">
        <x:v>merged_1121-v1</x:v>
      </x:c>
      <x:c r="D132" s="2" t="str">
        <x:v>Reviewer_A</x:v>
      </x:c>
      <x:c r="E132" s="2" t="str">
        <x:v>Reviewer_A</x:v>
      </x:c>
      <x:c r="F132" s="2" t="str">
        <x:v>S11-R05</x:v>
      </x:c>
      <x:c r="G132" s="2" t="str">
        <x:v>S11-EV01</x:v>
      </x:c>
      <x:c r="H132" s="2" t="str">
        <x:v>S11-T01</x:v>
      </x:c>
      <x:c r="I132" s="2" t="str">
        <x:v>NA</x:v>
      </x:c>
      <x:c r="J132" s="2" t="str">
        <x:v>iTrust</x:v>
      </x:c>
      <x:c r="K132" s="2" t="str">
        <x:v>WMD</x:v>
      </x:c>
      <x:c r="L132" s="2" t="str">
        <x:v>RAG+LLM</x:v>
      </x:c>
      <x:c r="M132" s="2" t="str">
        <x:v>F1</x:v>
      </x:c>
      <x:c r="N132" s="6" t="str">
        <x:v>0.5910</x:v>
      </x:c>
      <x:c r="O132" s="2" t="n">
        <x:v>0.591</x:v>
      </x:c>
      <x:c r="P132" s="2" t="str">
        <x:v>%</x:v>
      </x:c>
      <x:c r="Q132" s="6" t="str">
        <x:v>0.6949</x:v>
      </x:c>
      <x:c r="R132" s="2" t="n">
        <x:v>0.6949</x:v>
      </x:c>
      <x:c r="S132" s="2" t="str">
        <x:v>NR</x:v>
      </x:c>
      <x:c r="T132" s="2" t="str">
        <x:v>Worse</x:v>
      </x:c>
      <x:c r="U132" s="2" t="str">
        <x:v>Not tested</x:v>
      </x:c>
      <x:c r="V132" s="2" t="str">
        <x:v>明显较低</x:v>
      </x:c>
      <x:c r="W132" s="2" t="str">
        <x:v>NR</x:v>
      </x:c>
      <x:c r="X132" s="2" t="str">
        <x:v>NR</x:v>
      </x:c>
      <x:c r="Y132" s="2" t="str">
        <x:v>NR</x:v>
      </x:c>
      <x:c r="Z132" s="2" t="str">
        <x:v>No</x:v>
      </x:c>
      <x:c r="AA132" s="6" t="str">
        <x:v>p. 7; Table III</x:v>
      </x:c>
      <x:c r="AB132" s="6" t="str">
        <x:v>WMD 0.5910 0.5944 0.5876 0.6945 0.5523 0.3894</x:v>
      </x:c>
      <x:c r="AC132" s="6" t="str">
        <x:v>WMD的F1较低。</x:v>
      </x:c>
      <x:c r="AD132" s="2" t="str">
        <x:v>Accepted</x:v>
      </x:c>
      <x:c r="AE132" s="6" t="str">
        <x:v>NA</x:v>
      </x:c>
    </x:row>
    <x:row r="133" ht="76" customHeight="1">
      <x:c r="A133" s="2" t="str">
        <x:v>S11-RESULT-R06</x:v>
      </x:c>
      <x:c r="B133" s="2" t="str">
        <x:v>S11</x:v>
      </x:c>
      <x:c r="C133" s="2" t="str">
        <x:v>merged_1121-v1</x:v>
      </x:c>
      <x:c r="D133" s="2" t="str">
        <x:v>Reviewer_A</x:v>
      </x:c>
      <x:c r="E133" s="2" t="str">
        <x:v>Reviewer_A</x:v>
      </x:c>
      <x:c r="F133" s="2" t="str">
        <x:v>S11-R06</x:v>
      </x:c>
      <x:c r="G133" s="2" t="str">
        <x:v>S11-EV01</x:v>
      </x:c>
      <x:c r="H133" s="2" t="str">
        <x:v>S11-T01</x:v>
      </x:c>
      <x:c r="I133" s="2" t="str">
        <x:v>NA</x:v>
      </x:c>
      <x:c r="J133" s="2" t="str">
        <x:v>iTrust</x:v>
      </x:c>
      <x:c r="K133" s="2" t="str">
        <x:v>RAG+LLM</x:v>
      </x:c>
      <x:c r="L133" s="2" t="str">
        <x:v>RAG+LLM</x:v>
      </x:c>
      <x:c r="M133" s="2" t="str">
        <x:v>F1</x:v>
      </x:c>
      <x:c r="N133" s="6" t="str">
        <x:v>0.6949</x:v>
      </x:c>
      <x:c r="O133" s="2" t="n">
        <x:v>0.6949</x:v>
      </x:c>
      <x:c r="P133" s="2" t="str">
        <x:v>%</x:v>
      </x:c>
      <x:c r="Q133" s="6" t="str">
        <x:v>0.6949</x:v>
      </x:c>
      <x:c r="R133" s="2" t="n">
        <x:v>0.6949</x:v>
      </x:c>
      <x:c r="S133" s="2" t="str">
        <x:v>NR</x:v>
      </x:c>
      <x:c r="T133" s="2" t="str">
        <x:v>Not compared</x:v>
      </x:c>
      <x:c r="U133" s="2" t="str">
        <x:v>Not tested</x:v>
      </x:c>
      <x:c r="V133" s="2" t="str">
        <x:v>基线</x:v>
      </x:c>
      <x:c r="W133" s="2" t="str">
        <x:v>NR</x:v>
      </x:c>
      <x:c r="X133" s="2" t="str">
        <x:v>NR</x:v>
      </x:c>
      <x:c r="Y133" s="2" t="str">
        <x:v>NR</x:v>
      </x:c>
      <x:c r="Z133" s="2" t="str">
        <x:v>No</x:v>
      </x:c>
      <x:c r="AA133" s="6" t="str">
        <x:v>p. 7; Table III</x:v>
      </x:c>
      <x:c r="AB133" s="6" t="str">
        <x:v>RAG-LLM 0.6949 0.6783 0.7123 0.8123 0.6823 0.6123</x:v>
      </x:c>
      <x:c r="AC133" s="6" t="str">
        <x:v>最强基线的F1值。</x:v>
      </x:c>
      <x:c r="AD133" s="2" t="str">
        <x:v>Accepted</x:v>
      </x:c>
      <x:c r="AE133" s="6" t="str">
        <x:v>基线自身对比</x:v>
      </x:c>
    </x:row>
    <x:row r="134" ht="76" customHeight="1">
      <x:c r="A134" s="2" t="str">
        <x:v>S11-RESULT-R07</x:v>
      </x:c>
      <x:c r="B134" s="2" t="str">
        <x:v>S11</x:v>
      </x:c>
      <x:c r="C134" s="2" t="str">
        <x:v>merged_1121-v1</x:v>
      </x:c>
      <x:c r="D134" s="2" t="str">
        <x:v>Reviewer_A</x:v>
      </x:c>
      <x:c r="E134" s="2" t="str">
        <x:v>Reviewer_A</x:v>
      </x:c>
      <x:c r="F134" s="2" t="str">
        <x:v>S11-R07</x:v>
      </x:c>
      <x:c r="G134" s="2" t="str">
        <x:v>S11-EV01</x:v>
      </x:c>
      <x:c r="H134" s="2" t="str">
        <x:v>S11-T01</x:v>
      </x:c>
      <x:c r="I134" s="2" t="str">
        <x:v>NA</x:v>
      </x:c>
      <x:c r="J134" s="2" t="str">
        <x:v>iTrust</x:v>
      </x:c>
      <x:c r="K134" s="2" t="str">
        <x:v>R2Code</x:v>
      </x:c>
      <x:c r="L134" s="2" t="str">
        <x:v>RAG+LLM</x:v>
      </x:c>
      <x:c r="M134" s="2" t="str">
        <x:v>F1</x:v>
      </x:c>
      <x:c r="N134" s="6" t="str">
        <x:v>0.7296</x:v>
      </x:c>
      <x:c r="O134" s="2" t="n">
        <x:v>0.7296</x:v>
      </x:c>
      <x:c r="P134" s="2" t="str">
        <x:v>%</x:v>
      </x:c>
      <x:c r="Q134" s="6" t="str">
        <x:v>0.6949</x:v>
      </x:c>
      <x:c r="R134" s="2" t="n">
        <x:v>0.6949</x:v>
      </x:c>
      <x:c r="S134" s="2" t="str">
        <x:v>NR</x:v>
      </x:c>
      <x:c r="T134" s="2" t="str">
        <x:v>Better</x:v>
      </x:c>
      <x:c r="U134" s="2" t="str">
        <x:v>Not tested</x:v>
      </x:c>
      <x:c r="V134" s="2" t="str">
        <x:v>显著高于最强基线</x:v>
      </x:c>
      <x:c r="W134" s="2" t="str">
        <x:v>NR</x:v>
      </x:c>
      <x:c r="X134" s="2" t="str">
        <x:v>NR</x:v>
      </x:c>
      <x:c r="Y134" s="2" t="str">
        <x:v>NR</x:v>
      </x:c>
      <x:c r="Z134" s="2" t="str">
        <x:v>No</x:v>
      </x:c>
      <x:c r="AA134" s="6" t="str">
        <x:v>p. 7; Table III</x:v>
      </x:c>
      <x:c r="AB134" s="6" t="str">
        <x:v>R2Code 0.7296 0.7050 0.7560 0.8550 0.7720 0.7060</x:v>
      </x:c>
      <x:c r="AC134" s="6" t="str">
        <x:v>R2Code获得最高的F1。</x:v>
      </x:c>
      <x:c r="AD134" s="2" t="str">
        <x:v>Accepted</x:v>
      </x:c>
      <x:c r="AE134" s="6" t="str">
        <x:v>NA</x:v>
      </x:c>
    </x:row>
    <x:row r="135" ht="76" customHeight="1">
      <x:c r="A135" s="2" t="str">
        <x:v>S11-RESULT-R08</x:v>
      </x:c>
      <x:c r="B135" s="2" t="str">
        <x:v>S11</x:v>
      </x:c>
      <x:c r="C135" s="2" t="str">
        <x:v>merged_1121-v1</x:v>
      </x:c>
      <x:c r="D135" s="2" t="str">
        <x:v>Reviewer_A</x:v>
      </x:c>
      <x:c r="E135" s="2" t="str">
        <x:v>Reviewer_A</x:v>
      </x:c>
      <x:c r="F135" s="2" t="str">
        <x:v>S11-R08</x:v>
      </x:c>
      <x:c r="G135" s="2" t="str">
        <x:v>S11-EV01</x:v>
      </x:c>
      <x:c r="H135" s="2" t="str">
        <x:v>S11-T01</x:v>
      </x:c>
      <x:c r="I135" s="2" t="str">
        <x:v>NA</x:v>
      </x:c>
      <x:c r="J135" s="2" t="str">
        <x:v>iTrust</x:v>
      </x:c>
      <x:c r="K135" s="2" t="str">
        <x:v>R2Code</x:v>
      </x:c>
      <x:c r="L135" s="2" t="str">
        <x:v>RAG+LLM</x:v>
      </x:c>
      <x:c r="M135" s="2" t="str">
        <x:v>Precision</x:v>
      </x:c>
      <x:c r="N135" s="6" t="str">
        <x:v>0.7560</x:v>
      </x:c>
      <x:c r="O135" s="2" t="n">
        <x:v>0.756</x:v>
      </x:c>
      <x:c r="P135" s="2" t="str">
        <x:v>%</x:v>
      </x:c>
      <x:c r="Q135" s="6" t="str">
        <x:v>0.7123</x:v>
      </x:c>
      <x:c r="R135" s="2" t="n">
        <x:v>0.7123</x:v>
      </x:c>
      <x:c r="S135" s="2" t="str">
        <x:v>NR</x:v>
      </x:c>
      <x:c r="T135" s="2" t="str">
        <x:v>Better</x:v>
      </x:c>
      <x:c r="U135" s="2" t="str">
        <x:v>Not tested</x:v>
      </x:c>
      <x:c r="V135" s="2" t="str">
        <x:v>精度更高</x:v>
      </x:c>
      <x:c r="W135" s="2" t="str">
        <x:v>NR</x:v>
      </x:c>
      <x:c r="X135" s="2" t="str">
        <x:v>NR</x:v>
      </x:c>
      <x:c r="Y135" s="2" t="str">
        <x:v>NR</x:v>
      </x:c>
      <x:c r="Z135" s="2" t="str">
        <x:v>No</x:v>
      </x:c>
      <x:c r="AA135" s="6" t="str">
        <x:v>p. 7; Table III</x:v>
      </x:c>
      <x:c r="AB135" s="6" t="str">
        <x:v>R2Code 0.7296 0.7050 0.7560 0.8550 0.7720 0.7060</x:v>
      </x:c>
      <x:c r="AC135" s="6" t="str">
        <x:v>R2Code的精度优于RAG+LLM。</x:v>
      </x:c>
      <x:c r="AD135" s="2" t="str">
        <x:v>Accepted</x:v>
      </x:c>
      <x:c r="AE135" s="6" t="str">
        <x:v>NA</x:v>
      </x:c>
    </x:row>
    <x:row r="136" ht="76" customHeight="1">
      <x:c r="A136" s="2" t="str">
        <x:v>S11-RESULT-R09</x:v>
      </x:c>
      <x:c r="B136" s="2" t="str">
        <x:v>S11</x:v>
      </x:c>
      <x:c r="C136" s="2" t="str">
        <x:v>merged_1121-v1</x:v>
      </x:c>
      <x:c r="D136" s="2" t="str">
        <x:v>Reviewer_A</x:v>
      </x:c>
      <x:c r="E136" s="2" t="str">
        <x:v>Reviewer_A</x:v>
      </x:c>
      <x:c r="F136" s="2" t="str">
        <x:v>S11-R09</x:v>
      </x:c>
      <x:c r="G136" s="2" t="str">
        <x:v>S11-EV01</x:v>
      </x:c>
      <x:c r="H136" s="2" t="str">
        <x:v>S11-T01</x:v>
      </x:c>
      <x:c r="I136" s="2" t="str">
        <x:v>NA</x:v>
      </x:c>
      <x:c r="J136" s="2" t="str">
        <x:v>iTrust</x:v>
      </x:c>
      <x:c r="K136" s="2" t="str">
        <x:v>R2Code</x:v>
      </x:c>
      <x:c r="L136" s="2" t="str">
        <x:v>RAG+LLM</x:v>
      </x:c>
      <x:c r="M136" s="2" t="str">
        <x:v>Recall</x:v>
      </x:c>
      <x:c r="N136" s="6" t="str">
        <x:v>0.7050</x:v>
      </x:c>
      <x:c r="O136" s="2" t="n">
        <x:v>0.705</x:v>
      </x:c>
      <x:c r="P136" s="2" t="str">
        <x:v>%</x:v>
      </x:c>
      <x:c r="Q136" s="6" t="str">
        <x:v>0.6783</x:v>
      </x:c>
      <x:c r="R136" s="2" t="n">
        <x:v>0.6783</x:v>
      </x:c>
      <x:c r="S136" s="2" t="str">
        <x:v>NR</x:v>
      </x:c>
      <x:c r="T136" s="2" t="str">
        <x:v>Better</x:v>
      </x:c>
      <x:c r="U136" s="2" t="str">
        <x:v>Not tested</x:v>
      </x:c>
      <x:c r="V136" s="2" t="str">
        <x:v>召回更高</x:v>
      </x:c>
      <x:c r="W136" s="2" t="str">
        <x:v>NR</x:v>
      </x:c>
      <x:c r="X136" s="2" t="str">
        <x:v>NR</x:v>
      </x:c>
      <x:c r="Y136" s="2" t="str">
        <x:v>NR</x:v>
      </x:c>
      <x:c r="Z136" s="2" t="str">
        <x:v>No</x:v>
      </x:c>
      <x:c r="AA136" s="6" t="str">
        <x:v>p. 7; Table III</x:v>
      </x:c>
      <x:c r="AB136" s="6" t="str">
        <x:v>R2Code 0.7296 0.7050 0.7560 0.8550 0.7720 0.7060</x:v>
      </x:c>
      <x:c r="AC136" s="6" t="str">
        <x:v>R2Code的召回也更高。</x:v>
      </x:c>
      <x:c r="AD136" s="2" t="str">
        <x:v>Accepted</x:v>
      </x:c>
      <x:c r="AE136" s="6" t="str">
        <x:v>NA</x:v>
      </x:c>
    </x:row>
    <x:row r="137" ht="76" customHeight="1">
      <x:c r="A137" s="2" t="str">
        <x:v>S11-RESULT-R10</x:v>
      </x:c>
      <x:c r="B137" s="2" t="str">
        <x:v>S11</x:v>
      </x:c>
      <x:c r="C137" s="2" t="str">
        <x:v>merged_1121-v1</x:v>
      </x:c>
      <x:c r="D137" s="2" t="str">
        <x:v>Reviewer_A</x:v>
      </x:c>
      <x:c r="E137" s="2" t="str">
        <x:v>Reviewer_A</x:v>
      </x:c>
      <x:c r="F137" s="2" t="str">
        <x:v>S11-R10</x:v>
      </x:c>
      <x:c r="G137" s="2" t="str">
        <x:v>S11-EV01</x:v>
      </x:c>
      <x:c r="H137" s="2" t="str">
        <x:v>S11-T01</x:v>
      </x:c>
      <x:c r="I137" s="2" t="str">
        <x:v>NA</x:v>
      </x:c>
      <x:c r="J137" s="2" t="str">
        <x:v>iTrust</x:v>
      </x:c>
      <x:c r="K137" s="2" t="str">
        <x:v>R2Code</x:v>
      </x:c>
      <x:c r="L137" s="2" t="str">
        <x:v>RAG+LLM</x:v>
      </x:c>
      <x:c r="M137" s="2" t="str">
        <x:v>MRR</x:v>
      </x:c>
      <x:c r="N137" s="6" t="str">
        <x:v>0.8550</x:v>
      </x:c>
      <x:c r="O137" s="2" t="n">
        <x:v>0.855</x:v>
      </x:c>
      <x:c r="P137" s="2" t="str">
        <x:v>%</x:v>
      </x:c>
      <x:c r="Q137" s="6" t="str">
        <x:v>0.8123</x:v>
      </x:c>
      <x:c r="R137" s="2" t="n">
        <x:v>0.8123</x:v>
      </x:c>
      <x:c r="S137" s="2" t="str">
        <x:v>NR</x:v>
      </x:c>
      <x:c r="T137" s="2" t="str">
        <x:v>Better</x:v>
      </x:c>
      <x:c r="U137" s="2" t="str">
        <x:v>Not tested</x:v>
      </x:c>
      <x:c r="V137" s="2" t="str">
        <x:v>排序质量更高</x:v>
      </x:c>
      <x:c r="W137" s="2" t="str">
        <x:v>NR</x:v>
      </x:c>
      <x:c r="X137" s="2" t="str">
        <x:v>NR</x:v>
      </x:c>
      <x:c r="Y137" s="2" t="str">
        <x:v>NR</x:v>
      </x:c>
      <x:c r="Z137" s="2" t="str">
        <x:v>No</x:v>
      </x:c>
      <x:c r="AA137" s="6" t="str">
        <x:v>p. 7; Table III</x:v>
      </x:c>
      <x:c r="AB137" s="6" t="str">
        <x:v>MRR: 0.8550 vs. 0.8123</x:v>
      </x:c>
      <x:c r="AC137" s="6" t="str">
        <x:v>R2Code的MRR优于基线。</x:v>
      </x:c>
      <x:c r="AD137" s="2" t="str">
        <x:v>Accepted</x:v>
      </x:c>
      <x:c r="AE137" s="6" t="str">
        <x:v>NA</x:v>
      </x:c>
    </x:row>
    <x:row r="138" ht="76" customHeight="1">
      <x:c r="A138" s="2" t="str">
        <x:v>S11-RESULT-R11</x:v>
      </x:c>
      <x:c r="B138" s="2" t="str">
        <x:v>S11</x:v>
      </x:c>
      <x:c r="C138" s="2" t="str">
        <x:v>merged_1121-v1</x:v>
      </x:c>
      <x:c r="D138" s="2" t="str">
        <x:v>Reviewer_A</x:v>
      </x:c>
      <x:c r="E138" s="2" t="str">
        <x:v>Reviewer_A</x:v>
      </x:c>
      <x:c r="F138" s="2" t="str">
        <x:v>S11-R11</x:v>
      </x:c>
      <x:c r="G138" s="2" t="str">
        <x:v>S11-EV01</x:v>
      </x:c>
      <x:c r="H138" s="2" t="str">
        <x:v>S11-T01</x:v>
      </x:c>
      <x:c r="I138" s="2" t="str">
        <x:v>NA</x:v>
      </x:c>
      <x:c r="J138" s="2" t="str">
        <x:v>iTrust</x:v>
      </x:c>
      <x:c r="K138" s="2" t="str">
        <x:v>R2Code</x:v>
      </x:c>
      <x:c r="L138" s="2" t="str">
        <x:v>RAG+LLM</x:v>
      </x:c>
      <x:c r="M138" s="2" t="str">
        <x:v>P@10</x:v>
      </x:c>
      <x:c r="N138" s="6" t="str">
        <x:v>0.7720</x:v>
      </x:c>
      <x:c r="O138" s="2" t="n">
        <x:v>0.772</x:v>
      </x:c>
      <x:c r="P138" s="2" t="str">
        <x:v>%</x:v>
      </x:c>
      <x:c r="Q138" s="6" t="str">
        <x:v>0.6823</x:v>
      </x:c>
      <x:c r="R138" s="2" t="n">
        <x:v>0.6823</x:v>
      </x:c>
      <x:c r="S138" s="2" t="str">
        <x:v>NR</x:v>
      </x:c>
      <x:c r="T138" s="2" t="str">
        <x:v>Better</x:v>
      </x:c>
      <x:c r="U138" s="2" t="str">
        <x:v>Not tested</x:v>
      </x:c>
      <x:c r="V138" s="2" t="str">
        <x:v>前10精度更高</x:v>
      </x:c>
      <x:c r="W138" s="2" t="str">
        <x:v>NR</x:v>
      </x:c>
      <x:c r="X138" s="2" t="str">
        <x:v>NR</x:v>
      </x:c>
      <x:c r="Y138" s="2" t="str">
        <x:v>NR</x:v>
      </x:c>
      <x:c r="Z138" s="2" t="str">
        <x:v>No</x:v>
      </x:c>
      <x:c r="AA138" s="6" t="str">
        <x:v>p. 7; Table III</x:v>
      </x:c>
      <x:c r="AB138" s="6" t="str">
        <x:v>highest P@10 (0.7720) and R@10 (0.7060), indicating more</x:v>
      </x:c>
      <x:c r="AC138" s="6" t="str">
        <x:v>R2Code的P@10优于RAG+LLM。</x:v>
      </x:c>
      <x:c r="AD138" s="2" t="str">
        <x:v>Accepted</x:v>
      </x:c>
      <x:c r="AE138" s="6" t="str">
        <x:v>NA</x:v>
      </x:c>
    </x:row>
    <x:row r="139" ht="76" customHeight="1">
      <x:c r="A139" s="2" t="str">
        <x:v>S11-RESULT-R12</x:v>
      </x:c>
      <x:c r="B139" s="2" t="str">
        <x:v>S11</x:v>
      </x:c>
      <x:c r="C139" s="2" t="str">
        <x:v>merged_1121-v1</x:v>
      </x:c>
      <x:c r="D139" s="2" t="str">
        <x:v>Reviewer_A</x:v>
      </x:c>
      <x:c r="E139" s="2" t="str">
        <x:v>Reviewer_A</x:v>
      </x:c>
      <x:c r="F139" s="2" t="str">
        <x:v>S11-R12</x:v>
      </x:c>
      <x:c r="G139" s="2" t="str">
        <x:v>S11-EV01</x:v>
      </x:c>
      <x:c r="H139" s="2" t="str">
        <x:v>S11-T01</x:v>
      </x:c>
      <x:c r="I139" s="2" t="str">
        <x:v>NA</x:v>
      </x:c>
      <x:c r="J139" s="2" t="str">
        <x:v>iTrust</x:v>
      </x:c>
      <x:c r="K139" s="2" t="str">
        <x:v>R2Code</x:v>
      </x:c>
      <x:c r="L139" s="2" t="str">
        <x:v>RAG+LLM</x:v>
      </x:c>
      <x:c r="M139" s="2" t="str">
        <x:v>R@10</x:v>
      </x:c>
      <x:c r="N139" s="6" t="str">
        <x:v>0.7060</x:v>
      </x:c>
      <x:c r="O139" s="2" t="n">
        <x:v>0.706</x:v>
      </x:c>
      <x:c r="P139" s="2" t="str">
        <x:v>%</x:v>
      </x:c>
      <x:c r="Q139" s="6" t="str">
        <x:v>0.6123</x:v>
      </x:c>
      <x:c r="R139" s="2" t="n">
        <x:v>0.6123</x:v>
      </x:c>
      <x:c r="S139" s="2" t="str">
        <x:v>NR</x:v>
      </x:c>
      <x:c r="T139" s="2" t="str">
        <x:v>Better</x:v>
      </x:c>
      <x:c r="U139" s="2" t="str">
        <x:v>Not tested</x:v>
      </x:c>
      <x:c r="V139" s="2" t="str">
        <x:v>前10召回更高</x:v>
      </x:c>
      <x:c r="W139" s="2" t="str">
        <x:v>NR</x:v>
      </x:c>
      <x:c r="X139" s="2" t="str">
        <x:v>NR</x:v>
      </x:c>
      <x:c r="Y139" s="2" t="str">
        <x:v>NR</x:v>
      </x:c>
      <x:c r="Z139" s="2" t="str">
        <x:v>No</x:v>
      </x:c>
      <x:c r="AA139" s="6" t="str">
        <x:v>p. 7; Table III</x:v>
      </x:c>
      <x:c r="AB139" s="6" t="str">
        <x:v>highest P@10 (0.7720) and R@10 (0.7060), indicating more</x:v>
      </x:c>
      <x:c r="AC139" s="6" t="str">
        <x:v>R2Code的R@10优于RAG+LLM。</x:v>
      </x:c>
      <x:c r="AD139" s="2" t="str">
        <x:v>Accepted</x:v>
      </x:c>
      <x:c r="AE139" s="6" t="str">
        <x:v>NA</x:v>
      </x:c>
    </x:row>
    <x:row r="140" ht="76" customHeight="1">
      <x:c r="A140" s="2" t="str">
        <x:v>S11-RESULT-R13</x:v>
      </x:c>
      <x:c r="B140" s="2" t="str">
        <x:v>S11</x:v>
      </x:c>
      <x:c r="C140" s="2" t="str">
        <x:v>merged_1121-v1</x:v>
      </x:c>
      <x:c r="D140" s="2" t="str">
        <x:v>Reviewer_A</x:v>
      </x:c>
      <x:c r="E140" s="2" t="str">
        <x:v>Reviewer_A</x:v>
      </x:c>
      <x:c r="F140" s="2" t="str">
        <x:v>S11-R13</x:v>
      </x:c>
      <x:c r="G140" s="2" t="str">
        <x:v>S11-EV02</x:v>
      </x:c>
      <x:c r="H140" s="2" t="str">
        <x:v>S11-T01</x:v>
      </x:c>
      <x:c r="I140" s="2" t="str">
        <x:v>NA</x:v>
      </x:c>
      <x:c r="J140" s="2" t="str">
        <x:v>iTrust</x:v>
      </x:c>
      <x:c r="K140" s="2" t="str">
        <x:v>Full (R2Code)</x:v>
      </x:c>
      <x:c r="L140" s="2" t="str">
        <x:v>No</x:v>
      </x:c>
      <x:c r="M140" s="2" t="str">
        <x:v>F1</x:v>
      </x:c>
      <x:c r="N140" s="6" t="str">
        <x:v>0.7296</x:v>
      </x:c>
      <x:c r="O140" s="2" t="n">
        <x:v>0.7296</x:v>
      </x:c>
      <x:c r="P140" s="2" t="str">
        <x:v>%</x:v>
      </x:c>
      <x:c r="Q140" s="6" t="str">
        <x:v>No</x:v>
      </x:c>
      <x:c r="R140" s="2" t="str">
        <x:v>No</x:v>
      </x:c>
      <x:c r="S140" s="2" t="str">
        <x:v>NR</x:v>
      </x:c>
      <x:c r="T140" s="2" t="str">
        <x:v>Not compared</x:v>
      </x:c>
      <x:c r="U140" s="2" t="str">
        <x:v>Not tested</x:v>
      </x:c>
      <x:c r="V140" s="2" t="str">
        <x:v>完整模型性能</x:v>
      </x:c>
      <x:c r="W140" s="2" t="str">
        <x:v>NR</x:v>
      </x:c>
      <x:c r="X140" s="2" t="str">
        <x:v>NR</x:v>
      </x:c>
      <x:c r="Y140" s="2" t="str">
        <x:v>NR</x:v>
      </x:c>
      <x:c r="Z140" s="2" t="str">
        <x:v>No</x:v>
      </x:c>
      <x:c r="AA140" s="6" t="str">
        <x:v>p. 7; Table IV</x:v>
      </x:c>
      <x:c r="AB140" s="6" t="str">
        <x:v>Full ✓ ✓ ✓ 0.7296 0.7560 0.7050</x:v>
      </x:c>
      <x:c r="AC140" s="6" t="str">
        <x:v>完整R2Code的F1作为消融基准。</x:v>
      </x:c>
      <x:c r="AD140" s="2" t="str">
        <x:v>Accepted</x:v>
      </x:c>
      <x:c r="AE140" s="6" t="str">
        <x:v>完整模型</x:v>
      </x:c>
    </x:row>
    <x:row r="141" ht="76" customHeight="1">
      <x:c r="A141" s="2" t="str">
        <x:v>S11-RESULT-R14</x:v>
      </x:c>
      <x:c r="B141" s="2" t="str">
        <x:v>S11</x:v>
      </x:c>
      <x:c r="C141" s="2" t="str">
        <x:v>merged_1121-v1</x:v>
      </x:c>
      <x:c r="D141" s="2" t="str">
        <x:v>Reviewer_A</x:v>
      </x:c>
      <x:c r="E141" s="2" t="str">
        <x:v>Reviewer_A</x:v>
      </x:c>
      <x:c r="F141" s="2" t="str">
        <x:v>S11-R14</x:v>
      </x:c>
      <x:c r="G141" s="2" t="str">
        <x:v>S11-EV02</x:v>
      </x:c>
      <x:c r="H141" s="2" t="str">
        <x:v>S11-T01</x:v>
      </x:c>
      <x:c r="I141" s="2" t="str">
        <x:v>NA</x:v>
      </x:c>
      <x:c r="J141" s="2" t="str">
        <x:v>iTrust</x:v>
      </x:c>
      <x:c r="K141" s="2" t="str">
        <x:v>without BAN</x:v>
      </x:c>
      <x:c r="L141" s="2" t="str">
        <x:v>Full (R2Code)</x:v>
      </x:c>
      <x:c r="M141" s="2" t="str">
        <x:v>F1</x:v>
      </x:c>
      <x:c r="N141" s="6" t="str">
        <x:v>0.6949</x:v>
      </x:c>
      <x:c r="O141" s="2" t="n">
        <x:v>0.6949</x:v>
      </x:c>
      <x:c r="P141" s="2" t="str">
        <x:v>%</x:v>
      </x:c>
      <x:c r="Q141" s="6" t="str">
        <x:v>0.7296</x:v>
      </x:c>
      <x:c r="R141" s="2" t="n">
        <x:v>0.7296</x:v>
      </x:c>
      <x:c r="S141" s="2" t="str">
        <x:v>NR</x:v>
      </x:c>
      <x:c r="T141" s="2" t="str">
        <x:v>Worse</x:v>
      </x:c>
      <x:c r="U141" s="2" t="str">
        <x:v>Not tested</x:v>
      </x:c>
      <x:c r="V141" s="2" t="str">
        <x:v>F1明显下降</x:v>
      </x:c>
      <x:c r="W141" s="2" t="str">
        <x:v>NR</x:v>
      </x:c>
      <x:c r="X141" s="2" t="str">
        <x:v>NR</x:v>
      </x:c>
      <x:c r="Y141" s="2" t="str">
        <x:v>NR</x:v>
      </x:c>
      <x:c r="Z141" s="2" t="str">
        <x:v>No</x:v>
      </x:c>
      <x:c r="AA141" s="6" t="str">
        <x:v>p. 7; Table IV</x:v>
      </x:c>
      <x:c r="AB141" s="6" t="str">
        <x:v>– BAN × ✓ ✓ 0.6949 0.7123 0.6783</x:v>
      </x:c>
      <x:c r="AC141" s="6" t="str">
        <x:v>移除BAN后F1下降至与RAG+LLM相当。</x:v>
      </x:c>
      <x:c r="AD141" s="2" t="str">
        <x:v>Accepted</x:v>
      </x:c>
      <x:c r="AE141" s="6" t="str">
        <x:v>NA</x:v>
      </x:c>
    </x:row>
    <x:row r="142" ht="76" customHeight="1">
      <x:c r="A142" s="2" t="str">
        <x:v>S11-RESULT-R15</x:v>
      </x:c>
      <x:c r="B142" s="2" t="str">
        <x:v>S11</x:v>
      </x:c>
      <x:c r="C142" s="2" t="str">
        <x:v>merged_1121-v1</x:v>
      </x:c>
      <x:c r="D142" s="2" t="str">
        <x:v>Reviewer_A</x:v>
      </x:c>
      <x:c r="E142" s="2" t="str">
        <x:v>Reviewer_A</x:v>
      </x:c>
      <x:c r="F142" s="2" t="str">
        <x:v>S11-R15</x:v>
      </x:c>
      <x:c r="G142" s="2" t="str">
        <x:v>S11-EV02</x:v>
      </x:c>
      <x:c r="H142" s="2" t="str">
        <x:v>S11-T01</x:v>
      </x:c>
      <x:c r="I142" s="2" t="str">
        <x:v>NA</x:v>
      </x:c>
      <x:c r="J142" s="2" t="str">
        <x:v>iTrust</x:v>
      </x:c>
      <x:c r="K142" s="2" t="str">
        <x:v>without SRCV</x:v>
      </x:c>
      <x:c r="L142" s="2" t="str">
        <x:v>Full (R2Code)</x:v>
      </x:c>
      <x:c r="M142" s="2" t="str">
        <x:v>F1</x:v>
      </x:c>
      <x:c r="N142" s="6" t="str">
        <x:v>0.6864</x:v>
      </x:c>
      <x:c r="O142" s="2" t="n">
        <x:v>0.6864</x:v>
      </x:c>
      <x:c r="P142" s="2" t="str">
        <x:v>%</x:v>
      </x:c>
      <x:c r="Q142" s="6" t="str">
        <x:v>0.7296</x:v>
      </x:c>
      <x:c r="R142" s="2" t="n">
        <x:v>0.7296</x:v>
      </x:c>
      <x:c r="S142" s="2" t="str">
        <x:v>NR</x:v>
      </x:c>
      <x:c r="T142" s="2" t="str">
        <x:v>Worse</x:v>
      </x:c>
      <x:c r="U142" s="2" t="str">
        <x:v>Not tested</x:v>
      </x:c>
      <x:c r="V142" s="2" t="str">
        <x:v>F1显著下降，召回降低</x:v>
      </x:c>
      <x:c r="W142" s="2" t="str">
        <x:v>NR</x:v>
      </x:c>
      <x:c r="X142" s="2" t="str">
        <x:v>NR</x:v>
      </x:c>
      <x:c r="Y142" s="2" t="str">
        <x:v>NR</x:v>
      </x:c>
      <x:c r="Z142" s="2" t="str">
        <x:v>No</x:v>
      </x:c>
      <x:c r="AA142" s="6" t="str">
        <x:v>p. 7; Table IV</x:v>
      </x:c>
      <x:c r="AB142" s="6" t="str">
        <x:v>– SRCV ✓ × ✓ 0.6864 0.7873 0.6084</x:v>
      </x:c>
      <x:c r="AC142" s="6" t="str">
        <x:v>移除SRCV导致召回大幅降低。</x:v>
      </x:c>
      <x:c r="AD142" s="2" t="str">
        <x:v>Accepted</x:v>
      </x:c>
      <x:c r="AE142" s="6" t="str">
        <x:v>NA</x:v>
      </x:c>
    </x:row>
    <x:row r="143" ht="76" customHeight="1">
      <x:c r="A143" s="2" t="str">
        <x:v>S11-RESULT-R16</x:v>
      </x:c>
      <x:c r="B143" s="2" t="str">
        <x:v>S11</x:v>
      </x:c>
      <x:c r="C143" s="2" t="str">
        <x:v>merged_1121-v1</x:v>
      </x:c>
      <x:c r="D143" s="2" t="str">
        <x:v>Reviewer_A</x:v>
      </x:c>
      <x:c r="E143" s="2" t="str">
        <x:v>Reviewer_A</x:v>
      </x:c>
      <x:c r="F143" s="2" t="str">
        <x:v>S11-R16</x:v>
      </x:c>
      <x:c r="G143" s="2" t="str">
        <x:v>S11-EV02</x:v>
      </x:c>
      <x:c r="H143" s="2" t="str">
        <x:v>S11-T01</x:v>
      </x:c>
      <x:c r="I143" s="2" t="str">
        <x:v>NA</x:v>
      </x:c>
      <x:c r="J143" s="2" t="str">
        <x:v>iTrust</x:v>
      </x:c>
      <x:c r="K143" s="2" t="str">
        <x:v>without SRCV</x:v>
      </x:c>
      <x:c r="L143" s="2" t="str">
        <x:v>Full (R2Code)</x:v>
      </x:c>
      <x:c r="M143" s="2" t="str">
        <x:v>Precision</x:v>
      </x:c>
      <x:c r="N143" s="6" t="str">
        <x:v>0.7873</x:v>
      </x:c>
      <x:c r="O143" s="2" t="n">
        <x:v>0.7873</x:v>
      </x:c>
      <x:c r="P143" s="2" t="str">
        <x:v>%</x:v>
      </x:c>
      <x:c r="Q143" s="6" t="str">
        <x:v>0.7560</x:v>
      </x:c>
      <x:c r="R143" s="2" t="n">
        <x:v>0.756</x:v>
      </x:c>
      <x:c r="S143" s="2" t="str">
        <x:v>NR</x:v>
      </x:c>
      <x:c r="T143" s="2" t="str">
        <x:v>Better</x:v>
      </x:c>
      <x:c r="U143" s="2" t="str">
        <x:v>Not tested</x:v>
      </x:c>
      <x:c r="V143" s="2" t="str">
        <x:v>精度上升但召回下降</x:v>
      </x:c>
      <x:c r="W143" s="2" t="str">
        <x:v>NR</x:v>
      </x:c>
      <x:c r="X143" s="2" t="str">
        <x:v>NR</x:v>
      </x:c>
      <x:c r="Y143" s="2" t="str">
        <x:v>NR</x:v>
      </x:c>
      <x:c r="Z143" s="2" t="str">
        <x:v>No</x:v>
      </x:c>
      <x:c r="AA143" s="6" t="str">
        <x:v>p. 7; Table IV</x:v>
      </x:c>
      <x:c r="AB143" s="6" t="str">
        <x:v>– SRCV ✓ × ✓ 0.6864 0.7873 0.6084</x:v>
      </x:c>
      <x:c r="AC143" s="6" t="str">
        <x:v>移除SRCV后精度反常升高，但召回大幅下降，表明SRCV在校准置信度时平衡两者。</x:v>
      </x:c>
      <x:c r="AD143" s="2" t="str">
        <x:v>Accepted</x:v>
      </x:c>
      <x:c r="AE143" s="6" t="str">
        <x:v>NA</x:v>
      </x:c>
    </x:row>
    <x:row r="144" ht="76" customHeight="1">
      <x:c r="A144" s="2" t="str">
        <x:v>S11-RESULT-R17</x:v>
      </x:c>
      <x:c r="B144" s="2" t="str">
        <x:v>S11</x:v>
      </x:c>
      <x:c r="C144" s="2" t="str">
        <x:v>merged_1121-v1</x:v>
      </x:c>
      <x:c r="D144" s="2" t="str">
        <x:v>Reviewer_A</x:v>
      </x:c>
      <x:c r="E144" s="2" t="str">
        <x:v>Reviewer_A</x:v>
      </x:c>
      <x:c r="F144" s="2" t="str">
        <x:v>S11-R17</x:v>
      </x:c>
      <x:c r="G144" s="2" t="str">
        <x:v>S11-EV02</x:v>
      </x:c>
      <x:c r="H144" s="2" t="str">
        <x:v>S11-T01</x:v>
      </x:c>
      <x:c r="I144" s="2" t="str">
        <x:v>NA</x:v>
      </x:c>
      <x:c r="J144" s="2" t="str">
        <x:v>iTrust</x:v>
      </x:c>
      <x:c r="K144" s="2" t="str">
        <x:v>without SRCV</x:v>
      </x:c>
      <x:c r="L144" s="2" t="str">
        <x:v>Full (R2Code)</x:v>
      </x:c>
      <x:c r="M144" s="2" t="str">
        <x:v>Recall</x:v>
      </x:c>
      <x:c r="N144" s="6" t="str">
        <x:v>0.6084</x:v>
      </x:c>
      <x:c r="O144" s="2" t="n">
        <x:v>0.6084</x:v>
      </x:c>
      <x:c r="P144" s="2" t="str">
        <x:v>%</x:v>
      </x:c>
      <x:c r="Q144" s="6" t="str">
        <x:v>0.7050</x:v>
      </x:c>
      <x:c r="R144" s="2" t="n">
        <x:v>0.705</x:v>
      </x:c>
      <x:c r="S144" s="2" t="str">
        <x:v>NR</x:v>
      </x:c>
      <x:c r="T144" s="2" t="str">
        <x:v>Worse</x:v>
      </x:c>
      <x:c r="U144" s="2" t="str">
        <x:v>Not tested</x:v>
      </x:c>
      <x:c r="V144" s="2" t="str">
        <x:v>召回明显降低</x:v>
      </x:c>
      <x:c r="W144" s="2" t="str">
        <x:v>NR</x:v>
      </x:c>
      <x:c r="X144" s="2" t="str">
        <x:v>NR</x:v>
      </x:c>
      <x:c r="Y144" s="2" t="str">
        <x:v>NR</x:v>
      </x:c>
      <x:c r="Z144" s="2" t="str">
        <x:v>No</x:v>
      </x:c>
      <x:c r="AA144" s="6" t="str">
        <x:v>p. 7; Table IV</x:v>
      </x:c>
      <x:c r="AB144" s="6" t="str">
        <x:v>– SRCV ✓ × ✓ 0.6864 0.7873 0.6084</x:v>
      </x:c>
      <x:c r="AC144" s="6" t="str">
        <x:v>SRCV对召回至关重要。</x:v>
      </x:c>
      <x:c r="AD144" s="2" t="str">
        <x:v>Accepted</x:v>
      </x:c>
      <x:c r="AE144" s="6" t="str">
        <x:v>NA</x:v>
      </x:c>
    </x:row>
    <x:row r="145" ht="76" customHeight="1">
      <x:c r="A145" s="2" t="str">
        <x:v>S11-RESULT-R18</x:v>
      </x:c>
      <x:c r="B145" s="2" t="str">
        <x:v>S11</x:v>
      </x:c>
      <x:c r="C145" s="2" t="str">
        <x:v>merged_1121-v1</x:v>
      </x:c>
      <x:c r="D145" s="2" t="str">
        <x:v>Reviewer_A</x:v>
      </x:c>
      <x:c r="E145" s="2" t="str">
        <x:v>Reviewer_A</x:v>
      </x:c>
      <x:c r="F145" s="2" t="str">
        <x:v>S11-R18</x:v>
      </x:c>
      <x:c r="G145" s="2" t="str">
        <x:v>S11-EV02</x:v>
      </x:c>
      <x:c r="H145" s="2" t="str">
        <x:v>S11-T01</x:v>
      </x:c>
      <x:c r="I145" s="2" t="str">
        <x:v>NA</x:v>
      </x:c>
      <x:c r="J145" s="2" t="str">
        <x:v>iTrust</x:v>
      </x:c>
      <x:c r="K145" s="2" t="str">
        <x:v>without DCAR</x:v>
      </x:c>
      <x:c r="L145" s="2" t="str">
        <x:v>Full (R2Code)</x:v>
      </x:c>
      <x:c r="M145" s="2" t="str">
        <x:v>F1</x:v>
      </x:c>
      <x:c r="N145" s="6" t="str">
        <x:v>0.7112</x:v>
      </x:c>
      <x:c r="O145" s="2" t="n">
        <x:v>0.7112</x:v>
      </x:c>
      <x:c r="P145" s="2" t="str">
        <x:v>%</x:v>
      </x:c>
      <x:c r="Q145" s="6" t="str">
        <x:v>0.7296</x:v>
      </x:c>
      <x:c r="R145" s="2" t="n">
        <x:v>0.7296</x:v>
      </x:c>
      <x:c r="S145" s="2" t="str">
        <x:v>NR</x:v>
      </x:c>
      <x:c r="T145" s="2" t="str">
        <x:v>Worse</x:v>
      </x:c>
      <x:c r="U145" s="2" t="str">
        <x:v>Not tested</x:v>
      </x:c>
      <x:c r="V145" s="2" t="str">
        <x:v>F1中度下降</x:v>
      </x:c>
      <x:c r="W145" s="2" t="str">
        <x:v>NR</x:v>
      </x:c>
      <x:c r="X145" s="2" t="str">
        <x:v>NR</x:v>
      </x:c>
      <x:c r="Y145" s="2" t="str">
        <x:v>NR</x:v>
      </x:c>
      <x:c r="Z145" s="2" t="str">
        <x:v>No</x:v>
      </x:c>
      <x:c r="AA145" s="6" t="str">
        <x:v>p. 7; Table IV</x:v>
      </x:c>
      <x:c r="AB145" s="6" t="str">
        <x:v>– DCAR ✓ ✓ × 0.7112 0.8117 0.6329</x:v>
      </x:c>
      <x:c r="AC145" s="6" t="str">
        <x:v>移除DCAR后F1下降，主要因召回降低。</x:v>
      </x:c>
      <x:c r="AD145" s="2" t="str">
        <x:v>Accepted</x:v>
      </x:c>
      <x:c r="AE145" s="6" t="str">
        <x:v>NA</x:v>
      </x:c>
    </x:row>
    <x:row r="146" ht="76" customHeight="1">
      <x:c r="A146" s="2" t="str">
        <x:v>S11-RESULT-R19</x:v>
      </x:c>
      <x:c r="B146" s="2" t="str">
        <x:v>S11</x:v>
      </x:c>
      <x:c r="C146" s="2" t="str">
        <x:v>merged_1121-v1</x:v>
      </x:c>
      <x:c r="D146" s="2" t="str">
        <x:v>Reviewer_A</x:v>
      </x:c>
      <x:c r="E146" s="2" t="str">
        <x:v>Reviewer_A</x:v>
      </x:c>
      <x:c r="F146" s="2" t="str">
        <x:v>S11-R19</x:v>
      </x:c>
      <x:c r="G146" s="2" t="str">
        <x:v>S11-EV03</x:v>
      </x:c>
      <x:c r="H146" s="2" t="str">
        <x:v>S11-T01</x:v>
      </x:c>
      <x:c r="I146" s="2" t="str">
        <x:v>NA</x:v>
      </x:c>
      <x:c r="J146" s="2" t="str">
        <x:v>iTrust</x:v>
      </x:c>
      <x:c r="K146" s="2" t="str">
        <x:v>R2Code</x:v>
      </x:c>
      <x:c r="L146" s="2" t="str">
        <x:v>Best Baseline (iTrust)</x:v>
      </x:c>
      <x:c r="M146" s="2" t="str">
        <x:v>F1</x:v>
      </x:c>
      <x:c r="N146" s="6" t="str">
        <x:v>0.7296</x:v>
      </x:c>
      <x:c r="O146" s="2" t="n">
        <x:v>0.7296</x:v>
      </x:c>
      <x:c r="P146" s="2" t="str">
        <x:v>%</x:v>
      </x:c>
      <x:c r="Q146" s="6" t="str">
        <x:v>0.6949</x:v>
      </x:c>
      <x:c r="R146" s="2" t="n">
        <x:v>0.6949</x:v>
      </x:c>
      <x:c r="S146" s="2" t="str">
        <x:v>NR</x:v>
      </x:c>
      <x:c r="T146" s="2" t="str">
        <x:v>Better</x:v>
      </x:c>
      <x:c r="U146" s="2" t="str">
        <x:v>Not tested</x:v>
      </x:c>
      <x:c r="V146" s="2" t="str">
        <x:v>相对提升5.0%</x:v>
      </x:c>
      <x:c r="W146" s="2" t="str">
        <x:v>NR</x:v>
      </x:c>
      <x:c r="X146" s="2" t="str">
        <x:v>NR</x:v>
      </x:c>
      <x:c r="Y146" s="2" t="str">
        <x:v>NR</x:v>
      </x:c>
      <x:c r="Z146" s="2" t="str">
        <x:v>No</x:v>
      </x:c>
      <x:c r="AA146" s="6" t="str">
        <x:v>p. 7; Table V</x:v>
      </x:c>
      <x:c r="AB146" s="6" t="str">
        <x:v>iTrust 0.6949 0.7296 +5.0%</x:v>
      </x:c>
      <x:c r="AC146" s="6" t="str">
        <x:v>iTrust上R2Code以5.0%的相对增益优于最佳基线。</x:v>
      </x:c>
      <x:c r="AD146" s="2" t="str">
        <x:v>Accepted</x:v>
      </x:c>
      <x:c r="AE146" s="6" t="str">
        <x:v>NA</x:v>
      </x:c>
    </x:row>
    <x:row r="147" ht="76" customHeight="1">
      <x:c r="A147" s="2" t="str">
        <x:v>S11-RESULT-R20</x:v>
      </x:c>
      <x:c r="B147" s="2" t="str">
        <x:v>S11</x:v>
      </x:c>
      <x:c r="C147" s="2" t="str">
        <x:v>merged_1121-v1</x:v>
      </x:c>
      <x:c r="D147" s="2" t="str">
        <x:v>Reviewer_A</x:v>
      </x:c>
      <x:c r="E147" s="2" t="str">
        <x:v>Reviewer_A</x:v>
      </x:c>
      <x:c r="F147" s="2" t="str">
        <x:v>S11-R20</x:v>
      </x:c>
      <x:c r="G147" s="2" t="str">
        <x:v>S11-EV03</x:v>
      </x:c>
      <x:c r="H147" s="2" t="str">
        <x:v>S11-T01</x:v>
      </x:c>
      <x:c r="I147" s="2" t="str">
        <x:v>NA</x:v>
      </x:c>
      <x:c r="J147" s="2" t="str">
        <x:v>eTour</x:v>
      </x:c>
      <x:c r="K147" s="2" t="str">
        <x:v>R2Code</x:v>
      </x:c>
      <x:c r="L147" s="2" t="str">
        <x:v>Best Baseline (eTour)</x:v>
      </x:c>
      <x:c r="M147" s="2" t="str">
        <x:v>F1</x:v>
      </x:c>
      <x:c r="N147" s="6" t="str">
        <x:v>0.7342</x:v>
      </x:c>
      <x:c r="O147" s="2" t="n">
        <x:v>0.7342</x:v>
      </x:c>
      <x:c r="P147" s="2" t="str">
        <x:v>%</x:v>
      </x:c>
      <x:c r="Q147" s="6" t="str">
        <x:v>0.6812</x:v>
      </x:c>
      <x:c r="R147" s="2" t="n">
        <x:v>0.6812</x:v>
      </x:c>
      <x:c r="S147" s="2" t="str">
        <x:v>NR</x:v>
      </x:c>
      <x:c r="T147" s="2" t="str">
        <x:v>Better</x:v>
      </x:c>
      <x:c r="U147" s="2" t="str">
        <x:v>Not tested</x:v>
      </x:c>
      <x:c r="V147" s="2" t="str">
        <x:v>相对提升7.8%</x:v>
      </x:c>
      <x:c r="W147" s="2" t="str">
        <x:v>NR</x:v>
      </x:c>
      <x:c r="X147" s="2" t="str">
        <x:v>NR</x:v>
      </x:c>
      <x:c r="Y147" s="2" t="str">
        <x:v>NR</x:v>
      </x:c>
      <x:c r="Z147" s="2" t="str">
        <x:v>No</x:v>
      </x:c>
      <x:c r="AA147" s="6" t="str">
        <x:v>p. 7; Table V</x:v>
      </x:c>
      <x:c r="AB147" s="6" t="str">
        <x:v>eTour 0.6812 0.7342 +7.8%</x:v>
      </x:c>
      <x:c r="AC147" s="6" t="str">
        <x:v>eTour上显著优于基线。</x:v>
      </x:c>
      <x:c r="AD147" s="2" t="str">
        <x:v>Accepted</x:v>
      </x:c>
      <x:c r="AE147" s="6" t="str">
        <x:v>NA</x:v>
      </x:c>
    </x:row>
    <x:row r="148" ht="76" customHeight="1">
      <x:c r="A148" s="2" t="str">
        <x:v>S11-RESULT-R21</x:v>
      </x:c>
      <x:c r="B148" s="2" t="str">
        <x:v>S11</x:v>
      </x:c>
      <x:c r="C148" s="2" t="str">
        <x:v>merged_1121-v1</x:v>
      </x:c>
      <x:c r="D148" s="2" t="str">
        <x:v>Reviewer_A</x:v>
      </x:c>
      <x:c r="E148" s="2" t="str">
        <x:v>Reviewer_A</x:v>
      </x:c>
      <x:c r="F148" s="2" t="str">
        <x:v>S11-R21</x:v>
      </x:c>
      <x:c r="G148" s="2" t="str">
        <x:v>S11-EV03</x:v>
      </x:c>
      <x:c r="H148" s="2" t="str">
        <x:v>S11-T01</x:v>
      </x:c>
      <x:c r="I148" s="2" t="str">
        <x:v>NA</x:v>
      </x:c>
      <x:c r="J148" s="2" t="str">
        <x:v>SMOS</x:v>
      </x:c>
      <x:c r="K148" s="2" t="str">
        <x:v>R2Code</x:v>
      </x:c>
      <x:c r="L148" s="2" t="str">
        <x:v>Best Baseline (SMOS)</x:v>
      </x:c>
      <x:c r="M148" s="2" t="str">
        <x:v>F1</x:v>
      </x:c>
      <x:c r="N148" s="6" t="str">
        <x:v>0.7201</x:v>
      </x:c>
      <x:c r="O148" s="2" t="n">
        <x:v>0.7201</x:v>
      </x:c>
      <x:c r="P148" s="2" t="str">
        <x:v>%</x:v>
      </x:c>
      <x:c r="Q148" s="6" t="str">
        <x:v>0.6663</x:v>
      </x:c>
      <x:c r="R148" s="2" t="n">
        <x:v>0.6663</x:v>
      </x:c>
      <x:c r="S148" s="2" t="str">
        <x:v>NR</x:v>
      </x:c>
      <x:c r="T148" s="2" t="str">
        <x:v>Better</x:v>
      </x:c>
      <x:c r="U148" s="2" t="str">
        <x:v>Not tested</x:v>
      </x:c>
      <x:c r="V148" s="2" t="str">
        <x:v>相对提升8.1%</x:v>
      </x:c>
      <x:c r="W148" s="2" t="str">
        <x:v>NR</x:v>
      </x:c>
      <x:c r="X148" s="2" t="str">
        <x:v>NR</x:v>
      </x:c>
      <x:c r="Y148" s="2" t="str">
        <x:v>NR</x:v>
      </x:c>
      <x:c r="Z148" s="2" t="str">
        <x:v>No</x:v>
      </x:c>
      <x:c r="AA148" s="6" t="str">
        <x:v>p. 7; Table V</x:v>
      </x:c>
      <x:c r="AB148" s="6" t="str">
        <x:v>SMOS 0.6663 0.7201 +8.1%</x:v>
      </x:c>
      <x:c r="AC148" s="6" t="str">
        <x:v>SMOS数据集上提升8.1%。</x:v>
      </x:c>
      <x:c r="AD148" s="2" t="str">
        <x:v>Accepted</x:v>
      </x:c>
      <x:c r="AE148" s="6" t="str">
        <x:v>NA</x:v>
      </x:c>
    </x:row>
    <x:row r="149" ht="76" customHeight="1">
      <x:c r="A149" s="2" t="str">
        <x:v>S11-RESULT-R22</x:v>
      </x:c>
      <x:c r="B149" s="2" t="str">
        <x:v>S11</x:v>
      </x:c>
      <x:c r="C149" s="2" t="str">
        <x:v>merged_1121-v1</x:v>
      </x:c>
      <x:c r="D149" s="2" t="str">
        <x:v>Reviewer_A</x:v>
      </x:c>
      <x:c r="E149" s="2" t="str">
        <x:v>Reviewer_A</x:v>
      </x:c>
      <x:c r="F149" s="2" t="str">
        <x:v>S11-R22</x:v>
      </x:c>
      <x:c r="G149" s="2" t="str">
        <x:v>S11-EV03</x:v>
      </x:c>
      <x:c r="H149" s="2" t="str">
        <x:v>S11-T01</x:v>
      </x:c>
      <x:c r="I149" s="2" t="str">
        <x:v>NA</x:v>
      </x:c>
      <x:c r="J149" s="2" t="str">
        <x:v>eANCI</x:v>
      </x:c>
      <x:c r="K149" s="2" t="str">
        <x:v>R2Code</x:v>
      </x:c>
      <x:c r="L149" s="2" t="str">
        <x:v>Best Baseline (eANCI)</x:v>
      </x:c>
      <x:c r="M149" s="2" t="str">
        <x:v>F1</x:v>
      </x:c>
      <x:c r="N149" s="6" t="str">
        <x:v>0.7592</x:v>
      </x:c>
      <x:c r="O149" s="2" t="n">
        <x:v>0.7592</x:v>
      </x:c>
      <x:c r="P149" s="2" t="str">
        <x:v>%</x:v>
      </x:c>
      <x:c r="Q149" s="6" t="str">
        <x:v>0.7058</x:v>
      </x:c>
      <x:c r="R149" s="2" t="n">
        <x:v>0.7058</x:v>
      </x:c>
      <x:c r="S149" s="2" t="str">
        <x:v>NR</x:v>
      </x:c>
      <x:c r="T149" s="2" t="str">
        <x:v>Better</x:v>
      </x:c>
      <x:c r="U149" s="2" t="str">
        <x:v>Not tested</x:v>
      </x:c>
      <x:c r="V149" s="2" t="str">
        <x:v>相对提升7.6%</x:v>
      </x:c>
      <x:c r="W149" s="2" t="str">
        <x:v>NR</x:v>
      </x:c>
      <x:c r="X149" s="2" t="str">
        <x:v>NR</x:v>
      </x:c>
      <x:c r="Y149" s="2" t="str">
        <x:v>NR</x:v>
      </x:c>
      <x:c r="Z149" s="2" t="str">
        <x:v>No</x:v>
      </x:c>
      <x:c r="AA149" s="6" t="str">
        <x:v>p. 7; Table V</x:v>
      </x:c>
      <x:c r="AB149" s="6" t="str">
        <x:v>eANCI 0.7058 0.7592 +7.6%</x:v>
      </x:c>
      <x:c r="AC149" s="6" t="str">
        <x:v>eANCI上提升7.6%。</x:v>
      </x:c>
      <x:c r="AD149" s="2" t="str">
        <x:v>Accepted</x:v>
      </x:c>
      <x:c r="AE149" s="6" t="str">
        <x:v>NA</x:v>
      </x:c>
    </x:row>
    <x:row r="150" ht="76" customHeight="1">
      <x:c r="A150" s="2" t="str">
        <x:v>S11-RESULT-R23</x:v>
      </x:c>
      <x:c r="B150" s="2" t="str">
        <x:v>S11</x:v>
      </x:c>
      <x:c r="C150" s="2" t="str">
        <x:v>merged_1121-v1</x:v>
      </x:c>
      <x:c r="D150" s="2" t="str">
        <x:v>Reviewer_A</x:v>
      </x:c>
      <x:c r="E150" s="2" t="str">
        <x:v>Reviewer_A</x:v>
      </x:c>
      <x:c r="F150" s="2" t="str">
        <x:v>S11-R23</x:v>
      </x:c>
      <x:c r="G150" s="2" t="str">
        <x:v>S11-EV03</x:v>
      </x:c>
      <x:c r="H150" s="2" t="str">
        <x:v>S11-T01</x:v>
      </x:c>
      <x:c r="I150" s="2" t="str">
        <x:v>NA</x:v>
      </x:c>
      <x:c r="J150" s="2" t="str">
        <x:v>RETRO.NET</x:v>
      </x:c>
      <x:c r="K150" s="2" t="str">
        <x:v>R2Code</x:v>
      </x:c>
      <x:c r="L150" s="2" t="str">
        <x:v>Best Baseline (RETRO)</x:v>
      </x:c>
      <x:c r="M150" s="2" t="str">
        <x:v>F1</x:v>
      </x:c>
      <x:c r="N150" s="6" t="str">
        <x:v>0.7134</x:v>
      </x:c>
      <x:c r="O150" s="2" t="n">
        <x:v>0.7134</x:v>
      </x:c>
      <x:c r="P150" s="2" t="str">
        <x:v>%</x:v>
      </x:c>
      <x:c r="Q150" s="6" t="str">
        <x:v>0.6580</x:v>
      </x:c>
      <x:c r="R150" s="2" t="n">
        <x:v>0.658</x:v>
      </x:c>
      <x:c r="S150" s="2" t="str">
        <x:v>NR</x:v>
      </x:c>
      <x:c r="T150" s="2" t="str">
        <x:v>Better</x:v>
      </x:c>
      <x:c r="U150" s="2" t="str">
        <x:v>Not tested</x:v>
      </x:c>
      <x:c r="V150" s="2" t="str">
        <x:v>相对提升8.4%</x:v>
      </x:c>
      <x:c r="W150" s="2" t="str">
        <x:v>NR</x:v>
      </x:c>
      <x:c r="X150" s="2" t="str">
        <x:v>NR</x:v>
      </x:c>
      <x:c r="Y150" s="2" t="str">
        <x:v>NR</x:v>
      </x:c>
      <x:c r="Z150" s="2" t="str">
        <x:v>No</x:v>
      </x:c>
      <x:c r="AA150" s="6" t="str">
        <x:v>p. 7; Table V</x:v>
      </x:c>
      <x:c r="AB150" s="6" t="str">
        <x:v>RETRO 0.6580 0.7134 +8.4%</x:v>
      </x:c>
      <x:c r="AC150" s="6" t="str">
        <x:v>C#数据集上最大增益8.4%。</x:v>
      </x:c>
      <x:c r="AD150" s="2" t="str">
        <x:v>Accepted</x:v>
      </x:c>
      <x:c r="AE150" s="6" t="str">
        <x:v>NA</x:v>
      </x:c>
    </x:row>
    <x:row r="151" ht="76" customHeight="1">
      <x:c r="A151" s="2" t="str">
        <x:v>S11-RESULT-R24</x:v>
      </x:c>
      <x:c r="B151" s="2" t="str">
        <x:v>S11</x:v>
      </x:c>
      <x:c r="C151" s="2" t="str">
        <x:v>merged_1121-v1</x:v>
      </x:c>
      <x:c r="D151" s="2" t="str">
        <x:v>Reviewer_A</x:v>
      </x:c>
      <x:c r="E151" s="2" t="str">
        <x:v>Reviewer_A</x:v>
      </x:c>
      <x:c r="F151" s="2" t="str">
        <x:v>S11-R24</x:v>
      </x:c>
      <x:c r="G151" s="2" t="str">
        <x:v>S11-EV04</x:v>
      </x:c>
      <x:c r="H151" s="2" t="str">
        <x:v>S11-T01</x:v>
      </x:c>
      <x:c r="I151" s="2" t="str">
        <x:v>NA</x:v>
      </x:c>
      <x:c r="J151" s="2" t="str">
        <x:v>iTrust</x:v>
      </x:c>
      <x:c r="K151" s="2" t="str">
        <x:v>R2Code</x:v>
      </x:c>
      <x:c r="L151" s="2" t="str">
        <x:v>RAG+LLM</x:v>
      </x:c>
      <x:c r="M151" s="2" t="str">
        <x:v>Total Tokens</x:v>
      </x:c>
      <x:c r="N151" s="6" t="str">
        <x:v>2,179,456</x:v>
      </x:c>
      <x:c r="O151" s="2" t="n">
        <x:v>2179456</x:v>
      </x:c>
      <x:c r="P151" s="2" t="str">
        <x:v>count</x:v>
      </x:c>
      <x:c r="Q151" s="6" t="str">
        <x:v>3,739,390</x:v>
      </x:c>
      <x:c r="R151" s="2" t="n">
        <x:v>3739390</x:v>
      </x:c>
      <x:c r="S151" s="2" t="str">
        <x:v>NR</x:v>
      </x:c>
      <x:c r="T151" s="2" t="str">
        <x:v>Better</x:v>
      </x:c>
      <x:c r="U151" s="2" t="str">
        <x:v>Not tested</x:v>
      </x:c>
      <x:c r="V151" s="2" t="str">
        <x:v>总令牌消耗减少41.7%</x:v>
      </x:c>
      <x:c r="W151" s="2" t="str">
        <x:v>NR</x:v>
      </x:c>
      <x:c r="X151" s="2" t="str">
        <x:v>NR</x:v>
      </x:c>
      <x:c r="Y151" s="2" t="str">
        <x:v>NR</x:v>
      </x:c>
      <x:c r="Z151" s="2" t="str">
        <x:v>No</x:v>
      </x:c>
      <x:c r="AA151" s="6" t="str">
        <x:v>p. 8; Section V-C, referring to Table VI</x:v>
      </x:c>
      <x:c r="AB151" s="6" t="str">
        <x:v>R2Code reduces total token consumption from 3.74M to 2.18M (−41.7%)</x:v>
      </x:c>
      <x:c r="AC151" s="6" t="str">
        <x:v>R2Code的令牌效率显著优于RAG+LLM。</x:v>
      </x:c>
      <x:c r="AD151" s="2" t="str">
        <x:v>Accepted</x:v>
      </x:c>
      <x:c r="AE151" s="6" t="str">
        <x:v>Token counts calculated from input+output in Table VI</x:v>
      </x:c>
    </x:row>
    <x:row r="152" ht="76" customHeight="1">
      <x:c r="A152" s="2" t="str">
        <x:v>S11-RESULT-R25</x:v>
      </x:c>
      <x:c r="B152" s="2" t="str">
        <x:v>S11</x:v>
      </x:c>
      <x:c r="C152" s="2" t="str">
        <x:v>merged_1121-v1</x:v>
      </x:c>
      <x:c r="D152" s="2" t="str">
        <x:v>Reviewer_A</x:v>
      </x:c>
      <x:c r="E152" s="2" t="str">
        <x:v>Reviewer_A</x:v>
      </x:c>
      <x:c r="F152" s="2" t="str">
        <x:v>S11-R25</x:v>
      </x:c>
      <x:c r="G152" s="2" t="str">
        <x:v>S11-EV04</x:v>
      </x:c>
      <x:c r="H152" s="2" t="str">
        <x:v>S11-T01</x:v>
      </x:c>
      <x:c r="I152" s="2" t="str">
        <x:v>NA</x:v>
      </x:c>
      <x:c r="J152" s="2" t="str">
        <x:v>iTrust</x:v>
      </x:c>
      <x:c r="K152" s="2" t="str">
        <x:v>R2Code</x:v>
      </x:c>
      <x:c r="L152" s="2" t="str">
        <x:v>RAG+LLM</x:v>
      </x:c>
      <x:c r="M152" s="2" t="str">
        <x:v>Runtime</x:v>
      </x:c>
      <x:c r="N152" s="6" t="str">
        <x:v>987.3s</x:v>
      </x:c>
      <x:c r="O152" s="2" t="n">
        <x:v>987.3</x:v>
      </x:c>
      <x:c r="P152" s="2" t="str">
        <x:v>seconds</x:v>
      </x:c>
      <x:c r="Q152" s="6" t="str">
        <x:v>1,234.5s</x:v>
      </x:c>
      <x:c r="R152" s="2" t="n">
        <x:v>1234.5</x:v>
      </x:c>
      <x:c r="S152" s="2" t="str">
        <x:v>NR</x:v>
      </x:c>
      <x:c r="T152" s="2" t="str">
        <x:v>Better</x:v>
      </x:c>
      <x:c r="U152" s="2" t="str">
        <x:v>Not tested</x:v>
      </x:c>
      <x:c r="V152" s="2" t="str">
        <x:v>端到端运行时间减少20.0%</x:v>
      </x:c>
      <x:c r="W152" s="2" t="str">
        <x:v>NR</x:v>
      </x:c>
      <x:c r="X152" s="2" t="str">
        <x:v>NR</x:v>
      </x:c>
      <x:c r="Y152" s="2" t="str">
        <x:v>NR</x:v>
      </x:c>
      <x:c r="Z152" s="2" t="str">
        <x:v>No</x:v>
      </x:c>
      <x:c r="AA152" s="6" t="str">
        <x:v>p. 8; Section V-C</x:v>
      </x:c>
      <x:c r="AB152" s="6" t="str">
        <x:v>shorter end-to-end runtime (1,234.5s to 987.3s, −20.0%)</x:v>
      </x:c>
      <x:c r="AC152" s="6" t="str">
        <x:v>R2Code运行更快。</x:v>
      </x:c>
      <x:c r="AD152" s="2" t="str">
        <x:v>Accepted</x:v>
      </x:c>
      <x:c r="AE152" s="6" t="str">
        <x:v>NA</x:v>
      </x:c>
    </x:row>
    <x:row r="153" ht="76" customHeight="1">
      <x:c r="A153" s="2" t="str">
        <x:v>S11-RESULT-R26</x:v>
      </x:c>
      <x:c r="B153" s="2" t="str">
        <x:v>S11</x:v>
      </x:c>
      <x:c r="C153" s="2" t="str">
        <x:v>merged_1121-v1</x:v>
      </x:c>
      <x:c r="D153" s="2" t="str">
        <x:v>Reviewer_A</x:v>
      </x:c>
      <x:c r="E153" s="2" t="str">
        <x:v>Reviewer_A</x:v>
      </x:c>
      <x:c r="F153" s="2" t="str">
        <x:v>S11-R26</x:v>
      </x:c>
      <x:c r="G153" s="2" t="str">
        <x:v>S11-EV04</x:v>
      </x:c>
      <x:c r="H153" s="2" t="str">
        <x:v>S11-T01</x:v>
      </x:c>
      <x:c r="I153" s="2" t="str">
        <x:v>NA</x:v>
      </x:c>
      <x:c r="J153" s="2" t="str">
        <x:v>iTrust</x:v>
      </x:c>
      <x:c r="K153" s="2" t="str">
        <x:v>R2Code</x:v>
      </x:c>
      <x:c r="L153" s="2" t="str">
        <x:v>RAG+LLM</x:v>
      </x:c>
      <x:c r="M153" s="2" t="str">
        <x:v>Cost</x:v>
      </x:c>
      <x:c r="N153" s="6" t="str">
        <x:v>$285.79</x:v>
      </x:c>
      <x:c r="O153" s="2" t="n">
        <x:v>285.79</x:v>
      </x:c>
      <x:c r="P153" s="2" t="str">
        <x:v>USD</x:v>
      </x:c>
      <x:c r="Q153" s="6" t="str">
        <x:v>$463.16</x:v>
      </x:c>
      <x:c r="R153" s="2" t="n">
        <x:v>463.16</x:v>
      </x:c>
      <x:c r="S153" s="2" t="str">
        <x:v>NR</x:v>
      </x:c>
      <x:c r="T153" s="2" t="str">
        <x:v>Better</x:v>
      </x:c>
      <x:c r="U153" s="2" t="str">
        <x:v>Not tested</x:v>
      </x:c>
      <x:c r="V153" s="2" t="str">
        <x:v>推断成本降低38.3%</x:v>
      </x:c>
      <x:c r="W153" s="2" t="str">
        <x:v>NR</x:v>
      </x:c>
      <x:c r="X153" s="2" t="str">
        <x:v>NR</x:v>
      </x:c>
      <x:c r="Y153" s="2" t="str">
        <x:v>NR</x:v>
      </x:c>
      <x:c r="Z153" s="2" t="str">
        <x:v>No</x:v>
      </x:c>
      <x:c r="AA153" s="6" t="str">
        <x:v>p. 8; Section V-C</x:v>
      </x:c>
      <x:c r="AB153" s="6" t="str">
        <x:v>lower estimated inference cost ($463.16 to $285.79, −38.3%)</x:v>
      </x:c>
      <x:c r="AC153" s="6" t="str">
        <x:v>R2Code节省近四成推断成本。</x:v>
      </x:c>
      <x:c r="AD153" s="2" t="str">
        <x:v>Accepted</x:v>
      </x:c>
      <x:c r="AE153" s="6" t="str">
        <x:v>NA</x:v>
      </x:c>
    </x:row>
    <x:row r="154" ht="76" customHeight="1">
      <x:c r="A154" s="2" t="str">
        <x:v>S11-RESULT-R27</x:v>
      </x:c>
      <x:c r="B154" s="2" t="str">
        <x:v>S11</x:v>
      </x:c>
      <x:c r="C154" s="2" t="str">
        <x:v>merged_1121-v1</x:v>
      </x:c>
      <x:c r="D154" s="2" t="str">
        <x:v>Reviewer_A</x:v>
      </x:c>
      <x:c r="E154" s="2" t="str">
        <x:v>Reviewer_A</x:v>
      </x:c>
      <x:c r="F154" s="2" t="str">
        <x:v>S11-R27</x:v>
      </x:c>
      <x:c r="G154" s="2" t="str">
        <x:v>S11-EV04</x:v>
      </x:c>
      <x:c r="H154" s="2" t="str">
        <x:v>S11-T01</x:v>
      </x:c>
      <x:c r="I154" s="2" t="str">
        <x:v>NA</x:v>
      </x:c>
      <x:c r="J154" s="2" t="str">
        <x:v>iTrust</x:v>
      </x:c>
      <x:c r="K154" s="2" t="str">
        <x:v>R2Code</x:v>
      </x:c>
      <x:c r="L154" s="2" t="str">
        <x:v>RAG+LLM</x:v>
      </x:c>
      <x:c r="M154" s="2" t="str">
        <x:v>Cost per True Positive</x:v>
      </x:c>
      <x:c r="N154" s="6" t="str">
        <x:v>$0.2472</x:v>
      </x:c>
      <x:c r="O154" s="2" t="n">
        <x:v>0.2472</x:v>
      </x:c>
      <x:c r="P154" s="2" t="str">
        <x:v>USD</x:v>
      </x:c>
      <x:c r="Q154" s="6" t="str">
        <x:v>$0.4027</x:v>
      </x:c>
      <x:c r="R154" s="2" t="n">
        <x:v>0.4027</x:v>
      </x:c>
      <x:c r="S154" s="2" t="str">
        <x:v>NR</x:v>
      </x:c>
      <x:c r="T154" s="2" t="str">
        <x:v>Better</x:v>
      </x:c>
      <x:c r="U154" s="2" t="str">
        <x:v>Not tested</x:v>
      </x:c>
      <x:c r="V154" s="2" t="str">
        <x:v>每个正确链接成本更低</x:v>
      </x:c>
      <x:c r="W154" s="2" t="str">
        <x:v>NR</x:v>
      </x:c>
      <x:c r="X154" s="2" t="str">
        <x:v>NR</x:v>
      </x:c>
      <x:c r="Y154" s="2" t="str">
        <x:v>NR</x:v>
      </x:c>
      <x:c r="Z154" s="2" t="str">
        <x:v>No</x:v>
      </x:c>
      <x:c r="AA154" s="6" t="str">
        <x:v>p. 8; Section V-C</x:v>
      </x:c>
      <x:c r="AB154" s="6" t="str">
        <x:v>R2Code achieves $0.2472 per correct link with 1,156 true positives, whereas RAG+LLM requires $0.4027 per correct link</x:v>
      </x:c>
      <x:c r="AC154" s="6" t="str">
        <x:v>单位正确链接成本显著降低。</x:v>
      </x:c>
      <x:c r="AD154" s="2" t="str">
        <x:v>Accepted</x:v>
      </x:c>
      <x:c r="AE154" s="6" t="str">
        <x:v>NA</x:v>
      </x:c>
    </x:row>
    <x:row r="155" ht="76" customHeight="1">
      <x:c r="A155" s="2" t="str">
        <x:v>S11-RESULT-R28</x:v>
      </x:c>
      <x:c r="B155" s="2" t="str">
        <x:v>S11</x:v>
      </x:c>
      <x:c r="C155" s="2" t="str">
        <x:v>merged_1121-v1</x:v>
      </x:c>
      <x:c r="D155" s="2" t="str">
        <x:v>Reviewer_A</x:v>
      </x:c>
      <x:c r="E155" s="2" t="str">
        <x:v>Reviewer_A</x:v>
      </x:c>
      <x:c r="F155" s="2" t="str">
        <x:v>S11-R28</x:v>
      </x:c>
      <x:c r="G155" s="2" t="str">
        <x:v>S11-EV04</x:v>
      </x:c>
      <x:c r="H155" s="2" t="str">
        <x:v>S11-T01</x:v>
      </x:c>
      <x:c r="I155" s="2" t="str">
        <x:v>NA</x:v>
      </x:c>
      <x:c r="J155" s="2" t="str">
        <x:v>iTrust</x:v>
      </x:c>
      <x:c r="K155" s="2" t="str">
        <x:v>DCAR</x:v>
      </x:c>
      <x:c r="L155" s="2" t="str">
        <x:v>Fixed RAG</x:v>
      </x:c>
      <x:c r="M155" s="2" t="str">
        <x:v>Tokens per pair (retrieval)</x:v>
      </x:c>
      <x:c r="N155" s="6" t="str">
        <x:v>3,054</x:v>
      </x:c>
      <x:c r="O155" s="2" t="n">
        <x:v>3054</x:v>
      </x:c>
      <x:c r="P155" s="2" t="str">
        <x:v>count</x:v>
      </x:c>
      <x:c r="Q155" s="6" t="str">
        <x:v>4,850</x:v>
      </x:c>
      <x:c r="R155" s="2" t="n">
        <x:v>4850</x:v>
      </x:c>
      <x:c r="S155" s="2" t="str">
        <x:v>NR</x:v>
      </x:c>
      <x:c r="T155" s="2" t="str">
        <x:v>Better</x:v>
      </x:c>
      <x:c r="U155" s="2" t="str">
        <x:v>Not tested</x:v>
      </x:c>
      <x:c r="V155" s="2" t="str">
        <x:v>每对令牌消耗减少约37%</x:v>
      </x:c>
      <x:c r="W155" s="2" t="str">
        <x:v>NR</x:v>
      </x:c>
      <x:c r="X155" s="2" t="str">
        <x:v>NR</x:v>
      </x:c>
      <x:c r="Y155" s="2" t="str">
        <x:v>NR</x:v>
      </x:c>
      <x:c r="Z155" s="2" t="str">
        <x:v>No</x:v>
      </x:c>
      <x:c r="AA155" s="6" t="str">
        <x:v>p. 8; Section V-C, and Table VII</x:v>
      </x:c>
      <x:c r="AB155" s="6" t="str">
        <x:v>DCAR reduces the average tokens per requirement–code pair from 4,850 to 3,054</x:v>
      </x:c>
      <x:c r="AC155" s="6" t="str">
        <x:v>DCAR显著降低了每对令牌数。</x:v>
      </x:c>
      <x:c r="AD155" s="2" t="str">
        <x:v>Accepted</x:v>
      </x:c>
      <x:c r="AE155" s="6" t="str">
        <x:v>Retrieval-stage tokens only</x:v>
      </x:c>
    </x:row>
    <x:row r="156" ht="76" customHeight="1">
      <x:c r="A156" s="2" t="str">
        <x:v>S11-RESULT-R29</x:v>
      </x:c>
      <x:c r="B156" s="2" t="str">
        <x:v>S11</x:v>
      </x:c>
      <x:c r="C156" s="2" t="str">
        <x:v>merged_1121-v1</x:v>
      </x:c>
      <x:c r="D156" s="2" t="str">
        <x:v>Reviewer_A</x:v>
      </x:c>
      <x:c r="E156" s="2" t="str">
        <x:v>Reviewer_A</x:v>
      </x:c>
      <x:c r="F156" s="2" t="str">
        <x:v>S11-R29</x:v>
      </x:c>
      <x:c r="G156" s="2" t="str">
        <x:v>S11-EV04</x:v>
      </x:c>
      <x:c r="H156" s="2" t="str">
        <x:v>S11-T01</x:v>
      </x:c>
      <x:c r="I156" s="2" t="str">
        <x:v>NA</x:v>
      </x:c>
      <x:c r="J156" s="2" t="str">
        <x:v>iTrust</x:v>
      </x:c>
      <x:c r="K156" s="2" t="str">
        <x:v>DCAR</x:v>
      </x:c>
      <x:c r="L156" s="2" t="str">
        <x:v>Fixed RAG</x:v>
      </x:c>
      <x:c r="M156" s="2" t="str">
        <x:v>Total retrieval tokens</x:v>
      </x:c>
      <x:c r="N156" s="6" t="str">
        <x:v>1,563,216</x:v>
      </x:c>
      <x:c r="O156" s="2" t="n">
        <x:v>1563216</x:v>
      </x:c>
      <x:c r="P156" s="2" t="str">
        <x:v>count</x:v>
      </x:c>
      <x:c r="Q156" s="6" t="str">
        <x:v>2,483,200</x:v>
      </x:c>
      <x:c r="R156" s="2" t="n">
        <x:v>2483200</x:v>
      </x:c>
      <x:c r="S156" s="2" t="str">
        <x:v>NR</x:v>
      </x:c>
      <x:c r="T156" s="2" t="str">
        <x:v>Better</x:v>
      </x:c>
      <x:c r="U156" s="2" t="str">
        <x:v>Not tested</x:v>
      </x:c>
      <x:c r="V156" s="2" t="str">
        <x:v>检索阶段总令牌减少37%</x:v>
      </x:c>
      <x:c r="W156" s="2" t="str">
        <x:v>NR</x:v>
      </x:c>
      <x:c r="X156" s="2" t="str">
        <x:v>NR</x:v>
      </x:c>
      <x:c r="Y156" s="2" t="str">
        <x:v>NR</x:v>
      </x:c>
      <x:c r="Z156" s="2" t="str">
        <x:v>No</x:v>
      </x:c>
      <x:c r="AA156" s="6" t="str">
        <x:v>p. 8; Section V-C, and Table VII</x:v>
      </x:c>
      <x:c r="AB156" s="6" t="str">
        <x:v>total token consumption decreases from 2,483,200 to 1,563,216</x:v>
      </x:c>
      <x:c r="AC156" s="6" t="str">
        <x:v>总检索令牌显著下降。</x:v>
      </x:c>
      <x:c r="AD156" s="2" t="str">
        <x:v>Accepted</x:v>
      </x:c>
      <x:c r="AE156" s="6" t="str">
        <x:v>NA</x:v>
      </x:c>
    </x:row>
    <x:row r="157" ht="76" customHeight="1">
      <x:c r="A157" s="2" t="str">
        <x:v>S12-RESULT-R01</x:v>
      </x:c>
      <x:c r="B157" s="2" t="str">
        <x:v>S12</x:v>
      </x:c>
      <x:c r="C157" s="2" t="str">
        <x:v>merged_1133</x:v>
      </x:c>
      <x:c r="D157" s="2" t="str">
        <x:v>Reviewer_A</x:v>
      </x:c>
      <x:c r="E157" s="2" t="str">
        <x:v>Reviewer_A</x:v>
      </x:c>
      <x:c r="F157" s="2" t="str">
        <x:v>S12-R01</x:v>
      </x:c>
      <x:c r="G157" s="2" t="str">
        <x:v>S12-EV01</x:v>
      </x:c>
      <x:c r="H157" s="2" t="str">
        <x:v>S12-T01</x:v>
      </x:c>
      <x:c r="I157" s="2" t="str">
        <x:v>S12-MU01</x:v>
      </x:c>
      <x:c r="J157" s="2" t="str">
        <x:v>CM1 (validation set)</x:v>
      </x:c>
      <x:c r="K157" s="2" t="str">
        <x:v>P2 (with 'directly fulfill')</x:v>
      </x:c>
      <x:c r="L157" s="2" t="str">
        <x:v>P1 (without 'directly')</x:v>
      </x:c>
      <x:c r="M157" s="2" t="str">
        <x:v>Precision</x:v>
      </x:c>
      <x:c r="N157" s="6" t="str">
        <x:v>0.49±0.02</x:v>
      </x:c>
      <x:c r="O157" s="2" t="n">
        <x:v>0.49</x:v>
      </x:c>
      <x:c r="P157" s="2" t="str">
        <x:v>proportion</x:v>
      </x:c>
      <x:c r="Q157" s="6" t="str">
        <x:v>0.38±0.03</x:v>
      </x:c>
      <x:c r="R157" s="2" t="n">
        <x:v>0.38</x:v>
      </x:c>
      <x:c r="S157" s="2" t="str">
        <x:v>NR</x:v>
      </x:c>
      <x:c r="T157" s="2" t="str">
        <x:v>Better</x:v>
      </x:c>
      <x:c r="U157" s="2" t="str">
        <x:v>Not tested</x:v>
      </x:c>
      <x:c r="V157" s="2" t="str">
        <x:v>NR</x:v>
      </x:c>
      <x:c r="W157" s="2" t="str">
        <x:v>NR</x:v>
      </x:c>
      <x:c r="X157" s="2" t="str">
        <x:v>NR</x:v>
      </x:c>
      <x:c r="Y157" s="2" t="str">
        <x:v>NR</x:v>
      </x:c>
      <x:c r="Z157" s="2" t="str">
        <x:v>No</x:v>
      </x:c>
      <x:c r="AA157" s="6" t="str">
        <x:v>p. 25; Section 6.1.1 (text near Figure 9)</x:v>
      </x:c>
      <x:c r="AB157" s="6" t="str">
        <x:v>P2 shows a significant improvement in precision, increasing from 0.38±0.03 in P1 to 0.49±0.02.</x:v>
      </x:c>
      <x:c r="AC157" s="6" t="str">
        <x:v>提示P2通过加入'directly'一词显著提高了精确度。</x:v>
      </x:c>
      <x:c r="AD157" s="2" t="str">
        <x:v>Accepted</x:v>
      </x:c>
      <x:c r="AE157" s="6" t="str">
        <x:v>NR</x:v>
      </x:c>
    </x:row>
    <x:row r="158" ht="76" customHeight="1">
      <x:c r="A158" s="2" t="str">
        <x:v>S12-RESULT-R02</x:v>
      </x:c>
      <x:c r="B158" s="2" t="str">
        <x:v>S12</x:v>
      </x:c>
      <x:c r="C158" s="2" t="str">
        <x:v>merged_1133</x:v>
      </x:c>
      <x:c r="D158" s="2" t="str">
        <x:v>Reviewer_A</x:v>
      </x:c>
      <x:c r="E158" s="2" t="str">
        <x:v>Reviewer_A</x:v>
      </x:c>
      <x:c r="F158" s="2" t="str">
        <x:v>S12-R02</x:v>
      </x:c>
      <x:c r="G158" s="2" t="str">
        <x:v>S12-EV01</x:v>
      </x:c>
      <x:c r="H158" s="2" t="str">
        <x:v>S12-T01</x:v>
      </x:c>
      <x:c r="I158" s="2" t="str">
        <x:v>S12-MU01</x:v>
      </x:c>
      <x:c r="J158" s="2" t="str">
        <x:v>CM1 (validation set)</x:v>
      </x:c>
      <x:c r="K158" s="2" t="str">
        <x:v>P3 (expert role)</x:v>
      </x:c>
      <x:c r="L158" s="2" t="str">
        <x:v>P2</x:v>
      </x:c>
      <x:c r="M158" s="2" t="str">
        <x:v>Recall</x:v>
      </x:c>
      <x:c r="N158" s="6" t="str">
        <x:v>0.69±0.05</x:v>
      </x:c>
      <x:c r="O158" s="2" t="n">
        <x:v>0.69</x:v>
      </x:c>
      <x:c r="P158" s="2" t="str">
        <x:v>proportion</x:v>
      </x:c>
      <x:c r="Q158" s="6" t="str">
        <x:v>0.56±0.0</x:v>
      </x:c>
      <x:c r="R158" s="2" t="n">
        <x:v>0.56</x:v>
      </x:c>
      <x:c r="S158" s="2" t="str">
        <x:v>NR</x:v>
      </x:c>
      <x:c r="T158" s="2" t="str">
        <x:v>Better</x:v>
      </x:c>
      <x:c r="U158" s="2" t="str">
        <x:v>Not tested</x:v>
      </x:c>
      <x:c r="V158" s="2" t="str">
        <x:v>NR</x:v>
      </x:c>
      <x:c r="W158" s="2" t="str">
        <x:v>NR</x:v>
      </x:c>
      <x:c r="X158" s="2" t="str">
        <x:v>NR</x:v>
      </x:c>
      <x:c r="Y158" s="2" t="str">
        <x:v>NR</x:v>
      </x:c>
      <x:c r="Z158" s="2" t="str">
        <x:v>No</x:v>
      </x:c>
      <x:c r="AA158" s="6" t="str">
        <x:v>p. 26; Section 6.1.2 (text near Figure 10)</x:v>
      </x:c>
      <x:c r="AB158" s="6" t="str">
        <x:v>these, P3 (“You are an expert in software traceability”) achieved the highest recall (0.69±0.05) and precision (0.55±0.02), leading to the best F1 score (0.61±0.03) and</x:v>
      </x:c>
      <x:c r="AC158" s="6" t="str">
        <x:v>添加专家角色显著提高了召回率。</x:v>
      </x:c>
      <x:c r="AD158" s="2" t="str">
        <x:v>Accepted</x:v>
      </x:c>
      <x:c r="AE158" s="6" t="str">
        <x:v>NR</x:v>
      </x:c>
    </x:row>
    <x:row r="159" ht="76" customHeight="1">
      <x:c r="A159" s="2" t="str">
        <x:v>S12-RESULT-R03</x:v>
      </x:c>
      <x:c r="B159" s="2" t="str">
        <x:v>S12</x:v>
      </x:c>
      <x:c r="C159" s="2" t="str">
        <x:v>merged_1133</x:v>
      </x:c>
      <x:c r="D159" s="2" t="str">
        <x:v>Reviewer_A</x:v>
      </x:c>
      <x:c r="E159" s="2" t="str">
        <x:v>Reviewer_A</x:v>
      </x:c>
      <x:c r="F159" s="2" t="str">
        <x:v>S12-R03</x:v>
      </x:c>
      <x:c r="G159" s="2" t="str">
        <x:v>S12-EV01</x:v>
      </x:c>
      <x:c r="H159" s="2" t="str">
        <x:v>S12-T01</x:v>
      </x:c>
      <x:c r="I159" s="2" t="str">
        <x:v>S12-MU01</x:v>
      </x:c>
      <x:c r="J159" s="2" t="str">
        <x:v>CM1 (validation set)</x:v>
      </x:c>
      <x:c r="K159" s="2" t="str">
        <x:v>P6 (domain context)</x:v>
      </x:c>
      <x:c r="L159" s="2" t="str">
        <x:v>P3</x:v>
      </x:c>
      <x:c r="M159" s="2" t="str">
        <x:v>F2-score</x:v>
      </x:c>
      <x:c r="N159" s="6" t="str">
        <x:v>0.70±0.01</x:v>
      </x:c>
      <x:c r="O159" s="2" t="n">
        <x:v>0.7</x:v>
      </x:c>
      <x:c r="P159" s="2" t="str">
        <x:v>proportion</x:v>
      </x:c>
      <x:c r="Q159" s="6" t="str">
        <x:v>0.66±0.04</x:v>
      </x:c>
      <x:c r="R159" s="2" t="n">
        <x:v>0.66</x:v>
      </x:c>
      <x:c r="S159" s="2" t="str">
        <x:v>NR</x:v>
      </x:c>
      <x:c r="T159" s="2" t="str">
        <x:v>Better</x:v>
      </x:c>
      <x:c r="U159" s="2" t="str">
        <x:v>Not tested</x:v>
      </x:c>
      <x:c r="V159" s="2" t="str">
        <x:v>NR</x:v>
      </x:c>
      <x:c r="W159" s="2" t="str">
        <x:v>NR</x:v>
      </x:c>
      <x:c r="X159" s="2" t="str">
        <x:v>NR</x:v>
      </x:c>
      <x:c r="Y159" s="2" t="str">
        <x:v>NR</x:v>
      </x:c>
      <x:c r="Z159" s="2" t="str">
        <x:v>No</x:v>
      </x:c>
      <x:c r="AA159" s="6" t="str">
        <x:v>p. 27; Section 6.1.2 (text near Figure 11)</x:v>
      </x:c>
      <x:c r="AB159" s="6" t="str">
        <x:v>notable improvement in recall compared to P3, rising from 0.69±0.05 to 0.78±0.00, suggesting that the model captured most relevant traceability links with minimal</x:v>
      </x:c>
      <x:c r="AC159" s="6" t="str">
        <x:v>加入领域上下文后F2分数提升，表明领域信息有助于追溯链路检测。</x:v>
      </x:c>
      <x:c r="AD159" s="2" t="str">
        <x:v>Accepted</x:v>
      </x:c>
      <x:c r="AE159" s="6" t="str">
        <x:v>NR</x:v>
      </x:c>
    </x:row>
    <x:row r="160" ht="76" customHeight="1">
      <x:c r="A160" s="2" t="str">
        <x:v>S12-RESULT-R04</x:v>
      </x:c>
      <x:c r="B160" s="2" t="str">
        <x:v>S12</x:v>
      </x:c>
      <x:c r="C160" s="2" t="str">
        <x:v>merged_1133</x:v>
      </x:c>
      <x:c r="D160" s="2" t="str">
        <x:v>Reviewer_A</x:v>
      </x:c>
      <x:c r="E160" s="2" t="str">
        <x:v>Reviewer_A</x:v>
      </x:c>
      <x:c r="F160" s="2" t="str">
        <x:v>S12-R04</x:v>
      </x:c>
      <x:c r="G160" s="2" t="str">
        <x:v>S12-EV02</x:v>
      </x:c>
      <x:c r="H160" s="2" t="str">
        <x:v>S12-T01</x:v>
      </x:c>
      <x:c r="I160" s="2" t="str">
        <x:v>S12-MU01</x:v>
      </x:c>
      <x:c r="J160" s="2" t="str">
        <x:v>CM1 (test set)</x:v>
      </x:c>
      <x:c r="K160" s="2" t="str">
        <x:v>P6 (zero-shot)</x:v>
      </x:c>
      <x:c r="L160" s="2" t="str">
        <x:v>No</x:v>
      </x:c>
      <x:c r="M160" s="2" t="str">
        <x:v>F2-score</x:v>
      </x:c>
      <x:c r="N160" s="6" t="str">
        <x:v>0.57±0.03</x:v>
      </x:c>
      <x:c r="O160" s="2" t="n">
        <x:v>0.57</x:v>
      </x:c>
      <x:c r="P160" s="2" t="str">
        <x:v>proportion</x:v>
      </x:c>
      <x:c r="Q160" s="6" t="str">
        <x:v>No</x:v>
      </x:c>
      <x:c r="R160" s="2" t="str">
        <x:v>NA</x:v>
      </x:c>
      <x:c r="S160" s="2" t="str">
        <x:v>NR</x:v>
      </x:c>
      <x:c r="T160" s="2" t="str">
        <x:v>Not compared</x:v>
      </x:c>
      <x:c r="U160" s="2" t="str">
        <x:v>NA</x:v>
      </x:c>
      <x:c r="V160" s="2" t="str">
        <x:v>NR</x:v>
      </x:c>
      <x:c r="W160" s="2" t="str">
        <x:v>NR</x:v>
      </x:c>
      <x:c r="X160" s="2" t="str">
        <x:v>NR</x:v>
      </x:c>
      <x:c r="Y160" s="2" t="str">
        <x:v>NR</x:v>
      </x:c>
      <x:c r="Z160" s="2" t="str">
        <x:v>No</x:v>
      </x:c>
      <x:c r="AA160" s="6" t="str">
        <x:v>p. 28; Section 6.1.3, Table 4</x:v>
      </x:c>
      <x:c r="AB160" s="6" t="str">
        <x:v>In the 0-shot setting, the model achieved 0.57 F2-score.</x:v>
      </x:c>
      <x:c r="AC160" s="6" t="str">
        <x:v>零样本设置下，GPT-4o-mini在CM1测试集上F2分数为0.57。</x:v>
      </x:c>
      <x:c r="AD160" s="2" t="str">
        <x:v>Accepted</x:v>
      </x:c>
      <x:c r="AE160" s="6" t="str">
        <x:v>NR</x:v>
      </x:c>
    </x:row>
    <x:row r="161" ht="76" customHeight="1">
      <x:c r="A161" s="2" t="str">
        <x:v>S12-RESULT-R05</x:v>
      </x:c>
      <x:c r="B161" s="2" t="str">
        <x:v>S12</x:v>
      </x:c>
      <x:c r="C161" s="2" t="str">
        <x:v>merged_1133</x:v>
      </x:c>
      <x:c r="D161" s="2" t="str">
        <x:v>Reviewer_A</x:v>
      </x:c>
      <x:c r="E161" s="2" t="str">
        <x:v>Reviewer_A</x:v>
      </x:c>
      <x:c r="F161" s="2" t="str">
        <x:v>S12-R05</x:v>
      </x:c>
      <x:c r="G161" s="2" t="str">
        <x:v>S12-EV02</x:v>
      </x:c>
      <x:c r="H161" s="2" t="str">
        <x:v>S12-T01</x:v>
      </x:c>
      <x:c r="I161" s="2" t="str">
        <x:v>S12-MU01</x:v>
      </x:c>
      <x:c r="J161" s="2" t="str">
        <x:v>CM1 (test set)</x:v>
      </x:c>
      <x:c r="K161" s="2" t="str">
        <x:v>P6 (6-shot average)</x:v>
      </x:c>
      <x:c r="L161" s="2" t="str">
        <x:v>P6 (zero-shot)</x:v>
      </x:c>
      <x:c r="M161" s="2" t="str">
        <x:v>F2-score</x:v>
      </x:c>
      <x:c r="N161" s="6" t="str">
        <x:v>0.58±0.03</x:v>
      </x:c>
      <x:c r="O161" s="2" t="n">
        <x:v>0.58</x:v>
      </x:c>
      <x:c r="P161" s="2" t="str">
        <x:v>proportion</x:v>
      </x:c>
      <x:c r="Q161" s="6" t="str">
        <x:v>0.57±0.03</x:v>
      </x:c>
      <x:c r="R161" s="2" t="n">
        <x:v>0.57</x:v>
      </x:c>
      <x:c r="S161" s="2" t="str">
        <x:v>NR</x:v>
      </x:c>
      <x:c r="T161" s="2" t="str">
        <x:v>Comparable</x:v>
      </x:c>
      <x:c r="U161" s="2" t="str">
        <x:v>Not tested</x:v>
      </x:c>
      <x:c r="V161" s="2" t="str">
        <x:v>NR</x:v>
      </x:c>
      <x:c r="W161" s="2" t="str">
        <x:v>NR</x:v>
      </x:c>
      <x:c r="X161" s="2" t="str">
        <x:v>NR</x:v>
      </x:c>
      <x:c r="Y161" s="2" t="str">
        <x:v>NR</x:v>
      </x:c>
      <x:c r="Z161" s="2" t="str">
        <x:v>No</x:v>
      </x:c>
      <x:c r="AA161" s="6" t="str">
        <x:v>p. 28; Section 6.1.3</x:v>
      </x:c>
      <x:c r="AB161" s="6" t="str">
        <x:v>The highest average performance is achieved by 3-shot setting, with F2-score of the 0.58.</x:v>
      </x:c>
      <x:c r="AC161" s="6" t="str">
        <x:v>少样本平均表现略高于零样本，但提升有限。</x:v>
      </x:c>
      <x:c r="AD161" s="2" t="str">
        <x:v>Accepted</x:v>
      </x:c>
      <x:c r="AE161" s="6" t="str">
        <x:v>原文'3-shot'疑为'6-shot'笔误</x:v>
      </x:c>
    </x:row>
    <x:row r="162" ht="76" customHeight="1">
      <x:c r="A162" s="2" t="str">
        <x:v>S12-RESULT-R06</x:v>
      </x:c>
      <x:c r="B162" s="2" t="str">
        <x:v>S12</x:v>
      </x:c>
      <x:c r="C162" s="2" t="str">
        <x:v>merged_1133</x:v>
      </x:c>
      <x:c r="D162" s="2" t="str">
        <x:v>Reviewer_A</x:v>
      </x:c>
      <x:c r="E162" s="2" t="str">
        <x:v>Reviewer_A</x:v>
      </x:c>
      <x:c r="F162" s="2" t="str">
        <x:v>S12-R06</x:v>
      </x:c>
      <x:c r="G162" s="2" t="str">
        <x:v>S12-EV03</x:v>
      </x:c>
      <x:c r="H162" s="2" t="str">
        <x:v>S12-T01</x:v>
      </x:c>
      <x:c r="I162" s="2" t="str">
        <x:v>S12-MU02</x:v>
      </x:c>
      <x:c r="J162" s="2" t="str">
        <x:v>CM1 (test set)</x:v>
      </x:c>
      <x:c r="K162" s="2" t="str">
        <x:v>LLM-specific prompt</x:v>
      </x:c>
      <x:c r="L162" s="2" t="str">
        <x:v>Re-used prompt P6</x:v>
      </x:c>
      <x:c r="M162" s="2" t="str">
        <x:v>F2-score</x:v>
      </x:c>
      <x:c r="N162" s="6" t="str">
        <x:v>0.58±0.01</x:v>
      </x:c>
      <x:c r="O162" s="2" t="n">
        <x:v>0.58</x:v>
      </x:c>
      <x:c r="P162" s="2" t="str">
        <x:v>proportion</x:v>
      </x:c>
      <x:c r="Q162" s="6" t="str">
        <x:v>0.54±0.02</x:v>
      </x:c>
      <x:c r="R162" s="2" t="n">
        <x:v>0.54</x:v>
      </x:c>
      <x:c r="S162" s="2" t="str">
        <x:v>NR</x:v>
      </x:c>
      <x:c r="T162" s="2" t="str">
        <x:v>Better</x:v>
      </x:c>
      <x:c r="U162" s="2" t="str">
        <x:v>Significant</x:v>
      </x:c>
      <x:c r="V162" s="2" t="str">
        <x:v>p=0.0017</x:v>
      </x:c>
      <x:c r="W162" s="2" t="str">
        <x:v>NR</x:v>
      </x:c>
      <x:c r="X162" s="2" t="str">
        <x:v>NR</x:v>
      </x:c>
      <x:c r="Y162" s="2" t="str">
        <x:v>NR</x:v>
      </x:c>
      <x:c r="Z162" s="2" t="str">
        <x:v>No</x:v>
      </x:c>
      <x:c r="AA162" s="6" t="str">
        <x:v>p. 29; Section 6.2, Table 6</x:v>
      </x:c>
      <x:c r="AB162" s="6" t="str">
        <x:v>GPT-4o’s performance improved from 0.54 to 0.58 (p=0.0017).</x:v>
      </x:c>
      <x:c r="AC162" s="6" t="str">
        <x:v>GPT-4o在使用模型特定提示后F2分数显著提升。</x:v>
      </x:c>
      <x:c r="AD162" s="2" t="str">
        <x:v>Accepted</x:v>
      </x:c>
      <x:c r="AE162" s="6" t="str">
        <x:v>NR</x:v>
      </x:c>
    </x:row>
    <x:row r="163" ht="76" customHeight="1">
      <x:c r="A163" s="2" t="str">
        <x:v>S12-RESULT-R07</x:v>
      </x:c>
      <x:c r="B163" s="2" t="str">
        <x:v>S12</x:v>
      </x:c>
      <x:c r="C163" s="2" t="str">
        <x:v>merged_1133</x:v>
      </x:c>
      <x:c r="D163" s="2" t="str">
        <x:v>Reviewer_A</x:v>
      </x:c>
      <x:c r="E163" s="2" t="str">
        <x:v>Reviewer_A</x:v>
      </x:c>
      <x:c r="F163" s="2" t="str">
        <x:v>S12-R07</x:v>
      </x:c>
      <x:c r="G163" s="2" t="str">
        <x:v>S12-EV03</x:v>
      </x:c>
      <x:c r="H163" s="2" t="str">
        <x:v>S12-T01</x:v>
      </x:c>
      <x:c r="I163" s="2" t="str">
        <x:v>S12-MU03</x:v>
      </x:c>
      <x:c r="J163" s="2" t="str">
        <x:v>CM1 (test set)</x:v>
      </x:c>
      <x:c r="K163" s="2" t="str">
        <x:v>LLM-specific prompt</x:v>
      </x:c>
      <x:c r="L163" s="2" t="str">
        <x:v>Re-used prompt P6</x:v>
      </x:c>
      <x:c r="M163" s="2" t="str">
        <x:v>F2-score</x:v>
      </x:c>
      <x:c r="N163" s="6" t="str">
        <x:v>0.53±0.00</x:v>
      </x:c>
      <x:c r="O163" s="2" t="n">
        <x:v>0.53</x:v>
      </x:c>
      <x:c r="P163" s="2" t="str">
        <x:v>proportion</x:v>
      </x:c>
      <x:c r="Q163" s="6" t="str">
        <x:v>0.46</x:v>
      </x:c>
      <x:c r="R163" s="2" t="n">
        <x:v>0.46</x:v>
      </x:c>
      <x:c r="S163" s="2" t="str">
        <x:v>NR</x:v>
      </x:c>
      <x:c r="T163" s="2" t="str">
        <x:v>Better</x:v>
      </x:c>
      <x:c r="U163" s="2" t="str">
        <x:v>Significant</x:v>
      </x:c>
      <x:c r="V163" s="2" t="str">
        <x:v>p=0.0001</x:v>
      </x:c>
      <x:c r="W163" s="2" t="str">
        <x:v>NR</x:v>
      </x:c>
      <x:c r="X163" s="2" t="str">
        <x:v>NR</x:v>
      </x:c>
      <x:c r="Y163" s="2" t="str">
        <x:v>NR</x:v>
      </x:c>
      <x:c r="Z163" s="2" t="str">
        <x:v>No</x:v>
      </x:c>
      <x:c r="AA163" s="6" t="str">
        <x:v>p. 29; Section 6.2</x:v>
      </x:c>
      <x:c r="AB163" s="6" t="str">
        <x:v>Claude 3.5 Haiku showed a substantial gain, with its F2-score increasing by 15% (from 0.46 to 0.53, p=0.0001)</x:v>
      </x:c>
      <x:c r="AC163" s="6" t="str">
        <x:v>Claude 3.5 Haiku在使用模型特定提示后F2分数大幅提升。</x:v>
      </x:c>
      <x:c r="AD163" s="2" t="str">
        <x:v>Accepted</x:v>
      </x:c>
      <x:c r="AE163" s="6" t="str">
        <x:v>NR</x:v>
      </x:c>
    </x:row>
    <x:row r="164" ht="76" customHeight="1">
      <x:c r="A164" s="2" t="str">
        <x:v>S12-RESULT-R08</x:v>
      </x:c>
      <x:c r="B164" s="2" t="str">
        <x:v>S12</x:v>
      </x:c>
      <x:c r="C164" s="2" t="str">
        <x:v>merged_1133</x:v>
      </x:c>
      <x:c r="D164" s="2" t="str">
        <x:v>Reviewer_A</x:v>
      </x:c>
      <x:c r="E164" s="2" t="str">
        <x:v>Reviewer_A</x:v>
      </x:c>
      <x:c r="F164" s="2" t="str">
        <x:v>S12-R08</x:v>
      </x:c>
      <x:c r="G164" s="2" t="str">
        <x:v>S12-EV03</x:v>
      </x:c>
      <x:c r="H164" s="2" t="str">
        <x:v>S12-T01</x:v>
      </x:c>
      <x:c r="I164" s="2" t="str">
        <x:v>S12-MU05</x:v>
      </x:c>
      <x:c r="J164" s="2" t="str">
        <x:v>CM1 (test set)</x:v>
      </x:c>
      <x:c r="K164" s="2" t="str">
        <x:v>LLM-specific prompt</x:v>
      </x:c>
      <x:c r="L164" s="2" t="str">
        <x:v>Re-used prompt P6</x:v>
      </x:c>
      <x:c r="M164" s="2" t="str">
        <x:v>F2-score</x:v>
      </x:c>
      <x:c r="N164" s="6" t="str">
        <x:v>0.61±0.00</x:v>
      </x:c>
      <x:c r="O164" s="2" t="n">
        <x:v>0.61</x:v>
      </x:c>
      <x:c r="P164" s="2" t="str">
        <x:v>proportion</x:v>
      </x:c>
      <x:c r="Q164" s="6" t="str">
        <x:v>0.56</x:v>
      </x:c>
      <x:c r="R164" s="2" t="n">
        <x:v>0.56</x:v>
      </x:c>
      <x:c r="S164" s="2" t="str">
        <x:v>NR</x:v>
      </x:c>
      <x:c r="T164" s="2" t="str">
        <x:v>Better</x:v>
      </x:c>
      <x:c r="U164" s="2" t="str">
        <x:v>Significant</x:v>
      </x:c>
      <x:c r="V164" s="2" t="str">
        <x:v>p=0.0000</x:v>
      </x:c>
      <x:c r="W164" s="2" t="str">
        <x:v>NR</x:v>
      </x:c>
      <x:c r="X164" s="2" t="str">
        <x:v>NR</x:v>
      </x:c>
      <x:c r="Y164" s="2" t="str">
        <x:v>NR</x:v>
      </x:c>
      <x:c r="Z164" s="2" t="str">
        <x:v>No</x:v>
      </x:c>
      <x:c r="AA164" s="6" t="str">
        <x:v>p. 29; Section 6.2</x:v>
      </x:c>
      <x:c r="AB164" s="6" t="str">
        <x:v>Gemini 1.5 Flash achieved the highest statistical significance, improving from 0.56 to 0.61 with a p-value of 0.0000.</x:v>
      </x:c>
      <x:c r="AC164" s="6" t="str">
        <x:v>Gemini 1.5 Flash在使用模型特定提示后F2分数显著提升至0.61。</x:v>
      </x:c>
      <x:c r="AD164" s="2" t="str">
        <x:v>Accepted</x:v>
      </x:c>
      <x:c r="AE164" s="6" t="str">
        <x:v>NR</x:v>
      </x:c>
    </x:row>
    <x:row r="165" ht="76" customHeight="1">
      <x:c r="A165" s="2" t="str">
        <x:v>S12-RESULT-R09</x:v>
      </x:c>
      <x:c r="B165" s="2" t="str">
        <x:v>S12</x:v>
      </x:c>
      <x:c r="C165" s="2" t="str">
        <x:v>merged_1133</x:v>
      </x:c>
      <x:c r="D165" s="2" t="str">
        <x:v>Reviewer_A</x:v>
      </x:c>
      <x:c r="E165" s="2" t="str">
        <x:v>Reviewer_A</x:v>
      </x:c>
      <x:c r="F165" s="2" t="str">
        <x:v>S12-R09</x:v>
      </x:c>
      <x:c r="G165" s="2" t="str">
        <x:v>S12-EV04</x:v>
      </x:c>
      <x:c r="H165" s="2" t="str">
        <x:v>S12-T01</x:v>
      </x:c>
      <x:c r="I165" s="2" t="str">
        <x:v>S12-MU01</x:v>
      </x:c>
      <x:c r="J165" s="2" t="str">
        <x:v>CM1 (test set)</x:v>
      </x:c>
      <x:c r="K165" s="2" t="str">
        <x:v>Diversity-based 2-shot (label-aware)</x:v>
      </x:c>
      <x:c r="L165" s="2" t="str">
        <x:v>Random (label-aware)</x:v>
      </x:c>
      <x:c r="M165" s="2" t="str">
        <x:v>F2-score</x:v>
      </x:c>
      <x:c r="N165" s="6" t="str">
        <x:v>0.68±0.02</x:v>
      </x:c>
      <x:c r="O165" s="2" t="n">
        <x:v>0.68</x:v>
      </x:c>
      <x:c r="P165" s="2" t="str">
        <x:v>proportion</x:v>
      </x:c>
      <x:c r="Q165" s="6" t="str">
        <x:v>0.53±0.04</x:v>
      </x:c>
      <x:c r="R165" s="2" t="n">
        <x:v>0.53</x:v>
      </x:c>
      <x:c r="S165" s="2" t="str">
        <x:v>NR</x:v>
      </x:c>
      <x:c r="T165" s="2" t="str">
        <x:v>Better</x:v>
      </x:c>
      <x:c r="U165" s="2" t="str">
        <x:v>Significant</x:v>
      </x:c>
      <x:c r="V165" s="2" t="str">
        <x:v>p=0.000</x:v>
      </x:c>
      <x:c r="W165" s="2" t="str">
        <x:v>NR</x:v>
      </x:c>
      <x:c r="X165" s="2" t="str">
        <x:v>NR</x:v>
      </x:c>
      <x:c r="Y165" s="2" t="str">
        <x:v>NR</x:v>
      </x:c>
      <x:c r="Z165" s="2" t="str">
        <x:v>No</x:v>
      </x:c>
      <x:c r="AA165" s="6" t="str">
        <x:v>p. 32; Section 6.3, Table 7</x:v>
      </x:c>
      <x:c r="AB165" s="6" t="str">
        <x:v>Diversity-based selection yields a statistically significant improvement (p = 0.000) over Random, indicating a reliable performance gain.</x:v>
      </x:c>
      <x:c r="AC165" s="6" t="str">
        <x:v>多样性选择策略在2-shot设置下显著优于随机基线。</x:v>
      </x:c>
      <x:c r="AD165" s="2" t="str">
        <x:v>Accepted</x:v>
      </x:c>
      <x:c r="AE165" s="6" t="str">
        <x:v>NR</x:v>
      </x:c>
    </x:row>
    <x:row r="166" ht="76" customHeight="1">
      <x:c r="A166" s="2" t="str">
        <x:v>S12-RESULT-R10</x:v>
      </x:c>
      <x:c r="B166" s="2" t="str">
        <x:v>S12</x:v>
      </x:c>
      <x:c r="C166" s="2" t="str">
        <x:v>merged_1133</x:v>
      </x:c>
      <x:c r="D166" s="2" t="str">
        <x:v>Reviewer_A</x:v>
      </x:c>
      <x:c r="E166" s="2" t="str">
        <x:v>Reviewer_A</x:v>
      </x:c>
      <x:c r="F166" s="2" t="str">
        <x:v>S12-R10</x:v>
      </x:c>
      <x:c r="G166" s="2" t="str">
        <x:v>S12-EV05</x:v>
      </x:c>
      <x:c r="H166" s="2" t="str">
        <x:v>S12-T01</x:v>
      </x:c>
      <x:c r="I166" s="2" t="str">
        <x:v>NA</x:v>
      </x:c>
      <x:c r="J166" s="2" t="str">
        <x:v>CM1</x:v>
      </x:c>
      <x:c r="K166" s="2" t="str">
        <x:v>TraceLLM</x:v>
      </x:c>
      <x:c r="L166" s="2" t="str">
        <x:v>Hey et al. [35]</x:v>
      </x:c>
      <x:c r="M166" s="2" t="str">
        <x:v>F2-score</x:v>
      </x:c>
      <x:c r="N166" s="6" t="str">
        <x:v>0.68±0.02</x:v>
      </x:c>
      <x:c r="O166" s="2" t="n">
        <x:v>0.68</x:v>
      </x:c>
      <x:c r="P166" s="2" t="str">
        <x:v>proportion</x:v>
      </x:c>
      <x:c r="Q166" s="6" t="str">
        <x:v>0.69±0.02</x:v>
      </x:c>
      <x:c r="R166" s="2" t="n">
        <x:v>0.69</x:v>
      </x:c>
      <x:c r="S166" s="2" t="str">
        <x:v>NR</x:v>
      </x:c>
      <x:c r="T166" s="2" t="str">
        <x:v>Comparable</x:v>
      </x:c>
      <x:c r="U166" s="2" t="str">
        <x:v>Not tested</x:v>
      </x:c>
      <x:c r="V166" s="2" t="str">
        <x:v>NR</x:v>
      </x:c>
      <x:c r="W166" s="2" t="str">
        <x:v>NR</x:v>
      </x:c>
      <x:c r="X166" s="2" t="str">
        <x:v>NR</x:v>
      </x:c>
      <x:c r="Y166" s="2" t="str">
        <x:v>NR</x:v>
      </x:c>
      <x:c r="Z166" s="2" t="str">
        <x:v>No</x:v>
      </x:c>
      <x:c r="AA166" s="6" t="str">
        <x:v>p. 34; Section 6.4, Table 9</x:v>
      </x:c>
      <x:c r="AB166" s="6" t="str">
        <x:v>Hey et al. [35] achieves the highest F2-score (0.69), with TraceLLM closely behind at 0.68.</x:v>
      </x:c>
      <x:c r="AC166" s="6" t="str">
        <x:v>在CM1数据集上，TraceLLM与最佳基线Hey等人的方法性能相当。</x:v>
      </x:c>
      <x:c r="AD166" s="2" t="str">
        <x:v>Accepted</x:v>
      </x:c>
      <x:c r="AE166" s="6" t="str">
        <x:v>NR</x:v>
      </x:c>
    </x:row>
    <x:row r="167" ht="76" customHeight="1">
      <x:c r="A167" s="2" t="str">
        <x:v>S12-RESULT-R11</x:v>
      </x:c>
      <x:c r="B167" s="2" t="str">
        <x:v>S12</x:v>
      </x:c>
      <x:c r="C167" s="2" t="str">
        <x:v>merged_1133</x:v>
      </x:c>
      <x:c r="D167" s="2" t="str">
        <x:v>Reviewer_A</x:v>
      </x:c>
      <x:c r="E167" s="2" t="str">
        <x:v>Reviewer_A</x:v>
      </x:c>
      <x:c r="F167" s="2" t="str">
        <x:v>S12-R11</x:v>
      </x:c>
      <x:c r="G167" s="2" t="str">
        <x:v>S12-EV06</x:v>
      </x:c>
      <x:c r="H167" s="2" t="str">
        <x:v>S12-T02</x:v>
      </x:c>
      <x:c r="I167" s="2" t="str">
        <x:v>NA</x:v>
      </x:c>
      <x:c r="J167" s="2" t="str">
        <x:v>EasyClinic (UC-TC)</x:v>
      </x:c>
      <x:c r="K167" s="2" t="str">
        <x:v>TraceLLM</x:v>
      </x:c>
      <x:c r="L167" s="2" t="str">
        <x:v>Hey et al. [35]</x:v>
      </x:c>
      <x:c r="M167" s="2" t="str">
        <x:v>F2-score</x:v>
      </x:c>
      <x:c r="N167" s="6" t="str">
        <x:v>0.83±0.01</x:v>
      </x:c>
      <x:c r="O167" s="2" t="n">
        <x:v>0.83</x:v>
      </x:c>
      <x:c r="P167" s="2" t="str">
        <x:v>proportion</x:v>
      </x:c>
      <x:c r="Q167" s="6" t="str">
        <x:v>0.72±0.01</x:v>
      </x:c>
      <x:c r="R167" s="2" t="n">
        <x:v>0.72</x:v>
      </x:c>
      <x:c r="S167" s="2" t="str">
        <x:v>NR</x:v>
      </x:c>
      <x:c r="T167" s="2" t="str">
        <x:v>Better</x:v>
      </x:c>
      <x:c r="U167" s="2" t="str">
        <x:v>Not tested</x:v>
      </x:c>
      <x:c r="V167" s="2" t="str">
        <x:v>NR</x:v>
      </x:c>
      <x:c r="W167" s="2" t="str">
        <x:v>NR</x:v>
      </x:c>
      <x:c r="X167" s="2" t="str">
        <x:v>NR</x:v>
      </x:c>
      <x:c r="Y167" s="2" t="str">
        <x:v>NR</x:v>
      </x:c>
      <x:c r="Z167" s="2" t="str">
        <x:v>No</x:v>
      </x:c>
      <x:c r="AA167" s="6" t="str">
        <x:v>p. 34; Section 6.4, Table 9</x:v>
      </x:c>
      <x:c r="AB167" s="6" t="str">
        <x:v>On EasyClinic (UC-TC), TraceLLM outperforms all methods with an F2-score of 0.83, substantially higher than Hey et al. [35] (0.72)</x:v>
      </x:c>
      <x:c r="AC167" s="6" t="str">
        <x:v>在EasyClinic UC-TC数据集上，TraceLLM显著优于所有方法。</x:v>
      </x:c>
      <x:c r="AD167" s="2" t="str">
        <x:v>Accepted</x:v>
      </x:c>
      <x:c r="AE167" s="6" t="str">
        <x:v>NR</x:v>
      </x:c>
    </x:row>
    <x:row r="168" ht="76" customHeight="1">
      <x:c r="A168" s="2" t="str">
        <x:v>S12-RESULT-R12</x:v>
      </x:c>
      <x:c r="B168" s="2" t="str">
        <x:v>S12</x:v>
      </x:c>
      <x:c r="C168" s="2" t="str">
        <x:v>merged_1133</x:v>
      </x:c>
      <x:c r="D168" s="2" t="str">
        <x:v>Reviewer_A</x:v>
      </x:c>
      <x:c r="E168" s="2" t="str">
        <x:v>Reviewer_A</x:v>
      </x:c>
      <x:c r="F168" s="2" t="str">
        <x:v>S12-R12</x:v>
      </x:c>
      <x:c r="G168" s="2" t="str">
        <x:v>S12-EV07</x:v>
      </x:c>
      <x:c r="H168" s="2" t="str">
        <x:v>S12-T03</x:v>
      </x:c>
      <x:c r="I168" s="2" t="str">
        <x:v>NA</x:v>
      </x:c>
      <x:c r="J168" s="2" t="str">
        <x:v>EasyClinic (UC-ID)</x:v>
      </x:c>
      <x:c r="K168" s="2" t="str">
        <x:v>TraceLLM</x:v>
      </x:c>
      <x:c r="L168" s="2" t="str">
        <x:v>Hey et al. [35]</x:v>
      </x:c>
      <x:c r="M168" s="2" t="str">
        <x:v>F2-score</x:v>
      </x:c>
      <x:c r="N168" s="6" t="str">
        <x:v>0.82±0.00</x:v>
      </x:c>
      <x:c r="O168" s="2" t="n">
        <x:v>0.82</x:v>
      </x:c>
      <x:c r="P168" s="2" t="str">
        <x:v>proportion</x:v>
      </x:c>
      <x:c r="Q168" s="6" t="str">
        <x:v>0.63±0.02</x:v>
      </x:c>
      <x:c r="R168" s="2" t="n">
        <x:v>0.63</x:v>
      </x:c>
      <x:c r="S168" s="2" t="str">
        <x:v>NR</x:v>
      </x:c>
      <x:c r="T168" s="2" t="str">
        <x:v>Better</x:v>
      </x:c>
      <x:c r="U168" s="2" t="str">
        <x:v>Not tested</x:v>
      </x:c>
      <x:c r="V168" s="2" t="str">
        <x:v>NR</x:v>
      </x:c>
      <x:c r="W168" s="2" t="str">
        <x:v>NR</x:v>
      </x:c>
      <x:c r="X168" s="2" t="str">
        <x:v>NR</x:v>
      </x:c>
      <x:c r="Y168" s="2" t="str">
        <x:v>NR</x:v>
      </x:c>
      <x:c r="Z168" s="2" t="str">
        <x:v>No</x:v>
      </x:c>
      <x:c r="AA168" s="6" t="str">
        <x:v>p. 34; Section 6.4, Table 9</x:v>
      </x:c>
      <x:c r="AB168" s="6" t="str">
        <x:v>A similar trend is observed in EasyClinic (UC-ID), where TraceLLM again dominates with an F2-score of 0.82, outperforming all methods.</x:v>
      </x:c>
      <x:c r="AC168" s="6" t="str">
        <x:v>在EasyClinic UC-ID数据集上，TraceLLM再次以0.82的F2分数领先所有方法。</x:v>
      </x:c>
      <x:c r="AD168" s="2" t="str">
        <x:v>Accepted</x:v>
      </x:c>
      <x:c r="AE168" s="6" t="str">
        <x:v>NR</x:v>
      </x:c>
    </x:row>
    <x:row r="169" ht="76" customHeight="1">
      <x:c r="A169" s="2" t="str">
        <x:v>S12-RESULT-R13</x:v>
      </x:c>
      <x:c r="B169" s="2" t="str">
        <x:v>S12</x:v>
      </x:c>
      <x:c r="C169" s="2" t="str">
        <x:v>merged_1133</x:v>
      </x:c>
      <x:c r="D169" s="2" t="str">
        <x:v>Reviewer_A</x:v>
      </x:c>
      <x:c r="E169" s="2" t="str">
        <x:v>Reviewer_A</x:v>
      </x:c>
      <x:c r="F169" s="2" t="str">
        <x:v>S12-R13</x:v>
      </x:c>
      <x:c r="G169" s="2" t="str">
        <x:v>S12-EV08</x:v>
      </x:c>
      <x:c r="H169" s="2" t="str">
        <x:v>S12-T04</x:v>
      </x:c>
      <x:c r="I169" s="2" t="str">
        <x:v>NA</x:v>
      </x:c>
      <x:c r="J169" s="2" t="str">
        <x:v>CCHIT</x:v>
      </x:c>
      <x:c r="K169" s="2" t="str">
        <x:v>TraceLLM</x:v>
      </x:c>
      <x:c r="L169" s="2" t="str">
        <x:v>Etezadi et al. [34]</x:v>
      </x:c>
      <x:c r="M169" s="2" t="str">
        <x:v>F2-score</x:v>
      </x:c>
      <x:c r="N169" s="6" t="str">
        <x:v>0.69±0.01</x:v>
      </x:c>
      <x:c r="O169" s="2" t="n">
        <x:v>0.69</x:v>
      </x:c>
      <x:c r="P169" s="2" t="str">
        <x:v>proportion</x:v>
      </x:c>
      <x:c r="Q169" s="6" t="str">
        <x:v>0.30±0.00</x:v>
      </x:c>
      <x:c r="R169" s="2" t="n">
        <x:v>0.3</x:v>
      </x:c>
      <x:c r="S169" s="2" t="str">
        <x:v>NR</x:v>
      </x:c>
      <x:c r="T169" s="2" t="str">
        <x:v>Better</x:v>
      </x:c>
      <x:c r="U169" s="2" t="str">
        <x:v>Not tested</x:v>
      </x:c>
      <x:c r="V169" s="2" t="str">
        <x:v>NR</x:v>
      </x:c>
      <x:c r="W169" s="2" t="str">
        <x:v>NR</x:v>
      </x:c>
      <x:c r="X169" s="2" t="str">
        <x:v>NR</x:v>
      </x:c>
      <x:c r="Y169" s="2" t="str">
        <x:v>NR</x:v>
      </x:c>
      <x:c r="Z169" s="2" t="str">
        <x:v>No</x:v>
      </x:c>
      <x:c r="AA169" s="6" t="str">
        <x:v>p. 34; Section 6.4, Table 9</x:v>
      </x:c>
      <x:c r="AB169" s="6" t="str">
        <x:v>TraceLLM substantially surpasses Etezadi et al. [34]’s method (0.30).</x:v>
      </x:c>
      <x:c r="AC169" s="6" t="str">
        <x:v>在CCHIT数据集上，TraceLLM以0.69的F2分数大幅超越Etezadi等人的方法。</x:v>
      </x:c>
      <x:c r="AD169" s="2" t="str">
        <x:v>Accepted</x:v>
      </x:c>
      <x:c r="AE169" s="6" t="str">
        <x:v>NR</x:v>
      </x:c>
    </x:row>
    <x:row r="170" ht="76" customHeight="1">
      <x:c r="A170" s="2" t="str">
        <x:v>S12-RESULT-R14</x:v>
      </x:c>
      <x:c r="B170" s="2" t="str">
        <x:v>S12</x:v>
      </x:c>
      <x:c r="C170" s="2" t="str">
        <x:v>merged_1133</x:v>
      </x:c>
      <x:c r="D170" s="2" t="str">
        <x:v>Reviewer_A</x:v>
      </x:c>
      <x:c r="E170" s="2" t="str">
        <x:v>Reviewer_A</x:v>
      </x:c>
      <x:c r="F170" s="2" t="str">
        <x:v>S12-R14</x:v>
      </x:c>
      <x:c r="G170" s="2" t="str">
        <x:v>S12-EV05</x:v>
      </x:c>
      <x:c r="H170" s="2" t="str">
        <x:v>S12-T01</x:v>
      </x:c>
      <x:c r="I170" s="2" t="str">
        <x:v>S12-MU05</x:v>
      </x:c>
      <x:c r="J170" s="2" t="str">
        <x:v>CM1 (cost for 30 runs)</x:v>
      </x:c>
      <x:c r="K170" s="2" t="str">
        <x:v>Gemini 1.5 Flash (LLM-specific 0-shot)</x:v>
      </x:c>
      <x:c r="L170" s="2" t="str">
        <x:v>No</x:v>
      </x:c>
      <x:c r="M170" s="2" t="str">
        <x:v>Cost (USD)</x:v>
      </x:c>
      <x:c r="N170" s="6" t="str">
        <x:v>2.955</x:v>
      </x:c>
      <x:c r="O170" s="2" t="n">
        <x:v>2.955</x:v>
      </x:c>
      <x:c r="P170" s="2" t="str">
        <x:v>USD</x:v>
      </x:c>
      <x:c r="Q170" s="6" t="str">
        <x:v>No</x:v>
      </x:c>
      <x:c r="R170" s="2" t="str">
        <x:v>NA</x:v>
      </x:c>
      <x:c r="S170" s="2" t="str">
        <x:v>NA</x:v>
      </x:c>
      <x:c r="T170" s="2" t="str">
        <x:v>Not compared</x:v>
      </x:c>
      <x:c r="U170" s="2" t="str">
        <x:v>NA</x:v>
      </x:c>
      <x:c r="V170" s="2" t="str">
        <x:v>Lightweight model offers substantial cost savings</x:v>
      </x:c>
      <x:c r="W170" s="2" t="str">
        <x:v>NR</x:v>
      </x:c>
      <x:c r="X170" s="2" t="str">
        <x:v>NR</x:v>
      </x:c>
      <x:c r="Y170" s="2" t="str">
        <x:v>NR</x:v>
      </x:c>
      <x:c r="Z170" s="2" t="str">
        <x:v>No</x:v>
      </x:c>
      <x:c r="AA170" s="6" t="str">
        <x:v>p. 37; Section 6.5, Table 10</x:v>
      </x:c>
      <x:c r="AB170" s="6" t="str">
        <x:v>Gemini 1.5 Flash ($2.955) demonstrate excellent cost-efficiency.</x:v>
      </x:c>
      <x:c r="AC170" s="6" t="str">
        <x:v>Gemini 1.5 Flash是成本最低的模型，总花费仅2.955美元。</x:v>
      </x:c>
      <x:c r="AD170" s="2" t="str">
        <x:v>Accepted</x:v>
      </x:c>
      <x:c r="AE170" s="6" t="str">
        <x:v>NR</x:v>
      </x:c>
    </x:row>
    <x:row r="171" ht="76" customHeight="1">
      <x:c r="A171" s="2" t="str">
        <x:v>S13-RESULT-R01</x:v>
      </x:c>
      <x:c r="B171" s="2" t="str">
        <x:v>S13</x:v>
      </x:c>
      <x:c r="C171" s="2" t="str">
        <x:v>merged_1140</x:v>
      </x:c>
      <x:c r="D171" s="2" t="str">
        <x:v>Reviewer_A</x:v>
      </x:c>
      <x:c r="E171" s="2" t="str">
        <x:v>Reviewer_A</x:v>
      </x:c>
      <x:c r="F171" s="2" t="str">
        <x:v>S13-R01</x:v>
      </x:c>
      <x:c r="G171" s="2" t="str">
        <x:v>S13-EV01</x:v>
      </x:c>
      <x:c r="H171" s="2" t="str">
        <x:v>S13-T01</x:v>
      </x:c>
      <x:c r="I171" s="2" t="str">
        <x:v>NA</x:v>
      </x:c>
      <x:c r="J171" s="2" t="str">
        <x:v>eTour</x:v>
      </x:c>
      <x:c r="K171" s="2" t="str">
        <x:v>ZS-Code augmentation</x:v>
      </x:c>
      <x:c r="L171" s="2" t="str">
        <x:v>No augmentation (CodeBERT)</x:v>
      </x:c>
      <x:c r="M171" s="2" t="str">
        <x:v>F1</x:v>
      </x:c>
      <x:c r="N171" s="6" t="str">
        <x:v>83.50%</x:v>
      </x:c>
      <x:c r="O171" s="2" t="n">
        <x:v>83.5</x:v>
      </x:c>
      <x:c r="P171" s="2" t="str">
        <x:v>%</x:v>
      </x:c>
      <x:c r="Q171" s="6" t="str">
        <x:v>58.54%</x:v>
      </x:c>
      <x:c r="R171" s="2" t="n">
        <x:v>58.54</x:v>
      </x:c>
      <x:c r="S171" s="2" t="str">
        <x:v>std 1.26%</x:v>
      </x:c>
      <x:c r="T171" s="2" t="str">
        <x:v>Better</x:v>
      </x:c>
      <x:c r="U171" s="2" t="str">
        <x:v>Not tested</x:v>
      </x:c>
      <x:c r="V171" s="2" t="str">
        <x:v>NR</x:v>
      </x:c>
      <x:c r="W171" s="2" t="str">
        <x:v>NR</x:v>
      </x:c>
      <x:c r="X171" s="2" t="str">
        <x:v>NR</x:v>
      </x:c>
      <x:c r="Y171" s="2" t="str">
        <x:v>NR</x:v>
      </x:c>
      <x:c r="Z171" s="2" t="str">
        <x:v>No</x:v>
      </x:c>
      <x:c r="AA171" s="6" t="str">
        <x:v>p. 21; Section 5.1</x:v>
      </x:c>
      <x:c r="AB171" s="6" t="str">
        <x:v>On this dataset, for instance, the top-performing ZS-Code strategy boosted the average F1 score by a remarkable 24.96 percentage points (from 58.54% to 83.50%)</x:v>
      </x:c>
      <x:c r="AC171" s="6" t="str">
        <x:v>在eTour数据集上，零样本代码生成策略将F1大幅提升至83.50%，远超无增强基线。</x:v>
      </x:c>
      <x:c r="AD171" s="2" t="str">
        <x:v>Accepted</x:v>
      </x:c>
      <x:c r="AE171" s="6" t="str">
        <x:v>NA</x:v>
      </x:c>
    </x:row>
    <x:row r="172" ht="76" customHeight="1">
      <x:c r="A172" s="2" t="str">
        <x:v>S13-RESULT-R02</x:v>
      </x:c>
      <x:c r="B172" s="2" t="str">
        <x:v>S13</x:v>
      </x:c>
      <x:c r="C172" s="2" t="str">
        <x:v>merged_1140</x:v>
      </x:c>
      <x:c r="D172" s="2" t="str">
        <x:v>Reviewer_A</x:v>
      </x:c>
      <x:c r="E172" s="2" t="str">
        <x:v>Reviewer_A</x:v>
      </x:c>
      <x:c r="F172" s="2" t="str">
        <x:v>S13-R02</x:v>
      </x:c>
      <x:c r="G172" s="2" t="str">
        <x:v>S13-EV01</x:v>
      </x:c>
      <x:c r="H172" s="2" t="str">
        <x:v>S13-T01</x:v>
      </x:c>
      <x:c r="I172" s="2" t="str">
        <x:v>NA</x:v>
      </x:c>
      <x:c r="J172" s="2" t="str">
        <x:v>eTour</x:v>
      </x:c>
      <x:c r="K172" s="2" t="str">
        <x:v>ZS-Code augmentation</x:v>
      </x:c>
      <x:c r="L172" s="2" t="str">
        <x:v>No augmentation</x:v>
      </x:c>
      <x:c r="M172" s="2" t="str">
        <x:v>F2</x:v>
      </x:c>
      <x:c r="N172" s="6" t="str">
        <x:v>81.25%</x:v>
      </x:c>
      <x:c r="O172" s="2" t="n">
        <x:v>81.25</x:v>
      </x:c>
      <x:c r="P172" s="2" t="str">
        <x:v>%</x:v>
      </x:c>
      <x:c r="Q172" s="6" t="str">
        <x:v>54.59%</x:v>
      </x:c>
      <x:c r="R172" s="2" t="n">
        <x:v>54.59</x:v>
      </x:c>
      <x:c r="S172" s="2" t="str">
        <x:v>std 0.85%</x:v>
      </x:c>
      <x:c r="T172" s="2" t="str">
        <x:v>Better</x:v>
      </x:c>
      <x:c r="U172" s="2" t="str">
        <x:v>Not tested</x:v>
      </x:c>
      <x:c r="V172" s="2" t="str">
        <x:v>NR</x:v>
      </x:c>
      <x:c r="W172" s="2" t="str">
        <x:v>NR</x:v>
      </x:c>
      <x:c r="X172" s="2" t="str">
        <x:v>NR</x:v>
      </x:c>
      <x:c r="Y172" s="2" t="str">
        <x:v>NR</x:v>
      </x:c>
      <x:c r="Z172" s="2" t="str">
        <x:v>No</x:v>
      </x:c>
      <x:c r="AA172" s="6" t="str">
        <x:v>p. 21; Section 5.1</x:v>
      </x:c>
      <x:c r="AB172" s="6" t="str">
        <x:v>the average F2 score by 26.66 percentage points (from 54.59% to 81.25%).</x:v>
      </x:c>
      <x:c r="AC172" s="6" t="str">
        <x:v>零样本代码生成策略在eTour上将F2也大幅提升，表现出显著的增强效果。</x:v>
      </x:c>
      <x:c r="AD172" s="2" t="str">
        <x:v>Accepted</x:v>
      </x:c>
      <x:c r="AE172" s="6" t="str">
        <x:v>NA</x:v>
      </x:c>
    </x:row>
    <x:row r="173" ht="76" customHeight="1">
      <x:c r="A173" s="2" t="str">
        <x:v>S13-RESULT-R03</x:v>
      </x:c>
      <x:c r="B173" s="2" t="str">
        <x:v>S13</x:v>
      </x:c>
      <x:c r="C173" s="2" t="str">
        <x:v>merged_1140</x:v>
      </x:c>
      <x:c r="D173" s="2" t="str">
        <x:v>Reviewer_A</x:v>
      </x:c>
      <x:c r="E173" s="2" t="str">
        <x:v>Reviewer_A</x:v>
      </x:c>
      <x:c r="F173" s="2" t="str">
        <x:v>S13-R03</x:v>
      </x:c>
      <x:c r="G173" s="2" t="str">
        <x:v>S13-EV01</x:v>
      </x:c>
      <x:c r="H173" s="2" t="str">
        <x:v>S13-T01</x:v>
      </x:c>
      <x:c r="I173" s="2" t="str">
        <x:v>NA</x:v>
      </x:c>
      <x:c r="J173" s="2" t="str">
        <x:v>RETRO</x:v>
      </x:c>
      <x:c r="K173" s="2" t="str">
        <x:v>FS-Req augmentation</x:v>
      </x:c>
      <x:c r="L173" s="2" t="str">
        <x:v>No augmentation</x:v>
      </x:c>
      <x:c r="M173" s="2" t="str">
        <x:v>F1</x:v>
      </x:c>
      <x:c r="N173" s="6" t="str">
        <x:v>63.91%</x:v>
      </x:c>
      <x:c r="O173" s="2" t="n">
        <x:v>63.91</x:v>
      </x:c>
      <x:c r="P173" s="2" t="str">
        <x:v>%</x:v>
      </x:c>
      <x:c r="Q173" s="6" t="str">
        <x:v>68.38%</x:v>
      </x:c>
      <x:c r="R173" s="2" t="n">
        <x:v>68.38</x:v>
      </x:c>
      <x:c r="S173" s="2" t="str">
        <x:v>std 5.50%</x:v>
      </x:c>
      <x:c r="T173" s="2" t="str">
        <x:v>Worse</x:v>
      </x:c>
      <x:c r="U173" s="2" t="str">
        <x:v>Not tested</x:v>
      </x:c>
      <x:c r="V173" s="2" t="str">
        <x:v>NR</x:v>
      </x:c>
      <x:c r="W173" s="2" t="str">
        <x:v>NR</x:v>
      </x:c>
      <x:c r="X173" s="2" t="str">
        <x:v>NR</x:v>
      </x:c>
      <x:c r="Y173" s="2" t="str">
        <x:v>NR</x:v>
      </x:c>
      <x:c r="Z173" s="2" t="str">
        <x:v>Yes</x:v>
      </x:c>
      <x:c r="AA173" s="6" t="str">
        <x:v>p. 21; Section 5.1</x:v>
      </x:c>
      <x:c r="AB173" s="6" t="str">
        <x:v>This is best illustrated on the RETRO dataset, where this strategy achieved an F1 score of only 63.91%, underperforming the non-augmented baseline’s score of 68.38%.</x:v>
      </x:c>
      <x:c r="AC173" s="6" t="str">
        <x:v>少样本需求生成策略在RETRO上性能低于基线，是一个负结果，表明某些提示策略可能无效。</x:v>
      </x:c>
      <x:c r="AD173" s="2" t="str">
        <x:v>Accepted</x:v>
      </x:c>
      <x:c r="AE173" s="6" t="str">
        <x:v>NA</x:v>
      </x:c>
    </x:row>
    <x:row r="174" ht="76" customHeight="1">
      <x:c r="A174" s="2" t="str">
        <x:v>S13-RESULT-R04</x:v>
      </x:c>
      <x:c r="B174" s="2" t="str">
        <x:v>S13</x:v>
      </x:c>
      <x:c r="C174" s="2" t="str">
        <x:v>merged_1140</x:v>
      </x:c>
      <x:c r="D174" s="2" t="str">
        <x:v>Reviewer_A</x:v>
      </x:c>
      <x:c r="E174" s="2" t="str">
        <x:v>Reviewer_A</x:v>
      </x:c>
      <x:c r="F174" s="2" t="str">
        <x:v>S13-R04</x:v>
      </x:c>
      <x:c r="G174" s="2" t="str">
        <x:v>S13-EV02</x:v>
      </x:c>
      <x:c r="H174" s="2" t="str">
        <x:v>S13-T01</x:v>
      </x:c>
      <x:c r="I174" s="2" t="str">
        <x:v>S13-MU04</x:v>
      </x:c>
      <x:c r="J174" s="2" t="str">
        <x:v>EBT, eTour, iTrust, RETRO.NET</x:v>
      </x:c>
      <x:c r="K174" s="2" t="str">
        <x:v>LLM comparison for data augmentation</x:v>
      </x:c>
      <x:c r="L174" s="2" t="str">
        <x:v>NR (pairwise comparison among LLMs)</x:v>
      </x:c>
      <x:c r="M174" s="2" t="str">
        <x:v>p-value range</x:v>
      </x:c>
      <x:c r="N174" s="6" t="str">
        <x:v>[0.059 – 1.0] for all datasets</x:v>
      </x:c>
      <x:c r="O174" s="2" t="str">
        <x:v>NA</x:v>
      </x:c>
      <x:c r="P174" s="2" t="str">
        <x:v>NA</x:v>
      </x:c>
      <x:c r="Q174" s="6" t="str">
        <x:v>NA</x:v>
      </x:c>
      <x:c r="R174" s="2" t="str">
        <x:v>Unclear</x:v>
      </x:c>
      <x:c r="S174" s="2" t="str">
        <x:v>NR</x:v>
      </x:c>
      <x:c r="T174" s="2" t="str">
        <x:v>Comparable</x:v>
      </x:c>
      <x:c r="U174" s="2" t="str">
        <x:v>Not significant</x:v>
      </x:c>
      <x:c r="V174" s="2" t="str">
        <x:v>NR</x:v>
      </x:c>
      <x:c r="W174" s="2" t="str">
        <x:v>NR</x:v>
      </x:c>
      <x:c r="X174" s="2" t="str">
        <x:v>NR</x:v>
      </x:c>
      <x:c r="Y174" s="2" t="str">
        <x:v>NR</x:v>
      </x:c>
      <x:c r="Z174" s="2" t="str">
        <x:v>No</x:v>
      </x:c>
      <x:c r="AA174" s="6" t="str">
        <x:v>p. 23; Section 5.2</x:v>
      </x:c>
      <x:c r="AB174" s="6" t="str">
        <x:v>for every dataset, the minimum p-value observed across the full spectrum of 20 comparison scenarios (5 evaluation metrics × 4 prompting strategies) remained well above the 0.05 significance threshold.</x:v>
      </x:c>
      <x:c r="AC174" s="6" t="str">
        <x:v>所有LLM之间的性能差异均不显著，表明LLM选择不是关键因素。</x:v>
      </x:c>
      <x:c r="AD174" s="2" t="str">
        <x:v>Accepted</x:v>
      </x:c>
      <x:c r="AE174" s="6" t="str">
        <x:v>NA</x:v>
      </x:c>
    </x:row>
    <x:row r="175" ht="76" customHeight="1">
      <x:c r="A175" s="2" t="str">
        <x:v>S13-RESULT-R05</x:v>
      </x:c>
      <x:c r="B175" s="2" t="str">
        <x:v>S13</x:v>
      </x:c>
      <x:c r="C175" s="2" t="str">
        <x:v>merged_1140</x:v>
      </x:c>
      <x:c r="D175" s="2" t="str">
        <x:v>Reviewer_A</x:v>
      </x:c>
      <x:c r="E175" s="2" t="str">
        <x:v>Reviewer_A</x:v>
      </x:c>
      <x:c r="F175" s="2" t="str">
        <x:v>S13-R05</x:v>
      </x:c>
      <x:c r="G175" s="2" t="str">
        <x:v>S13-EV03</x:v>
      </x:c>
      <x:c r="H175" s="2" t="str">
        <x:v>S13-T01</x:v>
      </x:c>
      <x:c r="I175" s="2" t="str">
        <x:v>S13-MU04</x:v>
      </x:c>
      <x:c r="J175" s="2" t="str">
        <x:v>eTour</x:v>
      </x:c>
      <x:c r="K175" s="2" t="str">
        <x:v>Jina encoder</x:v>
      </x:c>
      <x:c r="L175" s="2" t="str">
        <x:v>CodeBERT encoder</x:v>
      </x:c>
      <x:c r="M175" s="2" t="str">
        <x:v>Precision</x:v>
      </x:c>
      <x:c r="N175" s="6" t="str">
        <x:v>94.30%</x:v>
      </x:c>
      <x:c r="O175" s="2" t="n">
        <x:v>94.3</x:v>
      </x:c>
      <x:c r="P175" s="2" t="str">
        <x:v>%</x:v>
      </x:c>
      <x:c r="Q175" s="6" t="str">
        <x:v>NR</x:v>
      </x:c>
      <x:c r="R175" s="2" t="str">
        <x:v>Unclear</x:v>
      </x:c>
      <x:c r="S175" s="2" t="str">
        <x:v>NR</x:v>
      </x:c>
      <x:c r="T175" s="2" t="str">
        <x:v>Better</x:v>
      </x:c>
      <x:c r="U175" s="2" t="str">
        <x:v>Not tested</x:v>
      </x:c>
      <x:c r="V175" s="2" t="str">
        <x:v>NR</x:v>
      </x:c>
      <x:c r="W175" s="2" t="str">
        <x:v>NR</x:v>
      </x:c>
      <x:c r="X175" s="2" t="str">
        <x:v>NR</x:v>
      </x:c>
      <x:c r="Y175" s="2" t="str">
        <x:v>NR</x:v>
      </x:c>
      <x:c r="Z175" s="2" t="str">
        <x:v>No</x:v>
      </x:c>
      <x:c r="AA175" s="6" t="str">
        <x:v>p. 24; Section 5.3</x:v>
      </x:c>
      <x:c r="AB175" s="6" t="str">
        <x:v>The tangible benefits of this superior pre-training are clearly visible across all datasets, such as on eTOUR where the Jina model achieved a final precision of 94.30%.</x:v>
      </x:c>
      <x:c r="AC175" s="6" t="str">
        <x:v>Jina编码器在eTour上达到了极高的精确率，显著优于CodeBERT。</x:v>
      </x:c>
      <x:c r="AD175" s="2" t="str">
        <x:v>Accepted</x:v>
      </x:c>
      <x:c r="AE175" s="6" t="str">
        <x:v>NA</x:v>
      </x:c>
    </x:row>
    <x:row r="176" ht="76" customHeight="1">
      <x:c r="A176" s="2" t="str">
        <x:v>S13-RESULT-R06</x:v>
      </x:c>
      <x:c r="B176" s="2" t="str">
        <x:v>S13</x:v>
      </x:c>
      <x:c r="C176" s="2" t="str">
        <x:v>merged_1140</x:v>
      </x:c>
      <x:c r="D176" s="2" t="str">
        <x:v>Reviewer_A</x:v>
      </x:c>
      <x:c r="E176" s="2" t="str">
        <x:v>Reviewer_A</x:v>
      </x:c>
      <x:c r="F176" s="2" t="str">
        <x:v>S13-R06</x:v>
      </x:c>
      <x:c r="G176" s="2" t="str">
        <x:v>S13-EV03</x:v>
      </x:c>
      <x:c r="H176" s="2" t="str">
        <x:v>S13-T01</x:v>
      </x:c>
      <x:c r="I176" s="2" t="str">
        <x:v>NA</x:v>
      </x:c>
      <x:c r="J176" s="2" t="str">
        <x:v>iTrust and RETRO</x:v>
      </x:c>
      <x:c r="K176" s="2" t="str">
        <x:v>Sequence length 1024</x:v>
      </x:c>
      <x:c r="L176" s="2" t="str">
        <x:v>Sequence length 512 (Jina)</x:v>
      </x:c>
      <x:c r="M176" s="2" t="str">
        <x:v>Recall</x:v>
      </x:c>
      <x:c r="N176" s="6" t="str">
        <x:v>additional +11.25 percentage points on the recall</x:v>
      </x:c>
      <x:c r="O176" s="2" t="n">
        <x:v>11.25</x:v>
      </x:c>
      <x:c r="P176" s="2" t="str">
        <x:v>percentage points</x:v>
      </x:c>
      <x:c r="Q176" s="6" t="str">
        <x:v>NR</x:v>
      </x:c>
      <x:c r="R176" s="2" t="str">
        <x:v>Unclear</x:v>
      </x:c>
      <x:c r="S176" s="2" t="str">
        <x:v>NR</x:v>
      </x:c>
      <x:c r="T176" s="2" t="str">
        <x:v>Better</x:v>
      </x:c>
      <x:c r="U176" s="2" t="str">
        <x:v>Not tested</x:v>
      </x:c>
      <x:c r="V176" s="2" t="str">
        <x:v>NR</x:v>
      </x:c>
      <x:c r="W176" s="2" t="str">
        <x:v>NR</x:v>
      </x:c>
      <x:c r="X176" s="2" t="str">
        <x:v>NR</x:v>
      </x:c>
      <x:c r="Y176" s="2" t="str">
        <x:v>NR</x:v>
      </x:c>
      <x:c r="Z176" s="2" t="str">
        <x:v>No</x:v>
      </x:c>
      <x:c r="AA176" s="6" t="str">
        <x:v>p. 25; Section 5.3</x:v>
      </x:c>
      <x:c r="AB176" s="6" t="str">
        <x:v>replacing CodeBERT with Jina provides the largest incremental performance boost (e.g., an additional +11.25 percentage points on the recall).</x:v>
      </x:c>
      <x:c r="AC176" s="6" t="str">
        <x:v>在RETRO数据集上，Jina编码器相比CodeBERT在召回率上额外提升了11.25个百分点。</x:v>
      </x:c>
      <x:c r="AD176" s="2" t="str">
        <x:v>Accepted</x:v>
      </x:c>
      <x:c r="AE176" s="6" t="str">
        <x:v>NA</x:v>
      </x:c>
    </x:row>
    <x:row r="177" ht="76" customHeight="1">
      <x:c r="A177" s="2" t="str">
        <x:v>S13-RESULT-R07</x:v>
      </x:c>
      <x:c r="B177" s="2" t="str">
        <x:v>S13</x:v>
      </x:c>
      <x:c r="C177" s="2" t="str">
        <x:v>merged_1140</x:v>
      </x:c>
      <x:c r="D177" s="2" t="str">
        <x:v>Reviewer_A</x:v>
      </x:c>
      <x:c r="E177" s="2" t="str">
        <x:v>Reviewer_A</x:v>
      </x:c>
      <x:c r="F177" s="2" t="str">
        <x:v>S13-R07</x:v>
      </x:c>
      <x:c r="G177" s="2" t="str">
        <x:v>S13-EV03</x:v>
      </x:c>
      <x:c r="H177" s="2" t="str">
        <x:v>S13-T01</x:v>
      </x:c>
      <x:c r="I177" s="2" t="str">
        <x:v>NA</x:v>
      </x:c>
      <x:c r="J177" s="2" t="str">
        <x:v>EBT and eTour</x:v>
      </x:c>
      <x:c r="K177" s="2" t="str">
        <x:v>Sequence length 1024</x:v>
      </x:c>
      <x:c r="L177" s="2" t="str">
        <x:v>Sequence length 512</x:v>
      </x:c>
      <x:c r="M177" s="2" t="str">
        <x:v>performance</x:v>
      </x:c>
      <x:c r="N177" s="6" t="str">
        <x:v>marginal but consistent decrease in performance</x:v>
      </x:c>
      <x:c r="O177" s="2" t="str">
        <x:v>NR</x:v>
      </x:c>
      <x:c r="P177" s="2" t="str">
        <x:v>NA</x:v>
      </x:c>
      <x:c r="Q177" s="6" t="str">
        <x:v>NA</x:v>
      </x:c>
      <x:c r="R177" s="2" t="str">
        <x:v>Unclear</x:v>
      </x:c>
      <x:c r="S177" s="2" t="str">
        <x:v>NR</x:v>
      </x:c>
      <x:c r="T177" s="2" t="str">
        <x:v>Worse</x:v>
      </x:c>
      <x:c r="U177" s="2" t="str">
        <x:v>Not tested</x:v>
      </x:c>
      <x:c r="V177" s="2" t="str">
        <x:v>NR</x:v>
      </x:c>
      <x:c r="W177" s="2" t="str">
        <x:v>NR</x:v>
      </x:c>
      <x:c r="X177" s="2" t="str">
        <x:v>NR</x:v>
      </x:c>
      <x:c r="Y177" s="2" t="str">
        <x:v>NR</x:v>
      </x:c>
      <x:c r="Z177" s="2" t="str">
        <x:v>Yes</x:v>
      </x:c>
      <x:c r="AA177" s="6" t="str">
        <x:v>p. 25; Section 5.3</x:v>
      </x:c>
      <x:c r="AB177" s="6" t="str">
        <x:v>Conversely, for the EBT and eTOUR datasets, which feature more concise code artifacts on average</x:v>
      </x:c>
      <x:c r="AC177" s="6" t="str">
        <x:v>在代码较短的EBT和eTour数据集上，增加序列长度反而导致性能轻微下降。</x:v>
      </x:c>
      <x:c r="AD177" s="2" t="str">
        <x:v>Accepted</x:v>
      </x:c>
      <x:c r="AE177" s="6" t="str">
        <x:v>NA</x:v>
      </x:c>
    </x:row>
    <x:row r="178" ht="76" customHeight="1">
      <x:c r="A178" s="2" t="str">
        <x:v>S13-RESULT-R08</x:v>
      </x:c>
      <x:c r="B178" s="2" t="str">
        <x:v>S13</x:v>
      </x:c>
      <x:c r="C178" s="2" t="str">
        <x:v>merged_1140</x:v>
      </x:c>
      <x:c r="D178" s="2" t="str">
        <x:v>Reviewer_A</x:v>
      </x:c>
      <x:c r="E178" s="2" t="str">
        <x:v>Reviewer_A</x:v>
      </x:c>
      <x:c r="F178" s="2" t="str">
        <x:v>S13-R08</x:v>
      </x:c>
      <x:c r="G178" s="2" t="str">
        <x:v>S13-EV04</x:v>
      </x:c>
      <x:c r="H178" s="2" t="str">
        <x:v>S13-T01</x:v>
      </x:c>
      <x:c r="I178" s="2" t="str">
        <x:v>NA</x:v>
      </x:c>
      <x:c r="J178" s="2" t="str">
        <x:v>eTour</x:v>
      </x:c>
      <x:c r="K178" s="2" t="str">
        <x:v>Optimized framework</x:v>
      </x:c>
      <x:c r="L178" s="2" t="str">
        <x:v>Best baseline (VSM)</x:v>
      </x:c>
      <x:c r="M178" s="2" t="str">
        <x:v>F1</x:v>
      </x:c>
      <x:c r="N178" s="6" t="str">
        <x:v>our model outperformed the best-performing baseline by up to 17.09 percentage points on accuracy (eTOUR), 23.13 percentage points on F1 score (eTOUR)</x:v>
      </x:c>
      <x:c r="O178" s="2" t="n">
        <x:v>23.13</x:v>
      </x:c>
      <x:c r="P178" s="2" t="str">
        <x:v>percentage points</x:v>
      </x:c>
      <x:c r="Q178" s="6" t="str">
        <x:v>NR</x:v>
      </x:c>
      <x:c r="R178" s="2" t="str">
        <x:v>Unclear</x:v>
      </x:c>
      <x:c r="S178" s="2" t="str">
        <x:v>NR</x:v>
      </x:c>
      <x:c r="T178" s="2" t="str">
        <x:v>Better</x:v>
      </x:c>
      <x:c r="U178" s="2" t="str">
        <x:v>Not tested</x:v>
      </x:c>
      <x:c r="V178" s="2" t="str">
        <x:v>NR</x:v>
      </x:c>
      <x:c r="W178" s="2" t="str">
        <x:v>NR</x:v>
      </x:c>
      <x:c r="X178" s="2" t="str">
        <x:v>NR</x:v>
      </x:c>
      <x:c r="Y178" s="2" t="str">
        <x:v>NR</x:v>
      </x:c>
      <x:c r="Z178" s="2" t="str">
        <x:v>No</x:v>
      </x:c>
      <x:c r="AA178" s="6" t="str">
        <x:v>p. 27; Section 5.4</x:v>
      </x:c>
      <x:c r="AB178" s="6" t="str">
        <x:v>our model outperformed the best-performing baseline by up to 17.09 percentage points on accuracy (eTOUR), 23.13 percentage points on F1 score (eTOUR), and, most strikingly, by 21.37 percentage points on the recall-sensitive F2 score (iTrust).</x:v>
      </x:c>
      <x:c r="AC178" s="6" t="str">
        <x:v>最终框架在eTour上将F1提升了23.13个百分点，远超所有基线。</x:v>
      </x:c>
      <x:c r="AD178" s="2" t="str">
        <x:v>Accepted</x:v>
      </x:c>
      <x:c r="AE178" s="6" t="str">
        <x:v>NA</x:v>
      </x:c>
    </x:row>
    <x:row r="179" ht="76" customHeight="1">
      <x:c r="A179" s="2" t="str">
        <x:v>S13-RESULT-R09</x:v>
      </x:c>
      <x:c r="B179" s="2" t="str">
        <x:v>S13</x:v>
      </x:c>
      <x:c r="C179" s="2" t="str">
        <x:v>merged_1140</x:v>
      </x:c>
      <x:c r="D179" s="2" t="str">
        <x:v>Reviewer_A</x:v>
      </x:c>
      <x:c r="E179" s="2" t="str">
        <x:v>Reviewer_A</x:v>
      </x:c>
      <x:c r="F179" s="2" t="str">
        <x:v>S13-R09</x:v>
      </x:c>
      <x:c r="G179" s="2" t="str">
        <x:v>S13-EV04</x:v>
      </x:c>
      <x:c r="H179" s="2" t="str">
        <x:v>S13-T01</x:v>
      </x:c>
      <x:c r="I179" s="2" t="str">
        <x:v>NA</x:v>
      </x:c>
      <x:c r="J179" s="2" t="str">
        <x:v>iTrust</x:v>
      </x:c>
      <x:c r="K179" s="2" t="str">
        <x:v>Optimized framework</x:v>
      </x:c>
      <x:c r="L179" s="2" t="str">
        <x:v>Best baseline (SVM)</x:v>
      </x:c>
      <x:c r="M179" s="2" t="str">
        <x:v>F2</x:v>
      </x:c>
      <x:c r="N179" s="6" t="str">
        <x:v>21.37 percentage points on the recall-sensitive F2 score (iTrust)</x:v>
      </x:c>
      <x:c r="O179" s="2" t="n">
        <x:v>21.37</x:v>
      </x:c>
      <x:c r="P179" s="2" t="str">
        <x:v>percentage points</x:v>
      </x:c>
      <x:c r="Q179" s="6" t="str">
        <x:v>NR</x:v>
      </x:c>
      <x:c r="R179" s="2" t="str">
        <x:v>Unclear</x:v>
      </x:c>
      <x:c r="S179" s="2" t="str">
        <x:v>NR</x:v>
      </x:c>
      <x:c r="T179" s="2" t="str">
        <x:v>Better</x:v>
      </x:c>
      <x:c r="U179" s="2" t="str">
        <x:v>Not tested</x:v>
      </x:c>
      <x:c r="V179" s="2" t="str">
        <x:v>NR</x:v>
      </x:c>
      <x:c r="W179" s="2" t="str">
        <x:v>NR</x:v>
      </x:c>
      <x:c r="X179" s="2" t="str">
        <x:v>NR</x:v>
      </x:c>
      <x:c r="Y179" s="2" t="str">
        <x:v>NR</x:v>
      </x:c>
      <x:c r="Z179" s="2" t="str">
        <x:v>No</x:v>
      </x:c>
      <x:c r="AA179" s="6" t="str">
        <x:v>p. 27; Section 5.4</x:v>
      </x:c>
      <x:c r="AB179" s="6" t="str">
        <x:v>by 21.37 percentage points on the recall-sensitive F2 score (iTrust).</x:v>
      </x:c>
      <x:c r="AC179" s="6" t="str">
        <x:v>在iTrust上，框架在F2上大幅领先，表明在召回方面尤其有效。</x:v>
      </x:c>
      <x:c r="AD179" s="2" t="str">
        <x:v>Accepted</x:v>
      </x:c>
      <x:c r="AE179" s="6" t="str">
        <x:v>NA</x:v>
      </x:c>
    </x:row>
    <x:row r="180" ht="76" customHeight="1">
      <x:c r="A180" s="2" t="str">
        <x:v>S13-RESULT-R10</x:v>
      </x:c>
      <x:c r="B180" s="2" t="str">
        <x:v>S13</x:v>
      </x:c>
      <x:c r="C180" s="2" t="str">
        <x:v>merged_1140</x:v>
      </x:c>
      <x:c r="D180" s="2" t="str">
        <x:v>Reviewer_A</x:v>
      </x:c>
      <x:c r="E180" s="2" t="str">
        <x:v>Reviewer_A</x:v>
      </x:c>
      <x:c r="F180" s="2" t="str">
        <x:v>S13-R10</x:v>
      </x:c>
      <x:c r="G180" s="2" t="str">
        <x:v>S13-EV04</x:v>
      </x:c>
      <x:c r="H180" s="2" t="str">
        <x:v>S13-T01</x:v>
      </x:c>
      <x:c r="I180" s="2" t="str">
        <x:v>NA</x:v>
      </x:c>
      <x:c r="J180" s="2" t="str">
        <x:v>all four datasets</x:v>
      </x:c>
      <x:c r="K180" s="2" t="str">
        <x:v>Optimized framework vs established SOTA PLM baseline</x:v>
      </x:c>
      <x:c r="L180" s="2" t="str">
        <x:v>established SOTA PLM-based model (CodeBERT single architecture)</x:v>
      </x:c>
      <x:c r="M180" s="2" t="str">
        <x:v>F1</x:v>
      </x:c>
      <x:c r="N180" s="6" t="str">
        <x:v>up to 28.59% on F1 score</x:v>
      </x:c>
      <x:c r="O180" s="2" t="n">
        <x:v>28.59</x:v>
      </x:c>
      <x:c r="P180" s="2" t="str">
        <x:v>% (relative improvement)</x:v>
      </x:c>
      <x:c r="Q180" s="6" t="str">
        <x:v>NA</x:v>
      </x:c>
      <x:c r="R180" s="2" t="str">
        <x:v>Unclear</x:v>
      </x:c>
      <x:c r="S180" s="2" t="str">
        <x:v>NR</x:v>
      </x:c>
      <x:c r="T180" s="2" t="str">
        <x:v>Better</x:v>
      </x:c>
      <x:c r="U180" s="2" t="str">
        <x:v>Not tested</x:v>
      </x:c>
      <x:c r="V180" s="2" t="str">
        <x:v>NR</x:v>
      </x:c>
      <x:c r="W180" s="2" t="str">
        <x:v>NR</x:v>
      </x:c>
      <x:c r="X180" s="2" t="str">
        <x:v>NR</x:v>
      </x:c>
      <x:c r="Y180" s="2" t="str">
        <x:v>NR</x:v>
      </x:c>
      <x:c r="Z180" s="2" t="str">
        <x:v>No</x:v>
      </x:c>
      <x:c r="AA180" s="6" t="str">
        <x:v>p. 5; Section 1 Introduction (contributions)</x:v>
      </x:c>
      <x:c r="AB180" s="6" t="str">
        <x:v>The fully optimized framework achieves substantial performance gains, with improvements of up to 28.59% on F1 score and 28.9% on F2 score over the established baseline</x:v>
      </x:c>
      <x:c r="AC180" s="6" t="str">
        <x:v>相对于公认的PLM基线，框架在F1上最高提升28.59%，确立了新的性能基准。</x:v>
      </x:c>
      <x:c r="AD180" s="2" t="str">
        <x:v>Accepted</x:v>
      </x:c>
      <x:c r="AE180" s="6" t="str">
        <x:v>该提升为相对于基线方法的百分比提升，而非绝对百分点。</x:v>
      </x:c>
    </x:row>
    <x:row r="181" ht="76" customHeight="1">
      <x:c r="A181" s="2" t="str">
        <x:v>S14-RESULT-R01</x:v>
      </x:c>
      <x:c r="B181" s="2" t="str">
        <x:v>S14</x:v>
      </x:c>
      <x:c r="C181" s="2" t="str">
        <x:v>merged_1142-v1</x:v>
      </x:c>
      <x:c r="D181" s="2" t="str">
        <x:v>Reviewer_A</x:v>
      </x:c>
      <x:c r="E181" s="2" t="str">
        <x:v>Reviewer_A</x:v>
      </x:c>
      <x:c r="F181" s="2" t="str">
        <x:v>S14-R01</x:v>
      </x:c>
      <x:c r="G181" s="2" t="str">
        <x:v>S14-EV01</x:v>
      </x:c>
      <x:c r="H181" s="2" t="str">
        <x:v>S14-T01</x:v>
      </x:c>
      <x:c r="I181" s="2" t="str">
        <x:v>NA</x:v>
      </x:c>
      <x:c r="J181" s="2" t="str">
        <x:v>12 open-source projects</x:v>
      </x:c>
      <x:c r="K181" s="2" t="str">
        <x:v>HGT-All</x:v>
      </x:c>
      <x:c r="L181" s="2" t="str">
        <x:v>HGNNLink</x:v>
      </x:c>
      <x:c r="M181" s="2" t="str">
        <x:v>average F1-score improvement</x:v>
      </x:c>
      <x:c r="N181" s="6" t="str">
        <x:v>3.68%</x:v>
      </x:c>
      <x:c r="O181" s="2" t="n">
        <x:v>3.68</x:v>
      </x:c>
      <x:c r="P181" s="2" t="str">
        <x:v>%</x:v>
      </x:c>
      <x:c r="Q181" s="6" t="str">
        <x:v>NR</x:v>
      </x:c>
      <x:c r="R181" s="2" t="str">
        <x:v>NR</x:v>
      </x:c>
      <x:c r="S181" s="2" t="str">
        <x:v>NR</x:v>
      </x:c>
      <x:c r="T181" s="2" t="str">
        <x:v>Better</x:v>
      </x:c>
      <x:c r="U181" s="2" t="str">
        <x:v>Significant</x:v>
      </x:c>
      <x:c r="V181" s="2" t="str">
        <x:v>NR</x:v>
      </x:c>
      <x:c r="W181" s="2" t="str">
        <x:v>NR</x:v>
      </x:c>
      <x:c r="X181" s="2" t="str">
        <x:v>NR</x:v>
      </x:c>
      <x:c r="Y181" s="2" t="str">
        <x:v>NR</x:v>
      </x:c>
      <x:c r="Z181" s="2" t="str">
        <x:v>No</x:v>
      </x:c>
      <x:c r="AA181" s="6" t="str">
        <x:v>p. 1; abstract</x:v>
      </x:c>
      <x:c r="AB181" s="6" t="str">
        <x:v>compared to the current state-of-the-art method HGNNLink, the multi-strategy HGT and Gemini 2.5 Pro models achieved average F1-score improvements of 3.68% and 8.84%, respectively, across twelve open-source projects</x:v>
      </x:c>
      <x:c r="AC181" s="6" t="str">
        <x:v>HGT-All相比HGNNLink平均F1提升3.68%。</x:v>
      </x:c>
      <x:c r="AD181" s="2" t="str">
        <x:v>Accepted</x:v>
      </x:c>
      <x:c r="AE181" s="6" t="str">
        <x:v>NR</x:v>
      </x:c>
    </x:row>
    <x:row r="182" ht="76" customHeight="1">
      <x:c r="A182" s="2" t="str">
        <x:v>S14-RESULT-R02</x:v>
      </x:c>
      <x:c r="B182" s="2" t="str">
        <x:v>S14</x:v>
      </x:c>
      <x:c r="C182" s="2" t="str">
        <x:v>merged_1142-v1</x:v>
      </x:c>
      <x:c r="D182" s="2" t="str">
        <x:v>Reviewer_A</x:v>
      </x:c>
      <x:c r="E182" s="2" t="str">
        <x:v>Reviewer_A</x:v>
      </x:c>
      <x:c r="F182" s="2" t="str">
        <x:v>S14-R02</x:v>
      </x:c>
      <x:c r="G182" s="2" t="str">
        <x:v>S14-EV01</x:v>
      </x:c>
      <x:c r="H182" s="2" t="str">
        <x:v>S14-T01</x:v>
      </x:c>
      <x:c r="I182" s="2" t="str">
        <x:v>NA</x:v>
      </x:c>
      <x:c r="J182" s="2" t="str">
        <x:v>12 open-source projects</x:v>
      </x:c>
      <x:c r="K182" s="2" t="str">
        <x:v>Gemini-All</x:v>
      </x:c>
      <x:c r="L182" s="2" t="str">
        <x:v>HGNNLink</x:v>
      </x:c>
      <x:c r="M182" s="2" t="str">
        <x:v>average F1-score improvement</x:v>
      </x:c>
      <x:c r="N182" s="6" t="str">
        <x:v>8.84%</x:v>
      </x:c>
      <x:c r="O182" s="2" t="n">
        <x:v>8.84</x:v>
      </x:c>
      <x:c r="P182" s="2" t="str">
        <x:v>%</x:v>
      </x:c>
      <x:c r="Q182" s="6" t="str">
        <x:v>NR</x:v>
      </x:c>
      <x:c r="R182" s="2" t="str">
        <x:v>NR</x:v>
      </x:c>
      <x:c r="S182" s="2" t="str">
        <x:v>NR</x:v>
      </x:c>
      <x:c r="T182" s="2" t="str">
        <x:v>Better</x:v>
      </x:c>
      <x:c r="U182" s="2" t="str">
        <x:v>Unclear</x:v>
      </x:c>
      <x:c r="V182" s="2" t="str">
        <x:v>NR</x:v>
      </x:c>
      <x:c r="W182" s="2" t="str">
        <x:v>NR</x:v>
      </x:c>
      <x:c r="X182" s="2" t="str">
        <x:v>NR</x:v>
      </x:c>
      <x:c r="Y182" s="2" t="str">
        <x:v>NR</x:v>
      </x:c>
      <x:c r="Z182" s="2" t="str">
        <x:v>No</x:v>
      </x:c>
      <x:c r="AA182" s="6" t="str">
        <x:v>p. 1; abstract</x:v>
      </x:c>
      <x:c r="AB182" s="6" t="str">
        <x:v>compared to the current state-of-the-art method HGNNLink, the multi-strategy HGT and Gemini 2.5 Pro models achieved average F1-score improvements of 3.68% and 8.84%, respectively, across twelve open-source projects</x:v>
      </x:c>
      <x:c r="AC182" s="6" t="str">
        <x:v>Gemini-All相比HGNNLink平均F1提升8.84%。</x:v>
      </x:c>
      <x:c r="AD182" s="2" t="str">
        <x:v>Accepted</x:v>
      </x:c>
      <x:c r="AE182" s="6" t="str">
        <x:v>NR</x:v>
      </x:c>
    </x:row>
    <x:row r="183" ht="76" customHeight="1">
      <x:c r="A183" s="2" t="str">
        <x:v>S14-RESULT-R03</x:v>
      </x:c>
      <x:c r="B183" s="2" t="str">
        <x:v>S14</x:v>
      </x:c>
      <x:c r="C183" s="2" t="str">
        <x:v>merged_1142-v1</x:v>
      </x:c>
      <x:c r="D183" s="2" t="str">
        <x:v>Reviewer_A</x:v>
      </x:c>
      <x:c r="E183" s="2" t="str">
        <x:v>Reviewer_A</x:v>
      </x:c>
      <x:c r="F183" s="2" t="str">
        <x:v>S14-R03</x:v>
      </x:c>
      <x:c r="G183" s="2" t="str">
        <x:v>S14-EV01</x:v>
      </x:c>
      <x:c r="H183" s="2" t="str">
        <x:v>S14-T01</x:v>
      </x:c>
      <x:c r="I183" s="2" t="str">
        <x:v>NA</x:v>
      </x:c>
      <x:c r="J183" s="2" t="str">
        <x:v>12 open-source projects</x:v>
      </x:c>
      <x:c r="K183" s="2" t="str">
        <x:v>HGT-All</x:v>
      </x:c>
      <x:c r="L183" s="2" t="str">
        <x:v>HGT-None</x:v>
      </x:c>
      <x:c r="M183" s="2" t="str">
        <x:v>F1-score</x:v>
      </x:c>
      <x:c r="N183" s="6" t="str">
        <x:v>0.7219</x:v>
      </x:c>
      <x:c r="O183" s="2" t="n">
        <x:v>0.7219</x:v>
      </x:c>
      <x:c r="P183" s="2" t="str">
        <x:v>proportion</x:v>
      </x:c>
      <x:c r="Q183" s="6" t="str">
        <x:v>NR</x:v>
      </x:c>
      <x:c r="R183" s="2" t="str">
        <x:v>NR</x:v>
      </x:c>
      <x:c r="S183" s="2" t="str">
        <x:v>NR</x:v>
      </x:c>
      <x:c r="T183" s="2" t="str">
        <x:v>Better</x:v>
      </x:c>
      <x:c r="U183" s="2" t="str">
        <x:v>Significant</x:v>
      </x:c>
      <x:c r="V183" s="2" t="str">
        <x:v>NR</x:v>
      </x:c>
      <x:c r="W183" s="2" t="str">
        <x:v>NR</x:v>
      </x:c>
      <x:c r="X183" s="2" t="str">
        <x:v>NR</x:v>
      </x:c>
      <x:c r="Y183" s="2" t="str">
        <x:v>NR</x:v>
      </x:c>
      <x:c r="Z183" s="2" t="str">
        <x:v>No</x:v>
      </x:c>
      <x:c r="AA183" s="6" t="str">
        <x:v>p. 26; Section 4.4.1</x:v>
      </x:c>
      <x:c r="AB183" s="6" t="str">
        <x:v>the HGT-All variant, which integrates all three strategies, achieves the highest average F1-score of 0.7219 and significantly outperforms other variant and HGT-None at the 0.05 confidence level</x:v>
      </x:c>
      <x:c r="AC183" s="6" t="str">
        <x:v>HGT-All在所有策略变体中平均F1最高，为0.7219，且显著优于HGT-None。</x:v>
      </x:c>
      <x:c r="AD183" s="2" t="str">
        <x:v>Accepted</x:v>
      </x:c>
      <x:c r="AE183" s="6" t="str">
        <x:v>NR</x:v>
      </x:c>
    </x:row>
    <x:row r="184" ht="76" customHeight="1">
      <x:c r="A184" s="2" t="str">
        <x:v>S14-RESULT-R04</x:v>
      </x:c>
      <x:c r="B184" s="2" t="str">
        <x:v>S14</x:v>
      </x:c>
      <x:c r="C184" s="2" t="str">
        <x:v>merged_1142-v1</x:v>
      </x:c>
      <x:c r="D184" s="2" t="str">
        <x:v>Reviewer_A</x:v>
      </x:c>
      <x:c r="E184" s="2" t="str">
        <x:v>Reviewer_A</x:v>
      </x:c>
      <x:c r="F184" s="2" t="str">
        <x:v>S14-R04</x:v>
      </x:c>
      <x:c r="G184" s="2" t="str">
        <x:v>S14-EV01</x:v>
      </x:c>
      <x:c r="H184" s="2" t="str">
        <x:v>S14-T01</x:v>
      </x:c>
      <x:c r="I184" s="2" t="str">
        <x:v>NA</x:v>
      </x:c>
      <x:c r="J184" s="2" t="str">
        <x:v>12 open-source projects</x:v>
      </x:c>
      <x:c r="K184" s="2" t="str">
        <x:v>Gemini-All</x:v>
      </x:c>
      <x:c r="L184" s="2" t="str">
        <x:v>Gemini-None</x:v>
      </x:c>
      <x:c r="M184" s="2" t="str">
        <x:v>F1-score</x:v>
      </x:c>
      <x:c r="N184" s="6" t="str">
        <x:v>0.7336</x:v>
      </x:c>
      <x:c r="O184" s="2" t="n">
        <x:v>0.7336</x:v>
      </x:c>
      <x:c r="P184" s="2" t="str">
        <x:v>proportion</x:v>
      </x:c>
      <x:c r="Q184" s="6" t="str">
        <x:v>0.6535</x:v>
      </x:c>
      <x:c r="R184" s="2" t="n">
        <x:v>0.6535</x:v>
      </x:c>
      <x:c r="S184" s="2" t="str">
        <x:v>NR</x:v>
      </x:c>
      <x:c r="T184" s="2" t="str">
        <x:v>Better</x:v>
      </x:c>
      <x:c r="U184" s="2" t="str">
        <x:v>Not tested</x:v>
      </x:c>
      <x:c r="V184" s="2" t="str">
        <x:v>NR</x:v>
      </x:c>
      <x:c r="W184" s="2" t="str">
        <x:v>NR</x:v>
      </x:c>
      <x:c r="X184" s="2" t="str">
        <x:v>NR</x:v>
      </x:c>
      <x:c r="Y184" s="2" t="str">
        <x:v>NR</x:v>
      </x:c>
      <x:c r="Z184" s="2" t="str">
        <x:v>No</x:v>
      </x:c>
      <x:c r="AA184" s="6" t="str">
        <x:v>p. 26; Section 4.4.1</x:v>
      </x:c>
      <x:c r="AB184" s="6" t="str">
        <x:v>we observe that Gemini-All (average F1 = 0.7336) achieves the best overall performance, followed by Gemini-Code Dependency (average F1 = 0.6903), Gemini-User Feedback (average F1 = 0.6901), and Gemini-None (average F1 = 0.6535)</x:v>
      </x:c>
      <x:c r="AC184" s="6" t="str">
        <x:v>Gemini-All平均F1为0.7336，优于不集成策略的Gemini-None的0.6535。</x:v>
      </x:c>
      <x:c r="AD184" s="2" t="str">
        <x:v>Accepted</x:v>
      </x:c>
      <x:c r="AE184" s="6" t="str">
        <x:v>NR</x:v>
      </x:c>
    </x:row>
    <x:row r="185" ht="76" customHeight="1">
      <x:c r="A185" s="2" t="str">
        <x:v>S14-RESULT-R05</x:v>
      </x:c>
      <x:c r="B185" s="2" t="str">
        <x:v>S14</x:v>
      </x:c>
      <x:c r="C185" s="2" t="str">
        <x:v>merged_1142-v1</x:v>
      </x:c>
      <x:c r="D185" s="2" t="str">
        <x:v>Reviewer_A</x:v>
      </x:c>
      <x:c r="E185" s="2" t="str">
        <x:v>Reviewer_A</x:v>
      </x:c>
      <x:c r="F185" s="2" t="str">
        <x:v>S14-R05</x:v>
      </x:c>
      <x:c r="G185" s="2" t="str">
        <x:v>S14-EV01</x:v>
      </x:c>
      <x:c r="H185" s="2" t="str">
        <x:v>S14-T01</x:v>
      </x:c>
      <x:c r="I185" s="2" t="str">
        <x:v>NA</x:v>
      </x:c>
      <x:c r="J185" s="2" t="str">
        <x:v>12 open-source projects</x:v>
      </x:c>
      <x:c r="K185" s="2" t="str">
        <x:v>Gemini-Fine Grained</x:v>
      </x:c>
      <x:c r="L185" s="2" t="str">
        <x:v>Gemini-None</x:v>
      </x:c>
      <x:c r="M185" s="2" t="str">
        <x:v>F1-score</x:v>
      </x:c>
      <x:c r="N185" s="6" t="str">
        <x:v>0.6055</x:v>
      </x:c>
      <x:c r="O185" s="2" t="n">
        <x:v>0.6055</x:v>
      </x:c>
      <x:c r="P185" s="2" t="str">
        <x:v>proportion</x:v>
      </x:c>
      <x:c r="Q185" s="6" t="str">
        <x:v>0.6535</x:v>
      </x:c>
      <x:c r="R185" s="2" t="n">
        <x:v>0.6535</x:v>
      </x:c>
      <x:c r="S185" s="2" t="str">
        <x:v>NR</x:v>
      </x:c>
      <x:c r="T185" s="2" t="str">
        <x:v>Worse</x:v>
      </x:c>
      <x:c r="U185" s="2" t="str">
        <x:v>Not tested</x:v>
      </x:c>
      <x:c r="V185" s="2" t="str">
        <x:v>NR</x:v>
      </x:c>
      <x:c r="W185" s="2" t="str">
        <x:v>NR</x:v>
      </x:c>
      <x:c r="X185" s="2" t="str">
        <x:v>NR</x:v>
      </x:c>
      <x:c r="Y185" s="2" t="str">
        <x:v>The fine-grained strategy introduces noisy information, causing performance drop.</x:v>
      </x:c>
      <x:c r="Z185" s="2" t="str">
        <x:v>Yes</x:v>
      </x:c>
      <x:c r="AA185" s="6" t="str">
        <x:v>p. 26; Section 4.4.1</x:v>
      </x:c>
      <x:c r="AB185" s="6" t="str">
        <x:v>Gemini-Fine Grained (average F1 = 0.6055) performs the worst</x:v>
      </x:c>
      <x:c r="AC185" s="6" t="str">
        <x:v>细粒度策略反而导致Gemini性能下降，可能是因为引入了噪声。</x:v>
      </x:c>
      <x:c r="AD185" s="2" t="str">
        <x:v>Accepted</x:v>
      </x:c>
      <x:c r="AE185" s="6" t="str">
        <x:v>NR</x:v>
      </x:c>
    </x:row>
    <x:row r="186" ht="76" customHeight="1">
      <x:c r="A186" s="2" t="str">
        <x:v>S15-RESULT-R01</x:v>
      </x:c>
      <x:c r="B186" s="2" t="str">
        <x:v>S15</x:v>
      </x:c>
      <x:c r="C186" s="2" t="str">
        <x:v>merged_1143</x:v>
      </x:c>
      <x:c r="D186" s="2" t="str">
        <x:v>Reviewer_A</x:v>
      </x:c>
      <x:c r="E186" s="2" t="str">
        <x:v>Reviewer_A</x:v>
      </x:c>
      <x:c r="F186" s="2" t="str">
        <x:v>S15-R01</x:v>
      </x:c>
      <x:c r="G186" s="2" t="str">
        <x:v>S15-EV01</x:v>
      </x:c>
      <x:c r="H186" s="2" t="str">
        <x:v>S15-T01</x:v>
      </x:c>
      <x:c r="I186" s="2" t="str">
        <x:v>S15-MU03</x:v>
      </x:c>
      <x:c r="J186" s="2" t="str">
        <x:v>Transcript Dataset</x:v>
      </x:c>
      <x:c r="K186" s="2" t="str">
        <x:v>Goal extraction and tracing</x:v>
      </x:c>
      <x:c r="L186" s="2" t="str">
        <x:v>No</x:v>
      </x:c>
      <x:c r="M186" s="2" t="str">
        <x:v>Accuracy (trace correctness)</x:v>
      </x:c>
      <x:c r="N186" s="6" t="str">
        <x:v>98.7%</x:v>
      </x:c>
      <x:c r="O186" s="2" t="n">
        <x:v>98.7</x:v>
      </x:c>
      <x:c r="P186" s="2" t="str">
        <x:v>%</x:v>
      </x:c>
      <x:c r="Q186" s="6" t="str">
        <x:v>NR</x:v>
      </x:c>
      <x:c r="R186" s="2" t="str">
        <x:v>NR</x:v>
      </x:c>
      <x:c r="S186" s="2" t="str">
        <x:v>NR</x:v>
      </x:c>
      <x:c r="T186" s="2" t="str">
        <x:v>Not compared</x:v>
      </x:c>
      <x:c r="U186" s="2" t="str">
        <x:v>Not tested</x:v>
      </x:c>
      <x:c r="V186" s="2" t="str">
        <x:v>NR</x:v>
      </x:c>
      <x:c r="W186" s="2" t="str">
        <x:v>NR</x:v>
      </x:c>
      <x:c r="X186" s="2" t="str">
        <x:v>NR</x:v>
      </x:c>
      <x:c r="Y186" s="2" t="str">
        <x:v>NR</x:v>
      </x:c>
      <x:c r="Z186" s="2" t="str">
        <x:v>No</x:v>
      </x:c>
      <x:c r="AA186" s="6" t="str">
        <x:v>p. 1; abstract</x:v>
      </x:c>
      <x:c r="AB186" s="6" t="str">
        <x:v>GPT-4o can trace goals to originating text in the transcript with 98.7% accuracy.</x:v>
      </x:c>
      <x:c r="AC186" s="6" t="str">
        <x:v>GPT-4o对目标的溯源准确率达到98.7%。</x:v>
      </x:c>
      <x:c r="AD186" s="2" t="str">
        <x:v>Accepted</x:v>
      </x:c>
      <x:c r="AE186" s="6" t="str">
        <x:v>NA</x:v>
      </x:c>
    </x:row>
    <x:row r="187" ht="76" customHeight="1">
      <x:c r="A187" s="2" t="str">
        <x:v>S15-RESULT-R02</x:v>
      </x:c>
      <x:c r="B187" s="2" t="str">
        <x:v>S15</x:v>
      </x:c>
      <x:c r="C187" s="2" t="str">
        <x:v>merged_1143</x:v>
      </x:c>
      <x:c r="D187" s="2" t="str">
        <x:v>Reviewer_A</x:v>
      </x:c>
      <x:c r="E187" s="2" t="str">
        <x:v>Reviewer_A</x:v>
      </x:c>
      <x:c r="F187" s="2" t="str">
        <x:v>S15-R02</x:v>
      </x:c>
      <x:c r="G187" s="2" t="str">
        <x:v>S15-EV01</x:v>
      </x:c>
      <x:c r="H187" s="2" t="str">
        <x:v>S15-T01</x:v>
      </x:c>
      <x:c r="I187" s="2" t="str">
        <x:v>S15-MU03</x:v>
      </x:c>
      <x:c r="J187" s="2" t="str">
        <x:v>Transcript Dataset</x:v>
      </x:c>
      <x:c r="K187" s="2" t="str">
        <x:v>Whole transcript extraction</x:v>
      </x:c>
      <x:c r="L187" s="2" t="str">
        <x:v>Moving window extraction</x:v>
      </x:c>
      <x:c r="M187" s="2" t="str">
        <x:v>Distribution of extracted goals</x:v>
      </x:c>
      <x:c r="N187" s="6" t="str">
        <x:v>leading bias where goal extraction yields more goals within the first through third tenths of the transcript and the fewest goals in the last tenth</x:v>
      </x:c>
      <x:c r="O187" s="2" t="str">
        <x:v>NA</x:v>
      </x:c>
      <x:c r="P187" s="2" t="str">
        <x:v>NA</x:v>
      </x:c>
      <x:c r="Q187" s="6" t="str">
        <x:v>goal extraction is more evenly distributed throughout the transcript</x:v>
      </x:c>
      <x:c r="R187" s="2" t="str">
        <x:v>NA</x:v>
      </x:c>
      <x:c r="S187" s="2" t="str">
        <x:v>NR</x:v>
      </x:c>
      <x:c r="T187" s="2" t="str">
        <x:v>Worse</x:v>
      </x:c>
      <x:c r="U187" s="2" t="str">
        <x:v>Not tested</x:v>
      </x:c>
      <x:c r="V187" s="2" t="str">
        <x:v>NR</x:v>
      </x:c>
      <x:c r="W187" s="2" t="str">
        <x:v>NR</x:v>
      </x:c>
      <x:c r="X187" s="2" t="str">
        <x:v>NR</x:v>
      </x:c>
      <x:c r="Y187" s="2" t="str">
        <x:v>NR</x:v>
      </x:c>
      <x:c r="Z187" s="2" t="str">
        <x:v>Yes</x:v>
      </x:c>
      <x:c r="AA187" s="6" t="str">
        <x:v>p. 9; Section VI.D, Effect of Transcript Excerpt Size</x:v>
      </x:c>
      <x:c r="AB187" s="6" t="str">
        <x:v>we observe a leading bias in which goal extraction yields more goals within the first through third tenths of the transcript and the fewest goals in the last tenth of the transcript.</x:v>
      </x:c>
      <x:c r="AC187" s="6" t="str">
        <x:v>使用整个记录时存在前置偏向，目标分布不均，而移动窗口则更均匀。</x:v>
      </x:c>
      <x:c r="AD187" s="2" t="str">
        <x:v>Accepted</x:v>
      </x:c>
      <x:c r="AE187" s="6" t="str">
        <x:v>NA</x:v>
      </x:c>
    </x:row>
    <x:row r="188" ht="76" customHeight="1">
      <x:c r="A188" s="2" t="str">
        <x:v>S15-RESULT-R03</x:v>
      </x:c>
      <x:c r="B188" s="2" t="str">
        <x:v>S15</x:v>
      </x:c>
      <x:c r="C188" s="2" t="str">
        <x:v>merged_1143</x:v>
      </x:c>
      <x:c r="D188" s="2" t="str">
        <x:v>Reviewer_A</x:v>
      </x:c>
      <x:c r="E188" s="2" t="str">
        <x:v>Reviewer_A</x:v>
      </x:c>
      <x:c r="F188" s="2" t="str">
        <x:v>S15-R03</x:v>
      </x:c>
      <x:c r="G188" s="2" t="str">
        <x:v>S15-EV02</x:v>
      </x:c>
      <x:c r="H188" s="2" t="str">
        <x:v>S15-T01</x:v>
      </x:c>
      <x:c r="I188" s="2" t="str">
        <x:v>S15-MU03</x:v>
      </x:c>
      <x:c r="J188" s="2" t="str">
        <x:v>Transcript Dataset</x:v>
      </x:c>
      <x:c r="K188" s="2" t="str">
        <x:v>LLM-extracted goals</x:v>
      </x:c>
      <x:c r="L188" s="2" t="str">
        <x:v>Human-extracted goals</x:v>
      </x:c>
      <x:c r="M188" s="2" t="str">
        <x:v>Percentage of matched goals</x:v>
      </x:c>
      <x:c r="N188" s="6" t="str">
        <x:v>62.0%</x:v>
      </x:c>
      <x:c r="O188" s="2" t="n">
        <x:v>62</x:v>
      </x:c>
      <x:c r="P188" s="2" t="str">
        <x:v>%</x:v>
      </x:c>
      <x:c r="Q188" s="6" t="str">
        <x:v>100% (implicit)</x:v>
      </x:c>
      <x:c r="R188" s="2" t="n">
        <x:v>100</x:v>
      </x:c>
      <x:c r="S188" s="2" t="str">
        <x:v>NR</x:v>
      </x:c>
      <x:c r="T188" s="2" t="str">
        <x:v>Worse</x:v>
      </x:c>
      <x:c r="U188" s="2" t="str">
        <x:v>Not tested</x:v>
      </x:c>
      <x:c r="V188" s="2" t="str">
        <x:v>NR</x:v>
      </x:c>
      <x:c r="W188" s="2" t="str">
        <x:v>NR</x:v>
      </x:c>
      <x:c r="X188" s="2" t="str">
        <x:v>NR</x:v>
      </x:c>
      <x:c r="Y188" s="2" t="str">
        <x:v>NR</x:v>
      </x:c>
      <x:c r="Z188" s="2" t="str">
        <x:v>No</x:v>
      </x:c>
      <x:c r="AA188" s="6" t="str">
        <x:v>p. 8; abstract</x:v>
      </x:c>
      <x:c r="AB188" s="6" t="str">
        <x:v>the goals generated by GPT-4o matched 62.0% of the goals generated by the interviewers.</x:v>
      </x:c>
      <x:c r="AC188" s="6" t="str">
        <x:v>LLM提取的目标与人类提取的目标的重合率为62%，低于人类。</x:v>
      </x:c>
      <x:c r="AD188" s="2" t="str">
        <x:v>Accepted</x:v>
      </x:c>
      <x:c r="AE188" s="6" t="str">
        <x:v>NA</x:v>
      </x:c>
    </x:row>
    <x:row r="189" ht="76" customHeight="1">
      <x:c r="A189" s="2" t="str">
        <x:v>S15-RESULT-R04</x:v>
      </x:c>
      <x:c r="B189" s="2" t="str">
        <x:v>S15</x:v>
      </x:c>
      <x:c r="C189" s="2" t="str">
        <x:v>merged_1143</x:v>
      </x:c>
      <x:c r="D189" s="2" t="str">
        <x:v>Reviewer_A</x:v>
      </x:c>
      <x:c r="E189" s="2" t="str">
        <x:v>Reviewer_A</x:v>
      </x:c>
      <x:c r="F189" s="2" t="str">
        <x:v>S15-R04</x:v>
      </x:c>
      <x:c r="G189" s="2" t="str">
        <x:v>S15-EV02</x:v>
      </x:c>
      <x:c r="H189" s="2" t="str">
        <x:v>S15-T01</x:v>
      </x:c>
      <x:c r="I189" s="2" t="str">
        <x:v>S15-MU03</x:v>
      </x:c>
      <x:c r="J189" s="2" t="str">
        <x:v>Transcript Dataset</x:v>
      </x:c>
      <x:c r="K189" s="2" t="str">
        <x:v>LLM-extracted goals</x:v>
      </x:c>
      <x:c r="L189" s="2" t="str">
        <x:v>Human-extracted goals</x:v>
      </x:c>
      <x:c r="M189" s="2" t="str">
        <x:v>Goals missed by each</x:v>
      </x:c>
      <x:c r="N189" s="6" t="str">
        <x:v>GPT-4o also produced additional 30 goals that traced to the transcript and that the interviewers had missed. In addition, there were 76 human-authored goals that did not map to any GPT-4o-generated goal</x:v>
      </x:c>
      <x:c r="O189" s="2" t="str">
        <x:v>NA</x:v>
      </x:c>
      <x:c r="P189" s="2" t="str">
        <x:v>NA</x:v>
      </x:c>
      <x:c r="Q189" s="6" t="str">
        <x:v>NR</x:v>
      </x:c>
      <x:c r="R189" s="2" t="str">
        <x:v>NR</x:v>
      </x:c>
      <x:c r="S189" s="2" t="str">
        <x:v>NR</x:v>
      </x:c>
      <x:c r="T189" s="2" t="str">
        <x:v>Mixed</x:v>
      </x:c>
      <x:c r="U189" s="2" t="str">
        <x:v>Not tested</x:v>
      </x:c>
      <x:c r="V189" s="2" t="str">
        <x:v>NR</x:v>
      </x:c>
      <x:c r="W189" s="2" t="str">
        <x:v>NR</x:v>
      </x:c>
      <x:c r="X189" s="2" t="str">
        <x:v>NR</x:v>
      </x:c>
      <x:c r="Y189" s="2" t="str">
        <x:v>NR</x:v>
      </x:c>
      <x:c r="Z189" s="2" t="str">
        <x:v>No</x:v>
      </x:c>
      <x:c r="AA189" s="6" t="str">
        <x:v>p. 8; Section V, RQ2 paragraph</x:v>
      </x:c>
      <x:c r="AB189" s="6" t="str">
        <x:v>GPT-4o also produced additional 30 goals that traced to the transcript and that the interviewers had missed. In addition, there were 76 human-authored goals that did not map to any GPT-4o-generated goal.</x:v>
      </x:c>
      <x:c r="AC189" s="6" t="str">
        <x:v>LLM额外发现30个被面试者遗漏的目标，但漏掉76个人类目标。</x:v>
      </x:c>
      <x:c r="AD189" s="2" t="str">
        <x:v>Accepted</x:v>
      </x:c>
      <x:c r="AE189" s="6" t="str">
        <x:v>NA</x:v>
      </x:c>
    </x:row>
    <x:row r="190" ht="76" customHeight="1">
      <x:c r="A190" s="2" t="str">
        <x:v>S15-RESULT-R05</x:v>
      </x:c>
      <x:c r="B190" s="2" t="str">
        <x:v>S15</x:v>
      </x:c>
      <x:c r="C190" s="2" t="str">
        <x:v>merged_1143</x:v>
      </x:c>
      <x:c r="D190" s="2" t="str">
        <x:v>Reviewer_A</x:v>
      </x:c>
      <x:c r="E190" s="2" t="str">
        <x:v>Reviewer_A</x:v>
      </x:c>
      <x:c r="F190" s="2" t="str">
        <x:v>S15-R05</x:v>
      </x:c>
      <x:c r="G190" s="2" t="str">
        <x:v>S15-EV03</x:v>
      </x:c>
      <x:c r="H190" s="2" t="str">
        <x:v>S15-T02</x:v>
      </x:c>
      <x:c r="I190" s="2" t="str">
        <x:v>S15-MU03</x:v>
      </x:c>
      <x:c r="J190" s="2" t="str">
        <x:v>15 transcripts</x:v>
      </x:c>
      <x:c r="K190" s="2" t="str">
        <x:v>Goal model generation with refinement relations</x:v>
      </x:c>
      <x:c r="L190" s="2" t="str">
        <x:v>No</x:v>
      </x:c>
      <x:c r="M190" s="2" t="str">
        <x:v>Accuracy (refinement relation correctness)</x:v>
      </x:c>
      <x:c r="N190" s="6" t="str">
        <x:v>72.2%</x:v>
      </x:c>
      <x:c r="O190" s="2" t="n">
        <x:v>72.2</x:v>
      </x:c>
      <x:c r="P190" s="2" t="str">
        <x:v>%</x:v>
      </x:c>
      <x:c r="Q190" s="6" t="str">
        <x:v>NR</x:v>
      </x:c>
      <x:c r="R190" s="2" t="str">
        <x:v>NR</x:v>
      </x:c>
      <x:c r="S190" s="2" t="str">
        <x:v>NR</x:v>
      </x:c>
      <x:c r="T190" s="2" t="str">
        <x:v>Not compared</x:v>
      </x:c>
      <x:c r="U190" s="2" t="str">
        <x:v>Not tested</x:v>
      </x:c>
      <x:c r="V190" s="2" t="str">
        <x:v>NR</x:v>
      </x:c>
      <x:c r="W190" s="2" t="str">
        <x:v>NR</x:v>
      </x:c>
      <x:c r="X190" s="2" t="str">
        <x:v>NR</x:v>
      </x:c>
      <x:c r="Y190" s="2" t="str">
        <x:v>NR</x:v>
      </x:c>
      <x:c r="Z190" s="2" t="str">
        <x:v>No</x:v>
      </x:c>
      <x:c r="AA190" s="6" t="str">
        <x:v>p. 8; Section V, RQ3 paragraph</x:v>
      </x:c>
      <x:c r="AB190" s="6" t="str">
        <x:v>Among these results, we observed that GPT-4o-generated 227 true positives, 170 true negatives, 73 false positives and 80 false negatives for an overall accuracy of 72.2%.</x:v>
      </x:c>
      <x:c r="AC190" s="6" t="str">
        <x:v>GPT-4o生成的精化关系准确率为72.2%。</x:v>
      </x:c>
      <x:c r="AD190" s="2" t="str">
        <x:v>Accepted</x:v>
      </x:c>
      <x:c r="AE190" s="6" t="str">
        <x:v>NA</x:v>
      </x:c>
    </x:row>
    <x:row r="191" ht="76" customHeight="1">
      <x:c r="A191" s="2" t="str">
        <x:v>S15-RESULT-R06</x:v>
      </x:c>
      <x:c r="B191" s="2" t="str">
        <x:v>S15</x:v>
      </x:c>
      <x:c r="C191" s="2" t="str">
        <x:v>merged_1143</x:v>
      </x:c>
      <x:c r="D191" s="2" t="str">
        <x:v>Reviewer_A</x:v>
      </x:c>
      <x:c r="E191" s="2" t="str">
        <x:v>Reviewer_A</x:v>
      </x:c>
      <x:c r="F191" s="2" t="str">
        <x:v>S15-R06</x:v>
      </x:c>
      <x:c r="G191" s="2" t="str">
        <x:v>S15-EV03</x:v>
      </x:c>
      <x:c r="H191" s="2" t="str">
        <x:v>S15-T02</x:v>
      </x:c>
      <x:c r="I191" s="2" t="str">
        <x:v>NA</x:v>
      </x:c>
      <x:c r="J191" s="2" t="str">
        <x:v>15 transcripts</x:v>
      </x:c>
      <x:c r="K191" s="2" t="str">
        <x:v>Labeling of refinement edges</x:v>
      </x:c>
      <x:c r="L191" s="2" t="str">
        <x:v>No</x:v>
      </x:c>
      <x:c r="M191" s="2" t="str">
        <x:v>Cohen's kappa</x:v>
      </x:c>
      <x:c r="N191" s="6" t="str">
        <x:v>Kappa κ = 0.711</x:v>
      </x:c>
      <x:c r="O191" s="2" t="n">
        <x:v>0.711</x:v>
      </x:c>
      <x:c r="P191" s="2" t="str">
        <x:v>proportion</x:v>
      </x:c>
      <x:c r="Q191" s="6" t="str">
        <x:v>NR</x:v>
      </x:c>
      <x:c r="R191" s="2" t="str">
        <x:v>NR</x:v>
      </x:c>
      <x:c r="S191" s="2" t="str">
        <x:v>NR</x:v>
      </x:c>
      <x:c r="T191" s="2" t="str">
        <x:v>Not compared</x:v>
      </x:c>
      <x:c r="U191" s="2" t="str">
        <x:v>Not tested</x:v>
      </x:c>
      <x:c r="V191" s="2" t="str">
        <x:v>NR</x:v>
      </x:c>
      <x:c r="W191" s="2" t="str">
        <x:v>NR</x:v>
      </x:c>
      <x:c r="X191" s="2" t="str">
        <x:v>NR</x:v>
      </x:c>
      <x:c r="Y191" s="2" t="str">
        <x:v>NR</x:v>
      </x:c>
      <x:c r="Z191" s="2" t="str">
        <x:v>No</x:v>
      </x:c>
      <x:c r="AA191" s="6" t="str">
        <x:v>p. 7; Section IV.B, RQ3 paragraph</x:v>
      </x:c>
      <x:c r="AB191" s="6" t="str">
        <x:v>After developing these rules, the authors coded a second sample of 50 refinement relations to yield an updated Kappa κ = 0.711, which is a substantial level of above chance agreement [27].</x:v>
      </x:c>
      <x:c r="AC191" s="6" t="str">
        <x:v>作者间标注一致性Kappa系数为0.711，表明一致性较高。</x:v>
      </x:c>
      <x:c r="AD191" s="2" t="str">
        <x:v>Accepted</x:v>
      </x:c>
      <x:c r="AE191" s="6" t="str">
        <x:v>NA</x:v>
      </x:c>
    </x:row>
    <x:row r="192" ht="76" customHeight="1">
      <x:c r="A192" s="2" t="str">
        <x:v>S16-RESULT-R01</x:v>
      </x:c>
      <x:c r="B192" s="2" t="str">
        <x:v>S16</x:v>
      </x:c>
      <x:c r="C192" s="2" t="str">
        <x:v>merged_1144</x:v>
      </x:c>
      <x:c r="D192" s="2" t="str">
        <x:v>Reviewer_A</x:v>
      </x:c>
      <x:c r="E192" s="2" t="str">
        <x:v>Reviewer_A</x:v>
      </x:c>
      <x:c r="F192" s="2" t="str">
        <x:v>S16-R01</x:v>
      </x:c>
      <x:c r="G192" s="2" t="str">
        <x:v>S16-EV01</x:v>
      </x:c>
      <x:c r="H192" s="2" t="str">
        <x:v>S16-T01</x:v>
      </x:c>
      <x:c r="I192" s="2" t="str">
        <x:v>NA</x:v>
      </x:c>
      <x:c r="J192" s="2" t="str">
        <x:v>Original (99 false links)</x:v>
      </x:c>
      <x:c r="K192" s="2" t="str">
        <x:v>EALink</x:v>
      </x:c>
      <x:c r="L192" s="2" t="str">
        <x:v>No</x:v>
      </x:c>
      <x:c r="M192" s="2" t="str">
        <x:v>Precision@1</x:v>
      </x:c>
      <x:c r="N192" s="6" t="str">
        <x:v>32.52%</x:v>
      </x:c>
      <x:c r="O192" s="2" t="n">
        <x:v>32.52</x:v>
      </x:c>
      <x:c r="P192" s="2" t="str">
        <x:v>%</x:v>
      </x:c>
      <x:c r="Q192" s="6" t="str">
        <x:v>No</x:v>
      </x:c>
      <x:c r="R192" s="2" t="str">
        <x:v>NA</x:v>
      </x:c>
      <x:c r="S192" s="2" t="str">
        <x:v>NR</x:v>
      </x:c>
      <x:c r="T192" s="2" t="str">
        <x:v>Not compared</x:v>
      </x:c>
      <x:c r="U192" s="2" t="str">
        <x:v>Not tested</x:v>
      </x:c>
      <x:c r="V192" s="2" t="str">
        <x:v>NR</x:v>
      </x:c>
      <x:c r="W192" s="2" t="str">
        <x:v>NA</x:v>
      </x:c>
      <x:c r="X192" s="2" t="str">
        <x:v>NA</x:v>
      </x:c>
      <x:c r="Y192" s="2" t="str">
        <x:v>NR</x:v>
      </x:c>
      <x:c r="Z192" s="2" t="str">
        <x:v>No</x:v>
      </x:c>
      <x:c r="AA192" s="6" t="str">
        <x:v>p. 7; Section 6.1</x:v>
      </x:c>
      <x:c r="AB192" s="6" t="str">
        <x:v>The results, shown in the first column of Table 2, indicate an average Precision@1 of 32.52%.</x:v>
      </x:c>
      <x:c r="AC192" s="6" t="str">
        <x:v>EALink在原始数据集（99个固定假链接）上的Precision@1为32.52%。</x:v>
      </x:c>
      <x:c r="AD192" s="2" t="str">
        <x:v>Accepted</x:v>
      </x:c>
      <x:c r="AE192" s="6" t="str">
        <x:v>Expanded to 20 projects.</x:v>
      </x:c>
    </x:row>
    <x:row r="193" ht="76" customHeight="1">
      <x:c r="A193" s="2" t="str">
        <x:v>S16-RESULT-R02</x:v>
      </x:c>
      <x:c r="B193" s="2" t="str">
        <x:v>S16</x:v>
      </x:c>
      <x:c r="C193" s="2" t="str">
        <x:v>merged_1144</x:v>
      </x:c>
      <x:c r="D193" s="2" t="str">
        <x:v>Reviewer_A</x:v>
      </x:c>
      <x:c r="E193" s="2" t="str">
        <x:v>Reviewer_A</x:v>
      </x:c>
      <x:c r="F193" s="2" t="str">
        <x:v>S16-R02</x:v>
      </x:c>
      <x:c r="G193" s="2" t="str">
        <x:v>S16-EV01</x:v>
      </x:c>
      <x:c r="H193" s="2" t="str">
        <x:v>S16-T01</x:v>
      </x:c>
      <x:c r="I193" s="2" t="str">
        <x:v>NA</x:v>
      </x:c>
      <x:c r="J193" s="2" t="str">
        <x:v>Original (99 false links)</x:v>
      </x:c>
      <x:c r="K193" s="2" t="str">
        <x:v>EALink</x:v>
      </x:c>
      <x:c r="L193" s="2" t="str">
        <x:v>No</x:v>
      </x:c>
      <x:c r="M193" s="2" t="str">
        <x:v>MRR</x:v>
      </x:c>
      <x:c r="N193" s="6" t="str">
        <x:v>41.16</x:v>
      </x:c>
      <x:c r="O193" s="2" t="n">
        <x:v>41.16</x:v>
      </x:c>
      <x:c r="P193" s="2" t="str">
        <x:v>%</x:v>
      </x:c>
      <x:c r="Q193" s="6" t="str">
        <x:v>No</x:v>
      </x:c>
      <x:c r="R193" s="2" t="str">
        <x:v>NA</x:v>
      </x:c>
      <x:c r="S193" s="2" t="str">
        <x:v>NR</x:v>
      </x:c>
      <x:c r="T193" s="2" t="str">
        <x:v>Not compared</x:v>
      </x:c>
      <x:c r="U193" s="2" t="str">
        <x:v>Not tested</x:v>
      </x:c>
      <x:c r="V193" s="2" t="str">
        <x:v>NR</x:v>
      </x:c>
      <x:c r="W193" s="2" t="str">
        <x:v>NA</x:v>
      </x:c>
      <x:c r="X193" s="2" t="str">
        <x:v>NA</x:v>
      </x:c>
      <x:c r="Y193" s="2" t="str">
        <x:v>NR</x:v>
      </x:c>
      <x:c r="Z193" s="2" t="str">
        <x:v>No</x:v>
      </x:c>
      <x:c r="AA193" s="6" t="str">
        <x:v>p. 7; Table 2</x:v>
      </x:c>
      <x:c r="AB193" s="6" t="str">
        <x:v>MRR 41.16</x:v>
      </x:c>
      <x:c r="AC193" s="6" t="str">
        <x:v>EALink在原始数据集上的MRR为41.16%。</x:v>
      </x:c>
      <x:c r="AD193" s="2" t="str">
        <x:v>Accepted</x:v>
      </x:c>
      <x:c r="AE193" s="6" t="str">
        <x:v>NA</x:v>
      </x:c>
    </x:row>
    <x:row r="194" ht="76" customHeight="1">
      <x:c r="A194" s="2" t="str">
        <x:v>S16-RESULT-R03</x:v>
      </x:c>
      <x:c r="B194" s="2" t="str">
        <x:v>S16</x:v>
      </x:c>
      <x:c r="C194" s="2" t="str">
        <x:v>merged_1144</x:v>
      </x:c>
      <x:c r="D194" s="2" t="str">
        <x:v>Reviewer_A</x:v>
      </x:c>
      <x:c r="E194" s="2" t="str">
        <x:v>Reviewer_A</x:v>
      </x:c>
      <x:c r="F194" s="2" t="str">
        <x:v>S16-R03</x:v>
      </x:c>
      <x:c r="G194" s="2" t="str">
        <x:v>S16-EV01</x:v>
      </x:c>
      <x:c r="H194" s="2" t="str">
        <x:v>S16-T01</x:v>
      </x:c>
      <x:c r="I194" s="2" t="str">
        <x:v>NA</x:v>
      </x:c>
      <x:c r="J194" s="2" t="str">
        <x:v>RDS</x:v>
      </x:c>
      <x:c r="K194" s="2" t="str">
        <x:v>EALink</x:v>
      </x:c>
      <x:c r="L194" s="2" t="str">
        <x:v>No</x:v>
      </x:c>
      <x:c r="M194" s="2" t="str">
        <x:v>Precision@1</x:v>
      </x:c>
      <x:c r="N194" s="6" t="str">
        <x:v>14.43%</x:v>
      </x:c>
      <x:c r="O194" s="2" t="n">
        <x:v>14.43</x:v>
      </x:c>
      <x:c r="P194" s="2" t="str">
        <x:v>%</x:v>
      </x:c>
      <x:c r="Q194" s="6" t="str">
        <x:v>No</x:v>
      </x:c>
      <x:c r="R194" s="2" t="str">
        <x:v>NA</x:v>
      </x:c>
      <x:c r="S194" s="2" t="str">
        <x:v>NR</x:v>
      </x:c>
      <x:c r="T194" s="2" t="str">
        <x:v>Worse</x:v>
      </x:c>
      <x:c r="U194" s="2" t="str">
        <x:v>Not tested</x:v>
      </x:c>
      <x:c r="V194" s="2" t="str">
        <x:v>NR</x:v>
      </x:c>
      <x:c r="W194" s="2" t="str">
        <x:v>NA</x:v>
      </x:c>
      <x:c r="X194" s="2" t="str">
        <x:v>NA</x:v>
      </x:c>
      <x:c r="Y194" s="2" t="str">
        <x:v>NR</x:v>
      </x:c>
      <x:c r="Z194" s="2" t="str">
        <x:v>No</x:v>
      </x:c>
      <x:c r="AA194" s="6" t="str">
        <x:v>p. 8; Section 6.1, Table 2</x:v>
      </x:c>
      <x:c r="AB194" s="6" t="str">
        <x:v>EALink’s Precision@1 decreases to 14.43%, a decline of 55.63%.</x:v>
      </x:c>
      <x:c r="AC194" s="6" t="str">
        <x:v>EALink在RDS数据集上的Precision@1下降至14.43%，性能大幅降低。</x:v>
      </x:c>
      <x:c r="AD194" s="2" t="str">
        <x:v>Accepted</x:v>
      </x:c>
      <x:c r="AE194" s="6" t="str">
        <x:v>NA</x:v>
      </x:c>
    </x:row>
    <x:row r="195" ht="76" customHeight="1">
      <x:c r="A195" s="2" t="str">
        <x:v>S16-RESULT-R04</x:v>
      </x:c>
      <x:c r="B195" s="2" t="str">
        <x:v>S16</x:v>
      </x:c>
      <x:c r="C195" s="2" t="str">
        <x:v>merged_1144</x:v>
      </x:c>
      <x:c r="D195" s="2" t="str">
        <x:v>Reviewer_A</x:v>
      </x:c>
      <x:c r="E195" s="2" t="str">
        <x:v>Reviewer_A</x:v>
      </x:c>
      <x:c r="F195" s="2" t="str">
        <x:v>S16-R04</x:v>
      </x:c>
      <x:c r="G195" s="2" t="str">
        <x:v>S16-EV01</x:v>
      </x:c>
      <x:c r="H195" s="2" t="str">
        <x:v>S16-T01</x:v>
      </x:c>
      <x:c r="I195" s="2" t="str">
        <x:v>NA</x:v>
      </x:c>
      <x:c r="J195" s="2" t="str">
        <x:v>RDS</x:v>
      </x:c>
      <x:c r="K195" s="2" t="str">
        <x:v>EALink</x:v>
      </x:c>
      <x:c r="L195" s="2" t="str">
        <x:v>No</x:v>
      </x:c>
      <x:c r="M195" s="2" t="str">
        <x:v>MRR</x:v>
      </x:c>
      <x:c r="N195" s="6" t="str">
        <x:v>20.21</x:v>
      </x:c>
      <x:c r="O195" s="2" t="n">
        <x:v>20.21</x:v>
      </x:c>
      <x:c r="P195" s="2" t="str">
        <x:v>%</x:v>
      </x:c>
      <x:c r="Q195" s="6" t="str">
        <x:v>No</x:v>
      </x:c>
      <x:c r="R195" s="2" t="str">
        <x:v>NA</x:v>
      </x:c>
      <x:c r="S195" s="2" t="str">
        <x:v>NR</x:v>
      </x:c>
      <x:c r="T195" s="2" t="str">
        <x:v>Worse</x:v>
      </x:c>
      <x:c r="U195" s="2" t="str">
        <x:v>Not tested</x:v>
      </x:c>
      <x:c r="V195" s="2" t="str">
        <x:v>NR</x:v>
      </x:c>
      <x:c r="W195" s="2" t="str">
        <x:v>NA</x:v>
      </x:c>
      <x:c r="X195" s="2" t="str">
        <x:v>NA</x:v>
      </x:c>
      <x:c r="Y195" s="2" t="str">
        <x:v>NR</x:v>
      </x:c>
      <x:c r="Z195" s="2" t="str">
        <x:v>No</x:v>
      </x:c>
      <x:c r="AA195" s="6" t="str">
        <x:v>p. 8; Table 2</x:v>
      </x:c>
      <x:c r="AB195" s="6" t="str">
        <x:v>MRR 20.21</x:v>
      </x:c>
      <x:c r="AC195" s="6" t="str">
        <x:v>EALink在RDS数据集上的MRR为20.21%。</x:v>
      </x:c>
      <x:c r="AD195" s="2" t="str">
        <x:v>Accepted</x:v>
      </x:c>
      <x:c r="AE195" s="6" t="str">
        <x:v>NA</x:v>
      </x:c>
    </x:row>
    <x:row r="196" ht="76" customHeight="1">
      <x:c r="A196" s="2" t="str">
        <x:v>S16-RESULT-R05</x:v>
      </x:c>
      <x:c r="B196" s="2" t="str">
        <x:v>S16</x:v>
      </x:c>
      <x:c r="C196" s="2" t="str">
        <x:v>merged_1144</x:v>
      </x:c>
      <x:c r="D196" s="2" t="str">
        <x:v>Reviewer_A</x:v>
      </x:c>
      <x:c r="E196" s="2" t="str">
        <x:v>Reviewer_A</x:v>
      </x:c>
      <x:c r="F196" s="2" t="str">
        <x:v>S16-R05</x:v>
      </x:c>
      <x:c r="G196" s="2" t="str">
        <x:v>S16-EV01</x:v>
      </x:c>
      <x:c r="H196" s="2" t="str">
        <x:v>S16-T01</x:v>
      </x:c>
      <x:c r="I196" s="2" t="str">
        <x:v>NA</x:v>
      </x:c>
      <x:c r="J196" s="2" t="str">
        <x:v>RDS</x:v>
      </x:c>
      <x:c r="K196" s="2" t="str">
        <x:v>VSM</x:v>
      </x:c>
      <x:c r="L196" s="2" t="str">
        <x:v>No</x:v>
      </x:c>
      <x:c r="M196" s="2" t="str">
        <x:v>Precision@1</x:v>
      </x:c>
      <x:c r="N196" s="6" t="str">
        <x:v>46.59%</x:v>
      </x:c>
      <x:c r="O196" s="2" t="n">
        <x:v>46.59</x:v>
      </x:c>
      <x:c r="P196" s="2" t="str">
        <x:v>%</x:v>
      </x:c>
      <x:c r="Q196" s="6" t="str">
        <x:v>No</x:v>
      </x:c>
      <x:c r="R196" s="2" t="str">
        <x:v>NA</x:v>
      </x:c>
      <x:c r="S196" s="2" t="str">
        <x:v>NR</x:v>
      </x:c>
      <x:c r="T196" s="2" t="str">
        <x:v>Better</x:v>
      </x:c>
      <x:c r="U196" s="2" t="str">
        <x:v>Not tested</x:v>
      </x:c>
      <x:c r="V196" s="2" t="str">
        <x:v>NR</x:v>
      </x:c>
      <x:c r="W196" s="2" t="str">
        <x:v>NA</x:v>
      </x:c>
      <x:c r="X196" s="2" t="str">
        <x:v>NA</x:v>
      </x:c>
      <x:c r="Y196" s="2" t="str">
        <x:v>NR</x:v>
      </x:c>
      <x:c r="Z196" s="2" t="str">
        <x:v>No</x:v>
      </x:c>
      <x:c r="AA196" s="6" t="str">
        <x:v>p. 8; Section 6.1</x:v>
      </x:c>
      <x:c r="AB196" s="6" t="str">
        <x:v>a VSM baseline with a Precision@1 of 46.59%.</x:v>
      </x:c>
      <x:c r="AC196" s="6" t="str">
        <x:v>VSM在RDS数据集上的Precision@1为46.59%，超过EALink。</x:v>
      </x:c>
      <x:c r="AD196" s="2" t="str">
        <x:v>Accepted</x:v>
      </x:c>
      <x:c r="AE196" s="6" t="str">
        <x:v>Traditional IR baseline outperforms EALink under realistic setting.</x:v>
      </x:c>
    </x:row>
    <x:row r="197" ht="76" customHeight="1">
      <x:c r="A197" s="2" t="str">
        <x:v>S16-RESULT-R06</x:v>
      </x:c>
      <x:c r="B197" s="2" t="str">
        <x:v>S16</x:v>
      </x:c>
      <x:c r="C197" s="2" t="str">
        <x:v>merged_1144</x:v>
      </x:c>
      <x:c r="D197" s="2" t="str">
        <x:v>Reviewer_A</x:v>
      </x:c>
      <x:c r="E197" s="2" t="str">
        <x:v>Reviewer_A</x:v>
      </x:c>
      <x:c r="F197" s="2" t="str">
        <x:v>S16-R06</x:v>
      </x:c>
      <x:c r="G197" s="2" t="str">
        <x:v>S16-EV01</x:v>
      </x:c>
      <x:c r="H197" s="2" t="str">
        <x:v>S16-T01</x:v>
      </x:c>
      <x:c r="I197" s="2" t="str">
        <x:v>NA</x:v>
      </x:c>
      <x:c r="J197" s="2" t="str">
        <x:v>RDS</x:v>
      </x:c>
      <x:c r="K197" s="2" t="str">
        <x:v>VSM</x:v>
      </x:c>
      <x:c r="L197" s="2" t="str">
        <x:v>No</x:v>
      </x:c>
      <x:c r="M197" s="2" t="str">
        <x:v>MRR</x:v>
      </x:c>
      <x:c r="N197" s="6" t="str">
        <x:v>55.10</x:v>
      </x:c>
      <x:c r="O197" s="2" t="n">
        <x:v>55.1</x:v>
      </x:c>
      <x:c r="P197" s="2" t="str">
        <x:v>%</x:v>
      </x:c>
      <x:c r="Q197" s="6" t="str">
        <x:v>No</x:v>
      </x:c>
      <x:c r="R197" s="2" t="str">
        <x:v>NA</x:v>
      </x:c>
      <x:c r="S197" s="2" t="str">
        <x:v>NR</x:v>
      </x:c>
      <x:c r="T197" s="2" t="str">
        <x:v>Better</x:v>
      </x:c>
      <x:c r="U197" s="2" t="str">
        <x:v>Not tested</x:v>
      </x:c>
      <x:c r="V197" s="2" t="str">
        <x:v>NR</x:v>
      </x:c>
      <x:c r="W197" s="2" t="str">
        <x:v>NA</x:v>
      </x:c>
      <x:c r="X197" s="2" t="str">
        <x:v>NA</x:v>
      </x:c>
      <x:c r="Y197" s="2" t="str">
        <x:v>NR</x:v>
      </x:c>
      <x:c r="Z197" s="2" t="str">
        <x:v>No</x:v>
      </x:c>
      <x:c r="AA197" s="6" t="str">
        <x:v>p. 8; Table 4</x:v>
      </x:c>
      <x:c r="AB197" s="6" t="str">
        <x:v>MRR 20.21 55.10 71.59 79.92 (↑ 295.4%)</x:v>
      </x:c>
      <x:c r="AC197" s="6" t="str">
        <x:v>VSM在RDS数据集上的MRR为55.10%。</x:v>
      </x:c>
      <x:c r="AD197" s="2" t="str">
        <x:v>Accepted</x:v>
      </x:c>
      <x:c r="AE197" s="6" t="str">
        <x:v>NA</x:v>
      </x:c>
    </x:row>
    <x:row r="198" ht="76" customHeight="1">
      <x:c r="A198" s="2" t="str">
        <x:v>S16-RESULT-R07</x:v>
      </x:c>
      <x:c r="B198" s="2" t="str">
        <x:v>S16</x:v>
      </x:c>
      <x:c r="C198" s="2" t="str">
        <x:v>merged_1144</x:v>
      </x:c>
      <x:c r="D198" s="2" t="str">
        <x:v>Reviewer_A</x:v>
      </x:c>
      <x:c r="E198" s="2" t="str">
        <x:v>Reviewer_A</x:v>
      </x:c>
      <x:c r="F198" s="2" t="str">
        <x:v>S16-R07</x:v>
      </x:c>
      <x:c r="G198" s="2" t="str">
        <x:v>S16-EV02</x:v>
      </x:c>
      <x:c r="H198" s="2" t="str">
        <x:v>S16-T01</x:v>
      </x:c>
      <x:c r="I198" s="2" t="str">
        <x:v>NA</x:v>
      </x:c>
      <x:c r="J198" s="2" t="str">
        <x:v>Original (99 false links, 6 projects)</x:v>
      </x:c>
      <x:c r="K198" s="2" t="str">
        <x:v>EasyLink</x:v>
      </x:c>
      <x:c r="L198" s="2" t="str">
        <x:v>EALink</x:v>
      </x:c>
      <x:c r="M198" s="2" t="str">
        <x:v>Precision@1</x:v>
      </x:c>
      <x:c r="N198" s="6" t="str">
        <x:v>89.58%</x:v>
      </x:c>
      <x:c r="O198" s="2" t="n">
        <x:v>89.58</x:v>
      </x:c>
      <x:c r="P198" s="2" t="str">
        <x:v>%</x:v>
      </x:c>
      <x:c r="Q198" s="6" t="str">
        <x:v>53.67%</x:v>
      </x:c>
      <x:c r="R198" s="2" t="n">
        <x:v>53.67</x:v>
      </x:c>
      <x:c r="S198" s="2" t="str">
        <x:v>NR</x:v>
      </x:c>
      <x:c r="T198" s="2" t="str">
        <x:v>Better</x:v>
      </x:c>
      <x:c r="U198" s="2" t="str">
        <x:v>Not tested</x:v>
      </x:c>
      <x:c r="V198" s="2" t="str">
        <x:v>66.90% improvement</x:v>
      </x:c>
      <x:c r="W198" s="2" t="str">
        <x:v>NA</x:v>
      </x:c>
      <x:c r="X198" s="2" t="str">
        <x:v>NA</x:v>
      </x:c>
      <x:c r="Y198" s="2" t="str">
        <x:v>NR</x:v>
      </x:c>
      <x:c r="Z198" s="2" t="str">
        <x:v>No</x:v>
      </x:c>
      <x:c r="AA198" s="6" t="str">
        <x:v>p. 8; Table 3</x:v>
      </x:c>
      <x:c r="AB198" s="6" t="str">
        <x:v>EasyLink achieves a Precision@1 of 89.58%, significantly outperforming EALink’s 53.67%.</x:v>
      </x:c>
      <x:c r="AC198" s="6" t="str">
        <x:v>EasyLink在原始数据集（6项目）上显著优于EALink。</x:v>
      </x:c>
      <x:c r="AD198" s="2" t="str">
        <x:v>Accepted</x:v>
      </x:c>
      <x:c r="AE198" s="6" t="str">
        <x:v>Comparison on 6 projects from Zhang et al.</x:v>
      </x:c>
    </x:row>
    <x:row r="199" ht="76" customHeight="1">
      <x:c r="A199" s="2" t="str">
        <x:v>S16-RESULT-R08</x:v>
      </x:c>
      <x:c r="B199" s="2" t="str">
        <x:v>S16</x:v>
      </x:c>
      <x:c r="C199" s="2" t="str">
        <x:v>merged_1144</x:v>
      </x:c>
      <x:c r="D199" s="2" t="str">
        <x:v>Reviewer_A</x:v>
      </x:c>
      <x:c r="E199" s="2" t="str">
        <x:v>Reviewer_A</x:v>
      </x:c>
      <x:c r="F199" s="2" t="str">
        <x:v>S16-R08</x:v>
      </x:c>
      <x:c r="G199" s="2" t="str">
        <x:v>S16-EV02</x:v>
      </x:c>
      <x:c r="H199" s="2" t="str">
        <x:v>S16-T01</x:v>
      </x:c>
      <x:c r="I199" s="2" t="str">
        <x:v>NA</x:v>
      </x:c>
      <x:c r="J199" s="2" t="str">
        <x:v>Original (99 false links, 6 projects)</x:v>
      </x:c>
      <x:c r="K199" s="2" t="str">
        <x:v>Vector DB only</x:v>
      </x:c>
      <x:c r="L199" s="2" t="str">
        <x:v>EALink</x:v>
      </x:c>
      <x:c r="M199" s="2" t="str">
        <x:v>Precision@1</x:v>
      </x:c>
      <x:c r="N199" s="6" t="str">
        <x:v>81.59%</x:v>
      </x:c>
      <x:c r="O199" s="2" t="n">
        <x:v>81.59</x:v>
      </x:c>
      <x:c r="P199" s="2" t="str">
        <x:v>%</x:v>
      </x:c>
      <x:c r="Q199" s="6" t="str">
        <x:v>53.67%</x:v>
      </x:c>
      <x:c r="R199" s="2" t="n">
        <x:v>53.67</x:v>
      </x:c>
      <x:c r="S199" s="2" t="str">
        <x:v>NR</x:v>
      </x:c>
      <x:c r="T199" s="2" t="str">
        <x:v>Better</x:v>
      </x:c>
      <x:c r="U199" s="2" t="str">
        <x:v>Not tested</x:v>
      </x:c>
      <x:c r="V199" s="2" t="str">
        <x:v>52% improvement</x:v>
      </x:c>
      <x:c r="W199" s="2" t="str">
        <x:v>NA</x:v>
      </x:c>
      <x:c r="X199" s="2" t="str">
        <x:v>NA</x:v>
      </x:c>
      <x:c r="Y199" s="2" t="str">
        <x:v>NR</x:v>
      </x:c>
      <x:c r="Z199" s="2" t="str">
        <x:v>No</x:v>
      </x:c>
      <x:c r="AA199" s="6" t="str">
        <x:v>p. 8; Table 3</x:v>
      </x:c>
      <x:c r="AB199" s="6" t="str">
        <x:v>EALink Vector DB EasyLink P@1 (Hit@1) 53.67 81.59 89.58(↑ 66.90%)</x:v>
      </x:c>
      <x:c r="AC199" s="6" t="str">
        <x:v>向量数据库在原始数据集上Precision@1达81.59%，优于EALink。</x:v>
      </x:c>
      <x:c r="AD199" s="2" t="str">
        <x:v>Accepted</x:v>
      </x:c>
      <x:c r="AE199" s="6" t="str">
        <x:v>NA</x:v>
      </x:c>
    </x:row>
    <x:row r="200" ht="76" customHeight="1">
      <x:c r="A200" s="2" t="str">
        <x:v>S16-RESULT-R09</x:v>
      </x:c>
      <x:c r="B200" s="2" t="str">
        <x:v>S16</x:v>
      </x:c>
      <x:c r="C200" s="2" t="str">
        <x:v>merged_1144</x:v>
      </x:c>
      <x:c r="D200" s="2" t="str">
        <x:v>Reviewer_A</x:v>
      </x:c>
      <x:c r="E200" s="2" t="str">
        <x:v>Reviewer_A</x:v>
      </x:c>
      <x:c r="F200" s="2" t="str">
        <x:v>S16-R09</x:v>
      </x:c>
      <x:c r="G200" s="2" t="str">
        <x:v>S16-EV02</x:v>
      </x:c>
      <x:c r="H200" s="2" t="str">
        <x:v>S16-T01</x:v>
      </x:c>
      <x:c r="I200" s="2" t="str">
        <x:v>NA</x:v>
      </x:c>
      <x:c r="J200" s="2" t="str">
        <x:v>Original (99 false links, 6 projects)</x:v>
      </x:c>
      <x:c r="K200" s="2" t="str">
        <x:v>EALink</x:v>
      </x:c>
      <x:c r="L200" s="2" t="str">
        <x:v>No</x:v>
      </x:c>
      <x:c r="M200" s="2" t="str">
        <x:v>Precision@1</x:v>
      </x:c>
      <x:c r="N200" s="6" t="str">
        <x:v>53.67%</x:v>
      </x:c>
      <x:c r="O200" s="2" t="n">
        <x:v>53.67</x:v>
      </x:c>
      <x:c r="P200" s="2" t="str">
        <x:v>%</x:v>
      </x:c>
      <x:c r="Q200" s="6" t="str">
        <x:v>No</x:v>
      </x:c>
      <x:c r="R200" s="2" t="str">
        <x:v>NA</x:v>
      </x:c>
      <x:c r="S200" s="2" t="str">
        <x:v>NR</x:v>
      </x:c>
      <x:c r="T200" s="2" t="str">
        <x:v>Not compared</x:v>
      </x:c>
      <x:c r="U200" s="2" t="str">
        <x:v>Not tested</x:v>
      </x:c>
      <x:c r="V200" s="2" t="str">
        <x:v>NR</x:v>
      </x:c>
      <x:c r="W200" s="2" t="str">
        <x:v>NA</x:v>
      </x:c>
      <x:c r="X200" s="2" t="str">
        <x:v>NA</x:v>
      </x:c>
      <x:c r="Y200" s="2" t="str">
        <x:v>NR</x:v>
      </x:c>
      <x:c r="Z200" s="2" t="str">
        <x:v>No</x:v>
      </x:c>
      <x:c r="AA200" s="6" t="str">
        <x:v>p. 8; Table 3</x:v>
      </x:c>
      <x:c r="AB200" s="6" t="str">
        <x:v>EALink Vector DB EasyLink P@1 (Hit@1) 53.67 81.59 89.58(↑ 66.90%)</x:v>
      </x:c>
      <x:c r="AC200" s="6" t="str">
        <x:v>EALink在原始数据集（6项目）上的Precision@1为53.67%。</x:v>
      </x:c>
      <x:c r="AD200" s="2" t="str">
        <x:v>Accepted</x:v>
      </x:c>
      <x:c r="AE200" s="6" t="str">
        <x:v>Baseline result for comparison.</x:v>
      </x:c>
    </x:row>
    <x:row r="201" ht="76" customHeight="1">
      <x:c r="A201" s="2" t="str">
        <x:v>S16-RESULT-R10</x:v>
      </x:c>
      <x:c r="B201" s="2" t="str">
        <x:v>S16</x:v>
      </x:c>
      <x:c r="C201" s="2" t="str">
        <x:v>merged_1144</x:v>
      </x:c>
      <x:c r="D201" s="2" t="str">
        <x:v>Reviewer_A</x:v>
      </x:c>
      <x:c r="E201" s="2" t="str">
        <x:v>Reviewer_A</x:v>
      </x:c>
      <x:c r="F201" s="2" t="str">
        <x:v>S16-R10</x:v>
      </x:c>
      <x:c r="G201" s="2" t="str">
        <x:v>S16-EV02</x:v>
      </x:c>
      <x:c r="H201" s="2" t="str">
        <x:v>S16-T01</x:v>
      </x:c>
      <x:c r="I201" s="2" t="str">
        <x:v>NA</x:v>
      </x:c>
      <x:c r="J201" s="2" t="str">
        <x:v>RDS</x:v>
      </x:c>
      <x:c r="K201" s="2" t="str">
        <x:v>EasyLink</x:v>
      </x:c>
      <x:c r="L201" s="2" t="str">
        <x:v>EALink</x:v>
      </x:c>
      <x:c r="M201" s="2" t="str">
        <x:v>Precision@1</x:v>
      </x:c>
      <x:c r="N201" s="6" t="str">
        <x:v>75.91%</x:v>
      </x:c>
      <x:c r="O201" s="2" t="n">
        <x:v>75.91</x:v>
      </x:c>
      <x:c r="P201" s="2" t="str">
        <x:v>%</x:v>
      </x:c>
      <x:c r="Q201" s="6" t="str">
        <x:v>14.43%</x:v>
      </x:c>
      <x:c r="R201" s="2" t="n">
        <x:v>14.43</x:v>
      </x:c>
      <x:c r="S201" s="2" t="str">
        <x:v>NR</x:v>
      </x:c>
      <x:c r="T201" s="2" t="str">
        <x:v>Better</x:v>
      </x:c>
      <x:c r="U201" s="2" t="str">
        <x:v>Significant</x:v>
      </x:c>
      <x:c r="V201" s="2" t="str">
        <x:v>426.1% improvement</x:v>
      </x:c>
      <x:c r="W201" s="2" t="str">
        <x:v>NA</x:v>
      </x:c>
      <x:c r="X201" s="2" t="str">
        <x:v>Testing time 17.76h</x:v>
      </x:c>
      <x:c r="Y201" s="2" t="str">
        <x:v>NR</x:v>
      </x:c>
      <x:c r="Z201" s="2" t="str">
        <x:v>No</x:v>
      </x:c>
      <x:c r="AA201" s="6" t="str">
        <x:v>p. 8; Section 6.2, Table 4</x:v>
      </x:c>
      <x:c r="AB201" s="6" t="str">
        <x:v>improvement over EALink’s 14.43%. With LLM-assisted reranking, EasyLink further enhances Precision@1 by an average of 11.88%, reaching 75.91%, representing a 426.1% increase compared to</x:v>
      </x:c>
      <x:c r="AC201" s="6" t="str">
        <x:v>EasyLink在RDS数据集上Precision@1达75.91%，远超EALink。</x:v>
      </x:c>
      <x:c r="AD201" s="2" t="str">
        <x:v>Accepted</x:v>
      </x:c>
      <x:c r="AE201" s="6" t="str">
        <x:v>Improvement statistically significant with p&lt;0.01 and large effect size.</x:v>
      </x:c>
    </x:row>
    <x:row r="202" ht="76" customHeight="1">
      <x:c r="A202" s="2" t="str">
        <x:v>S16-RESULT-R11</x:v>
      </x:c>
      <x:c r="B202" s="2" t="str">
        <x:v>S16</x:v>
      </x:c>
      <x:c r="C202" s="2" t="str">
        <x:v>merged_1144</x:v>
      </x:c>
      <x:c r="D202" s="2" t="str">
        <x:v>Reviewer_A</x:v>
      </x:c>
      <x:c r="E202" s="2" t="str">
        <x:v>Reviewer_A</x:v>
      </x:c>
      <x:c r="F202" s="2" t="str">
        <x:v>S16-R11</x:v>
      </x:c>
      <x:c r="G202" s="2" t="str">
        <x:v>S16-EV02</x:v>
      </x:c>
      <x:c r="H202" s="2" t="str">
        <x:v>S16-T01</x:v>
      </x:c>
      <x:c r="I202" s="2" t="str">
        <x:v>NA</x:v>
      </x:c>
      <x:c r="J202" s="2" t="str">
        <x:v>RDS</x:v>
      </x:c>
      <x:c r="K202" s="2" t="str">
        <x:v>Vector DB only</x:v>
      </x:c>
      <x:c r="L202" s="2" t="str">
        <x:v>EALink</x:v>
      </x:c>
      <x:c r="M202" s="2" t="str">
        <x:v>Precision@1</x:v>
      </x:c>
      <x:c r="N202" s="6" t="str">
        <x:v>64.03%</x:v>
      </x:c>
      <x:c r="O202" s="2" t="n">
        <x:v>64.03</x:v>
      </x:c>
      <x:c r="P202" s="2" t="str">
        <x:v>%</x:v>
      </x:c>
      <x:c r="Q202" s="6" t="str">
        <x:v>14.43%</x:v>
      </x:c>
      <x:c r="R202" s="2" t="n">
        <x:v>14.43</x:v>
      </x:c>
      <x:c r="S202" s="2" t="str">
        <x:v>NR</x:v>
      </x:c>
      <x:c r="T202" s="2" t="str">
        <x:v>Better</x:v>
      </x:c>
      <x:c r="U202" s="2" t="str">
        <x:v>Significant</x:v>
      </x:c>
      <x:c r="V202" s="2" t="str">
        <x:v>&gt;300% improvement</x:v>
      </x:c>
      <x:c r="W202" s="2" t="str">
        <x:v>NA</x:v>
      </x:c>
      <x:c r="X202" s="2" t="str">
        <x:v>Testing time 2.60h</x:v>
      </x:c>
      <x:c r="Y202" s="2" t="str">
        <x:v>NR</x:v>
      </x:c>
      <x:c r="Z202" s="2" t="str">
        <x:v>No</x:v>
      </x:c>
      <x:c r="AA202" s="6" t="str">
        <x:v>p. 8; Table 4</x:v>
      </x:c>
      <x:c r="AB202" s="6" t="str">
        <x:v>the vector database approach achieves an average Precision@1 of 64.03%</x:v>
      </x:c>
      <x:c r="AC202" s="6" t="str">
        <x:v>向量数据库在RDS上Precision@1为64.03%，显著优于EALink。</x:v>
      </x:c>
      <x:c r="AD202" s="2" t="str">
        <x:v>Accepted</x:v>
      </x:c>
      <x:c r="AE202" s="6" t="str">
        <x:v>NA</x:v>
      </x:c>
    </x:row>
    <x:row r="203" ht="76" customHeight="1">
      <x:c r="A203" s="2" t="str">
        <x:v>S16-RESULT-R12</x:v>
      </x:c>
      <x:c r="B203" s="2" t="str">
        <x:v>S16</x:v>
      </x:c>
      <x:c r="C203" s="2" t="str">
        <x:v>merged_1144</x:v>
      </x:c>
      <x:c r="D203" s="2" t="str">
        <x:v>Reviewer_A</x:v>
      </x:c>
      <x:c r="E203" s="2" t="str">
        <x:v>Reviewer_A</x:v>
      </x:c>
      <x:c r="F203" s="2" t="str">
        <x:v>S16-R12</x:v>
      </x:c>
      <x:c r="G203" s="2" t="str">
        <x:v>S16-EV02</x:v>
      </x:c>
      <x:c r="H203" s="2" t="str">
        <x:v>S16-T01</x:v>
      </x:c>
      <x:c r="I203" s="2" t="str">
        <x:v>NA</x:v>
      </x:c>
      <x:c r="J203" s="2" t="str">
        <x:v>RDS</x:v>
      </x:c>
      <x:c r="K203" s="2" t="str">
        <x:v>EALink</x:v>
      </x:c>
      <x:c r="L203" s="2" t="str">
        <x:v>No</x:v>
      </x:c>
      <x:c r="M203" s="2" t="str">
        <x:v>Precision@1</x:v>
      </x:c>
      <x:c r="N203" s="6" t="str">
        <x:v>14.43%</x:v>
      </x:c>
      <x:c r="O203" s="2" t="n">
        <x:v>14.43</x:v>
      </x:c>
      <x:c r="P203" s="2" t="str">
        <x:v>%</x:v>
      </x:c>
      <x:c r="Q203" s="6" t="str">
        <x:v>No</x:v>
      </x:c>
      <x:c r="R203" s="2" t="str">
        <x:v>NA</x:v>
      </x:c>
      <x:c r="S203" s="2" t="str">
        <x:v>NR</x:v>
      </x:c>
      <x:c r="T203" s="2" t="str">
        <x:v>Worse</x:v>
      </x:c>
      <x:c r="U203" s="2" t="str">
        <x:v>Not tested</x:v>
      </x:c>
      <x:c r="V203" s="2" t="str">
        <x:v>NR</x:v>
      </x:c>
      <x:c r="W203" s="2" t="str">
        <x:v>NA</x:v>
      </x:c>
      <x:c r="X203" s="2" t="str">
        <x:v>Testing time 17.78h</x:v>
      </x:c>
      <x:c r="Y203" s="2" t="str">
        <x:v>NR</x:v>
      </x:c>
      <x:c r="Z203" s="2" t="str">
        <x:v>No</x:v>
      </x:c>
      <x:c r="AA203" s="6" t="str">
        <x:v>p. 8; Table 4</x:v>
      </x:c>
      <x:c r="AB203" s="6" t="str">
        <x:v>EALink VSM Vector DB P@1 (Hit@1) 14.43 46.59</x:v>
      </x:c>
      <x:c r="AC203" s="6" t="str">
        <x:v>EALink在RDS上的Precision@1仅为14.43%。</x:v>
      </x:c>
      <x:c r="AD203" s="2" t="str">
        <x:v>Accepted</x:v>
      </x:c>
      <x:c r="AE203" s="6" t="str">
        <x:v>NA</x:v>
      </x:c>
    </x:row>
    <x:row r="204" ht="76" customHeight="1">
      <x:c r="A204" s="2" t="str">
        <x:v>S16-RESULT-R13</x:v>
      </x:c>
      <x:c r="B204" s="2" t="str">
        <x:v>S16</x:v>
      </x:c>
      <x:c r="C204" s="2" t="str">
        <x:v>merged_1144</x:v>
      </x:c>
      <x:c r="D204" s="2" t="str">
        <x:v>Reviewer_A</x:v>
      </x:c>
      <x:c r="E204" s="2" t="str">
        <x:v>Reviewer_A</x:v>
      </x:c>
      <x:c r="F204" s="2" t="str">
        <x:v>S16-R13</x:v>
      </x:c>
      <x:c r="G204" s="2" t="str">
        <x:v>S16-EV02</x:v>
      </x:c>
      <x:c r="H204" s="2" t="str">
        <x:v>S16-T01</x:v>
      </x:c>
      <x:c r="I204" s="2" t="str">
        <x:v>NA</x:v>
      </x:c>
      <x:c r="J204" s="2" t="str">
        <x:v>RDS</x:v>
      </x:c>
      <x:c r="K204" s="2" t="str">
        <x:v>VSM</x:v>
      </x:c>
      <x:c r="L204" s="2" t="str">
        <x:v>No</x:v>
      </x:c>
      <x:c r="M204" s="2" t="str">
        <x:v>Precision@1</x:v>
      </x:c>
      <x:c r="N204" s="6" t="str">
        <x:v>46.59%</x:v>
      </x:c>
      <x:c r="O204" s="2" t="n">
        <x:v>46.59</x:v>
      </x:c>
      <x:c r="P204" s="2" t="str">
        <x:v>%</x:v>
      </x:c>
      <x:c r="Q204" s="6" t="str">
        <x:v>No</x:v>
      </x:c>
      <x:c r="R204" s="2" t="str">
        <x:v>NA</x:v>
      </x:c>
      <x:c r="S204" s="2" t="str">
        <x:v>NR</x:v>
      </x:c>
      <x:c r="T204" s="2" t="str">
        <x:v>Better</x:v>
      </x:c>
      <x:c r="U204" s="2" t="str">
        <x:v>Not tested</x:v>
      </x:c>
      <x:c r="V204" s="2" t="str">
        <x:v>NR</x:v>
      </x:c>
      <x:c r="W204" s="2" t="str">
        <x:v>NA</x:v>
      </x:c>
      <x:c r="X204" s="2" t="str">
        <x:v>NR</x:v>
      </x:c>
      <x:c r="Y204" s="2" t="str">
        <x:v>NR</x:v>
      </x:c>
      <x:c r="Z204" s="2" t="str">
        <x:v>No</x:v>
      </x:c>
      <x:c r="AA204" s="6" t="str">
        <x:v>p. 8; Table 4</x:v>
      </x:c>
      <x:c r="AB204" s="6" t="str">
        <x:v>EALink VSM Vector DB P@1 (Hit@1) 14.43 46.59</x:v>
      </x:c>
      <x:c r="AC204" s="6" t="str">
        <x:v>VSM在RDS上的Precision@1为46.59%。</x:v>
      </x:c>
      <x:c r="AD204" s="2" t="str">
        <x:v>Accepted</x:v>
      </x:c>
      <x:c r="AE204" s="6" t="str">
        <x:v>NA</x:v>
      </x:c>
    </x:row>
    <x:row r="205" ht="76" customHeight="1">
      <x:c r="A205" s="2" t="str">
        <x:v>S16-RESULT-R14</x:v>
      </x:c>
      <x:c r="B205" s="2" t="str">
        <x:v>S16</x:v>
      </x:c>
      <x:c r="C205" s="2" t="str">
        <x:v>merged_1144</x:v>
      </x:c>
      <x:c r="D205" s="2" t="str">
        <x:v>Reviewer_A</x:v>
      </x:c>
      <x:c r="E205" s="2" t="str">
        <x:v>Reviewer_A</x:v>
      </x:c>
      <x:c r="F205" s="2" t="str">
        <x:v>S16-R14</x:v>
      </x:c>
      <x:c r="G205" s="2" t="str">
        <x:v>S16-EV02</x:v>
      </x:c>
      <x:c r="H205" s="2" t="str">
        <x:v>S16-T01</x:v>
      </x:c>
      <x:c r="I205" s="2" t="str">
        <x:v>NA</x:v>
      </x:c>
      <x:c r="J205" s="2" t="str">
        <x:v>NR</x:v>
      </x:c>
      <x:c r="K205" s="2" t="str">
        <x:v>EALink training</x:v>
      </x:c>
      <x:c r="L205" s="2" t="str">
        <x:v>NA</x:v>
      </x:c>
      <x:c r="M205" s="2" t="str">
        <x:v>Training time</x:v>
      </x:c>
      <x:c r="N205" s="6" t="str">
        <x:v>100.68h</x:v>
      </x:c>
      <x:c r="O205" s="2" t="n">
        <x:v>100.68</x:v>
      </x:c>
      <x:c r="P205" s="2" t="str">
        <x:v>hours</x:v>
      </x:c>
      <x:c r="Q205" s="6" t="str">
        <x:v>NA</x:v>
      </x:c>
      <x:c r="R205" s="2" t="str">
        <x:v>Unclear</x:v>
      </x:c>
      <x:c r="S205" s="2" t="str">
        <x:v>NR</x:v>
      </x:c>
      <x:c r="T205" s="2" t="str">
        <x:v>Not compared</x:v>
      </x:c>
      <x:c r="U205" s="2" t="str">
        <x:v>NA</x:v>
      </x:c>
      <x:c r="V205" s="2" t="str">
        <x:v>NR</x:v>
      </x:c>
      <x:c r="W205" s="2" t="str">
        <x:v>NA</x:v>
      </x:c>
      <x:c r="X205" s="2" t="str">
        <x:v>100.68h total, 4.39s per link</x:v>
      </x:c>
      <x:c r="Y205" s="2" t="str">
        <x:v>NA</x:v>
      </x:c>
      <x:c r="Z205" s="2" t="str">
        <x:v>NA</x:v>
      </x:c>
      <x:c r="AA205" s="6" t="str">
        <x:v>p. 8; Table 5</x:v>
      </x:c>
      <x:c r="AB205" s="6" t="str">
        <x:v>EALink requires 100.68 hours for training, with an average of 4.39 seconds per link</x:v>
      </x:c>
      <x:c r="AC205" s="6" t="str">
        <x:v>EALink训练耗时100.68小时。</x:v>
      </x:c>
      <x:c r="AD205" s="2" t="str">
        <x:v>Accepted</x:v>
      </x:c>
      <x:c r="AE205" s="6" t="str">
        <x:v>Total training time over 20 projects.</x:v>
      </x:c>
    </x:row>
    <x:row r="206" ht="76" customHeight="1">
      <x:c r="A206" s="2" t="str">
        <x:v>S16-RESULT-R15</x:v>
      </x:c>
      <x:c r="B206" s="2" t="str">
        <x:v>S16</x:v>
      </x:c>
      <x:c r="C206" s="2" t="str">
        <x:v>merged_1144</x:v>
      </x:c>
      <x:c r="D206" s="2" t="str">
        <x:v>Reviewer_A</x:v>
      </x:c>
      <x:c r="E206" s="2" t="str">
        <x:v>Reviewer_A</x:v>
      </x:c>
      <x:c r="F206" s="2" t="str">
        <x:v>S16-R15</x:v>
      </x:c>
      <x:c r="G206" s="2" t="str">
        <x:v>S16-EV02</x:v>
      </x:c>
      <x:c r="H206" s="2" t="str">
        <x:v>S16-T01</x:v>
      </x:c>
      <x:c r="I206" s="2" t="str">
        <x:v>NA</x:v>
      </x:c>
      <x:c r="J206" s="2" t="str">
        <x:v>NR</x:v>
      </x:c>
      <x:c r="K206" s="2" t="str">
        <x:v>EALink testing</x:v>
      </x:c>
      <x:c r="L206" s="2" t="str">
        <x:v>NA</x:v>
      </x:c>
      <x:c r="M206" s="2" t="str">
        <x:v>Testing time</x:v>
      </x:c>
      <x:c r="N206" s="6" t="str">
        <x:v>17.78h</x:v>
      </x:c>
      <x:c r="O206" s="2" t="n">
        <x:v>17.78</x:v>
      </x:c>
      <x:c r="P206" s="2" t="str">
        <x:v>hours</x:v>
      </x:c>
      <x:c r="Q206" s="6" t="str">
        <x:v>NA</x:v>
      </x:c>
      <x:c r="R206" s="2" t="str">
        <x:v>Unclear</x:v>
      </x:c>
      <x:c r="S206" s="2" t="str">
        <x:v>NR</x:v>
      </x:c>
      <x:c r="T206" s="2" t="str">
        <x:v>Not compared</x:v>
      </x:c>
      <x:c r="U206" s="2" t="str">
        <x:v>NA</x:v>
      </x:c>
      <x:c r="V206" s="2" t="str">
        <x:v>NR</x:v>
      </x:c>
      <x:c r="W206" s="2" t="str">
        <x:v>NA</x:v>
      </x:c>
      <x:c r="X206" s="2" t="str">
        <x:v>17.78h total, 6.87s per issue</x:v>
      </x:c>
      <x:c r="Y206" s="2" t="str">
        <x:v>NA</x:v>
      </x:c>
      <x:c r="Z206" s="2" t="str">
        <x:v>NA</x:v>
      </x:c>
      <x:c r="AA206" s="6" t="str">
        <x:v>p. 8; Table 5</x:v>
      </x:c>
      <x:c r="AB206" s="6" t="str">
        <x:v>Regarding testing time, EALink requires a total of 17.78 hours</x:v>
      </x:c>
      <x:c r="AC206" s="6" t="str">
        <x:v>EALink测试耗时17.78小时。</x:v>
      </x:c>
      <x:c r="AD206" s="2" t="str">
        <x:v>Accepted</x:v>
      </x:c>
      <x:c r="AE206" s="6" t="str">
        <x:v>NA</x:v>
      </x:c>
    </x:row>
    <x:row r="207" ht="76" customHeight="1">
      <x:c r="A207" s="2" t="str">
        <x:v>S16-RESULT-R16</x:v>
      </x:c>
      <x:c r="B207" s="2" t="str">
        <x:v>S16</x:v>
      </x:c>
      <x:c r="C207" s="2" t="str">
        <x:v>merged_1144</x:v>
      </x:c>
      <x:c r="D207" s="2" t="str">
        <x:v>Reviewer_A</x:v>
      </x:c>
      <x:c r="E207" s="2" t="str">
        <x:v>Reviewer_A</x:v>
      </x:c>
      <x:c r="F207" s="2" t="str">
        <x:v>S16-R16</x:v>
      </x:c>
      <x:c r="G207" s="2" t="str">
        <x:v>S16-EV02</x:v>
      </x:c>
      <x:c r="H207" s="2" t="str">
        <x:v>S16-T01</x:v>
      </x:c>
      <x:c r="I207" s="2" t="str">
        <x:v>NA</x:v>
      </x:c>
      <x:c r="J207" s="2" t="str">
        <x:v>NR</x:v>
      </x:c>
      <x:c r="K207" s="2" t="str">
        <x:v>Vector DB testing</x:v>
      </x:c>
      <x:c r="L207" s="2" t="str">
        <x:v>NA</x:v>
      </x:c>
      <x:c r="M207" s="2" t="str">
        <x:v>Testing time</x:v>
      </x:c>
      <x:c r="N207" s="6" t="str">
        <x:v>2.60h</x:v>
      </x:c>
      <x:c r="O207" s="2" t="n">
        <x:v>2.6</x:v>
      </x:c>
      <x:c r="P207" s="2" t="str">
        <x:v>hours</x:v>
      </x:c>
      <x:c r="Q207" s="6" t="str">
        <x:v>NA</x:v>
      </x:c>
      <x:c r="R207" s="2" t="str">
        <x:v>Unclear</x:v>
      </x:c>
      <x:c r="S207" s="2" t="str">
        <x:v>NR</x:v>
      </x:c>
      <x:c r="T207" s="2" t="str">
        <x:v>Not compared</x:v>
      </x:c>
      <x:c r="U207" s="2" t="str">
        <x:v>NA</x:v>
      </x:c>
      <x:c r="V207" s="2" t="str">
        <x:v>NR</x:v>
      </x:c>
      <x:c r="W207" s="2" t="str">
        <x:v>NA</x:v>
      </x:c>
      <x:c r="X207" s="2" t="str">
        <x:v>2.60h total, 1.01s per issue</x:v>
      </x:c>
      <x:c r="Y207" s="2" t="str">
        <x:v>NA</x:v>
      </x:c>
      <x:c r="Z207" s="2" t="str">
        <x:v>NA</x:v>
      </x:c>
      <x:c r="AA207" s="6" t="str">
        <x:v>p. 8; Table 5</x:v>
      </x:c>
      <x:c r="AB207" s="6" t="str">
        <x:v>the vector database approach takes only 2.60 hours in total</x:v>
      </x:c>
      <x:c r="AC207" s="6" t="str">
        <x:v>向量数据库测试仅需2.60小时。</x:v>
      </x:c>
      <x:c r="AD207" s="2" t="str">
        <x:v>Accepted</x:v>
      </x:c>
      <x:c r="AE207" s="6" t="str">
        <x:v>Significantly faster than EALink.</x:v>
      </x:c>
    </x:row>
    <x:row r="208" ht="76" customHeight="1">
      <x:c r="A208" s="2" t="str">
        <x:v>S16-RESULT-R17</x:v>
      </x:c>
      <x:c r="B208" s="2" t="str">
        <x:v>S16</x:v>
      </x:c>
      <x:c r="C208" s="2" t="str">
        <x:v>merged_1144</x:v>
      </x:c>
      <x:c r="D208" s="2" t="str">
        <x:v>Reviewer_A</x:v>
      </x:c>
      <x:c r="E208" s="2" t="str">
        <x:v>Reviewer_A</x:v>
      </x:c>
      <x:c r="F208" s="2" t="str">
        <x:v>S16-R17</x:v>
      </x:c>
      <x:c r="G208" s="2" t="str">
        <x:v>S16-EV02</x:v>
      </x:c>
      <x:c r="H208" s="2" t="str">
        <x:v>S16-T01</x:v>
      </x:c>
      <x:c r="I208" s="2" t="str">
        <x:v>NA</x:v>
      </x:c>
      <x:c r="J208" s="2" t="str">
        <x:v>NR</x:v>
      </x:c>
      <x:c r="K208" s="2" t="str">
        <x:v>EasyLink testing</x:v>
      </x:c>
      <x:c r="L208" s="2" t="str">
        <x:v>NA</x:v>
      </x:c>
      <x:c r="M208" s="2" t="str">
        <x:v>Testing time</x:v>
      </x:c>
      <x:c r="N208" s="6" t="str">
        <x:v>17.76h</x:v>
      </x:c>
      <x:c r="O208" s="2" t="n">
        <x:v>17.76</x:v>
      </x:c>
      <x:c r="P208" s="2" t="str">
        <x:v>hours</x:v>
      </x:c>
      <x:c r="Q208" s="6" t="str">
        <x:v>NA</x:v>
      </x:c>
      <x:c r="R208" s="2" t="str">
        <x:v>Unclear</x:v>
      </x:c>
      <x:c r="S208" s="2" t="str">
        <x:v>NR</x:v>
      </x:c>
      <x:c r="T208" s="2" t="str">
        <x:v>Not compared</x:v>
      </x:c>
      <x:c r="U208" s="2" t="str">
        <x:v>NA</x:v>
      </x:c>
      <x:c r="V208" s="2" t="str">
        <x:v>NR</x:v>
      </x:c>
      <x:c r="W208" s="2" t="str">
        <x:v>NA</x:v>
      </x:c>
      <x:c r="X208" s="2" t="str">
        <x:v>17.76h total, 6.86s per issue</x:v>
      </x:c>
      <x:c r="Y208" s="2" t="str">
        <x:v>NA</x:v>
      </x:c>
      <x:c r="Z208" s="2" t="str">
        <x:v>NA</x:v>
      </x:c>
      <x:c r="AA208" s="6" t="str">
        <x:v>p. 9; Table 5</x:v>
      </x:c>
      <x:c r="AB208" s="6" t="str">
        <x:v>LLM-assisted method (i.e., EasyLink) takes 17.76 hours for testing,</x:v>
      </x:c>
      <x:c r="AC208" s="6" t="str">
        <x:v>EasyLink测试耗时17.76小时。</x:v>
      </x:c>
      <x:c r="AD208" s="2" t="str">
        <x:v>Accepted</x:v>
      </x:c>
      <x:c r="AE208" s="6" t="str">
        <x:v>Slightly faster than EALink but with much higher precision.</x:v>
      </x:c>
    </x:row>
    <x:row r="209" ht="76" customHeight="1">
      <x:c r="A209" s="2" t="str">
        <x:v>S16-RESULT-R18</x:v>
      </x:c>
      <x:c r="B209" s="2" t="str">
        <x:v>S16</x:v>
      </x:c>
      <x:c r="C209" s="2" t="str">
        <x:v>merged_1144</x:v>
      </x:c>
      <x:c r="D209" s="2" t="str">
        <x:v>Reviewer_A</x:v>
      </x:c>
      <x:c r="E209" s="2" t="str">
        <x:v>Reviewer_A</x:v>
      </x:c>
      <x:c r="F209" s="2" t="str">
        <x:v>S16-R18</x:v>
      </x:c>
      <x:c r="G209" s="2" t="str">
        <x:v>S16-EV03</x:v>
      </x:c>
      <x:c r="H209" s="2" t="str">
        <x:v>S16-T01</x:v>
      </x:c>
      <x:c r="I209" s="2" t="str">
        <x:v>NA</x:v>
      </x:c>
      <x:c r="J209" s="2" t="str">
        <x:v>RDS</x:v>
      </x:c>
      <x:c r="K209" s="2" t="str">
        <x:v>MiniLM embedding</x:v>
      </x:c>
      <x:c r="L209" s="2" t="str">
        <x:v>NA</x:v>
      </x:c>
      <x:c r="M209" s="2" t="str">
        <x:v>Precision@1</x:v>
      </x:c>
      <x:c r="N209" s="6" t="str">
        <x:v>64.03</x:v>
      </x:c>
      <x:c r="O209" s="2" t="n">
        <x:v>64.03</x:v>
      </x:c>
      <x:c r="P209" s="2" t="str">
        <x:v>%</x:v>
      </x:c>
      <x:c r="Q209" s="6" t="str">
        <x:v>NA</x:v>
      </x:c>
      <x:c r="R209" s="2" t="str">
        <x:v>Unclear</x:v>
      </x:c>
      <x:c r="S209" s="2" t="str">
        <x:v>NR</x:v>
      </x:c>
      <x:c r="T209" s="2" t="str">
        <x:v>Not compared</x:v>
      </x:c>
      <x:c r="U209" s="2" t="str">
        <x:v>NA</x:v>
      </x:c>
      <x:c r="V209" s="2" t="str">
        <x:v>NR</x:v>
      </x:c>
      <x:c r="W209" s="2" t="str">
        <x:v>NA</x:v>
      </x:c>
      <x:c r="X209" s="2" t="str">
        <x:v>Test time 2.60h</x:v>
      </x:c>
      <x:c r="Y209" s="2" t="str">
        <x:v>NR</x:v>
      </x:c>
      <x:c r="Z209" s="2" t="str">
        <x:v>No</x:v>
      </x:c>
      <x:c r="AA209" s="6" t="str">
        <x:v>p. 9; Table 6</x:v>
      </x:c>
      <x:c r="AB209" s="6" t="str">
        <x:v>MiniLM MPNet OpenAI P@1 (Hit@1) 64.03 61.22 72.16</x:v>
      </x:c>
      <x:c r="AC209" s="6" t="str">
        <x:v>使用MiniLM嵌入的Precision@1为64.03%。</x:v>
      </x:c>
      <x:c r="AD209" s="2" t="str">
        <x:v>Accepted</x:v>
      </x:c>
      <x:c r="AE209" s="6" t="str">
        <x:v>Default embedding model used in EasyLink.</x:v>
      </x:c>
    </x:row>
    <x:row r="210" ht="76" customHeight="1">
      <x:c r="A210" s="2" t="str">
        <x:v>S16-RESULT-R19</x:v>
      </x:c>
      <x:c r="B210" s="2" t="str">
        <x:v>S16</x:v>
      </x:c>
      <x:c r="C210" s="2" t="str">
        <x:v>merged_1144</x:v>
      </x:c>
      <x:c r="D210" s="2" t="str">
        <x:v>Reviewer_A</x:v>
      </x:c>
      <x:c r="E210" s="2" t="str">
        <x:v>Reviewer_A</x:v>
      </x:c>
      <x:c r="F210" s="2" t="str">
        <x:v>S16-R19</x:v>
      </x:c>
      <x:c r="G210" s="2" t="str">
        <x:v>S16-EV03</x:v>
      </x:c>
      <x:c r="H210" s="2" t="str">
        <x:v>S16-T01</x:v>
      </x:c>
      <x:c r="I210" s="2" t="str">
        <x:v>NA</x:v>
      </x:c>
      <x:c r="J210" s="2" t="str">
        <x:v>RDS</x:v>
      </x:c>
      <x:c r="K210" s="2" t="str">
        <x:v>MPNet embedding</x:v>
      </x:c>
      <x:c r="L210" s="2" t="str">
        <x:v>NA</x:v>
      </x:c>
      <x:c r="M210" s="2" t="str">
        <x:v>Precision@1</x:v>
      </x:c>
      <x:c r="N210" s="6" t="str">
        <x:v>61.22</x:v>
      </x:c>
      <x:c r="O210" s="2" t="n">
        <x:v>61.22</x:v>
      </x:c>
      <x:c r="P210" s="2" t="str">
        <x:v>%</x:v>
      </x:c>
      <x:c r="Q210" s="6" t="str">
        <x:v>NA</x:v>
      </x:c>
      <x:c r="R210" s="2" t="str">
        <x:v>Unclear</x:v>
      </x:c>
      <x:c r="S210" s="2" t="str">
        <x:v>NR</x:v>
      </x:c>
      <x:c r="T210" s="2" t="str">
        <x:v>Not compared</x:v>
      </x:c>
      <x:c r="U210" s="2" t="str">
        <x:v>NA</x:v>
      </x:c>
      <x:c r="V210" s="2" t="str">
        <x:v>NR</x:v>
      </x:c>
      <x:c r="W210" s="2" t="str">
        <x:v>NA</x:v>
      </x:c>
      <x:c r="X210" s="2" t="str">
        <x:v>Test time 3.10h</x:v>
      </x:c>
      <x:c r="Y210" s="2" t="str">
        <x:v>NR</x:v>
      </x:c>
      <x:c r="Z210" s="2" t="str">
        <x:v>No</x:v>
      </x:c>
      <x:c r="AA210" s="6" t="str">
        <x:v>p. 9; Table 6</x:v>
      </x:c>
      <x:c r="AB210" s="6" t="str">
        <x:v>MiniLM MPNet OpenAI P@1 (Hit@1) 64.03 61.22 72.16</x:v>
      </x:c>
      <x:c r="AC210" s="6" t="str">
        <x:v>使用MPNet嵌入的Precision@1为61.22%。</x:v>
      </x:c>
      <x:c r="AD210" s="2" t="str">
        <x:v>Accepted</x:v>
      </x:c>
      <x:c r="AE210" s="6" t="str">
        <x:v>NA</x:v>
      </x:c>
    </x:row>
    <x:row r="211" ht="76" customHeight="1">
      <x:c r="A211" s="2" t="str">
        <x:v>S16-RESULT-R20</x:v>
      </x:c>
      <x:c r="B211" s="2" t="str">
        <x:v>S16</x:v>
      </x:c>
      <x:c r="C211" s="2" t="str">
        <x:v>merged_1144</x:v>
      </x:c>
      <x:c r="D211" s="2" t="str">
        <x:v>Reviewer_A</x:v>
      </x:c>
      <x:c r="E211" s="2" t="str">
        <x:v>Reviewer_A</x:v>
      </x:c>
      <x:c r="F211" s="2" t="str">
        <x:v>S16-R20</x:v>
      </x:c>
      <x:c r="G211" s="2" t="str">
        <x:v>S16-EV03</x:v>
      </x:c>
      <x:c r="H211" s="2" t="str">
        <x:v>S16-T01</x:v>
      </x:c>
      <x:c r="I211" s="2" t="str">
        <x:v>NA</x:v>
      </x:c>
      <x:c r="J211" s="2" t="str">
        <x:v>RDS</x:v>
      </x:c>
      <x:c r="K211" s="2" t="str">
        <x:v>OpenAI embedding</x:v>
      </x:c>
      <x:c r="L211" s="2" t="str">
        <x:v>NA</x:v>
      </x:c>
      <x:c r="M211" s="2" t="str">
        <x:v>Precision@1</x:v>
      </x:c>
      <x:c r="N211" s="6" t="str">
        <x:v>72.16</x:v>
      </x:c>
      <x:c r="O211" s="2" t="n">
        <x:v>72.16</x:v>
      </x:c>
      <x:c r="P211" s="2" t="str">
        <x:v>%</x:v>
      </x:c>
      <x:c r="Q211" s="6" t="str">
        <x:v>NA</x:v>
      </x:c>
      <x:c r="R211" s="2" t="str">
        <x:v>Unclear</x:v>
      </x:c>
      <x:c r="S211" s="2" t="str">
        <x:v>NR</x:v>
      </x:c>
      <x:c r="T211" s="2" t="str">
        <x:v>Not compared</x:v>
      </x:c>
      <x:c r="U211" s="2" t="str">
        <x:v>NA</x:v>
      </x:c>
      <x:c r="V211" s="2" t="str">
        <x:v>NR</x:v>
      </x:c>
      <x:c r="W211" s="2" t="str">
        <x:v>NA</x:v>
      </x:c>
      <x:c r="X211" s="2" t="str">
        <x:v>Test time 29.61h</x:v>
      </x:c>
      <x:c r="Y211" s="2" t="str">
        <x:v>NR</x:v>
      </x:c>
      <x:c r="Z211" s="2" t="str">
        <x:v>No</x:v>
      </x:c>
      <x:c r="AA211" s="6" t="str">
        <x:v>p. 9; Table 6</x:v>
      </x:c>
      <x:c r="AB211" s="6" t="str">
        <x:v>MiniLM MPNet OpenAI P@1 (Hit@1) 64.03 61.22 72.16</x:v>
      </x:c>
      <x:c r="AC211" s="6" t="str">
        <x:v>使用OpenAI嵌入的Precision@1为72.16%，但耗时最长。</x:v>
      </x:c>
      <x:c r="AD211" s="2" t="str">
        <x:v>Accepted</x:v>
      </x:c>
      <x:c r="AE211" s="6" t="str">
        <x:v>Higher performance but computationally expensive.</x:v>
      </x:c>
    </x:row>
    <x:row r="212" ht="76" customHeight="1">
      <x:c r="A212" s="2" t="str">
        <x:v>S17-RESULT-R01</x:v>
      </x:c>
      <x:c r="B212" s="2" t="str">
        <x:v>S17</x:v>
      </x:c>
      <x:c r="C212" s="2" t="str">
        <x:v>merged_1148-v1</x:v>
      </x:c>
      <x:c r="D212" s="2" t="str">
        <x:v>Reviewer_A</x:v>
      </x:c>
      <x:c r="E212" s="2" t="str">
        <x:v>Reviewer_A</x:v>
      </x:c>
      <x:c r="F212" s="2" t="str">
        <x:v>S17-R01</x:v>
      </x:c>
      <x:c r="G212" s="2" t="str">
        <x:v>S17-EV01</x:v>
      </x:c>
      <x:c r="H212" s="2" t="str">
        <x:v>S17-T01</x:v>
      </x:c>
      <x:c r="I212" s="2" t="str">
        <x:v>S17-MU01</x:v>
      </x:c>
      <x:c r="J212" s="2" t="str">
        <x:v>Auto-hold module from Chapter 2 of STPA Handbook</x:v>
      </x:c>
      <x:c r="K212" s="2" t="str">
        <x:v>few-shot prompting with control structure image</x:v>
      </x:c>
      <x:c r="L212" s="2" t="str">
        <x:v>No</x:v>
      </x:c>
      <x:c r="M212" s="2" t="str">
        <x:v>Correct and Useful percentage</x:v>
      </x:c>
      <x:c r="N212" s="6" t="str">
        <x:v>78%</x:v>
      </x:c>
      <x:c r="O212" s="2" t="n">
        <x:v>78</x:v>
      </x:c>
      <x:c r="P212" s="2" t="str">
        <x:v>%</x:v>
      </x:c>
      <x:c r="Q212" s="6" t="str">
        <x:v>NA</x:v>
      </x:c>
      <x:c r="R212" s="2" t="str">
        <x:v>Unclear</x:v>
      </x:c>
      <x:c r="S212" s="2" t="str">
        <x:v>NR</x:v>
      </x:c>
      <x:c r="T212" s="2" t="str">
        <x:v>Not compared</x:v>
      </x:c>
      <x:c r="U212" s="2" t="str">
        <x:v>Not tested</x:v>
      </x:c>
      <x:c r="V212" s="2" t="str">
        <x:v>NR</x:v>
      </x:c>
      <x:c r="W212" s="2" t="str">
        <x:v>NR</x:v>
      </x:c>
      <x:c r="X212" s="2" t="str">
        <x:v>NR</x:v>
      </x:c>
      <x:c r="Y212" s="2" t="str">
        <x:v>NR</x:v>
      </x:c>
      <x:c r="Z212" s="2" t="str">
        <x:v>NA</x:v>
      </x:c>
      <x:c r="AA212" s="6" t="str">
        <x:v>p. 7; Section V-A, Table I</x:v>
      </x:c>
      <x:c r="AB212" s="6" t="str">
        <x:v>yielding us an 78% success rate for UCA synthesis.</x:v>
      </x:c>
      <x:c r="AC212" s="6" t="str">
        <x:v>UCA生成任务中78%的输出被专家评定为正确有用，无基线对比。</x:v>
      </x:c>
      <x:c r="AD212" s="2" t="str">
        <x:v>Accepted</x:v>
      </x:c>
      <x:c r="AE212" s="6" t="str">
        <x:v>NR</x:v>
      </x:c>
    </x:row>
    <x:row r="213" ht="76" customHeight="1">
      <x:c r="A213" s="2" t="str">
        <x:v>S17-RESULT-R02</x:v>
      </x:c>
      <x:c r="B213" s="2" t="str">
        <x:v>S17</x:v>
      </x:c>
      <x:c r="C213" s="2" t="str">
        <x:v>merged_1148-v1</x:v>
      </x:c>
      <x:c r="D213" s="2" t="str">
        <x:v>Reviewer_A</x:v>
      </x:c>
      <x:c r="E213" s="2" t="str">
        <x:v>Reviewer_A</x:v>
      </x:c>
      <x:c r="F213" s="2" t="str">
        <x:v>S17-R02</x:v>
      </x:c>
      <x:c r="G213" s="2" t="str">
        <x:v>S17-EV02</x:v>
      </x:c>
      <x:c r="H213" s="2" t="str">
        <x:v>S17-T02</x:v>
      </x:c>
      <x:c r="I213" s="2" t="str">
        <x:v>S17-MU01</x:v>
      </x:c>
      <x:c r="J213" s="2" t="str">
        <x:v>Auto-hold module from Chapter 2 of STPA Handbook</x:v>
      </x:c>
      <x:c r="K213" s="2" t="str">
        <x:v>few-shot prompting with control structure image</x:v>
      </x:c>
      <x:c r="L213" s="2" t="str">
        <x:v>No</x:v>
      </x:c>
      <x:c r="M213" s="2" t="str">
        <x:v>Correct and Useful percentage</x:v>
      </x:c>
      <x:c r="N213" s="6" t="str">
        <x:v>98%</x:v>
      </x:c>
      <x:c r="O213" s="2" t="n">
        <x:v>98</x:v>
      </x:c>
      <x:c r="P213" s="2" t="str">
        <x:v>%</x:v>
      </x:c>
      <x:c r="Q213" s="6" t="str">
        <x:v>NA</x:v>
      </x:c>
      <x:c r="R213" s="2" t="str">
        <x:v>Unclear</x:v>
      </x:c>
      <x:c r="S213" s="2" t="str">
        <x:v>NR</x:v>
      </x:c>
      <x:c r="T213" s="2" t="str">
        <x:v>Not compared</x:v>
      </x:c>
      <x:c r="U213" s="2" t="str">
        <x:v>Not tested</x:v>
      </x:c>
      <x:c r="V213" s="2" t="str">
        <x:v>NR</x:v>
      </x:c>
      <x:c r="W213" s="2" t="str">
        <x:v>NR</x:v>
      </x:c>
      <x:c r="X213" s="2" t="str">
        <x:v>NR</x:v>
      </x:c>
      <x:c r="Y213" s="2" t="str">
        <x:v>NR</x:v>
      </x:c>
      <x:c r="Z213" s="2" t="str">
        <x:v>NA</x:v>
      </x:c>
      <x:c r="AA213" s="6" t="str">
        <x:v>p. 7; Section V-A, Table I</x:v>
      </x:c>
      <x:c r="AB213" s="6" t="str">
        <x:v>This gave us a 98% success rate for loss scenario synthesis.</x:v>
      </x:c>
      <x:c r="AC213" s="6" t="str">
        <x:v>损失场景生成任务中98%的输出被专家评定为正确有用，表现优於UCA生成。</x:v>
      </x:c>
      <x:c r="AD213" s="2" t="str">
        <x:v>Accepted</x:v>
      </x:c>
      <x:c r="AE213" s="6" t="str">
        <x:v>NR</x:v>
      </x:c>
    </x:row>
    <x:row r="214" ht="76" customHeight="1">
      <x:c r="A214" s="2" t="str">
        <x:v>S17-RESULT-R03</x:v>
      </x:c>
      <x:c r="B214" s="2" t="str">
        <x:v>S17</x:v>
      </x:c>
      <x:c r="C214" s="2" t="str">
        <x:v>merged_1148-v1</x:v>
      </x:c>
      <x:c r="D214" s="2" t="str">
        <x:v>Reviewer_A</x:v>
      </x:c>
      <x:c r="E214" s="2" t="str">
        <x:v>Reviewer_A</x:v>
      </x:c>
      <x:c r="F214" s="2" t="str">
        <x:v>S17-R03</x:v>
      </x:c>
      <x:c r="G214" s="2" t="str">
        <x:v>S17-EV03</x:v>
      </x:c>
      <x:c r="H214" s="2" t="str">
        <x:v>S17-T03</x:v>
      </x:c>
      <x:c r="I214" s="2" t="str">
        <x:v>NA</x:v>
      </x:c>
      <x:c r="J214" s="2" t="str">
        <x:v>Five systems from Appendix A of STPA Handbook</x:v>
      </x:c>
      <x:c r="K214" s="2" t="str">
        <x:v>linkage checking prompt</x:v>
      </x:c>
      <x:c r="L214" s="2" t="str">
        <x:v>No</x:v>
      </x:c>
      <x:c r="M214" s="2" t="str">
        <x:v>Accuracy</x:v>
      </x:c>
      <x:c r="N214" s="6" t="str">
        <x:v>81.3%</x:v>
      </x:c>
      <x:c r="O214" s="2" t="n">
        <x:v>81.3</x:v>
      </x:c>
      <x:c r="P214" s="2" t="str">
        <x:v>%</x:v>
      </x:c>
      <x:c r="Q214" s="6" t="str">
        <x:v>NA</x:v>
      </x:c>
      <x:c r="R214" s="2" t="str">
        <x:v>Unclear</x:v>
      </x:c>
      <x:c r="S214" s="2" t="str">
        <x:v>NR</x:v>
      </x:c>
      <x:c r="T214" s="2" t="str">
        <x:v>Not compared</x:v>
      </x:c>
      <x:c r="U214" s="2" t="str">
        <x:v>Not tested</x:v>
      </x:c>
      <x:c r="V214" s="2" t="str">
        <x:v>NR</x:v>
      </x:c>
      <x:c r="W214" s="2" t="str">
        <x:v>NR</x:v>
      </x:c>
      <x:c r="X214" s="2" t="str">
        <x:v>NR</x:v>
      </x:c>
      <x:c r="Y214" s="2" t="str">
        <x:v>NR</x:v>
      </x:c>
      <x:c r="Z214" s="2" t="str">
        <x:v>NA</x:v>
      </x:c>
      <x:c r="AA214" s="6" t="str">
        <x:v>p. 9; Table II</x:v>
      </x:c>
      <x:c r="AB214" s="6" t="str">
        <x:v>Nuclear Power Plant 16 81.3 78.6 100.0 88.0</x:v>
      </x:c>
      <x:c r="AC214" s="6" t="str">
        <x:v>核电站系统链接推荐准确率81.3%。</x:v>
      </x:c>
      <x:c r="AD214" s="2" t="str">
        <x:v>Accepted</x:v>
      </x:c>
      <x:c r="AE214" s="6" t="str">
        <x:v>System: Nuclear Power Plant</x:v>
      </x:c>
    </x:row>
    <x:row r="215" ht="76" customHeight="1">
      <x:c r="A215" s="2" t="str">
        <x:v>S17-RESULT-R04</x:v>
      </x:c>
      <x:c r="B215" s="2" t="str">
        <x:v>S17</x:v>
      </x:c>
      <x:c r="C215" s="2" t="str">
        <x:v>merged_1148-v1</x:v>
      </x:c>
      <x:c r="D215" s="2" t="str">
        <x:v>Reviewer_A</x:v>
      </x:c>
      <x:c r="E215" s="2" t="str">
        <x:v>Reviewer_A</x:v>
      </x:c>
      <x:c r="F215" s="2" t="str">
        <x:v>S17-R04</x:v>
      </x:c>
      <x:c r="G215" s="2" t="str">
        <x:v>S17-EV03</x:v>
      </x:c>
      <x:c r="H215" s="2" t="str">
        <x:v>S17-T03</x:v>
      </x:c>
      <x:c r="I215" s="2" t="str">
        <x:v>NA</x:v>
      </x:c>
      <x:c r="J215" s="2" t="str">
        <x:v>Five systems from Appendix A of STPA Handbook</x:v>
      </x:c>
      <x:c r="K215" s="2" t="str">
        <x:v>linkage checking prompt</x:v>
      </x:c>
      <x:c r="L215" s="2" t="str">
        <x:v>No</x:v>
      </x:c>
      <x:c r="M215" s="2" t="str">
        <x:v>Precision</x:v>
      </x:c>
      <x:c r="N215" s="6" t="str">
        <x:v>78.6%</x:v>
      </x:c>
      <x:c r="O215" s="2" t="n">
        <x:v>78.6</x:v>
      </x:c>
      <x:c r="P215" s="2" t="str">
        <x:v>%</x:v>
      </x:c>
      <x:c r="Q215" s="6" t="str">
        <x:v>NA</x:v>
      </x:c>
      <x:c r="R215" s="2" t="str">
        <x:v>Unclear</x:v>
      </x:c>
      <x:c r="S215" s="2" t="str">
        <x:v>NR</x:v>
      </x:c>
      <x:c r="T215" s="2" t="str">
        <x:v>Not compared</x:v>
      </x:c>
      <x:c r="U215" s="2" t="str">
        <x:v>Not tested</x:v>
      </x:c>
      <x:c r="V215" s="2" t="str">
        <x:v>NR</x:v>
      </x:c>
      <x:c r="W215" s="2" t="str">
        <x:v>NR</x:v>
      </x:c>
      <x:c r="X215" s="2" t="str">
        <x:v>NR</x:v>
      </x:c>
      <x:c r="Y215" s="2" t="str">
        <x:v>NR</x:v>
      </x:c>
      <x:c r="Z215" s="2" t="str">
        <x:v>NA</x:v>
      </x:c>
      <x:c r="AA215" s="6" t="str">
        <x:v>p. 9; Table II</x:v>
      </x:c>
      <x:c r="AB215" s="6" t="str">
        <x:v>Nuclear Power Plant 16 81.3 78.6 100.0 88.0</x:v>
      </x:c>
      <x:c r="AC215" s="6" t="str">
        <x:v>核电站系统链接推荐精确率78.6%。</x:v>
      </x:c>
      <x:c r="AD215" s="2" t="str">
        <x:v>Accepted</x:v>
      </x:c>
      <x:c r="AE215" s="6" t="str">
        <x:v>System: Nuclear Power Plant</x:v>
      </x:c>
    </x:row>
    <x:row r="216" ht="76" customHeight="1">
      <x:c r="A216" s="2" t="str">
        <x:v>S17-RESULT-R05</x:v>
      </x:c>
      <x:c r="B216" s="2" t="str">
        <x:v>S17</x:v>
      </x:c>
      <x:c r="C216" s="2" t="str">
        <x:v>merged_1148-v1</x:v>
      </x:c>
      <x:c r="D216" s="2" t="str">
        <x:v>Reviewer_A</x:v>
      </x:c>
      <x:c r="E216" s="2" t="str">
        <x:v>Reviewer_A</x:v>
      </x:c>
      <x:c r="F216" s="2" t="str">
        <x:v>S17-R05</x:v>
      </x:c>
      <x:c r="G216" s="2" t="str">
        <x:v>S17-EV03</x:v>
      </x:c>
      <x:c r="H216" s="2" t="str">
        <x:v>S17-T03</x:v>
      </x:c>
      <x:c r="I216" s="2" t="str">
        <x:v>NA</x:v>
      </x:c>
      <x:c r="J216" s="2" t="str">
        <x:v>Five systems from Appendix A of STPA Handbook</x:v>
      </x:c>
      <x:c r="K216" s="2" t="str">
        <x:v>linkage checking prompt</x:v>
      </x:c>
      <x:c r="L216" s="2" t="str">
        <x:v>No</x:v>
      </x:c>
      <x:c r="M216" s="2" t="str">
        <x:v>Recall</x:v>
      </x:c>
      <x:c r="N216" s="6" t="str">
        <x:v>100.0%</x:v>
      </x:c>
      <x:c r="O216" s="2" t="n">
        <x:v>100</x:v>
      </x:c>
      <x:c r="P216" s="2" t="str">
        <x:v>%</x:v>
      </x:c>
      <x:c r="Q216" s="6" t="str">
        <x:v>NA</x:v>
      </x:c>
      <x:c r="R216" s="2" t="str">
        <x:v>Unclear</x:v>
      </x:c>
      <x:c r="S216" s="2" t="str">
        <x:v>NR</x:v>
      </x:c>
      <x:c r="T216" s="2" t="str">
        <x:v>Not compared</x:v>
      </x:c>
      <x:c r="U216" s="2" t="str">
        <x:v>Not tested</x:v>
      </x:c>
      <x:c r="V216" s="2" t="str">
        <x:v>NR</x:v>
      </x:c>
      <x:c r="W216" s="2" t="str">
        <x:v>NR</x:v>
      </x:c>
      <x:c r="X216" s="2" t="str">
        <x:v>NR</x:v>
      </x:c>
      <x:c r="Y216" s="2" t="str">
        <x:v>NR</x:v>
      </x:c>
      <x:c r="Z216" s="2" t="str">
        <x:v>NA</x:v>
      </x:c>
      <x:c r="AA216" s="6" t="str">
        <x:v>p. 9; Table II</x:v>
      </x:c>
      <x:c r="AB216" s="6" t="str">
        <x:v>Nuclear Power Plant 16 81.3 78.6 100.0 88.0</x:v>
      </x:c>
      <x:c r="AC216" s="6" t="str">
        <x:v>核电站系统链接推荐召回率100.0%。</x:v>
      </x:c>
      <x:c r="AD216" s="2" t="str">
        <x:v>Accepted</x:v>
      </x:c>
      <x:c r="AE216" s="6" t="str">
        <x:v>System: Nuclear Power Plant</x:v>
      </x:c>
    </x:row>
    <x:row r="217" ht="76" customHeight="1">
      <x:c r="A217" s="2" t="str">
        <x:v>S17-RESULT-R06</x:v>
      </x:c>
      <x:c r="B217" s="2" t="str">
        <x:v>S17</x:v>
      </x:c>
      <x:c r="C217" s="2" t="str">
        <x:v>merged_1148-v1</x:v>
      </x:c>
      <x:c r="D217" s="2" t="str">
        <x:v>Reviewer_A</x:v>
      </x:c>
      <x:c r="E217" s="2" t="str">
        <x:v>Reviewer_A</x:v>
      </x:c>
      <x:c r="F217" s="2" t="str">
        <x:v>S17-R06</x:v>
      </x:c>
      <x:c r="G217" s="2" t="str">
        <x:v>S17-EV03</x:v>
      </x:c>
      <x:c r="H217" s="2" t="str">
        <x:v>S17-T03</x:v>
      </x:c>
      <x:c r="I217" s="2" t="str">
        <x:v>NA</x:v>
      </x:c>
      <x:c r="J217" s="2" t="str">
        <x:v>Five systems from Appendix A of STPA Handbook</x:v>
      </x:c>
      <x:c r="K217" s="2" t="str">
        <x:v>linkage checking prompt</x:v>
      </x:c>
      <x:c r="L217" s="2" t="str">
        <x:v>No</x:v>
      </x:c>
      <x:c r="M217" s="2" t="str">
        <x:v>F-1 Score</x:v>
      </x:c>
      <x:c r="N217" s="6" t="str">
        <x:v>88.0%</x:v>
      </x:c>
      <x:c r="O217" s="2" t="n">
        <x:v>88</x:v>
      </x:c>
      <x:c r="P217" s="2" t="str">
        <x:v>%</x:v>
      </x:c>
      <x:c r="Q217" s="6" t="str">
        <x:v>NA</x:v>
      </x:c>
      <x:c r="R217" s="2" t="str">
        <x:v>Unclear</x:v>
      </x:c>
      <x:c r="S217" s="2" t="str">
        <x:v>NR</x:v>
      </x:c>
      <x:c r="T217" s="2" t="str">
        <x:v>Not compared</x:v>
      </x:c>
      <x:c r="U217" s="2" t="str">
        <x:v>Not tested</x:v>
      </x:c>
      <x:c r="V217" s="2" t="str">
        <x:v>NR</x:v>
      </x:c>
      <x:c r="W217" s="2" t="str">
        <x:v>NR</x:v>
      </x:c>
      <x:c r="X217" s="2" t="str">
        <x:v>NR</x:v>
      </x:c>
      <x:c r="Y217" s="2" t="str">
        <x:v>NR</x:v>
      </x:c>
      <x:c r="Z217" s="2" t="str">
        <x:v>NA</x:v>
      </x:c>
      <x:c r="AA217" s="6" t="str">
        <x:v>p. 9; Table II</x:v>
      </x:c>
      <x:c r="AB217" s="6" t="str">
        <x:v>Nuclear Power Plant 16 81.3 78.6 100.0 88.0</x:v>
      </x:c>
      <x:c r="AC217" s="6" t="str">
        <x:v>核电站系统链接推荐F1值88.0%。</x:v>
      </x:c>
      <x:c r="AD217" s="2" t="str">
        <x:v>Accepted</x:v>
      </x:c>
      <x:c r="AE217" s="6" t="str">
        <x:v>System: Nuclear Power Plant</x:v>
      </x:c>
    </x:row>
    <x:row r="218" ht="76" customHeight="1">
      <x:c r="A218" s="2" t="str">
        <x:v>S17-RESULT-R07</x:v>
      </x:c>
      <x:c r="B218" s="2" t="str">
        <x:v>S17</x:v>
      </x:c>
      <x:c r="C218" s="2" t="str">
        <x:v>merged_1148-v1</x:v>
      </x:c>
      <x:c r="D218" s="2" t="str">
        <x:v>Reviewer_A</x:v>
      </x:c>
      <x:c r="E218" s="2" t="str">
        <x:v>Reviewer_A</x:v>
      </x:c>
      <x:c r="F218" s="2" t="str">
        <x:v>S17-R07</x:v>
      </x:c>
      <x:c r="G218" s="2" t="str">
        <x:v>S17-EV03</x:v>
      </x:c>
      <x:c r="H218" s="2" t="str">
        <x:v>S17-T03</x:v>
      </x:c>
      <x:c r="I218" s="2" t="str">
        <x:v>NA</x:v>
      </x:c>
      <x:c r="J218" s="2" t="str">
        <x:v>Five systems from Appendix A of STPA Handbook</x:v>
      </x:c>
      <x:c r="K218" s="2" t="str">
        <x:v>linkage checking prompt</x:v>
      </x:c>
      <x:c r="L218" s="2" t="str">
        <x:v>No</x:v>
      </x:c>
      <x:c r="M218" s="2" t="str">
        <x:v>Accuracy</x:v>
      </x:c>
      <x:c r="N218" s="6" t="str">
        <x:v>100.0%</x:v>
      </x:c>
      <x:c r="O218" s="2" t="n">
        <x:v>100</x:v>
      </x:c>
      <x:c r="P218" s="2" t="str">
        <x:v>%</x:v>
      </x:c>
      <x:c r="Q218" s="6" t="str">
        <x:v>NA</x:v>
      </x:c>
      <x:c r="R218" s="2" t="str">
        <x:v>Unclear</x:v>
      </x:c>
      <x:c r="S218" s="2" t="str">
        <x:v>NR</x:v>
      </x:c>
      <x:c r="T218" s="2" t="str">
        <x:v>Not compared</x:v>
      </x:c>
      <x:c r="U218" s="2" t="str">
        <x:v>Not tested</x:v>
      </x:c>
      <x:c r="V218" s="2" t="str">
        <x:v>NR</x:v>
      </x:c>
      <x:c r="W218" s="2" t="str">
        <x:v>NR</x:v>
      </x:c>
      <x:c r="X218" s="2" t="str">
        <x:v>NR</x:v>
      </x:c>
      <x:c r="Y218" s="2" t="str">
        <x:v>NR</x:v>
      </x:c>
      <x:c r="Z218" s="2" t="str">
        <x:v>NA</x:v>
      </x:c>
      <x:c r="AA218" s="6" t="str">
        <x:v>p. 9; Table II</x:v>
      </x:c>
      <x:c r="AB218" s="6" t="str">
        <x:v>Aircraft 14 100.0 100.0 100.0 100.0</x:v>
      </x:c>
      <x:c r="AC218" s="6" t="str">
        <x:v>航空系统链接推荐准确率100.0%。</x:v>
      </x:c>
      <x:c r="AD218" s="2" t="str">
        <x:v>Accepted</x:v>
      </x:c>
      <x:c r="AE218" s="6" t="str">
        <x:v>System: Aircraft</x:v>
      </x:c>
    </x:row>
    <x:row r="219" ht="76" customHeight="1">
      <x:c r="A219" s="2" t="str">
        <x:v>S17-RESULT-R08</x:v>
      </x:c>
      <x:c r="B219" s="2" t="str">
        <x:v>S17</x:v>
      </x:c>
      <x:c r="C219" s="2" t="str">
        <x:v>merged_1148-v1</x:v>
      </x:c>
      <x:c r="D219" s="2" t="str">
        <x:v>Reviewer_A</x:v>
      </x:c>
      <x:c r="E219" s="2" t="str">
        <x:v>Reviewer_A</x:v>
      </x:c>
      <x:c r="F219" s="2" t="str">
        <x:v>S17-R08</x:v>
      </x:c>
      <x:c r="G219" s="2" t="str">
        <x:v>S17-EV03</x:v>
      </x:c>
      <x:c r="H219" s="2" t="str">
        <x:v>S17-T03</x:v>
      </x:c>
      <x:c r="I219" s="2" t="str">
        <x:v>NA</x:v>
      </x:c>
      <x:c r="J219" s="2" t="str">
        <x:v>Five systems from Appendix A of STPA Handbook</x:v>
      </x:c>
      <x:c r="K219" s="2" t="str">
        <x:v>linkage checking prompt</x:v>
      </x:c>
      <x:c r="L219" s="2" t="str">
        <x:v>No</x:v>
      </x:c>
      <x:c r="M219" s="2" t="str">
        <x:v>Precision</x:v>
      </x:c>
      <x:c r="N219" s="6" t="str">
        <x:v>100.0%</x:v>
      </x:c>
      <x:c r="O219" s="2" t="n">
        <x:v>100</x:v>
      </x:c>
      <x:c r="P219" s="2" t="str">
        <x:v>%</x:v>
      </x:c>
      <x:c r="Q219" s="6" t="str">
        <x:v>NA</x:v>
      </x:c>
      <x:c r="R219" s="2" t="str">
        <x:v>Unclear</x:v>
      </x:c>
      <x:c r="S219" s="2" t="str">
        <x:v>NR</x:v>
      </x:c>
      <x:c r="T219" s="2" t="str">
        <x:v>Not compared</x:v>
      </x:c>
      <x:c r="U219" s="2" t="str">
        <x:v>Not tested</x:v>
      </x:c>
      <x:c r="V219" s="2" t="str">
        <x:v>NR</x:v>
      </x:c>
      <x:c r="W219" s="2" t="str">
        <x:v>NR</x:v>
      </x:c>
      <x:c r="X219" s="2" t="str">
        <x:v>NR</x:v>
      </x:c>
      <x:c r="Y219" s="2" t="str">
        <x:v>NR</x:v>
      </x:c>
      <x:c r="Z219" s="2" t="str">
        <x:v>NA</x:v>
      </x:c>
      <x:c r="AA219" s="6" t="str">
        <x:v>p. 9; Table II</x:v>
      </x:c>
      <x:c r="AB219" s="6" t="str">
        <x:v>Aircraft 14 100.0 100.0 100.0 100.0</x:v>
      </x:c>
      <x:c r="AC219" s="6" t="str">
        <x:v>航空系统链接推荐精确率100.0%。</x:v>
      </x:c>
      <x:c r="AD219" s="2" t="str">
        <x:v>Accepted</x:v>
      </x:c>
      <x:c r="AE219" s="6" t="str">
        <x:v>System: Aircraft</x:v>
      </x:c>
    </x:row>
    <x:row r="220" ht="76" customHeight="1">
      <x:c r="A220" s="2" t="str">
        <x:v>S17-RESULT-R09</x:v>
      </x:c>
      <x:c r="B220" s="2" t="str">
        <x:v>S17</x:v>
      </x:c>
      <x:c r="C220" s="2" t="str">
        <x:v>merged_1148-v1</x:v>
      </x:c>
      <x:c r="D220" s="2" t="str">
        <x:v>Reviewer_A</x:v>
      </x:c>
      <x:c r="E220" s="2" t="str">
        <x:v>Reviewer_A</x:v>
      </x:c>
      <x:c r="F220" s="2" t="str">
        <x:v>S17-R09</x:v>
      </x:c>
      <x:c r="G220" s="2" t="str">
        <x:v>S17-EV03</x:v>
      </x:c>
      <x:c r="H220" s="2" t="str">
        <x:v>S17-T03</x:v>
      </x:c>
      <x:c r="I220" s="2" t="str">
        <x:v>NA</x:v>
      </x:c>
      <x:c r="J220" s="2" t="str">
        <x:v>Five systems from Appendix A of STPA Handbook</x:v>
      </x:c>
      <x:c r="K220" s="2" t="str">
        <x:v>linkage checking prompt</x:v>
      </x:c>
      <x:c r="L220" s="2" t="str">
        <x:v>No</x:v>
      </x:c>
      <x:c r="M220" s="2" t="str">
        <x:v>Recall</x:v>
      </x:c>
      <x:c r="N220" s="6" t="str">
        <x:v>100.0%</x:v>
      </x:c>
      <x:c r="O220" s="2" t="n">
        <x:v>100</x:v>
      </x:c>
      <x:c r="P220" s="2" t="str">
        <x:v>%</x:v>
      </x:c>
      <x:c r="Q220" s="6" t="str">
        <x:v>NA</x:v>
      </x:c>
      <x:c r="R220" s="2" t="str">
        <x:v>Unclear</x:v>
      </x:c>
      <x:c r="S220" s="2" t="str">
        <x:v>NR</x:v>
      </x:c>
      <x:c r="T220" s="2" t="str">
        <x:v>Not compared</x:v>
      </x:c>
      <x:c r="U220" s="2" t="str">
        <x:v>Not tested</x:v>
      </x:c>
      <x:c r="V220" s="2" t="str">
        <x:v>NR</x:v>
      </x:c>
      <x:c r="W220" s="2" t="str">
        <x:v>NR</x:v>
      </x:c>
      <x:c r="X220" s="2" t="str">
        <x:v>NR</x:v>
      </x:c>
      <x:c r="Y220" s="2" t="str">
        <x:v>NR</x:v>
      </x:c>
      <x:c r="Z220" s="2" t="str">
        <x:v>NA</x:v>
      </x:c>
      <x:c r="AA220" s="6" t="str">
        <x:v>p. 9; Table II</x:v>
      </x:c>
      <x:c r="AB220" s="6" t="str">
        <x:v>Aircraft 14 100.0 100.0 100.0 100.0</x:v>
      </x:c>
      <x:c r="AC220" s="6" t="str">
        <x:v>航空系统链接推荐召回率100.0%。</x:v>
      </x:c>
      <x:c r="AD220" s="2" t="str">
        <x:v>Accepted</x:v>
      </x:c>
      <x:c r="AE220" s="6" t="str">
        <x:v>System: Aircraft</x:v>
      </x:c>
    </x:row>
    <x:row r="221" ht="76" customHeight="1">
      <x:c r="A221" s="2" t="str">
        <x:v>S17-RESULT-R10</x:v>
      </x:c>
      <x:c r="B221" s="2" t="str">
        <x:v>S17</x:v>
      </x:c>
      <x:c r="C221" s="2" t="str">
        <x:v>merged_1148-v1</x:v>
      </x:c>
      <x:c r="D221" s="2" t="str">
        <x:v>Reviewer_A</x:v>
      </x:c>
      <x:c r="E221" s="2" t="str">
        <x:v>Reviewer_A</x:v>
      </x:c>
      <x:c r="F221" s="2" t="str">
        <x:v>S17-R10</x:v>
      </x:c>
      <x:c r="G221" s="2" t="str">
        <x:v>S17-EV03</x:v>
      </x:c>
      <x:c r="H221" s="2" t="str">
        <x:v>S17-T03</x:v>
      </x:c>
      <x:c r="I221" s="2" t="str">
        <x:v>NA</x:v>
      </x:c>
      <x:c r="J221" s="2" t="str">
        <x:v>Five systems from Appendix A of STPA Handbook</x:v>
      </x:c>
      <x:c r="K221" s="2" t="str">
        <x:v>linkage checking prompt</x:v>
      </x:c>
      <x:c r="L221" s="2" t="str">
        <x:v>No</x:v>
      </x:c>
      <x:c r="M221" s="2" t="str">
        <x:v>F-1 Score</x:v>
      </x:c>
      <x:c r="N221" s="6" t="str">
        <x:v>100.0%</x:v>
      </x:c>
      <x:c r="O221" s="2" t="n">
        <x:v>100</x:v>
      </x:c>
      <x:c r="P221" s="2" t="str">
        <x:v>%</x:v>
      </x:c>
      <x:c r="Q221" s="6" t="str">
        <x:v>NA</x:v>
      </x:c>
      <x:c r="R221" s="2" t="str">
        <x:v>Unclear</x:v>
      </x:c>
      <x:c r="S221" s="2" t="str">
        <x:v>NR</x:v>
      </x:c>
      <x:c r="T221" s="2" t="str">
        <x:v>Not compared</x:v>
      </x:c>
      <x:c r="U221" s="2" t="str">
        <x:v>Not tested</x:v>
      </x:c>
      <x:c r="V221" s="2" t="str">
        <x:v>NR</x:v>
      </x:c>
      <x:c r="W221" s="2" t="str">
        <x:v>NR</x:v>
      </x:c>
      <x:c r="X221" s="2" t="str">
        <x:v>NR</x:v>
      </x:c>
      <x:c r="Y221" s="2" t="str">
        <x:v>NR</x:v>
      </x:c>
      <x:c r="Z221" s="2" t="str">
        <x:v>NA</x:v>
      </x:c>
      <x:c r="AA221" s="6" t="str">
        <x:v>p. 9; Table II</x:v>
      </x:c>
      <x:c r="AB221" s="6" t="str">
        <x:v>Aircraft 14 100.0 100.0 100.0 100.0</x:v>
      </x:c>
      <x:c r="AC221" s="6" t="str">
        <x:v>航空系统链接推荐F1值100.0%。</x:v>
      </x:c>
      <x:c r="AD221" s="2" t="str">
        <x:v>Accepted</x:v>
      </x:c>
      <x:c r="AE221" s="6" t="str">
        <x:v>System: Aircraft</x:v>
      </x:c>
    </x:row>
    <x:row r="222" ht="76" customHeight="1">
      <x:c r="A222" s="2" t="str">
        <x:v>S17-RESULT-R11</x:v>
      </x:c>
      <x:c r="B222" s="2" t="str">
        <x:v>S17</x:v>
      </x:c>
      <x:c r="C222" s="2" t="str">
        <x:v>merged_1148-v1</x:v>
      </x:c>
      <x:c r="D222" s="2" t="str">
        <x:v>Reviewer_A</x:v>
      </x:c>
      <x:c r="E222" s="2" t="str">
        <x:v>Reviewer_A</x:v>
      </x:c>
      <x:c r="F222" s="2" t="str">
        <x:v>S17-R11</x:v>
      </x:c>
      <x:c r="G222" s="2" t="str">
        <x:v>S17-EV03</x:v>
      </x:c>
      <x:c r="H222" s="2" t="str">
        <x:v>S17-T03</x:v>
      </x:c>
      <x:c r="I222" s="2" t="str">
        <x:v>NA</x:v>
      </x:c>
      <x:c r="J222" s="2" t="str">
        <x:v>Five systems from Appendix A of STPA Handbook</x:v>
      </x:c>
      <x:c r="K222" s="2" t="str">
        <x:v>linkage checking prompt</x:v>
      </x:c>
      <x:c r="L222" s="2" t="str">
        <x:v>No</x:v>
      </x:c>
      <x:c r="M222" s="2" t="str">
        <x:v>Accuracy</x:v>
      </x:c>
      <x:c r="N222" s="6" t="str">
        <x:v>75.0%</x:v>
      </x:c>
      <x:c r="O222" s="2" t="n">
        <x:v>75</x:v>
      </x:c>
      <x:c r="P222" s="2" t="str">
        <x:v>%</x:v>
      </x:c>
      <x:c r="Q222" s="6" t="str">
        <x:v>NA</x:v>
      </x:c>
      <x:c r="R222" s="2" t="str">
        <x:v>Unclear</x:v>
      </x:c>
      <x:c r="S222" s="2" t="str">
        <x:v>NR</x:v>
      </x:c>
      <x:c r="T222" s="2" t="str">
        <x:v>Not compared</x:v>
      </x:c>
      <x:c r="U222" s="2" t="str">
        <x:v>Not tested</x:v>
      </x:c>
      <x:c r="V222" s="2" t="str">
        <x:v>NR</x:v>
      </x:c>
      <x:c r="W222" s="2" t="str">
        <x:v>NR</x:v>
      </x:c>
      <x:c r="X222" s="2" t="str">
        <x:v>NR</x:v>
      </x:c>
      <x:c r="Y222" s="2" t="str">
        <x:v>NR</x:v>
      </x:c>
      <x:c r="Z222" s="2" t="str">
        <x:v>NA</x:v>
      </x:c>
      <x:c r="AA222" s="6" t="str">
        <x:v>p. 9; Table II</x:v>
      </x:c>
      <x:c r="AB222" s="6" t="str">
        <x:v>Radiation Therapy 16 75.0 50.0 100.0 66.7</x:v>
      </x:c>
      <x:c r="AC222" s="6" t="str">
        <x:v>放射治疗系统链接推荐准确率75.0%，相对较低。</x:v>
      </x:c>
      <x:c r="AD222" s="2" t="str">
        <x:v>Accepted</x:v>
      </x:c>
      <x:c r="AE222" s="6" t="str">
        <x:v>System: Radiation Therapy</x:v>
      </x:c>
    </x:row>
    <x:row r="223" ht="76" customHeight="1">
      <x:c r="A223" s="2" t="str">
        <x:v>S17-RESULT-R12</x:v>
      </x:c>
      <x:c r="B223" s="2" t="str">
        <x:v>S17</x:v>
      </x:c>
      <x:c r="C223" s="2" t="str">
        <x:v>merged_1148-v1</x:v>
      </x:c>
      <x:c r="D223" s="2" t="str">
        <x:v>Reviewer_A</x:v>
      </x:c>
      <x:c r="E223" s="2" t="str">
        <x:v>Reviewer_A</x:v>
      </x:c>
      <x:c r="F223" s="2" t="str">
        <x:v>S17-R12</x:v>
      </x:c>
      <x:c r="G223" s="2" t="str">
        <x:v>S17-EV03</x:v>
      </x:c>
      <x:c r="H223" s="2" t="str">
        <x:v>S17-T03</x:v>
      </x:c>
      <x:c r="I223" s="2" t="str">
        <x:v>NA</x:v>
      </x:c>
      <x:c r="J223" s="2" t="str">
        <x:v>Five systems from Appendix A of STPA Handbook</x:v>
      </x:c>
      <x:c r="K223" s="2" t="str">
        <x:v>linkage checking prompt</x:v>
      </x:c>
      <x:c r="L223" s="2" t="str">
        <x:v>No</x:v>
      </x:c>
      <x:c r="M223" s="2" t="str">
        <x:v>Precision</x:v>
      </x:c>
      <x:c r="N223" s="6" t="str">
        <x:v>50.0%</x:v>
      </x:c>
      <x:c r="O223" s="2" t="n">
        <x:v>50</x:v>
      </x:c>
      <x:c r="P223" s="2" t="str">
        <x:v>%</x:v>
      </x:c>
      <x:c r="Q223" s="6" t="str">
        <x:v>NA</x:v>
      </x:c>
      <x:c r="R223" s="2" t="str">
        <x:v>Unclear</x:v>
      </x:c>
      <x:c r="S223" s="2" t="str">
        <x:v>NR</x:v>
      </x:c>
      <x:c r="T223" s="2" t="str">
        <x:v>Not compared</x:v>
      </x:c>
      <x:c r="U223" s="2" t="str">
        <x:v>Not tested</x:v>
      </x:c>
      <x:c r="V223" s="2" t="str">
        <x:v>NR</x:v>
      </x:c>
      <x:c r="W223" s="2" t="str">
        <x:v>NR</x:v>
      </x:c>
      <x:c r="X223" s="2" t="str">
        <x:v>NR</x:v>
      </x:c>
      <x:c r="Y223" s="2" t="str">
        <x:v>NR</x:v>
      </x:c>
      <x:c r="Z223" s="2" t="str">
        <x:v>NA</x:v>
      </x:c>
      <x:c r="AA223" s="6" t="str">
        <x:v>p. 9; Table II</x:v>
      </x:c>
      <x:c r="AB223" s="6" t="str">
        <x:v>Radiation Therapy 16 75.0 50.0 100.0 66.7</x:v>
      </x:c>
      <x:c r="AC223" s="6" t="str">
        <x:v>放射治疗系统链接推荐精确率仅50.0%，假阳性较多。</x:v>
      </x:c>
      <x:c r="AD223" s="2" t="str">
        <x:v>Accepted</x:v>
      </x:c>
      <x:c r="AE223" s="6" t="str">
        <x:v>System: Radiation Therapy</x:v>
      </x:c>
    </x:row>
    <x:row r="224" ht="76" customHeight="1">
      <x:c r="A224" s="2" t="str">
        <x:v>S17-RESULT-R13</x:v>
      </x:c>
      <x:c r="B224" s="2" t="str">
        <x:v>S17</x:v>
      </x:c>
      <x:c r="C224" s="2" t="str">
        <x:v>merged_1148-v1</x:v>
      </x:c>
      <x:c r="D224" s="2" t="str">
        <x:v>Reviewer_A</x:v>
      </x:c>
      <x:c r="E224" s="2" t="str">
        <x:v>Reviewer_A</x:v>
      </x:c>
      <x:c r="F224" s="2" t="str">
        <x:v>S17-R13</x:v>
      </x:c>
      <x:c r="G224" s="2" t="str">
        <x:v>S17-EV03</x:v>
      </x:c>
      <x:c r="H224" s="2" t="str">
        <x:v>S17-T03</x:v>
      </x:c>
      <x:c r="I224" s="2" t="str">
        <x:v>NA</x:v>
      </x:c>
      <x:c r="J224" s="2" t="str">
        <x:v>Five systems from Appendix A of STPA Handbook</x:v>
      </x:c>
      <x:c r="K224" s="2" t="str">
        <x:v>linkage checking prompt</x:v>
      </x:c>
      <x:c r="L224" s="2" t="str">
        <x:v>No</x:v>
      </x:c>
      <x:c r="M224" s="2" t="str">
        <x:v>Recall</x:v>
      </x:c>
      <x:c r="N224" s="6" t="str">
        <x:v>100.0%</x:v>
      </x:c>
      <x:c r="O224" s="2" t="n">
        <x:v>100</x:v>
      </x:c>
      <x:c r="P224" s="2" t="str">
        <x:v>%</x:v>
      </x:c>
      <x:c r="Q224" s="6" t="str">
        <x:v>NA</x:v>
      </x:c>
      <x:c r="R224" s="2" t="str">
        <x:v>Unclear</x:v>
      </x:c>
      <x:c r="S224" s="2" t="str">
        <x:v>NR</x:v>
      </x:c>
      <x:c r="T224" s="2" t="str">
        <x:v>Not compared</x:v>
      </x:c>
      <x:c r="U224" s="2" t="str">
        <x:v>Not tested</x:v>
      </x:c>
      <x:c r="V224" s="2" t="str">
        <x:v>NR</x:v>
      </x:c>
      <x:c r="W224" s="2" t="str">
        <x:v>NR</x:v>
      </x:c>
      <x:c r="X224" s="2" t="str">
        <x:v>NR</x:v>
      </x:c>
      <x:c r="Y224" s="2" t="str">
        <x:v>NR</x:v>
      </x:c>
      <x:c r="Z224" s="2" t="str">
        <x:v>NA</x:v>
      </x:c>
      <x:c r="AA224" s="6" t="str">
        <x:v>p. 9; Table II</x:v>
      </x:c>
      <x:c r="AB224" s="6" t="str">
        <x:v>Radiation Therapy 16 75.0 50.0 100.0 66.7</x:v>
      </x:c>
      <x:c r="AC224" s="6" t="str">
        <x:v>放射治疗系统链接推荐召回率100.0%，无漏检。</x:v>
      </x:c>
      <x:c r="AD224" s="2" t="str">
        <x:v>Accepted</x:v>
      </x:c>
      <x:c r="AE224" s="6" t="str">
        <x:v>System: Radiation Therapy</x:v>
      </x:c>
    </x:row>
    <x:row r="225" ht="76" customHeight="1">
      <x:c r="A225" s="2" t="str">
        <x:v>S17-RESULT-R14</x:v>
      </x:c>
      <x:c r="B225" s="2" t="str">
        <x:v>S17</x:v>
      </x:c>
      <x:c r="C225" s="2" t="str">
        <x:v>merged_1148-v1</x:v>
      </x:c>
      <x:c r="D225" s="2" t="str">
        <x:v>Reviewer_A</x:v>
      </x:c>
      <x:c r="E225" s="2" t="str">
        <x:v>Reviewer_A</x:v>
      </x:c>
      <x:c r="F225" s="2" t="str">
        <x:v>S17-R14</x:v>
      </x:c>
      <x:c r="G225" s="2" t="str">
        <x:v>S17-EV03</x:v>
      </x:c>
      <x:c r="H225" s="2" t="str">
        <x:v>S17-T03</x:v>
      </x:c>
      <x:c r="I225" s="2" t="str">
        <x:v>NA</x:v>
      </x:c>
      <x:c r="J225" s="2" t="str">
        <x:v>Five systems from Appendix A of STPA Handbook</x:v>
      </x:c>
      <x:c r="K225" s="2" t="str">
        <x:v>linkage checking prompt</x:v>
      </x:c>
      <x:c r="L225" s="2" t="str">
        <x:v>No</x:v>
      </x:c>
      <x:c r="M225" s="2" t="str">
        <x:v>F-1 Score</x:v>
      </x:c>
      <x:c r="N225" s="6" t="str">
        <x:v>66.7%</x:v>
      </x:c>
      <x:c r="O225" s="2" t="n">
        <x:v>66.7</x:v>
      </x:c>
      <x:c r="P225" s="2" t="str">
        <x:v>%</x:v>
      </x:c>
      <x:c r="Q225" s="6" t="str">
        <x:v>NA</x:v>
      </x:c>
      <x:c r="R225" s="2" t="str">
        <x:v>Unclear</x:v>
      </x:c>
      <x:c r="S225" s="2" t="str">
        <x:v>NR</x:v>
      </x:c>
      <x:c r="T225" s="2" t="str">
        <x:v>Not compared</x:v>
      </x:c>
      <x:c r="U225" s="2" t="str">
        <x:v>Not tested</x:v>
      </x:c>
      <x:c r="V225" s="2" t="str">
        <x:v>NR</x:v>
      </x:c>
      <x:c r="W225" s="2" t="str">
        <x:v>NR</x:v>
      </x:c>
      <x:c r="X225" s="2" t="str">
        <x:v>NR</x:v>
      </x:c>
      <x:c r="Y225" s="2" t="str">
        <x:v>NR</x:v>
      </x:c>
      <x:c r="Z225" s="2" t="str">
        <x:v>NA</x:v>
      </x:c>
      <x:c r="AA225" s="6" t="str">
        <x:v>p. 9; Table II</x:v>
      </x:c>
      <x:c r="AB225" s="6" t="str">
        <x:v>Radiation Therapy 16 75.0 50.0 100.0 66.7</x:v>
      </x:c>
      <x:c r="AC225" s="6" t="str">
        <x:v>放射治疗系统链接推荐F1值66.7%，受精确率拖累。</x:v>
      </x:c>
      <x:c r="AD225" s="2" t="str">
        <x:v>Accepted</x:v>
      </x:c>
      <x:c r="AE225" s="6" t="str">
        <x:v>System: Radiation Therapy</x:v>
      </x:c>
    </x:row>
    <x:row r="226" ht="76" customHeight="1">
      <x:c r="A226" s="2" t="str">
        <x:v>S17-RESULT-R15</x:v>
      </x:c>
      <x:c r="B226" s="2" t="str">
        <x:v>S17</x:v>
      </x:c>
      <x:c r="C226" s="2" t="str">
        <x:v>merged_1148-v1</x:v>
      </x:c>
      <x:c r="D226" s="2" t="str">
        <x:v>Reviewer_A</x:v>
      </x:c>
      <x:c r="E226" s="2" t="str">
        <x:v>Reviewer_A</x:v>
      </x:c>
      <x:c r="F226" s="2" t="str">
        <x:v>S17-R15</x:v>
      </x:c>
      <x:c r="G226" s="2" t="str">
        <x:v>S17-EV03</x:v>
      </x:c>
      <x:c r="H226" s="2" t="str">
        <x:v>S17-T03</x:v>
      </x:c>
      <x:c r="I226" s="2" t="str">
        <x:v>NA</x:v>
      </x:c>
      <x:c r="J226" s="2" t="str">
        <x:v>Five systems from Appendix A of STPA Handbook</x:v>
      </x:c>
      <x:c r="K226" s="2" t="str">
        <x:v>linkage checking prompt</x:v>
      </x:c>
      <x:c r="L226" s="2" t="str">
        <x:v>No</x:v>
      </x:c>
      <x:c r="M226" s="2" t="str">
        <x:v>Accuracy</x:v>
      </x:c>
      <x:c r="N226" s="6" t="str">
        <x:v>90.4%</x:v>
      </x:c>
      <x:c r="O226" s="2" t="n">
        <x:v>90.4</x:v>
      </x:c>
      <x:c r="P226" s="2" t="str">
        <x:v>%</x:v>
      </x:c>
      <x:c r="Q226" s="6" t="str">
        <x:v>NA</x:v>
      </x:c>
      <x:c r="R226" s="2" t="str">
        <x:v>Unclear</x:v>
      </x:c>
      <x:c r="S226" s="2" t="str">
        <x:v>NR</x:v>
      </x:c>
      <x:c r="T226" s="2" t="str">
        <x:v>Not compared</x:v>
      </x:c>
      <x:c r="U226" s="2" t="str">
        <x:v>Not tested</x:v>
      </x:c>
      <x:c r="V226" s="2" t="str">
        <x:v>NR</x:v>
      </x:c>
      <x:c r="W226" s="2" t="str">
        <x:v>NR</x:v>
      </x:c>
      <x:c r="X226" s="2" t="str">
        <x:v>NR</x:v>
      </x:c>
      <x:c r="Y226" s="2" t="str">
        <x:v>NR</x:v>
      </x:c>
      <x:c r="Z226" s="2" t="str">
        <x:v>NA</x:v>
      </x:c>
      <x:c r="AA226" s="6" t="str">
        <x:v>p. 9; Table II</x:v>
      </x:c>
      <x:c r="AB226" s="6" t="str">
        <x:v>Military Aviation 21 90.4 90.4 100.0 95.0</x:v>
      </x:c>
      <x:c r="AC226" s="6" t="str">
        <x:v>军事航空系统链接推荐准确率90.4%。</x:v>
      </x:c>
      <x:c r="AD226" s="2" t="str">
        <x:v>Accepted</x:v>
      </x:c>
      <x:c r="AE226" s="6" t="str">
        <x:v>System: Military Aviation</x:v>
      </x:c>
    </x:row>
    <x:row r="227" ht="76" customHeight="1">
      <x:c r="A227" s="2" t="str">
        <x:v>S17-RESULT-R16</x:v>
      </x:c>
      <x:c r="B227" s="2" t="str">
        <x:v>S17</x:v>
      </x:c>
      <x:c r="C227" s="2" t="str">
        <x:v>merged_1148-v1</x:v>
      </x:c>
      <x:c r="D227" s="2" t="str">
        <x:v>Reviewer_A</x:v>
      </x:c>
      <x:c r="E227" s="2" t="str">
        <x:v>Reviewer_A</x:v>
      </x:c>
      <x:c r="F227" s="2" t="str">
        <x:v>S17-R16</x:v>
      </x:c>
      <x:c r="G227" s="2" t="str">
        <x:v>S17-EV03</x:v>
      </x:c>
      <x:c r="H227" s="2" t="str">
        <x:v>S17-T03</x:v>
      </x:c>
      <x:c r="I227" s="2" t="str">
        <x:v>NA</x:v>
      </x:c>
      <x:c r="J227" s="2" t="str">
        <x:v>Five systems from Appendix A of STPA Handbook</x:v>
      </x:c>
      <x:c r="K227" s="2" t="str">
        <x:v>linkage checking prompt</x:v>
      </x:c>
      <x:c r="L227" s="2" t="str">
        <x:v>No</x:v>
      </x:c>
      <x:c r="M227" s="2" t="str">
        <x:v>Precision</x:v>
      </x:c>
      <x:c r="N227" s="6" t="str">
        <x:v>90.4%</x:v>
      </x:c>
      <x:c r="O227" s="2" t="n">
        <x:v>90.4</x:v>
      </x:c>
      <x:c r="P227" s="2" t="str">
        <x:v>%</x:v>
      </x:c>
      <x:c r="Q227" s="6" t="str">
        <x:v>NA</x:v>
      </x:c>
      <x:c r="R227" s="2" t="str">
        <x:v>Unclear</x:v>
      </x:c>
      <x:c r="S227" s="2" t="str">
        <x:v>NR</x:v>
      </x:c>
      <x:c r="T227" s="2" t="str">
        <x:v>Not compared</x:v>
      </x:c>
      <x:c r="U227" s="2" t="str">
        <x:v>Not tested</x:v>
      </x:c>
      <x:c r="V227" s="2" t="str">
        <x:v>NR</x:v>
      </x:c>
      <x:c r="W227" s="2" t="str">
        <x:v>NR</x:v>
      </x:c>
      <x:c r="X227" s="2" t="str">
        <x:v>NR</x:v>
      </x:c>
      <x:c r="Y227" s="2" t="str">
        <x:v>NR</x:v>
      </x:c>
      <x:c r="Z227" s="2" t="str">
        <x:v>NA</x:v>
      </x:c>
      <x:c r="AA227" s="6" t="str">
        <x:v>p. 9; Table II</x:v>
      </x:c>
      <x:c r="AB227" s="6" t="str">
        <x:v>Military Aviation 21 90.4 90.4 100.0 95.0</x:v>
      </x:c>
      <x:c r="AC227" s="6" t="str">
        <x:v>军事航空系统链接推荐精确率90.4%。</x:v>
      </x:c>
      <x:c r="AD227" s="2" t="str">
        <x:v>Accepted</x:v>
      </x:c>
      <x:c r="AE227" s="6" t="str">
        <x:v>System: Military Aviation</x:v>
      </x:c>
    </x:row>
    <x:row r="228" ht="76" customHeight="1">
      <x:c r="A228" s="2" t="str">
        <x:v>S17-RESULT-R17</x:v>
      </x:c>
      <x:c r="B228" s="2" t="str">
        <x:v>S17</x:v>
      </x:c>
      <x:c r="C228" s="2" t="str">
        <x:v>merged_1148-v1</x:v>
      </x:c>
      <x:c r="D228" s="2" t="str">
        <x:v>Reviewer_A</x:v>
      </x:c>
      <x:c r="E228" s="2" t="str">
        <x:v>Reviewer_A</x:v>
      </x:c>
      <x:c r="F228" s="2" t="str">
        <x:v>S17-R17</x:v>
      </x:c>
      <x:c r="G228" s="2" t="str">
        <x:v>S17-EV03</x:v>
      </x:c>
      <x:c r="H228" s="2" t="str">
        <x:v>S17-T03</x:v>
      </x:c>
      <x:c r="I228" s="2" t="str">
        <x:v>NA</x:v>
      </x:c>
      <x:c r="J228" s="2" t="str">
        <x:v>Five systems from Appendix A of STPA Handbook</x:v>
      </x:c>
      <x:c r="K228" s="2" t="str">
        <x:v>linkage checking prompt</x:v>
      </x:c>
      <x:c r="L228" s="2" t="str">
        <x:v>No</x:v>
      </x:c>
      <x:c r="M228" s="2" t="str">
        <x:v>Recall</x:v>
      </x:c>
      <x:c r="N228" s="6" t="str">
        <x:v>100.0%</x:v>
      </x:c>
      <x:c r="O228" s="2" t="n">
        <x:v>100</x:v>
      </x:c>
      <x:c r="P228" s="2" t="str">
        <x:v>%</x:v>
      </x:c>
      <x:c r="Q228" s="6" t="str">
        <x:v>NA</x:v>
      </x:c>
      <x:c r="R228" s="2" t="str">
        <x:v>Unclear</x:v>
      </x:c>
      <x:c r="S228" s="2" t="str">
        <x:v>NR</x:v>
      </x:c>
      <x:c r="T228" s="2" t="str">
        <x:v>Not compared</x:v>
      </x:c>
      <x:c r="U228" s="2" t="str">
        <x:v>Not tested</x:v>
      </x:c>
      <x:c r="V228" s="2" t="str">
        <x:v>NR</x:v>
      </x:c>
      <x:c r="W228" s="2" t="str">
        <x:v>NR</x:v>
      </x:c>
      <x:c r="X228" s="2" t="str">
        <x:v>NR</x:v>
      </x:c>
      <x:c r="Y228" s="2" t="str">
        <x:v>NR</x:v>
      </x:c>
      <x:c r="Z228" s="2" t="str">
        <x:v>NA</x:v>
      </x:c>
      <x:c r="AA228" s="6" t="str">
        <x:v>p. 9; Table II</x:v>
      </x:c>
      <x:c r="AB228" s="6" t="str">
        <x:v>Military Aviation 21 90.4 90.4 100.0 95.0</x:v>
      </x:c>
      <x:c r="AC228" s="6" t="str">
        <x:v>军事航空系统链接推荐召回率100.0%。</x:v>
      </x:c>
      <x:c r="AD228" s="2" t="str">
        <x:v>Accepted</x:v>
      </x:c>
      <x:c r="AE228" s="6" t="str">
        <x:v>System: Military Aviation</x:v>
      </x:c>
    </x:row>
    <x:row r="229" ht="76" customHeight="1">
      <x:c r="A229" s="2" t="str">
        <x:v>S17-RESULT-R18</x:v>
      </x:c>
      <x:c r="B229" s="2" t="str">
        <x:v>S17</x:v>
      </x:c>
      <x:c r="C229" s="2" t="str">
        <x:v>merged_1148-v1</x:v>
      </x:c>
      <x:c r="D229" s="2" t="str">
        <x:v>Reviewer_A</x:v>
      </x:c>
      <x:c r="E229" s="2" t="str">
        <x:v>Reviewer_A</x:v>
      </x:c>
      <x:c r="F229" s="2" t="str">
        <x:v>S17-R18</x:v>
      </x:c>
      <x:c r="G229" s="2" t="str">
        <x:v>S17-EV03</x:v>
      </x:c>
      <x:c r="H229" s="2" t="str">
        <x:v>S17-T03</x:v>
      </x:c>
      <x:c r="I229" s="2" t="str">
        <x:v>NA</x:v>
      </x:c>
      <x:c r="J229" s="2" t="str">
        <x:v>Five systems from Appendix A of STPA Handbook</x:v>
      </x:c>
      <x:c r="K229" s="2" t="str">
        <x:v>linkage checking prompt</x:v>
      </x:c>
      <x:c r="L229" s="2" t="str">
        <x:v>No</x:v>
      </x:c>
      <x:c r="M229" s="2" t="str">
        <x:v>F-1 Score</x:v>
      </x:c>
      <x:c r="N229" s="6" t="str">
        <x:v>95.0%</x:v>
      </x:c>
      <x:c r="O229" s="2" t="n">
        <x:v>95</x:v>
      </x:c>
      <x:c r="P229" s="2" t="str">
        <x:v>%</x:v>
      </x:c>
      <x:c r="Q229" s="6" t="str">
        <x:v>NA</x:v>
      </x:c>
      <x:c r="R229" s="2" t="str">
        <x:v>Unclear</x:v>
      </x:c>
      <x:c r="S229" s="2" t="str">
        <x:v>NR</x:v>
      </x:c>
      <x:c r="T229" s="2" t="str">
        <x:v>Not compared</x:v>
      </x:c>
      <x:c r="U229" s="2" t="str">
        <x:v>Not tested</x:v>
      </x:c>
      <x:c r="V229" s="2" t="str">
        <x:v>NR</x:v>
      </x:c>
      <x:c r="W229" s="2" t="str">
        <x:v>NR</x:v>
      </x:c>
      <x:c r="X229" s="2" t="str">
        <x:v>NR</x:v>
      </x:c>
      <x:c r="Y229" s="2" t="str">
        <x:v>NR</x:v>
      </x:c>
      <x:c r="Z229" s="2" t="str">
        <x:v>NA</x:v>
      </x:c>
      <x:c r="AA229" s="6" t="str">
        <x:v>p. 9; Table II</x:v>
      </x:c>
      <x:c r="AB229" s="6" t="str">
        <x:v>Military Aviation 21 90.4 90.4 100.0 95.0</x:v>
      </x:c>
      <x:c r="AC229" s="6" t="str">
        <x:v>军事航空系统链接推荐F1值95.0%。</x:v>
      </x:c>
      <x:c r="AD229" s="2" t="str">
        <x:v>Accepted</x:v>
      </x:c>
      <x:c r="AE229" s="6" t="str">
        <x:v>System: Military Aviation</x:v>
      </x:c>
    </x:row>
    <x:row r="230" ht="76" customHeight="1">
      <x:c r="A230" s="2" t="str">
        <x:v>S17-RESULT-R19</x:v>
      </x:c>
      <x:c r="B230" s="2" t="str">
        <x:v>S17</x:v>
      </x:c>
      <x:c r="C230" s="2" t="str">
        <x:v>merged_1148-v1</x:v>
      </x:c>
      <x:c r="D230" s="2" t="str">
        <x:v>Reviewer_A</x:v>
      </x:c>
      <x:c r="E230" s="2" t="str">
        <x:v>Reviewer_A</x:v>
      </x:c>
      <x:c r="F230" s="2" t="str">
        <x:v>S17-R19</x:v>
      </x:c>
      <x:c r="G230" s="2" t="str">
        <x:v>S17-EV03</x:v>
      </x:c>
      <x:c r="H230" s="2" t="str">
        <x:v>S17-T03</x:v>
      </x:c>
      <x:c r="I230" s="2" t="str">
        <x:v>NA</x:v>
      </x:c>
      <x:c r="J230" s="2" t="str">
        <x:v>Five systems from Appendix A of STPA Handbook</x:v>
      </x:c>
      <x:c r="K230" s="2" t="str">
        <x:v>linkage checking prompt</x:v>
      </x:c>
      <x:c r="L230" s="2" t="str">
        <x:v>No</x:v>
      </x:c>
      <x:c r="M230" s="2" t="str">
        <x:v>Accuracy</x:v>
      </x:c>
      <x:c r="N230" s="6" t="str">
        <x:v>100.0%</x:v>
      </x:c>
      <x:c r="O230" s="2" t="n">
        <x:v>100</x:v>
      </x:c>
      <x:c r="P230" s="2" t="str">
        <x:v>%</x:v>
      </x:c>
      <x:c r="Q230" s="6" t="str">
        <x:v>NA</x:v>
      </x:c>
      <x:c r="R230" s="2" t="str">
        <x:v>Unclear</x:v>
      </x:c>
      <x:c r="S230" s="2" t="str">
        <x:v>NR</x:v>
      </x:c>
      <x:c r="T230" s="2" t="str">
        <x:v>Not compared</x:v>
      </x:c>
      <x:c r="U230" s="2" t="str">
        <x:v>Not tested</x:v>
      </x:c>
      <x:c r="V230" s="2" t="str">
        <x:v>NR</x:v>
      </x:c>
      <x:c r="W230" s="2" t="str">
        <x:v>NR</x:v>
      </x:c>
      <x:c r="X230" s="2" t="str">
        <x:v>NR</x:v>
      </x:c>
      <x:c r="Y230" s="2" t="str">
        <x:v>NR</x:v>
      </x:c>
      <x:c r="Z230" s="2" t="str">
        <x:v>NA</x:v>
      </x:c>
      <x:c r="AA230" s="6" t="str">
        <x:v>p. 9; Table II</x:v>
      </x:c>
      <x:c r="AB230" s="6" t="str">
        <x:v>Automotive 8 100.0 100.0 100.0 100.0</x:v>
      </x:c>
      <x:c r="AC230" s="6" t="str">
        <x:v>汽车系统链接推荐准确率100.0%。</x:v>
      </x:c>
      <x:c r="AD230" s="2" t="str">
        <x:v>Accepted</x:v>
      </x:c>
      <x:c r="AE230" s="6" t="str">
        <x:v>System: Automotive</x:v>
      </x:c>
    </x:row>
    <x:row r="231" ht="76" customHeight="1">
      <x:c r="A231" s="2" t="str">
        <x:v>S17-RESULT-R20</x:v>
      </x:c>
      <x:c r="B231" s="2" t="str">
        <x:v>S17</x:v>
      </x:c>
      <x:c r="C231" s="2" t="str">
        <x:v>merged_1148-v1</x:v>
      </x:c>
      <x:c r="D231" s="2" t="str">
        <x:v>Reviewer_A</x:v>
      </x:c>
      <x:c r="E231" s="2" t="str">
        <x:v>Reviewer_A</x:v>
      </x:c>
      <x:c r="F231" s="2" t="str">
        <x:v>S17-R20</x:v>
      </x:c>
      <x:c r="G231" s="2" t="str">
        <x:v>S17-EV03</x:v>
      </x:c>
      <x:c r="H231" s="2" t="str">
        <x:v>S17-T03</x:v>
      </x:c>
      <x:c r="I231" s="2" t="str">
        <x:v>NA</x:v>
      </x:c>
      <x:c r="J231" s="2" t="str">
        <x:v>Five systems from Appendix A of STPA Handbook</x:v>
      </x:c>
      <x:c r="K231" s="2" t="str">
        <x:v>linkage checking prompt</x:v>
      </x:c>
      <x:c r="L231" s="2" t="str">
        <x:v>No</x:v>
      </x:c>
      <x:c r="M231" s="2" t="str">
        <x:v>Precision</x:v>
      </x:c>
      <x:c r="N231" s="6" t="str">
        <x:v>100.0%</x:v>
      </x:c>
      <x:c r="O231" s="2" t="n">
        <x:v>100</x:v>
      </x:c>
      <x:c r="P231" s="2" t="str">
        <x:v>%</x:v>
      </x:c>
      <x:c r="Q231" s="6" t="str">
        <x:v>NA</x:v>
      </x:c>
      <x:c r="R231" s="2" t="str">
        <x:v>Unclear</x:v>
      </x:c>
      <x:c r="S231" s="2" t="str">
        <x:v>NR</x:v>
      </x:c>
      <x:c r="T231" s="2" t="str">
        <x:v>Not compared</x:v>
      </x:c>
      <x:c r="U231" s="2" t="str">
        <x:v>Not tested</x:v>
      </x:c>
      <x:c r="V231" s="2" t="str">
        <x:v>NR</x:v>
      </x:c>
      <x:c r="W231" s="2" t="str">
        <x:v>NR</x:v>
      </x:c>
      <x:c r="X231" s="2" t="str">
        <x:v>NR</x:v>
      </x:c>
      <x:c r="Y231" s="2" t="str">
        <x:v>NR</x:v>
      </x:c>
      <x:c r="Z231" s="2" t="str">
        <x:v>NA</x:v>
      </x:c>
      <x:c r="AA231" s="6" t="str">
        <x:v>p. 9; Table II</x:v>
      </x:c>
      <x:c r="AB231" s="6" t="str">
        <x:v>Automotive 8 100.0 100.0 100.0 100.0</x:v>
      </x:c>
      <x:c r="AC231" s="6" t="str">
        <x:v>汽车系统链接推荐精确率100.0%。</x:v>
      </x:c>
      <x:c r="AD231" s="2" t="str">
        <x:v>Accepted</x:v>
      </x:c>
      <x:c r="AE231" s="6" t="str">
        <x:v>System: Automotive</x:v>
      </x:c>
    </x:row>
    <x:row r="232" ht="76" customHeight="1">
      <x:c r="A232" s="2" t="str">
        <x:v>S17-RESULT-R21</x:v>
      </x:c>
      <x:c r="B232" s="2" t="str">
        <x:v>S17</x:v>
      </x:c>
      <x:c r="C232" s="2" t="str">
        <x:v>merged_1148-v1</x:v>
      </x:c>
      <x:c r="D232" s="2" t="str">
        <x:v>Reviewer_A</x:v>
      </x:c>
      <x:c r="E232" s="2" t="str">
        <x:v>Reviewer_A</x:v>
      </x:c>
      <x:c r="F232" s="2" t="str">
        <x:v>S17-R21</x:v>
      </x:c>
      <x:c r="G232" s="2" t="str">
        <x:v>S17-EV03</x:v>
      </x:c>
      <x:c r="H232" s="2" t="str">
        <x:v>S17-T03</x:v>
      </x:c>
      <x:c r="I232" s="2" t="str">
        <x:v>NA</x:v>
      </x:c>
      <x:c r="J232" s="2" t="str">
        <x:v>Five systems from Appendix A of STPA Handbook</x:v>
      </x:c>
      <x:c r="K232" s="2" t="str">
        <x:v>linkage checking prompt</x:v>
      </x:c>
      <x:c r="L232" s="2" t="str">
        <x:v>No</x:v>
      </x:c>
      <x:c r="M232" s="2" t="str">
        <x:v>Recall</x:v>
      </x:c>
      <x:c r="N232" s="6" t="str">
        <x:v>100.0%</x:v>
      </x:c>
      <x:c r="O232" s="2" t="n">
        <x:v>100</x:v>
      </x:c>
      <x:c r="P232" s="2" t="str">
        <x:v>%</x:v>
      </x:c>
      <x:c r="Q232" s="6" t="str">
        <x:v>NA</x:v>
      </x:c>
      <x:c r="R232" s="2" t="str">
        <x:v>Unclear</x:v>
      </x:c>
      <x:c r="S232" s="2" t="str">
        <x:v>NR</x:v>
      </x:c>
      <x:c r="T232" s="2" t="str">
        <x:v>Not compared</x:v>
      </x:c>
      <x:c r="U232" s="2" t="str">
        <x:v>Not tested</x:v>
      </x:c>
      <x:c r="V232" s="2" t="str">
        <x:v>NR</x:v>
      </x:c>
      <x:c r="W232" s="2" t="str">
        <x:v>NR</x:v>
      </x:c>
      <x:c r="X232" s="2" t="str">
        <x:v>NR</x:v>
      </x:c>
      <x:c r="Y232" s="2" t="str">
        <x:v>NR</x:v>
      </x:c>
      <x:c r="Z232" s="2" t="str">
        <x:v>NA</x:v>
      </x:c>
      <x:c r="AA232" s="6" t="str">
        <x:v>p. 9; Table II</x:v>
      </x:c>
      <x:c r="AB232" s="6" t="str">
        <x:v>Automotive 8 100.0 100.0 100.0 100.0</x:v>
      </x:c>
      <x:c r="AC232" s="6" t="str">
        <x:v>汽车系统链接推荐召回率100.0%。</x:v>
      </x:c>
      <x:c r="AD232" s="2" t="str">
        <x:v>Accepted</x:v>
      </x:c>
      <x:c r="AE232" s="6" t="str">
        <x:v>System: Automotive</x:v>
      </x:c>
    </x:row>
    <x:row r="233" ht="76" customHeight="1">
      <x:c r="A233" s="2" t="str">
        <x:v>S17-RESULT-R22</x:v>
      </x:c>
      <x:c r="B233" s="2" t="str">
        <x:v>S17</x:v>
      </x:c>
      <x:c r="C233" s="2" t="str">
        <x:v>merged_1148-v1</x:v>
      </x:c>
      <x:c r="D233" s="2" t="str">
        <x:v>Reviewer_A</x:v>
      </x:c>
      <x:c r="E233" s="2" t="str">
        <x:v>Reviewer_A</x:v>
      </x:c>
      <x:c r="F233" s="2" t="str">
        <x:v>S17-R22</x:v>
      </x:c>
      <x:c r="G233" s="2" t="str">
        <x:v>S17-EV03</x:v>
      </x:c>
      <x:c r="H233" s="2" t="str">
        <x:v>S17-T03</x:v>
      </x:c>
      <x:c r="I233" s="2" t="str">
        <x:v>NA</x:v>
      </x:c>
      <x:c r="J233" s="2" t="str">
        <x:v>Five systems from Appendix A of STPA Handbook</x:v>
      </x:c>
      <x:c r="K233" s="2" t="str">
        <x:v>linkage checking prompt</x:v>
      </x:c>
      <x:c r="L233" s="2" t="str">
        <x:v>No</x:v>
      </x:c>
      <x:c r="M233" s="2" t="str">
        <x:v>F-1 Score</x:v>
      </x:c>
      <x:c r="N233" s="6" t="str">
        <x:v>100.0%</x:v>
      </x:c>
      <x:c r="O233" s="2" t="n">
        <x:v>100</x:v>
      </x:c>
      <x:c r="P233" s="2" t="str">
        <x:v>%</x:v>
      </x:c>
      <x:c r="Q233" s="6" t="str">
        <x:v>NA</x:v>
      </x:c>
      <x:c r="R233" s="2" t="str">
        <x:v>Unclear</x:v>
      </x:c>
      <x:c r="S233" s="2" t="str">
        <x:v>NR</x:v>
      </x:c>
      <x:c r="T233" s="2" t="str">
        <x:v>Not compared</x:v>
      </x:c>
      <x:c r="U233" s="2" t="str">
        <x:v>Not tested</x:v>
      </x:c>
      <x:c r="V233" s="2" t="str">
        <x:v>NR</x:v>
      </x:c>
      <x:c r="W233" s="2" t="str">
        <x:v>NR</x:v>
      </x:c>
      <x:c r="X233" s="2" t="str">
        <x:v>NR</x:v>
      </x:c>
      <x:c r="Y233" s="2" t="str">
        <x:v>NR</x:v>
      </x:c>
      <x:c r="Z233" s="2" t="str">
        <x:v>NA</x:v>
      </x:c>
      <x:c r="AA233" s="6" t="str">
        <x:v>p. 9; Table II</x:v>
      </x:c>
      <x:c r="AB233" s="6" t="str">
        <x:v>Automotive 8 100.0 100.0 100.0 100.0</x:v>
      </x:c>
      <x:c r="AC233" s="6" t="str">
        <x:v>汽车系统链接推荐F1值100.0%。</x:v>
      </x:c>
      <x:c r="AD233" s="2" t="str">
        <x:v>Accepted</x:v>
      </x:c>
      <x:c r="AE233" s="6" t="str">
        <x:v>System: Automotive</x:v>
      </x:c>
    </x:row>
    <x:row r="234" ht="76" customHeight="1">
      <x:c r="A234" s="2" t="str">
        <x:v>S18-RESULT-R01</x:v>
      </x:c>
      <x:c r="B234" s="2" t="str">
        <x:v>S18</x:v>
      </x:c>
      <x:c r="C234" s="2" t="str">
        <x:v>merged_1149</x:v>
      </x:c>
      <x:c r="D234" s="2" t="str">
        <x:v>Reviewer_A</x:v>
      </x:c>
      <x:c r="E234" s="2" t="str">
        <x:v>Reviewer_A</x:v>
      </x:c>
      <x:c r="F234" s="2" t="str">
        <x:v>S18-R01</x:v>
      </x:c>
      <x:c r="G234" s="2" t="str">
        <x:v>S18-EV01</x:v>
      </x:c>
      <x:c r="H234" s="2" t="str">
        <x:v>S18-T01</x:v>
      </x:c>
      <x:c r="I234" s="2" t="str">
        <x:v>NA</x:v>
      </x:c>
      <x:c r="J234" s="2" t="str">
        <x:v>HIPAA</x:v>
      </x:c>
      <x:c r="K234" s="2" t="str">
        <x:v>LLaMa2-7b-w/o (zero-shot)</x:v>
      </x:c>
      <x:c r="L234" s="2" t="str">
        <x:v>No</x:v>
      </x:c>
      <x:c r="M234" s="2" t="str">
        <x:v>F2</x:v>
      </x:c>
      <x:c r="N234" s="6" t="str">
        <x:v>8.1±5</x:v>
      </x:c>
      <x:c r="O234" s="2" t="n">
        <x:v>8.1</x:v>
      </x:c>
      <x:c r="P234" s="2" t="str">
        <x:v>%</x:v>
      </x:c>
      <x:c r="Q234" s="6" t="str">
        <x:v>No</x:v>
      </x:c>
      <x:c r="R234" s="2" t="str">
        <x:v>NR</x:v>
      </x:c>
      <x:c r="S234" s="2" t="str">
        <x:v>5</x:v>
      </x:c>
      <x:c r="T234" s="2" t="str">
        <x:v>Not compared</x:v>
      </x:c>
      <x:c r="U234" s="2" t="str">
        <x:v>Not tested</x:v>
      </x:c>
      <x:c r="V234" s="2" t="str">
        <x:v>Very low F2, essentially random</x:v>
      </x:c>
      <x:c r="W234" s="2" t="str">
        <x:v>NR</x:v>
      </x:c>
      <x:c r="X234" s="2" t="str">
        <x:v>NR</x:v>
      </x:c>
      <x:c r="Y234" s="2" t="str">
        <x:v>NR</x:v>
      </x:c>
      <x:c r="Z234" s="2" t="str">
        <x:v>Yes</x:v>
      </x:c>
      <x:c r="AA234" s="6" t="str">
        <x:v>p. 17; Table 5</x:v>
      </x:c>
      <x:c r="AB234" s="6" t="str">
        <x:v>LLaMa2-7b-w/o∗ 33±6 1366±229 129±11 2.4±1 20.3±31 8.1±5 28.3</x:v>
      </x:c>
      <x:c r="AC234" s="6" t="str">
        <x:v>零样本LLaMa2-7b的F2仅为8.1%，表现极差。</x:v>
      </x:c>
      <x:c r="AD234" s="2" t="str">
        <x:v>Accepted</x:v>
      </x:c>
      <x:c r="AE234" s="6" t="str">
        <x:v>NA</x:v>
      </x:c>
    </x:row>
    <x:row r="235" ht="76" customHeight="1">
      <x:c r="A235" s="2" t="str">
        <x:v>S18-RESULT-R02</x:v>
      </x:c>
      <x:c r="B235" s="2" t="str">
        <x:v>S18</x:v>
      </x:c>
      <x:c r="C235" s="2" t="str">
        <x:v>merged_1149</x:v>
      </x:c>
      <x:c r="D235" s="2" t="str">
        <x:v>Reviewer_A</x:v>
      </x:c>
      <x:c r="E235" s="2" t="str">
        <x:v>Reviewer_A</x:v>
      </x:c>
      <x:c r="F235" s="2" t="str">
        <x:v>S18-R02</x:v>
      </x:c>
      <x:c r="G235" s="2" t="str">
        <x:v>S18-EV01</x:v>
      </x:c>
      <x:c r="H235" s="2" t="str">
        <x:v>S18-T01</x:v>
      </x:c>
      <x:c r="I235" s="2" t="str">
        <x:v>NA</x:v>
      </x:c>
      <x:c r="J235" s="2" t="str">
        <x:v>HIPAA</x:v>
      </x:c>
      <x:c r="K235" s="2" t="str">
        <x:v>LLaMa2-7b-tuned (fine-tuned)</x:v>
      </x:c>
      <x:c r="L235" s="2" t="str">
        <x:v>No</x:v>
      </x:c>
      <x:c r="M235" s="2" t="str">
        <x:v>F2</x:v>
      </x:c>
      <x:c r="N235" s="6" t="str">
        <x:v>22.5±7</x:v>
      </x:c>
      <x:c r="O235" s="2" t="n">
        <x:v>22.5</x:v>
      </x:c>
      <x:c r="P235" s="2" t="str">
        <x:v>%</x:v>
      </x:c>
      <x:c r="Q235" s="6" t="str">
        <x:v>No</x:v>
      </x:c>
      <x:c r="R235" s="2" t="str">
        <x:v>NR</x:v>
      </x:c>
      <x:c r="S235" s="2" t="str">
        <x:v>7</x:v>
      </x:c>
      <x:c r="T235" s="2" t="str">
        <x:v>Not compared</x:v>
      </x:c>
      <x:c r="U235" s="2" t="str">
        <x:v>Not tested</x:v>
      </x:c>
      <x:c r="V235" s="2" t="str">
        <x:v>Low, still much lower than Kashif (62.7%)</x:v>
      </x:c>
      <x:c r="W235" s="2" t="str">
        <x:v>NR</x:v>
      </x:c>
      <x:c r="X235" s="2" t="str">
        <x:v>NR</x:v>
      </x:c>
      <x:c r="Y235" s="2" t="str">
        <x:v>NR</x:v>
      </x:c>
      <x:c r="Z235" s="2" t="str">
        <x:v>No</x:v>
      </x:c>
      <x:c r="AA235" s="6" t="str">
        <x:v>p. 17; Table 5</x:v>
      </x:c>
      <x:c r="AB235" s="6" t="str">
        <x:v>LLaMa2-7b-tuned 111±12 1713±102 51±3 6.1±2 67.3±17 22.5±7 41.4</x:v>
      </x:c>
      <x:c r="AC235" s="6" t="str">
        <x:v>微调后LLaMa2-7b的F2提升至22.5%，但仍远低于Kashif。</x:v>
      </x:c>
      <x:c r="AD235" s="2" t="str">
        <x:v>Accepted</x:v>
      </x:c>
      <x:c r="AE235" s="6" t="str">
        <x:v>微调带来提升，但整体性能有限。</x:v>
      </x:c>
    </x:row>
    <x:row r="236" ht="76" customHeight="1">
      <x:c r="A236" s="2" t="str">
        <x:v>S18-RESULT-R03</x:v>
      </x:c>
      <x:c r="B236" s="2" t="str">
        <x:v>S18</x:v>
      </x:c>
      <x:c r="C236" s="2" t="str">
        <x:v>merged_1149</x:v>
      </x:c>
      <x:c r="D236" s="2" t="str">
        <x:v>Reviewer_A</x:v>
      </x:c>
      <x:c r="E236" s="2" t="str">
        <x:v>Reviewer_A</x:v>
      </x:c>
      <x:c r="F236" s="2" t="str">
        <x:v>S18-R03</x:v>
      </x:c>
      <x:c r="G236" s="2" t="str">
        <x:v>S18-EV02</x:v>
      </x:c>
      <x:c r="H236" s="2" t="str">
        <x:v>S18-T01</x:v>
      </x:c>
      <x:c r="I236" s="2" t="str">
        <x:v>S18-MU01</x:v>
      </x:c>
      <x:c r="J236" s="2" t="str">
        <x:v>GDPR test documents</x:v>
      </x:c>
      <x:c r="K236" s="2" t="str">
        <x:v>Rice LRT</x:v>
      </x:c>
      <x:c r="L236" s="2" t="str">
        <x:v>P1 (best baseline prompt)</x:v>
      </x:c>
      <x:c r="M236" s="2" t="str">
        <x:v>F2</x:v>
      </x:c>
      <x:c r="N236" s="6" t="str">
        <x:v>61.1</x:v>
      </x:c>
      <x:c r="O236" s="2" t="n">
        <x:v>61.1</x:v>
      </x:c>
      <x:c r="P236" s="2" t="str">
        <x:v>%</x:v>
      </x:c>
      <x:c r="Q236" s="6" t="str">
        <x:v>14.3 (P1)</x:v>
      </x:c>
      <x:c r="R236" s="2" t="n">
        <x:v>14.3</x:v>
      </x:c>
      <x:c r="S236" s="2" t="str">
        <x:v>NR</x:v>
      </x:c>
      <x:c r="T236" s="2" t="str">
        <x:v>Better</x:v>
      </x:c>
      <x:c r="U236" s="2" t="str">
        <x:v>Not tested</x:v>
      </x:c>
      <x:c r="V236" s="2" t="str">
        <x:v>F2 61.1% vs 14.3%, substantial improvement</x:v>
      </x:c>
      <x:c r="W236" s="2" t="str">
        <x:v>NR</x:v>
      </x:c>
      <x:c r="X236" s="2" t="str">
        <x:v>NR</x:v>
      </x:c>
      <x:c r="Y236" s="2" t="str">
        <x:v>NR</x:v>
      </x:c>
      <x:c r="Z236" s="2" t="str">
        <x:v>No</x:v>
      </x:c>
      <x:c r="AA236" s="6" t="str">
        <x:v>p. 23; Section 4.8 Results</x:v>
      </x:c>
      <x:c r="AB236" s="6" t="str">
        <x:v>Rice LRT outperforms all prompts at both the trace and requirement levels.</x:v>
      </x:c>
      <x:c r="AC236" s="6" t="str">
        <x:v>Rice LRT的F2达到61.1%，大幅优于最佳基线提示P1的14.3%。</x:v>
      </x:c>
      <x:c r="AD236" s="2" t="str">
        <x:v>Accepted</x:v>
      </x:c>
      <x:c r="AE236" s="6" t="str">
        <x:v>Table 9 average row shows F2=61.1 for Rice LRT.</x:v>
      </x:c>
    </x:row>
    <x:row r="237" ht="76" customHeight="1">
      <x:c r="A237" s="2" t="str">
        <x:v>S18-RESULT-R04</x:v>
      </x:c>
      <x:c r="B237" s="2" t="str">
        <x:v>S18</x:v>
      </x:c>
      <x:c r="C237" s="2" t="str">
        <x:v>merged_1149</x:v>
      </x:c>
      <x:c r="D237" s="2" t="str">
        <x:v>Reviewer_A</x:v>
      </x:c>
      <x:c r="E237" s="2" t="str">
        <x:v>Reviewer_A</x:v>
      </x:c>
      <x:c r="F237" s="2" t="str">
        <x:v>S18-R04</x:v>
      </x:c>
      <x:c r="G237" s="2" t="str">
        <x:v>S18-EV02</x:v>
      </x:c>
      <x:c r="H237" s="2" t="str">
        <x:v>S18-T01</x:v>
      </x:c>
      <x:c r="I237" s="2" t="str">
        <x:v>S18-MU01</x:v>
      </x:c>
      <x:c r="J237" s="2" t="str">
        <x:v>GDPR test documents</x:v>
      </x:c>
      <x:c r="K237" s="2" t="str">
        <x:v>Rice LRT</x:v>
      </x:c>
      <x:c r="L237" s="2" t="str">
        <x:v>No</x:v>
      </x:c>
      <x:c r="M237" s="2" t="str">
        <x:v>Macro Recall (MR)</x:v>
      </x:c>
      <x:c r="N237" s="6" t="str">
        <x:v>84.1</x:v>
      </x:c>
      <x:c r="O237" s="2" t="n">
        <x:v>84.1</x:v>
      </x:c>
      <x:c r="P237" s="2" t="str">
        <x:v>%</x:v>
      </x:c>
      <x:c r="Q237" s="6" t="str">
        <x:v>NR</x:v>
      </x:c>
      <x:c r="R237" s="2" t="str">
        <x:v>NR</x:v>
      </x:c>
      <x:c r="S237" s="2" t="str">
        <x:v>NR</x:v>
      </x:c>
      <x:c r="T237" s="2" t="str">
        <x:v>Not compared</x:v>
      </x:c>
      <x:c r="U237" s="2" t="str">
        <x:v>Not tested</x:v>
      </x:c>
      <x:c r="V237" s="2" t="str">
        <x:v>High recall with low cost</x:v>
      </x:c>
      <x:c r="W237" s="2" t="str">
        <x:v>NR</x:v>
      </x:c>
      <x:c r="X237" s="2" t="str">
        <x:v>NR</x:v>
      </x:c>
      <x:c r="Y237" s="2" t="str">
        <x:v>NR</x:v>
      </x:c>
      <x:c r="Z237" s="2" t="str">
        <x:v>No</x:v>
      </x:c>
      <x:c r="AA237" s="6" t="str">
        <x:v>p. 24; Figure 6 caption/text</x:v>
      </x:c>
      <x:c r="AB237" s="6" t="str">
        <x:v>Rice LRT achieves the highest recall at 84% while retrieving only 9.5% of all provisions.</x:v>
      </x:c>
      <x:c r="AC237" s="6" t="str">
        <x:v>Rice LRT实现了84%的平均宏召回，成本仅为9.5%，非常高效。</x:v>
      </x:c>
      <x:c r="AD237" s="2" t="str">
        <x:v>Accepted</x:v>
      </x:c>
      <x:c r="AE237" s="6" t="str">
        <x:v>NA</x:v>
      </x:c>
    </x:row>
    <x:row r="238" ht="76" customHeight="1">
      <x:c r="A238" s="2" t="str">
        <x:v>S18-RESULT-R05</x:v>
      </x:c>
      <x:c r="B238" s="2" t="str">
        <x:v>S18</x:v>
      </x:c>
      <x:c r="C238" s="2" t="str">
        <x:v>merged_1149</x:v>
      </x:c>
      <x:c r="D238" s="2" t="str">
        <x:v>Reviewer_A</x:v>
      </x:c>
      <x:c r="E238" s="2" t="str">
        <x:v>Reviewer_A</x:v>
      </x:c>
      <x:c r="F238" s="2" t="str">
        <x:v>S18-R05</x:v>
      </x:c>
      <x:c r="G238" s="2" t="str">
        <x:v>S18-EV02</x:v>
      </x:c>
      <x:c r="H238" s="2" t="str">
        <x:v>S18-T01</x:v>
      </x:c>
      <x:c r="I238" s="2" t="str">
        <x:v>NA</x:v>
      </x:c>
      <x:c r="J238" s="2" t="str">
        <x:v>GDPR test documents</x:v>
      </x:c>
      <x:c r="K238" s="2" t="str">
        <x:v>Rice LRT</x:v>
      </x:c>
      <x:c r="L238" s="2" t="str">
        <x:v>best baseline prompt (P1, P2, P3-1, P3-2)</x:v>
      </x:c>
      <x:c r="M238" s="2" t="str">
        <x:v>F2 gain</x:v>
      </x:c>
      <x:c r="N238" s="6" t="str">
        <x:v>34 pp</x:v>
      </x:c>
      <x:c r="O238" s="2" t="n">
        <x:v>34</x:v>
      </x:c>
      <x:c r="P238" s="2" t="str">
        <x:v>pp</x:v>
      </x:c>
      <x:c r="Q238" s="6" t="str">
        <x:v>NR</x:v>
      </x:c>
      <x:c r="R238" s="2" t="str">
        <x:v>NR</x:v>
      </x:c>
      <x:c r="S238" s="2" t="str">
        <x:v>NR</x:v>
      </x:c>
      <x:c r="T238" s="2" t="str">
        <x:v>Better</x:v>
      </x:c>
      <x:c r="U238" s="2" t="str">
        <x:v>Not tested</x:v>
      </x:c>
      <x:c r="V238" s="2" t="str">
        <x:v>Large improvement</x:v>
      </x:c>
      <x:c r="W238" s="2" t="str">
        <x:v>NR</x:v>
      </x:c>
      <x:c r="X238" s="2" t="str">
        <x:v>NR</x:v>
      </x:c>
      <x:c r="Y238" s="2" t="str">
        <x:v>NR</x:v>
      </x:c>
      <x:c r="Z238" s="2" t="str">
        <x:v>No</x:v>
      </x:c>
      <x:c r="AA238" s="6" t="str">
        <x:v>p. 1; Abstract</x:v>
      </x:c>
      <x:c r="AB238" s="6" t="str">
        <x:v>improving the F2 score by 34 pp compared to the best baseline prompt</x:v>
      </x:c>
      <x:c r="AC238" s="6" t="str">
        <x:v>Rice LRT相较于最佳基线提示提升了34个百分点的F2。</x:v>
      </x:c>
      <x:c r="AD238" s="2" t="str">
        <x:v>Accepted</x:v>
      </x:c>
      <x:c r="AE238" s="6" t="str">
        <x:v>NA</x:v>
      </x:c>
    </x:row>
    <x:row r="239" ht="76" customHeight="1">
      <x:c r="A239" s="2" t="str">
        <x:v>S19-RESULT-R01</x:v>
      </x:c>
      <x:c r="B239" s="2" t="str">
        <x:v>S19</x:v>
      </x:c>
      <x:c r="C239" s="2" t="str">
        <x:v>merged_1150</x:v>
      </x:c>
      <x:c r="D239" s="2" t="str">
        <x:v>Reviewer_A</x:v>
      </x:c>
      <x:c r="E239" s="2" t="str">
        <x:v>Reviewer_A</x:v>
      </x:c>
      <x:c r="F239" s="2" t="str">
        <x:v>S19-R01</x:v>
      </x:c>
      <x:c r="G239" s="2" t="str">
        <x:v>S19-EV01</x:v>
      </x:c>
      <x:c r="H239" s="2" t="str">
        <x:v>S19-T01</x:v>
      </x:c>
      <x:c r="I239" s="2" t="str">
        <x:v>S19-MU01</x:v>
      </x:c>
      <x:c r="J239" s="2" t="str">
        <x:v>five curated games</x:v>
      </x:c>
      <x:c r="K239" s="2" t="str">
        <x:v>GPT-4o (0% smelly requirements)</x:v>
      </x:c>
      <x:c r="L239" s="2" t="str">
        <x:v>No</x:v>
      </x:c>
      <x:c r="M239" s="2" t="str">
        <x:v>BTA</x:v>
      </x:c>
      <x:c r="N239" s="6" t="str">
        <x:v>0.95 for GPT-4o</x:v>
      </x:c>
      <x:c r="O239" s="2" t="n">
        <x:v>0.95</x:v>
      </x:c>
      <x:c r="P239" s="2" t="str">
        <x:v>%</x:v>
      </x:c>
      <x:c r="Q239" s="6" t="str">
        <x:v>No</x:v>
      </x:c>
      <x:c r="R239" s="2" t="str">
        <x:v>NA</x:v>
      </x:c>
      <x:c r="S239" s="2" t="str">
        <x:v>NR</x:v>
      </x:c>
      <x:c r="T239" s="2" t="str">
        <x:v>Not compared</x:v>
      </x:c>
      <x:c r="U239" s="2" t="str">
        <x:v>Not tested</x:v>
      </x:c>
      <x:c r="V239" s="2" t="str">
        <x:v>NR</x:v>
      </x:c>
      <x:c r="W239" s="2" t="str">
        <x:v>NR</x:v>
      </x:c>
      <x:c r="X239" s="2" t="str">
        <x:v>NR</x:v>
      </x:c>
      <x:c r="Y239" s="2" t="str">
        <x:v>NR</x:v>
      </x:c>
      <x:c r="Z239" s="2" t="str">
        <x:v>No</x:v>
      </x:c>
      <x:c r="AA239" s="6" t="str">
        <x:v>p. 3; Section IV-A</x:v>
      </x:c>
      <x:c r="AB239" s="6" t="str">
        <x:v>The average BTA is 0.95 for GPT-4o and 0.96 for Llama 3.1</x:v>
      </x:c>
      <x:c r="AC239" s="6" t="str">
        <x:v>RQ1中GPT-4o在无气味需求下的二元追踪准确率，但表III显示均值为0.96，文本可能有误。</x:v>
      </x:c>
      <x:c r="AD239" s="2" t="str">
        <x:v>Accepted</x:v>
      </x:c>
      <x:c r="AE239" s="6" t="str">
        <x:v>NA</x:v>
      </x:c>
    </x:row>
    <x:row r="240" ht="76" customHeight="1">
      <x:c r="A240" s="2" t="str">
        <x:v>S19-RESULT-R02</x:v>
      </x:c>
      <x:c r="B240" s="2" t="str">
        <x:v>S19</x:v>
      </x:c>
      <x:c r="C240" s="2" t="str">
        <x:v>merged_1150</x:v>
      </x:c>
      <x:c r="D240" s="2" t="str">
        <x:v>Reviewer_A</x:v>
      </x:c>
      <x:c r="E240" s="2" t="str">
        <x:v>Reviewer_A</x:v>
      </x:c>
      <x:c r="F240" s="2" t="str">
        <x:v>S19-R02</x:v>
      </x:c>
      <x:c r="G240" s="2" t="str">
        <x:v>S19-EV01</x:v>
      </x:c>
      <x:c r="H240" s="2" t="str">
        <x:v>S19-T01</x:v>
      </x:c>
      <x:c r="I240" s="2" t="str">
        <x:v>S19-MU02</x:v>
      </x:c>
      <x:c r="J240" s="2" t="str">
        <x:v>five curated games</x:v>
      </x:c>
      <x:c r="K240" s="2" t="str">
        <x:v>Llama 3.1 (0% smelly requirements)</x:v>
      </x:c>
      <x:c r="L240" s="2" t="str">
        <x:v>No</x:v>
      </x:c>
      <x:c r="M240" s="2" t="str">
        <x:v>BTA</x:v>
      </x:c>
      <x:c r="N240" s="6" t="str">
        <x:v>0.96 for Llama 3.1</x:v>
      </x:c>
      <x:c r="O240" s="2" t="n">
        <x:v>0.96</x:v>
      </x:c>
      <x:c r="P240" s="2" t="str">
        <x:v>%</x:v>
      </x:c>
      <x:c r="Q240" s="6" t="str">
        <x:v>No</x:v>
      </x:c>
      <x:c r="R240" s="2" t="str">
        <x:v>NA</x:v>
      </x:c>
      <x:c r="S240" s="2" t="str">
        <x:v>NR</x:v>
      </x:c>
      <x:c r="T240" s="2" t="str">
        <x:v>Not compared</x:v>
      </x:c>
      <x:c r="U240" s="2" t="str">
        <x:v>Not tested</x:v>
      </x:c>
      <x:c r="V240" s="2" t="str">
        <x:v>NR</x:v>
      </x:c>
      <x:c r="W240" s="2" t="str">
        <x:v>NR</x:v>
      </x:c>
      <x:c r="X240" s="2" t="str">
        <x:v>NR</x:v>
      </x:c>
      <x:c r="Y240" s="2" t="str">
        <x:v>NR</x:v>
      </x:c>
      <x:c r="Z240" s="2" t="str">
        <x:v>No</x:v>
      </x:c>
      <x:c r="AA240" s="6" t="str">
        <x:v>p. 3; Section IV-A</x:v>
      </x:c>
      <x:c r="AB240" s="6" t="str">
        <x:v>The average BTA is 0.95 for GPT-4o and 0.96 for Llama 3.1</x:v>
      </x:c>
      <x:c r="AC240" s="6" t="str">
        <x:v>RQ1中Llama 3.1在无气味需求下的二元追踪准确率，但表III显示均值为0.95，文本可能有误。</x:v>
      </x:c>
      <x:c r="AD240" s="2" t="str">
        <x:v>Accepted</x:v>
      </x:c>
      <x:c r="AE240" s="6" t="str">
        <x:v>NA</x:v>
      </x:c>
    </x:row>
    <x:row r="241" ht="76" customHeight="1">
      <x:c r="A241" s="2" t="str">
        <x:v>S19-RESULT-R03</x:v>
      </x:c>
      <x:c r="B241" s="2" t="str">
        <x:v>S19</x:v>
      </x:c>
      <x:c r="C241" s="2" t="str">
        <x:v>merged_1150</x:v>
      </x:c>
      <x:c r="D241" s="2" t="str">
        <x:v>Reviewer_A</x:v>
      </x:c>
      <x:c r="E241" s="2" t="str">
        <x:v>Reviewer_A</x:v>
      </x:c>
      <x:c r="F241" s="2" t="str">
        <x:v>S19-R03</x:v>
      </x:c>
      <x:c r="G241" s="2" t="str">
        <x:v>S19-EV01</x:v>
      </x:c>
      <x:c r="H241" s="2" t="str">
        <x:v>S19-T01</x:v>
      </x:c>
      <x:c r="I241" s="2" t="str">
        <x:v>S19-MU01</x:v>
      </x:c>
      <x:c r="J241" s="2" t="str">
        <x:v>five curated games</x:v>
      </x:c>
      <x:c r="K241" s="2" t="str">
        <x:v>GPT-4o (0% smelly requirements)</x:v>
      </x:c>
      <x:c r="L241" s="2" t="str">
        <x:v>No</x:v>
      </x:c>
      <x:c r="M241" s="2" t="str">
        <x:v>LOC F1</x:v>
      </x:c>
      <x:c r="N241" s="6" t="str">
        <x:v>0.68</x:v>
      </x:c>
      <x:c r="O241" s="2" t="n">
        <x:v>0.68</x:v>
      </x:c>
      <x:c r="P241" s="2" t="str">
        <x:v>proportion</x:v>
      </x:c>
      <x:c r="Q241" s="6" t="str">
        <x:v>No</x:v>
      </x:c>
      <x:c r="R241" s="2" t="str">
        <x:v>NA</x:v>
      </x:c>
      <x:c r="S241" s="2" t="str">
        <x:v>NR</x:v>
      </x:c>
      <x:c r="T241" s="2" t="str">
        <x:v>Not compared</x:v>
      </x:c>
      <x:c r="U241" s="2" t="str">
        <x:v>Not tested</x:v>
      </x:c>
      <x:c r="V241" s="2" t="str">
        <x:v>NR</x:v>
      </x:c>
      <x:c r="W241" s="2" t="str">
        <x:v>NR</x:v>
      </x:c>
      <x:c r="X241" s="2" t="str">
        <x:v>NR</x:v>
      </x:c>
      <x:c r="Y241" s="2" t="str">
        <x:v>NR</x:v>
      </x:c>
      <x:c r="Z241" s="2" t="str">
        <x:v>No</x:v>
      </x:c>
      <x:c r="AA241" s="6" t="str">
        <x:v>p. 3; Table III</x:v>
      </x:c>
      <x:c r="AB241" s="6" t="str">
        <x:v>Mean 0.96 0.67 0.79 0.68 0.95 0.62 0.68 0.60</x:v>
      </x:c>
      <x:c r="AC241" s="6" t="str">
        <x:v>GPT-4o在无气味需求下的LOC追踪F1均值。</x:v>
      </x:c>
      <x:c r="AD241" s="2" t="str">
        <x:v>Accepted</x:v>
      </x:c>
      <x:c r="AE241" s="6" t="str">
        <x:v>NA</x:v>
      </x:c>
    </x:row>
    <x:row r="242" ht="76" customHeight="1">
      <x:c r="A242" s="2" t="str">
        <x:v>S19-RESULT-R04</x:v>
      </x:c>
      <x:c r="B242" s="2" t="str">
        <x:v>S19</x:v>
      </x:c>
      <x:c r="C242" s="2" t="str">
        <x:v>merged_1150</x:v>
      </x:c>
      <x:c r="D242" s="2" t="str">
        <x:v>Reviewer_A</x:v>
      </x:c>
      <x:c r="E242" s="2" t="str">
        <x:v>Reviewer_A</x:v>
      </x:c>
      <x:c r="F242" s="2" t="str">
        <x:v>S19-R04</x:v>
      </x:c>
      <x:c r="G242" s="2" t="str">
        <x:v>S19-EV01</x:v>
      </x:c>
      <x:c r="H242" s="2" t="str">
        <x:v>S19-T01</x:v>
      </x:c>
      <x:c r="I242" s="2" t="str">
        <x:v>S19-MU02</x:v>
      </x:c>
      <x:c r="J242" s="2" t="str">
        <x:v>five curated games</x:v>
      </x:c>
      <x:c r="K242" s="2" t="str">
        <x:v>Llama 3.1 (0% smelly requirements)</x:v>
      </x:c>
      <x:c r="L242" s="2" t="str">
        <x:v>No</x:v>
      </x:c>
      <x:c r="M242" s="2" t="str">
        <x:v>LOC F1</x:v>
      </x:c>
      <x:c r="N242" s="6" t="str">
        <x:v>0.60</x:v>
      </x:c>
      <x:c r="O242" s="2" t="n">
        <x:v>0.6</x:v>
      </x:c>
      <x:c r="P242" s="2" t="str">
        <x:v>proportion</x:v>
      </x:c>
      <x:c r="Q242" s="6" t="str">
        <x:v>No</x:v>
      </x:c>
      <x:c r="R242" s="2" t="str">
        <x:v>NA</x:v>
      </x:c>
      <x:c r="S242" s="2" t="str">
        <x:v>NR</x:v>
      </x:c>
      <x:c r="T242" s="2" t="str">
        <x:v>Not compared</x:v>
      </x:c>
      <x:c r="U242" s="2" t="str">
        <x:v>Not tested</x:v>
      </x:c>
      <x:c r="V242" s="2" t="str">
        <x:v>NR</x:v>
      </x:c>
      <x:c r="W242" s="2" t="str">
        <x:v>NR</x:v>
      </x:c>
      <x:c r="X242" s="2" t="str">
        <x:v>NR</x:v>
      </x:c>
      <x:c r="Y242" s="2" t="str">
        <x:v>NR</x:v>
      </x:c>
      <x:c r="Z242" s="2" t="str">
        <x:v>No</x:v>
      </x:c>
      <x:c r="AA242" s="6" t="str">
        <x:v>p. 3; Table III</x:v>
      </x:c>
      <x:c r="AB242" s="6" t="str">
        <x:v>Mean 0.96 0.67 0.79 0.68 0.95 0.62 0.68 0.60</x:v>
      </x:c>
      <x:c r="AC242" s="6" t="str">
        <x:v>Llama 3.1在无气味需求下的LOC追踪F1均值。</x:v>
      </x:c>
      <x:c r="AD242" s="2" t="str">
        <x:v>Accepted</x:v>
      </x:c>
      <x:c r="AE242" s="6" t="str">
        <x:v>NA</x:v>
      </x:c>
    </x:row>
    <x:row r="243" ht="76" customHeight="1">
      <x:c r="A243" s="2" t="str">
        <x:v>S19-RESULT-R05</x:v>
      </x:c>
      <x:c r="B243" s="2" t="str">
        <x:v>S19</x:v>
      </x:c>
      <x:c r="C243" s="2" t="str">
        <x:v>merged_1150</x:v>
      </x:c>
      <x:c r="D243" s="2" t="str">
        <x:v>Reviewer_A</x:v>
      </x:c>
      <x:c r="E243" s="2" t="str">
        <x:v>Reviewer_A</x:v>
      </x:c>
      <x:c r="F243" s="2" t="str">
        <x:v>S19-R05</x:v>
      </x:c>
      <x:c r="G243" s="2" t="str">
        <x:v>S19-EV01</x:v>
      </x:c>
      <x:c r="H243" s="2" t="str">
        <x:v>S19-T01</x:v>
      </x:c>
      <x:c r="I243" s="2" t="str">
        <x:v>S19-MU01</x:v>
      </x:c>
      <x:c r="J243" s="2" t="str">
        <x:v>five curated games</x:v>
      </x:c>
      <x:c r="K243" s="2" t="str">
        <x:v>GLMM analysis of smelly ratio impact on BTA</x:v>
      </x:c>
      <x:c r="L243" s="2" t="str">
        <x:v>No</x:v>
      </x:c>
      <x:c r="M243" s="2" t="str">
        <x:v>BTA change per 10% smelly requirements</x:v>
      </x:c>
      <x:c r="N243" s="6" t="str">
        <x:v>decreases by 0.01</x:v>
      </x:c>
      <x:c r="O243" s="2" t="n">
        <x:v>-0.01</x:v>
      </x:c>
      <x:c r="P243" s="2" t="str">
        <x:v>other explicit unit</x:v>
      </x:c>
      <x:c r="Q243" s="6" t="str">
        <x:v>No</x:v>
      </x:c>
      <x:c r="R243" s="2" t="str">
        <x:v>NA</x:v>
      </x:c>
      <x:c r="S243" s="2" t="str">
        <x:v>confidence interval [-0.002, -0.001]</x:v>
      </x:c>
      <x:c r="T243" s="2" t="str">
        <x:v>Worse</x:v>
      </x:c>
      <x:c r="U243" s="2" t="str">
        <x:v>Significant</x:v>
      </x:c>
      <x:c r="V243" s="2" t="str">
        <x:v>NR</x:v>
      </x:c>
      <x:c r="W243" s="2" t="str">
        <x:v>NR</x:v>
      </x:c>
      <x:c r="X243" s="2" t="str">
        <x:v>NR</x:v>
      </x:c>
      <x:c r="Y243" s="2" t="str">
        <x:v>NR</x:v>
      </x:c>
      <x:c r="Z243" s="2" t="str">
        <x:v>No</x:v>
      </x:c>
      <x:c r="AA243" s="6" t="str">
        <x:v>p. 3; Section IV-B</x:v>
      </x:c>
      <x:c r="AB243" s="6" t="str">
        <x:v>The model coefficient is -0.001, meaning that for every 10% increase in smelly requirements, the BTA decreases by 0.01.</x:v>
      </x:c>
      <x:c r="AC243" s="6" t="str">
        <x:v>RQ2：需求气味比例对BTA有显著负影响。</x:v>
      </x:c>
      <x:c r="AD243" s="2" t="str">
        <x:v>Accepted</x:v>
      </x:c>
      <x:c r="AE243" s="6" t="str">
        <x:v>NA</x:v>
      </x:c>
    </x:row>
    <x:row r="244" ht="76" customHeight="1">
      <x:c r="A244" s="2" t="str">
        <x:v>S19-RESULT-R06</x:v>
      </x:c>
      <x:c r="B244" s="2" t="str">
        <x:v>S19</x:v>
      </x:c>
      <x:c r="C244" s="2" t="str">
        <x:v>merged_1150</x:v>
      </x:c>
      <x:c r="D244" s="2" t="str">
        <x:v>Reviewer_A</x:v>
      </x:c>
      <x:c r="E244" s="2" t="str">
        <x:v>Reviewer_A</x:v>
      </x:c>
      <x:c r="F244" s="2" t="str">
        <x:v>S19-R06</x:v>
      </x:c>
      <x:c r="G244" s="2" t="str">
        <x:v>S19-EV01</x:v>
      </x:c>
      <x:c r="H244" s="2" t="str">
        <x:v>S19-T01</x:v>
      </x:c>
      <x:c r="I244" s="2" t="str">
        <x:v>S19-MU01</x:v>
      </x:c>
      <x:c r="J244" s="2" t="str">
        <x:v>five curated games</x:v>
      </x:c>
      <x:c r="K244" s="2" t="str">
        <x:v>GLMM analysis of smelly ratio impact on LOC F1</x:v>
      </x:c>
      <x:c r="L244" s="2" t="str">
        <x:v>No</x:v>
      </x:c>
      <x:c r="M244" s="2" t="str">
        <x:v>F1 change per 1% smelly requirements</x:v>
      </x:c>
      <x:c r="N244" s="6" t="str">
        <x:v>-0.001</x:v>
      </x:c>
      <x:c r="O244" s="2" t="n">
        <x:v>-0.001</x:v>
      </x:c>
      <x:c r="P244" s="2" t="str">
        <x:v>other explicit unit</x:v>
      </x:c>
      <x:c r="Q244" s="6" t="str">
        <x:v>No</x:v>
      </x:c>
      <x:c r="R244" s="2" t="str">
        <x:v>NA</x:v>
      </x:c>
      <x:c r="S244" s="2" t="str">
        <x:v>NR</x:v>
      </x:c>
      <x:c r="T244" s="2" t="str">
        <x:v>Not compared</x:v>
      </x:c>
      <x:c r="U244" s="2" t="str">
        <x:v>Not significant</x:v>
      </x:c>
      <x:c r="V244" s="2" t="str">
        <x:v>NR</x:v>
      </x:c>
      <x:c r="W244" s="2" t="str">
        <x:v>NR</x:v>
      </x:c>
      <x:c r="X244" s="2" t="str">
        <x:v>NR</x:v>
      </x:c>
      <x:c r="Y244" s="2" t="str">
        <x:v>NR</x:v>
      </x:c>
      <x:c r="Z244" s="2" t="str">
        <x:v>Yes</x:v>
      </x:c>
      <x:c r="AA244" s="6" t="str">
        <x:v>p. 3; Section IV-B</x:v>
      </x:c>
      <x:c r="AB244" s="6" t="str">
        <x:v>The model coefficient of −0.001 was not statistically significant (p = 0.055).</x:v>
      </x:c>
      <x:c r="AC244" s="6" t="str">
        <x:v>RQ2：需求气味比例对LOC F1的影响不显著，为无效结果。</x:v>
      </x:c>
      <x:c r="AD244" s="2" t="str">
        <x:v>Accepted</x:v>
      </x:c>
      <x:c r="AE244" s="6" t="str">
        <x:v>NA</x:v>
      </x:c>
    </x:row>
    <x:row r="245" ht="76" customHeight="1">
      <x:c r="A245" s="2" t="str">
        <x:v>S19-RESULT-R07</x:v>
      </x:c>
      <x:c r="B245" s="2" t="str">
        <x:v>S19</x:v>
      </x:c>
      <x:c r="C245" s="2" t="str">
        <x:v>merged_1150</x:v>
      </x:c>
      <x:c r="D245" s="2" t="str">
        <x:v>Reviewer_A</x:v>
      </x:c>
      <x:c r="E245" s="2" t="str">
        <x:v>Reviewer_A</x:v>
      </x:c>
      <x:c r="F245" s="2" t="str">
        <x:v>S19-R07</x:v>
      </x:c>
      <x:c r="G245" s="2" t="str">
        <x:v>S19-EV01</x:v>
      </x:c>
      <x:c r="H245" s="2" t="str">
        <x:v>S19-T01</x:v>
      </x:c>
      <x:c r="I245" s="2" t="str">
        <x:v>S19-MU01</x:v>
      </x:c>
      <x:c r="J245" s="2" t="str">
        <x:v>five curated games</x:v>
      </x:c>
      <x:c r="K245" s="2" t="str">
        <x:v>GPT-4o on lexical smells</x:v>
      </x:c>
      <x:c r="L245" s="2" t="str">
        <x:v>No</x:v>
      </x:c>
      <x:c r="M245" s="2" t="str">
        <x:v>BTA</x:v>
      </x:c>
      <x:c r="N245" s="6" t="str">
        <x:v>0.90</x:v>
      </x:c>
      <x:c r="O245" s="2" t="n">
        <x:v>0.9</x:v>
      </x:c>
      <x:c r="P245" s="2" t="str">
        <x:v>%</x:v>
      </x:c>
      <x:c r="Q245" s="6" t="str">
        <x:v>No</x:v>
      </x:c>
      <x:c r="R245" s="2" t="str">
        <x:v>NA</x:v>
      </x:c>
      <x:c r="S245" s="2" t="str">
        <x:v>NR</x:v>
      </x:c>
      <x:c r="T245" s="2" t="str">
        <x:v>Not compared</x:v>
      </x:c>
      <x:c r="U245" s="2" t="str">
        <x:v>Not tested</x:v>
      </x:c>
      <x:c r="V245" s="2" t="str">
        <x:v>NR</x:v>
      </x:c>
      <x:c r="W245" s="2" t="str">
        <x:v>NR</x:v>
      </x:c>
      <x:c r="X245" s="2" t="str">
        <x:v>NR</x:v>
      </x:c>
      <x:c r="Y245" s="2" t="str">
        <x:v>NR</x:v>
      </x:c>
      <x:c r="Z245" s="2" t="str">
        <x:v>No</x:v>
      </x:c>
      <x:c r="AA245" s="6" t="str">
        <x:v>p. 4; Table IV</x:v>
      </x:c>
      <x:c r="AB245" s="6" t="str">
        <x:v>lexical 0.90 0.69 0.76 0.69 0.83 0.65 0.68 0.69</x:v>
      </x:c>
      <x:c r="AC245" s="6" t="str">
        <x:v>RQ3：词汇气味下GPT-4o的BTA。</x:v>
      </x:c>
      <x:c r="AD245" s="2" t="str">
        <x:v>Accepted</x:v>
      </x:c>
      <x:c r="AE245" s="6" t="str">
        <x:v>NA</x:v>
      </x:c>
    </x:row>
    <x:row r="246" ht="76" customHeight="1">
      <x:c r="A246" s="2" t="str">
        <x:v>S19-RESULT-R08</x:v>
      </x:c>
      <x:c r="B246" s="2" t="str">
        <x:v>S19</x:v>
      </x:c>
      <x:c r="C246" s="2" t="str">
        <x:v>merged_1150</x:v>
      </x:c>
      <x:c r="D246" s="2" t="str">
        <x:v>Reviewer_A</x:v>
      </x:c>
      <x:c r="E246" s="2" t="str">
        <x:v>Reviewer_A</x:v>
      </x:c>
      <x:c r="F246" s="2" t="str">
        <x:v>S19-R08</x:v>
      </x:c>
      <x:c r="G246" s="2" t="str">
        <x:v>S19-EV01</x:v>
      </x:c>
      <x:c r="H246" s="2" t="str">
        <x:v>S19-T01</x:v>
      </x:c>
      <x:c r="I246" s="2" t="str">
        <x:v>S19-MU01</x:v>
      </x:c>
      <x:c r="J246" s="2" t="str">
        <x:v>five curated games</x:v>
      </x:c>
      <x:c r="K246" s="2" t="str">
        <x:v>GPT-4o on lexical smells</x:v>
      </x:c>
      <x:c r="L246" s="2" t="str">
        <x:v>No</x:v>
      </x:c>
      <x:c r="M246" s="2" t="str">
        <x:v>LOC F1</x:v>
      </x:c>
      <x:c r="N246" s="6" t="str">
        <x:v>0.69</x:v>
      </x:c>
      <x:c r="O246" s="2" t="n">
        <x:v>0.69</x:v>
      </x:c>
      <x:c r="P246" s="2" t="str">
        <x:v>proportion</x:v>
      </x:c>
      <x:c r="Q246" s="6" t="str">
        <x:v>No</x:v>
      </x:c>
      <x:c r="R246" s="2" t="str">
        <x:v>NA</x:v>
      </x:c>
      <x:c r="S246" s="2" t="str">
        <x:v>NR</x:v>
      </x:c>
      <x:c r="T246" s="2" t="str">
        <x:v>Not compared</x:v>
      </x:c>
      <x:c r="U246" s="2" t="str">
        <x:v>Not tested</x:v>
      </x:c>
      <x:c r="V246" s="2" t="str">
        <x:v>NR</x:v>
      </x:c>
      <x:c r="W246" s="2" t="str">
        <x:v>NR</x:v>
      </x:c>
      <x:c r="X246" s="2" t="str">
        <x:v>NR</x:v>
      </x:c>
      <x:c r="Y246" s="2" t="str">
        <x:v>NR</x:v>
      </x:c>
      <x:c r="Z246" s="2" t="str">
        <x:v>No</x:v>
      </x:c>
      <x:c r="AA246" s="6" t="str">
        <x:v>p. 4; Table IV</x:v>
      </x:c>
      <x:c r="AB246" s="6" t="str">
        <x:v>lexical 0.90 0.69 0.76 0.69 0.83 0.65 0.68 0.69</x:v>
      </x:c>
      <x:c r="AC246" s="6" t="str">
        <x:v>RQ3：词汇气味下GPT-4o的LOC F1。</x:v>
      </x:c>
      <x:c r="AD246" s="2" t="str">
        <x:v>Accepted</x:v>
      </x:c>
      <x:c r="AE246" s="6" t="str">
        <x:v>NA</x:v>
      </x:c>
    </x:row>
    <x:row r="247" ht="76" customHeight="1">
      <x:c r="A247" s="2" t="str">
        <x:v>S19-RESULT-R09</x:v>
      </x:c>
      <x:c r="B247" s="2" t="str">
        <x:v>S19</x:v>
      </x:c>
      <x:c r="C247" s="2" t="str">
        <x:v>merged_1150</x:v>
      </x:c>
      <x:c r="D247" s="2" t="str">
        <x:v>Reviewer_A</x:v>
      </x:c>
      <x:c r="E247" s="2" t="str">
        <x:v>Reviewer_A</x:v>
      </x:c>
      <x:c r="F247" s="2" t="str">
        <x:v>S19-R09</x:v>
      </x:c>
      <x:c r="G247" s="2" t="str">
        <x:v>S19-EV01</x:v>
      </x:c>
      <x:c r="H247" s="2" t="str">
        <x:v>S19-T01</x:v>
      </x:c>
      <x:c r="I247" s="2" t="str">
        <x:v>S19-MU01</x:v>
      </x:c>
      <x:c r="J247" s="2" t="str">
        <x:v>five curated games</x:v>
      </x:c>
      <x:c r="K247" s="2" t="str">
        <x:v>GPT-4o on syntactic smells</x:v>
      </x:c>
      <x:c r="L247" s="2" t="str">
        <x:v>No</x:v>
      </x:c>
      <x:c r="M247" s="2" t="str">
        <x:v>BTA</x:v>
      </x:c>
      <x:c r="N247" s="6" t="str">
        <x:v>0.98</x:v>
      </x:c>
      <x:c r="O247" s="2" t="n">
        <x:v>0.98</x:v>
      </x:c>
      <x:c r="P247" s="2" t="str">
        <x:v>%</x:v>
      </x:c>
      <x:c r="Q247" s="6" t="str">
        <x:v>No</x:v>
      </x:c>
      <x:c r="R247" s="2" t="str">
        <x:v>NA</x:v>
      </x:c>
      <x:c r="S247" s="2" t="str">
        <x:v>NR</x:v>
      </x:c>
      <x:c r="T247" s="2" t="str">
        <x:v>Not compared</x:v>
      </x:c>
      <x:c r="U247" s="2" t="str">
        <x:v>Not tested</x:v>
      </x:c>
      <x:c r="V247" s="2" t="str">
        <x:v>NR</x:v>
      </x:c>
      <x:c r="W247" s="2" t="str">
        <x:v>NR</x:v>
      </x:c>
      <x:c r="X247" s="2" t="str">
        <x:v>NR</x:v>
      </x:c>
      <x:c r="Y247" s="2" t="str">
        <x:v>NR</x:v>
      </x:c>
      <x:c r="Z247" s="2" t="str">
        <x:v>No</x:v>
      </x:c>
      <x:c r="AA247" s="6" t="str">
        <x:v>p. 4; Table IV</x:v>
      </x:c>
      <x:c r="AB247" s="6" t="str">
        <x:v>syntactic 0.98 0.74 0.84 0.73 0.91 0.76 0.75 0.73</x:v>
      </x:c>
      <x:c r="AC247" s="6" t="str">
        <x:v>RQ3：语法气味下GPT-4o的BTA。</x:v>
      </x:c>
      <x:c r="AD247" s="2" t="str">
        <x:v>Accepted</x:v>
      </x:c>
      <x:c r="AE247" s="6" t="str">
        <x:v>NA</x:v>
      </x:c>
    </x:row>
    <x:row r="248" ht="76" customHeight="1">
      <x:c r="A248" s="2" t="str">
        <x:v>S19-RESULT-R10</x:v>
      </x:c>
      <x:c r="B248" s="2" t="str">
        <x:v>S19</x:v>
      </x:c>
      <x:c r="C248" s="2" t="str">
        <x:v>merged_1150</x:v>
      </x:c>
      <x:c r="D248" s="2" t="str">
        <x:v>Reviewer_A</x:v>
      </x:c>
      <x:c r="E248" s="2" t="str">
        <x:v>Reviewer_A</x:v>
      </x:c>
      <x:c r="F248" s="2" t="str">
        <x:v>S19-R10</x:v>
      </x:c>
      <x:c r="G248" s="2" t="str">
        <x:v>S19-EV01</x:v>
      </x:c>
      <x:c r="H248" s="2" t="str">
        <x:v>S19-T01</x:v>
      </x:c>
      <x:c r="I248" s="2" t="str">
        <x:v>S19-MU01</x:v>
      </x:c>
      <x:c r="J248" s="2" t="str">
        <x:v>five curated games</x:v>
      </x:c>
      <x:c r="K248" s="2" t="str">
        <x:v>GPT-4o on syntactic smells</x:v>
      </x:c>
      <x:c r="L248" s="2" t="str">
        <x:v>No</x:v>
      </x:c>
      <x:c r="M248" s="2" t="str">
        <x:v>LOC F1</x:v>
      </x:c>
      <x:c r="N248" s="6" t="str">
        <x:v>0.73</x:v>
      </x:c>
      <x:c r="O248" s="2" t="n">
        <x:v>0.73</x:v>
      </x:c>
      <x:c r="P248" s="2" t="str">
        <x:v>proportion</x:v>
      </x:c>
      <x:c r="Q248" s="6" t="str">
        <x:v>No</x:v>
      </x:c>
      <x:c r="R248" s="2" t="str">
        <x:v>NA</x:v>
      </x:c>
      <x:c r="S248" s="2" t="str">
        <x:v>NR</x:v>
      </x:c>
      <x:c r="T248" s="2" t="str">
        <x:v>Not compared</x:v>
      </x:c>
      <x:c r="U248" s="2" t="str">
        <x:v>Not tested</x:v>
      </x:c>
      <x:c r="V248" s="2" t="str">
        <x:v>NR</x:v>
      </x:c>
      <x:c r="W248" s="2" t="str">
        <x:v>NR</x:v>
      </x:c>
      <x:c r="X248" s="2" t="str">
        <x:v>NR</x:v>
      </x:c>
      <x:c r="Y248" s="2" t="str">
        <x:v>NR</x:v>
      </x:c>
      <x:c r="Z248" s="2" t="str">
        <x:v>No</x:v>
      </x:c>
      <x:c r="AA248" s="6" t="str">
        <x:v>p. 4; Table IV</x:v>
      </x:c>
      <x:c r="AB248" s="6" t="str">
        <x:v>syntactic 0.98 0.74 0.84 0.73 0.91 0.76 0.75 0.73</x:v>
      </x:c>
      <x:c r="AC248" s="6" t="str">
        <x:v>RQ3：语法气味下GPT-4o的LOC F1。</x:v>
      </x:c>
      <x:c r="AD248" s="2" t="str">
        <x:v>Accepted</x:v>
      </x:c>
      <x:c r="AE248" s="6" t="str">
        <x:v>NA</x:v>
      </x:c>
    </x:row>
    <x:row r="249" ht="76" customHeight="1">
      <x:c r="A249" s="2" t="str">
        <x:v>S19-RESULT-R11</x:v>
      </x:c>
      <x:c r="B249" s="2" t="str">
        <x:v>S19</x:v>
      </x:c>
      <x:c r="C249" s="2" t="str">
        <x:v>merged_1150</x:v>
      </x:c>
      <x:c r="D249" s="2" t="str">
        <x:v>Reviewer_A</x:v>
      </x:c>
      <x:c r="E249" s="2" t="str">
        <x:v>Reviewer_A</x:v>
      </x:c>
      <x:c r="F249" s="2" t="str">
        <x:v>S19-R11</x:v>
      </x:c>
      <x:c r="G249" s="2" t="str">
        <x:v>S19-EV01</x:v>
      </x:c>
      <x:c r="H249" s="2" t="str">
        <x:v>S19-T01</x:v>
      </x:c>
      <x:c r="I249" s="2" t="str">
        <x:v>S19-MU01</x:v>
      </x:c>
      <x:c r="J249" s="2" t="str">
        <x:v>five curated games</x:v>
      </x:c>
      <x:c r="K249" s="2" t="str">
        <x:v>GPT-4o on semantic smells</x:v>
      </x:c>
      <x:c r="L249" s="2" t="str">
        <x:v>No</x:v>
      </x:c>
      <x:c r="M249" s="2" t="str">
        <x:v>BTA</x:v>
      </x:c>
      <x:c r="N249" s="6" t="str">
        <x:v>0.83</x:v>
      </x:c>
      <x:c r="O249" s="2" t="n">
        <x:v>0.83</x:v>
      </x:c>
      <x:c r="P249" s="2" t="str">
        <x:v>%</x:v>
      </x:c>
      <x:c r="Q249" s="6" t="str">
        <x:v>No</x:v>
      </x:c>
      <x:c r="R249" s="2" t="str">
        <x:v>NA</x:v>
      </x:c>
      <x:c r="S249" s="2" t="str">
        <x:v>NR</x:v>
      </x:c>
      <x:c r="T249" s="2" t="str">
        <x:v>Not compared</x:v>
      </x:c>
      <x:c r="U249" s="2" t="str">
        <x:v>Not tested</x:v>
      </x:c>
      <x:c r="V249" s="2" t="str">
        <x:v>NR</x:v>
      </x:c>
      <x:c r="W249" s="2" t="str">
        <x:v>NR</x:v>
      </x:c>
      <x:c r="X249" s="2" t="str">
        <x:v>NR</x:v>
      </x:c>
      <x:c r="Y249" s="2" t="str">
        <x:v>NR</x:v>
      </x:c>
      <x:c r="Z249" s="2" t="str">
        <x:v>No</x:v>
      </x:c>
      <x:c r="AA249" s="6" t="str">
        <x:v>p. 4; Table IV</x:v>
      </x:c>
      <x:c r="AB249" s="6" t="str">
        <x:v>semantic 0.83 0.63 0.76 0.63 0.86 0.64 0.70 0.63</x:v>
      </x:c>
      <x:c r="AC249" s="6" t="str">
        <x:v>RQ3：语义气味下GPT-4o的BTA。</x:v>
      </x:c>
      <x:c r="AD249" s="2" t="str">
        <x:v>Accepted</x:v>
      </x:c>
      <x:c r="AE249" s="6" t="str">
        <x:v>NA</x:v>
      </x:c>
    </x:row>
    <x:row r="250" ht="76" customHeight="1">
      <x:c r="A250" s="2" t="str">
        <x:v>S19-RESULT-R12</x:v>
      </x:c>
      <x:c r="B250" s="2" t="str">
        <x:v>S19</x:v>
      </x:c>
      <x:c r="C250" s="2" t="str">
        <x:v>merged_1150</x:v>
      </x:c>
      <x:c r="D250" s="2" t="str">
        <x:v>Reviewer_A</x:v>
      </x:c>
      <x:c r="E250" s="2" t="str">
        <x:v>Reviewer_A</x:v>
      </x:c>
      <x:c r="F250" s="2" t="str">
        <x:v>S19-R12</x:v>
      </x:c>
      <x:c r="G250" s="2" t="str">
        <x:v>S19-EV01</x:v>
      </x:c>
      <x:c r="H250" s="2" t="str">
        <x:v>S19-T01</x:v>
      </x:c>
      <x:c r="I250" s="2" t="str">
        <x:v>S19-MU01</x:v>
      </x:c>
      <x:c r="J250" s="2" t="str">
        <x:v>five curated games</x:v>
      </x:c>
      <x:c r="K250" s="2" t="str">
        <x:v>GPT-4o on semantic smells</x:v>
      </x:c>
      <x:c r="L250" s="2" t="str">
        <x:v>No</x:v>
      </x:c>
      <x:c r="M250" s="2" t="str">
        <x:v>LOC F1</x:v>
      </x:c>
      <x:c r="N250" s="6" t="str">
        <x:v>0.63</x:v>
      </x:c>
      <x:c r="O250" s="2" t="n">
        <x:v>0.63</x:v>
      </x:c>
      <x:c r="P250" s="2" t="str">
        <x:v>proportion</x:v>
      </x:c>
      <x:c r="Q250" s="6" t="str">
        <x:v>No</x:v>
      </x:c>
      <x:c r="R250" s="2" t="str">
        <x:v>NA</x:v>
      </x:c>
      <x:c r="S250" s="2" t="str">
        <x:v>NR</x:v>
      </x:c>
      <x:c r="T250" s="2" t="str">
        <x:v>Not compared</x:v>
      </x:c>
      <x:c r="U250" s="2" t="str">
        <x:v>Not tested</x:v>
      </x:c>
      <x:c r="V250" s="2" t="str">
        <x:v>NR</x:v>
      </x:c>
      <x:c r="W250" s="2" t="str">
        <x:v>NR</x:v>
      </x:c>
      <x:c r="X250" s="2" t="str">
        <x:v>NR</x:v>
      </x:c>
      <x:c r="Y250" s="2" t="str">
        <x:v>NR</x:v>
      </x:c>
      <x:c r="Z250" s="2" t="str">
        <x:v>No</x:v>
      </x:c>
      <x:c r="AA250" s="6" t="str">
        <x:v>p. 4; Table IV</x:v>
      </x:c>
      <x:c r="AB250" s="6" t="str">
        <x:v>semantic 0.83 0.63 0.76 0.63 0.86 0.64 0.70 0.63</x:v>
      </x:c>
      <x:c r="AC250" s="6" t="str">
        <x:v>RQ3：语义气味下GPT-4o的LOC F1。</x:v>
      </x:c>
      <x:c r="AD250" s="2" t="str">
        <x:v>Accepted</x:v>
      </x:c>
      <x:c r="AE250" s="6" t="str">
        <x:v>NA</x:v>
      </x:c>
    </x:row>
    <x:row r="251" ht="76" customHeight="1">
      <x:c r="A251" s="2" t="str">
        <x:v>S19-RESULT-R13</x:v>
      </x:c>
      <x:c r="B251" s="2" t="str">
        <x:v>S19</x:v>
      </x:c>
      <x:c r="C251" s="2" t="str">
        <x:v>merged_1150</x:v>
      </x:c>
      <x:c r="D251" s="2" t="str">
        <x:v>Reviewer_A</x:v>
      </x:c>
      <x:c r="E251" s="2" t="str">
        <x:v>Reviewer_A</x:v>
      </x:c>
      <x:c r="F251" s="2" t="str">
        <x:v>S19-R13</x:v>
      </x:c>
      <x:c r="G251" s="2" t="str">
        <x:v>S19-EV01</x:v>
      </x:c>
      <x:c r="H251" s="2" t="str">
        <x:v>S19-T01</x:v>
      </x:c>
      <x:c r="I251" s="2" t="str">
        <x:v>S19-MU02</x:v>
      </x:c>
      <x:c r="J251" s="2" t="str">
        <x:v>five curated games</x:v>
      </x:c>
      <x:c r="K251" s="2" t="str">
        <x:v>Llama 3.1 on lexical smells</x:v>
      </x:c>
      <x:c r="L251" s="2" t="str">
        <x:v>No</x:v>
      </x:c>
      <x:c r="M251" s="2" t="str">
        <x:v>BTA</x:v>
      </x:c>
      <x:c r="N251" s="6" t="str">
        <x:v>0.83</x:v>
      </x:c>
      <x:c r="O251" s="2" t="n">
        <x:v>0.83</x:v>
      </x:c>
      <x:c r="P251" s="2" t="str">
        <x:v>%</x:v>
      </x:c>
      <x:c r="Q251" s="6" t="str">
        <x:v>No</x:v>
      </x:c>
      <x:c r="R251" s="2" t="str">
        <x:v>NA</x:v>
      </x:c>
      <x:c r="S251" s="2" t="str">
        <x:v>NR</x:v>
      </x:c>
      <x:c r="T251" s="2" t="str">
        <x:v>Not compared</x:v>
      </x:c>
      <x:c r="U251" s="2" t="str">
        <x:v>Not tested</x:v>
      </x:c>
      <x:c r="V251" s="2" t="str">
        <x:v>NR</x:v>
      </x:c>
      <x:c r="W251" s="2" t="str">
        <x:v>NR</x:v>
      </x:c>
      <x:c r="X251" s="2" t="str">
        <x:v>NR</x:v>
      </x:c>
      <x:c r="Y251" s="2" t="str">
        <x:v>NR</x:v>
      </x:c>
      <x:c r="Z251" s="2" t="str">
        <x:v>No</x:v>
      </x:c>
      <x:c r="AA251" s="6" t="str">
        <x:v>p. 4; Table IV</x:v>
      </x:c>
      <x:c r="AB251" s="6" t="str">
        <x:v>lexical 0.90 0.69 0.76 0.69 0.83 0.65 0.68 0.69</x:v>
      </x:c>
      <x:c r="AC251" s="6" t="str">
        <x:v>RQ3：词汇气味下Llama 3.1的BTA。</x:v>
      </x:c>
      <x:c r="AD251" s="2" t="str">
        <x:v>Accepted</x:v>
      </x:c>
      <x:c r="AE251" s="6" t="str">
        <x:v>NA</x:v>
      </x:c>
    </x:row>
    <x:row r="252" ht="76" customHeight="1">
      <x:c r="A252" s="2" t="str">
        <x:v>S19-RESULT-R14</x:v>
      </x:c>
      <x:c r="B252" s="2" t="str">
        <x:v>S19</x:v>
      </x:c>
      <x:c r="C252" s="2" t="str">
        <x:v>merged_1150</x:v>
      </x:c>
      <x:c r="D252" s="2" t="str">
        <x:v>Reviewer_A</x:v>
      </x:c>
      <x:c r="E252" s="2" t="str">
        <x:v>Reviewer_A</x:v>
      </x:c>
      <x:c r="F252" s="2" t="str">
        <x:v>S19-R14</x:v>
      </x:c>
      <x:c r="G252" s="2" t="str">
        <x:v>S19-EV01</x:v>
      </x:c>
      <x:c r="H252" s="2" t="str">
        <x:v>S19-T01</x:v>
      </x:c>
      <x:c r="I252" s="2" t="str">
        <x:v>S19-MU02</x:v>
      </x:c>
      <x:c r="J252" s="2" t="str">
        <x:v>five curated games</x:v>
      </x:c>
      <x:c r="K252" s="2" t="str">
        <x:v>Llama 3.1 on lexical smells</x:v>
      </x:c>
      <x:c r="L252" s="2" t="str">
        <x:v>No</x:v>
      </x:c>
      <x:c r="M252" s="2" t="str">
        <x:v>LOC F1</x:v>
      </x:c>
      <x:c r="N252" s="6" t="str">
        <x:v>0.69</x:v>
      </x:c>
      <x:c r="O252" s="2" t="n">
        <x:v>0.69</x:v>
      </x:c>
      <x:c r="P252" s="2" t="str">
        <x:v>proportion</x:v>
      </x:c>
      <x:c r="Q252" s="6" t="str">
        <x:v>No</x:v>
      </x:c>
      <x:c r="R252" s="2" t="str">
        <x:v>NA</x:v>
      </x:c>
      <x:c r="S252" s="2" t="str">
        <x:v>NR</x:v>
      </x:c>
      <x:c r="T252" s="2" t="str">
        <x:v>Not compared</x:v>
      </x:c>
      <x:c r="U252" s="2" t="str">
        <x:v>Not tested</x:v>
      </x:c>
      <x:c r="V252" s="2" t="str">
        <x:v>NR</x:v>
      </x:c>
      <x:c r="W252" s="2" t="str">
        <x:v>NR</x:v>
      </x:c>
      <x:c r="X252" s="2" t="str">
        <x:v>NR</x:v>
      </x:c>
      <x:c r="Y252" s="2" t="str">
        <x:v>NR</x:v>
      </x:c>
      <x:c r="Z252" s="2" t="str">
        <x:v>No</x:v>
      </x:c>
      <x:c r="AA252" s="6" t="str">
        <x:v>p. 4; Table IV</x:v>
      </x:c>
      <x:c r="AB252" s="6" t="str">
        <x:v>lexical 0.90 0.69 0.76 0.69 0.83 0.65 0.68 0.69</x:v>
      </x:c>
      <x:c r="AC252" s="6" t="str">
        <x:v>RQ3：词汇气味下Llama 3.1的LOC F1。</x:v>
      </x:c>
      <x:c r="AD252" s="2" t="str">
        <x:v>Accepted</x:v>
      </x:c>
      <x:c r="AE252" s="6" t="str">
        <x:v>NA</x:v>
      </x:c>
    </x:row>
    <x:row r="253" ht="76" customHeight="1">
      <x:c r="A253" s="2" t="str">
        <x:v>S19-RESULT-R15</x:v>
      </x:c>
      <x:c r="B253" s="2" t="str">
        <x:v>S19</x:v>
      </x:c>
      <x:c r="C253" s="2" t="str">
        <x:v>merged_1150</x:v>
      </x:c>
      <x:c r="D253" s="2" t="str">
        <x:v>Reviewer_A</x:v>
      </x:c>
      <x:c r="E253" s="2" t="str">
        <x:v>Reviewer_A</x:v>
      </x:c>
      <x:c r="F253" s="2" t="str">
        <x:v>S19-R15</x:v>
      </x:c>
      <x:c r="G253" s="2" t="str">
        <x:v>S19-EV01</x:v>
      </x:c>
      <x:c r="H253" s="2" t="str">
        <x:v>S19-T01</x:v>
      </x:c>
      <x:c r="I253" s="2" t="str">
        <x:v>S19-MU02</x:v>
      </x:c>
      <x:c r="J253" s="2" t="str">
        <x:v>five curated games</x:v>
      </x:c>
      <x:c r="K253" s="2" t="str">
        <x:v>Llama 3.1 on syntactic smells</x:v>
      </x:c>
      <x:c r="L253" s="2" t="str">
        <x:v>No</x:v>
      </x:c>
      <x:c r="M253" s="2" t="str">
        <x:v>BTA</x:v>
      </x:c>
      <x:c r="N253" s="6" t="str">
        <x:v>0.91</x:v>
      </x:c>
      <x:c r="O253" s="2" t="n">
        <x:v>0.91</x:v>
      </x:c>
      <x:c r="P253" s="2" t="str">
        <x:v>%</x:v>
      </x:c>
      <x:c r="Q253" s="6" t="str">
        <x:v>No</x:v>
      </x:c>
      <x:c r="R253" s="2" t="str">
        <x:v>NA</x:v>
      </x:c>
      <x:c r="S253" s="2" t="str">
        <x:v>NR</x:v>
      </x:c>
      <x:c r="T253" s="2" t="str">
        <x:v>Not compared</x:v>
      </x:c>
      <x:c r="U253" s="2" t="str">
        <x:v>Not tested</x:v>
      </x:c>
      <x:c r="V253" s="2" t="str">
        <x:v>NR</x:v>
      </x:c>
      <x:c r="W253" s="2" t="str">
        <x:v>NR</x:v>
      </x:c>
      <x:c r="X253" s="2" t="str">
        <x:v>NR</x:v>
      </x:c>
      <x:c r="Y253" s="2" t="str">
        <x:v>NR</x:v>
      </x:c>
      <x:c r="Z253" s="2" t="str">
        <x:v>No</x:v>
      </x:c>
      <x:c r="AA253" s="6" t="str">
        <x:v>p. 4; Table IV</x:v>
      </x:c>
      <x:c r="AB253" s="6" t="str">
        <x:v>syntactic 0.98 0.74 0.84 0.73 0.91 0.76 0.75 0.73</x:v>
      </x:c>
      <x:c r="AC253" s="6" t="str">
        <x:v>RQ3：语法气味下Llama 3.1的BTA。</x:v>
      </x:c>
      <x:c r="AD253" s="2" t="str">
        <x:v>Accepted</x:v>
      </x:c>
      <x:c r="AE253" s="6" t="str">
        <x:v>NA</x:v>
      </x:c>
    </x:row>
    <x:row r="254" ht="76" customHeight="1">
      <x:c r="A254" s="2" t="str">
        <x:v>S19-RESULT-R16</x:v>
      </x:c>
      <x:c r="B254" s="2" t="str">
        <x:v>S19</x:v>
      </x:c>
      <x:c r="C254" s="2" t="str">
        <x:v>merged_1150</x:v>
      </x:c>
      <x:c r="D254" s="2" t="str">
        <x:v>Reviewer_A</x:v>
      </x:c>
      <x:c r="E254" s="2" t="str">
        <x:v>Reviewer_A</x:v>
      </x:c>
      <x:c r="F254" s="2" t="str">
        <x:v>S19-R16</x:v>
      </x:c>
      <x:c r="G254" s="2" t="str">
        <x:v>S19-EV01</x:v>
      </x:c>
      <x:c r="H254" s="2" t="str">
        <x:v>S19-T01</x:v>
      </x:c>
      <x:c r="I254" s="2" t="str">
        <x:v>S19-MU02</x:v>
      </x:c>
      <x:c r="J254" s="2" t="str">
        <x:v>five curated games</x:v>
      </x:c>
      <x:c r="K254" s="2" t="str">
        <x:v>Llama 3.1 on syntactic smells</x:v>
      </x:c>
      <x:c r="L254" s="2" t="str">
        <x:v>No</x:v>
      </x:c>
      <x:c r="M254" s="2" t="str">
        <x:v>LOC F1</x:v>
      </x:c>
      <x:c r="N254" s="6" t="str">
        <x:v>0.73</x:v>
      </x:c>
      <x:c r="O254" s="2" t="n">
        <x:v>0.73</x:v>
      </x:c>
      <x:c r="P254" s="2" t="str">
        <x:v>proportion</x:v>
      </x:c>
      <x:c r="Q254" s="6" t="str">
        <x:v>No</x:v>
      </x:c>
      <x:c r="R254" s="2" t="str">
        <x:v>NA</x:v>
      </x:c>
      <x:c r="S254" s="2" t="str">
        <x:v>NR</x:v>
      </x:c>
      <x:c r="T254" s="2" t="str">
        <x:v>Not compared</x:v>
      </x:c>
      <x:c r="U254" s="2" t="str">
        <x:v>Not tested</x:v>
      </x:c>
      <x:c r="V254" s="2" t="str">
        <x:v>NR</x:v>
      </x:c>
      <x:c r="W254" s="2" t="str">
        <x:v>NR</x:v>
      </x:c>
      <x:c r="X254" s="2" t="str">
        <x:v>NR</x:v>
      </x:c>
      <x:c r="Y254" s="2" t="str">
        <x:v>NR</x:v>
      </x:c>
      <x:c r="Z254" s="2" t="str">
        <x:v>No</x:v>
      </x:c>
      <x:c r="AA254" s="6" t="str">
        <x:v>p. 4; Table IV</x:v>
      </x:c>
      <x:c r="AB254" s="6" t="str">
        <x:v>syntactic 0.98 0.74 0.84 0.73 0.91 0.76 0.75 0.73</x:v>
      </x:c>
      <x:c r="AC254" s="6" t="str">
        <x:v>RQ3：语法气味下Llama 3.1的LOC F1。</x:v>
      </x:c>
      <x:c r="AD254" s="2" t="str">
        <x:v>Accepted</x:v>
      </x:c>
      <x:c r="AE254" s="6" t="str">
        <x:v>NA</x:v>
      </x:c>
    </x:row>
    <x:row r="255" ht="76" customHeight="1">
      <x:c r="A255" s="2" t="str">
        <x:v>S19-RESULT-R17</x:v>
      </x:c>
      <x:c r="B255" s="2" t="str">
        <x:v>S19</x:v>
      </x:c>
      <x:c r="C255" s="2" t="str">
        <x:v>merged_1150</x:v>
      </x:c>
      <x:c r="D255" s="2" t="str">
        <x:v>Reviewer_A</x:v>
      </x:c>
      <x:c r="E255" s="2" t="str">
        <x:v>Reviewer_A</x:v>
      </x:c>
      <x:c r="F255" s="2" t="str">
        <x:v>S19-R17</x:v>
      </x:c>
      <x:c r="G255" s="2" t="str">
        <x:v>S19-EV01</x:v>
      </x:c>
      <x:c r="H255" s="2" t="str">
        <x:v>S19-T01</x:v>
      </x:c>
      <x:c r="I255" s="2" t="str">
        <x:v>S19-MU02</x:v>
      </x:c>
      <x:c r="J255" s="2" t="str">
        <x:v>five curated games</x:v>
      </x:c>
      <x:c r="K255" s="2" t="str">
        <x:v>Llama 3.1 on semantic smells</x:v>
      </x:c>
      <x:c r="L255" s="2" t="str">
        <x:v>No</x:v>
      </x:c>
      <x:c r="M255" s="2" t="str">
        <x:v>BTA</x:v>
      </x:c>
      <x:c r="N255" s="6" t="str">
        <x:v>0.86</x:v>
      </x:c>
      <x:c r="O255" s="2" t="n">
        <x:v>0.86</x:v>
      </x:c>
      <x:c r="P255" s="2" t="str">
        <x:v>%</x:v>
      </x:c>
      <x:c r="Q255" s="6" t="str">
        <x:v>No</x:v>
      </x:c>
      <x:c r="R255" s="2" t="str">
        <x:v>NA</x:v>
      </x:c>
      <x:c r="S255" s="2" t="str">
        <x:v>NR</x:v>
      </x:c>
      <x:c r="T255" s="2" t="str">
        <x:v>Not compared</x:v>
      </x:c>
      <x:c r="U255" s="2" t="str">
        <x:v>Not tested</x:v>
      </x:c>
      <x:c r="V255" s="2" t="str">
        <x:v>NR</x:v>
      </x:c>
      <x:c r="W255" s="2" t="str">
        <x:v>NR</x:v>
      </x:c>
      <x:c r="X255" s="2" t="str">
        <x:v>NR</x:v>
      </x:c>
      <x:c r="Y255" s="2" t="str">
        <x:v>NR</x:v>
      </x:c>
      <x:c r="Z255" s="2" t="str">
        <x:v>No</x:v>
      </x:c>
      <x:c r="AA255" s="6" t="str">
        <x:v>p. 4; Table IV</x:v>
      </x:c>
      <x:c r="AB255" s="6" t="str">
        <x:v>semantic 0.83 0.63 0.76 0.63 0.86 0.64 0.70 0.63</x:v>
      </x:c>
      <x:c r="AC255" s="6" t="str">
        <x:v>RQ3：语义气味下Llama 3.1的BTA。</x:v>
      </x:c>
      <x:c r="AD255" s="2" t="str">
        <x:v>Accepted</x:v>
      </x:c>
      <x:c r="AE255" s="6" t="str">
        <x:v>NA</x:v>
      </x:c>
    </x:row>
    <x:row r="256" ht="76" customHeight="1">
      <x:c r="A256" s="2" t="str">
        <x:v>S19-RESULT-R18</x:v>
      </x:c>
      <x:c r="B256" s="2" t="str">
        <x:v>S19</x:v>
      </x:c>
      <x:c r="C256" s="2" t="str">
        <x:v>merged_1150</x:v>
      </x:c>
      <x:c r="D256" s="2" t="str">
        <x:v>Reviewer_A</x:v>
      </x:c>
      <x:c r="E256" s="2" t="str">
        <x:v>Reviewer_A</x:v>
      </x:c>
      <x:c r="F256" s="2" t="str">
        <x:v>S19-R18</x:v>
      </x:c>
      <x:c r="G256" s="2" t="str">
        <x:v>S19-EV01</x:v>
      </x:c>
      <x:c r="H256" s="2" t="str">
        <x:v>S19-T01</x:v>
      </x:c>
      <x:c r="I256" s="2" t="str">
        <x:v>S19-MU02</x:v>
      </x:c>
      <x:c r="J256" s="2" t="str">
        <x:v>five curated games</x:v>
      </x:c>
      <x:c r="K256" s="2" t="str">
        <x:v>Llama 3.1 on semantic smells</x:v>
      </x:c>
      <x:c r="L256" s="2" t="str">
        <x:v>No</x:v>
      </x:c>
      <x:c r="M256" s="2" t="str">
        <x:v>LOC F1</x:v>
      </x:c>
      <x:c r="N256" s="6" t="str">
        <x:v>0.63</x:v>
      </x:c>
      <x:c r="O256" s="2" t="n">
        <x:v>0.63</x:v>
      </x:c>
      <x:c r="P256" s="2" t="str">
        <x:v>proportion</x:v>
      </x:c>
      <x:c r="Q256" s="6" t="str">
        <x:v>No</x:v>
      </x:c>
      <x:c r="R256" s="2" t="str">
        <x:v>NA</x:v>
      </x:c>
      <x:c r="S256" s="2" t="str">
        <x:v>NR</x:v>
      </x:c>
      <x:c r="T256" s="2" t="str">
        <x:v>Not compared</x:v>
      </x:c>
      <x:c r="U256" s="2" t="str">
        <x:v>Not tested</x:v>
      </x:c>
      <x:c r="V256" s="2" t="str">
        <x:v>NR</x:v>
      </x:c>
      <x:c r="W256" s="2" t="str">
        <x:v>NR</x:v>
      </x:c>
      <x:c r="X256" s="2" t="str">
        <x:v>NR</x:v>
      </x:c>
      <x:c r="Y256" s="2" t="str">
        <x:v>NR</x:v>
      </x:c>
      <x:c r="Z256" s="2" t="str">
        <x:v>No</x:v>
      </x:c>
      <x:c r="AA256" s="6" t="str">
        <x:v>p. 4; Table IV</x:v>
      </x:c>
      <x:c r="AB256" s="6" t="str">
        <x:v>semantic 0.83 0.63 0.76 0.63 0.86 0.64 0.70 0.63</x:v>
      </x:c>
      <x:c r="AC256" s="6" t="str">
        <x:v>RQ3：语义气味下Llama 3.1的LOC F1。</x:v>
      </x:c>
      <x:c r="AD256" s="2" t="str">
        <x:v>Accepted</x:v>
      </x:c>
      <x:c r="AE256" s="6" t="str">
        <x:v>NA</x:v>
      </x:c>
    </x:row>
    <x:row r="257" ht="76" customHeight="1">
      <x:c r="A257" s="2" t="str">
        <x:v>S20-RESULT-R01</x:v>
      </x:c>
      <x:c r="B257" s="2" t="str">
        <x:v>S20</x:v>
      </x:c>
      <x:c r="C257" s="2" t="str">
        <x:v>merged_1151-v1</x:v>
      </x:c>
      <x:c r="D257" s="2" t="str">
        <x:v>Reviewer_A</x:v>
      </x:c>
      <x:c r="E257" s="2" t="str">
        <x:v>Reviewer_A</x:v>
      </x:c>
      <x:c r="F257" s="2" t="str">
        <x:v>S20-R01</x:v>
      </x:c>
      <x:c r="G257" s="2" t="str">
        <x:v>S20-EV02</x:v>
      </x:c>
      <x:c r="H257" s="2" t="str">
        <x:v>S20-T02</x:v>
      </x:c>
      <x:c r="I257" s="2" t="str">
        <x:v>S20-MU07</x:v>
      </x:c>
      <x:c r="J257" s="2" t="str">
        <x:v>SRS Broker</x:v>
      </x:c>
      <x:c r="K257" s="2" t="str">
        <x:v>IO</x:v>
      </x:c>
      <x:c r="L257" s="2" t="str">
        <x:v>No</x:v>
      </x:c>
      <x:c r="M257" s="2" t="str">
        <x:v>Precision</x:v>
      </x:c>
      <x:c r="N257" s="6" t="str">
        <x:v>50.43</x:v>
      </x:c>
      <x:c r="O257" s="2" t="n">
        <x:v>50.43</x:v>
      </x:c>
      <x:c r="P257" s="2" t="str">
        <x:v>%</x:v>
      </x:c>
      <x:c r="Q257" s="6" t="str">
        <x:v>No</x:v>
      </x:c>
      <x:c r="R257" s="2" t="str">
        <x:v>NA</x:v>
      </x:c>
      <x:c r="S257" s="2" t="str">
        <x:v>NR</x:v>
      </x:c>
      <x:c r="T257" s="2" t="str">
        <x:v>Not compared</x:v>
      </x:c>
      <x:c r="U257" s="2" t="str">
        <x:v>Not tested</x:v>
      </x:c>
      <x:c r="V257" s="2" t="str">
        <x:v>NR</x:v>
      </x:c>
      <x:c r="W257" s="2" t="str">
        <x:v>NR</x:v>
      </x:c>
      <x:c r="X257" s="2" t="str">
        <x:v>NR</x:v>
      </x:c>
      <x:c r="Y257" s="2" t="str">
        <x:v>NR</x:v>
      </x:c>
      <x:c r="Z257" s="2" t="str">
        <x:v>No</x:v>
      </x:c>
      <x:c r="AA257" s="6" t="str">
        <x:v>p. 19; Table 5</x:v>
      </x:c>
      <x:c r="AB257" s="6" t="str">
        <x:v>RAG-GPT-4o-mini 50.43 80.56 62.03 51.30 81.94 63.10 52.63 83.33 64.52</x:v>
      </x:c>
      <x:c r="AC257" s="6" t="str">
        <x:v>SRS Broker数据集上，RAG-GPT-4o-mini模型在IO提示下非合规需求检测的精确率。</x:v>
      </x:c>
      <x:c r="AD257" s="2" t="str">
        <x:v>Accepted</x:v>
      </x:c>
      <x:c r="AE257" s="6" t="str">
        <x:v>NA</x:v>
      </x:c>
    </x:row>
    <x:row r="258" ht="76" customHeight="1">
      <x:c r="A258" s="2" t="str">
        <x:v>S20-RESULT-R02</x:v>
      </x:c>
      <x:c r="B258" s="2" t="str">
        <x:v>S20</x:v>
      </x:c>
      <x:c r="C258" s="2" t="str">
        <x:v>merged_1151-v1</x:v>
      </x:c>
      <x:c r="D258" s="2" t="str">
        <x:v>Reviewer_A</x:v>
      </x:c>
      <x:c r="E258" s="2" t="str">
        <x:v>Reviewer_A</x:v>
      </x:c>
      <x:c r="F258" s="2" t="str">
        <x:v>S20-R02</x:v>
      </x:c>
      <x:c r="G258" s="2" t="str">
        <x:v>S20-EV02</x:v>
      </x:c>
      <x:c r="H258" s="2" t="str">
        <x:v>S20-T02</x:v>
      </x:c>
      <x:c r="I258" s="2" t="str">
        <x:v>S20-MU07</x:v>
      </x:c>
      <x:c r="J258" s="2" t="str">
        <x:v>SRS Broker</x:v>
      </x:c>
      <x:c r="K258" s="2" t="str">
        <x:v>IO</x:v>
      </x:c>
      <x:c r="L258" s="2" t="str">
        <x:v>No</x:v>
      </x:c>
      <x:c r="M258" s="2" t="str">
        <x:v>Recall</x:v>
      </x:c>
      <x:c r="N258" s="6" t="str">
        <x:v>80.56</x:v>
      </x:c>
      <x:c r="O258" s="2" t="n">
        <x:v>80.56</x:v>
      </x:c>
      <x:c r="P258" s="2" t="str">
        <x:v>%</x:v>
      </x:c>
      <x:c r="Q258" s="6" t="str">
        <x:v>No</x:v>
      </x:c>
      <x:c r="R258" s="2" t="str">
        <x:v>NA</x:v>
      </x:c>
      <x:c r="S258" s="2" t="str">
        <x:v>NR</x:v>
      </x:c>
      <x:c r="T258" s="2" t="str">
        <x:v>Not compared</x:v>
      </x:c>
      <x:c r="U258" s="2" t="str">
        <x:v>Not tested</x:v>
      </x:c>
      <x:c r="V258" s="2" t="str">
        <x:v>NR</x:v>
      </x:c>
      <x:c r="W258" s="2" t="str">
        <x:v>NR</x:v>
      </x:c>
      <x:c r="X258" s="2" t="str">
        <x:v>NR</x:v>
      </x:c>
      <x:c r="Y258" s="2" t="str">
        <x:v>NR</x:v>
      </x:c>
      <x:c r="Z258" s="2" t="str">
        <x:v>No</x:v>
      </x:c>
      <x:c r="AA258" s="6" t="str">
        <x:v>p. 19; Table 5</x:v>
      </x:c>
      <x:c r="AB258" s="6" t="str">
        <x:v>RAG-GPT-4o-mini 50.43 80.56 62.03 51.30 81.94 63.10 52.63 83.33 64.52</x:v>
      </x:c>
      <x:c r="AC258" s="6" t="str">
        <x:v>SRS Broker数据集上，RAG-GPT-4o-mini模型在IO提示下非合规需求检测的召回率。</x:v>
      </x:c>
      <x:c r="AD258" s="2" t="str">
        <x:v>Accepted</x:v>
      </x:c>
      <x:c r="AE258" s="6" t="str">
        <x:v>NA</x:v>
      </x:c>
    </x:row>
    <x:row r="259" ht="76" customHeight="1">
      <x:c r="A259" s="2" t="str">
        <x:v>S20-RESULT-R03</x:v>
      </x:c>
      <x:c r="B259" s="2" t="str">
        <x:v>S20</x:v>
      </x:c>
      <x:c r="C259" s="2" t="str">
        <x:v>merged_1151-v1</x:v>
      </x:c>
      <x:c r="D259" s="2" t="str">
        <x:v>Reviewer_A</x:v>
      </x:c>
      <x:c r="E259" s="2" t="str">
        <x:v>Reviewer_A</x:v>
      </x:c>
      <x:c r="F259" s="2" t="str">
        <x:v>S20-R03</x:v>
      </x:c>
      <x:c r="G259" s="2" t="str">
        <x:v>S20-EV02</x:v>
      </x:c>
      <x:c r="H259" s="2" t="str">
        <x:v>S20-T02</x:v>
      </x:c>
      <x:c r="I259" s="2" t="str">
        <x:v>S20-MU07</x:v>
      </x:c>
      <x:c r="J259" s="2" t="str">
        <x:v>SRS Broker</x:v>
      </x:c>
      <x:c r="K259" s="2" t="str">
        <x:v>IO</x:v>
      </x:c>
      <x:c r="L259" s="2" t="str">
        <x:v>No</x:v>
      </x:c>
      <x:c r="M259" s="2" t="str">
        <x:v>F1-Score</x:v>
      </x:c>
      <x:c r="N259" s="6" t="str">
        <x:v>62.03</x:v>
      </x:c>
      <x:c r="O259" s="2" t="n">
        <x:v>62.03</x:v>
      </x:c>
      <x:c r="P259" s="2" t="str">
        <x:v>%</x:v>
      </x:c>
      <x:c r="Q259" s="6" t="str">
        <x:v>No</x:v>
      </x:c>
      <x:c r="R259" s="2" t="str">
        <x:v>NA</x:v>
      </x:c>
      <x:c r="S259" s="2" t="str">
        <x:v>NR</x:v>
      </x:c>
      <x:c r="T259" s="2" t="str">
        <x:v>Not compared</x:v>
      </x:c>
      <x:c r="U259" s="2" t="str">
        <x:v>Not tested</x:v>
      </x:c>
      <x:c r="V259" s="2" t="str">
        <x:v>NR</x:v>
      </x:c>
      <x:c r="W259" s="2" t="str">
        <x:v>NR</x:v>
      </x:c>
      <x:c r="X259" s="2" t="str">
        <x:v>NR</x:v>
      </x:c>
      <x:c r="Y259" s="2" t="str">
        <x:v>NR</x:v>
      </x:c>
      <x:c r="Z259" s="2" t="str">
        <x:v>No</x:v>
      </x:c>
      <x:c r="AA259" s="6" t="str">
        <x:v>p. 19; Table 5</x:v>
      </x:c>
      <x:c r="AB259" s="6" t="str">
        <x:v>RAG-GPT-4o-mini 50.43 80.56 62.03 51.30 81.94 63.10 52.63 83.33 64.52</x:v>
      </x:c>
      <x:c r="AC259" s="6" t="str">
        <x:v>SRS Broker数据集上，RAG-GPT-4o-mini模型在IO提示下非合规需求检测的F1分数。</x:v>
      </x:c>
      <x:c r="AD259" s="2" t="str">
        <x:v>Accepted</x:v>
      </x:c>
      <x:c r="AE259" s="6" t="str">
        <x:v>NA</x:v>
      </x:c>
    </x:row>
    <x:row r="260" ht="76" customHeight="1">
      <x:c r="A260" s="2" t="str">
        <x:v>S20-RESULT-R04</x:v>
      </x:c>
      <x:c r="B260" s="2" t="str">
        <x:v>S20</x:v>
      </x:c>
      <x:c r="C260" s="2" t="str">
        <x:v>merged_1151-v1</x:v>
      </x:c>
      <x:c r="D260" s="2" t="str">
        <x:v>Reviewer_A</x:v>
      </x:c>
      <x:c r="E260" s="2" t="str">
        <x:v>Reviewer_A</x:v>
      </x:c>
      <x:c r="F260" s="2" t="str">
        <x:v>S20-R04</x:v>
      </x:c>
      <x:c r="G260" s="2" t="str">
        <x:v>S20-EV02</x:v>
      </x:c>
      <x:c r="H260" s="2" t="str">
        <x:v>S20-T02</x:v>
      </x:c>
      <x:c r="I260" s="2" t="str">
        <x:v>S20-MU07</x:v>
      </x:c>
      <x:c r="J260" s="2" t="str">
        <x:v>SRS Broker</x:v>
      </x:c>
      <x:c r="K260" s="2" t="str">
        <x:v>ToT</x:v>
      </x:c>
      <x:c r="L260" s="2" t="str">
        <x:v>No</x:v>
      </x:c>
      <x:c r="M260" s="2" t="str">
        <x:v>Recall</x:v>
      </x:c>
      <x:c r="N260" s="6" t="str">
        <x:v>83.33</x:v>
      </x:c>
      <x:c r="O260" s="2" t="n">
        <x:v>83.33</x:v>
      </x:c>
      <x:c r="P260" s="2" t="str">
        <x:v>%</x:v>
      </x:c>
      <x:c r="Q260" s="6" t="str">
        <x:v>No</x:v>
      </x:c>
      <x:c r="R260" s="2" t="str">
        <x:v>NA</x:v>
      </x:c>
      <x:c r="S260" s="2" t="str">
        <x:v>NR</x:v>
      </x:c>
      <x:c r="T260" s="2" t="str">
        <x:v>Not compared</x:v>
      </x:c>
      <x:c r="U260" s="2" t="str">
        <x:v>Not tested</x:v>
      </x:c>
      <x:c r="V260" s="2" t="str">
        <x:v>NR</x:v>
      </x:c>
      <x:c r="W260" s="2" t="str">
        <x:v>NR</x:v>
      </x:c>
      <x:c r="X260" s="2" t="str">
        <x:v>NR</x:v>
      </x:c>
      <x:c r="Y260" s="2" t="str">
        <x:v>NR</x:v>
      </x:c>
      <x:c r="Z260" s="2" t="str">
        <x:v>No</x:v>
      </x:c>
      <x:c r="AA260" s="6" t="str">
        <x:v>p. 19; Section 5.2</x:v>
      </x:c>
      <x:c r="AB260" s="6" t="str">
        <x:v>under the ToT prompt, RAG-GPT-4o-mini achieves a recall of 83.33% but an F1-Score of 64.52%</x:v>
      </x:c>
      <x:c r="AC260" s="6" t="str">
        <x:v>SRS Broker数据集上，RAG-GPT-4o-mini模型在ToT提示下虽然召回率高，但F1分数较低。</x:v>
      </x:c>
      <x:c r="AD260" s="2" t="str">
        <x:v>Accepted</x:v>
      </x:c>
      <x:c r="AE260" s="6" t="str">
        <x:v>NA</x:v>
      </x:c>
    </x:row>
    <x:row r="261" ht="76" customHeight="1">
      <x:c r="A261" s="2" t="str">
        <x:v>S20-RESULT-R05</x:v>
      </x:c>
      <x:c r="B261" s="2" t="str">
        <x:v>S20</x:v>
      </x:c>
      <x:c r="C261" s="2" t="str">
        <x:v>merged_1151-v1</x:v>
      </x:c>
      <x:c r="D261" s="2" t="str">
        <x:v>Reviewer_A</x:v>
      </x:c>
      <x:c r="E261" s="2" t="str">
        <x:v>Reviewer_A</x:v>
      </x:c>
      <x:c r="F261" s="2" t="str">
        <x:v>S20-R05</x:v>
      </x:c>
      <x:c r="G261" s="2" t="str">
        <x:v>S20-EV02</x:v>
      </x:c>
      <x:c r="H261" s="2" t="str">
        <x:v>S20-T02</x:v>
      </x:c>
      <x:c r="I261" s="2" t="str">
        <x:v>S20-MU07</x:v>
      </x:c>
      <x:c r="J261" s="2" t="str">
        <x:v>SRS Broker</x:v>
      </x:c>
      <x:c r="K261" s="2" t="str">
        <x:v>ToT</x:v>
      </x:c>
      <x:c r="L261" s="2" t="str">
        <x:v>No</x:v>
      </x:c>
      <x:c r="M261" s="2" t="str">
        <x:v>F1-Score</x:v>
      </x:c>
      <x:c r="N261" s="6" t="str">
        <x:v>64.52</x:v>
      </x:c>
      <x:c r="O261" s="2" t="n">
        <x:v>64.52</x:v>
      </x:c>
      <x:c r="P261" s="2" t="str">
        <x:v>%</x:v>
      </x:c>
      <x:c r="Q261" s="6" t="str">
        <x:v>No</x:v>
      </x:c>
      <x:c r="R261" s="2" t="str">
        <x:v>NA</x:v>
      </x:c>
      <x:c r="S261" s="2" t="str">
        <x:v>NR</x:v>
      </x:c>
      <x:c r="T261" s="2" t="str">
        <x:v>Not compared</x:v>
      </x:c>
      <x:c r="U261" s="2" t="str">
        <x:v>Not tested</x:v>
      </x:c>
      <x:c r="V261" s="2" t="str">
        <x:v>NR</x:v>
      </x:c>
      <x:c r="W261" s="2" t="str">
        <x:v>NR</x:v>
      </x:c>
      <x:c r="X261" s="2" t="str">
        <x:v>NR</x:v>
      </x:c>
      <x:c r="Y261" s="2" t="str">
        <x:v>NR</x:v>
      </x:c>
      <x:c r="Z261" s="2" t="str">
        <x:v>No</x:v>
      </x:c>
      <x:c r="AA261" s="6" t="str">
        <x:v>p. 19; Section 5.2</x:v>
      </x:c>
      <x:c r="AB261" s="6" t="str">
        <x:v>under the ToT prompt, RAG-GPT-4o-mini achieves a recall of 83.33% but an F1-Score of 64.52%</x:v>
      </x:c>
      <x:c r="AC261" s="6" t="str">
        <x:v>SRS Broker数据集上，RAG-GPT-4o-mini模型在ToT提示下的F1分数较低。</x:v>
      </x:c>
      <x:c r="AD261" s="2" t="str">
        <x:v>Accepted</x:v>
      </x:c>
      <x:c r="AE261" s="6" t="str">
        <x:v>NA</x:v>
      </x:c>
    </x:row>
    <x:row r="262" ht="76" customHeight="1">
      <x:c r="A262" s="2" t="str">
        <x:v>S20-RESULT-R06</x:v>
      </x:c>
      <x:c r="B262" s="2" t="str">
        <x:v>S20</x:v>
      </x:c>
      <x:c r="C262" s="2" t="str">
        <x:v>merged_1151-v1</x:v>
      </x:c>
      <x:c r="D262" s="2" t="str">
        <x:v>Reviewer_A</x:v>
      </x:c>
      <x:c r="E262" s="2" t="str">
        <x:v>Reviewer_A</x:v>
      </x:c>
      <x:c r="F262" s="2" t="str">
        <x:v>S20-R06</x:v>
      </x:c>
      <x:c r="G262" s="2" t="str">
        <x:v>S20-EV02</x:v>
      </x:c>
      <x:c r="H262" s="2" t="str">
        <x:v>S20-T02</x:v>
      </x:c>
      <x:c r="I262" s="2" t="str">
        <x:v>S20-MU07</x:v>
      </x:c>
      <x:c r="J262" s="2" t="str">
        <x:v>SRS Broker</x:v>
      </x:c>
      <x:c r="K262" s="2" t="str">
        <x:v>ToT</x:v>
      </x:c>
      <x:c r="L262" s="2" t="str">
        <x:v>No</x:v>
      </x:c>
      <x:c r="M262" s="2" t="str">
        <x:v>Precision</x:v>
      </x:c>
      <x:c r="N262" s="6" t="str">
        <x:v>84.51</x:v>
      </x:c>
      <x:c r="O262" s="2" t="n">
        <x:v>84.51</x:v>
      </x:c>
      <x:c r="P262" s="2" t="str">
        <x:v>%</x:v>
      </x:c>
      <x:c r="Q262" s="6" t="str">
        <x:v>No</x:v>
      </x:c>
      <x:c r="R262" s="2" t="str">
        <x:v>NA</x:v>
      </x:c>
      <x:c r="S262" s="2" t="str">
        <x:v>NR</x:v>
      </x:c>
      <x:c r="T262" s="2" t="str">
        <x:v>Not compared</x:v>
      </x:c>
      <x:c r="U262" s="2" t="str">
        <x:v>Not tested</x:v>
      </x:c>
      <x:c r="V262" s="2" t="str">
        <x:v>NR</x:v>
      </x:c>
      <x:c r="W262" s="2" t="str">
        <x:v>NR</x:v>
      </x:c>
      <x:c r="X262" s="2" t="str">
        <x:v>NR</x:v>
      </x:c>
      <x:c r="Y262" s="2" t="str">
        <x:v>NR</x:v>
      </x:c>
      <x:c r="Z262" s="2" t="str">
        <x:v>No</x:v>
      </x:c>
      <x:c r="AA262" s="6" t="str">
        <x:v>p. 19; Section 5.2</x:v>
      </x:c>
      <x:c r="AB262" s="6" t="str">
        <x:v>GRAG-GPT-4o demonstrates its strength with the highest F1-Score of 86.33% due to balanced precision (84.51%) and recall (88.24%).</x:v>
      </x:c>
      <x:c r="AC262" s="6" t="str">
        <x:v>SRS Broker数据集上，Graph-RAG与GPT-4o结合ToT提示在精确率上表现优异。</x:v>
      </x:c>
      <x:c r="AD262" s="2" t="str">
        <x:v>Accepted</x:v>
      </x:c>
      <x:c r="AE262" s="6" t="str">
        <x:v>NA</x:v>
      </x:c>
    </x:row>
    <x:row r="263" ht="76" customHeight="1">
      <x:c r="A263" s="2" t="str">
        <x:v>S20-RESULT-R07</x:v>
      </x:c>
      <x:c r="B263" s="2" t="str">
        <x:v>S20</x:v>
      </x:c>
      <x:c r="C263" s="2" t="str">
        <x:v>merged_1151-v1</x:v>
      </x:c>
      <x:c r="D263" s="2" t="str">
        <x:v>Reviewer_A</x:v>
      </x:c>
      <x:c r="E263" s="2" t="str">
        <x:v>Reviewer_A</x:v>
      </x:c>
      <x:c r="F263" s="2" t="str">
        <x:v>S20-R07</x:v>
      </x:c>
      <x:c r="G263" s="2" t="str">
        <x:v>S20-EV02</x:v>
      </x:c>
      <x:c r="H263" s="2" t="str">
        <x:v>S20-T02</x:v>
      </x:c>
      <x:c r="I263" s="2" t="str">
        <x:v>S20-MU07</x:v>
      </x:c>
      <x:c r="J263" s="2" t="str">
        <x:v>SRS Broker</x:v>
      </x:c>
      <x:c r="K263" s="2" t="str">
        <x:v>ToT</x:v>
      </x:c>
      <x:c r="L263" s="2" t="str">
        <x:v>No</x:v>
      </x:c>
      <x:c r="M263" s="2" t="str">
        <x:v>Recall</x:v>
      </x:c>
      <x:c r="N263" s="6" t="str">
        <x:v>88.24</x:v>
      </x:c>
      <x:c r="O263" s="2" t="n">
        <x:v>88.24</x:v>
      </x:c>
      <x:c r="P263" s="2" t="str">
        <x:v>%</x:v>
      </x:c>
      <x:c r="Q263" s="6" t="str">
        <x:v>No</x:v>
      </x:c>
      <x:c r="R263" s="2" t="str">
        <x:v>NA</x:v>
      </x:c>
      <x:c r="S263" s="2" t="str">
        <x:v>NR</x:v>
      </x:c>
      <x:c r="T263" s="2" t="str">
        <x:v>Not compared</x:v>
      </x:c>
      <x:c r="U263" s="2" t="str">
        <x:v>Not tested</x:v>
      </x:c>
      <x:c r="V263" s="2" t="str">
        <x:v>NR</x:v>
      </x:c>
      <x:c r="W263" s="2" t="str">
        <x:v>NR</x:v>
      </x:c>
      <x:c r="X263" s="2" t="str">
        <x:v>NR</x:v>
      </x:c>
      <x:c r="Y263" s="2" t="str">
        <x:v>NR</x:v>
      </x:c>
      <x:c r="Z263" s="2" t="str">
        <x:v>No</x:v>
      </x:c>
      <x:c r="AA263" s="6" t="str">
        <x:v>p. 19; Section 5.2</x:v>
      </x:c>
      <x:c r="AB263" s="6" t="str">
        <x:v>GRAG-GPT-4o demonstrates its strength with the highest F1-Score of 86.33% due to balanced precision (84.51%) and recall (88.24%).</x:v>
      </x:c>
      <x:c r="AC263" s="6" t="str">
        <x:v>SRS Broker数据集上，Graph-RAG与GPT-4o结合ToT提示在召回率上表现出色。</x:v>
      </x:c>
      <x:c r="AD263" s="2" t="str">
        <x:v>Accepted</x:v>
      </x:c>
      <x:c r="AE263" s="6" t="str">
        <x:v>NA</x:v>
      </x:c>
    </x:row>
    <x:row r="264" ht="76" customHeight="1">
      <x:c r="A264" s="2" t="str">
        <x:v>S20-RESULT-R08</x:v>
      </x:c>
      <x:c r="B264" s="2" t="str">
        <x:v>S20</x:v>
      </x:c>
      <x:c r="C264" s="2" t="str">
        <x:v>merged_1151-v1</x:v>
      </x:c>
      <x:c r="D264" s="2" t="str">
        <x:v>Reviewer_A</x:v>
      </x:c>
      <x:c r="E264" s="2" t="str">
        <x:v>Reviewer_A</x:v>
      </x:c>
      <x:c r="F264" s="2" t="str">
        <x:v>S20-R08</x:v>
      </x:c>
      <x:c r="G264" s="2" t="str">
        <x:v>S20-EV02</x:v>
      </x:c>
      <x:c r="H264" s="2" t="str">
        <x:v>S20-T02</x:v>
      </x:c>
      <x:c r="I264" s="2" t="str">
        <x:v>S20-MU07</x:v>
      </x:c>
      <x:c r="J264" s="2" t="str">
        <x:v>SRS Broker</x:v>
      </x:c>
      <x:c r="K264" s="2" t="str">
        <x:v>ToT</x:v>
      </x:c>
      <x:c r="L264" s="2" t="str">
        <x:v>No</x:v>
      </x:c>
      <x:c r="M264" s="2" t="str">
        <x:v>F1-Score</x:v>
      </x:c>
      <x:c r="N264" s="6" t="str">
        <x:v>86.33</x:v>
      </x:c>
      <x:c r="O264" s="2" t="n">
        <x:v>86.33</x:v>
      </x:c>
      <x:c r="P264" s="2" t="str">
        <x:v>%</x:v>
      </x:c>
      <x:c r="Q264" s="6" t="str">
        <x:v>No</x:v>
      </x:c>
      <x:c r="R264" s="2" t="str">
        <x:v>NA</x:v>
      </x:c>
      <x:c r="S264" s="2" t="str">
        <x:v>NR</x:v>
      </x:c>
      <x:c r="T264" s="2" t="str">
        <x:v>Not compared</x:v>
      </x:c>
      <x:c r="U264" s="2" t="str">
        <x:v>Not tested</x:v>
      </x:c>
      <x:c r="V264" s="2" t="str">
        <x:v>NR</x:v>
      </x:c>
      <x:c r="W264" s="2" t="str">
        <x:v>NR</x:v>
      </x:c>
      <x:c r="X264" s="2" t="str">
        <x:v>NR</x:v>
      </x:c>
      <x:c r="Y264" s="2" t="str">
        <x:v>NR</x:v>
      </x:c>
      <x:c r="Z264" s="2" t="str">
        <x:v>No</x:v>
      </x:c>
      <x:c r="AA264" s="6" t="str">
        <x:v>p. 19; Section 5.2</x:v>
      </x:c>
      <x:c r="AB264" s="6" t="str">
        <x:v>GRAG-GPT-4o demonstrates its strength with the highest F1-Score of 86.33%</x:v>
      </x:c>
      <x:c r="AC264" s="6" t="str">
        <x:v>SRS Broker数据集上，Graph-RAG与GPT-4o结合ToT提示取得最高F1分数86.33%。</x:v>
      </x:c>
      <x:c r="AD264" s="2" t="str">
        <x:v>Accepted</x:v>
      </x:c>
      <x:c r="AE264" s="6" t="str">
        <x:v>NA</x:v>
      </x:c>
    </x:row>
    <x:row r="265" ht="76" customHeight="1">
      <x:c r="A265" s="2" t="str">
        <x:v>S20-RESULT-R09</x:v>
      </x:c>
      <x:c r="B265" s="2" t="str">
        <x:v>S20</x:v>
      </x:c>
      <x:c r="C265" s="2" t="str">
        <x:v>merged_1151-v1</x:v>
      </x:c>
      <x:c r="D265" s="2" t="str">
        <x:v>Reviewer_A</x:v>
      </x:c>
      <x:c r="E265" s="2" t="str">
        <x:v>Reviewer_A</x:v>
      </x:c>
      <x:c r="F265" s="2" t="str">
        <x:v>S20-R09</x:v>
      </x:c>
      <x:c r="G265" s="2" t="str">
        <x:v>S20-EV02</x:v>
      </x:c>
      <x:c r="H265" s="2" t="str">
        <x:v>S20-T02</x:v>
      </x:c>
      <x:c r="I265" s="2" t="str">
        <x:v>S20-MU07</x:v>
      </x:c>
      <x:c r="J265" s="2" t="str">
        <x:v>SRS Aero</x:v>
      </x:c>
      <x:c r="K265" s="2" t="str">
        <x:v>ToT</x:v>
      </x:c>
      <x:c r="L265" s="2" t="str">
        <x:v>No</x:v>
      </x:c>
      <x:c r="M265" s="2" t="str">
        <x:v>F1-Score</x:v>
      </x:c>
      <x:c r="N265" s="6" t="str">
        <x:v>87.93</x:v>
      </x:c>
      <x:c r="O265" s="2" t="n">
        <x:v>87.93</x:v>
      </x:c>
      <x:c r="P265" s="2" t="str">
        <x:v>%</x:v>
      </x:c>
      <x:c r="Q265" s="6" t="str">
        <x:v>No</x:v>
      </x:c>
      <x:c r="R265" s="2" t="str">
        <x:v>NA</x:v>
      </x:c>
      <x:c r="S265" s="2" t="str">
        <x:v>NR</x:v>
      </x:c>
      <x:c r="T265" s="2" t="str">
        <x:v>Not compared</x:v>
      </x:c>
      <x:c r="U265" s="2" t="str">
        <x:v>Not tested</x:v>
      </x:c>
      <x:c r="V265" s="2" t="str">
        <x:v>NR</x:v>
      </x:c>
      <x:c r="W265" s="2" t="str">
        <x:v>NR</x:v>
      </x:c>
      <x:c r="X265" s="2" t="str">
        <x:v>NR</x:v>
      </x:c>
      <x:c r="Y265" s="2" t="str">
        <x:v>NR</x:v>
      </x:c>
      <x:c r="Z265" s="2" t="str">
        <x:v>No</x:v>
      </x:c>
      <x:c r="AA265" s="6" t="str">
        <x:v>p. 20; Table 6</x:v>
      </x:c>
      <x:c r="AB265" s="6" t="str">
        <x:v>GRAG-GPT-4o 60.52 85.19 70.77 73.53 92.59 81.97 82.26 94.44 87.93</x:v>
      </x:c>
      <x:c r="AC265" s="6" t="str">
        <x:v>SRS Aero数据集上，Graph-RAG与GPT-4o结合ToT提示取得最高F1分数87.93%。</x:v>
      </x:c>
      <x:c r="AD265" s="2" t="str">
        <x:v>Accepted</x:v>
      </x:c>
      <x:c r="AE265" s="6" t="str">
        <x:v>NA</x:v>
      </x:c>
    </x:row>
    <x:row r="266" ht="76" customHeight="1">
      <x:c r="A266" s="2" t="str">
        <x:v>S21-RESULT-R01</x:v>
      </x:c>
      <x:c r="B266" s="2" t="str">
        <x:v>S21</x:v>
      </x:c>
      <x:c r="C266" s="2" t="str">
        <x:v>merged_1152</x:v>
      </x:c>
      <x:c r="D266" s="2" t="str">
        <x:v>Reviewer_A</x:v>
      </x:c>
      <x:c r="E266" s="2" t="str">
        <x:v>Reviewer_A</x:v>
      </x:c>
      <x:c r="F266" s="2" t="str">
        <x:v>S21-R01</x:v>
      </x:c>
      <x:c r="G266" s="2" t="str">
        <x:v>S21-EV01</x:v>
      </x:c>
      <x:c r="H266" s="2" t="str">
        <x:v>S21-T01</x:v>
      </x:c>
      <x:c r="I266" s="2" t="str">
        <x:v>S21-MU01</x:v>
      </x:c>
      <x:c r="J266" s="2" t="str">
        <x:v>CM1</x:v>
      </x:c>
      <x:c r="K266" s="2" t="str">
        <x:v>Prompt 11 (Combining all questions and chain-of-thought reasoning)</x:v>
      </x:c>
      <x:c r="L266" s="2" t="str">
        <x:v>Prompt 1 (Is (1) related to (2)?)</x:v>
      </x:c>
      <x:c r="M266" s="2" t="str">
        <x:v>Precision</x:v>
      </x:c>
      <x:c r="N266" s="6" t="str">
        <x:v>37.9%</x:v>
      </x:c>
      <x:c r="O266" s="2" t="n">
        <x:v>37.9</x:v>
      </x:c>
      <x:c r="P266" s="2" t="str">
        <x:v>%</x:v>
      </x:c>
      <x:c r="Q266" s="6" t="str">
        <x:v>18%</x:v>
      </x:c>
      <x:c r="R266" s="2" t="n">
        <x:v>18</x:v>
      </x:c>
      <x:c r="S266" s="2" t="str">
        <x:v>NR</x:v>
      </x:c>
      <x:c r="T266" s="2" t="str">
        <x:v>Better</x:v>
      </x:c>
      <x:c r="U266" s="2" t="str">
        <x:v>Not tested</x:v>
      </x:c>
      <x:c r="V266" s="2" t="str">
        <x:v>Precision improved from 18% to 37.9%, but still low.</x:v>
      </x:c>
      <x:c r="W266" s="2" t="str">
        <x:v>NR</x:v>
      </x:c>
      <x:c r="X266" s="2" t="str">
        <x:v>NR</x:v>
      </x:c>
      <x:c r="Y266" s="2" t="str">
        <x:v>NR</x:v>
      </x:c>
      <x:c r="Z266" s="2" t="str">
        <x:v>No</x:v>
      </x:c>
      <x:c r="AA266" s="6" t="str">
        <x:v>p. 7; Table II</x:v>
      </x:c>
      <x:c r="AB266" s="6" t="str">
        <x:v>11 Combining all questions and chain-of-thought reasoning. 37.9% 84.6% 11 234 18 2</x:v>
      </x:c>
      <x:c r="AC266" s="6" t="str">
        <x:v>链式思考提示结合多个问题将精确率从18%提升至37.9%，但精确率仍然较低，表明存在误报。</x:v>
      </x:c>
      <x:c r="AD266" s="2" t="str">
        <x:v>Accepted</x:v>
      </x:c>
      <x:c r="AE266" s="6" t="str">
        <x:v>NA</x:v>
      </x:c>
    </x:row>
    <x:row r="267" ht="76" customHeight="1">
      <x:c r="A267" s="2" t="str">
        <x:v>S21-RESULT-R02</x:v>
      </x:c>
      <x:c r="B267" s="2" t="str">
        <x:v>S21</x:v>
      </x:c>
      <x:c r="C267" s="2" t="str">
        <x:v>merged_1152</x:v>
      </x:c>
      <x:c r="D267" s="2" t="str">
        <x:v>Reviewer_A</x:v>
      </x:c>
      <x:c r="E267" s="2" t="str">
        <x:v>Reviewer_A</x:v>
      </x:c>
      <x:c r="F267" s="2" t="str">
        <x:v>S21-R02</x:v>
      </x:c>
      <x:c r="G267" s="2" t="str">
        <x:v>S21-EV01</x:v>
      </x:c>
      <x:c r="H267" s="2" t="str">
        <x:v>S21-T01</x:v>
      </x:c>
      <x:c r="I267" s="2" t="str">
        <x:v>S21-MU01</x:v>
      </x:c>
      <x:c r="J267" s="2" t="str">
        <x:v>CM1</x:v>
      </x:c>
      <x:c r="K267" s="2" t="str">
        <x:v>Prompt 11 (Combining all questions and chain-of-thought reasoning)</x:v>
      </x:c>
      <x:c r="L267" s="2" t="str">
        <x:v>Prompt 1 (Is (1) related to (2)?)</x:v>
      </x:c>
      <x:c r="M267" s="2" t="str">
        <x:v>Recall</x:v>
      </x:c>
      <x:c r="N267" s="6" t="str">
        <x:v>84.6%</x:v>
      </x:c>
      <x:c r="O267" s="2" t="n">
        <x:v>84.6</x:v>
      </x:c>
      <x:c r="P267" s="2" t="str">
        <x:v>%</x:v>
      </x:c>
      <x:c r="Q267" s="6" t="str">
        <x:v>46%</x:v>
      </x:c>
      <x:c r="R267" s="2" t="n">
        <x:v>46</x:v>
      </x:c>
      <x:c r="S267" s="2" t="str">
        <x:v>NR</x:v>
      </x:c>
      <x:c r="T267" s="2" t="str">
        <x:v>Better</x:v>
      </x:c>
      <x:c r="U267" s="2" t="str">
        <x:v>Not tested</x:v>
      </x:c>
      <x:c r="V267" s="2" t="str">
        <x:v>Recall improved from 46% to 84.6%, nearly doubling.</x:v>
      </x:c>
      <x:c r="W267" s="2" t="str">
        <x:v>NR</x:v>
      </x:c>
      <x:c r="X267" s="2" t="str">
        <x:v>NR</x:v>
      </x:c>
      <x:c r="Y267" s="2" t="str">
        <x:v>NR</x:v>
      </x:c>
      <x:c r="Z267" s="2" t="str">
        <x:v>No</x:v>
      </x:c>
      <x:c r="AA267" s="6" t="str">
        <x:v>p. 7; Table II</x:v>
      </x:c>
      <x:c r="AB267" s="6" t="str">
        <x:v>11 Combining all questions and chain-of-thought reasoning. 37.9% 84.6% 11 234 18 2</x:v>
      </x:c>
      <x:c r="AC267" s="6" t="str">
        <x:v>链式思考大幅提升召回率，从46%升至84.6%，表明发现了更多真实链接。</x:v>
      </x:c>
      <x:c r="AD267" s="2" t="str">
        <x:v>Accepted</x:v>
      </x:c>
      <x:c r="AE267" s="6" t="str">
        <x:v>NA</x:v>
      </x:c>
    </x:row>
    <x:row r="268" ht="76" customHeight="1">
      <x:c r="A268" s="2" t="str">
        <x:v>S21-RESULT-R03</x:v>
      </x:c>
      <x:c r="B268" s="2" t="str">
        <x:v>S21</x:v>
      </x:c>
      <x:c r="C268" s="2" t="str">
        <x:v>merged_1152</x:v>
      </x:c>
      <x:c r="D268" s="2" t="str">
        <x:v>Reviewer_A</x:v>
      </x:c>
      <x:c r="E268" s="2" t="str">
        <x:v>Reviewer_A</x:v>
      </x:c>
      <x:c r="F268" s="2" t="str">
        <x:v>S21-R03</x:v>
      </x:c>
      <x:c r="G268" s="2" t="str">
        <x:v>S21-EV02</x:v>
      </x:c>
      <x:c r="H268" s="2" t="str">
        <x:v>S21-T02</x:v>
      </x:c>
      <x:c r="I268" s="2" t="str">
        <x:v>NA</x:v>
      </x:c>
      <x:c r="J268" s="2" t="str">
        <x:v>CM1</x:v>
      </x:c>
      <x:c r="K268" s="2" t="str">
        <x:v>Ranking by VSM + LLM</x:v>
      </x:c>
      <x:c r="L268" s="2" t="str">
        <x:v>Ranking by VSM</x:v>
      </x:c>
      <x:c r="M268" s="2" t="str">
        <x:v>MAP</x:v>
      </x:c>
      <x:c r="N268" s="6" t="str">
        <x:v>79.4%</x:v>
      </x:c>
      <x:c r="O268" s="2" t="n">
        <x:v>79.4</x:v>
      </x:c>
      <x:c r="P268" s="2" t="str">
        <x:v>%</x:v>
      </x:c>
      <x:c r="Q268" s="6" t="str">
        <x:v>70.7%</x:v>
      </x:c>
      <x:c r="R268" s="2" t="n">
        <x:v>70.7</x:v>
      </x:c>
      <x:c r="S268" s="2" t="str">
        <x:v>NR</x:v>
      </x:c>
      <x:c r="T268" s="2" t="str">
        <x:v>Better</x:v>
      </x:c>
      <x:c r="U268" s="2" t="str">
        <x:v>Not tested</x:v>
      </x:c>
      <x:c r="V268" s="2" t="str">
        <x:v>8.7 percentage point improvement in MAP.</x:v>
      </x:c>
      <x:c r="W268" s="2" t="str">
        <x:v>NR</x:v>
      </x:c>
      <x:c r="X268" s="2" t="str">
        <x:v>NR</x:v>
      </x:c>
      <x:c r="Y268" s="2" t="str">
        <x:v>NR</x:v>
      </x:c>
      <x:c r="Z268" s="2" t="str">
        <x:v>No</x:v>
      </x:c>
      <x:c r="AA268" s="6" t="str">
        <x:v>p. 7; Table III</x:v>
      </x:c>
      <x:c r="AB268" s="6" t="str">
        <x:v>Ranking by VSM + LLM</x:v>
      </x:c>
      <x:c r="AC268" s="6" t="str">
        <x:v>在CM1上，VSM+LLM排序的MAP相比纯VSM有明显提升。</x:v>
      </x:c>
      <x:c r="AD268" s="2" t="str">
        <x:v>Accepted</x:v>
      </x:c>
      <x:c r="AE268" s="6" t="str">
        <x:v>NA</x:v>
      </x:c>
    </x:row>
    <x:row r="269" ht="76" customHeight="1">
      <x:c r="A269" s="2" t="str">
        <x:v>S21-RESULT-R04</x:v>
      </x:c>
      <x:c r="B269" s="2" t="str">
        <x:v>S21</x:v>
      </x:c>
      <x:c r="C269" s="2" t="str">
        <x:v>merged_1152</x:v>
      </x:c>
      <x:c r="D269" s="2" t="str">
        <x:v>Reviewer_A</x:v>
      </x:c>
      <x:c r="E269" s="2" t="str">
        <x:v>Reviewer_A</x:v>
      </x:c>
      <x:c r="F269" s="2" t="str">
        <x:v>S21-R04</x:v>
      </x:c>
      <x:c r="G269" s="2" t="str">
        <x:v>S21-EV02</x:v>
      </x:c>
      <x:c r="H269" s="2" t="str">
        <x:v>S21-T02</x:v>
      </x:c>
      <x:c r="I269" s="2" t="str">
        <x:v>NA</x:v>
      </x:c>
      <x:c r="J269" s="2" t="str">
        <x:v>iTrust</x:v>
      </x:c>
      <x:c r="K269" s="2" t="str">
        <x:v>Ranking by VSM + LLM</x:v>
      </x:c>
      <x:c r="L269" s="2" t="str">
        <x:v>Ranking by VSM</x:v>
      </x:c>
      <x:c r="M269" s="2" t="str">
        <x:v>MAP</x:v>
      </x:c>
      <x:c r="N269" s="6" t="str">
        <x:v>44.2%</x:v>
      </x:c>
      <x:c r="O269" s="2" t="n">
        <x:v>44.2</x:v>
      </x:c>
      <x:c r="P269" s="2" t="str">
        <x:v>%</x:v>
      </x:c>
      <x:c r="Q269" s="6" t="str">
        <x:v>44.5%</x:v>
      </x:c>
      <x:c r="R269" s="2" t="n">
        <x:v>44.5</x:v>
      </x:c>
      <x:c r="S269" s="2" t="str">
        <x:v>NR</x:v>
      </x:c>
      <x:c r="T269" s="2" t="str">
        <x:v>Comparable</x:v>
      </x:c>
      <x:c r="U269" s="2" t="str">
        <x:v>Not tested</x:v>
      </x:c>
      <x:c r="V269" s="2" t="str">
        <x:v>Minor decrease (0.3 percentage points), essentially unchanged.</x:v>
      </x:c>
      <x:c r="W269" s="2" t="str">
        <x:v>NR</x:v>
      </x:c>
      <x:c r="X269" s="2" t="str">
        <x:v>NR</x:v>
      </x:c>
      <x:c r="Y269" s="2" t="str">
        <x:v>NR</x:v>
      </x:c>
      <x:c r="Z269" s="2" t="str">
        <x:v>Yes</x:v>
      </x:c>
      <x:c r="AA269" s="6" t="str">
        <x:v>p. 7; Table III</x:v>
      </x:c>
      <x:c r="AB269" s="6" t="str">
        <x:v>Dataset Ranking by VSM Ranking by VSM + LLM iTrust 44.5% 44.2%</x:v>
      </x:c>
      <x:c r="AC269" s="6" t="str">
        <x:v>在iTrust上，加入LLM后MAP略有下降，结果几乎不变，表明LLM在该数据集上没有增益。</x:v>
      </x:c>
      <x:c r="AD269" s="2" t="str">
        <x:v>Accepted</x:v>
      </x:c>
      <x:c r="AE269" s="6" t="str">
        <x:v>This is a negative result: LLM did not improve ranking on iTrust.</x:v>
      </x:c>
    </x:row>
    <x:row r="270" ht="76" customHeight="1">
      <x:c r="A270" s="2" t="str">
        <x:v>S21-RESULT-R05</x:v>
      </x:c>
      <x:c r="B270" s="2" t="str">
        <x:v>S21</x:v>
      </x:c>
      <x:c r="C270" s="2" t="str">
        <x:v>merged_1152</x:v>
      </x:c>
      <x:c r="D270" s="2" t="str">
        <x:v>Reviewer_A</x:v>
      </x:c>
      <x:c r="E270" s="2" t="str">
        <x:v>Reviewer_A</x:v>
      </x:c>
      <x:c r="F270" s="2" t="str">
        <x:v>S21-R05</x:v>
      </x:c>
      <x:c r="G270" s="2" t="str">
        <x:v>S21-EV02</x:v>
      </x:c>
      <x:c r="H270" s="2" t="str">
        <x:v>S21-T02</x:v>
      </x:c>
      <x:c r="I270" s="2" t="str">
        <x:v>NA</x:v>
      </x:c>
      <x:c r="J270" s="2" t="str">
        <x:v>Dronology NL</x:v>
      </x:c>
      <x:c r="K270" s="2" t="str">
        <x:v>Ranking by VSM + LLM</x:v>
      </x:c>
      <x:c r="L270" s="2" t="str">
        <x:v>Ranking by VSM</x:v>
      </x:c>
      <x:c r="M270" s="2" t="str">
        <x:v>MAP</x:v>
      </x:c>
      <x:c r="N270" s="6" t="str">
        <x:v>100%</x:v>
      </x:c>
      <x:c r="O270" s="2" t="n">
        <x:v>100</x:v>
      </x:c>
      <x:c r="P270" s="2" t="str">
        <x:v>%</x:v>
      </x:c>
      <x:c r="Q270" s="6" t="str">
        <x:v>82.9%</x:v>
      </x:c>
      <x:c r="R270" s="2" t="n">
        <x:v>82.9</x:v>
      </x:c>
      <x:c r="S270" s="2" t="str">
        <x:v>NR</x:v>
      </x:c>
      <x:c r="T270" s="2" t="str">
        <x:v>Better</x:v>
      </x:c>
      <x:c r="U270" s="2" t="str">
        <x:v>Not tested</x:v>
      </x:c>
      <x:c r="V270" s="2" t="str">
        <x:v>Achieved perfect MAP, significant improvement.</x:v>
      </x:c>
      <x:c r="W270" s="2" t="str">
        <x:v>NR</x:v>
      </x:c>
      <x:c r="X270" s="2" t="str">
        <x:v>NR</x:v>
      </x:c>
      <x:c r="Y270" s="2" t="str">
        <x:v>NR</x:v>
      </x:c>
      <x:c r="Z270" s="2" t="str">
        <x:v>No</x:v>
      </x:c>
      <x:c r="AA270" s="6" t="str">
        <x:v>p. 7; Table III</x:v>
      </x:c>
      <x:c r="AB270" s="6" t="str">
        <x:v>Dronology (NL) 82.9% 100%</x:v>
      </x:c>
      <x:c r="AC270" s="6" t="str">
        <x:v>在Dronology NL上，LLM排序取得了完美的100% MAP。</x:v>
      </x:c>
      <x:c r="AD270" s="2" t="str">
        <x:v>Accepted</x:v>
      </x:c>
      <x:c r="AE270" s="6" t="str">
        <x:v>NA</x:v>
      </x:c>
    </x:row>
    <x:row r="271" ht="76" customHeight="1">
      <x:c r="A271" s="2" t="str">
        <x:v>S21-RESULT-R06</x:v>
      </x:c>
      <x:c r="B271" s="2" t="str">
        <x:v>S21</x:v>
      </x:c>
      <x:c r="C271" s="2" t="str">
        <x:v>merged_1152</x:v>
      </x:c>
      <x:c r="D271" s="2" t="str">
        <x:v>Reviewer_A</x:v>
      </x:c>
      <x:c r="E271" s="2" t="str">
        <x:v>Reviewer_A</x:v>
      </x:c>
      <x:c r="F271" s="2" t="str">
        <x:v>S21-R06</x:v>
      </x:c>
      <x:c r="G271" s="2" t="str">
        <x:v>S21-EV02</x:v>
      </x:c>
      <x:c r="H271" s="2" t="str">
        <x:v>S21-T02</x:v>
      </x:c>
      <x:c r="I271" s="2" t="str">
        <x:v>NA</x:v>
      </x:c>
      <x:c r="J271" s="2" t="str">
        <x:v>Dronology PL</x:v>
      </x:c>
      <x:c r="K271" s="2" t="str">
        <x:v>Ranking by VSM + LLM</x:v>
      </x:c>
      <x:c r="L271" s="2" t="str">
        <x:v>Ranking by VSM</x:v>
      </x:c>
      <x:c r="M271" s="2" t="str">
        <x:v>MAP</x:v>
      </x:c>
      <x:c r="N271" s="6" t="str">
        <x:v>30.8%</x:v>
      </x:c>
      <x:c r="O271" s="2" t="n">
        <x:v>30.8</x:v>
      </x:c>
      <x:c r="P271" s="2" t="str">
        <x:v>%</x:v>
      </x:c>
      <x:c r="Q271" s="6" t="str">
        <x:v>23.2%</x:v>
      </x:c>
      <x:c r="R271" s="2" t="n">
        <x:v>23.2</x:v>
      </x:c>
      <x:c r="S271" s="2" t="str">
        <x:v>NR</x:v>
      </x:c>
      <x:c r="T271" s="2" t="str">
        <x:v>Better</x:v>
      </x:c>
      <x:c r="U271" s="2" t="str">
        <x:v>Not tested</x:v>
      </x:c>
      <x:c r="V271" s="2" t="str">
        <x:v>7.6 percentage point improvement, but MAP remains low.</x:v>
      </x:c>
      <x:c r="W271" s="2" t="str">
        <x:v>NR</x:v>
      </x:c>
      <x:c r="X271" s="2" t="str">
        <x:v>NR</x:v>
      </x:c>
      <x:c r="Y271" s="2" t="str">
        <x:v>NR</x:v>
      </x:c>
      <x:c r="Z271" s="2" t="str">
        <x:v>No</x:v>
      </x:c>
      <x:c r="AA271" s="6" t="str">
        <x:v>p. 7; Table III</x:v>
      </x:c>
      <x:c r="AB271" s="6" t="str">
        <x:v>Dronology (PL) 23.2% 30.8%</x:v>
      </x:c>
      <x:c r="AC271" s="6" t="str">
        <x:v>在Dronology PL上，LLM排序有所提升，但MAP仍较低（30.8%）。</x:v>
      </x:c>
      <x:c r="AD271" s="2" t="str">
        <x:v>Accepted</x:v>
      </x:c>
      <x:c r="AE271" s="6" t="str">
        <x:v>NA</x:v>
      </x:c>
    </x:row>
    <x:row r="272" ht="76" customHeight="1">
      <x:c r="A272" s="2" t="str">
        <x:v>S22-RESULT-R01</x:v>
      </x:c>
      <x:c r="B272" s="2" t="str">
        <x:v>S22</x:v>
      </x:c>
      <x:c r="C272" s="2" t="str">
        <x:v>merged_1154-v1</x:v>
      </x:c>
      <x:c r="D272" s="2" t="str">
        <x:v>Reviewer_A</x:v>
      </x:c>
      <x:c r="E272" s="2" t="str">
        <x:v>Reviewer_A</x:v>
      </x:c>
      <x:c r="F272" s="2" t="str">
        <x:v>S22-R01</x:v>
      </x:c>
      <x:c r="G272" s="2" t="str">
        <x:v>S22-EV01</x:v>
      </x:c>
      <x:c r="H272" s="2" t="str">
        <x:v>S22-T01</x:v>
      </x:c>
      <x:c r="I272" s="2" t="str">
        <x:v>NA</x:v>
      </x:c>
      <x:c r="J272" s="2" t="str">
        <x:v>Browser Isolation System (OWASP Threat Model Library)</x:v>
      </x:c>
      <x:c r="K272" s="2" t="str">
        <x:v>LLM-based pipeline</x:v>
      </x:c>
      <x:c r="L272" s="2" t="str">
        <x:v>No</x:v>
      </x:c>
      <x:c r="M272" s="2" t="str">
        <x:v>strict coverage (threats)</x:v>
      </x:c>
      <x:c r="N272" s="6" t="str">
        <x:v>5/11 = 45.45%</x:v>
      </x:c>
      <x:c r="O272" s="2" t="n">
        <x:v>45.45</x:v>
      </x:c>
      <x:c r="P272" s="2" t="str">
        <x:v>%</x:v>
      </x:c>
      <x:c r="Q272" s="6" t="str">
        <x:v>No</x:v>
      </x:c>
      <x:c r="R272" s="2" t="str">
        <x:v>NA</x:v>
      </x:c>
      <x:c r="S272" s="2" t="str">
        <x:v>NR</x:v>
      </x:c>
      <x:c r="T272" s="2" t="str">
        <x:v>Not compared</x:v>
      </x:c>
      <x:c r="U272" s="2" t="str">
        <x:v>Not tested</x:v>
      </x:c>
      <x:c r="V272" s="2" t="str">
        <x:v>NR</x:v>
      </x:c>
      <x:c r="W272" s="2" t="str">
        <x:v>NR</x:v>
      </x:c>
      <x:c r="X272" s="2" t="str">
        <x:v>NR</x:v>
      </x:c>
      <x:c r="Y272" s="2" t="str">
        <x:v>NR</x:v>
      </x:c>
      <x:c r="Z272" s="2" t="str">
        <x:v>No</x:v>
      </x:c>
      <x:c r="AA272" s="6" t="str">
        <x:v>p. 11; Table II</x:v>
      </x:c>
      <x:c r="AB272" s="6" t="str">
        <x:v>5/11 = 45.45%</x:v>
      </x:c>
      <x:c r="AC272" s="6" t="str">
        <x:v>生成的模型在威胁方面的严格覆盖率为45.45%，表明完全匹配的威胁比例较低。</x:v>
      </x:c>
      <x:c r="AD272" s="2" t="str">
        <x:v>Accepted</x:v>
      </x:c>
      <x:c r="AE272" s="6" t="str">
        <x:v>NA</x:v>
      </x:c>
    </x:row>
    <x:row r="273" ht="76" customHeight="1">
      <x:c r="A273" s="2" t="str">
        <x:v>S22-RESULT-R02</x:v>
      </x:c>
      <x:c r="B273" s="2" t="str">
        <x:v>S22</x:v>
      </x:c>
      <x:c r="C273" s="2" t="str">
        <x:v>merged_1154-v1</x:v>
      </x:c>
      <x:c r="D273" s="2" t="str">
        <x:v>Reviewer_A</x:v>
      </x:c>
      <x:c r="E273" s="2" t="str">
        <x:v>Reviewer_A</x:v>
      </x:c>
      <x:c r="F273" s="2" t="str">
        <x:v>S22-R02</x:v>
      </x:c>
      <x:c r="G273" s="2" t="str">
        <x:v>S22-EV01</x:v>
      </x:c>
      <x:c r="H273" s="2" t="str">
        <x:v>S22-T01</x:v>
      </x:c>
      <x:c r="I273" s="2" t="str">
        <x:v>NA</x:v>
      </x:c>
      <x:c r="J273" s="2" t="str">
        <x:v>Browser Isolation System (OWASP Threat Model Library)</x:v>
      </x:c>
      <x:c r="K273" s="2" t="str">
        <x:v>LLM-based pipeline</x:v>
      </x:c>
      <x:c r="L273" s="2" t="str">
        <x:v>No</x:v>
      </x:c>
      <x:c r="M273" s="2" t="str">
        <x:v>weighted coverage (threats)</x:v>
      </x:c>
      <x:c r="N273" s="6" t="str">
        <x:v>(5 + 0.5 × 6)/11 = 72.73%</x:v>
      </x:c>
      <x:c r="O273" s="2" t="n">
        <x:v>72.73</x:v>
      </x:c>
      <x:c r="P273" s="2" t="str">
        <x:v>%</x:v>
      </x:c>
      <x:c r="Q273" s="6" t="str">
        <x:v>No</x:v>
      </x:c>
      <x:c r="R273" s="2" t="str">
        <x:v>NA</x:v>
      </x:c>
      <x:c r="S273" s="2" t="str">
        <x:v>NR</x:v>
      </x:c>
      <x:c r="T273" s="2" t="str">
        <x:v>Not compared</x:v>
      </x:c>
      <x:c r="U273" s="2" t="str">
        <x:v>Not tested</x:v>
      </x:c>
      <x:c r="V273" s="2" t="str">
        <x:v>NR</x:v>
      </x:c>
      <x:c r="W273" s="2" t="str">
        <x:v>NR</x:v>
      </x:c>
      <x:c r="X273" s="2" t="str">
        <x:v>NR</x:v>
      </x:c>
      <x:c r="Y273" s="2" t="str">
        <x:v>NR</x:v>
      </x:c>
      <x:c r="Z273" s="2" t="str">
        <x:v>No</x:v>
      </x:c>
      <x:c r="AA273" s="6" t="str">
        <x:v>p. 11; Table II</x:v>
      </x:c>
      <x:c r="AB273" s="6" t="str">
        <x:v>(5 + 0.5 × 6)/11 = 72.73%</x:v>
      </x:c>
      <x:c r="AC273" s="6" t="str">
        <x:v>威胁的加权覆盖率为72.73%，考虑了部分匹配。</x:v>
      </x:c>
      <x:c r="AD273" s="2" t="str">
        <x:v>Accepted</x:v>
      </x:c>
      <x:c r="AE273" s="6" t="str">
        <x:v>NA</x:v>
      </x:c>
    </x:row>
    <x:row r="274" ht="76" customHeight="1">
      <x:c r="A274" s="2" t="str">
        <x:v>S22-RESULT-R03</x:v>
      </x:c>
      <x:c r="B274" s="2" t="str">
        <x:v>S22</x:v>
      </x:c>
      <x:c r="C274" s="2" t="str">
        <x:v>merged_1154-v1</x:v>
      </x:c>
      <x:c r="D274" s="2" t="str">
        <x:v>Reviewer_A</x:v>
      </x:c>
      <x:c r="E274" s="2" t="str">
        <x:v>Reviewer_A</x:v>
      </x:c>
      <x:c r="F274" s="2" t="str">
        <x:v>S22-R03</x:v>
      </x:c>
      <x:c r="G274" s="2" t="str">
        <x:v>S22-EV01</x:v>
      </x:c>
      <x:c r="H274" s="2" t="str">
        <x:v>S22-T01</x:v>
      </x:c>
      <x:c r="I274" s="2" t="str">
        <x:v>NA</x:v>
      </x:c>
      <x:c r="J274" s="2" t="str">
        <x:v>Browser Isolation System (OWASP Threat Model Library)</x:v>
      </x:c>
      <x:c r="K274" s="2" t="str">
        <x:v>LLM-based pipeline</x:v>
      </x:c>
      <x:c r="L274" s="2" t="str">
        <x:v>No</x:v>
      </x:c>
      <x:c r="M274" s="2" t="str">
        <x:v>relaxed coverage (threats)</x:v>
      </x:c>
      <x:c r="N274" s="6" t="str">
        <x:v>11/11 = 100.00%</x:v>
      </x:c>
      <x:c r="O274" s="2" t="n">
        <x:v>100</x:v>
      </x:c>
      <x:c r="P274" s="2" t="str">
        <x:v>%</x:v>
      </x:c>
      <x:c r="Q274" s="6" t="str">
        <x:v>No</x:v>
      </x:c>
      <x:c r="R274" s="2" t="str">
        <x:v>NA</x:v>
      </x:c>
      <x:c r="S274" s="2" t="str">
        <x:v>NR</x:v>
      </x:c>
      <x:c r="T274" s="2" t="str">
        <x:v>Not compared</x:v>
      </x:c>
      <x:c r="U274" s="2" t="str">
        <x:v>Not tested</x:v>
      </x:c>
      <x:c r="V274" s="2" t="str">
        <x:v>NR</x:v>
      </x:c>
      <x:c r="W274" s="2" t="str">
        <x:v>NR</x:v>
      </x:c>
      <x:c r="X274" s="2" t="str">
        <x:v>NR</x:v>
      </x:c>
      <x:c r="Y274" s="2" t="str">
        <x:v>NR</x:v>
      </x:c>
      <x:c r="Z274" s="2" t="str">
        <x:v>No</x:v>
      </x:c>
      <x:c r="AA274" s="6" t="str">
        <x:v>p. 11; Table II</x:v>
      </x:c>
      <x:c r="AB274" s="6" t="str">
        <x:v>11/11 = 100.00%</x:v>
      </x:c>
      <x:c r="AC274" s="6" t="str">
        <x:v>威胁的宽松覆盖率达到100%，表示所有神谕威胁至少被部分覆盖。</x:v>
      </x:c>
      <x:c r="AD274" s="2" t="str">
        <x:v>Accepted</x:v>
      </x:c>
      <x:c r="AE274" s="6" t="str">
        <x:v>NA</x:v>
      </x:c>
    </x:row>
    <x:row r="275" ht="76" customHeight="1">
      <x:c r="A275" s="2" t="str">
        <x:v>S22-RESULT-R04</x:v>
      </x:c>
      <x:c r="B275" s="2" t="str">
        <x:v>S22</x:v>
      </x:c>
      <x:c r="C275" s="2" t="str">
        <x:v>merged_1154-v1</x:v>
      </x:c>
      <x:c r="D275" s="2" t="str">
        <x:v>Reviewer_A</x:v>
      </x:c>
      <x:c r="E275" s="2" t="str">
        <x:v>Reviewer_A</x:v>
      </x:c>
      <x:c r="F275" s="2" t="str">
        <x:v>S22-R04</x:v>
      </x:c>
      <x:c r="G275" s="2" t="str">
        <x:v>S22-EV01</x:v>
      </x:c>
      <x:c r="H275" s="2" t="str">
        <x:v>S22-T01</x:v>
      </x:c>
      <x:c r="I275" s="2" t="str">
        <x:v>NA</x:v>
      </x:c>
      <x:c r="J275" s="2" t="str">
        <x:v>Browser Isolation System (OWASP Threat Model Library)</x:v>
      </x:c>
      <x:c r="K275" s="2" t="str">
        <x:v>LLM-based pipeline</x:v>
      </x:c>
      <x:c r="L275" s="2" t="str">
        <x:v>No</x:v>
      </x:c>
      <x:c r="M275" s="2" t="str">
        <x:v>strict coverage (risks)</x:v>
      </x:c>
      <x:c r="N275" s="6" t="str">
        <x:v>4/6 = 66.67%</x:v>
      </x:c>
      <x:c r="O275" s="2" t="n">
        <x:v>66.67</x:v>
      </x:c>
      <x:c r="P275" s="2" t="str">
        <x:v>%</x:v>
      </x:c>
      <x:c r="Q275" s="6" t="str">
        <x:v>No</x:v>
      </x:c>
      <x:c r="R275" s="2" t="str">
        <x:v>NA</x:v>
      </x:c>
      <x:c r="S275" s="2" t="str">
        <x:v>NR</x:v>
      </x:c>
      <x:c r="T275" s="2" t="str">
        <x:v>Not compared</x:v>
      </x:c>
      <x:c r="U275" s="2" t="str">
        <x:v>Not tested</x:v>
      </x:c>
      <x:c r="V275" s="2" t="str">
        <x:v>NR</x:v>
      </x:c>
      <x:c r="W275" s="2" t="str">
        <x:v>NR</x:v>
      </x:c>
      <x:c r="X275" s="2" t="str">
        <x:v>NR</x:v>
      </x:c>
      <x:c r="Y275" s="2" t="str">
        <x:v>NR</x:v>
      </x:c>
      <x:c r="Z275" s="2" t="str">
        <x:v>No</x:v>
      </x:c>
      <x:c r="AA275" s="6" t="str">
        <x:v>p. 11; Table II</x:v>
      </x:c>
      <x:c r="AB275" s="6" t="str">
        <x:v>4/6 = 66.67%</x:v>
      </x:c>
      <x:c r="AC275" s="6" t="str">
        <x:v>风险的严格覆盖率为66.67%。</x:v>
      </x:c>
      <x:c r="AD275" s="2" t="str">
        <x:v>Accepted</x:v>
      </x:c>
      <x:c r="AE275" s="6" t="str">
        <x:v>NA</x:v>
      </x:c>
    </x:row>
    <x:row r="276" ht="76" customHeight="1">
      <x:c r="A276" s="2" t="str">
        <x:v>S22-RESULT-R05</x:v>
      </x:c>
      <x:c r="B276" s="2" t="str">
        <x:v>S22</x:v>
      </x:c>
      <x:c r="C276" s="2" t="str">
        <x:v>merged_1154-v1</x:v>
      </x:c>
      <x:c r="D276" s="2" t="str">
        <x:v>Reviewer_A</x:v>
      </x:c>
      <x:c r="E276" s="2" t="str">
        <x:v>Reviewer_A</x:v>
      </x:c>
      <x:c r="F276" s="2" t="str">
        <x:v>S22-R05</x:v>
      </x:c>
      <x:c r="G276" s="2" t="str">
        <x:v>S22-EV01</x:v>
      </x:c>
      <x:c r="H276" s="2" t="str">
        <x:v>S22-T01</x:v>
      </x:c>
      <x:c r="I276" s="2" t="str">
        <x:v>NA</x:v>
      </x:c>
      <x:c r="J276" s="2" t="str">
        <x:v>Browser Isolation System (OWASP Threat Model Library)</x:v>
      </x:c>
      <x:c r="K276" s="2" t="str">
        <x:v>LLM-based pipeline</x:v>
      </x:c>
      <x:c r="L276" s="2" t="str">
        <x:v>No</x:v>
      </x:c>
      <x:c r="M276" s="2" t="str">
        <x:v>weighted coverage (risks)</x:v>
      </x:c>
      <x:c r="N276" s="6" t="str">
        <x:v>(4 + 0.5 × 2)/6 = 83.33%</x:v>
      </x:c>
      <x:c r="O276" s="2" t="n">
        <x:v>83.33</x:v>
      </x:c>
      <x:c r="P276" s="2" t="str">
        <x:v>%</x:v>
      </x:c>
      <x:c r="Q276" s="6" t="str">
        <x:v>No</x:v>
      </x:c>
      <x:c r="R276" s="2" t="str">
        <x:v>NA</x:v>
      </x:c>
      <x:c r="S276" s="2" t="str">
        <x:v>NR</x:v>
      </x:c>
      <x:c r="T276" s="2" t="str">
        <x:v>Not compared</x:v>
      </x:c>
      <x:c r="U276" s="2" t="str">
        <x:v>Not tested</x:v>
      </x:c>
      <x:c r="V276" s="2" t="str">
        <x:v>NR</x:v>
      </x:c>
      <x:c r="W276" s="2" t="str">
        <x:v>NR</x:v>
      </x:c>
      <x:c r="X276" s="2" t="str">
        <x:v>NR</x:v>
      </x:c>
      <x:c r="Y276" s="2" t="str">
        <x:v>NR</x:v>
      </x:c>
      <x:c r="Z276" s="2" t="str">
        <x:v>No</x:v>
      </x:c>
      <x:c r="AA276" s="6" t="str">
        <x:v>p. 11; Table II</x:v>
      </x:c>
      <x:c r="AB276" s="6" t="str">
        <x:v>(4 + 0.5 × 2)/6 = 83.33%</x:v>
      </x:c>
      <x:c r="AC276" s="6" t="str">
        <x:v>风险的加权覆盖率为83.33%。</x:v>
      </x:c>
      <x:c r="AD276" s="2" t="str">
        <x:v>Accepted</x:v>
      </x:c>
      <x:c r="AE276" s="6" t="str">
        <x:v>NA</x:v>
      </x:c>
    </x:row>
    <x:row r="277" ht="76" customHeight="1">
      <x:c r="A277" s="2" t="str">
        <x:v>S22-RESULT-R06</x:v>
      </x:c>
      <x:c r="B277" s="2" t="str">
        <x:v>S22</x:v>
      </x:c>
      <x:c r="C277" s="2" t="str">
        <x:v>merged_1154-v1</x:v>
      </x:c>
      <x:c r="D277" s="2" t="str">
        <x:v>Reviewer_A</x:v>
      </x:c>
      <x:c r="E277" s="2" t="str">
        <x:v>Reviewer_A</x:v>
      </x:c>
      <x:c r="F277" s="2" t="str">
        <x:v>S22-R06</x:v>
      </x:c>
      <x:c r="G277" s="2" t="str">
        <x:v>S22-EV01</x:v>
      </x:c>
      <x:c r="H277" s="2" t="str">
        <x:v>S22-T01</x:v>
      </x:c>
      <x:c r="I277" s="2" t="str">
        <x:v>NA</x:v>
      </x:c>
      <x:c r="J277" s="2" t="str">
        <x:v>Browser Isolation System (OWASP Threat Model Library)</x:v>
      </x:c>
      <x:c r="K277" s="2" t="str">
        <x:v>LLM-based pipeline</x:v>
      </x:c>
      <x:c r="L277" s="2" t="str">
        <x:v>No</x:v>
      </x:c>
      <x:c r="M277" s="2" t="str">
        <x:v>relaxed coverage (risks)</x:v>
      </x:c>
      <x:c r="N277" s="6" t="str">
        <x:v>6/6 = 100.00%</x:v>
      </x:c>
      <x:c r="O277" s="2" t="n">
        <x:v>100</x:v>
      </x:c>
      <x:c r="P277" s="2" t="str">
        <x:v>%</x:v>
      </x:c>
      <x:c r="Q277" s="6" t="str">
        <x:v>No</x:v>
      </x:c>
      <x:c r="R277" s="2" t="str">
        <x:v>NA</x:v>
      </x:c>
      <x:c r="S277" s="2" t="str">
        <x:v>NR</x:v>
      </x:c>
      <x:c r="T277" s="2" t="str">
        <x:v>Not compared</x:v>
      </x:c>
      <x:c r="U277" s="2" t="str">
        <x:v>Not tested</x:v>
      </x:c>
      <x:c r="V277" s="2" t="str">
        <x:v>NR</x:v>
      </x:c>
      <x:c r="W277" s="2" t="str">
        <x:v>NR</x:v>
      </x:c>
      <x:c r="X277" s="2" t="str">
        <x:v>NR</x:v>
      </x:c>
      <x:c r="Y277" s="2" t="str">
        <x:v>NR</x:v>
      </x:c>
      <x:c r="Z277" s="2" t="str">
        <x:v>No</x:v>
      </x:c>
      <x:c r="AA277" s="6" t="str">
        <x:v>p. 11; Table II</x:v>
      </x:c>
      <x:c r="AB277" s="6" t="str">
        <x:v>6/6 = 100.00%</x:v>
      </x:c>
      <x:c r="AC277" s="6" t="str">
        <x:v>风险的宽松覆盖率达到100%。</x:v>
      </x:c>
      <x:c r="AD277" s="2" t="str">
        <x:v>Accepted</x:v>
      </x:c>
      <x:c r="AE277" s="6" t="str">
        <x:v>NA</x:v>
      </x:c>
    </x:row>
    <x:row r="278" ht="76" customHeight="1">
      <x:c r="A278" s="2" t="str">
        <x:v>S23-RESULT-R01</x:v>
      </x:c>
      <x:c r="B278" s="2" t="str">
        <x:v>S23</x:v>
      </x:c>
      <x:c r="C278" s="2" t="str">
        <x:v>merged_1156</x:v>
      </x:c>
      <x:c r="D278" s="2" t="str">
        <x:v>Reviewer_A</x:v>
      </x:c>
      <x:c r="E278" s="2" t="str">
        <x:v>Reviewer_A</x:v>
      </x:c>
      <x:c r="F278" s="2" t="str">
        <x:v>S23-R01</x:v>
      </x:c>
      <x:c r="G278" s="2" t="str">
        <x:v>S23-EV01</x:v>
      </x:c>
      <x:c r="H278" s="2" t="str">
        <x:v>S23-T02</x:v>
      </x:c>
      <x:c r="I278" s="2" t="str">
        <x:v>S23-MU02</x:v>
      </x:c>
      <x:c r="J278" s="2" t="str">
        <x:v>HumanEval</x:v>
      </x:c>
      <x:c r="K278" s="2" t="str">
        <x:v>Max pooling</x:v>
      </x:c>
      <x:c r="L278" s="2" t="str">
        <x:v>Model-only</x:v>
      </x:c>
      <x:c r="M278" s="2" t="str">
        <x:v>pass@1</x:v>
      </x:c>
      <x:c r="N278" s="6" t="str">
        <x:v>5.5</x:v>
      </x:c>
      <x:c r="O278" s="2" t="n">
        <x:v>5.5</x:v>
      </x:c>
      <x:c r="P278" s="2" t="str">
        <x:v>%</x:v>
      </x:c>
      <x:c r="Q278" s="6" t="str">
        <x:v>3.0</x:v>
      </x:c>
      <x:c r="R278" s="2" t="n">
        <x:v>3</x:v>
      </x:c>
      <x:c r="S278" s="2" t="str">
        <x:v>NR</x:v>
      </x:c>
      <x:c r="T278" s="2" t="str">
        <x:v>Better</x:v>
      </x:c>
      <x:c r="U278" s="2" t="str">
        <x:v>Not tested</x:v>
      </x:c>
      <x:c r="V278" s="2" t="str">
        <x:v>Improvement of 2.5 percentage points, small but positive</x:v>
      </x:c>
      <x:c r="W278" s="2" t="str">
        <x:v>NR</x:v>
      </x:c>
      <x:c r="X278" s="2" t="str">
        <x:v>NR</x:v>
      </x:c>
      <x:c r="Y278" s="2" t="str">
        <x:v>NR</x:v>
      </x:c>
      <x:c r="Z278" s="2" t="str">
        <x:v>No</x:v>
      </x:c>
      <x:c r="AA278" s="6" t="str">
        <x:v>p. 6; Table I</x:v>
      </x:c>
      <x:c r="AB278" s="6" t="str">
        <x:v>WizardCoder 1b 3.0 5.5 +2.5 4.3 +1.3 5.5 +2.5 4.3 +1.3 5.5 +2.5</x:v>
      </x:c>
      <x:c r="AC278" s="6" t="str">
        <x:v>WizardCoder 1B模型使用最大池化策略重提示后pass@1从3.0%提升至5.5%，正向改善。</x:v>
      </x:c>
      <x:c r="AD278" s="2" t="str">
        <x:v>Accepted</x:v>
      </x:c>
      <x:c r="AE278" s="6" t="str">
        <x:v>NR</x:v>
      </x:c>
    </x:row>
    <x:row r="279" ht="76" customHeight="1">
      <x:c r="A279" s="2" t="str">
        <x:v>S23-RESULT-R02</x:v>
      </x:c>
      <x:c r="B279" s="2" t="str">
        <x:v>S23</x:v>
      </x:c>
      <x:c r="C279" s="2" t="str">
        <x:v>merged_1156</x:v>
      </x:c>
      <x:c r="D279" s="2" t="str">
        <x:v>Reviewer_A</x:v>
      </x:c>
      <x:c r="E279" s="2" t="str">
        <x:v>Reviewer_A</x:v>
      </x:c>
      <x:c r="F279" s="2" t="str">
        <x:v>S23-R02</x:v>
      </x:c>
      <x:c r="G279" s="2" t="str">
        <x:v>S23-EV01</x:v>
      </x:c>
      <x:c r="H279" s="2" t="str">
        <x:v>S23-T02</x:v>
      </x:c>
      <x:c r="I279" s="2" t="str">
        <x:v>S23-MU04</x:v>
      </x:c>
      <x:c r="J279" s="2" t="str">
        <x:v>HumanEval</x:v>
      </x:c>
      <x:c r="K279" s="2" t="str">
        <x:v>Max pooling</x:v>
      </x:c>
      <x:c r="L279" s="2" t="str">
        <x:v>Model-only</x:v>
      </x:c>
      <x:c r="M279" s="2" t="str">
        <x:v>pass@1</x:v>
      </x:c>
      <x:c r="N279" s="6" t="str">
        <x:v>15.9</x:v>
      </x:c>
      <x:c r="O279" s="2" t="n">
        <x:v>15.9</x:v>
      </x:c>
      <x:c r="P279" s="2" t="str">
        <x:v>%</x:v>
      </x:c>
      <x:c r="Q279" s="6" t="str">
        <x:v>13.4</x:v>
      </x:c>
      <x:c r="R279" s="2" t="n">
        <x:v>13.4</x:v>
      </x:c>
      <x:c r="S279" s="2" t="str">
        <x:v>NR</x:v>
      </x:c>
      <x:c r="T279" s="2" t="str">
        <x:v>Better</x:v>
      </x:c>
      <x:c r="U279" s="2" t="str">
        <x:v>Not tested</x:v>
      </x:c>
      <x:c r="V279" s="2" t="str">
        <x:v>Improvement of 2.5 percentage points</x:v>
      </x:c>
      <x:c r="W279" s="2" t="str">
        <x:v>NR</x:v>
      </x:c>
      <x:c r="X279" s="2" t="str">
        <x:v>NR</x:v>
      </x:c>
      <x:c r="Y279" s="2" t="str">
        <x:v>NR</x:v>
      </x:c>
      <x:c r="Z279" s="2" t="str">
        <x:v>No</x:v>
      </x:c>
      <x:c r="AA279" s="6" t="str">
        <x:v>p. 6; Table I</x:v>
      </x:c>
      <x:c r="AB279" s="6" t="str">
        <x:v>WizardCoder 3b 13.4 15.9 +2.5 16.5 +3.1 15.2 +1.8 15.9 +2.5 14.0 +0.6</x:v>
      </x:c>
      <x:c r="AC279" s="6" t="str">
        <x:v>WizardCoder 3B模型最大池化重提示pass@1从13.4%提升至15.9%。</x:v>
      </x:c>
      <x:c r="AD279" s="2" t="str">
        <x:v>Accepted</x:v>
      </x:c>
      <x:c r="AE279" s="6" t="str">
        <x:v>NR</x:v>
      </x:c>
    </x:row>
    <x:row r="280" ht="76" customHeight="1">
      <x:c r="A280" s="2" t="str">
        <x:v>S23-RESULT-R03</x:v>
      </x:c>
      <x:c r="B280" s="2" t="str">
        <x:v>S23</x:v>
      </x:c>
      <x:c r="C280" s="2" t="str">
        <x:v>merged_1156</x:v>
      </x:c>
      <x:c r="D280" s="2" t="str">
        <x:v>Reviewer_A</x:v>
      </x:c>
      <x:c r="E280" s="2" t="str">
        <x:v>Reviewer_A</x:v>
      </x:c>
      <x:c r="F280" s="2" t="str">
        <x:v>S23-R03</x:v>
      </x:c>
      <x:c r="G280" s="2" t="str">
        <x:v>S23-EV01</x:v>
      </x:c>
      <x:c r="H280" s="2" t="str">
        <x:v>S23-T02</x:v>
      </x:c>
      <x:c r="I280" s="2" t="str">
        <x:v>S23-MU06</x:v>
      </x:c>
      <x:c r="J280" s="2" t="str">
        <x:v>HumanEval</x:v>
      </x:c>
      <x:c r="K280" s="2" t="str">
        <x:v>Max pooling</x:v>
      </x:c>
      <x:c r="L280" s="2" t="str">
        <x:v>Model-only</x:v>
      </x:c>
      <x:c r="M280" s="2" t="str">
        <x:v>pass@1</x:v>
      </x:c>
      <x:c r="N280" s="6" t="str">
        <x:v>43.9</x:v>
      </x:c>
      <x:c r="O280" s="2" t="n">
        <x:v>43.9</x:v>
      </x:c>
      <x:c r="P280" s="2" t="str">
        <x:v>%</x:v>
      </x:c>
      <x:c r="Q280" s="6" t="str">
        <x:v>42.7</x:v>
      </x:c>
      <x:c r="R280" s="2" t="n">
        <x:v>42.7</x:v>
      </x:c>
      <x:c r="S280" s="2" t="str">
        <x:v>NR</x:v>
      </x:c>
      <x:c r="T280" s="2" t="str">
        <x:v>Better</x:v>
      </x:c>
      <x:c r="U280" s="2" t="str">
        <x:v>Not tested</x:v>
      </x:c>
      <x:c r="V280" s="2" t="str">
        <x:v>Improvement of 1.2 percentage points</x:v>
      </x:c>
      <x:c r="W280" s="2" t="str">
        <x:v>NR</x:v>
      </x:c>
      <x:c r="X280" s="2" t="str">
        <x:v>NR</x:v>
      </x:c>
      <x:c r="Y280" s="2" t="str">
        <x:v>NR</x:v>
      </x:c>
      <x:c r="Z280" s="2" t="str">
        <x:v>No</x:v>
      </x:c>
      <x:c r="AA280" s="6" t="str">
        <x:v>p. 6; Table I</x:v>
      </x:c>
      <x:c r="AB280" s="6" t="str">
        <x:v>CodeLlama 7b Instruct hf 42.7 43.9 +1.2 42.1 -0.6 42.7 +0.0 40.9 -1.8 39.6 -3.1</x:v>
      </x:c>
      <x:c r="AC280" s="6" t="str">
        <x:v>CodeLlama 7B最大池化重提示pass@1从42.7%提升至43.9%，轻微正向。</x:v>
      </x:c>
      <x:c r="AD280" s="2" t="str">
        <x:v>Accepted</x:v>
      </x:c>
      <x:c r="AE280" s="6" t="str">
        <x:v>NR</x:v>
      </x:c>
    </x:row>
    <x:row r="281" ht="76" customHeight="1">
      <x:c r="A281" s="2" t="str">
        <x:v>S23-RESULT-R04</x:v>
      </x:c>
      <x:c r="B281" s="2" t="str">
        <x:v>S23</x:v>
      </x:c>
      <x:c r="C281" s="2" t="str">
        <x:v>merged_1156</x:v>
      </x:c>
      <x:c r="D281" s="2" t="str">
        <x:v>Reviewer_A</x:v>
      </x:c>
      <x:c r="E281" s="2" t="str">
        <x:v>Reviewer_A</x:v>
      </x:c>
      <x:c r="F281" s="2" t="str">
        <x:v>S23-R04</x:v>
      </x:c>
      <x:c r="G281" s="2" t="str">
        <x:v>S23-EV01</x:v>
      </x:c>
      <x:c r="H281" s="2" t="str">
        <x:v>S23-T02</x:v>
      </x:c>
      <x:c r="I281" s="2" t="str">
        <x:v>S23-MU08</x:v>
      </x:c>
      <x:c r="J281" s="2" t="str">
        <x:v>HumanEval</x:v>
      </x:c>
      <x:c r="K281" s="2" t="str">
        <x:v>Max pooling</x:v>
      </x:c>
      <x:c r="L281" s="2" t="str">
        <x:v>Model-only</x:v>
      </x:c>
      <x:c r="M281" s="2" t="str">
        <x:v>pass@1</x:v>
      </x:c>
      <x:c r="N281" s="6" t="str">
        <x:v>43.9</x:v>
      </x:c>
      <x:c r="O281" s="2" t="n">
        <x:v>43.9</x:v>
      </x:c>
      <x:c r="P281" s="2" t="str">
        <x:v>%</x:v>
      </x:c>
      <x:c r="Q281" s="6" t="str">
        <x:v>43.3</x:v>
      </x:c>
      <x:c r="R281" s="2" t="n">
        <x:v>43.3</x:v>
      </x:c>
      <x:c r="S281" s="2" t="str">
        <x:v>NR</x:v>
      </x:c>
      <x:c r="T281" s="2" t="str">
        <x:v>Better</x:v>
      </x:c>
      <x:c r="U281" s="2" t="str">
        <x:v>Not tested</x:v>
      </x:c>
      <x:c r="V281" s="2" t="str">
        <x:v>Improvement of 0.6 percentage points</x:v>
      </x:c>
      <x:c r="W281" s="2" t="str">
        <x:v>NR</x:v>
      </x:c>
      <x:c r="X281" s="2" t="str">
        <x:v>NR</x:v>
      </x:c>
      <x:c r="Y281" s="2" t="str">
        <x:v>NR</x:v>
      </x:c>
      <x:c r="Z281" s="2" t="str">
        <x:v>No</x:v>
      </x:c>
      <x:c r="AA281" s="6" t="str">
        <x:v>p. 6; Table I</x:v>
      </x:c>
      <x:c r="AB281" s="6" t="str">
        <x:v>CodeLlama 13b Instruct hf 43.3 43.9 +0.6 44.5 +1.2 43.9 +0.6 43.9 +0.6 43.3 +0.0</x:v>
      </x:c>
      <x:c r="AC281" s="6" t="str">
        <x:v>CodeLlama 13B最大池化重提示pass@1从43.3%提升至43.9%，微小正向。</x:v>
      </x:c>
      <x:c r="AD281" s="2" t="str">
        <x:v>Accepted</x:v>
      </x:c>
      <x:c r="AE281" s="6" t="str">
        <x:v>NR</x:v>
      </x:c>
    </x:row>
    <x:row r="282" ht="76" customHeight="1">
      <x:c r="A282" s="2" t="str">
        <x:v>S23-RESULT-R05</x:v>
      </x:c>
      <x:c r="B282" s="2" t="str">
        <x:v>S23</x:v>
      </x:c>
      <x:c r="C282" s="2" t="str">
        <x:v>merged_1156</x:v>
      </x:c>
      <x:c r="D282" s="2" t="str">
        <x:v>Reviewer_A</x:v>
      </x:c>
      <x:c r="E282" s="2" t="str">
        <x:v>Reviewer_A</x:v>
      </x:c>
      <x:c r="F282" s="2" t="str">
        <x:v>S23-R05</x:v>
      </x:c>
      <x:c r="G282" s="2" t="str">
        <x:v>S23-EV01</x:v>
      </x:c>
      <x:c r="H282" s="2" t="str">
        <x:v>S23-T02</x:v>
      </x:c>
      <x:c r="I282" s="2" t="str">
        <x:v>S23-MU06</x:v>
      </x:c>
      <x:c r="J282" s="2" t="str">
        <x:v>HumanEval</x:v>
      </x:c>
      <x:c r="K282" s="2" t="str">
        <x:v>Random segment selection</x:v>
      </x:c>
      <x:c r="L282" s="2" t="str">
        <x:v>Model-only</x:v>
      </x:c>
      <x:c r="M282" s="2" t="str">
        <x:v>pass@1</x:v>
      </x:c>
      <x:c r="N282" s="6" t="str">
        <x:v>39.6</x:v>
      </x:c>
      <x:c r="O282" s="2" t="n">
        <x:v>39.6</x:v>
      </x:c>
      <x:c r="P282" s="2" t="str">
        <x:v>%</x:v>
      </x:c>
      <x:c r="Q282" s="6" t="str">
        <x:v>42.7</x:v>
      </x:c>
      <x:c r="R282" s="2" t="n">
        <x:v>42.7</x:v>
      </x:c>
      <x:c r="S282" s="2" t="str">
        <x:v>NR</x:v>
      </x:c>
      <x:c r="T282" s="2" t="str">
        <x:v>Worse</x:v>
      </x:c>
      <x:c r="U282" s="2" t="str">
        <x:v>Not tested</x:v>
      </x:c>
      <x:c r="V282" s="2" t="str">
        <x:v>Decrease of 3.1 percentage points, performance drop</x:v>
      </x:c>
      <x:c r="W282" s="2" t="str">
        <x:v>NR</x:v>
      </x:c>
      <x:c r="X282" s="2" t="str">
        <x:v>NR</x:v>
      </x:c>
      <x:c r="Y282" s="2" t="str">
        <x:v>NR</x:v>
      </x:c>
      <x:c r="Z282" s="2" t="str">
        <x:v>Yes</x:v>
      </x:c>
      <x:c r="AA282" s="6" t="str">
        <x:v>p. 6; Table I</x:v>
      </x:c>
      <x:c r="AB282" s="6" t="str">
        <x:v>CodeLlama 7b Instruct hf 42.7 43.9 +1.2 42.1 -0.6 42.7 +0.0 40.9 -1.8 39.6 -3.1</x:v>
      </x:c>
      <x:c r="AC282" s="6" t="str">
        <x:v>CodeLlama 7B随机选择重提示导致pass@1下降至39.6%，为负面结果。</x:v>
      </x:c>
      <x:c r="AD282" s="2" t="str">
        <x:v>Accepted</x:v>
      </x:c>
      <x:c r="AE282" s="6" t="str">
        <x:v>NR</x:v>
      </x:c>
    </x:row>
    <x:row r="283" ht="76" customHeight="1">
      <x:c r="A283" s="2" t="str">
        <x:v>S23-RESULT-R06</x:v>
      </x:c>
      <x:c r="B283" s="2" t="str">
        <x:v>S23</x:v>
      </x:c>
      <x:c r="C283" s="2" t="str">
        <x:v>merged_1156</x:v>
      </x:c>
      <x:c r="D283" s="2" t="str">
        <x:v>Reviewer_A</x:v>
      </x:c>
      <x:c r="E283" s="2" t="str">
        <x:v>Reviewer_A</x:v>
      </x:c>
      <x:c r="F283" s="2" t="str">
        <x:v>S23-R06</x:v>
      </x:c>
      <x:c r="G283" s="2" t="str">
        <x:v>S23-EV01</x:v>
      </x:c>
      <x:c r="H283" s="2" t="str">
        <x:v>S23-T02</x:v>
      </x:c>
      <x:c r="I283" s="2" t="str">
        <x:v>S23-MU06</x:v>
      </x:c>
      <x:c r="J283" s="2" t="str">
        <x:v>HumanEval</x:v>
      </x:c>
      <x:c r="K283" s="2" t="str">
        <x:v>Max pooling</x:v>
      </x:c>
      <x:c r="L283" s="2" t="str">
        <x:v>NA</x:v>
      </x:c>
      <x:c r="M283" s="2" t="str">
        <x:v>fixes</x:v>
      </x:c>
      <x:c r="N283" s="6" t="str">
        <x:v>5</x:v>
      </x:c>
      <x:c r="O283" s="2" t="n">
        <x:v>5</x:v>
      </x:c>
      <x:c r="P283" s="2" t="str">
        <x:v>count</x:v>
      </x:c>
      <x:c r="Q283" s="6" t="str">
        <x:v>NA</x:v>
      </x:c>
      <x:c r="R283" s="2" t="str">
        <x:v>NA</x:v>
      </x:c>
      <x:c r="S283" s="2" t="str">
        <x:v>NR</x:v>
      </x:c>
      <x:c r="T283" s="2" t="str">
        <x:v>Not compared</x:v>
      </x:c>
      <x:c r="U283" s="2" t="str">
        <x:v>NA</x:v>
      </x:c>
      <x:c r="V283" s="2" t="str">
        <x:v>NA</x:v>
      </x:c>
      <x:c r="W283" s="2" t="str">
        <x:v>NR</x:v>
      </x:c>
      <x:c r="X283" s="2" t="str">
        <x:v>NR</x:v>
      </x:c>
      <x:c r="Y283" s="2" t="str">
        <x:v>NA</x:v>
      </x:c>
      <x:c r="Z283" s="2" t="str">
        <x:v>NR</x:v>
      </x:c>
      <x:c r="AA283" s="6" t="str">
        <x:v>p. 7; Table II</x:v>
      </x:c>
      <x:c r="AB283" s="6" t="str">
        <x:v>CodeLlama 7b Instruct hf 5 3 7 8 4 4 7 10 8 13</x:v>
      </x:c>
      <x:c r="AC283" s="6" t="str">
        <x:v>CodeLlama 7B最大池化策略下成功修复5个问题。</x:v>
      </x:c>
      <x:c r="AD283" s="2" t="str">
        <x:v>Accepted</x:v>
      </x:c>
      <x:c r="AE283" s="6" t="str">
        <x:v>NR</x:v>
      </x:c>
    </x:row>
    <x:row r="284" ht="76" customHeight="1">
      <x:c r="A284" s="2" t="str">
        <x:v>S23-RESULT-R07</x:v>
      </x:c>
      <x:c r="B284" s="2" t="str">
        <x:v>S23</x:v>
      </x:c>
      <x:c r="C284" s="2" t="str">
        <x:v>merged_1156</x:v>
      </x:c>
      <x:c r="D284" s="2" t="str">
        <x:v>Reviewer_A</x:v>
      </x:c>
      <x:c r="E284" s="2" t="str">
        <x:v>Reviewer_A</x:v>
      </x:c>
      <x:c r="F284" s="2" t="str">
        <x:v>S23-R07</x:v>
      </x:c>
      <x:c r="G284" s="2" t="str">
        <x:v>S23-EV01</x:v>
      </x:c>
      <x:c r="H284" s="2" t="str">
        <x:v>S23-T02</x:v>
      </x:c>
      <x:c r="I284" s="2" t="str">
        <x:v>S23-MU06</x:v>
      </x:c>
      <x:c r="J284" s="2" t="str">
        <x:v>HumanEval</x:v>
      </x:c>
      <x:c r="K284" s="2" t="str">
        <x:v>Max pooling</x:v>
      </x:c>
      <x:c r="L284" s="2" t="str">
        <x:v>NA</x:v>
      </x:c>
      <x:c r="M284" s="2" t="str">
        <x:v>regressions</x:v>
      </x:c>
      <x:c r="N284" s="6" t="str">
        <x:v>3</x:v>
      </x:c>
      <x:c r="O284" s="2" t="n">
        <x:v>3</x:v>
      </x:c>
      <x:c r="P284" s="2" t="str">
        <x:v>count</x:v>
      </x:c>
      <x:c r="Q284" s="6" t="str">
        <x:v>NA</x:v>
      </x:c>
      <x:c r="R284" s="2" t="str">
        <x:v>NA</x:v>
      </x:c>
      <x:c r="S284" s="2" t="str">
        <x:v>NR</x:v>
      </x:c>
      <x:c r="T284" s="2" t="str">
        <x:v>Not compared</x:v>
      </x:c>
      <x:c r="U284" s="2" t="str">
        <x:v>NA</x:v>
      </x:c>
      <x:c r="V284" s="2" t="str">
        <x:v>NA</x:v>
      </x:c>
      <x:c r="W284" s="2" t="str">
        <x:v>NR</x:v>
      </x:c>
      <x:c r="X284" s="2" t="str">
        <x:v>NR</x:v>
      </x:c>
      <x:c r="Y284" s="2" t="str">
        <x:v>NA</x:v>
      </x:c>
      <x:c r="Z284" s="2" t="str">
        <x:v>NR</x:v>
      </x:c>
      <x:c r="AA284" s="6" t="str">
        <x:v>p. 7; Table II</x:v>
      </x:c>
      <x:c r="AB284" s="6" t="str">
        <x:v>CodeLlama 7b Instruct hf 5 3 7 8 4 4 7 10 8 13</x:v>
      </x:c>
      <x:c r="AC284" s="6" t="str">
        <x:v>CodeLlama 7B最大池化策略导致3个回归问题。</x:v>
      </x:c>
      <x:c r="AD284" s="2" t="str">
        <x:v>Accepted</x:v>
      </x:c>
      <x:c r="AE284" s="6" t="str">
        <x:v>NR</x:v>
      </x:c>
    </x:row>
    <x:row r="285" ht="76" customHeight="1">
      <x:c r="A285" s="2" t="str">
        <x:v>S23-RESULT-R08</x:v>
      </x:c>
      <x:c r="B285" s="2" t="str">
        <x:v>S23</x:v>
      </x:c>
      <x:c r="C285" s="2" t="str">
        <x:v>merged_1156</x:v>
      </x:c>
      <x:c r="D285" s="2" t="str">
        <x:v>Reviewer_A</x:v>
      </x:c>
      <x:c r="E285" s="2" t="str">
        <x:v>Reviewer_A</x:v>
      </x:c>
      <x:c r="F285" s="2" t="str">
        <x:v>S23-R08</x:v>
      </x:c>
      <x:c r="G285" s="2" t="str">
        <x:v>S23-EV01</x:v>
      </x:c>
      <x:c r="H285" s="2" t="str">
        <x:v>S23-T02</x:v>
      </x:c>
      <x:c r="I285" s="2" t="str">
        <x:v>S23-MU06</x:v>
      </x:c>
      <x:c r="J285" s="2" t="str">
        <x:v>HumanEval</x:v>
      </x:c>
      <x:c r="K285" s="2" t="str">
        <x:v>Ave pooling w/ z-score</x:v>
      </x:c>
      <x:c r="L285" s="2" t="str">
        <x:v>NA</x:v>
      </x:c>
      <x:c r="M285" s="2" t="str">
        <x:v>fixes</x:v>
      </x:c>
      <x:c r="N285" s="6" t="str">
        <x:v>7</x:v>
      </x:c>
      <x:c r="O285" s="2" t="n">
        <x:v>7</x:v>
      </x:c>
      <x:c r="P285" s="2" t="str">
        <x:v>count</x:v>
      </x:c>
      <x:c r="Q285" s="6" t="str">
        <x:v>NA</x:v>
      </x:c>
      <x:c r="R285" s="2" t="str">
        <x:v>NA</x:v>
      </x:c>
      <x:c r="S285" s="2" t="str">
        <x:v>NR</x:v>
      </x:c>
      <x:c r="T285" s="2" t="str">
        <x:v>Not compared</x:v>
      </x:c>
      <x:c r="U285" s="2" t="str">
        <x:v>NA</x:v>
      </x:c>
      <x:c r="V285" s="2" t="str">
        <x:v>NA</x:v>
      </x:c>
      <x:c r="W285" s="2" t="str">
        <x:v>NR</x:v>
      </x:c>
      <x:c r="X285" s="2" t="str">
        <x:v>NR</x:v>
      </x:c>
      <x:c r="Y285" s="2" t="str">
        <x:v>NA</x:v>
      </x:c>
      <x:c r="Z285" s="2" t="str">
        <x:v>NR</x:v>
      </x:c>
      <x:c r="AA285" s="6" t="str">
        <x:v>p. 7; Table II</x:v>
      </x:c>
      <x:c r="AB285" s="6" t="str">
        <x:v>CodeLlama 7b Instruct hf 5 3 7 8 4 4 7 10 8 13</x:v>
      </x:c>
      <x:c r="AC285" s="6" t="str">
        <x:v>CodeLlama 7B均值池化加z-score策略修复7个问题。</x:v>
      </x:c>
      <x:c r="AD285" s="2" t="str">
        <x:v>Accepted</x:v>
      </x:c>
      <x:c r="AE285" s="6" t="str">
        <x:v>NR</x:v>
      </x:c>
    </x:row>
    <x:row r="286" ht="76" customHeight="1">
      <x:c r="A286" s="2" t="str">
        <x:v>S23-RESULT-R09</x:v>
      </x:c>
      <x:c r="B286" s="2" t="str">
        <x:v>S23</x:v>
      </x:c>
      <x:c r="C286" s="2" t="str">
        <x:v>merged_1156</x:v>
      </x:c>
      <x:c r="D286" s="2" t="str">
        <x:v>Reviewer_A</x:v>
      </x:c>
      <x:c r="E286" s="2" t="str">
        <x:v>Reviewer_A</x:v>
      </x:c>
      <x:c r="F286" s="2" t="str">
        <x:v>S23-R09</x:v>
      </x:c>
      <x:c r="G286" s="2" t="str">
        <x:v>S23-EV01</x:v>
      </x:c>
      <x:c r="H286" s="2" t="str">
        <x:v>S23-T02</x:v>
      </x:c>
      <x:c r="I286" s="2" t="str">
        <x:v>S23-MU06</x:v>
      </x:c>
      <x:c r="J286" s="2" t="str">
        <x:v>HumanEval</x:v>
      </x:c>
      <x:c r="K286" s="2" t="str">
        <x:v>Ave pooling w/ z-score</x:v>
      </x:c>
      <x:c r="L286" s="2" t="str">
        <x:v>NA</x:v>
      </x:c>
      <x:c r="M286" s="2" t="str">
        <x:v>regressions</x:v>
      </x:c>
      <x:c r="N286" s="6" t="str">
        <x:v>10</x:v>
      </x:c>
      <x:c r="O286" s="2" t="n">
        <x:v>10</x:v>
      </x:c>
      <x:c r="P286" s="2" t="str">
        <x:v>count</x:v>
      </x:c>
      <x:c r="Q286" s="6" t="str">
        <x:v>NA</x:v>
      </x:c>
      <x:c r="R286" s="2" t="str">
        <x:v>NA</x:v>
      </x:c>
      <x:c r="S286" s="2" t="str">
        <x:v>NR</x:v>
      </x:c>
      <x:c r="T286" s="2" t="str">
        <x:v>Not compared</x:v>
      </x:c>
      <x:c r="U286" s="2" t="str">
        <x:v>NA</x:v>
      </x:c>
      <x:c r="V286" s="2" t="str">
        <x:v>NA</x:v>
      </x:c>
      <x:c r="W286" s="2" t="str">
        <x:v>NR</x:v>
      </x:c>
      <x:c r="X286" s="2" t="str">
        <x:v>NR</x:v>
      </x:c>
      <x:c r="Y286" s="2" t="str">
        <x:v>NA</x:v>
      </x:c>
      <x:c r="Z286" s="2" t="str">
        <x:v>Yes</x:v>
      </x:c>
      <x:c r="AA286" s="6" t="str">
        <x:v>p. 7; Table II</x:v>
      </x:c>
      <x:c r="AB286" s="6" t="str">
        <x:v>CodeLlama 7b Instruct hf 5 3 7 8 4 4 7 10 8 13</x:v>
      </x:c>
      <x:c r="AC286" s="6" t="str">
        <x:v>CodeLlama 7B均值池化加z-score导致10个回归问题，回归数超过修复数，表现为负面效果。</x:v>
      </x:c>
      <x:c r="AD286" s="2" t="str">
        <x:v>Accepted</x:v>
      </x:c>
      <x:c r="AE286" s="6" t="str">
        <x:v>NR</x:v>
      </x:c>
    </x:row>
    <x:row r="287" ht="76" customHeight="1">
      <x:c r="A287" s="2" t="str">
        <x:v>S23-RESULT-R10</x:v>
      </x:c>
      <x:c r="B287" s="2" t="str">
        <x:v>S23</x:v>
      </x:c>
      <x:c r="C287" s="2" t="str">
        <x:v>merged_1156</x:v>
      </x:c>
      <x:c r="D287" s="2" t="str">
        <x:v>Reviewer_A</x:v>
      </x:c>
      <x:c r="E287" s="2" t="str">
        <x:v>Reviewer_A</x:v>
      </x:c>
      <x:c r="F287" s="2" t="str">
        <x:v>S23-R10</x:v>
      </x:c>
      <x:c r="G287" s="2" t="str">
        <x:v>S23-EV01</x:v>
      </x:c>
      <x:c r="H287" s="2" t="str">
        <x:v>S23-T02</x:v>
      </x:c>
      <x:c r="I287" s="2" t="str">
        <x:v>NA</x:v>
      </x:c>
      <x:c r="J287" s="2" t="str">
        <x:v>HumanEval</x:v>
      </x:c>
      <x:c r="K287" s="2" t="str">
        <x:v>Max pooling (only failing reprompt)</x:v>
      </x:c>
      <x:c r="L287" s="2" t="str">
        <x:v>Model-only</x:v>
      </x:c>
      <x:c r="M287" s="2" t="str">
        <x:v>pass@1</x:v>
      </x:c>
      <x:c r="N287" s="6" t="str">
        <x:v>17.7</x:v>
      </x:c>
      <x:c r="O287" s="2" t="n">
        <x:v>17.7</x:v>
      </x:c>
      <x:c r="P287" s="2" t="str">
        <x:v>%</x:v>
      </x:c>
      <x:c r="Q287" s="6" t="str">
        <x:v>13.4</x:v>
      </x:c>
      <x:c r="R287" s="2" t="n">
        <x:v>13.4</x:v>
      </x:c>
      <x:c r="S287" s="2" t="str">
        <x:v>NR</x:v>
      </x:c>
      <x:c r="T287" s="2" t="str">
        <x:v>Better</x:v>
      </x:c>
      <x:c r="U287" s="2" t="str">
        <x:v>Not tested</x:v>
      </x:c>
      <x:c r="V287" s="2" t="str">
        <x:v>Improvement of 4.3 percentage points</x:v>
      </x:c>
      <x:c r="W287" s="2" t="str">
        <x:v>NR</x:v>
      </x:c>
      <x:c r="X287" s="2" t="str">
        <x:v>NR</x:v>
      </x:c>
      <x:c r="Y287" s="2" t="str">
        <x:v>NR</x:v>
      </x:c>
      <x:c r="Z287" s="2" t="str">
        <x:v>No</x:v>
      </x:c>
      <x:c r="AA287" s="6" t="str">
        <x:v>p. 8; Table III</x:v>
      </x:c>
      <x:c r="AB287" s="6" t="str">
        <x:v>WizardCode 3b 13.4 17.7 +4.3 18.9 +6.5 17.7 +4.3 17.7 +4.3 17.7 +4.3</x:v>
      </x:c>
      <x:c r="AC287" s="6" t="str">
        <x:v>仅对失败案例重提示时，WizardCoder 3B最大池化pass@1提升至17.7%，改善幅度更大。</x:v>
      </x:c>
      <x:c r="AD287" s="2" t="str">
        <x:v>Accepted</x:v>
      </x:c>
      <x:c r="AE287" s="6" t="str">
        <x:v>NR</x:v>
      </x:c>
    </x:row>
    <x:row r="288" ht="76" customHeight="1">
      <x:c r="A288" s="2" t="str">
        <x:v>S24-RESULT-R01</x:v>
      </x:c>
      <x:c r="B288" s="2" t="str">
        <x:v>S24</x:v>
      </x:c>
      <x:c r="C288" s="2" t="str">
        <x:v>merged_1172</x:v>
      </x:c>
      <x:c r="D288" s="2" t="str">
        <x:v>Reviewer_A</x:v>
      </x:c>
      <x:c r="E288" s="2" t="str">
        <x:v>Reviewer_A</x:v>
      </x:c>
      <x:c r="F288" s="2" t="str">
        <x:v>S24-R01</x:v>
      </x:c>
      <x:c r="G288" s="2" t="str">
        <x:v>S24-EV01</x:v>
      </x:c>
      <x:c r="H288" s="2" t="str">
        <x:v>S24-T01</x:v>
      </x:c>
      <x:c r="I288" s="2" t="str">
        <x:v>NA</x:v>
      </x:c>
      <x:c r="J288" s="2" t="str">
        <x:v>ECSS-style synthetic aerospace requirements corpus</x:v>
      </x:c>
      <x:c r="K288" s="2" t="str">
        <x:v>DeepSeek v3.1</x:v>
      </x:c>
      <x:c r="L288" s="2" t="str">
        <x:v>No</x:v>
      </x:c>
      <x:c r="M288" s="2" t="str">
        <x:v>Balanced Accuracy</x:v>
      </x:c>
      <x:c r="N288" s="6" t="str">
        <x:v>high 0.7–0.8 range</x:v>
      </x:c>
      <x:c r="O288" s="2" t="str">
        <x:v>Unclear</x:v>
      </x:c>
      <x:c r="P288" s="2" t="str">
        <x:v>%</x:v>
      </x:c>
      <x:c r="Q288" s="6" t="str">
        <x:v>No</x:v>
      </x:c>
      <x:c r="R288" s="2" t="str">
        <x:v>NA</x:v>
      </x:c>
      <x:c r="S288" s="2" t="str">
        <x:v>NR</x:v>
      </x:c>
      <x:c r="T288" s="2" t="str">
        <x:v>Not compared</x:v>
      </x:c>
      <x:c r="U288" s="2" t="str">
        <x:v>Not tested</x:v>
      </x:c>
      <x:c r="V288" s="2" t="str">
        <x:v>NR</x:v>
      </x:c>
      <x:c r="W288" s="2" t="str">
        <x:v>NR</x:v>
      </x:c>
      <x:c r="X288" s="2" t="str">
        <x:v>NR</x:v>
      </x:c>
      <x:c r="Y288" s="2" t="str">
        <x:v>NR</x:v>
      </x:c>
      <x:c r="Z288" s="2" t="str">
        <x:v>No</x:v>
      </x:c>
      <x:c r="AA288" s="6" t="str">
        <x:v>p. 6; Section 4, RQ1</x:v>
      </x:c>
      <x:c r="AB288" s="6" t="str">
        <x:v>The leading group (DeepSeek, GPT-OSS, Claude) sits in the high 0.7–0.8 range</x:v>
      </x:c>
      <x:c r="AC288" s="6" t="str">
        <x:v>DeepSeek在模糊性检测上的平衡准确率在0.7-0.8之间，属于领先组。</x:v>
      </x:c>
      <x:c r="AD288" s="2" t="str">
        <x:v>Accepted</x:v>
      </x:c>
      <x:c r="AE288" s="6" t="str">
        <x:v>Approximate value based on textual description.</x:v>
      </x:c>
    </x:row>
    <x:row r="289" ht="76" customHeight="1">
      <x:c r="A289" s="2" t="str">
        <x:v>S24-RESULT-R02</x:v>
      </x:c>
      <x:c r="B289" s="2" t="str">
        <x:v>S24</x:v>
      </x:c>
      <x:c r="C289" s="2" t="str">
        <x:v>merged_1172</x:v>
      </x:c>
      <x:c r="D289" s="2" t="str">
        <x:v>Reviewer_A</x:v>
      </x:c>
      <x:c r="E289" s="2" t="str">
        <x:v>Reviewer_A</x:v>
      </x:c>
      <x:c r="F289" s="2" t="str">
        <x:v>S24-R02</x:v>
      </x:c>
      <x:c r="G289" s="2" t="str">
        <x:v>S24-EV01</x:v>
      </x:c>
      <x:c r="H289" s="2" t="str">
        <x:v>S24-T01</x:v>
      </x:c>
      <x:c r="I289" s="2" t="str">
        <x:v>NA</x:v>
      </x:c>
      <x:c r="J289" s="2" t="str">
        <x:v>ECSS-style synthetic aerospace requirements corpus</x:v>
      </x:c>
      <x:c r="K289" s="2" t="str">
        <x:v>GPT-OSS 120B</x:v>
      </x:c>
      <x:c r="L289" s="2" t="str">
        <x:v>No</x:v>
      </x:c>
      <x:c r="M289" s="2" t="str">
        <x:v>Balanced Accuracy</x:v>
      </x:c>
      <x:c r="N289" s="6" t="str">
        <x:v>high 0.7–0.8 range</x:v>
      </x:c>
      <x:c r="O289" s="2" t="str">
        <x:v>Unclear</x:v>
      </x:c>
      <x:c r="P289" s="2" t="str">
        <x:v>%</x:v>
      </x:c>
      <x:c r="Q289" s="6" t="str">
        <x:v>No</x:v>
      </x:c>
      <x:c r="R289" s="2" t="str">
        <x:v>NA</x:v>
      </x:c>
      <x:c r="S289" s="2" t="str">
        <x:v>NR</x:v>
      </x:c>
      <x:c r="T289" s="2" t="str">
        <x:v>Not compared</x:v>
      </x:c>
      <x:c r="U289" s="2" t="str">
        <x:v>Not tested</x:v>
      </x:c>
      <x:c r="V289" s="2" t="str">
        <x:v>NR</x:v>
      </x:c>
      <x:c r="W289" s="2" t="str">
        <x:v>NR</x:v>
      </x:c>
      <x:c r="X289" s="2" t="str">
        <x:v>NR</x:v>
      </x:c>
      <x:c r="Y289" s="2" t="str">
        <x:v>NR</x:v>
      </x:c>
      <x:c r="Z289" s="2" t="str">
        <x:v>No</x:v>
      </x:c>
      <x:c r="AA289" s="6" t="str">
        <x:v>p. 6; Section 4, RQ1</x:v>
      </x:c>
      <x:c r="AB289" s="6" t="str">
        <x:v>The leading group (DeepSeek, GPT-OSS, Claude) sits in the high 0.7–0.8 range</x:v>
      </x:c>
      <x:c r="AC289" s="6" t="str">
        <x:v>GPT-OSS 120B在模糊性检测上的平衡准确率在0.7-0.8之间，与DeepSeek同属领先组。</x:v>
      </x:c>
      <x:c r="AD289" s="2" t="str">
        <x:v>Accepted</x:v>
      </x:c>
      <x:c r="AE289" s="6" t="str">
        <x:v>Approximate value based on textual description.</x:v>
      </x:c>
    </x:row>
    <x:row r="290" ht="76" customHeight="1">
      <x:c r="A290" s="2" t="str">
        <x:v>S24-RESULT-R03</x:v>
      </x:c>
      <x:c r="B290" s="2" t="str">
        <x:v>S24</x:v>
      </x:c>
      <x:c r="C290" s="2" t="str">
        <x:v>merged_1172</x:v>
      </x:c>
      <x:c r="D290" s="2" t="str">
        <x:v>Reviewer_A</x:v>
      </x:c>
      <x:c r="E290" s="2" t="str">
        <x:v>Reviewer_A</x:v>
      </x:c>
      <x:c r="F290" s="2" t="str">
        <x:v>S24-R03</x:v>
      </x:c>
      <x:c r="G290" s="2" t="str">
        <x:v>S24-EV01</x:v>
      </x:c>
      <x:c r="H290" s="2" t="str">
        <x:v>S24-T01</x:v>
      </x:c>
      <x:c r="I290" s="2" t="str">
        <x:v>NA</x:v>
      </x:c>
      <x:c r="J290" s="2" t="str">
        <x:v>ECSS-style synthetic aerospace requirements corpus</x:v>
      </x:c>
      <x:c r="K290" s="2" t="str">
        <x:v>Claude Sonnet 4</x:v>
      </x:c>
      <x:c r="L290" s="2" t="str">
        <x:v>No</x:v>
      </x:c>
      <x:c r="M290" s="2" t="str">
        <x:v>Balanced Accuracy</x:v>
      </x:c>
      <x:c r="N290" s="6" t="str">
        <x:v>high 0.7–0.8 range</x:v>
      </x:c>
      <x:c r="O290" s="2" t="str">
        <x:v>Unclear</x:v>
      </x:c>
      <x:c r="P290" s="2" t="str">
        <x:v>%</x:v>
      </x:c>
      <x:c r="Q290" s="6" t="str">
        <x:v>No</x:v>
      </x:c>
      <x:c r="R290" s="2" t="str">
        <x:v>NA</x:v>
      </x:c>
      <x:c r="S290" s="2" t="str">
        <x:v>NR</x:v>
      </x:c>
      <x:c r="T290" s="2" t="str">
        <x:v>Not compared</x:v>
      </x:c>
      <x:c r="U290" s="2" t="str">
        <x:v>Not tested</x:v>
      </x:c>
      <x:c r="V290" s="2" t="str">
        <x:v>NR</x:v>
      </x:c>
      <x:c r="W290" s="2" t="str">
        <x:v>NR</x:v>
      </x:c>
      <x:c r="X290" s="2" t="str">
        <x:v>NR</x:v>
      </x:c>
      <x:c r="Y290" s="2" t="str">
        <x:v>NR</x:v>
      </x:c>
      <x:c r="Z290" s="2" t="str">
        <x:v>No</x:v>
      </x:c>
      <x:c r="AA290" s="6" t="str">
        <x:v>p. 6; Section 4, RQ1</x:v>
      </x:c>
      <x:c r="AB290" s="6" t="str">
        <x:v>The leading group (DeepSeek, GPT-OSS, Claude) sits in the high 0.7–0.8 range</x:v>
      </x:c>
      <x:c r="AC290" s="6" t="str">
        <x:v>Claude Sonnet 4在模糊性检测上的平衡准确率在0.7-0.8之间，属于领先组。</x:v>
      </x:c>
      <x:c r="AD290" s="2" t="str">
        <x:v>Accepted</x:v>
      </x:c>
      <x:c r="AE290" s="6" t="str">
        <x:v>Approximate value based on textual description.</x:v>
      </x:c>
    </x:row>
    <x:row r="291" ht="76" customHeight="1">
      <x:c r="A291" s="2" t="str">
        <x:v>S24-RESULT-R04</x:v>
      </x:c>
      <x:c r="B291" s="2" t="str">
        <x:v>S24</x:v>
      </x:c>
      <x:c r="C291" s="2" t="str">
        <x:v>merged_1172</x:v>
      </x:c>
      <x:c r="D291" s="2" t="str">
        <x:v>Reviewer_A</x:v>
      </x:c>
      <x:c r="E291" s="2" t="str">
        <x:v>Reviewer_A</x:v>
      </x:c>
      <x:c r="F291" s="2" t="str">
        <x:v>S24-R04</x:v>
      </x:c>
      <x:c r="G291" s="2" t="str">
        <x:v>S24-EV01</x:v>
      </x:c>
      <x:c r="H291" s="2" t="str">
        <x:v>S24-T01</x:v>
      </x:c>
      <x:c r="I291" s="2" t="str">
        <x:v>NA</x:v>
      </x:c>
      <x:c r="J291" s="2" t="str">
        <x:v>ECSS-style synthetic aerospace requirements corpus</x:v>
      </x:c>
      <x:c r="K291" s="2" t="str">
        <x:v>Qwen3 235B Instruct</x:v>
      </x:c>
      <x:c r="L291" s="2" t="str">
        <x:v>No</x:v>
      </x:c>
      <x:c r="M291" s="2" t="str">
        <x:v>Balanced Accuracy</x:v>
      </x:c>
      <x:c r="N291" s="6" t="str">
        <x:v>slightly lower</x:v>
      </x:c>
      <x:c r="O291" s="2" t="str">
        <x:v>Unclear</x:v>
      </x:c>
      <x:c r="P291" s="2" t="str">
        <x:v>NA</x:v>
      </x:c>
      <x:c r="Q291" s="6" t="str">
        <x:v>No</x:v>
      </x:c>
      <x:c r="R291" s="2" t="str">
        <x:v>NA</x:v>
      </x:c>
      <x:c r="S291" s="2" t="str">
        <x:v>NR</x:v>
      </x:c>
      <x:c r="T291" s="2" t="str">
        <x:v>Not compared</x:v>
      </x:c>
      <x:c r="U291" s="2" t="str">
        <x:v>Not tested</x:v>
      </x:c>
      <x:c r="V291" s="2" t="str">
        <x:v>NR</x:v>
      </x:c>
      <x:c r="W291" s="2" t="str">
        <x:v>NR</x:v>
      </x:c>
      <x:c r="X291" s="2" t="str">
        <x:v>NR</x:v>
      </x:c>
      <x:c r="Y291" s="2" t="str">
        <x:v>NR</x:v>
      </x:c>
      <x:c r="Z291" s="2" t="str">
        <x:v>No</x:v>
      </x:c>
      <x:c r="AA291" s="6" t="str">
        <x:v>p. 6; Section 4, RQ1</x:v>
      </x:c>
      <x:c r="AB291" s="6" t="str">
        <x:v>Qwen is slightly lower</x:v>
      </x:c>
      <x:c r="AC291" s="6" t="str">
        <x:v>Qwen3的平衡准确率略低于领先组，具体数值未提供。</x:v>
      </x:c>
      <x:c r="AD291" s="2" t="str">
        <x:v>Accepted</x:v>
      </x:c>
      <x:c r="AE291" s="6" t="str">
        <x:v>Approximate value based on textual description.</x:v>
      </x:c>
    </x:row>
    <x:row r="292" ht="76" customHeight="1">
      <x:c r="A292" s="2" t="str">
        <x:v>S24-RESULT-R05</x:v>
      </x:c>
      <x:c r="B292" s="2" t="str">
        <x:v>S24</x:v>
      </x:c>
      <x:c r="C292" s="2" t="str">
        <x:v>merged_1172</x:v>
      </x:c>
      <x:c r="D292" s="2" t="str">
        <x:v>Reviewer_A</x:v>
      </x:c>
      <x:c r="E292" s="2" t="str">
        <x:v>Reviewer_A</x:v>
      </x:c>
      <x:c r="F292" s="2" t="str">
        <x:v>S24-R05</x:v>
      </x:c>
      <x:c r="G292" s="2" t="str">
        <x:v>S24-EV01</x:v>
      </x:c>
      <x:c r="H292" s="2" t="str">
        <x:v>S24-T01</x:v>
      </x:c>
      <x:c r="I292" s="2" t="str">
        <x:v>NA</x:v>
      </x:c>
      <x:c r="J292" s="2" t="str">
        <x:v>ECSS-style synthetic aerospace requirements corpus</x:v>
      </x:c>
      <x:c r="K292" s="2" t="str">
        <x:v>Llama 3.3 70B Instruct</x:v>
      </x:c>
      <x:c r="L292" s="2" t="str">
        <x:v>No</x:v>
      </x:c>
      <x:c r="M292" s="2" t="str">
        <x:v>Balanced Accuracy</x:v>
      </x:c>
      <x:c r="N292" s="6" t="str">
        <x:v>mid-0.6</x:v>
      </x:c>
      <x:c r="O292" s="2" t="str">
        <x:v>Unclear</x:v>
      </x:c>
      <x:c r="P292" s="2" t="str">
        <x:v>%</x:v>
      </x:c>
      <x:c r="Q292" s="6" t="str">
        <x:v>No</x:v>
      </x:c>
      <x:c r="R292" s="2" t="str">
        <x:v>NA</x:v>
      </x:c>
      <x:c r="S292" s="2" t="str">
        <x:v>NR</x:v>
      </x:c>
      <x:c r="T292" s="2" t="str">
        <x:v>Not compared</x:v>
      </x:c>
      <x:c r="U292" s="2" t="str">
        <x:v>Not tested</x:v>
      </x:c>
      <x:c r="V292" s="2" t="str">
        <x:v>NR</x:v>
      </x:c>
      <x:c r="W292" s="2" t="str">
        <x:v>NR</x:v>
      </x:c>
      <x:c r="X292" s="2" t="str">
        <x:v>NR</x:v>
      </x:c>
      <x:c r="Y292" s="2" t="str">
        <x:v>NR</x:v>
      </x:c>
      <x:c r="Z292" s="2" t="str">
        <x:v>No</x:v>
      </x:c>
      <x:c r="AA292" s="6" t="str">
        <x:v>p. 6; Section 4, RQ1</x:v>
      </x:c>
      <x:c r="AB292" s="6" t="str">
        <x:v>Llama lags (mid-0.6)</x:v>
      </x:c>
      <x:c r="AC292" s="6" t="str">
        <x:v>Llama 3.3的平衡准确率在0.65左右，落后于其他模型。</x:v>
      </x:c>
      <x:c r="AD292" s="2" t="str">
        <x:v>Accepted</x:v>
      </x:c>
      <x:c r="AE292" s="6" t="str">
        <x:v>Approximate value based on textual description.</x:v>
      </x:c>
    </x:row>
    <x:row r="293" ht="76" customHeight="1">
      <x:c r="A293" s="2" t="str">
        <x:v>S24-RESULT-R06</x:v>
      </x:c>
      <x:c r="B293" s="2" t="str">
        <x:v>S24</x:v>
      </x:c>
      <x:c r="C293" s="2" t="str">
        <x:v>merged_1172</x:v>
      </x:c>
      <x:c r="D293" s="2" t="str">
        <x:v>Reviewer_A</x:v>
      </x:c>
      <x:c r="E293" s="2" t="str">
        <x:v>Reviewer_A</x:v>
      </x:c>
      <x:c r="F293" s="2" t="str">
        <x:v>S24-R06</x:v>
      </x:c>
      <x:c r="G293" s="2" t="str">
        <x:v>S24-EV01</x:v>
      </x:c>
      <x:c r="H293" s="2" t="str">
        <x:v>S24-T01</x:v>
      </x:c>
      <x:c r="I293" s="2" t="str">
        <x:v>NA</x:v>
      </x:c>
      <x:c r="J293" s="2" t="str">
        <x:v>ECSS-style synthetic aerospace requirements corpus</x:v>
      </x:c>
      <x:c r="K293" s="2" t="str">
        <x:v>DeepSeek v3.1</x:v>
      </x:c>
      <x:c r="L293" s="2" t="str">
        <x:v>No</x:v>
      </x:c>
      <x:c r="M293" s="2" t="str">
        <x:v>MCC</x:v>
      </x:c>
      <x:c r="N293" s="6" t="str">
        <x:v>≈0.59</x:v>
      </x:c>
      <x:c r="O293" s="2" t="n">
        <x:v>0.59</x:v>
      </x:c>
      <x:c r="P293" s="2" t="str">
        <x:v>proportion</x:v>
      </x:c>
      <x:c r="Q293" s="6" t="str">
        <x:v>No</x:v>
      </x:c>
      <x:c r="R293" s="2" t="str">
        <x:v>NA</x:v>
      </x:c>
      <x:c r="S293" s="2" t="str">
        <x:v>NR</x:v>
      </x:c>
      <x:c r="T293" s="2" t="str">
        <x:v>Not compared</x:v>
      </x:c>
      <x:c r="U293" s="2" t="str">
        <x:v>Not tested</x:v>
      </x:c>
      <x:c r="V293" s="2" t="str">
        <x:v>NR</x:v>
      </x:c>
      <x:c r="W293" s="2" t="str">
        <x:v>NR</x:v>
      </x:c>
      <x:c r="X293" s="2" t="str">
        <x:v>NR</x:v>
      </x:c>
      <x:c r="Y293" s="2" t="str">
        <x:v>NR</x:v>
      </x:c>
      <x:c r="Z293" s="2" t="str">
        <x:v>No</x:v>
      </x:c>
      <x:c r="AA293" s="6" t="str">
        <x:v>p. 6; Section 4, RQ1</x:v>
      </x:c>
      <x:c r="AB293" s="6" t="str">
        <x:v>DeepSeek leads (MCC≈0.59)</x:v>
      </x:c>
      <x:c r="AC293" s="6" t="str">
        <x:v>DeepSeek在MCC指标上最高，约为0.59。</x:v>
      </x:c>
      <x:c r="AD293" s="2" t="str">
        <x:v>Accepted</x:v>
      </x:c>
      <x:c r="AE293" s="6" t="str">
        <x:v>NA</x:v>
      </x:c>
    </x:row>
    <x:row r="294" ht="76" customHeight="1">
      <x:c r="A294" s="2" t="str">
        <x:v>S24-RESULT-R07</x:v>
      </x:c>
      <x:c r="B294" s="2" t="str">
        <x:v>S24</x:v>
      </x:c>
      <x:c r="C294" s="2" t="str">
        <x:v>merged_1172</x:v>
      </x:c>
      <x:c r="D294" s="2" t="str">
        <x:v>Reviewer_A</x:v>
      </x:c>
      <x:c r="E294" s="2" t="str">
        <x:v>Reviewer_A</x:v>
      </x:c>
      <x:c r="F294" s="2" t="str">
        <x:v>S24-R07</x:v>
      </x:c>
      <x:c r="G294" s="2" t="str">
        <x:v>S24-EV01</x:v>
      </x:c>
      <x:c r="H294" s="2" t="str">
        <x:v>S24-T01</x:v>
      </x:c>
      <x:c r="I294" s="2" t="str">
        <x:v>NA</x:v>
      </x:c>
      <x:c r="J294" s="2" t="str">
        <x:v>ECSS-style synthetic aerospace requirements corpus</x:v>
      </x:c>
      <x:c r="K294" s="2" t="str">
        <x:v>GPT-OSS 120B</x:v>
      </x:c>
      <x:c r="L294" s="2" t="str">
        <x:v>No</x:v>
      </x:c>
      <x:c r="M294" s="2" t="str">
        <x:v>MCC</x:v>
      </x:c>
      <x:c r="N294" s="6" t="str">
        <x:v>≈0.55</x:v>
      </x:c>
      <x:c r="O294" s="2" t="n">
        <x:v>0.55</x:v>
      </x:c>
      <x:c r="P294" s="2" t="str">
        <x:v>proportion</x:v>
      </x:c>
      <x:c r="Q294" s="6" t="str">
        <x:v>No</x:v>
      </x:c>
      <x:c r="R294" s="2" t="str">
        <x:v>NA</x:v>
      </x:c>
      <x:c r="S294" s="2" t="str">
        <x:v>NR</x:v>
      </x:c>
      <x:c r="T294" s="2" t="str">
        <x:v>Not compared</x:v>
      </x:c>
      <x:c r="U294" s="2" t="str">
        <x:v>Not tested</x:v>
      </x:c>
      <x:c r="V294" s="2" t="str">
        <x:v>NR</x:v>
      </x:c>
      <x:c r="W294" s="2" t="str">
        <x:v>NR</x:v>
      </x:c>
      <x:c r="X294" s="2" t="str">
        <x:v>NR</x:v>
      </x:c>
      <x:c r="Y294" s="2" t="str">
        <x:v>NR</x:v>
      </x:c>
      <x:c r="Z294" s="2" t="str">
        <x:v>No</x:v>
      </x:c>
      <x:c r="AA294" s="6" t="str">
        <x:v>p. 6; Section 4, RQ1</x:v>
      </x:c>
      <x:c r="AB294" s="6" t="str">
        <x:v>GPT-OSS and Claude follow (≈0.55)</x:v>
      </x:c>
      <x:c r="AC294" s="6" t="str">
        <x:v>GPT-OSS 120B的MCC约为0.55，仅次于DeepSeek。</x:v>
      </x:c>
      <x:c r="AD294" s="2" t="str">
        <x:v>Accepted</x:v>
      </x:c>
      <x:c r="AE294" s="6" t="str">
        <x:v>NA</x:v>
      </x:c>
    </x:row>
    <x:row r="295" ht="76" customHeight="1">
      <x:c r="A295" s="2" t="str">
        <x:v>S24-RESULT-R08</x:v>
      </x:c>
      <x:c r="B295" s="2" t="str">
        <x:v>S24</x:v>
      </x:c>
      <x:c r="C295" s="2" t="str">
        <x:v>merged_1172</x:v>
      </x:c>
      <x:c r="D295" s="2" t="str">
        <x:v>Reviewer_A</x:v>
      </x:c>
      <x:c r="E295" s="2" t="str">
        <x:v>Reviewer_A</x:v>
      </x:c>
      <x:c r="F295" s="2" t="str">
        <x:v>S24-R08</x:v>
      </x:c>
      <x:c r="G295" s="2" t="str">
        <x:v>S24-EV01</x:v>
      </x:c>
      <x:c r="H295" s="2" t="str">
        <x:v>S24-T01</x:v>
      </x:c>
      <x:c r="I295" s="2" t="str">
        <x:v>NA</x:v>
      </x:c>
      <x:c r="J295" s="2" t="str">
        <x:v>ECSS-style synthetic aerospace requirements corpus</x:v>
      </x:c>
      <x:c r="K295" s="2" t="str">
        <x:v>Claude Sonnet 4</x:v>
      </x:c>
      <x:c r="L295" s="2" t="str">
        <x:v>No</x:v>
      </x:c>
      <x:c r="M295" s="2" t="str">
        <x:v>MCC</x:v>
      </x:c>
      <x:c r="N295" s="6" t="str">
        <x:v>≈0.55</x:v>
      </x:c>
      <x:c r="O295" s="2" t="n">
        <x:v>0.55</x:v>
      </x:c>
      <x:c r="P295" s="2" t="str">
        <x:v>proportion</x:v>
      </x:c>
      <x:c r="Q295" s="6" t="str">
        <x:v>No</x:v>
      </x:c>
      <x:c r="R295" s="2" t="str">
        <x:v>NA</x:v>
      </x:c>
      <x:c r="S295" s="2" t="str">
        <x:v>NR</x:v>
      </x:c>
      <x:c r="T295" s="2" t="str">
        <x:v>Not compared</x:v>
      </x:c>
      <x:c r="U295" s="2" t="str">
        <x:v>Not tested</x:v>
      </x:c>
      <x:c r="V295" s="2" t="str">
        <x:v>NR</x:v>
      </x:c>
      <x:c r="W295" s="2" t="str">
        <x:v>NR</x:v>
      </x:c>
      <x:c r="X295" s="2" t="str">
        <x:v>NR</x:v>
      </x:c>
      <x:c r="Y295" s="2" t="str">
        <x:v>NR</x:v>
      </x:c>
      <x:c r="Z295" s="2" t="str">
        <x:v>No</x:v>
      </x:c>
      <x:c r="AA295" s="6" t="str">
        <x:v>p. 6; Section 4, RQ1</x:v>
      </x:c>
      <x:c r="AB295" s="6" t="str">
        <x:v>GPT-OSS and Claude follow (≈0.55)</x:v>
      </x:c>
      <x:c r="AC295" s="6" t="str">
        <x:v>Claude Sonnet 4的MCC约为0.55，与GPT-OSS相当。</x:v>
      </x:c>
      <x:c r="AD295" s="2" t="str">
        <x:v>Accepted</x:v>
      </x:c>
      <x:c r="AE295" s="6" t="str">
        <x:v>NA</x:v>
      </x:c>
    </x:row>
    <x:row r="296" ht="76" customHeight="1">
      <x:c r="A296" s="2" t="str">
        <x:v>S24-RESULT-R09</x:v>
      </x:c>
      <x:c r="B296" s="2" t="str">
        <x:v>S24</x:v>
      </x:c>
      <x:c r="C296" s="2" t="str">
        <x:v>merged_1172</x:v>
      </x:c>
      <x:c r="D296" s="2" t="str">
        <x:v>Reviewer_A</x:v>
      </x:c>
      <x:c r="E296" s="2" t="str">
        <x:v>Reviewer_A</x:v>
      </x:c>
      <x:c r="F296" s="2" t="str">
        <x:v>S24-R09</x:v>
      </x:c>
      <x:c r="G296" s="2" t="str">
        <x:v>S24-EV01</x:v>
      </x:c>
      <x:c r="H296" s="2" t="str">
        <x:v>S24-T01</x:v>
      </x:c>
      <x:c r="I296" s="2" t="str">
        <x:v>NA</x:v>
      </x:c>
      <x:c r="J296" s="2" t="str">
        <x:v>ECSS-style synthetic aerospace requirements corpus</x:v>
      </x:c>
      <x:c r="K296" s="2" t="str">
        <x:v>Qwen3 235B Instruct</x:v>
      </x:c>
      <x:c r="L296" s="2" t="str">
        <x:v>No</x:v>
      </x:c>
      <x:c r="M296" s="2" t="str">
        <x:v>MCC</x:v>
      </x:c>
      <x:c r="N296" s="6" t="str">
        <x:v>≈0.50</x:v>
      </x:c>
      <x:c r="O296" s="2" t="n">
        <x:v>0.5</x:v>
      </x:c>
      <x:c r="P296" s="2" t="str">
        <x:v>proportion</x:v>
      </x:c>
      <x:c r="Q296" s="6" t="str">
        <x:v>No</x:v>
      </x:c>
      <x:c r="R296" s="2" t="str">
        <x:v>NA</x:v>
      </x:c>
      <x:c r="S296" s="2" t="str">
        <x:v>NR</x:v>
      </x:c>
      <x:c r="T296" s="2" t="str">
        <x:v>Not compared</x:v>
      </x:c>
      <x:c r="U296" s="2" t="str">
        <x:v>Not tested</x:v>
      </x:c>
      <x:c r="V296" s="2" t="str">
        <x:v>NR</x:v>
      </x:c>
      <x:c r="W296" s="2" t="str">
        <x:v>NR</x:v>
      </x:c>
      <x:c r="X296" s="2" t="str">
        <x:v>NR</x:v>
      </x:c>
      <x:c r="Y296" s="2" t="str">
        <x:v>NR</x:v>
      </x:c>
      <x:c r="Z296" s="2" t="str">
        <x:v>No</x:v>
      </x:c>
      <x:c r="AA296" s="6" t="str">
        <x:v>p. 6; Section 4, RQ1</x:v>
      </x:c>
      <x:c r="AB296" s="6" t="str">
        <x:v>Qwen is close (≈0.50)</x:v>
      </x:c>
      <x:c r="AC296" s="6" t="str">
        <x:v>Qwen3的MCC约为0.50，接近中间水平。</x:v>
      </x:c>
      <x:c r="AD296" s="2" t="str">
        <x:v>Accepted</x:v>
      </x:c>
      <x:c r="AE296" s="6" t="str">
        <x:v>NA</x:v>
      </x:c>
    </x:row>
    <x:row r="297" ht="76" customHeight="1">
      <x:c r="A297" s="2" t="str">
        <x:v>S24-RESULT-R10</x:v>
      </x:c>
      <x:c r="B297" s="2" t="str">
        <x:v>S24</x:v>
      </x:c>
      <x:c r="C297" s="2" t="str">
        <x:v>merged_1172</x:v>
      </x:c>
      <x:c r="D297" s="2" t="str">
        <x:v>Reviewer_A</x:v>
      </x:c>
      <x:c r="E297" s="2" t="str">
        <x:v>Reviewer_A</x:v>
      </x:c>
      <x:c r="F297" s="2" t="str">
        <x:v>S24-R10</x:v>
      </x:c>
      <x:c r="G297" s="2" t="str">
        <x:v>S24-EV01</x:v>
      </x:c>
      <x:c r="H297" s="2" t="str">
        <x:v>S24-T01</x:v>
      </x:c>
      <x:c r="I297" s="2" t="str">
        <x:v>NA</x:v>
      </x:c>
      <x:c r="J297" s="2" t="str">
        <x:v>ECSS-style synthetic aerospace requirements corpus</x:v>
      </x:c>
      <x:c r="K297" s="2" t="str">
        <x:v>Llama 3.3 70B Instruct</x:v>
      </x:c>
      <x:c r="L297" s="2" t="str">
        <x:v>No</x:v>
      </x:c>
      <x:c r="M297" s="2" t="str">
        <x:v>MCC</x:v>
      </x:c>
      <x:c r="N297" s="6" t="str">
        <x:v>≈0.40</x:v>
      </x:c>
      <x:c r="O297" s="2" t="n">
        <x:v>0.4</x:v>
      </x:c>
      <x:c r="P297" s="2" t="str">
        <x:v>proportion</x:v>
      </x:c>
      <x:c r="Q297" s="6" t="str">
        <x:v>No</x:v>
      </x:c>
      <x:c r="R297" s="2" t="str">
        <x:v>NA</x:v>
      </x:c>
      <x:c r="S297" s="2" t="str">
        <x:v>NR</x:v>
      </x:c>
      <x:c r="T297" s="2" t="str">
        <x:v>Not compared</x:v>
      </x:c>
      <x:c r="U297" s="2" t="str">
        <x:v>Not tested</x:v>
      </x:c>
      <x:c r="V297" s="2" t="str">
        <x:v>NR</x:v>
      </x:c>
      <x:c r="W297" s="2" t="str">
        <x:v>NR</x:v>
      </x:c>
      <x:c r="X297" s="2" t="str">
        <x:v>NR</x:v>
      </x:c>
      <x:c r="Y297" s="2" t="str">
        <x:v>NR</x:v>
      </x:c>
      <x:c r="Z297" s="2" t="str">
        <x:v>No</x:v>
      </x:c>
      <x:c r="AA297" s="6" t="str">
        <x:v>p. 6; Section 4, RQ1</x:v>
      </x:c>
      <x:c r="AB297" s="6" t="str">
        <x:v>Llama trails (≈0.40)</x:v>
      </x:c>
      <x:c r="AC297" s="6" t="str">
        <x:v>Llama 3.3的MCC约为0.40，表现最差。</x:v>
      </x:c>
      <x:c r="AD297" s="2" t="str">
        <x:v>Accepted</x:v>
      </x:c>
      <x:c r="AE297" s="6" t="str">
        <x:v>NA</x:v>
      </x:c>
    </x:row>
    <x:row r="298" ht="76" customHeight="1">
      <x:c r="A298" s="2" t="str">
        <x:v>S24-RESULT-R11</x:v>
      </x:c>
      <x:c r="B298" s="2" t="str">
        <x:v>S24</x:v>
      </x:c>
      <x:c r="C298" s="2" t="str">
        <x:v>merged_1172</x:v>
      </x:c>
      <x:c r="D298" s="2" t="str">
        <x:v>Reviewer_A</x:v>
      </x:c>
      <x:c r="E298" s="2" t="str">
        <x:v>Reviewer_A</x:v>
      </x:c>
      <x:c r="F298" s="2" t="str">
        <x:v>S24-R11</x:v>
      </x:c>
      <x:c r="G298" s="2" t="str">
        <x:v>S24-EV01</x:v>
      </x:c>
      <x:c r="H298" s="2" t="str">
        <x:v>S24-T01</x:v>
      </x:c>
      <x:c r="I298" s="2" t="str">
        <x:v>NA</x:v>
      </x:c>
      <x:c r="J298" s="2" t="str">
        <x:v>ECSS-style synthetic aerospace requirements corpus</x:v>
      </x:c>
      <x:c r="K298" s="2" t="str">
        <x:v>GPT-OSS 120B</x:v>
      </x:c>
      <x:c r="L298" s="2" t="str">
        <x:v>No</x:v>
      </x:c>
      <x:c r="M298" s="2" t="str">
        <x:v>FPR/FNR trade-off</x:v>
      </x:c>
      <x:c r="N298" s="6" t="str">
        <x:v>low–moderate FNR with comparatively low FPR</x:v>
      </x:c>
      <x:c r="O298" s="2" t="str">
        <x:v>Unclear</x:v>
      </x:c>
      <x:c r="P298" s="2" t="str">
        <x:v>NA</x:v>
      </x:c>
      <x:c r="Q298" s="6" t="str">
        <x:v>No</x:v>
      </x:c>
      <x:c r="R298" s="2" t="str">
        <x:v>NA</x:v>
      </x:c>
      <x:c r="S298" s="2" t="str">
        <x:v>NR</x:v>
      </x:c>
      <x:c r="T298" s="2" t="str">
        <x:v>Not compared</x:v>
      </x:c>
      <x:c r="U298" s="2" t="str">
        <x:v>Not tested</x:v>
      </x:c>
      <x:c r="V298" s="2" t="str">
        <x:v>NR</x:v>
      </x:c>
      <x:c r="W298" s="2" t="str">
        <x:v>NR</x:v>
      </x:c>
      <x:c r="X298" s="2" t="str">
        <x:v>NR</x:v>
      </x:c>
      <x:c r="Y298" s="2" t="str">
        <x:v>NR</x:v>
      </x:c>
      <x:c r="Z298" s="2" t="str">
        <x:v>No</x:v>
      </x:c>
      <x:c r="AA298" s="6" t="str">
        <x:v>p. 8; Section 4, Testability (summary)</x:v>
      </x:c>
      <x:c r="AB298" s="6" t="str">
        <x:v>deliver the best balanced operating points (low–moderate FNR with comparatively low FPR), while Llama 3.3 70B</x:v>
      </x:c>
      <x:c r="AC298" s="6" t="str">
        <x:v>GPT-OSS在可测试性检测上具有最佳的FPR/FNR平衡，漏报率中等偏低且误报率相对较低。</x:v>
      </x:c>
      <x:c r="AD298" s="2" t="str">
        <x:v>Accepted</x:v>
      </x:c>
      <x:c r="AE298" s="6" t="str">
        <x:v>Descriptive assessment of error trade-off.</x:v>
      </x:c>
    </x:row>
    <x:row r="299" ht="76" customHeight="1">
      <x:c r="A299" s="2" t="str">
        <x:v>S24-RESULT-R12</x:v>
      </x:c>
      <x:c r="B299" s="2" t="str">
        <x:v>S24</x:v>
      </x:c>
      <x:c r="C299" s="2" t="str">
        <x:v>merged_1172</x:v>
      </x:c>
      <x:c r="D299" s="2" t="str">
        <x:v>Reviewer_A</x:v>
      </x:c>
      <x:c r="E299" s="2" t="str">
        <x:v>Reviewer_A</x:v>
      </x:c>
      <x:c r="F299" s="2" t="str">
        <x:v>S24-R12</x:v>
      </x:c>
      <x:c r="G299" s="2" t="str">
        <x:v>S24-EV01</x:v>
      </x:c>
      <x:c r="H299" s="2" t="str">
        <x:v>S24-T01</x:v>
      </x:c>
      <x:c r="I299" s="2" t="str">
        <x:v>NA</x:v>
      </x:c>
      <x:c r="J299" s="2" t="str">
        <x:v>ECSS-style synthetic aerospace requirements corpus</x:v>
      </x:c>
      <x:c r="K299" s="2" t="str">
        <x:v>DeepSeek v3.1</x:v>
      </x:c>
      <x:c r="L299" s="2" t="str">
        <x:v>No</x:v>
      </x:c>
      <x:c r="M299" s="2" t="str">
        <x:v>FPR/FNR trade-off</x:v>
      </x:c>
      <x:c r="N299" s="6" t="str">
        <x:v>low–moderate FNR with comparatively low FPR</x:v>
      </x:c>
      <x:c r="O299" s="2" t="str">
        <x:v>Unclear</x:v>
      </x:c>
      <x:c r="P299" s="2" t="str">
        <x:v>NA</x:v>
      </x:c>
      <x:c r="Q299" s="6" t="str">
        <x:v>No</x:v>
      </x:c>
      <x:c r="R299" s="2" t="str">
        <x:v>NA</x:v>
      </x:c>
      <x:c r="S299" s="2" t="str">
        <x:v>NR</x:v>
      </x:c>
      <x:c r="T299" s="2" t="str">
        <x:v>Not compared</x:v>
      </x:c>
      <x:c r="U299" s="2" t="str">
        <x:v>Not tested</x:v>
      </x:c>
      <x:c r="V299" s="2" t="str">
        <x:v>NR</x:v>
      </x:c>
      <x:c r="W299" s="2" t="str">
        <x:v>NR</x:v>
      </x:c>
      <x:c r="X299" s="2" t="str">
        <x:v>NR</x:v>
      </x:c>
      <x:c r="Y299" s="2" t="str">
        <x:v>NR</x:v>
      </x:c>
      <x:c r="Z299" s="2" t="str">
        <x:v>No</x:v>
      </x:c>
      <x:c r="AA299" s="6" t="str">
        <x:v>p. 8; Section 4, Testability (summary)</x:v>
      </x:c>
      <x:c r="AB299" s="6" t="str">
        <x:v>deliver the best balanced operating points (low–moderate FNR with comparatively low FPR), while Llama 3.3 70B</x:v>
      </x:c>
      <x:c r="AC299" s="6" t="str">
        <x:v>DeepSeek在可测试性检测上同样具有最佳的FPR/FNR平衡。</x:v>
      </x:c>
      <x:c r="AD299" s="2" t="str">
        <x:v>Accepted</x:v>
      </x:c>
      <x:c r="AE299" s="6" t="str">
        <x:v>Descriptive assessment of error trade-off.</x:v>
      </x:c>
    </x:row>
    <x:row r="300" ht="76" customHeight="1">
      <x:c r="A300" s="2" t="str">
        <x:v>S24-RESULT-R13</x:v>
      </x:c>
      <x:c r="B300" s="2" t="str">
        <x:v>S24</x:v>
      </x:c>
      <x:c r="C300" s="2" t="str">
        <x:v>merged_1172</x:v>
      </x:c>
      <x:c r="D300" s="2" t="str">
        <x:v>Reviewer_A</x:v>
      </x:c>
      <x:c r="E300" s="2" t="str">
        <x:v>Reviewer_A</x:v>
      </x:c>
      <x:c r="F300" s="2" t="str">
        <x:v>S24-R13</x:v>
      </x:c>
      <x:c r="G300" s="2" t="str">
        <x:v>S24-EV01</x:v>
      </x:c>
      <x:c r="H300" s="2" t="str">
        <x:v>S24-T01</x:v>
      </x:c>
      <x:c r="I300" s="2" t="str">
        <x:v>NA</x:v>
      </x:c>
      <x:c r="J300" s="2" t="str">
        <x:v>ECSS-style synthetic aerospace requirements corpus</x:v>
      </x:c>
      <x:c r="K300" s="2" t="str">
        <x:v>Llama 3.3 70B Instruct</x:v>
      </x:c>
      <x:c r="L300" s="2" t="str">
        <x:v>No</x:v>
      </x:c>
      <x:c r="M300" s="2" t="str">
        <x:v>FPR/FNR trade-off</x:v>
      </x:c>
      <x:c r="N300" s="6" t="str">
        <x:v>high FNR, low FPR</x:v>
      </x:c>
      <x:c r="O300" s="2" t="str">
        <x:v>Unclear</x:v>
      </x:c>
      <x:c r="P300" s="2" t="str">
        <x:v>NA</x:v>
      </x:c>
      <x:c r="Q300" s="6" t="str">
        <x:v>No</x:v>
      </x:c>
      <x:c r="R300" s="2" t="str">
        <x:v>NA</x:v>
      </x:c>
      <x:c r="S300" s="2" t="str">
        <x:v>NR</x:v>
      </x:c>
      <x:c r="T300" s="2" t="str">
        <x:v>Not compared</x:v>
      </x:c>
      <x:c r="U300" s="2" t="str">
        <x:v>Not tested</x:v>
      </x:c>
      <x:c r="V300" s="2" t="str">
        <x:v>NR</x:v>
      </x:c>
      <x:c r="W300" s="2" t="str">
        <x:v>NR</x:v>
      </x:c>
      <x:c r="X300" s="2" t="str">
        <x:v>NR</x:v>
      </x:c>
      <x:c r="Y300" s="2" t="str">
        <x:v>NR</x:v>
      </x:c>
      <x:c r="Z300" s="2" t="str">
        <x:v>No</x:v>
      </x:c>
      <x:c r="AA300" s="6" t="str">
        <x:v>p. 8; Section 4, Testability (summary)</x:v>
      </x:c>
      <x:c r="AB300" s="6" t="str">
        <x:v>Llama 3.3 70B is the weakest due to many missed flags (high FNR, low FPR)</x:v>
      </x:c>
      <x:c r="AC300" s="6" t="str">
        <x:v>Llama 3.3在可测试性检测上最差，高漏报率、低误报率，过于保守。</x:v>
      </x:c>
      <x:c r="AD300" s="2" t="str">
        <x:v>Accepted</x:v>
      </x:c>
      <x:c r="AE300" s="6" t="str">
        <x:v>Descriptive assessment of error trade-off.</x:v>
      </x:c>
    </x:row>
    <x:row r="301" ht="76" customHeight="1">
      <x:c r="A301" s="2" t="str">
        <x:v>S24-RESULT-R14</x:v>
      </x:c>
      <x:c r="B301" s="2" t="str">
        <x:v>S24</x:v>
      </x:c>
      <x:c r="C301" s="2" t="str">
        <x:v>merged_1172</x:v>
      </x:c>
      <x:c r="D301" s="2" t="str">
        <x:v>Reviewer_A</x:v>
      </x:c>
      <x:c r="E301" s="2" t="str">
        <x:v>Reviewer_A</x:v>
      </x:c>
      <x:c r="F301" s="2" t="str">
        <x:v>S24-R14</x:v>
      </x:c>
      <x:c r="G301" s="2" t="str">
        <x:v>S24-EV01</x:v>
      </x:c>
      <x:c r="H301" s="2" t="str">
        <x:v>S24-T01</x:v>
      </x:c>
      <x:c r="I301" s="2" t="str">
        <x:v>NA</x:v>
      </x:c>
      <x:c r="J301" s="2" t="str">
        <x:v>ECSS-style synthetic aerospace requirements corpus</x:v>
      </x:c>
      <x:c r="K301" s="2" t="str">
        <x:v>Qwen3 235B Instruct</x:v>
      </x:c>
      <x:c r="L301" s="2" t="str">
        <x:v>No</x:v>
      </x:c>
      <x:c r="M301" s="2" t="str">
        <x:v>FPR/FNR trade-off</x:v>
      </x:c>
      <x:c r="N301" s="6" t="str">
        <x:v>sits close to the leaders</x:v>
      </x:c>
      <x:c r="O301" s="2" t="str">
        <x:v>Unclear</x:v>
      </x:c>
      <x:c r="P301" s="2" t="str">
        <x:v>NA</x:v>
      </x:c>
      <x:c r="Q301" s="6" t="str">
        <x:v>No</x:v>
      </x:c>
      <x:c r="R301" s="2" t="str">
        <x:v>NA</x:v>
      </x:c>
      <x:c r="S301" s="2" t="str">
        <x:v>NR</x:v>
      </x:c>
      <x:c r="T301" s="2" t="str">
        <x:v>Not compared</x:v>
      </x:c>
      <x:c r="U301" s="2" t="str">
        <x:v>Not tested</x:v>
      </x:c>
      <x:c r="V301" s="2" t="str">
        <x:v>NR</x:v>
      </x:c>
      <x:c r="W301" s="2" t="str">
        <x:v>NR</x:v>
      </x:c>
      <x:c r="X301" s="2" t="str">
        <x:v>NR</x:v>
      </x:c>
      <x:c r="Y301" s="2" t="str">
        <x:v>NR</x:v>
      </x:c>
      <x:c r="Z301" s="2" t="str">
        <x:v>No</x:v>
      </x:c>
      <x:c r="AA301" s="6" t="str">
        <x:v>p. 8; Section 4, Testability (summary)</x:v>
      </x:c>
      <x:c r="AB301" s="6" t="str">
        <x:v>Qwen3 235B sits close to the leaders</x:v>
      </x:c>
      <x:c r="AC301" s="6" t="str">
        <x:v>Qwen3在可测试性检测上的表现接近领先模型。</x:v>
      </x:c>
      <x:c r="AD301" s="2" t="str">
        <x:v>Accepted</x:v>
      </x:c>
      <x:c r="AE301" s="6" t="str">
        <x:v>Descriptive assessment of error trade-off.</x:v>
      </x:c>
    </x:row>
    <x:row r="302" ht="76" customHeight="1">
      <x:c r="A302" s="2" t="str">
        <x:v>S24-RESULT-R15</x:v>
      </x:c>
      <x:c r="B302" s="2" t="str">
        <x:v>S24</x:v>
      </x:c>
      <x:c r="C302" s="2" t="str">
        <x:v>merged_1172</x:v>
      </x:c>
      <x:c r="D302" s="2" t="str">
        <x:v>Reviewer_A</x:v>
      </x:c>
      <x:c r="E302" s="2" t="str">
        <x:v>Reviewer_A</x:v>
      </x:c>
      <x:c r="F302" s="2" t="str">
        <x:v>S24-R15</x:v>
      </x:c>
      <x:c r="G302" s="2" t="str">
        <x:v>S24-EV01</x:v>
      </x:c>
      <x:c r="H302" s="2" t="str">
        <x:v>S24-T01</x:v>
      </x:c>
      <x:c r="I302" s="2" t="str">
        <x:v>NA</x:v>
      </x:c>
      <x:c r="J302" s="2" t="str">
        <x:v>ECSS-style synthetic aerospace requirements corpus</x:v>
      </x:c>
      <x:c r="K302" s="2" t="str">
        <x:v>Claude Sonnet 4</x:v>
      </x:c>
      <x:c r="L302" s="2" t="str">
        <x:v>No</x:v>
      </x:c>
      <x:c r="M302" s="2" t="str">
        <x:v>FPR/FNR trade-off</x:v>
      </x:c>
      <x:c r="N302" s="6" t="str">
        <x:v>skews conservative (higher FNR, very low FPR)</x:v>
      </x:c>
      <x:c r="O302" s="2" t="str">
        <x:v>Unclear</x:v>
      </x:c>
      <x:c r="P302" s="2" t="str">
        <x:v>NA</x:v>
      </x:c>
      <x:c r="Q302" s="6" t="str">
        <x:v>No</x:v>
      </x:c>
      <x:c r="R302" s="2" t="str">
        <x:v>NA</x:v>
      </x:c>
      <x:c r="S302" s="2" t="str">
        <x:v>NR</x:v>
      </x:c>
      <x:c r="T302" s="2" t="str">
        <x:v>Not compared</x:v>
      </x:c>
      <x:c r="U302" s="2" t="str">
        <x:v>Not tested</x:v>
      </x:c>
      <x:c r="V302" s="2" t="str">
        <x:v>NR</x:v>
      </x:c>
      <x:c r="W302" s="2" t="str">
        <x:v>NR</x:v>
      </x:c>
      <x:c r="X302" s="2" t="str">
        <x:v>NR</x:v>
      </x:c>
      <x:c r="Y302" s="2" t="str">
        <x:v>NR</x:v>
      </x:c>
      <x:c r="Z302" s="2" t="str">
        <x:v>No</x:v>
      </x:c>
      <x:c r="AA302" s="6" t="str">
        <x:v>p. 8; Section 4, Testability (summary)</x:v>
      </x:c>
      <x:c r="AB302" s="6" t="str">
        <x:v>Claude Sonnet 4 skews conservative (higher FNR, very low FPR)</x:v>
      </x:c>
      <x:c r="AC302" s="6" t="str">
        <x:v>Claude Sonnet 4在可测试性检测上偏保守，漏报率较高但误报率极低。</x:v>
      </x:c>
      <x:c r="AD302" s="2" t="str">
        <x:v>Accepted</x:v>
      </x:c>
      <x:c r="AE302" s="6" t="str">
        <x:v>Descriptive assessment of error trade-off.</x:v>
      </x:c>
    </x:row>
    <x:row r="303" ht="76" customHeight="1">
      <x:c r="A303" s="2" t="str">
        <x:v>S24-RESULT-R16</x:v>
      </x:c>
      <x:c r="B303" s="2" t="str">
        <x:v>S24</x:v>
      </x:c>
      <x:c r="C303" s="2" t="str">
        <x:v>merged_1172</x:v>
      </x:c>
      <x:c r="D303" s="2" t="str">
        <x:v>Reviewer_A</x:v>
      </x:c>
      <x:c r="E303" s="2" t="str">
        <x:v>Reviewer_A</x:v>
      </x:c>
      <x:c r="F303" s="2" t="str">
        <x:v>S24-R16</x:v>
      </x:c>
      <x:c r="G303" s="2" t="str">
        <x:v>S24-EV02</x:v>
      </x:c>
      <x:c r="H303" s="2" t="str">
        <x:v>S24-T01</x:v>
      </x:c>
      <x:c r="I303" s="2" t="str">
        <x:v>NA</x:v>
      </x:c>
      <x:c r="J303" s="2" t="str">
        <x:v>Same synthetic corpus</x:v>
      </x:c>
      <x:c r="K303" s="2" t="str">
        <x:v>Structural traceability builder</x:v>
      </x:c>
      <x:c r="L303" s="2" t="str">
        <x:v>No</x:v>
      </x:c>
      <x:c r="M303" s="2" t="str">
        <x:v>TRD→SRD parent link resolution rate</x:v>
      </x:c>
      <x:c r="N303" s="6" t="str">
        <x:v>100%</x:v>
      </x:c>
      <x:c r="O303" s="2" t="n">
        <x:v>100</x:v>
      </x:c>
      <x:c r="P303" s="2" t="str">
        <x:v>%</x:v>
      </x:c>
      <x:c r="Q303" s="6" t="str">
        <x:v>No</x:v>
      </x:c>
      <x:c r="R303" s="2" t="str">
        <x:v>NA</x:v>
      </x:c>
      <x:c r="S303" s="2" t="str">
        <x:v>NR</x:v>
      </x:c>
      <x:c r="T303" s="2" t="str">
        <x:v>Not compared</x:v>
      </x:c>
      <x:c r="U303" s="2" t="str">
        <x:v>Not tested</x:v>
      </x:c>
      <x:c r="V303" s="2" t="str">
        <x:v>NR</x:v>
      </x:c>
      <x:c r="W303" s="2" t="str">
        <x:v>NR</x:v>
      </x:c>
      <x:c r="X303" s="2" t="str">
        <x:v>NR</x:v>
      </x:c>
      <x:c r="Y303" s="2" t="str">
        <x:v>NR</x:v>
      </x:c>
      <x:c r="Z303" s="2" t="str">
        <x:v>No</x:v>
      </x:c>
      <x:c r="AA303" s="6" t="str">
        <x:v>p. 6; Table 3</x:v>
      </x:c>
      <x:c r="AB303" s="6" t="str">
        <x:v>TRD→SRD parent links resolved (exclud- ing parser errors2)</x:v>
      </x:c>
      <x:c r="AC303" s="6" t="str">
        <x:v>除解析器错误外，所有TRD→SRD父链接均已成功解析。</x:v>
      </x:c>
      <x:c r="AD303" s="2" t="str">
        <x:v>Accepted</x:v>
      </x:c>
      <x:c r="AE303" s="6" t="str">
        <x:v>Excludes 2 parser-caused failures.</x:v>
      </x:c>
    </x:row>
    <x:row r="304" ht="76" customHeight="1">
      <x:c r="A304" s="2" t="str">
        <x:v>S24-RESULT-R17</x:v>
      </x:c>
      <x:c r="B304" s="2" t="str">
        <x:v>S24</x:v>
      </x:c>
      <x:c r="C304" s="2" t="str">
        <x:v>merged_1172</x:v>
      </x:c>
      <x:c r="D304" s="2" t="str">
        <x:v>Reviewer_A</x:v>
      </x:c>
      <x:c r="E304" s="2" t="str">
        <x:v>Reviewer_A</x:v>
      </x:c>
      <x:c r="F304" s="2" t="str">
        <x:v>S24-R17</x:v>
      </x:c>
      <x:c r="G304" s="2" t="str">
        <x:v>S24-EV02</x:v>
      </x:c>
      <x:c r="H304" s="2" t="str">
        <x:v>S24-T01</x:v>
      </x:c>
      <x:c r="I304" s="2" t="str">
        <x:v>NA</x:v>
      </x:c>
      <x:c r="J304" s="2" t="str">
        <x:v>Same synthetic corpus</x:v>
      </x:c>
      <x:c r="K304" s="2" t="str">
        <x:v>Structural traceability builder</x:v>
      </x:c>
      <x:c r="L304" s="2" t="str">
        <x:v>No</x:v>
      </x:c>
      <x:c r="M304" s="2" t="str">
        <x:v>Unresolved TRD→SRD links due to parser errors</x:v>
      </x:c>
      <x:c r="N304" s="6" t="str">
        <x:v>2</x:v>
      </x:c>
      <x:c r="O304" s="2" t="n">
        <x:v>2</x:v>
      </x:c>
      <x:c r="P304" s="2" t="str">
        <x:v>count</x:v>
      </x:c>
      <x:c r="Q304" s="6" t="str">
        <x:v>No</x:v>
      </x:c>
      <x:c r="R304" s="2" t="str">
        <x:v>NA</x:v>
      </x:c>
      <x:c r="S304" s="2" t="str">
        <x:v>NR</x:v>
      </x:c>
      <x:c r="T304" s="2" t="str">
        <x:v>Not compared</x:v>
      </x:c>
      <x:c r="U304" s="2" t="str">
        <x:v>Not tested</x:v>
      </x:c>
      <x:c r="V304" s="2" t="str">
        <x:v>NR</x:v>
      </x:c>
      <x:c r="W304" s="2" t="str">
        <x:v>NR</x:v>
      </x:c>
      <x:c r="X304" s="2" t="str">
        <x:v>NR</x:v>
      </x:c>
      <x:c r="Y304" s="2" t="str">
        <x:v>NR</x:v>
      </x:c>
      <x:c r="Z304" s="2" t="str">
        <x:v>No</x:v>
      </x:c>
      <x:c r="AA304" s="6" t="str">
        <x:v>p. 6; Section 4, Structural Quality Check results</x:v>
      </x:c>
      <x:c r="AB304" s="6" t="str">
        <x:v>parent links were resolved except 2 cases caused by parser</x:v>
      </x:c>
      <x:c r="AC304" s="6" t="str">
        <x:v>有2个追溯链接因PDF解析错误而未能解析。</x:v>
      </x:c>
      <x:c r="AD304" s="2" t="str">
        <x:v>Accepted</x:v>
      </x:c>
      <x:c r="AE304" s="6" t="str">
        <x:v>NA</x:v>
      </x:c>
    </x:row>
    <x:row r="305" ht="76" customHeight="1">
      <x:c r="A305" s="2" t="str">
        <x:v>S25-RESULT-R01</x:v>
      </x:c>
      <x:c r="B305" s="2" t="str">
        <x:v>S25</x:v>
      </x:c>
      <x:c r="C305" s="2" t="str">
        <x:v>merged_1185</x:v>
      </x:c>
      <x:c r="D305" s="2" t="str">
        <x:v>Reviewer_A</x:v>
      </x:c>
      <x:c r="E305" s="2" t="str">
        <x:v>Reviewer_A</x:v>
      </x:c>
      <x:c r="F305" s="2" t="str">
        <x:v>S25-R01</x:v>
      </x:c>
      <x:c r="G305" s="2" t="str">
        <x:v>S25-EV02</x:v>
      </x:c>
      <x:c r="H305" s="2" t="str">
        <x:v>S25-T01</x:v>
      </x:c>
      <x:c r="I305" s="2" t="str">
        <x:v>NA</x:v>
      </x:c>
      <x:c r="J305" s="2" t="str">
        <x:v>Synthetic Test Dataset</x:v>
      </x:c>
      <x:c r="K305" s="2" t="str">
        <x:v>Agentic RAG</x:v>
      </x:c>
      <x:c r="L305" s="2" t="str">
        <x:v>Manual Testing</x:v>
      </x:c>
      <x:c r="M305" s="2" t="str">
        <x:v>Traceability</x:v>
      </x:c>
      <x:c r="N305" s="6" t="str">
        <x:v>98.10%</x:v>
      </x:c>
      <x:c r="O305" s="2" t="n">
        <x:v>98.1</x:v>
      </x:c>
      <x:c r="P305" s="2" t="str">
        <x:v>%</x:v>
      </x:c>
      <x:c r="Q305" s="6" t="str">
        <x:v>73.60%</x:v>
      </x:c>
      <x:c r="R305" s="2" t="n">
        <x:v>73.6</x:v>
      </x:c>
      <x:c r="S305" s="2" t="str">
        <x:v>NR</x:v>
      </x:c>
      <x:c r="T305" s="2" t="str">
        <x:v>Better</x:v>
      </x:c>
      <x:c r="U305" s="2" t="str">
        <x:v>Not tested</x:v>
      </x:c>
      <x:c r="V305" s="2" t="str">
        <x:v>Substantial improvement in traceability</x:v>
      </x:c>
      <x:c r="W305" s="2" t="str">
        <x:v>NR</x:v>
      </x:c>
      <x:c r="X305" s="2" t="str">
        <x:v>NR</x:v>
      </x:c>
      <x:c r="Y305" s="2" t="str">
        <x:v>NR</x:v>
      </x:c>
      <x:c r="Z305" s="2" t="str">
        <x:v>No</x:v>
      </x:c>
      <x:c r="AA305" s="6" t="str">
        <x:v>p. 6; Table I</x:v>
      </x:c>
      <x:c r="AB305" s="6" t="str">
        <x:v>Agentic 94.8% 96.20% 95.70% 98.10% 96.20%</x:v>
      </x:c>
      <x:c r="AC305" s="6" t="str">
        <x:v>Agentic RAG在可追溯性上远超手动测试（98.1% vs 73.6%）。</x:v>
      </x:c>
      <x:c r="AD305" s="2" t="str">
        <x:v>Accepted</x:v>
      </x:c>
      <x:c r="AE305" s="6" t="str">
        <x:v>NR</x:v>
      </x:c>
    </x:row>
    <x:row r="306" ht="76" customHeight="1">
      <x:c r="A306" s="2" t="str">
        <x:v>S25-RESULT-R02</x:v>
      </x:c>
      <x:c r="B306" s="2" t="str">
        <x:v>S25</x:v>
      </x:c>
      <x:c r="C306" s="2" t="str">
        <x:v>merged_1185</x:v>
      </x:c>
      <x:c r="D306" s="2" t="str">
        <x:v>Reviewer_A</x:v>
      </x:c>
      <x:c r="E306" s="2" t="str">
        <x:v>Reviewer_A</x:v>
      </x:c>
      <x:c r="F306" s="2" t="str">
        <x:v>S25-R02</x:v>
      </x:c>
      <x:c r="G306" s="2" t="str">
        <x:v>S25-EV02</x:v>
      </x:c>
      <x:c r="H306" s="2" t="str">
        <x:v>S25-T01</x:v>
      </x:c>
      <x:c r="I306" s="2" t="str">
        <x:v>NA</x:v>
      </x:c>
      <x:c r="J306" s="2" t="str">
        <x:v>Synthetic Test Dataset</x:v>
      </x:c>
      <x:c r="K306" s="2" t="str">
        <x:v>Agentic RAG</x:v>
      </x:c>
      <x:c r="L306" s="2" t="str">
        <x:v>Template-Based</x:v>
      </x:c>
      <x:c r="M306" s="2" t="str">
        <x:v>Traceability</x:v>
      </x:c>
      <x:c r="N306" s="6" t="str">
        <x:v>98.10%</x:v>
      </x:c>
      <x:c r="O306" s="2" t="n">
        <x:v>98.1</x:v>
      </x:c>
      <x:c r="P306" s="2" t="str">
        <x:v>%</x:v>
      </x:c>
      <x:c r="Q306" s="6" t="str">
        <x:v>89.30%</x:v>
      </x:c>
      <x:c r="R306" s="2" t="n">
        <x:v>89.3</x:v>
      </x:c>
      <x:c r="S306" s="2" t="str">
        <x:v>NR</x:v>
      </x:c>
      <x:c r="T306" s="2" t="str">
        <x:v>Better</x:v>
      </x:c>
      <x:c r="U306" s="2" t="str">
        <x:v>Not tested</x:v>
      </x:c>
      <x:c r="V306" s="2" t="str">
        <x:v>Noticeable improvement</x:v>
      </x:c>
      <x:c r="W306" s="2" t="str">
        <x:v>NR</x:v>
      </x:c>
      <x:c r="X306" s="2" t="str">
        <x:v>NR</x:v>
      </x:c>
      <x:c r="Y306" s="2" t="str">
        <x:v>NR</x:v>
      </x:c>
      <x:c r="Z306" s="2" t="str">
        <x:v>No</x:v>
      </x:c>
      <x:c r="AA306" s="6" t="str">
        <x:v>p. 6; Table I</x:v>
      </x:c>
      <x:c r="AB306" s="6" t="str">
        <x:v>76.5% 82.10% 89.30% 89.30% 79.78%</x:v>
      </x:c>
      <x:c r="AC306" s="6" t="str">
        <x:v>Agentic RAG优于基于模板的方法（98.1% vs 89.3%）。</x:v>
      </x:c>
      <x:c r="AD306" s="2" t="str">
        <x:v>Accepted</x:v>
      </x:c>
      <x:c r="AE306" s="6" t="str">
        <x:v>NR</x:v>
      </x:c>
    </x:row>
    <x:row r="307" ht="76" customHeight="1">
      <x:c r="A307" s="2" t="str">
        <x:v>S25-RESULT-R03</x:v>
      </x:c>
      <x:c r="B307" s="2" t="str">
        <x:v>S25</x:v>
      </x:c>
      <x:c r="C307" s="2" t="str">
        <x:v>merged_1185</x:v>
      </x:c>
      <x:c r="D307" s="2" t="str">
        <x:v>Reviewer_A</x:v>
      </x:c>
      <x:c r="E307" s="2" t="str">
        <x:v>Reviewer_A</x:v>
      </x:c>
      <x:c r="F307" s="2" t="str">
        <x:v>S25-R03</x:v>
      </x:c>
      <x:c r="G307" s="2" t="str">
        <x:v>S25-EV02</x:v>
      </x:c>
      <x:c r="H307" s="2" t="str">
        <x:v>S25-T01</x:v>
      </x:c>
      <x:c r="I307" s="2" t="str">
        <x:v>NA</x:v>
      </x:c>
      <x:c r="J307" s="2" t="str">
        <x:v>Synthetic Test Dataset</x:v>
      </x:c>
      <x:c r="K307" s="2" t="str">
        <x:v>Agentic RAG</x:v>
      </x:c>
      <x:c r="L307" s="2" t="str">
        <x:v>Basic RAG</x:v>
      </x:c>
      <x:c r="M307" s="2" t="str">
        <x:v>Traceability</x:v>
      </x:c>
      <x:c r="N307" s="6" t="str">
        <x:v>98.10%</x:v>
      </x:c>
      <x:c r="O307" s="2" t="n">
        <x:v>98.1</x:v>
      </x:c>
      <x:c r="P307" s="2" t="str">
        <x:v>%</x:v>
      </x:c>
      <x:c r="Q307" s="6" t="str">
        <x:v>68.90%</x:v>
      </x:c>
      <x:c r="R307" s="2" t="n">
        <x:v>68.9</x:v>
      </x:c>
      <x:c r="S307" s="2" t="str">
        <x:v>NR</x:v>
      </x:c>
      <x:c r="T307" s="2" t="str">
        <x:v>Better</x:v>
      </x:c>
      <x:c r="U307" s="2" t="str">
        <x:v>Not tested</x:v>
      </x:c>
      <x:c r="V307" s="2" t="str">
        <x:v>Major enhancement over basic RAG</x:v>
      </x:c>
      <x:c r="W307" s="2" t="str">
        <x:v>NR</x:v>
      </x:c>
      <x:c r="X307" s="2" t="str">
        <x:v>NR</x:v>
      </x:c>
      <x:c r="Y307" s="2" t="str">
        <x:v>NR</x:v>
      </x:c>
      <x:c r="Z307" s="2" t="str">
        <x:v>No</x:v>
      </x:c>
      <x:c r="AA307" s="6" t="str">
        <x:v>p. 6; Table I</x:v>
      </x:c>
      <x:c r="AB307" s="6" t="str">
        <x:v>Basic RAG 65.2% 72.80% 68.90% 68.90% 63.05%</x:v>
      </x:c>
      <x:c r="AC307" s="6" t="str">
        <x:v>与Basic RAG相比，可追溯性大幅提升。</x:v>
      </x:c>
      <x:c r="AD307" s="2" t="str">
        <x:v>Accepted</x:v>
      </x:c>
      <x:c r="AE307" s="6" t="str">
        <x:v>NR</x:v>
      </x:c>
    </x:row>
    <x:row r="308" ht="76" customHeight="1">
      <x:c r="A308" s="2" t="str">
        <x:v>S25-RESULT-R04</x:v>
      </x:c>
      <x:c r="B308" s="2" t="str">
        <x:v>S25</x:v>
      </x:c>
      <x:c r="C308" s="2" t="str">
        <x:v>merged_1185</x:v>
      </x:c>
      <x:c r="D308" s="2" t="str">
        <x:v>Reviewer_A</x:v>
      </x:c>
      <x:c r="E308" s="2" t="str">
        <x:v>Reviewer_A</x:v>
      </x:c>
      <x:c r="F308" s="2" t="str">
        <x:v>S25-R04</x:v>
      </x:c>
      <x:c r="G308" s="2" t="str">
        <x:v>S25-EV02</x:v>
      </x:c>
      <x:c r="H308" s="2" t="str">
        <x:v>S25-T01</x:v>
      </x:c>
      <x:c r="I308" s="2" t="str">
        <x:v>NA</x:v>
      </x:c>
      <x:c r="J308" s="2" t="str">
        <x:v>Synthetic Test Dataset</x:v>
      </x:c>
      <x:c r="K308" s="2" t="str">
        <x:v>Agentic RAG</x:v>
      </x:c>
      <x:c r="L308" s="2" t="str">
        <x:v>GPT-4</x:v>
      </x:c>
      <x:c r="M308" s="2" t="str">
        <x:v>Traceability</x:v>
      </x:c>
      <x:c r="N308" s="6" t="str">
        <x:v>98.10%</x:v>
      </x:c>
      <x:c r="O308" s="2" t="n">
        <x:v>98.1</x:v>
      </x:c>
      <x:c r="P308" s="2" t="str">
        <x:v>%</x:v>
      </x:c>
      <x:c r="Q308" s="6" t="str">
        <x:v>52.80%</x:v>
      </x:c>
      <x:c r="R308" s="2" t="n">
        <x:v>52.8</x:v>
      </x:c>
      <x:c r="S308" s="2" t="str">
        <x:v>NR</x:v>
      </x:c>
      <x:c r="T308" s="2" t="str">
        <x:v>Better</x:v>
      </x:c>
      <x:c r="U308" s="2" t="str">
        <x:v>Not tested</x:v>
      </x:c>
      <x:c r="V308" s="2" t="str">
        <x:v>Significantly higher traceability than GPT-4 alone</x:v>
      </x:c>
      <x:c r="W308" s="2" t="str">
        <x:v>NR</x:v>
      </x:c>
      <x:c r="X308" s="2" t="str">
        <x:v>NR</x:v>
      </x:c>
      <x:c r="Y308" s="2" t="str">
        <x:v>NR</x:v>
      </x:c>
      <x:c r="Z308" s="2" t="str">
        <x:v>No</x:v>
      </x:c>
      <x:c r="AA308" s="6" t="str">
        <x:v>p. 6; Table I</x:v>
      </x:c>
      <x:c r="AB308" s="6" t="str">
        <x:v>GPT-4 81.7% 79.40% 73.60% 52.80% 71.88%</x:v>
      </x:c>
      <x:c r="AC308" s="6" t="str">
        <x:v>GPT-4在可追溯性上表现很差，Agentic RAG有巨大优势。</x:v>
      </x:c>
      <x:c r="AD308" s="2" t="str">
        <x:v>Accepted</x:v>
      </x:c>
      <x:c r="AE308" s="6" t="str">
        <x:v>NR</x:v>
      </x:c>
    </x:row>
    <x:row r="309" ht="76" customHeight="1">
      <x:c r="A309" s="2" t="str">
        <x:v>S25-RESULT-R05</x:v>
      </x:c>
      <x:c r="B309" s="2" t="str">
        <x:v>S25</x:v>
      </x:c>
      <x:c r="C309" s="2" t="str">
        <x:v>merged_1185</x:v>
      </x:c>
      <x:c r="D309" s="2" t="str">
        <x:v>Reviewer_A</x:v>
      </x:c>
      <x:c r="E309" s="2" t="str">
        <x:v>Reviewer_A</x:v>
      </x:c>
      <x:c r="F309" s="2" t="str">
        <x:v>S25-R05</x:v>
      </x:c>
      <x:c r="G309" s="2" t="str">
        <x:v>S25-EV02</x:v>
      </x:c>
      <x:c r="H309" s="2" t="str">
        <x:v>S25-T01</x:v>
      </x:c>
      <x:c r="I309" s="2" t="str">
        <x:v>NA</x:v>
      </x:c>
      <x:c r="J309" s="2" t="str">
        <x:v>Synthetic Test Dataset</x:v>
      </x:c>
      <x:c r="K309" s="2" t="str">
        <x:v>Agentic RAG</x:v>
      </x:c>
      <x:c r="L309" s="2" t="str">
        <x:v>Direct SAP TAO</x:v>
      </x:c>
      <x:c r="M309" s="2" t="str">
        <x:v>Traceability</x:v>
      </x:c>
      <x:c r="N309" s="6" t="str">
        <x:v>98.10%</x:v>
      </x:c>
      <x:c r="O309" s="2" t="n">
        <x:v>98.1</x:v>
      </x:c>
      <x:c r="P309" s="2" t="str">
        <x:v>%</x:v>
      </x:c>
      <x:c r="Q309" s="6" t="str">
        <x:v>78.90%</x:v>
      </x:c>
      <x:c r="R309" s="2" t="n">
        <x:v>78.9</x:v>
      </x:c>
      <x:c r="S309" s="2" t="str">
        <x:v>NR</x:v>
      </x:c>
      <x:c r="T309" s="2" t="str">
        <x:v>Better</x:v>
      </x:c>
      <x:c r="U309" s="2" t="str">
        <x:v>Not tested</x:v>
      </x:c>
      <x:c r="V309" s="2" t="str">
        <x:v>Outperforms existing SAP testing tool</x:v>
      </x:c>
      <x:c r="W309" s="2" t="str">
        <x:v>NR</x:v>
      </x:c>
      <x:c r="X309" s="2" t="str">
        <x:v>NR</x:v>
      </x:c>
      <x:c r="Y309" s="2" t="str">
        <x:v>NR</x:v>
      </x:c>
      <x:c r="Z309" s="2" t="str">
        <x:v>No</x:v>
      </x:c>
      <x:c r="AA309" s="6" t="str">
        <x:v>p. 6; Table I</x:v>
      </x:c>
      <x:c r="AB309" s="6" t="str">
        <x:v>Direct SAP TAO 84.2% 88.50% 91.70% 78.90% 85.83%</x:v>
      </x:c>
      <x:c r="AC309" s="6" t="str">
        <x:v>即便与专用SAP测试工具相比，Agentic RAG的可追溯性也高出近20个百分点。</x:v>
      </x:c>
      <x:c r="AD309" s="2" t="str">
        <x:v>Accepted</x:v>
      </x:c>
      <x:c r="AE309" s="6" t="str">
        <x:v>NR</x:v>
      </x:c>
    </x:row>
    <x:row r="310" ht="76" customHeight="1">
      <x:c r="A310" s="2" t="str">
        <x:v>S26-RESULT-R01</x:v>
      </x:c>
      <x:c r="B310" s="2" t="str">
        <x:v>S26</x:v>
      </x:c>
      <x:c r="C310" s="2" t="str">
        <x:v>merged_1212</x:v>
      </x:c>
      <x:c r="D310" s="2" t="str">
        <x:v>Reviewer_A</x:v>
      </x:c>
      <x:c r="E310" s="2" t="str">
        <x:v>Reviewer_A</x:v>
      </x:c>
      <x:c r="F310" s="2" t="str">
        <x:v>S26-R01</x:v>
      </x:c>
      <x:c r="G310" s="2" t="str">
        <x:v>S26-EV01</x:v>
      </x:c>
      <x:c r="H310" s="2" t="str">
        <x:v>S26-T01</x:v>
      </x:c>
      <x:c r="I310" s="2" t="str">
        <x:v>NA</x:v>
      </x:c>
      <x:c r="J310" s="2" t="str">
        <x:v>NR</x:v>
      </x:c>
      <x:c r="K310" s="2" t="str">
        <x:v>LLM+IR</x:v>
      </x:c>
      <x:c r="L310" s="2" t="str">
        <x:v>VSM</x:v>
      </x:c>
      <x:c r="M310" s="2" t="str">
        <x:v>accuracy</x:v>
      </x:c>
      <x:c r="N310" s="6" t="str">
        <x:v>outperformed</x:v>
      </x:c>
      <x:c r="O310" s="2" t="str">
        <x:v>Unclear</x:v>
      </x:c>
      <x:c r="P310" s="2" t="str">
        <x:v>NA</x:v>
      </x:c>
      <x:c r="Q310" s="6" t="str">
        <x:v>NR</x:v>
      </x:c>
      <x:c r="R310" s="2" t="str">
        <x:v>Unclear</x:v>
      </x:c>
      <x:c r="S310" s="2" t="str">
        <x:v>NR</x:v>
      </x:c>
      <x:c r="T310" s="2" t="str">
        <x:v>Better</x:v>
      </x:c>
      <x:c r="U310" s="2" t="str">
        <x:v>Not tested</x:v>
      </x:c>
      <x:c r="V310" s="2" t="str">
        <x:v>NR</x:v>
      </x:c>
      <x:c r="W310" s="2" t="str">
        <x:v>NR</x:v>
      </x:c>
      <x:c r="X310" s="2" t="str">
        <x:v>NR</x:v>
      </x:c>
      <x:c r="Y310" s="2" t="str">
        <x:v>NR</x:v>
      </x:c>
      <x:c r="Z310" s="2" t="str">
        <x:v>No</x:v>
      </x:c>
      <x:c r="AA310" s="6" t="str">
        <x:v>p. 3; III.A Improved Trace-Link Prediction</x:v>
      </x:c>
      <x:c r="AB310" s="6" t="str">
        <x:v>The approaches developed in this work outperformed traditional methods like VSM</x:v>
      </x:c>
      <x:c r="AC310" s="6" t="str">
        <x:v>LLM+IR方法在准确性上优于VSM</x:v>
      </x:c>
      <x:c r="AD310" s="2" t="str">
        <x:v>Accepted</x:v>
      </x:c>
      <x:c r="AE310" s="6" t="str">
        <x:v>无具体数值</x:v>
      </x:c>
    </x:row>
    <x:row r="311" ht="76" customHeight="1">
      <x:c r="A311" s="2" t="str">
        <x:v>S26-RESULT-R02</x:v>
      </x:c>
      <x:c r="B311" s="2" t="str">
        <x:v>S26</x:v>
      </x:c>
      <x:c r="C311" s="2" t="str">
        <x:v>merged_1212</x:v>
      </x:c>
      <x:c r="D311" s="2" t="str">
        <x:v>Reviewer_A</x:v>
      </x:c>
      <x:c r="E311" s="2" t="str">
        <x:v>Reviewer_A</x:v>
      </x:c>
      <x:c r="F311" s="2" t="str">
        <x:v>S26-R02</x:v>
      </x:c>
      <x:c r="G311" s="2" t="str">
        <x:v>S26-EV01</x:v>
      </x:c>
      <x:c r="H311" s="2" t="str">
        <x:v>S26-T01</x:v>
      </x:c>
      <x:c r="I311" s="2" t="str">
        <x:v>NA</x:v>
      </x:c>
      <x:c r="J311" s="2" t="str">
        <x:v>NR</x:v>
      </x:c>
      <x:c r="K311" s="2" t="str">
        <x:v>LLM+IR</x:v>
      </x:c>
      <x:c r="L311" s="2" t="str">
        <x:v>BERT-based techniques</x:v>
      </x:c>
      <x:c r="M311" s="2" t="str">
        <x:v>labeled data requirement</x:v>
      </x:c>
      <x:c r="N311" s="6" t="str">
        <x:v>required less data</x:v>
      </x:c>
      <x:c r="O311" s="2" t="str">
        <x:v>Unclear</x:v>
      </x:c>
      <x:c r="P311" s="2" t="str">
        <x:v>NA</x:v>
      </x:c>
      <x:c r="Q311" s="6" t="str">
        <x:v>NR</x:v>
      </x:c>
      <x:c r="R311" s="2" t="str">
        <x:v>Unclear</x:v>
      </x:c>
      <x:c r="S311" s="2" t="str">
        <x:v>NR</x:v>
      </x:c>
      <x:c r="T311" s="2" t="str">
        <x:v>Better</x:v>
      </x:c>
      <x:c r="U311" s="2" t="str">
        <x:v>Not tested</x:v>
      </x:c>
      <x:c r="V311" s="2" t="str">
        <x:v>NR</x:v>
      </x:c>
      <x:c r="W311" s="2" t="str">
        <x:v>NR</x:v>
      </x:c>
      <x:c r="X311" s="2" t="str">
        <x:v>NR</x:v>
      </x:c>
      <x:c r="Y311" s="2" t="str">
        <x:v>NR</x:v>
      </x:c>
      <x:c r="Z311" s="2" t="str">
        <x:v>No</x:v>
      </x:c>
      <x:c r="AA311" s="6" t="str">
        <x:v>p. 3; III.A Improved Trace-Link Prediction</x:v>
      </x:c>
      <x:c r="AB311" s="6" t="str">
        <x:v>required less data than BERT-based techniques</x:v>
      </x:c>
      <x:c r="AC311" s="6" t="str">
        <x:v>LLM+IR方法比BERT需要更少标注数据</x:v>
      </x:c>
      <x:c r="AD311" s="2" t="str">
        <x:v>Accepted</x:v>
      </x:c>
      <x:c r="AE311" s="6" t="str">
        <x:v>无具体数值</x:v>
      </x:c>
    </x:row>
    <x:row r="312" ht="76" customHeight="1">
      <x:c r="A312" s="2" t="str">
        <x:v>S26-RESULT-R03</x:v>
      </x:c>
      <x:c r="B312" s="2" t="str">
        <x:v>S26</x:v>
      </x:c>
      <x:c r="C312" s="2" t="str">
        <x:v>merged_1212</x:v>
      </x:c>
      <x:c r="D312" s="2" t="str">
        <x:v>Reviewer_A</x:v>
      </x:c>
      <x:c r="E312" s="2" t="str">
        <x:v>Reviewer_A</x:v>
      </x:c>
      <x:c r="F312" s="2" t="str">
        <x:v>S26-R03</x:v>
      </x:c>
      <x:c r="G312" s="2" t="str">
        <x:v>S26-EV02</x:v>
      </x:c>
      <x:c r="H312" s="2" t="str">
        <x:v>S26-T02</x:v>
      </x:c>
      <x:c r="I312" s="2" t="str">
        <x:v>NA</x:v>
      </x:c>
      <x:c r="J312" s="2" t="str">
        <x:v>Three projects (unnamed)</x:v>
      </x:c>
      <x:c r="K312" s="2" t="str">
        <x:v>our pipeline</x:v>
      </x:c>
      <x:c r="L312" s="2" t="str">
        <x:v>baseline LLM (no pipeline)</x:v>
      </x:c>
      <x:c r="M312" s="2" t="str">
        <x:v>expert rating</x:v>
      </x:c>
      <x:c r="N312" s="6" t="str">
        <x:v>rated higher</x:v>
      </x:c>
      <x:c r="O312" s="2" t="str">
        <x:v>Unclear</x:v>
      </x:c>
      <x:c r="P312" s="2" t="str">
        <x:v>NA</x:v>
      </x:c>
      <x:c r="Q312" s="6" t="str">
        <x:v>NR</x:v>
      </x:c>
      <x:c r="R312" s="2" t="str">
        <x:v>Unclear</x:v>
      </x:c>
      <x:c r="S312" s="2" t="str">
        <x:v>NR</x:v>
      </x:c>
      <x:c r="T312" s="2" t="str">
        <x:v>Better</x:v>
      </x:c>
      <x:c r="U312" s="2" t="str">
        <x:v>Not tested</x:v>
      </x:c>
      <x:c r="V312" s="2" t="str">
        <x:v>NR</x:v>
      </x:c>
      <x:c r="W312" s="2" t="str">
        <x:v>NR</x:v>
      </x:c>
      <x:c r="X312" s="2" t="str">
        <x:v>NR</x:v>
      </x:c>
      <x:c r="Y312" s="2" t="str">
        <x:v>NR</x:v>
      </x:c>
      <x:c r="Z312" s="2" t="str">
        <x:v>No</x:v>
      </x:c>
      <x:c r="AA312" s="6" t="str">
        <x:v>p. 3; III.B Generation of Software Artifact Hierarchy</x:v>
      </x:c>
      <x:c r="AB312" s="6" t="str">
        <x:v>documentation produced by our method was rated higher than the baseline across several quality dimensions</x:v>
      </x:c>
      <x:c r="AC312" s="6" t="str">
        <x:v>专家评分高于基线</x:v>
      </x:c>
      <x:c r="AD312" s="2" t="str">
        <x:v>Accepted</x:v>
      </x:c>
      <x:c r="AE312" s="6" t="str">
        <x:v>定性结果</x:v>
      </x:c>
    </x:row>
    <x:row r="313" ht="76" customHeight="1">
      <x:c r="A313" s="2" t="str">
        <x:v>S26-RESULT-R04</x:v>
      </x:c>
      <x:c r="B313" s="2" t="str">
        <x:v>S26</x:v>
      </x:c>
      <x:c r="C313" s="2" t="str">
        <x:v>merged_1212</x:v>
      </x:c>
      <x:c r="D313" s="2" t="str">
        <x:v>Reviewer_A</x:v>
      </x:c>
      <x:c r="E313" s="2" t="str">
        <x:v>Reviewer_A</x:v>
      </x:c>
      <x:c r="F313" s="2" t="str">
        <x:v>S26-R04</x:v>
      </x:c>
      <x:c r="G313" s="2" t="str">
        <x:v>S26-EV02</x:v>
      </x:c>
      <x:c r="H313" s="2" t="str">
        <x:v>S26-T02</x:v>
      </x:c>
      <x:c r="I313" s="2" t="str">
        <x:v>NA</x:v>
      </x:c>
      <x:c r="J313" s="2" t="str">
        <x:v>Three projects (unnamed)</x:v>
      </x:c>
      <x:c r="K313" s="2" t="str">
        <x:v>our pipeline</x:v>
      </x:c>
      <x:c r="L313" s="2" t="str">
        <x:v>baseline LLM (no pipeline)</x:v>
      </x:c>
      <x:c r="M313" s="2" t="str">
        <x:v>concept coverage</x:v>
      </x:c>
      <x:c r="N313" s="6" t="str">
        <x:v>significantly better</x:v>
      </x:c>
      <x:c r="O313" s="2" t="str">
        <x:v>Unclear</x:v>
      </x:c>
      <x:c r="P313" s="2" t="str">
        <x:v>NA</x:v>
      </x:c>
      <x:c r="Q313" s="6" t="str">
        <x:v>NR</x:v>
      </x:c>
      <x:c r="R313" s="2" t="str">
        <x:v>Unclear</x:v>
      </x:c>
      <x:c r="S313" s="2" t="str">
        <x:v>NR</x:v>
      </x:c>
      <x:c r="T313" s="2" t="str">
        <x:v>Better</x:v>
      </x:c>
      <x:c r="U313" s="2" t="str">
        <x:v>Not tested</x:v>
      </x:c>
      <x:c r="V313" s="2" t="str">
        <x:v>NR</x:v>
      </x:c>
      <x:c r="W313" s="2" t="str">
        <x:v>NR</x:v>
      </x:c>
      <x:c r="X313" s="2" t="str">
        <x:v>NR</x:v>
      </x:c>
      <x:c r="Y313" s="2" t="str">
        <x:v>NR</x:v>
      </x:c>
      <x:c r="Z313" s="2" t="str">
        <x:v>No</x:v>
      </x:c>
      <x:c r="AA313" s="6" t="str">
        <x:v>p. 3; III.B Generation of Software Artifact Hierarchy</x:v>
      </x:c>
      <x:c r="AB313" s="6" t="str">
        <x:v>It also demonstrated significantly better concept coverage than the baseline, capturing more of the core ideas within the codebase.</x:v>
      </x:c>
      <x:c r="AC313" s="6" t="str">
        <x:v>概念覆盖显著优于基线</x:v>
      </x:c>
      <x:c r="AD313" s="2" t="str">
        <x:v>Accepted</x:v>
      </x:c>
      <x:c r="AE313" s="6" t="str">
        <x:v>声称显著但未报告统计检验</x:v>
      </x:c>
    </x:row>
    <x:row r="314" ht="76" customHeight="1">
      <x:c r="A314" s="2" t="str">
        <x:v>S26-RESULT-R05</x:v>
      </x:c>
      <x:c r="B314" s="2" t="str">
        <x:v>S26</x:v>
      </x:c>
      <x:c r="C314" s="2" t="str">
        <x:v>merged_1212</x:v>
      </x:c>
      <x:c r="D314" s="2" t="str">
        <x:v>Reviewer_A</x:v>
      </x:c>
      <x:c r="E314" s="2" t="str">
        <x:v>Reviewer_A</x:v>
      </x:c>
      <x:c r="F314" s="2" t="str">
        <x:v>S26-R05</x:v>
      </x:c>
      <x:c r="G314" s="2" t="str">
        <x:v>S26-EV02</x:v>
      </x:c>
      <x:c r="H314" s="2" t="str">
        <x:v>S26-T02</x:v>
      </x:c>
      <x:c r="I314" s="2" t="str">
        <x:v>NA</x:v>
      </x:c>
      <x:c r="J314" s="2" t="str">
        <x:v>Three projects (unnamed)</x:v>
      </x:c>
      <x:c r="K314" s="2" t="str">
        <x:v>our pipeline</x:v>
      </x:c>
      <x:c r="L314" s="2" t="str">
        <x:v>baseline LLM (no pipeline)</x:v>
      </x:c>
      <x:c r="M314" s="2" t="str">
        <x:v>recall</x:v>
      </x:c>
      <x:c r="N314" s="6" t="str">
        <x:v>higher recall</x:v>
      </x:c>
      <x:c r="O314" s="2" t="str">
        <x:v>Unclear</x:v>
      </x:c>
      <x:c r="P314" s="2" t="str">
        <x:v>NA</x:v>
      </x:c>
      <x:c r="Q314" s="6" t="str">
        <x:v>NR</x:v>
      </x:c>
      <x:c r="R314" s="2" t="str">
        <x:v>Unclear</x:v>
      </x:c>
      <x:c r="S314" s="2" t="str">
        <x:v>NR</x:v>
      </x:c>
      <x:c r="T314" s="2" t="str">
        <x:v>Better</x:v>
      </x:c>
      <x:c r="U314" s="2" t="str">
        <x:v>Not tested</x:v>
      </x:c>
      <x:c r="V314" s="2" t="str">
        <x:v>NR</x:v>
      </x:c>
      <x:c r="W314" s="2" t="str">
        <x:v>NR</x:v>
      </x:c>
      <x:c r="X314" s="2" t="str">
        <x:v>NR</x:v>
      </x:c>
      <x:c r="Y314" s="2" t="str">
        <x:v>NR</x:v>
      </x:c>
      <x:c r="Z314" s="2" t="str">
        <x:v>No</x:v>
      </x:c>
      <x:c r="AA314" s="6" t="str">
        <x:v>p. 3; III.B Generation of Software Artifact Hierarchy</x:v>
      </x:c>
      <x:c r="AB314" s="6" t="str">
        <x:v>it achieved higher recall</x:v>
      </x:c>
      <x:c r="AC314" s="6" t="str">
        <x:v>召回率更高</x:v>
      </x:c>
      <x:c r="AD314" s="2" t="str">
        <x:v>Accepted</x:v>
      </x:c>
      <x:c r="AE314" s="6" t="str">
        <x:v>NA</x:v>
      </x:c>
    </x:row>
    <x:row r="315" ht="76" customHeight="1">
      <x:c r="A315" s="2" t="str">
        <x:v>S26-RESULT-R06</x:v>
      </x:c>
      <x:c r="B315" s="2" t="str">
        <x:v>S26</x:v>
      </x:c>
      <x:c r="C315" s="2" t="str">
        <x:v>merged_1212</x:v>
      </x:c>
      <x:c r="D315" s="2" t="str">
        <x:v>Reviewer_A</x:v>
      </x:c>
      <x:c r="E315" s="2" t="str">
        <x:v>Reviewer_A</x:v>
      </x:c>
      <x:c r="F315" s="2" t="str">
        <x:v>S26-R06</x:v>
      </x:c>
      <x:c r="G315" s="2" t="str">
        <x:v>S26-EV02</x:v>
      </x:c>
      <x:c r="H315" s="2" t="str">
        <x:v>S26-T02</x:v>
      </x:c>
      <x:c r="I315" s="2" t="str">
        <x:v>NA</x:v>
      </x:c>
      <x:c r="J315" s="2" t="str">
        <x:v>Three projects (unnamed)</x:v>
      </x:c>
      <x:c r="K315" s="2" t="str">
        <x:v>our pipeline</x:v>
      </x:c>
      <x:c r="L315" s="2" t="str">
        <x:v>baseline LLM (no pipeline)</x:v>
      </x:c>
      <x:c r="M315" s="2" t="str">
        <x:v>orphan artifacts</x:v>
      </x:c>
      <x:c r="N315" s="6" t="str">
        <x:v>fewer</x:v>
      </x:c>
      <x:c r="O315" s="2" t="str">
        <x:v>Unclear</x:v>
      </x:c>
      <x:c r="P315" s="2" t="str">
        <x:v>NA</x:v>
      </x:c>
      <x:c r="Q315" s="6" t="str">
        <x:v>NR</x:v>
      </x:c>
      <x:c r="R315" s="2" t="str">
        <x:v>Unclear</x:v>
      </x:c>
      <x:c r="S315" s="2" t="str">
        <x:v>NR</x:v>
      </x:c>
      <x:c r="T315" s="2" t="str">
        <x:v>Better</x:v>
      </x:c>
      <x:c r="U315" s="2" t="str">
        <x:v>Not tested</x:v>
      </x:c>
      <x:c r="V315" s="2" t="str">
        <x:v>NR</x:v>
      </x:c>
      <x:c r="W315" s="2" t="str">
        <x:v>NR</x:v>
      </x:c>
      <x:c r="X315" s="2" t="str">
        <x:v>NR</x:v>
      </x:c>
      <x:c r="Y315" s="2" t="str">
        <x:v>NR</x:v>
      </x:c>
      <x:c r="Z315" s="2" t="str">
        <x:v>No</x:v>
      </x:c>
      <x:c r="AA315" s="6" t="str">
        <x:v>p. 3; III.B Generation of Software Artifact Hierarchy</x:v>
      </x:c>
      <x:c r="AB315" s="6" t="str">
        <x:v>produced fewer orphan artifacts than the baseline</x:v>
      </x:c>
      <x:c r="AC315" s="6" t="str">
        <x:v>孤人工件更少</x:v>
      </x:c>
      <x:c r="AD315" s="2" t="str">
        <x:v>Accepted</x:v>
      </x:c>
      <x:c r="AE315" s="6" t="str">
        <x:v>NA</x:v>
      </x:c>
    </x:row>
    <x:row r="316" ht="76" customHeight="1">
      <x:c r="A316" s="2" t="str">
        <x:v>S26-RESULT-R07</x:v>
      </x:c>
      <x:c r="B316" s="2" t="str">
        <x:v>S26</x:v>
      </x:c>
      <x:c r="C316" s="2" t="str">
        <x:v>merged_1212</x:v>
      </x:c>
      <x:c r="D316" s="2" t="str">
        <x:v>Reviewer_A</x:v>
      </x:c>
      <x:c r="E316" s="2" t="str">
        <x:v>Reviewer_A</x:v>
      </x:c>
      <x:c r="F316" s="2" t="str">
        <x:v>S26-R07</x:v>
      </x:c>
      <x:c r="G316" s="2" t="str">
        <x:v>S26-EV03</x:v>
      </x:c>
      <x:c r="H316" s="2" t="str">
        <x:v>S26-T03</x:v>
      </x:c>
      <x:c r="I316" s="2" t="str">
        <x:v>NA</x:v>
      </x:c>
      <x:c r="J316" s="2" t="str">
        <x:v>Two CPS scenarios</x:v>
      </x:c>
      <x:c r="K316" s="2" t="str">
        <x:v>QUEST-RL</x:v>
      </x:c>
      <x:c r="L316" s="2" t="str">
        <x:v>expert initial requirements</x:v>
      </x:c>
      <x:c r="M316" s="2" t="str">
        <x:v>additional safety considerations</x:v>
      </x:c>
      <x:c r="N316" s="6" t="str">
        <x:v>4 to 20</x:v>
      </x:c>
      <x:c r="O316" s="2" t="str">
        <x:v>NA</x:v>
      </x:c>
      <x:c r="P316" s="2" t="str">
        <x:v>count</x:v>
      </x:c>
      <x:c r="Q316" s="6" t="str">
        <x:v>0 (by comparison)</x:v>
      </x:c>
      <x:c r="R316" s="2" t="n">
        <x:v>0</x:v>
      </x:c>
      <x:c r="S316" s="2" t="str">
        <x:v>NR</x:v>
      </x:c>
      <x:c r="T316" s="2" t="str">
        <x:v>Better</x:v>
      </x:c>
      <x:c r="U316" s="2" t="str">
        <x:v>Not tested</x:v>
      </x:c>
      <x:c r="V316" s="2" t="str">
        <x:v>NR</x:v>
      </x:c>
      <x:c r="W316" s="2" t="str">
        <x:v>NR</x:v>
      </x:c>
      <x:c r="X316" s="2" t="str">
        <x:v>NR</x:v>
      </x:c>
      <x:c r="Y316" s="2" t="str">
        <x:v>NR</x:v>
      </x:c>
      <x:c r="Z316" s="2" t="str">
        <x:v>No</x:v>
      </x:c>
      <x:c r="AA316" s="6" t="str">
        <x:v>p. 4; III.C Trace-Link and Requirement Generation for Accountability</x:v>
      </x:c>
      <x:c r="AB316" s="6" t="str">
        <x:v>Across all cases, the requirements generated with QUESTRL included 4 to 20 additional safety considerations that had been overlooked in the expert initial versions. Qualitative feedback highlighted that the framework supported more</x:v>
      </x:c>
      <x:c r="AC316" s="6" t="str">
        <x:v>QUEST-RL生成的需求比专家初始版本多包含4到20项安全考虑</x:v>
      </x:c>
      <x:c r="AD316" s="2" t="str">
        <x:v>Accepted</x:v>
      </x:c>
      <x:c r="AE316" s="6" t="str">
        <x:v>范围结果</x:v>
      </x:c>
    </x:row>
    <x:row r="317" ht="76" customHeight="1">
      <x:c r="A317" s="2" t="str">
        <x:v>S27-RESULT-R01</x:v>
      </x:c>
      <x:c r="B317" s="2" t="str">
        <x:v>S27</x:v>
      </x:c>
      <x:c r="C317" s="2" t="str">
        <x:v>merged_1213</x:v>
      </x:c>
      <x:c r="D317" s="2" t="str">
        <x:v>Reviewer_A</x:v>
      </x:c>
      <x:c r="E317" s="2" t="str">
        <x:v>Reviewer_A</x:v>
      </x:c>
      <x:c r="F317" s="2" t="str">
        <x:v>S27-R01</x:v>
      </x:c>
      <x:c r="G317" s="2" t="str">
        <x:v>S27-EV01</x:v>
      </x:c>
      <x:c r="H317" s="2" t="str">
        <x:v>S27-T01</x:v>
      </x:c>
      <x:c r="I317" s="2" t="str">
        <x:v>NA</x:v>
      </x:c>
      <x:c r="J317" s="2" t="str">
        <x:v>Five benchmark datasets</x:v>
      </x:c>
      <x:c r="K317" s="2" t="str">
        <x:v>Embeddings GO</x:v>
      </x:c>
      <x:c r="L317" s="2" t="str">
        <x:v>No</x:v>
      </x:c>
      <x:c r="M317" s="2" t="str">
        <x:v>F2</x:v>
      </x:c>
      <x:c r="N317" s="6" t="str">
        <x:v>0.50</x:v>
      </x:c>
      <x:c r="O317" s="2" t="n">
        <x:v>0.5</x:v>
      </x:c>
      <x:c r="P317" s="2" t="str">
        <x:v>proportion</x:v>
      </x:c>
      <x:c r="Q317" s="6" t="str">
        <x:v>NR</x:v>
      </x:c>
      <x:c r="R317" s="2" t="str">
        <x:v>NA</x:v>
      </x:c>
      <x:c r="S317" s="2" t="str">
        <x:v>NR</x:v>
      </x:c>
      <x:c r="T317" s="2" t="str">
        <x:v>Not compared</x:v>
      </x:c>
      <x:c r="U317" s="2" t="str">
        <x:v>Not tested</x:v>
      </x:c>
      <x:c r="V317" s="2" t="str">
        <x:v>NR</x:v>
      </x:c>
      <x:c r="W317" s="2" t="str">
        <x:v>NR</x:v>
      </x:c>
      <x:c r="X317" s="2" t="str">
        <x:v>NR</x:v>
      </x:c>
      <x:c r="Y317" s="2" t="str">
        <x:v>NR</x:v>
      </x:c>
      <x:c r="Z317" s="2" t="str">
        <x:v>No</x:v>
      </x:c>
      <x:c r="AA317" s="6" t="str">
        <x:v>p. 4; Table II</x:v>
      </x:c>
      <x:c r="AB317" s="6" t="str">
        <x:v>EmbeddingsGO</x:v>
      </x:c>
      <x:c r="AC317" s="6" t="str">
        <x:v>全局最优配置下嵌入检索的平均F2为0.50。</x:v>
      </x:c>
      <x:c r="AD317" s="2" t="str">
        <x:v>Accepted</x:v>
      </x:c>
      <x:c r="AE317" s="6" t="str">
        <x:v>GO=Globally Optimized. Average across five datasets.</x:v>
      </x:c>
    </x:row>
    <x:row r="318" ht="76" customHeight="1">
      <x:c r="A318" s="2" t="str">
        <x:v>S27-RESULT-R02</x:v>
      </x:c>
      <x:c r="B318" s="2" t="str">
        <x:v>S27</x:v>
      </x:c>
      <x:c r="C318" s="2" t="str">
        <x:v>merged_1213</x:v>
      </x:c>
      <x:c r="D318" s="2" t="str">
        <x:v>Reviewer_A</x:v>
      </x:c>
      <x:c r="E318" s="2" t="str">
        <x:v>Reviewer_A</x:v>
      </x:c>
      <x:c r="F318" s="2" t="str">
        <x:v>S27-R02</x:v>
      </x:c>
      <x:c r="G318" s="2" t="str">
        <x:v>S27-EV01</x:v>
      </x:c>
      <x:c r="H318" s="2" t="str">
        <x:v>S27-T01</x:v>
      </x:c>
      <x:c r="I318" s="2" t="str">
        <x:v>NA</x:v>
      </x:c>
      <x:c r="J318" s="2" t="str">
        <x:v>Five benchmark datasets</x:v>
      </x:c>
      <x:c r="K318" s="2" t="str">
        <x:v>VSM GO</x:v>
      </x:c>
      <x:c r="L318" s="2" t="str">
        <x:v>No</x:v>
      </x:c>
      <x:c r="M318" s="2" t="str">
        <x:v>F2</x:v>
      </x:c>
      <x:c r="N318" s="6" t="str">
        <x:v>0.34</x:v>
      </x:c>
      <x:c r="O318" s="2" t="n">
        <x:v>0.34</x:v>
      </x:c>
      <x:c r="P318" s="2" t="str">
        <x:v>proportion</x:v>
      </x:c>
      <x:c r="Q318" s="6" t="str">
        <x:v>NR</x:v>
      </x:c>
      <x:c r="R318" s="2" t="str">
        <x:v>NA</x:v>
      </x:c>
      <x:c r="S318" s="2" t="str">
        <x:v>NR</x:v>
      </x:c>
      <x:c r="T318" s="2" t="str">
        <x:v>Not compared</x:v>
      </x:c>
      <x:c r="U318" s="2" t="str">
        <x:v>Not tested</x:v>
      </x:c>
      <x:c r="V318" s="2" t="str">
        <x:v>NR</x:v>
      </x:c>
      <x:c r="W318" s="2" t="str">
        <x:v>NR</x:v>
      </x:c>
      <x:c r="X318" s="2" t="str">
        <x:v>NR</x:v>
      </x:c>
      <x:c r="Y318" s="2" t="str">
        <x:v>NR</x:v>
      </x:c>
      <x:c r="Z318" s="2" t="str">
        <x:v>No</x:v>
      </x:c>
      <x:c r="AA318" s="6" t="str">
        <x:v>p. 5; Table II</x:v>
      </x:c>
      <x:c r="AB318" s="6" t="str">
        <x:v>the chaining mode achieves the best average F2 - and F1 -score.</x:v>
      </x:c>
      <x:c r="AC318" s="6" t="str">
        <x:v>VSM全局最优平均F2为0.34。</x:v>
      </x:c>
      <x:c r="AD318" s="2" t="str">
        <x:v>Accepted</x:v>
      </x:c>
      <x:c r="AE318" s="6" t="str">
        <x:v>GO=Globally Optimized.</x:v>
      </x:c>
    </x:row>
    <x:row r="319" ht="76" customHeight="1">
      <x:c r="A319" s="2" t="str">
        <x:v>S27-RESULT-R03</x:v>
      </x:c>
      <x:c r="B319" s="2" t="str">
        <x:v>S27</x:v>
      </x:c>
      <x:c r="C319" s="2" t="str">
        <x:v>merged_1213</x:v>
      </x:c>
      <x:c r="D319" s="2" t="str">
        <x:v>Reviewer_A</x:v>
      </x:c>
      <x:c r="E319" s="2" t="str">
        <x:v>Reviewer_A</x:v>
      </x:c>
      <x:c r="F319" s="2" t="str">
        <x:v>S27-R03</x:v>
      </x:c>
      <x:c r="G319" s="2" t="str">
        <x:v>S27-EV01</x:v>
      </x:c>
      <x:c r="H319" s="2" t="str">
        <x:v>S27-T01</x:v>
      </x:c>
      <x:c r="I319" s="2" t="str">
        <x:v>NA</x:v>
      </x:c>
      <x:c r="J319" s="2" t="str">
        <x:v>Five benchmark datasets</x:v>
      </x:c>
      <x:c r="K319" s="2" t="str">
        <x:v>LSI GO</x:v>
      </x:c>
      <x:c r="L319" s="2" t="str">
        <x:v>No</x:v>
      </x:c>
      <x:c r="M319" s="2" t="str">
        <x:v>F2</x:v>
      </x:c>
      <x:c r="N319" s="6" t="str">
        <x:v>0.33</x:v>
      </x:c>
      <x:c r="O319" s="2" t="n">
        <x:v>0.33</x:v>
      </x:c>
      <x:c r="P319" s="2" t="str">
        <x:v>proportion</x:v>
      </x:c>
      <x:c r="Q319" s="6" t="str">
        <x:v>NR</x:v>
      </x:c>
      <x:c r="R319" s="2" t="str">
        <x:v>NA</x:v>
      </x:c>
      <x:c r="S319" s="2" t="str">
        <x:v>NR</x:v>
      </x:c>
      <x:c r="T319" s="2" t="str">
        <x:v>Not compared</x:v>
      </x:c>
      <x:c r="U319" s="2" t="str">
        <x:v>Not tested</x:v>
      </x:c>
      <x:c r="V319" s="2" t="str">
        <x:v>NR</x:v>
      </x:c>
      <x:c r="W319" s="2" t="str">
        <x:v>NR</x:v>
      </x:c>
      <x:c r="X319" s="2" t="str">
        <x:v>NR</x:v>
      </x:c>
      <x:c r="Y319" s="2" t="str">
        <x:v>NR</x:v>
      </x:c>
      <x:c r="Z319" s="2" t="str">
        <x:v>No</x:v>
      </x:c>
      <x:c r="AA319" s="6" t="str">
        <x:v>p. 4; Table II</x:v>
      </x:c>
      <x:c r="AB319" s="6" t="str">
        <x:v>which returns the highest average F2 -score across all projects.</x:v>
      </x:c>
      <x:c r="AC319" s="6" t="str">
        <x:v>LSI全局最优平均F2为0.33。</x:v>
      </x:c>
      <x:c r="AD319" s="2" t="str">
        <x:v>Accepted</x:v>
      </x:c>
      <x:c r="AE319" s="6" t="str">
        <x:v>GO=Globally Optimized.</x:v>
      </x:c>
    </x:row>
    <x:row r="320" ht="76" customHeight="1">
      <x:c r="A320" s="2" t="str">
        <x:v>S27-RESULT-R04</x:v>
      </x:c>
      <x:c r="B320" s="2" t="str">
        <x:v>S27</x:v>
      </x:c>
      <x:c r="C320" s="2" t="str">
        <x:v>merged_1213</x:v>
      </x:c>
      <x:c r="D320" s="2" t="str">
        <x:v>Reviewer_A</x:v>
      </x:c>
      <x:c r="E320" s="2" t="str">
        <x:v>Reviewer_A</x:v>
      </x:c>
      <x:c r="F320" s="2" t="str">
        <x:v>S27-R04</x:v>
      </x:c>
      <x:c r="G320" s="2" t="str">
        <x:v>S27-EV02</x:v>
      </x:c>
      <x:c r="H320" s="2" t="str">
        <x:v>S27-T01</x:v>
      </x:c>
      <x:c r="I320" s="2" t="str">
        <x:v>NA</x:v>
      </x:c>
      <x:c r="J320" s="2" t="str">
        <x:v>Five benchmark datasets</x:v>
      </x:c>
      <x:c r="K320" s="2" t="str">
        <x:v>Chaining</x:v>
      </x:c>
      <x:c r="L320" s="2" t="str">
        <x:v>No</x:v>
      </x:c>
      <x:c r="M320" s="2" t="str">
        <x:v>precision</x:v>
      </x:c>
      <x:c r="N320" s="6" t="str">
        <x:v>0.18</x:v>
      </x:c>
      <x:c r="O320" s="2" t="n">
        <x:v>0.18</x:v>
      </x:c>
      <x:c r="P320" s="2" t="str">
        <x:v>proportion</x:v>
      </x:c>
      <x:c r="Q320" s="6" t="str">
        <x:v>NR</x:v>
      </x:c>
      <x:c r="R320" s="2" t="str">
        <x:v>NA</x:v>
      </x:c>
      <x:c r="S320" s="2" t="str">
        <x:v>NR</x:v>
      </x:c>
      <x:c r="T320" s="2" t="str">
        <x:v>Not compared</x:v>
      </x:c>
      <x:c r="U320" s="2" t="str">
        <x:v>Not tested</x:v>
      </x:c>
      <x:c r="V320" s="2" t="str">
        <x:v>NR</x:v>
      </x:c>
      <x:c r="W320" s="2" t="str">
        <x:v>NR</x:v>
      </x:c>
      <x:c r="X320" s="2" t="str">
        <x:v>NR</x:v>
      </x:c>
      <x:c r="Y320" s="2" t="str">
        <x:v>NR</x:v>
      </x:c>
      <x:c r="Z320" s="2" t="str">
        <x:v>No</x:v>
      </x:c>
      <x:c r="AA320" s="6" t="str">
        <x:v>p. 5; Table IV</x:v>
      </x:c>
      <x:c r="AB320" s="6" t="str">
        <x:v>the chaining mode achieves the best average F2- and F1-score.</x:v>
      </x:c>
      <x:c r="AC320" s="6" t="str">
        <x:v>链式过滤的平均精度为0.18，较低。</x:v>
      </x:c>
      <x:c r="AD320" s="2" t="str">
        <x:v>Accepted</x:v>
      </x:c>
      <x:c r="AE320" s="6" t="str">
        <x:v>NA</x:v>
      </x:c>
    </x:row>
    <x:row r="321" ht="76" customHeight="1">
      <x:c r="A321" s="2" t="str">
        <x:v>S27-RESULT-R05</x:v>
      </x:c>
      <x:c r="B321" s="2" t="str">
        <x:v>S27</x:v>
      </x:c>
      <x:c r="C321" s="2" t="str">
        <x:v>merged_1213</x:v>
      </x:c>
      <x:c r="D321" s="2" t="str">
        <x:v>Reviewer_A</x:v>
      </x:c>
      <x:c r="E321" s="2" t="str">
        <x:v>Reviewer_A</x:v>
      </x:c>
      <x:c r="F321" s="2" t="str">
        <x:v>S27-R05</x:v>
      </x:c>
      <x:c r="G321" s="2" t="str">
        <x:v>S27-EV02</x:v>
      </x:c>
      <x:c r="H321" s="2" t="str">
        <x:v>S27-T01</x:v>
      </x:c>
      <x:c r="I321" s="2" t="str">
        <x:v>NA</x:v>
      </x:c>
      <x:c r="J321" s="2" t="str">
        <x:v>Five benchmark datasets</x:v>
      </x:c>
      <x:c r="K321" s="2" t="str">
        <x:v>Chaining</x:v>
      </x:c>
      <x:c r="L321" s="2" t="str">
        <x:v>No</x:v>
      </x:c>
      <x:c r="M321" s="2" t="str">
        <x:v>recall</x:v>
      </x:c>
      <x:c r="N321" s="6" t="str">
        <x:v>0.88</x:v>
      </x:c>
      <x:c r="O321" s="2" t="n">
        <x:v>0.88</x:v>
      </x:c>
      <x:c r="P321" s="2" t="str">
        <x:v>proportion</x:v>
      </x:c>
      <x:c r="Q321" s="6" t="str">
        <x:v>NR</x:v>
      </x:c>
      <x:c r="R321" s="2" t="str">
        <x:v>NA</x:v>
      </x:c>
      <x:c r="S321" s="2" t="str">
        <x:v>NR</x:v>
      </x:c>
      <x:c r="T321" s="2" t="str">
        <x:v>Not compared</x:v>
      </x:c>
      <x:c r="U321" s="2" t="str">
        <x:v>Not tested</x:v>
      </x:c>
      <x:c r="V321" s="2" t="str">
        <x:v>NR</x:v>
      </x:c>
      <x:c r="W321" s="2" t="str">
        <x:v>NR</x:v>
      </x:c>
      <x:c r="X321" s="2" t="str">
        <x:v>NR</x:v>
      </x:c>
      <x:c r="Y321" s="2" t="str">
        <x:v>NR</x:v>
      </x:c>
      <x:c r="Z321" s="2" t="str">
        <x:v>No</x:v>
      </x:c>
      <x:c r="AA321" s="6" t="str">
        <x:v>p. 5; Table IV</x:v>
      </x:c>
      <x:c r="AB321" s="6" t="str">
        <x:v>the chaining mode achieves the best average F2- and F1-score.</x:v>
      </x:c>
      <x:c r="AC321" s="6" t="str">
        <x:v>链式过滤平均召回0.88，保持了较高召回。</x:v>
      </x:c>
      <x:c r="AD321" s="2" t="str">
        <x:v>Accepted</x:v>
      </x:c>
      <x:c r="AE321" s="6" t="str">
        <x:v>NA</x:v>
      </x:c>
    </x:row>
    <x:row r="322" ht="76" customHeight="1">
      <x:c r="A322" s="2" t="str">
        <x:v>S27-RESULT-R06</x:v>
      </x:c>
      <x:c r="B322" s="2" t="str">
        <x:v>S27</x:v>
      </x:c>
      <x:c r="C322" s="2" t="str">
        <x:v>merged_1213</x:v>
      </x:c>
      <x:c r="D322" s="2" t="str">
        <x:v>Reviewer_A</x:v>
      </x:c>
      <x:c r="E322" s="2" t="str">
        <x:v>Reviewer_A</x:v>
      </x:c>
      <x:c r="F322" s="2" t="str">
        <x:v>S27-R06</x:v>
      </x:c>
      <x:c r="G322" s="2" t="str">
        <x:v>S27-EV02</x:v>
      </x:c>
      <x:c r="H322" s="2" t="str">
        <x:v>S27-T01</x:v>
      </x:c>
      <x:c r="I322" s="2" t="str">
        <x:v>NA</x:v>
      </x:c>
      <x:c r="J322" s="2" t="str">
        <x:v>Five benchmark datasets</x:v>
      </x:c>
      <x:c r="K322" s="2" t="str">
        <x:v>Chaining</x:v>
      </x:c>
      <x:c r="L322" s="2" t="str">
        <x:v>No</x:v>
      </x:c>
      <x:c r="M322" s="2" t="str">
        <x:v>F2</x:v>
      </x:c>
      <x:c r="N322" s="6" t="str">
        <x:v>0.45</x:v>
      </x:c>
      <x:c r="O322" s="2" t="n">
        <x:v>0.45</x:v>
      </x:c>
      <x:c r="P322" s="2" t="str">
        <x:v>proportion</x:v>
      </x:c>
      <x:c r="Q322" s="6" t="str">
        <x:v>NR</x:v>
      </x:c>
      <x:c r="R322" s="2" t="str">
        <x:v>NA</x:v>
      </x:c>
      <x:c r="S322" s="2" t="str">
        <x:v>NR</x:v>
      </x:c>
      <x:c r="T322" s="2" t="str">
        <x:v>Not compared</x:v>
      </x:c>
      <x:c r="U322" s="2" t="str">
        <x:v>Not tested</x:v>
      </x:c>
      <x:c r="V322" s="2" t="str">
        <x:v>NR</x:v>
      </x:c>
      <x:c r="W322" s="2" t="str">
        <x:v>NR</x:v>
      </x:c>
      <x:c r="X322" s="2" t="str">
        <x:v>NR</x:v>
      </x:c>
      <x:c r="Y322" s="2" t="str">
        <x:v>NR</x:v>
      </x:c>
      <x:c r="Z322" s="2" t="str">
        <x:v>No</x:v>
      </x:c>
      <x:c r="AA322" s="6" t="str">
        <x:v>p. 5; Table IV</x:v>
      </x:c>
      <x:c r="AB322" s="6" t="str">
        <x:v>the chaining mode achieves the best average F2 - and F1 -score.</x:v>
      </x:c>
      <x:c r="AC322" s="6" t="str">
        <x:v>链式过滤平均F2为0.45。</x:v>
      </x:c>
      <x:c r="AD322" s="2" t="str">
        <x:v>Accepted</x:v>
      </x:c>
      <x:c r="AE322" s="6" t="str">
        <x:v>NA</x:v>
      </x:c>
    </x:row>
    <x:row r="323" ht="76" customHeight="1">
      <x:c r="A323" s="2" t="str">
        <x:v>S27-RESULT-R07</x:v>
      </x:c>
      <x:c r="B323" s="2" t="str">
        <x:v>S27</x:v>
      </x:c>
      <x:c r="C323" s="2" t="str">
        <x:v>merged_1213</x:v>
      </x:c>
      <x:c r="D323" s="2" t="str">
        <x:v>Reviewer_A</x:v>
      </x:c>
      <x:c r="E323" s="2" t="str">
        <x:v>Reviewer_A</x:v>
      </x:c>
      <x:c r="F323" s="2" t="str">
        <x:v>S27-R07</x:v>
      </x:c>
      <x:c r="G323" s="2" t="str">
        <x:v>S27-EV03</x:v>
      </x:c>
      <x:c r="H323" s="2" t="str">
        <x:v>S27-T01</x:v>
      </x:c>
      <x:c r="I323" s="2" t="str">
        <x:v>S27-MU06</x:v>
      </x:c>
      <x:c r="J323" s="2" t="str">
        <x:v>Five benchmark datasets</x:v>
      </x:c>
      <x:c r="K323" s="2" t="str">
        <x:v>Chaining + GPT-4o (CoT)</x:v>
      </x:c>
      <x:c r="L323" s="2" t="str">
        <x:v>Embeddings + GPT-4o (CoT)</x:v>
      </x:c>
      <x:c r="M323" s="2" t="str">
        <x:v>F2</x:v>
      </x:c>
      <x:c r="N323" s="6" t="str">
        <x:v>0.50</x:v>
      </x:c>
      <x:c r="O323" s="2" t="n">
        <x:v>0.5</x:v>
      </x:c>
      <x:c r="P323" s="2" t="str">
        <x:v>proportion</x:v>
      </x:c>
      <x:c r="Q323" s="6" t="str">
        <x:v>0.51</x:v>
      </x:c>
      <x:c r="R323" s="2" t="n">
        <x:v>0.51</x:v>
      </x:c>
      <x:c r="S323" s="2" t="str">
        <x:v>NR</x:v>
      </x:c>
      <x:c r="T323" s="2" t="str">
        <x:v>Comparable</x:v>
      </x:c>
      <x:c r="U323" s="2" t="str">
        <x:v>Not tested</x:v>
      </x:c>
      <x:c r="V323" s="2" t="str">
        <x:v>NR</x:v>
      </x:c>
      <x:c r="W323" s="2" t="str">
        <x:v>NR</x:v>
      </x:c>
      <x:c r="X323" s="2" t="str">
        <x:v>NR</x:v>
      </x:c>
      <x:c r="Y323" s="2" t="str">
        <x:v>NR</x:v>
      </x:c>
      <x:c r="Z323" s="2" t="str">
        <x:v>No</x:v>
      </x:c>
      <x:c r="AA323" s="6" t="str">
        <x:v>p. 6; Table V</x:v>
      </x:c>
      <x:c r="AB323" s="6" t="str">
        <x:v>+ GPT-4o (CoT)</x:v>
      </x:c>
      <x:c r="AC323" s="6" t="str">
        <x:v>LLM集成与嵌入检索方法的F2指标表现相当。</x:v>
      </x:c>
      <x:c r="AD323" s="2" t="str">
        <x:v>Accepted</x:v>
      </x:c>
      <x:c r="AE323" s="6" t="str">
        <x:v>Baseline values from embedding-based retrieval + GPT-4o (CoT).</x:v>
      </x:c>
    </x:row>
    <x:row r="324" ht="76" customHeight="1">
      <x:c r="A324" s="2" t="str">
        <x:v>S27-RESULT-R08</x:v>
      </x:c>
      <x:c r="B324" s="2" t="str">
        <x:v>S27</x:v>
      </x:c>
      <x:c r="C324" s="2" t="str">
        <x:v>merged_1213</x:v>
      </x:c>
      <x:c r="D324" s="2" t="str">
        <x:v>Reviewer_A</x:v>
      </x:c>
      <x:c r="E324" s="2" t="str">
        <x:v>Reviewer_A</x:v>
      </x:c>
      <x:c r="F324" s="2" t="str">
        <x:v>S27-R08</x:v>
      </x:c>
      <x:c r="G324" s="2" t="str">
        <x:v>S27-EV03</x:v>
      </x:c>
      <x:c r="H324" s="2" t="str">
        <x:v>S27-T01</x:v>
      </x:c>
      <x:c r="I324" s="2" t="str">
        <x:v>S27-MU06</x:v>
      </x:c>
      <x:c r="J324" s="2" t="str">
        <x:v>Five benchmark datasets</x:v>
      </x:c>
      <x:c r="K324" s="2" t="str">
        <x:v>Chaining + GPT-4o (CoT)</x:v>
      </x:c>
      <x:c r="L324" s="2" t="str">
        <x:v>VSM GO</x:v>
      </x:c>
      <x:c r="M324" s="2" t="str">
        <x:v>F2</x:v>
      </x:c>
      <x:c r="N324" s="6" t="str">
        <x:v>0.50</x:v>
      </x:c>
      <x:c r="O324" s="2" t="n">
        <x:v>0.5</x:v>
      </x:c>
      <x:c r="P324" s="2" t="str">
        <x:v>proportion</x:v>
      </x:c>
      <x:c r="Q324" s="6" t="str">
        <x:v>0.34</x:v>
      </x:c>
      <x:c r="R324" s="2" t="n">
        <x:v>0.34</x:v>
      </x:c>
      <x:c r="S324" s="2" t="str">
        <x:v>NR</x:v>
      </x:c>
      <x:c r="T324" s="2" t="str">
        <x:v>Better</x:v>
      </x:c>
      <x:c r="U324" s="2" t="str">
        <x:v>Not tested</x:v>
      </x:c>
      <x:c r="V324" s="2" t="str">
        <x:v>NR</x:v>
      </x:c>
      <x:c r="W324" s="2" t="str">
        <x:v>NR</x:v>
      </x:c>
      <x:c r="X324" s="2" t="str">
        <x:v>NR</x:v>
      </x:c>
      <x:c r="Y324" s="2" t="str">
        <x:v>NR</x:v>
      </x:c>
      <x:c r="Z324" s="2" t="str">
        <x:v>No</x:v>
      </x:c>
      <x:c r="AA324" s="6" t="str">
        <x:v>p. 6; Table V</x:v>
      </x:c>
      <x:c r="AB324" s="6" t="str">
        <x:v>+ GPT-4o (CoT)</x:v>
      </x:c>
      <x:c r="AC324" s="6" t="str">
        <x:v>集成方法明显优于VSM基线。</x:v>
      </x:c>
      <x:c r="AD324" s="2" t="str">
        <x:v>Accepted</x:v>
      </x:c>
      <x:c r="AE324" s="6" t="str">
        <x:v>NA</x:v>
      </x:c>
    </x:row>
    <x:row r="325" ht="76" customHeight="1">
      <x:c r="A325" s="2" t="str">
        <x:v>S27-RESULT-R09</x:v>
      </x:c>
      <x:c r="B325" s="2" t="str">
        <x:v>S27</x:v>
      </x:c>
      <x:c r="C325" s="2" t="str">
        <x:v>merged_1213</x:v>
      </x:c>
      <x:c r="D325" s="2" t="str">
        <x:v>Reviewer_A</x:v>
      </x:c>
      <x:c r="E325" s="2" t="str">
        <x:v>Reviewer_A</x:v>
      </x:c>
      <x:c r="F325" s="2" t="str">
        <x:v>S27-R09</x:v>
      </x:c>
      <x:c r="G325" s="2" t="str">
        <x:v>S27-EV03</x:v>
      </x:c>
      <x:c r="H325" s="2" t="str">
        <x:v>S27-T01</x:v>
      </x:c>
      <x:c r="I325" s="2" t="str">
        <x:v>S27-MU06</x:v>
      </x:c>
      <x:c r="J325" s="2" t="str">
        <x:v>Five benchmark datasets</x:v>
      </x:c>
      <x:c r="K325" s="2" t="str">
        <x:v>Chaining + GPT-4o (CoT)</x:v>
      </x:c>
      <x:c r="L325" s="2" t="str">
        <x:v>LSI GO</x:v>
      </x:c>
      <x:c r="M325" s="2" t="str">
        <x:v>F2</x:v>
      </x:c>
      <x:c r="N325" s="6" t="str">
        <x:v>0.50</x:v>
      </x:c>
      <x:c r="O325" s="2" t="n">
        <x:v>0.5</x:v>
      </x:c>
      <x:c r="P325" s="2" t="str">
        <x:v>proportion</x:v>
      </x:c>
      <x:c r="Q325" s="6" t="str">
        <x:v>0.33</x:v>
      </x:c>
      <x:c r="R325" s="2" t="n">
        <x:v>0.33</x:v>
      </x:c>
      <x:c r="S325" s="2" t="str">
        <x:v>NR</x:v>
      </x:c>
      <x:c r="T325" s="2" t="str">
        <x:v>Better</x:v>
      </x:c>
      <x:c r="U325" s="2" t="str">
        <x:v>Not tested</x:v>
      </x:c>
      <x:c r="V325" s="2" t="str">
        <x:v>NR</x:v>
      </x:c>
      <x:c r="W325" s="2" t="str">
        <x:v>NR</x:v>
      </x:c>
      <x:c r="X325" s="2" t="str">
        <x:v>NR</x:v>
      </x:c>
      <x:c r="Y325" s="2" t="str">
        <x:v>NR</x:v>
      </x:c>
      <x:c r="Z325" s="2" t="str">
        <x:v>No</x:v>
      </x:c>
      <x:c r="AA325" s="6" t="str">
        <x:v>p. 6; Table V</x:v>
      </x:c>
      <x:c r="AB325" s="6" t="str">
        <x:v>+ GPT-4o (CoT)</x:v>
      </x:c>
      <x:c r="AC325" s="6" t="str">
        <x:v>集成方法明显优于LSI基线。</x:v>
      </x:c>
      <x:c r="AD325" s="2" t="str">
        <x:v>Accepted</x:v>
      </x:c>
      <x:c r="AE325" s="6" t="str">
        <x:v>NA</x:v>
      </x:c>
    </x:row>
    <x:row r="326" ht="76" customHeight="1">
      <x:c r="A326" s="2" t="str">
        <x:v>S27-RESULT-R10</x:v>
      </x:c>
      <x:c r="B326" s="2" t="str">
        <x:v>S27</x:v>
      </x:c>
      <x:c r="C326" s="2" t="str">
        <x:v>merged_1213</x:v>
      </x:c>
      <x:c r="D326" s="2" t="str">
        <x:v>Reviewer_A</x:v>
      </x:c>
      <x:c r="E326" s="2" t="str">
        <x:v>Reviewer_A</x:v>
      </x:c>
      <x:c r="F326" s="2" t="str">
        <x:v>S27-R10</x:v>
      </x:c>
      <x:c r="G326" s="2" t="str">
        <x:v>S27-EV03</x:v>
      </x:c>
      <x:c r="H326" s="2" t="str">
        <x:v>S27-T01</x:v>
      </x:c>
      <x:c r="I326" s="2" t="str">
        <x:v>S27-MU06</x:v>
      </x:c>
      <x:c r="J326" s="2" t="str">
        <x:v>Five benchmark datasets</x:v>
      </x:c>
      <x:c r="K326" s="2" t="str">
        <x:v>Chaining + GPT-4o (CoT)</x:v>
      </x:c>
      <x:c r="L326" s="2" t="str">
        <x:v>Embeddings + GPT-4o (CoT)</x:v>
      </x:c>
      <x:c r="M326" s="2" t="str">
        <x:v>precision</x:v>
      </x:c>
      <x:c r="N326" s="6" t="str">
        <x:v>0.25</x:v>
      </x:c>
      <x:c r="O326" s="2" t="n">
        <x:v>0.25</x:v>
      </x:c>
      <x:c r="P326" s="2" t="str">
        <x:v>proportion</x:v>
      </x:c>
      <x:c r="Q326" s="6" t="str">
        <x:v>0.52</x:v>
      </x:c>
      <x:c r="R326" s="2" t="n">
        <x:v>0.52</x:v>
      </x:c>
      <x:c r="S326" s="2" t="str">
        <x:v>NR</x:v>
      </x:c>
      <x:c r="T326" s="2" t="str">
        <x:v>Worse</x:v>
      </x:c>
      <x:c r="U326" s="2" t="str">
        <x:v>Not tested</x:v>
      </x:c>
      <x:c r="V326" s="2" t="str">
        <x:v>NR</x:v>
      </x:c>
      <x:c r="W326" s="2" t="str">
        <x:v>NR</x:v>
      </x:c>
      <x:c r="X326" s="2" t="str">
        <x:v>NR</x:v>
      </x:c>
      <x:c r="Y326" s="2" t="str">
        <x:v>NR</x:v>
      </x:c>
      <x:c r="Z326" s="2" t="str">
        <x:v>Yes</x:v>
      </x:c>
      <x:c r="AA326" s="6" t="str">
        <x:v>p. 1; Abstract</x:v>
      </x:c>
      <x:c r="AB326" s="6" t="str">
        <x:v>our LLM-based ensemble approach achieves comparable F2-scores to IR methods, it lags in precision</x:v>
      </x:c>
      <x:c r="AC326" s="6" t="str">
        <x:v>集成方法精度低于嵌入检索方法，为负向发现。</x:v>
      </x:c>
      <x:c r="AD326" s="2" t="str">
        <x:v>Accepted</x:v>
      </x:c>
      <x:c r="AE326" s="6" t="str">
        <x:v>Precision values from Table V average: Chaining+GPT-4o(CoT) 0.25 vs Embeddings+GPT-4o(CoT) 0.52.</x:v>
      </x:c>
    </x:row>
    <x:row r="327" ht="76" customHeight="1">
      <x:c r="A327" s="2" t="str">
        <x:v>S27-RESULT-R11</x:v>
      </x:c>
      <x:c r="B327" s="2" t="str">
        <x:v>S27</x:v>
      </x:c>
      <x:c r="C327" s="2" t="str">
        <x:v>merged_1213</x:v>
      </x:c>
      <x:c r="D327" s="2" t="str">
        <x:v>Reviewer_A</x:v>
      </x:c>
      <x:c r="E327" s="2" t="str">
        <x:v>Reviewer_A</x:v>
      </x:c>
      <x:c r="F327" s="2" t="str">
        <x:v>S27-R11</x:v>
      </x:c>
      <x:c r="G327" s="2" t="str">
        <x:v>S27-EV03</x:v>
      </x:c>
      <x:c r="H327" s="2" t="str">
        <x:v>S27-T01</x:v>
      </x:c>
      <x:c r="I327" s="2" t="str">
        <x:v>NA</x:v>
      </x:c>
      <x:c r="J327" s="2" t="str">
        <x:v>Five benchmark datasets</x:v>
      </x:c>
      <x:c r="K327" s="2" t="str">
        <x:v>LLM ensemble</x:v>
      </x:c>
      <x:c r="L327" s="2" t="str">
        <x:v>NA</x:v>
      </x:c>
      <x:c r="M327" s="2" t="str">
        <x:v>cost</x:v>
      </x:c>
      <x:c r="N327" s="6" t="str">
        <x:v>computationally more demanding and, thus, more expensive</x:v>
      </x:c>
      <x:c r="O327" s="2" t="str">
        <x:v>NA</x:v>
      </x:c>
      <x:c r="P327" s="2" t="str">
        <x:v>NA</x:v>
      </x:c>
      <x:c r="Q327" s="6" t="str">
        <x:v>NR</x:v>
      </x:c>
      <x:c r="R327" s="2" t="str">
        <x:v>NA</x:v>
      </x:c>
      <x:c r="S327" s="2" t="str">
        <x:v>NR</x:v>
      </x:c>
      <x:c r="T327" s="2" t="str">
        <x:v>Worse</x:v>
      </x:c>
      <x:c r="U327" s="2" t="str">
        <x:v>Not tested</x:v>
      </x:c>
      <x:c r="V327" s="2" t="str">
        <x:v>NR</x:v>
      </x:c>
      <x:c r="W327" s="2" t="str">
        <x:v>more expensive</x:v>
      </x:c>
      <x:c r="X327" s="2" t="str">
        <x:v>NR</x:v>
      </x:c>
      <x:c r="Y327" s="2" t="str">
        <x:v>NR</x:v>
      </x:c>
      <x:c r="Z327" s="2" t="str">
        <x:v>Yes</x:v>
      </x:c>
      <x:c r="AA327" s="6" t="str">
        <x:v>p. 7; Discussion</x:v>
      </x:c>
      <x:c r="AB327" s="6" t="str">
        <x:v>The ensemble approach is computationally more demanding and, thus, more expensive.</x:v>
      </x:c>
      <x:c r="AC327" s="6" t="str">
        <x:v>LLM集成方法计算开销更大，成本更高。</x:v>
      </x:c>
      <x:c r="AD327" s="2" t="str">
        <x:v>Accepted</x:v>
      </x:c>
      <x:c r="AE327" s="6" t="str">
        <x:v>Qualitative cost assessment without specific numbers.</x:v>
      </x:c>
    </x:row>
    <x:row r="328" ht="76" customHeight="1">
      <x:c r="A328" s="2" t="str">
        <x:v>S28-RESULT-R01</x:v>
      </x:c>
      <x:c r="B328" s="2" t="str">
        <x:v>S28</x:v>
      </x:c>
      <x:c r="C328" s="2" t="str">
        <x:v>merged_1214</x:v>
      </x:c>
      <x:c r="D328" s="2" t="str">
        <x:v>Reviewer_A</x:v>
      </x:c>
      <x:c r="E328" s="2" t="str">
        <x:v>Reviewer_A</x:v>
      </x:c>
      <x:c r="F328" s="2" t="str">
        <x:v>S28-R01</x:v>
      </x:c>
      <x:c r="G328" s="2" t="str">
        <x:v>S28-EV01</x:v>
      </x:c>
      <x:c r="H328" s="2" t="str">
        <x:v>S28-T01</x:v>
      </x:c>
      <x:c r="I328" s="2" t="str">
        <x:v>NA</x:v>
      </x:c>
      <x:c r="J328" s="2" t="str">
        <x:v>iTrust</x:v>
      </x:c>
      <x:c r="K328" s="2" t="str">
        <x:v>RARTG-C1</x:v>
      </x:c>
      <x:c r="L328" s="2" t="str">
        <x:v>Baseline (Hey et al., 2021)</x:v>
      </x:c>
      <x:c r="M328" s="2" t="str">
        <x:v>F1-score</x:v>
      </x:c>
      <x:c r="N328" s="6" t="str">
        <x:v>0.290</x:v>
      </x:c>
      <x:c r="O328" s="2" t="n">
        <x:v>0.29</x:v>
      </x:c>
      <x:c r="P328" s="2" t="str">
        <x:v>proportion</x:v>
      </x:c>
      <x:c r="Q328" s="6" t="str">
        <x:v>0.235</x:v>
      </x:c>
      <x:c r="R328" s="2" t="n">
        <x:v>0.235</x:v>
      </x:c>
      <x:c r="S328" s="2" t="str">
        <x:v>NR</x:v>
      </x:c>
      <x:c r="T328" s="2" t="str">
        <x:v>Better</x:v>
      </x:c>
      <x:c r="U328" s="2" t="str">
        <x:v>Not tested</x:v>
      </x:c>
      <x:c r="V328" s="2" t="str">
        <x:v>NR</x:v>
      </x:c>
      <x:c r="W328" s="2" t="str">
        <x:v>NR</x:v>
      </x:c>
      <x:c r="X328" s="2" t="str">
        <x:v>NR</x:v>
      </x:c>
      <x:c r="Y328" s="2" t="str">
        <x:v>NR</x:v>
      </x:c>
      <x:c r="Z328" s="2" t="str">
        <x:v>No</x:v>
      </x:c>
      <x:c r="AA328" s="6" t="str">
        <x:v>p. 13; Table 2</x:v>
      </x:c>
      <x:c r="AB328" s="6" t="str">
        <x:v>Baseline 0.176 0.353 0.235 0.294 0.220 0.252 0.443 0.297 0.356 0.411 0.623 0.495 RARTG-C2 0.284 0.286 0.285 0.737 0.178 0.287 0.526 0.118 0.192 0.488 0.239 0.321</x:v>
      </x:c>
      <x:c r="AC328" s="6" t="str">
        <x:v>在iTrust数据集上，RARTG-C1的F1值高于基线。</x:v>
      </x:c>
      <x:c r="AD328" s="2" t="str">
        <x:v>Accepted</x:v>
      </x:c>
      <x:c r="AE328" s="6" t="str">
        <x:v>NA</x:v>
      </x:c>
    </x:row>
    <x:row r="329" ht="76" customHeight="1">
      <x:c r="A329" s="2" t="str">
        <x:v>S28-RESULT-R02</x:v>
      </x:c>
      <x:c r="B329" s="2" t="str">
        <x:v>S28</x:v>
      </x:c>
      <x:c r="C329" s="2" t="str">
        <x:v>merged_1214</x:v>
      </x:c>
      <x:c r="D329" s="2" t="str">
        <x:v>Reviewer_A</x:v>
      </x:c>
      <x:c r="E329" s="2" t="str">
        <x:v>Reviewer_A</x:v>
      </x:c>
      <x:c r="F329" s="2" t="str">
        <x:v>S28-R02</x:v>
      </x:c>
      <x:c r="G329" s="2" t="str">
        <x:v>S28-EV01</x:v>
      </x:c>
      <x:c r="H329" s="2" t="str">
        <x:v>S28-T01</x:v>
      </x:c>
      <x:c r="I329" s="2" t="str">
        <x:v>NA</x:v>
      </x:c>
      <x:c r="J329" s="2" t="str">
        <x:v>eANCI</x:v>
      </x:c>
      <x:c r="K329" s="2" t="str">
        <x:v>RARTG-C1</x:v>
      </x:c>
      <x:c r="L329" s="2" t="str">
        <x:v>Baseline (Hey et al., 2021)</x:v>
      </x:c>
      <x:c r="M329" s="2" t="str">
        <x:v>F1-score</x:v>
      </x:c>
      <x:c r="N329" s="6" t="str">
        <x:v>0.317</x:v>
      </x:c>
      <x:c r="O329" s="2" t="n">
        <x:v>0.317</x:v>
      </x:c>
      <x:c r="P329" s="2" t="str">
        <x:v>proportion</x:v>
      </x:c>
      <x:c r="Q329" s="6" t="str">
        <x:v>0.252</x:v>
      </x:c>
      <x:c r="R329" s="2" t="n">
        <x:v>0.252</x:v>
      </x:c>
      <x:c r="S329" s="2" t="str">
        <x:v>NR</x:v>
      </x:c>
      <x:c r="T329" s="2" t="str">
        <x:v>Better</x:v>
      </x:c>
      <x:c r="U329" s="2" t="str">
        <x:v>Not tested</x:v>
      </x:c>
      <x:c r="V329" s="2" t="str">
        <x:v>NR</x:v>
      </x:c>
      <x:c r="W329" s="2" t="str">
        <x:v>NR</x:v>
      </x:c>
      <x:c r="X329" s="2" t="str">
        <x:v>NR</x:v>
      </x:c>
      <x:c r="Y329" s="2" t="str">
        <x:v>NR</x:v>
      </x:c>
      <x:c r="Z329" s="2" t="str">
        <x:v>No</x:v>
      </x:c>
      <x:c r="AA329" s="6" t="str">
        <x:v>p. 13; Table 2</x:v>
      </x:c>
      <x:c r="AB329" s="6" t="str">
        <x:v>Baseline 0.176 0.353 0.235 0.294 0.220 0.252 0.443 0.297 0.356 0.411 0.623 0.495 RARTG-C2 0.284 0.286 0.285 0.737 0.178 0.287 0.526 0.118 0.192 0.488 0.239 0.321</x:v>
      </x:c>
      <x:c r="AC329" s="6" t="str">
        <x:v>在eANCI数据集上，RARTG-C1的F1值优于基线。</x:v>
      </x:c>
      <x:c r="AD329" s="2" t="str">
        <x:v>Accepted</x:v>
      </x:c>
      <x:c r="AE329" s="6" t="str">
        <x:v>NA</x:v>
      </x:c>
    </x:row>
    <x:row r="330" ht="76" customHeight="1">
      <x:c r="A330" s="2" t="str">
        <x:v>S28-RESULT-R03</x:v>
      </x:c>
      <x:c r="B330" s="2" t="str">
        <x:v>S28</x:v>
      </x:c>
      <x:c r="C330" s="2" t="str">
        <x:v>merged_1214</x:v>
      </x:c>
      <x:c r="D330" s="2" t="str">
        <x:v>Reviewer_A</x:v>
      </x:c>
      <x:c r="E330" s="2" t="str">
        <x:v>Reviewer_A</x:v>
      </x:c>
      <x:c r="F330" s="2" t="str">
        <x:v>S28-R03</x:v>
      </x:c>
      <x:c r="G330" s="2" t="str">
        <x:v>S28-EV01</x:v>
      </x:c>
      <x:c r="H330" s="2" t="str">
        <x:v>S28-T01</x:v>
      </x:c>
      <x:c r="I330" s="2" t="str">
        <x:v>NA</x:v>
      </x:c>
      <x:c r="J330" s="2" t="str">
        <x:v>SMOS</x:v>
      </x:c>
      <x:c r="K330" s="2" t="str">
        <x:v>RARTG-C1</x:v>
      </x:c>
      <x:c r="L330" s="2" t="str">
        <x:v>Baseline (Hey et al., 2021)</x:v>
      </x:c>
      <x:c r="M330" s="2" t="str">
        <x:v>F1-score</x:v>
      </x:c>
      <x:c r="N330" s="6" t="str">
        <x:v>0.209</x:v>
      </x:c>
      <x:c r="O330" s="2" t="n">
        <x:v>0.209</x:v>
      </x:c>
      <x:c r="P330" s="2" t="str">
        <x:v>proportion</x:v>
      </x:c>
      <x:c r="Q330" s="6" t="str">
        <x:v>0.356</x:v>
      </x:c>
      <x:c r="R330" s="2" t="n">
        <x:v>0.356</x:v>
      </x:c>
      <x:c r="S330" s="2" t="str">
        <x:v>NR</x:v>
      </x:c>
      <x:c r="T330" s="2" t="str">
        <x:v>Worse</x:v>
      </x:c>
      <x:c r="U330" s="2" t="str">
        <x:v>Not tested</x:v>
      </x:c>
      <x:c r="V330" s="2" t="str">
        <x:v>NR</x:v>
      </x:c>
      <x:c r="W330" s="2" t="str">
        <x:v>NR</x:v>
      </x:c>
      <x:c r="X330" s="2" t="str">
        <x:v>NR</x:v>
      </x:c>
      <x:c r="Y330" s="2" t="str">
        <x:v>NR</x:v>
      </x:c>
      <x:c r="Z330" s="2" t="str">
        <x:v>Yes</x:v>
      </x:c>
      <x:c r="AA330" s="6" t="str">
        <x:v>p. 13; Table 2</x:v>
      </x:c>
      <x:c r="AB330" s="6" t="str">
        <x:v>Baseline 0.176 0.353 0.235 0.294 0.220 0.252 0.443 0.297 0.356 0.411 0.623 0.495 RARTG-C2 0.284 0.286 0.285 0.737 0.178 0.287 0.526 0.118 0.192 0.488 0.239 0.321</x:v>
      </x:c>
      <x:c r="AC330" s="6" t="str">
        <x:v>在SMOS数据集上，RARTG-C1的F1值低于基线，表现为负面结果。</x:v>
      </x:c>
      <x:c r="AD330" s="2" t="str">
        <x:v>Accepted</x:v>
      </x:c>
      <x:c r="AE330" s="6" t="str">
        <x:v>NA</x:v>
      </x:c>
    </x:row>
    <x:row r="331" ht="76" customHeight="1">
      <x:c r="A331" s="2" t="str">
        <x:v>S28-RESULT-R04</x:v>
      </x:c>
      <x:c r="B331" s="2" t="str">
        <x:v>S28</x:v>
      </x:c>
      <x:c r="C331" s="2" t="str">
        <x:v>merged_1214</x:v>
      </x:c>
      <x:c r="D331" s="2" t="str">
        <x:v>Reviewer_A</x:v>
      </x:c>
      <x:c r="E331" s="2" t="str">
        <x:v>Reviewer_A</x:v>
      </x:c>
      <x:c r="F331" s="2" t="str">
        <x:v>S28-R04</x:v>
      </x:c>
      <x:c r="G331" s="2" t="str">
        <x:v>S28-EV01</x:v>
      </x:c>
      <x:c r="H331" s="2" t="str">
        <x:v>S28-T01</x:v>
      </x:c>
      <x:c r="I331" s="2" t="str">
        <x:v>NA</x:v>
      </x:c>
      <x:c r="J331" s="2" t="str">
        <x:v>eTour</x:v>
      </x:c>
      <x:c r="K331" s="2" t="str">
        <x:v>RARTG-C1</x:v>
      </x:c>
      <x:c r="L331" s="2" t="str">
        <x:v>Baseline (Hey et al., 2021)</x:v>
      </x:c>
      <x:c r="M331" s="2" t="str">
        <x:v>F1-score</x:v>
      </x:c>
      <x:c r="N331" s="6" t="str">
        <x:v>0.334</x:v>
      </x:c>
      <x:c r="O331" s="2" t="n">
        <x:v>0.334</x:v>
      </x:c>
      <x:c r="P331" s="2" t="str">
        <x:v>proportion</x:v>
      </x:c>
      <x:c r="Q331" s="6" t="str">
        <x:v>0.495</x:v>
      </x:c>
      <x:c r="R331" s="2" t="n">
        <x:v>0.495</x:v>
      </x:c>
      <x:c r="S331" s="2" t="str">
        <x:v>NR</x:v>
      </x:c>
      <x:c r="T331" s="2" t="str">
        <x:v>Worse</x:v>
      </x:c>
      <x:c r="U331" s="2" t="str">
        <x:v>Not tested</x:v>
      </x:c>
      <x:c r="V331" s="2" t="str">
        <x:v>NR</x:v>
      </x:c>
      <x:c r="W331" s="2" t="str">
        <x:v>NR</x:v>
      </x:c>
      <x:c r="X331" s="2" t="str">
        <x:v>NR</x:v>
      </x:c>
      <x:c r="Y331" s="2" t="str">
        <x:v>NR</x:v>
      </x:c>
      <x:c r="Z331" s="2" t="str">
        <x:v>Yes</x:v>
      </x:c>
      <x:c r="AA331" s="6" t="str">
        <x:v>p. 13; Table 2</x:v>
      </x:c>
      <x:c r="AB331" s="6" t="str">
        <x:v>Baseline 0.176 0.353 0.235 0.294 0.220 0.252 0.443 0.297 0.356 0.411 0.623 0.495 RARTG-C2 0.284 0.286 0.285 0.737 0.178 0.287 0.526 0.118 0.192 0.488 0.239 0.321</x:v>
      </x:c>
      <x:c r="AC331" s="6" t="str">
        <x:v>在eTour数据集上，RARTG-C1的F1值低于基线，表现为负面结果。</x:v>
      </x:c>
      <x:c r="AD331" s="2" t="str">
        <x:v>Accepted</x:v>
      </x:c>
      <x:c r="AE331" s="6" t="str">
        <x:v>NA</x:v>
      </x:c>
    </x:row>
    <x:row r="332" ht="76" customHeight="1">
      <x:c r="A332" s="2" t="str">
        <x:v>S28-RESULT-R05</x:v>
      </x:c>
      <x:c r="B332" s="2" t="str">
        <x:v>S28</x:v>
      </x:c>
      <x:c r="C332" s="2" t="str">
        <x:v>merged_1214</x:v>
      </x:c>
      <x:c r="D332" s="2" t="str">
        <x:v>Reviewer_A</x:v>
      </x:c>
      <x:c r="E332" s="2" t="str">
        <x:v>Reviewer_A</x:v>
      </x:c>
      <x:c r="F332" s="2" t="str">
        <x:v>S28-R05</x:v>
      </x:c>
      <x:c r="G332" s="2" t="str">
        <x:v>S28-EV01</x:v>
      </x:c>
      <x:c r="H332" s="2" t="str">
        <x:v>S28-T01</x:v>
      </x:c>
      <x:c r="I332" s="2" t="str">
        <x:v>NA</x:v>
      </x:c>
      <x:c r="J332" s="2" t="str">
        <x:v>iTrust</x:v>
      </x:c>
      <x:c r="K332" s="2" t="str">
        <x:v>Use Generated Summaries (GS)</x:v>
      </x:c>
      <x:c r="L332" s="2" t="str">
        <x:v>No GS</x:v>
      </x:c>
      <x:c r="M332" s="2" t="str">
        <x:v>T-statistic for F1-score change</x:v>
      </x:c>
      <x:c r="N332" s="6" t="str">
        <x:v>TS = 2.60, P = 0.02</x:v>
      </x:c>
      <x:c r="O332" s="2" t="n">
        <x:v>2.6</x:v>
      </x:c>
      <x:c r="P332" s="2" t="str">
        <x:v>NA</x:v>
      </x:c>
      <x:c r="Q332" s="6" t="str">
        <x:v>NR</x:v>
      </x:c>
      <x:c r="R332" s="2" t="str">
        <x:v>Unclear</x:v>
      </x:c>
      <x:c r="S332" s="2" t="str">
        <x:v>NR</x:v>
      </x:c>
      <x:c r="T332" s="2" t="str">
        <x:v>Better</x:v>
      </x:c>
      <x:c r="U332" s="2" t="str">
        <x:v>Significant</x:v>
      </x:c>
      <x:c r="V332" s="2" t="str">
        <x:v>NR</x:v>
      </x:c>
      <x:c r="W332" s="2" t="str">
        <x:v>NR</x:v>
      </x:c>
      <x:c r="X332" s="2" t="str">
        <x:v>NR</x:v>
      </x:c>
      <x:c r="Y332" s="2" t="str">
        <x:v>NR</x:v>
      </x:c>
      <x:c r="Z332" s="2" t="str">
        <x:v>No</x:v>
      </x:c>
      <x:c r="AA332" s="6" t="str">
        <x:v>p. 14; Table 3</x:v>
      </x:c>
      <x:c r="AB332" s="6" t="str">
        <x:v>GS 2.60 0.02 SP</x:v>
      </x:c>
      <x:c r="AC332" s="6" t="str">
        <x:v>在iTrust上，添加LLM生成的摘要对F1有显著正面影响。</x:v>
      </x:c>
      <x:c r="AD332" s="2" t="str">
        <x:v>Accepted</x:v>
      </x:c>
      <x:c r="AE332" s="6" t="str">
        <x:v>NA</x:v>
      </x:c>
    </x:row>
    <x:row r="333" ht="76" customHeight="1">
      <x:c r="A333" s="2" t="str">
        <x:v>S28-RESULT-R06</x:v>
      </x:c>
      <x:c r="B333" s="2" t="str">
        <x:v>S28</x:v>
      </x:c>
      <x:c r="C333" s="2" t="str">
        <x:v>merged_1214</x:v>
      </x:c>
      <x:c r="D333" s="2" t="str">
        <x:v>Reviewer_A</x:v>
      </x:c>
      <x:c r="E333" s="2" t="str">
        <x:v>Reviewer_A</x:v>
      </x:c>
      <x:c r="F333" s="2" t="str">
        <x:v>S28-R06</x:v>
      </x:c>
      <x:c r="G333" s="2" t="str">
        <x:v>S28-EV01</x:v>
      </x:c>
      <x:c r="H333" s="2" t="str">
        <x:v>S28-T01</x:v>
      </x:c>
      <x:c r="I333" s="2" t="str">
        <x:v>NA</x:v>
      </x:c>
      <x:c r="J333" s="2" t="str">
        <x:v>eANCI</x:v>
      </x:c>
      <x:c r="K333" s="2" t="str">
        <x:v>Use Generated Summaries (GS)</x:v>
      </x:c>
      <x:c r="L333" s="2" t="str">
        <x:v>No GS</x:v>
      </x:c>
      <x:c r="M333" s="2" t="str">
        <x:v>T-statistic for F1-score change</x:v>
      </x:c>
      <x:c r="N333" s="6" t="str">
        <x:v>TS = 5.48, P &lt; 0.05</x:v>
      </x:c>
      <x:c r="O333" s="2" t="n">
        <x:v>5.48</x:v>
      </x:c>
      <x:c r="P333" s="2" t="str">
        <x:v>NA</x:v>
      </x:c>
      <x:c r="Q333" s="6" t="str">
        <x:v>NR</x:v>
      </x:c>
      <x:c r="R333" s="2" t="str">
        <x:v>Unclear</x:v>
      </x:c>
      <x:c r="S333" s="2" t="str">
        <x:v>NR</x:v>
      </x:c>
      <x:c r="T333" s="2" t="str">
        <x:v>Better</x:v>
      </x:c>
      <x:c r="U333" s="2" t="str">
        <x:v>Significant</x:v>
      </x:c>
      <x:c r="V333" s="2" t="str">
        <x:v>NR</x:v>
      </x:c>
      <x:c r="W333" s="2" t="str">
        <x:v>NR</x:v>
      </x:c>
      <x:c r="X333" s="2" t="str">
        <x:v>NR</x:v>
      </x:c>
      <x:c r="Y333" s="2" t="str">
        <x:v>NR</x:v>
      </x:c>
      <x:c r="Z333" s="2" t="str">
        <x:v>No</x:v>
      </x:c>
      <x:c r="AA333" s="6" t="str">
        <x:v>p. 14; Table 3</x:v>
      </x:c>
      <x:c r="AB333" s="6" t="str">
        <x:v>GS 2.60 0.02 SP 5.48 &lt;0.05 SP 0.40 0.70 - 1.60 0.13 -</x:v>
      </x:c>
      <x:c r="AC333" s="6" t="str">
        <x:v>在eANCI上，添加LLM生成的摘要对F1有显著正面影响。</x:v>
      </x:c>
      <x:c r="AD333" s="2" t="str">
        <x:v>Accepted</x:v>
      </x:c>
      <x:c r="AE333" s="6" t="str">
        <x:v>NA</x:v>
      </x:c>
    </x:row>
    <x:row r="334" ht="76" customHeight="1">
      <x:c r="A334" s="2" t="str">
        <x:v>S28-RESULT-R07</x:v>
      </x:c>
      <x:c r="B334" s="2" t="str">
        <x:v>S28</x:v>
      </x:c>
      <x:c r="C334" s="2" t="str">
        <x:v>merged_1214</x:v>
      </x:c>
      <x:c r="D334" s="2" t="str">
        <x:v>Reviewer_A</x:v>
      </x:c>
      <x:c r="E334" s="2" t="str">
        <x:v>Reviewer_A</x:v>
      </x:c>
      <x:c r="F334" s="2" t="str">
        <x:v>S28-R07</x:v>
      </x:c>
      <x:c r="G334" s="2" t="str">
        <x:v>S28-EV01</x:v>
      </x:c>
      <x:c r="H334" s="2" t="str">
        <x:v>S28-T01</x:v>
      </x:c>
      <x:c r="I334" s="2" t="str">
        <x:v>NA</x:v>
      </x:c>
      <x:c r="J334" s="2" t="str">
        <x:v>iTrust</x:v>
      </x:c>
      <x:c r="K334" s="2" t="str">
        <x:v>Use Query Expansion (QE)</x:v>
      </x:c>
      <x:c r="L334" s="2" t="str">
        <x:v>No QE</x:v>
      </x:c>
      <x:c r="M334" s="2" t="str">
        <x:v>T-statistic for F1-score change</x:v>
      </x:c>
      <x:c r="N334" s="6" t="str">
        <x:v>TS = -4.77, P &lt; 0.05</x:v>
      </x:c>
      <x:c r="O334" s="2" t="n">
        <x:v>-4.77</x:v>
      </x:c>
      <x:c r="P334" s="2" t="str">
        <x:v>NA</x:v>
      </x:c>
      <x:c r="Q334" s="6" t="str">
        <x:v>NR</x:v>
      </x:c>
      <x:c r="R334" s="2" t="str">
        <x:v>Unclear</x:v>
      </x:c>
      <x:c r="S334" s="2" t="str">
        <x:v>NR</x:v>
      </x:c>
      <x:c r="T334" s="2" t="str">
        <x:v>Worse</x:v>
      </x:c>
      <x:c r="U334" s="2" t="str">
        <x:v>Significant</x:v>
      </x:c>
      <x:c r="V334" s="2" t="str">
        <x:v>NR</x:v>
      </x:c>
      <x:c r="W334" s="2" t="str">
        <x:v>NR</x:v>
      </x:c>
      <x:c r="X334" s="2" t="str">
        <x:v>NR</x:v>
      </x:c>
      <x:c r="Y334" s="2" t="str">
        <x:v>NR</x:v>
      </x:c>
      <x:c r="Z334" s="2" t="str">
        <x:v>Yes</x:v>
      </x:c>
      <x:c r="AA334" s="6" t="str">
        <x:v>p. 14; Table 3</x:v>
      </x:c>
      <x:c r="AB334" s="6" t="str">
        <x:v>QE -4.77 &lt;0.05 SN</x:v>
      </x:c>
      <x:c r="AC334" s="6" t="str">
        <x:v>在iTrust上，查询扩展对F1有显著负面影响。</x:v>
      </x:c>
      <x:c r="AD334" s="2" t="str">
        <x:v>Accepted</x:v>
      </x:c>
      <x:c r="AE334" s="6" t="str">
        <x:v>NA</x:v>
      </x:c>
    </x:row>
    <x:row r="335" ht="76" customHeight="1">
      <x:c r="A335" s="2" t="str">
        <x:v>S28-RESULT-R08</x:v>
      </x:c>
      <x:c r="B335" s="2" t="str">
        <x:v>S28</x:v>
      </x:c>
      <x:c r="C335" s="2" t="str">
        <x:v>merged_1214</x:v>
      </x:c>
      <x:c r="D335" s="2" t="str">
        <x:v>Reviewer_A</x:v>
      </x:c>
      <x:c r="E335" s="2" t="str">
        <x:v>Reviewer_A</x:v>
      </x:c>
      <x:c r="F335" s="2" t="str">
        <x:v>S28-R08</x:v>
      </x:c>
      <x:c r="G335" s="2" t="str">
        <x:v>S28-EV01</x:v>
      </x:c>
      <x:c r="H335" s="2" t="str">
        <x:v>S28-T01</x:v>
      </x:c>
      <x:c r="I335" s="2" t="str">
        <x:v>NA</x:v>
      </x:c>
      <x:c r="J335" s="2" t="str">
        <x:v>eTour</x:v>
      </x:c>
      <x:c r="K335" s="2" t="str">
        <x:v>Use Query Expansion (QE)</x:v>
      </x:c>
      <x:c r="L335" s="2" t="str">
        <x:v>No QE</x:v>
      </x:c>
      <x:c r="M335" s="2" t="str">
        <x:v>T-statistic for F1-score change</x:v>
      </x:c>
      <x:c r="N335" s="6" t="str">
        <x:v>TS = -3.14, P = 0.01</x:v>
      </x:c>
      <x:c r="O335" s="2" t="n">
        <x:v>-3.14</x:v>
      </x:c>
      <x:c r="P335" s="2" t="str">
        <x:v>NA</x:v>
      </x:c>
      <x:c r="Q335" s="6" t="str">
        <x:v>NR</x:v>
      </x:c>
      <x:c r="R335" s="2" t="str">
        <x:v>Unclear</x:v>
      </x:c>
      <x:c r="S335" s="2" t="str">
        <x:v>NR</x:v>
      </x:c>
      <x:c r="T335" s="2" t="str">
        <x:v>Worse</x:v>
      </x:c>
      <x:c r="U335" s="2" t="str">
        <x:v>Significant</x:v>
      </x:c>
      <x:c r="V335" s="2" t="str">
        <x:v>NR</x:v>
      </x:c>
      <x:c r="W335" s="2" t="str">
        <x:v>NR</x:v>
      </x:c>
      <x:c r="X335" s="2" t="str">
        <x:v>NR</x:v>
      </x:c>
      <x:c r="Y335" s="2" t="str">
        <x:v>NR</x:v>
      </x:c>
      <x:c r="Z335" s="2" t="str">
        <x:v>Yes</x:v>
      </x:c>
      <x:c r="AA335" s="6" t="str">
        <x:v>p. 14; Table 3</x:v>
      </x:c>
      <x:c r="AB335" s="6" t="str">
        <x:v>QE -4.77 &lt;0.05 SN 1.72 0.10 - 0.29 0.77 - -3.14 0.01 SN</x:v>
      </x:c>
      <x:c r="AC335" s="6" t="str">
        <x:v>在eTour上，查询扩展对F1有显著负面影响。</x:v>
      </x:c>
      <x:c r="AD335" s="2" t="str">
        <x:v>Accepted</x:v>
      </x:c>
      <x:c r="AE335" s="6" t="str">
        <x:v>NA</x:v>
      </x:c>
    </x:row>
    <x:row r="336" ht="76" customHeight="1">
      <x:c r="A336" s="2" t="str">
        <x:v>S28-RESULT-R09</x:v>
      </x:c>
      <x:c r="B336" s="2" t="str">
        <x:v>S28</x:v>
      </x:c>
      <x:c r="C336" s="2" t="str">
        <x:v>merged_1214</x:v>
      </x:c>
      <x:c r="D336" s="2" t="str">
        <x:v>Reviewer_A</x:v>
      </x:c>
      <x:c r="E336" s="2" t="str">
        <x:v>Reviewer_A</x:v>
      </x:c>
      <x:c r="F336" s="2" t="str">
        <x:v>S28-R09</x:v>
      </x:c>
      <x:c r="G336" s="2" t="str">
        <x:v>S28-EV01</x:v>
      </x:c>
      <x:c r="H336" s="2" t="str">
        <x:v>S28-T01</x:v>
      </x:c>
      <x:c r="I336" s="2" t="str">
        <x:v>NA</x:v>
      </x:c>
      <x:c r="J336" s="2" t="str">
        <x:v>iTrust</x:v>
      </x:c>
      <x:c r="K336" s="2" t="str">
        <x:v>RARTG-C1</x:v>
      </x:c>
      <x:c r="L336" s="2" t="str">
        <x:v>Baseline (Hey et al., 2021)</x:v>
      </x:c>
      <x:c r="M336" s="2" t="str">
        <x:v>Precision</x:v>
      </x:c>
      <x:c r="N336" s="6" t="str">
        <x:v>0.289</x:v>
      </x:c>
      <x:c r="O336" s="2" t="n">
        <x:v>0.289</x:v>
      </x:c>
      <x:c r="P336" s="2" t="str">
        <x:v>proportion</x:v>
      </x:c>
      <x:c r="Q336" s="6" t="str">
        <x:v>0.176</x:v>
      </x:c>
      <x:c r="R336" s="2" t="n">
        <x:v>0.176</x:v>
      </x:c>
      <x:c r="S336" s="2" t="str">
        <x:v>NR</x:v>
      </x:c>
      <x:c r="T336" s="2" t="str">
        <x:v>Better</x:v>
      </x:c>
      <x:c r="U336" s="2" t="str">
        <x:v>Not tested</x:v>
      </x:c>
      <x:c r="V336" s="2" t="str">
        <x:v>NR</x:v>
      </x:c>
      <x:c r="W336" s="2" t="str">
        <x:v>NR</x:v>
      </x:c>
      <x:c r="X336" s="2" t="str">
        <x:v>NR</x:v>
      </x:c>
      <x:c r="Y336" s="2" t="str">
        <x:v>NR</x:v>
      </x:c>
      <x:c r="Z336" s="2" t="str">
        <x:v>No</x:v>
      </x:c>
      <x:c r="AA336" s="6" t="str">
        <x:v>p. 13; Table 2</x:v>
      </x:c>
      <x:c r="AB336" s="6" t="str">
        <x:v>Baseline 0.176 0.353 0.235 0.294 0.220 0.252 0.443 0.297 0.356 0.411 0.623 0.495 RARTG-C2 0.284 0.286 0.285 0.737 0.178 0.287 0.526 0.118 0.192 0.488 0.239 0.321</x:v>
      </x:c>
      <x:c r="AC336" s="6" t="str">
        <x:v>在iTrust上，RARTG-C1的精度显著高于基线。</x:v>
      </x:c>
      <x:c r="AD336" s="2" t="str">
        <x:v>Accepted</x:v>
      </x:c>
      <x:c r="AE336" s="6" t="str">
        <x:v>NA</x:v>
      </x:c>
    </x:row>
    <x:row r="337" ht="76" customHeight="1">
      <x:c r="A337" s="2" t="str">
        <x:v>S28-RESULT-R10</x:v>
      </x:c>
      <x:c r="B337" s="2" t="str">
        <x:v>S28</x:v>
      </x:c>
      <x:c r="C337" s="2" t="str">
        <x:v>merged_1214</x:v>
      </x:c>
      <x:c r="D337" s="2" t="str">
        <x:v>Reviewer_A</x:v>
      </x:c>
      <x:c r="E337" s="2" t="str">
        <x:v>Reviewer_A</x:v>
      </x:c>
      <x:c r="F337" s="2" t="str">
        <x:v>S28-R10</x:v>
      </x:c>
      <x:c r="G337" s="2" t="str">
        <x:v>S28-EV01</x:v>
      </x:c>
      <x:c r="H337" s="2" t="str">
        <x:v>S28-T01</x:v>
      </x:c>
      <x:c r="I337" s="2" t="str">
        <x:v>NA</x:v>
      </x:c>
      <x:c r="J337" s="2" t="str">
        <x:v>eANCI</x:v>
      </x:c>
      <x:c r="K337" s="2" t="str">
        <x:v>RARTG-C1</x:v>
      </x:c>
      <x:c r="L337" s="2" t="str">
        <x:v>Baseline (Hey et al., 2021)</x:v>
      </x:c>
      <x:c r="M337" s="2" t="str">
        <x:v>Precision</x:v>
      </x:c>
      <x:c r="N337" s="6" t="str">
        <x:v>0.779</x:v>
      </x:c>
      <x:c r="O337" s="2" t="n">
        <x:v>0.779</x:v>
      </x:c>
      <x:c r="P337" s="2" t="str">
        <x:v>proportion</x:v>
      </x:c>
      <x:c r="Q337" s="6" t="str">
        <x:v>0.294</x:v>
      </x:c>
      <x:c r="R337" s="2" t="n">
        <x:v>0.294</x:v>
      </x:c>
      <x:c r="S337" s="2" t="str">
        <x:v>NR</x:v>
      </x:c>
      <x:c r="T337" s="2" t="str">
        <x:v>Better</x:v>
      </x:c>
      <x:c r="U337" s="2" t="str">
        <x:v>Not tested</x:v>
      </x:c>
      <x:c r="V337" s="2" t="str">
        <x:v>NR</x:v>
      </x:c>
      <x:c r="W337" s="2" t="str">
        <x:v>NR</x:v>
      </x:c>
      <x:c r="X337" s="2" t="str">
        <x:v>NR</x:v>
      </x:c>
      <x:c r="Y337" s="2" t="str">
        <x:v>NR</x:v>
      </x:c>
      <x:c r="Z337" s="2" t="str">
        <x:v>No</x:v>
      </x:c>
      <x:c r="AA337" s="6" t="str">
        <x:v>p. 13; Table 2</x:v>
      </x:c>
      <x:c r="AB337" s="6" t="str">
        <x:v>Baseline 0.176 0.353 0.235 0.294 0.220 0.252 0.443 0.297 0.356 0.411 0.623 0.495 RARTG-C2 0.284 0.286 0.285 0.737 0.178 0.287 0.526 0.118 0.192 0.488 0.239 0.321</x:v>
      </x:c>
      <x:c r="AC337" s="6" t="str">
        <x:v>在eANCI上，RARTG-C1的精度显著高于基线。</x:v>
      </x:c>
      <x:c r="AD337" s="2" t="str">
        <x:v>Accepted</x:v>
      </x:c>
      <x:c r="AE337" s="6" t="str">
        <x:v>NA</x:v>
      </x:c>
    </x:row>
    <x:row r="338" ht="76" customHeight="1">
      <x:c r="A338" s="2" t="str">
        <x:v>S29-RESULT-R01</x:v>
      </x:c>
      <x:c r="B338" s="2" t="str">
        <x:v>S29</x:v>
      </x:c>
      <x:c r="C338" s="2" t="str">
        <x:v>merged_1215-v4</x:v>
      </x:c>
      <x:c r="D338" s="2" t="str">
        <x:v>Reviewer_A</x:v>
      </x:c>
      <x:c r="E338" s="2" t="str">
        <x:v>Reviewer_A</x:v>
      </x:c>
      <x:c r="F338" s="2" t="str">
        <x:v>S29-R01</x:v>
      </x:c>
      <x:c r="G338" s="2" t="str">
        <x:v>S29-EV01</x:v>
      </x:c>
      <x:c r="H338" s="2" t="str">
        <x:v>S29-T01</x:v>
      </x:c>
      <x:c r="I338" s="2" t="str">
        <x:v>S29-MU01</x:v>
      </x:c>
      <x:c r="J338" s="2" t="str">
        <x:v>DTC requirement traceability dataset</x:v>
      </x:c>
      <x:c r="K338" s="2" t="str">
        <x:v>Zero-Shot</x:v>
      </x:c>
      <x:c r="L338" s="2" t="str">
        <x:v>None</x:v>
      </x:c>
      <x:c r="M338" s="2" t="str">
        <x:v>Macro-F1</x:v>
      </x:c>
      <x:c r="N338" s="6" t="str">
        <x:v>58.75</x:v>
      </x:c>
      <x:c r="O338" s="2" t="n">
        <x:v>58.75</x:v>
      </x:c>
      <x:c r="P338" s="2" t="str">
        <x:v>%</x:v>
      </x:c>
      <x:c r="Q338" s="6" t="str">
        <x:v>NA</x:v>
      </x:c>
      <x:c r="R338" s="2" t="str">
        <x:v>NA</x:v>
      </x:c>
      <x:c r="S338" s="2" t="str">
        <x:v>NR</x:v>
      </x:c>
      <x:c r="T338" s="2" t="str">
        <x:v>Not compared</x:v>
      </x:c>
      <x:c r="U338" s="2" t="str">
        <x:v>Not tested</x:v>
      </x:c>
      <x:c r="V338" s="2" t="str">
        <x:v>NR</x:v>
      </x:c>
      <x:c r="W338" s="2" t="str">
        <x:v>NR</x:v>
      </x:c>
      <x:c r="X338" s="2" t="str">
        <x:v>NR</x:v>
      </x:c>
      <x:c r="Y338" s="2" t="str">
        <x:v>NR</x:v>
      </x:c>
      <x:c r="Z338" s="2" t="str">
        <x:v>No</x:v>
      </x:c>
      <x:c r="AA338" s="6" t="str">
        <x:v>p. 17; Table 1</x:v>
      </x:c>
      <x:c r="AB338" s="6" t="str">
        <x:v>Claude 3.5 Sonnet 79.55 93.42 83.25 88.04 21.98 44.61 29.45 58.75</x:v>
      </x:c>
      <x:c r="AC338" s="6" t="str">
        <x:v>Claude 3.5 Sonnet在零样本下获得最高Macro-F158.75%，但仍不理想。</x:v>
      </x:c>
      <x:c r="AD338" s="2" t="str">
        <x:v>Accepted</x:v>
      </x:c>
      <x:c r="AE338" s="6" t="str">
        <x:v>NA</x:v>
      </x:c>
    </x:row>
    <x:row r="339" ht="76" customHeight="1">
      <x:c r="A339" s="2" t="str">
        <x:v>S29-RESULT-R02</x:v>
      </x:c>
      <x:c r="B339" s="2" t="str">
        <x:v>S29</x:v>
      </x:c>
      <x:c r="C339" s="2" t="str">
        <x:v>merged_1215-v4</x:v>
      </x:c>
      <x:c r="D339" s="2" t="str">
        <x:v>Reviewer_A</x:v>
      </x:c>
      <x:c r="E339" s="2" t="str">
        <x:v>Reviewer_A</x:v>
      </x:c>
      <x:c r="F339" s="2" t="str">
        <x:v>S29-R02</x:v>
      </x:c>
      <x:c r="G339" s="2" t="str">
        <x:v>S29-EV01</x:v>
      </x:c>
      <x:c r="H339" s="2" t="str">
        <x:v>S29-T01</x:v>
      </x:c>
      <x:c r="I339" s="2" t="str">
        <x:v>NA</x:v>
      </x:c>
      <x:c r="J339" s="2" t="str">
        <x:v>DTC requirement traceability dataset</x:v>
      </x:c>
      <x:c r="K339" s="2" t="str">
        <x:v>Zero-Shot</x:v>
      </x:c>
      <x:c r="L339" s="2" t="str">
        <x:v>None</x:v>
      </x:c>
      <x:c r="M339" s="2" t="str">
        <x:v>Macro-F1</x:v>
      </x:c>
      <x:c r="N339" s="6" t="str">
        <x:v>49.89</x:v>
      </x:c>
      <x:c r="O339" s="2" t="n">
        <x:v>49.89</x:v>
      </x:c>
      <x:c r="P339" s="2" t="str">
        <x:v>%</x:v>
      </x:c>
      <x:c r="Q339" s="6" t="str">
        <x:v>NA</x:v>
      </x:c>
      <x:c r="R339" s="2" t="str">
        <x:v>NA</x:v>
      </x:c>
      <x:c r="S339" s="2" t="str">
        <x:v>NR</x:v>
      </x:c>
      <x:c r="T339" s="2" t="str">
        <x:v>Not compared</x:v>
      </x:c>
      <x:c r="U339" s="2" t="str">
        <x:v>Not tested</x:v>
      </x:c>
      <x:c r="V339" s="2" t="str">
        <x:v>NR</x:v>
      </x:c>
      <x:c r="W339" s="2" t="str">
        <x:v>NR</x:v>
      </x:c>
      <x:c r="X339" s="2" t="str">
        <x:v>NR</x:v>
      </x:c>
      <x:c r="Y339" s="2" t="str">
        <x:v>NR</x:v>
      </x:c>
      <x:c r="Z339" s="2" t="str">
        <x:v>No</x:v>
      </x:c>
      <x:c r="AA339" s="6" t="str">
        <x:v>p. 17; Table 1</x:v>
      </x:c>
      <x:c r="AB339" s="6" t="str">
        <x:v>Claude 2 90.57 90.64 99.90 95.04 71.43 2.45 4.74 49.89</x:v>
      </x:c>
      <x:c r="AC339" s="6" t="str">
        <x:v>Claude 2准确率最高但Macro-F1仅49.89%，表明无效链接检测差。</x:v>
      </x:c>
      <x:c r="AD339" s="2" t="str">
        <x:v>Accepted</x:v>
      </x:c>
      <x:c r="AE339" s="6" t="str">
        <x:v>NA</x:v>
      </x:c>
    </x:row>
    <x:row r="340" ht="76" customHeight="1">
      <x:c r="A340" s="2" t="str">
        <x:v>S29-RESULT-R03</x:v>
      </x:c>
      <x:c r="B340" s="2" t="str">
        <x:v>S29</x:v>
      </x:c>
      <x:c r="C340" s="2" t="str">
        <x:v>merged_1215-v4</x:v>
      </x:c>
      <x:c r="D340" s="2" t="str">
        <x:v>Reviewer_A</x:v>
      </x:c>
      <x:c r="E340" s="2" t="str">
        <x:v>Reviewer_A</x:v>
      </x:c>
      <x:c r="F340" s="2" t="str">
        <x:v>S29-R03</x:v>
      </x:c>
      <x:c r="G340" s="2" t="str">
        <x:v>S29-EV01</x:v>
      </x:c>
      <x:c r="H340" s="2" t="str">
        <x:v>S29-T01</x:v>
      </x:c>
      <x:c r="I340" s="2" t="str">
        <x:v>NA</x:v>
      </x:c>
      <x:c r="J340" s="2" t="str">
        <x:v>DTC requirement traceability dataset</x:v>
      </x:c>
      <x:c r="K340" s="2" t="str">
        <x:v>Zero-Shot</x:v>
      </x:c>
      <x:c r="L340" s="2" t="str">
        <x:v>None</x:v>
      </x:c>
      <x:c r="M340" s="2" t="str">
        <x:v>Macro-F1</x:v>
      </x:c>
      <x:c r="N340" s="6" t="str">
        <x:v>9.51</x:v>
      </x:c>
      <x:c r="O340" s="2" t="n">
        <x:v>9.51</x:v>
      </x:c>
      <x:c r="P340" s="2" t="str">
        <x:v>%</x:v>
      </x:c>
      <x:c r="Q340" s="6" t="str">
        <x:v>NA</x:v>
      </x:c>
      <x:c r="R340" s="2" t="str">
        <x:v>NA</x:v>
      </x:c>
      <x:c r="S340" s="2" t="str">
        <x:v>NR</x:v>
      </x:c>
      <x:c r="T340" s="2" t="str">
        <x:v>Not compared</x:v>
      </x:c>
      <x:c r="U340" s="2" t="str">
        <x:v>Not tested</x:v>
      </x:c>
      <x:c r="V340" s="2" t="str">
        <x:v>NR</x:v>
      </x:c>
      <x:c r="W340" s="2" t="str">
        <x:v>NR</x:v>
      </x:c>
      <x:c r="X340" s="2" t="str">
        <x:v>NR</x:v>
      </x:c>
      <x:c r="Y340" s="2" t="str">
        <x:v>NR</x:v>
      </x:c>
      <x:c r="Z340" s="2" t="str">
        <x:v>No</x:v>
      </x:c>
      <x:c r="AA340" s="6" t="str">
        <x:v>p. 17; Table 1</x:v>
      </x:c>
      <x:c r="AB340" s="6" t="str">
        <x:v>Mistral Large 2402 10.23 100.00 0.73 1.44 9.63 100.00 17.57 9.51</x:v>
      </x:c>
      <x:c r="AC340" s="6" t="str">
        <x:v>Mistral Large 2402召回极低，Macro-F1仅9.51%，性能最差之一。</x:v>
      </x:c>
      <x:c r="AD340" s="2" t="str">
        <x:v>Accepted</x:v>
      </x:c>
      <x:c r="AE340" s="6" t="str">
        <x:v>NA</x:v>
      </x:c>
    </x:row>
    <x:row r="341" ht="76" customHeight="1">
      <x:c r="A341" s="2" t="str">
        <x:v>S29-RESULT-R04</x:v>
      </x:c>
      <x:c r="B341" s="2" t="str">
        <x:v>S29</x:v>
      </x:c>
      <x:c r="C341" s="2" t="str">
        <x:v>merged_1215-v4</x:v>
      </x:c>
      <x:c r="D341" s="2" t="str">
        <x:v>Reviewer_A</x:v>
      </x:c>
      <x:c r="E341" s="2" t="str">
        <x:v>Reviewer_A</x:v>
      </x:c>
      <x:c r="F341" s="2" t="str">
        <x:v>S29-R04</x:v>
      </x:c>
      <x:c r="G341" s="2" t="str">
        <x:v>S29-EV01</x:v>
      </x:c>
      <x:c r="H341" s="2" t="str">
        <x:v>S29-T01</x:v>
      </x:c>
      <x:c r="I341" s="2" t="str">
        <x:v>NA</x:v>
      </x:c>
      <x:c r="J341" s="2" t="str">
        <x:v>DTC requirement traceability dataset</x:v>
      </x:c>
      <x:c r="K341" s="2" t="str">
        <x:v>Zero-Shot</x:v>
      </x:c>
      <x:c r="L341" s="2" t="str">
        <x:v>None</x:v>
      </x:c>
      <x:c r="M341" s="2" t="str">
        <x:v>Macro-F1</x:v>
      </x:c>
      <x:c r="N341" s="6" t="str">
        <x:v>9.54</x:v>
      </x:c>
      <x:c r="O341" s="2" t="n">
        <x:v>9.54</x:v>
      </x:c>
      <x:c r="P341" s="2" t="str">
        <x:v>%</x:v>
      </x:c>
      <x:c r="Q341" s="6" t="str">
        <x:v>NA</x:v>
      </x:c>
      <x:c r="R341" s="2" t="str">
        <x:v>NA</x:v>
      </x:c>
      <x:c r="S341" s="2" t="str">
        <x:v>NR</x:v>
      </x:c>
      <x:c r="T341" s="2" t="str">
        <x:v>Not compared</x:v>
      </x:c>
      <x:c r="U341" s="2" t="str">
        <x:v>Not tested</x:v>
      </x:c>
      <x:c r="V341" s="2" t="str">
        <x:v>NR</x:v>
      </x:c>
      <x:c r="W341" s="2" t="str">
        <x:v>NR</x:v>
      </x:c>
      <x:c r="X341" s="2" t="str">
        <x:v>NR</x:v>
      </x:c>
      <x:c r="Y341" s="2" t="str">
        <x:v>NR</x:v>
      </x:c>
      <x:c r="Z341" s="2" t="str">
        <x:v>No</x:v>
      </x:c>
      <x:c r="AA341" s="6" t="str">
        <x:v>p. 17; Table 1</x:v>
      </x:c>
      <x:c r="AB341" s="6" t="str">
        <x:v>Llama 3 70B 10.19 72.00 0.95 1.88 9.44 96.53 17.20 9.54</x:v>
      </x:c>
      <x:c r="AC341" s="6" t="str">
        <x:v>Llama 3 70B准确率极低，Macro-F1仅9.54%，性能最差之一。</x:v>
      </x:c>
      <x:c r="AD341" s="2" t="str">
        <x:v>Accepted</x:v>
      </x:c>
      <x:c r="AE341" s="6" t="str">
        <x:v>NA</x:v>
      </x:c>
    </x:row>
    <x:row r="342" ht="76" customHeight="1">
      <x:c r="A342" s="2" t="str">
        <x:v>S29-RESULT-R05</x:v>
      </x:c>
      <x:c r="B342" s="2" t="str">
        <x:v>S29</x:v>
      </x:c>
      <x:c r="C342" s="2" t="str">
        <x:v>merged_1215-v4</x:v>
      </x:c>
      <x:c r="D342" s="2" t="str">
        <x:v>Reviewer_A</x:v>
      </x:c>
      <x:c r="E342" s="2" t="str">
        <x:v>Reviewer_A</x:v>
      </x:c>
      <x:c r="F342" s="2" t="str">
        <x:v>S29-R05</x:v>
      </x:c>
      <x:c r="G342" s="2" t="str">
        <x:v>S29-EV02</x:v>
      </x:c>
      <x:c r="H342" s="2" t="str">
        <x:v>S29-T01</x:v>
      </x:c>
      <x:c r="I342" s="2" t="str">
        <x:v>S29-MU01</x:v>
      </x:c>
      <x:c r="J342" s="2" t="str">
        <x:v>DTC requirement traceability dataset</x:v>
      </x:c>
      <x:c r="K342" s="2" t="str">
        <x:v>TVR</x:v>
      </x:c>
      <x:c r="L342" s="2" t="str">
        <x:v>SBERT (best retrieval baseline)</x:v>
      </x:c>
      <x:c r="M342" s="2" t="str">
        <x:v>Macro-F1</x:v>
      </x:c>
      <x:c r="N342" s="6" t="str">
        <x:v>96.72</x:v>
      </x:c>
      <x:c r="O342" s="2" t="n">
        <x:v>96.72</x:v>
      </x:c>
      <x:c r="P342" s="2" t="str">
        <x:v>%</x:v>
      </x:c>
      <x:c r="Q342" s="6" t="str">
        <x:v>57.82</x:v>
      </x:c>
      <x:c r="R342" s="2" t="n">
        <x:v>57.82</x:v>
      </x:c>
      <x:c r="S342" s="2" t="str">
        <x:v>NR</x:v>
      </x:c>
      <x:c r="T342" s="2" t="str">
        <x:v>Better</x:v>
      </x:c>
      <x:c r="U342" s="2" t="str">
        <x:v>Significant</x:v>
      </x:c>
      <x:c r="V342" s="2" t="str">
        <x:v>NR</x:v>
      </x:c>
      <x:c r="W342" s="2" t="str">
        <x:v>NR</x:v>
      </x:c>
      <x:c r="X342" s="2" t="str">
        <x:v>NR</x:v>
      </x:c>
      <x:c r="Y342" s="2" t="str">
        <x:v>NR</x:v>
      </x:c>
      <x:c r="Z342" s="2" t="str">
        <x:v>No</x:v>
      </x:c>
      <x:c r="AA342" s="6" t="str">
        <x:v>p. 17; Table 1</x:v>
      </x:c>
      <x:c r="AB342" s="6" t="str">
        <x:v>TVR Claude 3.5 Sonnet 98.87 99.28 99.48 99.38 95.00 93.14 94.06 96.72</x:v>
      </x:c>
      <x:c r="AC342" s="6" t="str">
        <x:v>TVR的Macro-F1达96.72%，远超最强检索基线SBERT的57.82%，统计学显著。</x:v>
      </x:c>
      <x:c r="AD342" s="2" t="str">
        <x:v>Accepted</x:v>
      </x:c>
      <x:c r="AE342" s="6" t="str">
        <x:v>NA</x:v>
      </x:c>
    </x:row>
    <x:row r="343" ht="76" customHeight="1">
      <x:c r="A343" s="2" t="str">
        <x:v>S29-RESULT-R06</x:v>
      </x:c>
      <x:c r="B343" s="2" t="str">
        <x:v>S29</x:v>
      </x:c>
      <x:c r="C343" s="2" t="str">
        <x:v>merged_1215-v4</x:v>
      </x:c>
      <x:c r="D343" s="2" t="str">
        <x:v>Reviewer_A</x:v>
      </x:c>
      <x:c r="E343" s="2" t="str">
        <x:v>Reviewer_A</x:v>
      </x:c>
      <x:c r="F343" s="2" t="str">
        <x:v>S29-R06</x:v>
      </x:c>
      <x:c r="G343" s="2" t="str">
        <x:v>S29-EV02</x:v>
      </x:c>
      <x:c r="H343" s="2" t="str">
        <x:v>S29-T01</x:v>
      </x:c>
      <x:c r="I343" s="2" t="str">
        <x:v>S29-MU01</x:v>
      </x:c>
      <x:c r="J343" s="2" t="str">
        <x:v>DTC requirement traceability dataset</x:v>
      </x:c>
      <x:c r="K343" s="2" t="str">
        <x:v>TVR</x:v>
      </x:c>
      <x:c r="L343" s="2" t="str">
        <x:v>LiSSA-CoT</x:v>
      </x:c>
      <x:c r="M343" s="2" t="str">
        <x:v>Macro-F1</x:v>
      </x:c>
      <x:c r="N343" s="6" t="str">
        <x:v>96.72</x:v>
      </x:c>
      <x:c r="O343" s="2" t="n">
        <x:v>96.72</x:v>
      </x:c>
      <x:c r="P343" s="2" t="str">
        <x:v>%</x:v>
      </x:c>
      <x:c r="Q343" s="6" t="str">
        <x:v>52.89</x:v>
      </x:c>
      <x:c r="R343" s="2" t="n">
        <x:v>52.89</x:v>
      </x:c>
      <x:c r="S343" s="2" t="str">
        <x:v>NR</x:v>
      </x:c>
      <x:c r="T343" s="2" t="str">
        <x:v>Better</x:v>
      </x:c>
      <x:c r="U343" s="2" t="str">
        <x:v>Significant</x:v>
      </x:c>
      <x:c r="V343" s="2" t="str">
        <x:v>NR</x:v>
      </x:c>
      <x:c r="W343" s="2" t="str">
        <x:v>NR</x:v>
      </x:c>
      <x:c r="X343" s="2" t="str">
        <x:v>NR</x:v>
      </x:c>
      <x:c r="Y343" s="2" t="str">
        <x:v>NR</x:v>
      </x:c>
      <x:c r="Z343" s="2" t="str">
        <x:v>No</x:v>
      </x:c>
      <x:c r="AA343" s="6" t="str">
        <x:v>p. 19; Section 5.2</x:v>
      </x:c>
      <x:c r="AB343" s="6" t="str">
        <x:v>When compared with the four baselines, TVR consistently and significantly outperforms all of them, as confirmed by Fisher’s exact test results (p = 5.83 × 10−174 , 2.03 × 10−143 , 6.05 × 10−64 , and 2.74 × 10−113 for LiSSA-CoT, LiSSA-KISS, SentenceBERT, and TF-IDF, respectively). LiSSA achieves Macro-F1 scores of 53.81% and</x:v>
      </x:c>
      <x:c r="AC343" s="6" t="str">
        <x:v>TVR相比LiSSA-CoT的Macro-F1显著更高（96.72 vs 52.89），p值极大。</x:v>
      </x:c>
      <x:c r="AD343" s="2" t="str">
        <x:v>Accepted</x:v>
      </x:c>
      <x:c r="AE343" s="6" t="str">
        <x:v>NA</x:v>
      </x:c>
    </x:row>
    <x:row r="344" ht="76" customHeight="1">
      <x:c r="A344" s="2" t="str">
        <x:v>S29-RESULT-R07</x:v>
      </x:c>
      <x:c r="B344" s="2" t="str">
        <x:v>S29</x:v>
      </x:c>
      <x:c r="C344" s="2" t="str">
        <x:v>merged_1215-v4</x:v>
      </x:c>
      <x:c r="D344" s="2" t="str">
        <x:v>Reviewer_A</x:v>
      </x:c>
      <x:c r="E344" s="2" t="str">
        <x:v>Reviewer_A</x:v>
      </x:c>
      <x:c r="F344" s="2" t="str">
        <x:v>S29-R07</x:v>
      </x:c>
      <x:c r="G344" s="2" t="str">
        <x:v>S29-EV03</x:v>
      </x:c>
      <x:c r="H344" s="2" t="str">
        <x:v>S29-T01</x:v>
      </x:c>
      <x:c r="I344" s="2" t="str">
        <x:v>S29-MU01</x:v>
      </x:c>
      <x:c r="J344" s="2" t="str">
        <x:v>DTC requirement traceability dataset (all variations)</x:v>
      </x:c>
      <x:c r="K344" s="2" t="str">
        <x:v>TVR</x:v>
      </x:c>
      <x:c r="L344" s="2" t="str">
        <x:v>None</x:v>
      </x:c>
      <x:c r="M344" s="2" t="str">
        <x:v>Macro-F1</x:v>
      </x:c>
      <x:c r="N344" s="6" t="str">
        <x:v>90.86</x:v>
      </x:c>
      <x:c r="O344" s="2" t="n">
        <x:v>90.86</x:v>
      </x:c>
      <x:c r="P344" s="2" t="str">
        <x:v>%</x:v>
      </x:c>
      <x:c r="Q344" s="6" t="str">
        <x:v>NA</x:v>
      </x:c>
      <x:c r="R344" s="2" t="str">
        <x:v>NA</x:v>
      </x:c>
      <x:c r="S344" s="2" t="str">
        <x:v>NR</x:v>
      </x:c>
      <x:c r="T344" s="2" t="str">
        <x:v>Not compared</x:v>
      </x:c>
      <x:c r="U344" s="2" t="str">
        <x:v>Not tested</x:v>
      </x:c>
      <x:c r="V344" s="2" t="str">
        <x:v>NR</x:v>
      </x:c>
      <x:c r="W344" s="2" t="str">
        <x:v>NR</x:v>
      </x:c>
      <x:c r="X344" s="2" t="str">
        <x:v>NR</x:v>
      </x:c>
      <x:c r="Y344" s="2" t="str">
        <x:v>NR</x:v>
      </x:c>
      <x:c r="Z344" s="2" t="str">
        <x:v>No</x:v>
      </x:c>
      <x:c r="AA344" s="6" t="str">
        <x:v>p. 20; Table 2</x:v>
      </x:c>
      <x:c r="AB344" s="6" t="str">
        <x:v>All 97.13 97.40 99.48 98.43 93.83 74.88 83.29 90.86</x:v>
      </x:c>
      <x:c r="AC344" s="6" t="str">
        <x:v>鲁棒性评估中，TVR整体Macro-F1为90.86%，表现良好。</x:v>
      </x:c>
      <x:c r="AD344" s="2" t="str">
        <x:v>Accepted</x:v>
      </x:c>
      <x:c r="AE344" s="6" t="str">
        <x:v>NA</x:v>
      </x:c>
    </x:row>
    <x:row r="345" ht="76" customHeight="1">
      <x:c r="A345" s="2" t="str">
        <x:v>S29-RESULT-R08</x:v>
      </x:c>
      <x:c r="B345" s="2" t="str">
        <x:v>S29</x:v>
      </x:c>
      <x:c r="C345" s="2" t="str">
        <x:v>merged_1215-v4</x:v>
      </x:c>
      <x:c r="D345" s="2" t="str">
        <x:v>Reviewer_A</x:v>
      </x:c>
      <x:c r="E345" s="2" t="str">
        <x:v>Reviewer_A</x:v>
      </x:c>
      <x:c r="F345" s="2" t="str">
        <x:v>S29-R08</x:v>
      </x:c>
      <x:c r="G345" s="2" t="str">
        <x:v>S29-EV03</x:v>
      </x:c>
      <x:c r="H345" s="2" t="str">
        <x:v>S29-T01</x:v>
      </x:c>
      <x:c r="I345" s="2" t="str">
        <x:v>S29-MU01</x:v>
      </x:c>
      <x:c r="J345" s="2" t="str">
        <x:v>DTC requirement traceability dataset (Variation V1)</x:v>
      </x:c>
      <x:c r="K345" s="2" t="str">
        <x:v>TVR</x:v>
      </x:c>
      <x:c r="L345" s="2" t="str">
        <x:v>None</x:v>
      </x:c>
      <x:c r="M345" s="2" t="str">
        <x:v>Macro-F1</x:v>
      </x:c>
      <x:c r="N345" s="6" t="str">
        <x:v>87.02</x:v>
      </x:c>
      <x:c r="O345" s="2" t="n">
        <x:v>87.02</x:v>
      </x:c>
      <x:c r="P345" s="2" t="str">
        <x:v>%</x:v>
      </x:c>
      <x:c r="Q345" s="6" t="str">
        <x:v>NA</x:v>
      </x:c>
      <x:c r="R345" s="2" t="str">
        <x:v>NA</x:v>
      </x:c>
      <x:c r="S345" s="2" t="str">
        <x:v>NR</x:v>
      </x:c>
      <x:c r="T345" s="2" t="str">
        <x:v>Not compared</x:v>
      </x:c>
      <x:c r="U345" s="2" t="str">
        <x:v>Not tested</x:v>
      </x:c>
      <x:c r="V345" s="2" t="str">
        <x:v>NR</x:v>
      </x:c>
      <x:c r="W345" s="2" t="str">
        <x:v>NR</x:v>
      </x:c>
      <x:c r="X345" s="2" t="str">
        <x:v>NR</x:v>
      </x:c>
      <x:c r="Y345" s="2" t="str">
        <x:v>NR</x:v>
      </x:c>
      <x:c r="Z345" s="2" t="str">
        <x:v>No</x:v>
      </x:c>
      <x:c r="AA345" s="6" t="str">
        <x:v>p. 20; Table 2</x:v>
      </x:c>
      <x:c r="AB345" s="6" t="str">
        <x:v>V1 93.96 94.37 98.75 96.51 90.79 67.65 77.53 87.02</x:v>
      </x:c>
      <x:c r="AC345" s="6" t="str">
        <x:v>V1（丢失通信）是挑战最大的变体，Macro-F1降至87.02%。</x:v>
      </x:c>
      <x:c r="AD345" s="2" t="str">
        <x:v>Accepted</x:v>
      </x:c>
      <x:c r="AE345" s="6" t="str">
        <x:v>NA</x:v>
      </x:c>
    </x:row>
    <x:row r="346" ht="76" customHeight="1">
      <x:c r="A346" s="2" t="str">
        <x:v>S29-RESULT-R09</x:v>
      </x:c>
      <x:c r="B346" s="2" t="str">
        <x:v>S29</x:v>
      </x:c>
      <x:c r="C346" s="2" t="str">
        <x:v>merged_1215-v4</x:v>
      </x:c>
      <x:c r="D346" s="2" t="str">
        <x:v>Reviewer_A</x:v>
      </x:c>
      <x:c r="E346" s="2" t="str">
        <x:v>Reviewer_A</x:v>
      </x:c>
      <x:c r="F346" s="2" t="str">
        <x:v>S29-R09</x:v>
      </x:c>
      <x:c r="G346" s="2" t="str">
        <x:v>S29-EV04</x:v>
      </x:c>
      <x:c r="H346" s="2" t="str">
        <x:v>S29-T02</x:v>
      </x:c>
      <x:c r="I346" s="2" t="str">
        <x:v>S29-MU01</x:v>
      </x:c>
      <x:c r="J346" s="2" t="str">
        <x:v>DTC requirement traceability dataset (candidate missing-link pairs)</x:v>
      </x:c>
      <x:c r="K346" s="2" t="str">
        <x:v>TVR</x:v>
      </x:c>
      <x:c r="L346" s="2" t="str">
        <x:v>None</x:v>
      </x:c>
      <x:c r="M346" s="2" t="str">
        <x:v>Correctness</x:v>
      </x:c>
      <x:c r="N346" s="6" t="str">
        <x:v>85.50%</x:v>
      </x:c>
      <x:c r="O346" s="2" t="n">
        <x:v>85.5</x:v>
      </x:c>
      <x:c r="P346" s="2" t="str">
        <x:v>%</x:v>
      </x:c>
      <x:c r="Q346" s="6" t="str">
        <x:v>NA</x:v>
      </x:c>
      <x:c r="R346" s="2" t="str">
        <x:v>NA</x:v>
      </x:c>
      <x:c r="S346" s="2" t="str">
        <x:v>NR</x:v>
      </x:c>
      <x:c r="T346" s="2" t="str">
        <x:v>Not compared</x:v>
      </x:c>
      <x:c r="U346" s="2" t="str">
        <x:v>Not tested</x:v>
      </x:c>
      <x:c r="V346" s="2" t="str">
        <x:v>NR</x:v>
      </x:c>
      <x:c r="W346" s="2" t="str">
        <x:v>NR</x:v>
      </x:c>
      <x:c r="X346" s="2" t="str">
        <x:v>NR</x:v>
      </x:c>
      <x:c r="Y346" s="2" t="str">
        <x:v>NR</x:v>
      </x:c>
      <x:c r="Z346" s="2" t="str">
        <x:v>No</x:v>
      </x:c>
      <x:c r="AA346" s="6" t="str">
        <x:v>p. 21; Section 5.4</x:v>
      </x:c>
      <x:c r="AB346" s="6" t="str">
        <x:v>After manually verifying all 502 pairs (κ ≈ 0.92), we obtained a Correctness of 85.50%, suggesting that most retrieved links are correct, with a limited number of false positives.</x:v>
      </x:c>
      <x:c r="AC346" s="6" t="str">
        <x:v>TVR在恢复缺失链接上的正确率为85.50%，具有应用价值。</x:v>
      </x:c>
      <x:c r="AD346" s="2" t="str">
        <x:v>Accepted</x:v>
      </x:c>
      <x:c r="AE346" s="6" t="str">
        <x:v>NA</x:v>
      </x:c>
    </x:row>
    <x:row r="347" ht="76" customHeight="1">
      <x:c r="A347" s="2" t="str">
        <x:v>S29-RESULT-R10</x:v>
      </x:c>
      <x:c r="B347" s="2" t="str">
        <x:v>S29</x:v>
      </x:c>
      <x:c r="C347" s="2" t="str">
        <x:v>merged_1215-v4</x:v>
      </x:c>
      <x:c r="D347" s="2" t="str">
        <x:v>Reviewer_A</x:v>
      </x:c>
      <x:c r="E347" s="2" t="str">
        <x:v>Reviewer_A</x:v>
      </x:c>
      <x:c r="F347" s="2" t="str">
        <x:v>S29-R10</x:v>
      </x:c>
      <x:c r="G347" s="2" t="str">
        <x:v>S29-EV04</x:v>
      </x:c>
      <x:c r="H347" s="2" t="str">
        <x:v>S29-T02</x:v>
      </x:c>
      <x:c r="I347" s="2" t="str">
        <x:v>S29-MU01</x:v>
      </x:c>
      <x:c r="J347" s="2" t="str">
        <x:v>DTC requirement traceability dataset (candidate missing-link pairs)</x:v>
      </x:c>
      <x:c r="K347" s="2" t="str">
        <x:v>TVR</x:v>
      </x:c>
      <x:c r="L347" s="2" t="str">
        <x:v>None</x:v>
      </x:c>
      <x:c r="M347" s="2" t="str">
        <x:v>Error cause</x:v>
      </x:c>
      <x:c r="N347" s="6" t="str">
        <x:v>all 73 prediction errors stemmed from the same issue</x:v>
      </x:c>
      <x:c r="O347" s="2" t="str">
        <x:v>NA</x:v>
      </x:c>
      <x:c r="P347" s="2" t="str">
        <x:v>count</x:v>
      </x:c>
      <x:c r="Q347" s="6" t="str">
        <x:v>NA</x:v>
      </x:c>
      <x:c r="R347" s="2" t="str">
        <x:v>NA</x:v>
      </x:c>
      <x:c r="S347" s="2" t="str">
        <x:v>NA</x:v>
      </x:c>
      <x:c r="T347" s="2" t="str">
        <x:v>Not compared</x:v>
      </x:c>
      <x:c r="U347" s="2" t="str">
        <x:v>Not tested</x:v>
      </x:c>
      <x:c r="V347" s="2" t="str">
        <x:v>NR</x:v>
      </x:c>
      <x:c r="W347" s="2" t="str">
        <x:v>NR</x:v>
      </x:c>
      <x:c r="X347" s="2" t="str">
        <x:v>NR</x:v>
      </x:c>
      <x:c r="Y347" s="2" t="str">
        <x:v>模型将触发条件消息误识别为追溯链依据，导致73个错误。</x:v>
      </x:c>
      <x:c r="Z347" s="2" t="str">
        <x:v>Yes</x:v>
      </x:c>
      <x:c r="AA347" s="6" t="str">
        <x:v>p. 21; Section 5.4</x:v>
      </x:c>
      <x:c r="AB347" s="6" t="str">
        <x:v>We conducted an error analysis and found that all 73 prediction errors stemmed from the same issue.</x:v>
      </x:c>
      <x:c r="AC347" s="6" t="str">
        <x:v>错误分析揭示所有错误源于同一原因，提示需改进触发条件处理。</x:v>
      </x:c>
      <x:c r="AD347" s="2" t="str">
        <x:v>Accepted</x:v>
      </x:c>
      <x:c r="AE347" s="6" t="str">
        <x:v>NA</x:v>
      </x:c>
    </x:row>
    <x:row r="348" ht="76" customHeight="1">
      <x:c r="A348" s="2" t="str">
        <x:v>S30-RESULT-R01</x:v>
      </x:c>
      <x:c r="B348" s="2" t="str">
        <x:v>S30</x:v>
      </x:c>
      <x:c r="C348" s="2" t="str">
        <x:v>merged_1218</x:v>
      </x:c>
      <x:c r="D348" s="2" t="str">
        <x:v>Reviewer_A</x:v>
      </x:c>
      <x:c r="E348" s="2" t="str">
        <x:v>Reviewer_A</x:v>
      </x:c>
      <x:c r="F348" s="2" t="str">
        <x:v>S30-R01</x:v>
      </x:c>
      <x:c r="G348" s="2" t="str">
        <x:v>S30-EV01</x:v>
      </x:c>
      <x:c r="H348" s="2" t="str">
        <x:v>S30-T01</x:v>
      </x:c>
      <x:c r="I348" s="2" t="str">
        <x:v>NA</x:v>
      </x:c>
      <x:c r="J348" s="2" t="str">
        <x:v>Neo4j microservices Azure DevOps dataset</x:v>
      </x:c>
      <x:c r="K348" s="2" t="str">
        <x:v>GDI</x:v>
      </x:c>
      <x:c r="L348" s="2" t="str">
        <x:v>Traditional ITS tools</x:v>
      </x:c>
      <x:c r="M348" s="2" t="str">
        <x:v>perceived usability rating</x:v>
      </x:c>
      <x:c r="N348" s="6" t="str">
        <x:v>majority easier, one difficult</x:v>
      </x:c>
      <x:c r="O348" s="2" t="str">
        <x:v>NA</x:v>
      </x:c>
      <x:c r="P348" s="2" t="str">
        <x:v>NA</x:v>
      </x:c>
      <x:c r="Q348" s="6" t="str">
        <x:v>NR</x:v>
      </x:c>
      <x:c r="R348" s="2" t="str">
        <x:v>NA</x:v>
      </x:c>
      <x:c r="S348" s="2" t="str">
        <x:v>NR</x:v>
      </x:c>
      <x:c r="T348" s="2" t="str">
        <x:v>Better</x:v>
      </x:c>
      <x:c r="U348" s="2" t="str">
        <x:v>Not tested</x:v>
      </x:c>
      <x:c r="V348" s="2" t="str">
        <x:v>NA</x:v>
      </x:c>
      <x:c r="W348" s="2" t="str">
        <x:v>NR</x:v>
      </x:c>
      <x:c r="X348" s="2" t="str">
        <x:v>NR</x:v>
      </x:c>
      <x:c r="Y348" s="2" t="str">
        <x:v>NA</x:v>
      </x:c>
      <x:c r="Z348" s="2" t="str">
        <x:v>No</x:v>
      </x:c>
      <x:c r="AA348" s="6" t="str">
        <x:v>p. 5; Finding 1</x:v>
      </x:c>
      <x:c r="AB348" s="6" t="str">
        <x:v>The majority of participants found GDI easier to use than traditional issue tracking systems, with only one participant reporting difficulty (see Fig. 7).</x:v>
      </x:c>
      <x:c r="AC348" s="6" t="str">
        <x:v>大多数参与者认为GDI比传统ITS更易用，一人感到困难。</x:v>
      </x:c>
      <x:c r="AD348" s="2" t="str">
        <x:v>Accepted</x:v>
      </x:c>
      <x:c r="AE348" s="6" t="str">
        <x:v>NA</x:v>
      </x:c>
    </x:row>
    <x:row r="349" ht="76" customHeight="1">
      <x:c r="A349" s="2" t="str">
        <x:v>S30-RESULT-R02</x:v>
      </x:c>
      <x:c r="B349" s="2" t="str">
        <x:v>S30</x:v>
      </x:c>
      <x:c r="C349" s="2" t="str">
        <x:v>merged_1218</x:v>
      </x:c>
      <x:c r="D349" s="2" t="str">
        <x:v>Reviewer_A</x:v>
      </x:c>
      <x:c r="E349" s="2" t="str">
        <x:v>Reviewer_A</x:v>
      </x:c>
      <x:c r="F349" s="2" t="str">
        <x:v>S30-R02</x:v>
      </x:c>
      <x:c r="G349" s="2" t="str">
        <x:v>S30-EV01</x:v>
      </x:c>
      <x:c r="H349" s="2" t="str">
        <x:v>S30-T01</x:v>
      </x:c>
      <x:c r="I349" s="2" t="str">
        <x:v>NA</x:v>
      </x:c>
      <x:c r="J349" s="2" t="str">
        <x:v>Neo4j microservices Azure DevOps dataset</x:v>
      </x:c>
      <x:c r="K349" s="2" t="str">
        <x:v>GDI</x:v>
      </x:c>
      <x:c r="L349" s="2" t="str">
        <x:v>No</x:v>
      </x:c>
      <x:c r="M349" s="2" t="str">
        <x:v>perceived accuracy rating</x:v>
      </x:c>
      <x:c r="N349" s="6" t="str">
        <x:v>two somewhat accurate, two moderately, one extremely</x:v>
      </x:c>
      <x:c r="O349" s="2" t="str">
        <x:v>NA</x:v>
      </x:c>
      <x:c r="P349" s="2" t="str">
        <x:v>NA</x:v>
      </x:c>
      <x:c r="Q349" s="6" t="str">
        <x:v>NA</x:v>
      </x:c>
      <x:c r="R349" s="2" t="str">
        <x:v>NA</x:v>
      </x:c>
      <x:c r="S349" s="2" t="str">
        <x:v>NR</x:v>
      </x:c>
      <x:c r="T349" s="2" t="str">
        <x:v>Not compared</x:v>
      </x:c>
      <x:c r="U349" s="2" t="str">
        <x:v>Not tested</x:v>
      </x:c>
      <x:c r="V349" s="2" t="str">
        <x:v>NA</x:v>
      </x:c>
      <x:c r="W349" s="2" t="str">
        <x:v>NR</x:v>
      </x:c>
      <x:c r="X349" s="2" t="str">
        <x:v>NR</x:v>
      </x:c>
      <x:c r="Y349" s="2" t="str">
        <x:v>NA</x:v>
      </x:c>
      <x:c r="Z349" s="2" t="str">
        <x:v>No</x:v>
      </x:c>
      <x:c r="AA349" s="6" t="str">
        <x:v>p. 6; Finding 2</x:v>
      </x:c>
      <x:c r="AB349" s="6" t="str">
        <x:v>two participants found them somewhat accurate, two participants found them moderately accurate, and one participant found them extremely accurate.</x:v>
      </x:c>
      <x:c r="AC349" s="6" t="str">
        <x:v>对准确性的评价分布：2人觉得有些准确，2人中等准确，1人极准确。</x:v>
      </x:c>
      <x:c r="AD349" s="2" t="str">
        <x:v>Accepted</x:v>
      </x:c>
      <x:c r="AE349" s="6" t="str">
        <x:v>NA</x:v>
      </x:c>
    </x:row>
    <x:row r="350" ht="76" customHeight="1">
      <x:c r="A350" s="2" t="str">
        <x:v>S30-RESULT-R03</x:v>
      </x:c>
      <x:c r="B350" s="2" t="str">
        <x:v>S30</x:v>
      </x:c>
      <x:c r="C350" s="2" t="str">
        <x:v>merged_1218</x:v>
      </x:c>
      <x:c r="D350" s="2" t="str">
        <x:v>Reviewer_A</x:v>
      </x:c>
      <x:c r="E350" s="2" t="str">
        <x:v>Reviewer_A</x:v>
      </x:c>
      <x:c r="F350" s="2" t="str">
        <x:v>S30-R03</x:v>
      </x:c>
      <x:c r="G350" s="2" t="str">
        <x:v>S30-EV01</x:v>
      </x:c>
      <x:c r="H350" s="2" t="str">
        <x:v>S30-T01</x:v>
      </x:c>
      <x:c r="I350" s="2" t="str">
        <x:v>NA</x:v>
      </x:c>
      <x:c r="J350" s="2" t="str">
        <x:v>Neo4j microservices Azure DevOps dataset</x:v>
      </x:c>
      <x:c r="K350" s="2" t="str">
        <x:v>GDI</x:v>
      </x:c>
      <x:c r="L350" s="2" t="str">
        <x:v>No</x:v>
      </x:c>
      <x:c r="M350" s="2" t="str">
        <x:v>supporting information adequacy</x:v>
      </x:c>
      <x:c r="N350" s="6" t="str">
        <x:v>three sufficient, two insufficient</x:v>
      </x:c>
      <x:c r="O350" s="2" t="str">
        <x:v>NA</x:v>
      </x:c>
      <x:c r="P350" s="2" t="str">
        <x:v>NA</x:v>
      </x:c>
      <x:c r="Q350" s="6" t="str">
        <x:v>NA</x:v>
      </x:c>
      <x:c r="R350" s="2" t="str">
        <x:v>NA</x:v>
      </x:c>
      <x:c r="S350" s="2" t="str">
        <x:v>NR</x:v>
      </x:c>
      <x:c r="T350" s="2" t="str">
        <x:v>Not compared</x:v>
      </x:c>
      <x:c r="U350" s="2" t="str">
        <x:v>Not tested</x:v>
      </x:c>
      <x:c r="V350" s="2" t="str">
        <x:v>NA</x:v>
      </x:c>
      <x:c r="W350" s="2" t="str">
        <x:v>NR</x:v>
      </x:c>
      <x:c r="X350" s="2" t="str">
        <x:v>NR</x:v>
      </x:c>
      <x:c r="Y350" s="2" t="str">
        <x:v>NA</x:v>
      </x:c>
      <x:c r="Z350" s="2" t="str">
        <x:v>No</x:v>
      </x:c>
      <x:c r="AA350" s="6" t="str">
        <x:v>p. 6; Finding 3</x:v>
      </x:c>
      <x:c r="AB350" s="6" t="str">
        <x:v>Three participants indicated that the response provided sufficient supporting information to justify the answers, whereas two participants indicated that it did not.</x:v>
      </x:c>
      <x:c r="AC350" s="6" t="str">
        <x:v>3人认为辅助信息足够，2人认为不足。</x:v>
      </x:c>
      <x:c r="AD350" s="2" t="str">
        <x:v>Accepted</x:v>
      </x:c>
      <x:c r="AE350" s="6" t="str">
        <x:v>NA</x:v>
      </x:c>
    </x:row>
    <x:row r="351" ht="76" customHeight="1">
      <x:c r="A351" s="2" t="str">
        <x:v>S30-RESULT-R04</x:v>
      </x:c>
      <x:c r="B351" s="2" t="str">
        <x:v>S30</x:v>
      </x:c>
      <x:c r="C351" s="2" t="str">
        <x:v>merged_1218</x:v>
      </x:c>
      <x:c r="D351" s="2" t="str">
        <x:v>Reviewer_A</x:v>
      </x:c>
      <x:c r="E351" s="2" t="str">
        <x:v>Reviewer_A</x:v>
      </x:c>
      <x:c r="F351" s="2" t="str">
        <x:v>S30-R04</x:v>
      </x:c>
      <x:c r="G351" s="2" t="str">
        <x:v>S30-EV01</x:v>
      </x:c>
      <x:c r="H351" s="2" t="str">
        <x:v>S30-T01</x:v>
      </x:c>
      <x:c r="I351" s="2" t="str">
        <x:v>NA</x:v>
      </x:c>
      <x:c r="J351" s="2" t="str">
        <x:v>Neo4j microservices Azure DevOps dataset</x:v>
      </x:c>
      <x:c r="K351" s="2" t="str">
        <x:v>GDI</x:v>
      </x:c>
      <x:c r="L351" s="2" t="str">
        <x:v>No</x:v>
      </x:c>
      <x:c r="M351" s="2" t="str">
        <x:v>number of identified use cases</x:v>
      </x:c>
      <x:c r="N351" s="6" t="str">
        <x:v>onboarding and knowledge sharing, performing impact analysis, understanding context, troubleshooting and resolving work items, and optimizing resource allocation</x:v>
      </x:c>
      <x:c r="O351" s="2" t="str">
        <x:v>NA</x:v>
      </x:c>
      <x:c r="P351" s="2" t="str">
        <x:v>NA</x:v>
      </x:c>
      <x:c r="Q351" s="6" t="str">
        <x:v>NA</x:v>
      </x:c>
      <x:c r="R351" s="2" t="str">
        <x:v>NA</x:v>
      </x:c>
      <x:c r="S351" s="2" t="str">
        <x:v>NR</x:v>
      </x:c>
      <x:c r="T351" s="2" t="str">
        <x:v>Not compared</x:v>
      </x:c>
      <x:c r="U351" s="2" t="str">
        <x:v>Not tested</x:v>
      </x:c>
      <x:c r="V351" s="2" t="str">
        <x:v>NA</x:v>
      </x:c>
      <x:c r="W351" s="2" t="str">
        <x:v>NR</x:v>
      </x:c>
      <x:c r="X351" s="2" t="str">
        <x:v>NR</x:v>
      </x:c>
      <x:c r="Y351" s="2" t="str">
        <x:v>NA</x:v>
      </x:c>
      <x:c r="Z351" s="2" t="str">
        <x:v>No</x:v>
      </x:c>
      <x:c r="AA351" s="6" t="str">
        <x:v>p. 6; Finding 4</x:v>
      </x:c>
      <x:c r="AB351" s="6" t="str">
        <x:v>Participants indicated multiple uses for GDI: onboarding and knowledge sharing, performing impact analysis, understanding context, troubleshooting and resolving work items, and optimizing resource allocation.</x:v>
      </x:c>
      <x:c r="AC351" s="6" t="str">
        <x:v>参与者指出了多种潜在用途。</x:v>
      </x:c>
      <x:c r="AD351" s="2" t="str">
        <x:v>Accepted</x:v>
      </x:c>
      <x:c r="AE351" s="6" t="str">
        <x:v>NA</x:v>
      </x:c>
    </x:row>
    <x:row r="352" ht="76" customHeight="1">
      <x:c r="A352" s="2" t="str">
        <x:v>S30-RESULT-R05</x:v>
      </x:c>
      <x:c r="B352" s="2" t="str">
        <x:v>S30</x:v>
      </x:c>
      <x:c r="C352" s="2" t="str">
        <x:v>merged_1218</x:v>
      </x:c>
      <x:c r="D352" s="2" t="str">
        <x:v>Reviewer_A</x:v>
      </x:c>
      <x:c r="E352" s="2" t="str">
        <x:v>Reviewer_A</x:v>
      </x:c>
      <x:c r="F352" s="2" t="str">
        <x:v>S30-R05</x:v>
      </x:c>
      <x:c r="G352" s="2" t="str">
        <x:v>S30-EV01</x:v>
      </x:c>
      <x:c r="H352" s="2" t="str">
        <x:v>S30-T01</x:v>
      </x:c>
      <x:c r="I352" s="2" t="str">
        <x:v>NA</x:v>
      </x:c>
      <x:c r="J352" s="2" t="str">
        <x:v>Neo4j microservices Azure DevOps dataset</x:v>
      </x:c>
      <x:c r="K352" s="2" t="str">
        <x:v>GDI</x:v>
      </x:c>
      <x:c r="L352" s="2" t="str">
        <x:v>No</x:v>
      </x:c>
      <x:c r="M352" s="2" t="str">
        <x:v>adoption likelihood rating</x:v>
      </x:c>
      <x:c r="N352" s="6" t="str">
        <x:v>one extremely unlikely, one neutral, one likely, two extremely likely</x:v>
      </x:c>
      <x:c r="O352" s="2" t="str">
        <x:v>NA</x:v>
      </x:c>
      <x:c r="P352" s="2" t="str">
        <x:v>NA</x:v>
      </x:c>
      <x:c r="Q352" s="6" t="str">
        <x:v>NA</x:v>
      </x:c>
      <x:c r="R352" s="2" t="str">
        <x:v>NA</x:v>
      </x:c>
      <x:c r="S352" s="2" t="str">
        <x:v>NR</x:v>
      </x:c>
      <x:c r="T352" s="2" t="str">
        <x:v>Mixed</x:v>
      </x:c>
      <x:c r="U352" s="2" t="str">
        <x:v>Not tested</x:v>
      </x:c>
      <x:c r="V352" s="2" t="str">
        <x:v>NA</x:v>
      </x:c>
      <x:c r="W352" s="2" t="str">
        <x:v>NR</x:v>
      </x:c>
      <x:c r="X352" s="2" t="str">
        <x:v>NR</x:v>
      </x:c>
      <x:c r="Y352" s="2" t="str">
        <x:v>NA</x:v>
      </x:c>
      <x:c r="Z352" s="2" t="str">
        <x:v>Yes</x:v>
      </x:c>
      <x:c r="AA352" s="6" t="str">
        <x:v>p. 6; Finding 5</x:v>
      </x:c>
      <x:c r="AB352" s="6" t="str">
        <x:v>Participants’ likelihood of adopting the system varied, with one rating it as extremely unlikely, one as neutral, one as likely, and two as extremely likely.</x:v>
      </x:c>
      <x:c r="AC352" s="6" t="str">
        <x:v>采纳可能性分布不均，一人极不可能，一人中立，一人可能，两人极可能。</x:v>
      </x:c>
      <x:c r="AD352" s="2" t="str">
        <x:v>Accepted</x:v>
      </x:c>
      <x:c r="AE352" s="6" t="str">
        <x:v>One participant extremely unlikely to adopt.</x:v>
      </x:c>
    </x:row>
    <x:row r="353" ht="76" customHeight="1">
      <x:c r="A353" s="2" t="str">
        <x:v>S30-RESULT-R06</x:v>
      </x:c>
      <x:c r="B353" s="2" t="str">
        <x:v>S30</x:v>
      </x:c>
      <x:c r="C353" s="2" t="str">
        <x:v>merged_1218</x:v>
      </x:c>
      <x:c r="D353" s="2" t="str">
        <x:v>Reviewer_A</x:v>
      </x:c>
      <x:c r="E353" s="2" t="str">
        <x:v>Reviewer_A</x:v>
      </x:c>
      <x:c r="F353" s="2" t="str">
        <x:v>S30-R06</x:v>
      </x:c>
      <x:c r="G353" s="2" t="str">
        <x:v>S30-EV02</x:v>
      </x:c>
      <x:c r="H353" s="2" t="str">
        <x:v>S30-T02</x:v>
      </x:c>
      <x:c r="I353" s="2" t="str">
        <x:v>NA</x:v>
      </x:c>
      <x:c r="J353" s="2" t="str">
        <x:v>Non-profit organization care (NPO) Azure DevOps repository</x:v>
      </x:c>
      <x:c r="K353" s="2" t="str">
        <x:v>GDI</x:v>
      </x:c>
      <x:c r="L353" s="2" t="str">
        <x:v>Azure DevOps</x:v>
      </x:c>
      <x:c r="M353" s="2" t="str">
        <x:v>perceived usability rating</x:v>
      </x:c>
      <x:c r="N353" s="6" t="str">
        <x:v>one neither, three easy, one very easy</x:v>
      </x:c>
      <x:c r="O353" s="2" t="str">
        <x:v>NA</x:v>
      </x:c>
      <x:c r="P353" s="2" t="str">
        <x:v>NA</x:v>
      </x:c>
      <x:c r="Q353" s="6" t="str">
        <x:v>NR</x:v>
      </x:c>
      <x:c r="R353" s="2" t="str">
        <x:v>NA</x:v>
      </x:c>
      <x:c r="S353" s="2" t="str">
        <x:v>NR</x:v>
      </x:c>
      <x:c r="T353" s="2" t="str">
        <x:v>Better</x:v>
      </x:c>
      <x:c r="U353" s="2" t="str">
        <x:v>Not tested</x:v>
      </x:c>
      <x:c r="V353" s="2" t="str">
        <x:v>NA</x:v>
      </x:c>
      <x:c r="W353" s="2" t="str">
        <x:v>NR</x:v>
      </x:c>
      <x:c r="X353" s="2" t="str">
        <x:v>NR</x:v>
      </x:c>
      <x:c r="Y353" s="2" t="str">
        <x:v>NA</x:v>
      </x:c>
      <x:c r="Z353" s="2" t="str">
        <x:v>No</x:v>
      </x:c>
      <x:c r="AA353" s="6" t="str">
        <x:v>p. 8; Finding 6</x:v>
      </x:c>
      <x:c r="AB353" s="6" t="str">
        <x:v>One participant found it neither difficult nor easy, three found it easy, and one found it very easy.</x:v>
      </x:c>
      <x:c r="AC353" s="6" t="str">
        <x:v>易用性：1人中立，3人容易，1人非常容易。</x:v>
      </x:c>
      <x:c r="AD353" s="2" t="str">
        <x:v>Accepted</x:v>
      </x:c>
      <x:c r="AE353" s="6" t="str">
        <x:v>NA</x:v>
      </x:c>
    </x:row>
    <x:row r="354" ht="76" customHeight="1">
      <x:c r="A354" s="2" t="str">
        <x:v>S30-RESULT-R07</x:v>
      </x:c>
      <x:c r="B354" s="2" t="str">
        <x:v>S30</x:v>
      </x:c>
      <x:c r="C354" s="2" t="str">
        <x:v>merged_1218</x:v>
      </x:c>
      <x:c r="D354" s="2" t="str">
        <x:v>Reviewer_A</x:v>
      </x:c>
      <x:c r="E354" s="2" t="str">
        <x:v>Reviewer_A</x:v>
      </x:c>
      <x:c r="F354" s="2" t="str">
        <x:v>S30-R07</x:v>
      </x:c>
      <x:c r="G354" s="2" t="str">
        <x:v>S30-EV02</x:v>
      </x:c>
      <x:c r="H354" s="2" t="str">
        <x:v>S30-T02</x:v>
      </x:c>
      <x:c r="I354" s="2" t="str">
        <x:v>NA</x:v>
      </x:c>
      <x:c r="J354" s="2" t="str">
        <x:v>Non-profit organization care (NPO) Azure DevOps repository</x:v>
      </x:c>
      <x:c r="K354" s="2" t="str">
        <x:v>GDI</x:v>
      </x:c>
      <x:c r="L354" s="2" t="str">
        <x:v>No</x:v>
      </x:c>
      <x:c r="M354" s="2" t="str">
        <x:v>perceived accuracy rating</x:v>
      </x:c>
      <x:c r="N354" s="6" t="str">
        <x:v>two moderately accurate, three extremely accurate</x:v>
      </x:c>
      <x:c r="O354" s="2" t="str">
        <x:v>NA</x:v>
      </x:c>
      <x:c r="P354" s="2" t="str">
        <x:v>NA</x:v>
      </x:c>
      <x:c r="Q354" s="6" t="str">
        <x:v>NA</x:v>
      </x:c>
      <x:c r="R354" s="2" t="str">
        <x:v>NA</x:v>
      </x:c>
      <x:c r="S354" s="2" t="str">
        <x:v>NR</x:v>
      </x:c>
      <x:c r="T354" s="2" t="str">
        <x:v>Not compared</x:v>
      </x:c>
      <x:c r="U354" s="2" t="str">
        <x:v>Not tested</x:v>
      </x:c>
      <x:c r="V354" s="2" t="str">
        <x:v>NA</x:v>
      </x:c>
      <x:c r="W354" s="2" t="str">
        <x:v>NR</x:v>
      </x:c>
      <x:c r="X354" s="2" t="str">
        <x:v>NR</x:v>
      </x:c>
      <x:c r="Y354" s="2" t="str">
        <x:v>NA</x:v>
      </x:c>
      <x:c r="Z354" s="2" t="str">
        <x:v>No</x:v>
      </x:c>
      <x:c r="AA354" s="6" t="str">
        <x:v>p. 8; Finding 7</x:v>
      </x:c>
      <x:c r="AB354" s="6" t="str">
        <x:v>two participants rated GDI’s responses as moderately accurate, while three found them extremely accurate.</x:v>
      </x:c>
      <x:c r="AC354" s="6" t="str">
        <x:v>准确性：2人中度准确，3人极准确。</x:v>
      </x:c>
      <x:c r="AD354" s="2" t="str">
        <x:v>Accepted</x:v>
      </x:c>
      <x:c r="AE354" s="6" t="str">
        <x:v>NA</x:v>
      </x:c>
    </x:row>
    <x:row r="355" ht="76" customHeight="1">
      <x:c r="A355" s="2" t="str">
        <x:v>S30-RESULT-R08</x:v>
      </x:c>
      <x:c r="B355" s="2" t="str">
        <x:v>S30</x:v>
      </x:c>
      <x:c r="C355" s="2" t="str">
        <x:v>merged_1218</x:v>
      </x:c>
      <x:c r="D355" s="2" t="str">
        <x:v>Reviewer_A</x:v>
      </x:c>
      <x:c r="E355" s="2" t="str">
        <x:v>Reviewer_A</x:v>
      </x:c>
      <x:c r="F355" s="2" t="str">
        <x:v>S30-R08</x:v>
      </x:c>
      <x:c r="G355" s="2" t="str">
        <x:v>S30-EV02</x:v>
      </x:c>
      <x:c r="H355" s="2" t="str">
        <x:v>S30-T02</x:v>
      </x:c>
      <x:c r="I355" s="2" t="str">
        <x:v>NA</x:v>
      </x:c>
      <x:c r="J355" s="2" t="str">
        <x:v>Non-profit organization care (NPO) Azure DevOps repository</x:v>
      </x:c>
      <x:c r="K355" s="2" t="str">
        <x:v>GDI</x:v>
      </x:c>
      <x:c r="L355" s="2" t="str">
        <x:v>No</x:v>
      </x:c>
      <x:c r="M355" s="2" t="str">
        <x:v>supporting information adequacy</x:v>
      </x:c>
      <x:c r="N355" s="6" t="str">
        <x:v>all participants agreed sufficient</x:v>
      </x:c>
      <x:c r="O355" s="2" t="str">
        <x:v>NA</x:v>
      </x:c>
      <x:c r="P355" s="2" t="str">
        <x:v>NA</x:v>
      </x:c>
      <x:c r="Q355" s="6" t="str">
        <x:v>NA</x:v>
      </x:c>
      <x:c r="R355" s="2" t="str">
        <x:v>NA</x:v>
      </x:c>
      <x:c r="S355" s="2" t="str">
        <x:v>NR</x:v>
      </x:c>
      <x:c r="T355" s="2" t="str">
        <x:v>Not compared</x:v>
      </x:c>
      <x:c r="U355" s="2" t="str">
        <x:v>Not tested</x:v>
      </x:c>
      <x:c r="V355" s="2" t="str">
        <x:v>NA</x:v>
      </x:c>
      <x:c r="W355" s="2" t="str">
        <x:v>NR</x:v>
      </x:c>
      <x:c r="X355" s="2" t="str">
        <x:v>NR</x:v>
      </x:c>
      <x:c r="Y355" s="2" t="str">
        <x:v>NA</x:v>
      </x:c>
      <x:c r="Z355" s="2" t="str">
        <x:v>No</x:v>
      </x:c>
      <x:c r="AA355" s="6" t="str">
        <x:v>p. 8; Finding 8</x:v>
      </x:c>
      <x:c r="AB355" s="6" t="str">
        <x:v>All participants agreed that the responses included sufficient supporting information to justify the answers.</x:v>
      </x:c>
      <x:c r="AC355" s="6" t="str">
        <x:v>所有参与者都认为辅助信息足够。</x:v>
      </x:c>
      <x:c r="AD355" s="2" t="str">
        <x:v>Accepted</x:v>
      </x:c>
      <x:c r="AE355" s="6" t="str">
        <x:v>NA</x:v>
      </x:c>
    </x:row>
    <x:row r="356" ht="76" customHeight="1">
      <x:c r="A356" s="2" t="str">
        <x:v>S30-RESULT-R09</x:v>
      </x:c>
      <x:c r="B356" s="2" t="str">
        <x:v>S30</x:v>
      </x:c>
      <x:c r="C356" s="2" t="str">
        <x:v>merged_1218</x:v>
      </x:c>
      <x:c r="D356" s="2" t="str">
        <x:v>Reviewer_A</x:v>
      </x:c>
      <x:c r="E356" s="2" t="str">
        <x:v>Reviewer_A</x:v>
      </x:c>
      <x:c r="F356" s="2" t="str">
        <x:v>S30-R09</x:v>
      </x:c>
      <x:c r="G356" s="2" t="str">
        <x:v>S30-EV02</x:v>
      </x:c>
      <x:c r="H356" s="2" t="str">
        <x:v>S30-T02</x:v>
      </x:c>
      <x:c r="I356" s="2" t="str">
        <x:v>NA</x:v>
      </x:c>
      <x:c r="J356" s="2" t="str">
        <x:v>Non-profit organization care (NPO) Azure DevOps repository</x:v>
      </x:c>
      <x:c r="K356" s="2" t="str">
        <x:v>GDI</x:v>
      </x:c>
      <x:c r="L356" s="2" t="str">
        <x:v>No</x:v>
      </x:c>
      <x:c r="M356" s="2" t="str">
        <x:v>identified use cases</x:v>
      </x:c>
      <x:c r="N356" s="6" t="str">
        <x:v>onboarding, TLR, troubleshooting, understanding context, progress tracking</x:v>
      </x:c>
      <x:c r="O356" s="2" t="str">
        <x:v>NA</x:v>
      </x:c>
      <x:c r="P356" s="2" t="str">
        <x:v>NA</x:v>
      </x:c>
      <x:c r="Q356" s="6" t="str">
        <x:v>NA</x:v>
      </x:c>
      <x:c r="R356" s="2" t="str">
        <x:v>NA</x:v>
      </x:c>
      <x:c r="S356" s="2" t="str">
        <x:v>NR</x:v>
      </x:c>
      <x:c r="T356" s="2" t="str">
        <x:v>Not compared</x:v>
      </x:c>
      <x:c r="U356" s="2" t="str">
        <x:v>Not tested</x:v>
      </x:c>
      <x:c r="V356" s="2" t="str">
        <x:v>NA</x:v>
      </x:c>
      <x:c r="W356" s="2" t="str">
        <x:v>NR</x:v>
      </x:c>
      <x:c r="X356" s="2" t="str">
        <x:v>NR</x:v>
      </x:c>
      <x:c r="Y356" s="2" t="str">
        <x:v>NA</x:v>
      </x:c>
      <x:c r="Z356" s="2" t="str">
        <x:v>No</x:v>
      </x:c>
      <x:c r="AA356" s="6" t="str">
        <x:v>p. 8; Finding 9</x:v>
      </x:c>
      <x:c r="AB356" s="6" t="str">
        <x:v>Participants would use GDI for onboarding and knowledge sharing, TLR, troubleshooting and work item resolution, understanding context, and progress tracking.</x:v>
      </x:c>
      <x:c r="AC356" s="6" t="str">
        <x:v>用途包括入职、TLR、故障排除等。</x:v>
      </x:c>
      <x:c r="AD356" s="2" t="str">
        <x:v>Accepted</x:v>
      </x:c>
      <x:c r="AE356" s="6" t="str">
        <x:v>NA</x:v>
      </x:c>
    </x:row>
    <x:row r="357" ht="76" customHeight="1">
      <x:c r="A357" s="2" t="str">
        <x:v>S30-RESULT-R10</x:v>
      </x:c>
      <x:c r="B357" s="2" t="str">
        <x:v>S30</x:v>
      </x:c>
      <x:c r="C357" s="2" t="str">
        <x:v>merged_1218</x:v>
      </x:c>
      <x:c r="D357" s="2" t="str">
        <x:v>Reviewer_A</x:v>
      </x:c>
      <x:c r="E357" s="2" t="str">
        <x:v>Reviewer_A</x:v>
      </x:c>
      <x:c r="F357" s="2" t="str">
        <x:v>S30-R10</x:v>
      </x:c>
      <x:c r="G357" s="2" t="str">
        <x:v>S30-EV02</x:v>
      </x:c>
      <x:c r="H357" s="2" t="str">
        <x:v>S30-T02</x:v>
      </x:c>
      <x:c r="I357" s="2" t="str">
        <x:v>NA</x:v>
      </x:c>
      <x:c r="J357" s="2" t="str">
        <x:v>Non-profit organization care (NPO) Azure DevOps repository</x:v>
      </x:c>
      <x:c r="K357" s="2" t="str">
        <x:v>GDI</x:v>
      </x:c>
      <x:c r="L357" s="2" t="str">
        <x:v>No</x:v>
      </x:c>
      <x:c r="M357" s="2" t="str">
        <x:v>adoption likelihood rating</x:v>
      </x:c>
      <x:c r="N357" s="6" t="str">
        <x:v>two extremely likely, two likely, one neutral</x:v>
      </x:c>
      <x:c r="O357" s="2" t="str">
        <x:v>NA</x:v>
      </x:c>
      <x:c r="P357" s="2" t="str">
        <x:v>NA</x:v>
      </x:c>
      <x:c r="Q357" s="6" t="str">
        <x:v>NA</x:v>
      </x:c>
      <x:c r="R357" s="2" t="str">
        <x:v>NA</x:v>
      </x:c>
      <x:c r="S357" s="2" t="str">
        <x:v>NR</x:v>
      </x:c>
      <x:c r="T357" s="2" t="str">
        <x:v>Mixed</x:v>
      </x:c>
      <x:c r="U357" s="2" t="str">
        <x:v>Not tested</x:v>
      </x:c>
      <x:c r="V357" s="2" t="str">
        <x:v>NA</x:v>
      </x:c>
      <x:c r="W357" s="2" t="str">
        <x:v>NR</x:v>
      </x:c>
      <x:c r="X357" s="2" t="str">
        <x:v>NR</x:v>
      </x:c>
      <x:c r="Y357" s="2" t="str">
        <x:v>NA</x:v>
      </x:c>
      <x:c r="Z357" s="2" t="str">
        <x:v>Yes</x:v>
      </x:c>
      <x:c r="AA357" s="6" t="str">
        <x:v>p. 9; Finding 10</x:v>
      </x:c>
      <x:c r="AB357" s="6" t="str">
        <x:v>two indicating they were extremely likely to use it, two likely, and one neutral.</x:v>
      </x:c>
      <x:c r="AC357" s="6" t="str">
        <x:v>采纳可能性：2人极可能，2人可能，1人中立。</x:v>
      </x:c>
      <x:c r="AD357" s="2" t="str">
        <x:v>Accepted</x:v>
      </x:c>
      <x:c r="AE357" s="6" t="str">
        <x:v>One participant neutral.</x:v>
      </x:c>
    </x:row>
    <x:row r="358" ht="76" customHeight="1">
      <x:c r="A358" s="2" t="str">
        <x:v>S31-RESULT-R01</x:v>
      </x:c>
      <x:c r="B358" s="2" t="str">
        <x:v>S31</x:v>
      </x:c>
      <x:c r="C358" s="2" t="str">
        <x:v>merged_1219</x:v>
      </x:c>
      <x:c r="D358" s="2" t="str">
        <x:v>Reviewer_A</x:v>
      </x:c>
      <x:c r="E358" s="2" t="str">
        <x:v>Reviewer_A</x:v>
      </x:c>
      <x:c r="F358" s="2" t="str">
        <x:v>S31-R01</x:v>
      </x:c>
      <x:c r="G358" s="2" t="str">
        <x:v>S31-EV01</x:v>
      </x:c>
      <x:c r="H358" s="2" t="str">
        <x:v>S31-T01</x:v>
      </x:c>
      <x:c r="I358" s="2" t="str">
        <x:v>NA</x:v>
      </x:c>
      <x:c r="J358" s="2" t="str">
        <x:v>Automotive security trace-link case</x:v>
      </x:c>
      <x:c r="K358" s="2" t="str">
        <x:v>AI-generated report</x:v>
      </x:c>
      <x:c r="L358" s="2" t="str">
        <x:v>Expert-written report</x:v>
      </x:c>
      <x:c r="M358" s="2" t="str">
        <x:v>Mean pre-to-post quiz score gain (percentage points)</x:v>
      </x:c>
      <x:c r="N358" s="6" t="str">
        <x:v>59 percentage points</x:v>
      </x:c>
      <x:c r="O358" s="2" t="n">
        <x:v>59</x:v>
      </x:c>
      <x:c r="P358" s="2" t="str">
        <x:v>percentage points</x:v>
      </x:c>
      <x:c r="Q358" s="6" t="str">
        <x:v>16 percentage points</x:v>
      </x:c>
      <x:c r="R358" s="2" t="n">
        <x:v>16</x:v>
      </x:c>
      <x:c r="S358" s="2" t="str">
        <x:v>NR</x:v>
      </x:c>
      <x:c r="T358" s="2" t="str">
        <x:v>Better</x:v>
      </x:c>
      <x:c r="U358" s="2" t="str">
        <x:v>Significant</x:v>
      </x:c>
      <x:c r="V358" s="2" t="str">
        <x:v>large effect sizes (r=-0.91 vs -0.79)</x:v>
      </x:c>
      <x:c r="W358" s="2" t="str">
        <x:v>NR</x:v>
      </x:c>
      <x:c r="X358" s="2" t="str">
        <x:v>NR</x:v>
      </x:c>
      <x:c r="Y358" s="2" t="str">
        <x:v>Two participants in expert group had negative gain (E9, E11)</x:v>
      </x:c>
      <x:c r="Z358" s="2" t="str">
        <x:v>No</x:v>
      </x:c>
      <x:c r="AA358" s="6" t="str">
        <x:v>p. 5; Section IV-B</x:v>
      </x:c>
      <x:c r="AB358" s="6" t="str">
        <x:v>answered questions on the pre-quiz to 98 % on the postquiz, a jump of 59 percentage points. In contrast, the 12 participants who read the expert-written control improved from</x:v>
      </x:c>
      <x:c r="AC358" s="6" t="str">
        <x:v>AI生成组平均提高59个百分点，远超专家组的16个百分点，且差异显著</x:v>
      </x:c>
      <x:c r="AD358" s="2" t="str">
        <x:v>Accepted</x:v>
      </x:c>
      <x:c r="AE358" s="6" t="str">
        <x:v>NA</x:v>
      </x:c>
    </x:row>
    <x:row r="359" ht="76" customHeight="1">
      <x:c r="A359" s="2" t="str">
        <x:v>S31-RESULT-R02</x:v>
      </x:c>
      <x:c r="B359" s="2" t="str">
        <x:v>S31</x:v>
      </x:c>
      <x:c r="C359" s="2" t="str">
        <x:v>merged_1219</x:v>
      </x:c>
      <x:c r="D359" s="2" t="str">
        <x:v>Reviewer_A</x:v>
      </x:c>
      <x:c r="E359" s="2" t="str">
        <x:v>Reviewer_A</x:v>
      </x:c>
      <x:c r="F359" s="2" t="str">
        <x:v>S31-R02</x:v>
      </x:c>
      <x:c r="G359" s="2" t="str">
        <x:v>S31-EV01</x:v>
      </x:c>
      <x:c r="H359" s="2" t="str">
        <x:v>S31-T01</x:v>
      </x:c>
      <x:c r="I359" s="2" t="str">
        <x:v>NA</x:v>
      </x:c>
      <x:c r="J359" s="2" t="str">
        <x:v>Automotive security trace-link case</x:v>
      </x:c>
      <x:c r="K359" s="2" t="str">
        <x:v>AI-generated report</x:v>
      </x:c>
      <x:c r="L359" s="2" t="str">
        <x:v>Expert-written report</x:v>
      </x:c>
      <x:c r="M359" s="2" t="str">
        <x:v>Mann-Whitney U (post-quiz scores)</x:v>
      </x:c>
      <x:c r="N359" s="6" t="str">
        <x:v>U = 39.0, p = 0.032</x:v>
      </x:c>
      <x:c r="O359" s="2" t="n">
        <x:v>39</x:v>
      </x:c>
      <x:c r="P359" s="2" t="str">
        <x:v>U statistic</x:v>
      </x:c>
      <x:c r="Q359" s="6" t="str">
        <x:v>NR</x:v>
      </x:c>
      <x:c r="R359" s="2" t="str">
        <x:v>NA</x:v>
      </x:c>
      <x:c r="S359" s="2" t="str">
        <x:v>NR</x:v>
      </x:c>
      <x:c r="T359" s="2" t="str">
        <x:v>Better</x:v>
      </x:c>
      <x:c r="U359" s="2" t="str">
        <x:v>Significant</x:v>
      </x:c>
      <x:c r="V359" s="2" t="str">
        <x:v>Sig.</x:v>
      </x:c>
      <x:c r="W359" s="2" t="str">
        <x:v>NR</x:v>
      </x:c>
      <x:c r="X359" s="2" t="str">
        <x:v>NR</x:v>
      </x:c>
      <x:c r="Y359" s="2" t="str">
        <x:v>NR</x:v>
      </x:c>
      <x:c r="Z359" s="2" t="str">
        <x:v>No</x:v>
      </x:c>
      <x:c r="AA359" s="6" t="str">
        <x:v>p. 5; Table I</x:v>
      </x:c>
      <x:c r="AB359" s="6" t="str">
        <x:v>Generated vs. Expert (Post) 39.0 0.032 Significant</x:v>
      </x:c>
      <x:c r="AC359" s="6" t="str">
        <x:v>AI生成组与专家组后测分数差异显著，AI组更高</x:v>
      </x:c>
      <x:c r="AD359" s="2" t="str">
        <x:v>Accepted</x:v>
      </x:c>
      <x:c r="AE359" s="6" t="str">
        <x:v>NA</x:v>
      </x:c>
    </x:row>
    <x:row r="360" ht="76" customHeight="1">
      <x:c r="A360" s="2" t="str">
        <x:v>S31-RESULT-R03</x:v>
      </x:c>
      <x:c r="B360" s="2" t="str">
        <x:v>S31</x:v>
      </x:c>
      <x:c r="C360" s="2" t="str">
        <x:v>merged_1219</x:v>
      </x:c>
      <x:c r="D360" s="2" t="str">
        <x:v>Reviewer_A</x:v>
      </x:c>
      <x:c r="E360" s="2" t="str">
        <x:v>Reviewer_A</x:v>
      </x:c>
      <x:c r="F360" s="2" t="str">
        <x:v>S31-R03</x:v>
      </x:c>
      <x:c r="G360" s="2" t="str">
        <x:v>S31-EV01</x:v>
      </x:c>
      <x:c r="H360" s="2" t="str">
        <x:v>S31-T01</x:v>
      </x:c>
      <x:c r="I360" s="2" t="str">
        <x:v>NA</x:v>
      </x:c>
      <x:c r="J360" s="2" t="str">
        <x:v>Automotive security trace-link case</x:v>
      </x:c>
      <x:c r="K360" s="2" t="str">
        <x:v>AI-generated report</x:v>
      </x:c>
      <x:c r="L360" s="2" t="str">
        <x:v>Expert-written report</x:v>
      </x:c>
      <x:c r="M360" s="2" t="str">
        <x:v>Mann-Whitney U (gain scores)</x:v>
      </x:c>
      <x:c r="N360" s="6" t="str">
        <x:v>U = 17.5, p = 0.001</x:v>
      </x:c>
      <x:c r="O360" s="2" t="n">
        <x:v>17.5</x:v>
      </x:c>
      <x:c r="P360" s="2" t="str">
        <x:v>U statistic</x:v>
      </x:c>
      <x:c r="Q360" s="6" t="str">
        <x:v>NR</x:v>
      </x:c>
      <x:c r="R360" s="2" t="str">
        <x:v>NA</x:v>
      </x:c>
      <x:c r="S360" s="2" t="str">
        <x:v>NR</x:v>
      </x:c>
      <x:c r="T360" s="2" t="str">
        <x:v>Better</x:v>
      </x:c>
      <x:c r="U360" s="2" t="str">
        <x:v>Significant</x:v>
      </x:c>
      <x:c r="V360" s="2" t="str">
        <x:v>Sig.</x:v>
      </x:c>
      <x:c r="W360" s="2" t="str">
        <x:v>NR</x:v>
      </x:c>
      <x:c r="X360" s="2" t="str">
        <x:v>NR</x:v>
      </x:c>
      <x:c r="Y360" s="2" t="str">
        <x:v>NR</x:v>
      </x:c>
      <x:c r="Z360" s="2" t="str">
        <x:v>No</x:v>
      </x:c>
      <x:c r="AA360" s="6" t="str">
        <x:v>p. 5; Table I</x:v>
      </x:c>
      <x:c r="AB360" s="6" t="str">
        <x:v>Generated vs. Expert (Gain) 17.5 0.001 Significant</x:v>
      </x:c>
      <x:c r="AC360" s="6" t="str">
        <x:v>AI组的学习收益显著高于专家组</x:v>
      </x:c>
      <x:c r="AD360" s="2" t="str">
        <x:v>Accepted</x:v>
      </x:c>
      <x:c r="AE360" s="6" t="str">
        <x:v>NA</x:v>
      </x:c>
    </x:row>
    <x:row r="361" ht="76" customHeight="1">
      <x:c r="A361" s="2" t="str">
        <x:v>S31-RESULT-R04</x:v>
      </x:c>
      <x:c r="B361" s="2" t="str">
        <x:v>S31</x:v>
      </x:c>
      <x:c r="C361" s="2" t="str">
        <x:v>merged_1219</x:v>
      </x:c>
      <x:c r="D361" s="2" t="str">
        <x:v>Reviewer_A</x:v>
      </x:c>
      <x:c r="E361" s="2" t="str">
        <x:v>Reviewer_A</x:v>
      </x:c>
      <x:c r="F361" s="2" t="str">
        <x:v>S31-R04</x:v>
      </x:c>
      <x:c r="G361" s="2" t="str">
        <x:v>S31-EV01</x:v>
      </x:c>
      <x:c r="H361" s="2" t="str">
        <x:v>S31-T01</x:v>
      </x:c>
      <x:c r="I361" s="2" t="str">
        <x:v>NA</x:v>
      </x:c>
      <x:c r="J361" s="2" t="str">
        <x:v>Automotive security trace-link case</x:v>
      </x:c>
      <x:c r="K361" s="2" t="str">
        <x:v>AI-generated report</x:v>
      </x:c>
      <x:c r="L361" s="2" t="str">
        <x:v>No baseline (within-group)</x:v>
      </x:c>
      <x:c r="M361" s="2" t="str">
        <x:v>Wilcoxon signed-rank (pre vs post)</x:v>
      </x:c>
      <x:c r="N361" s="6" t="str">
        <x:v>W = 0, p = 0.002</x:v>
      </x:c>
      <x:c r="O361" s="2" t="n">
        <x:v>0</x:v>
      </x:c>
      <x:c r="P361" s="2" t="str">
        <x:v>W statistic</x:v>
      </x:c>
      <x:c r="Q361" s="6" t="str">
        <x:v>NR</x:v>
      </x:c>
      <x:c r="R361" s="2" t="str">
        <x:v>NA</x:v>
      </x:c>
      <x:c r="S361" s="2" t="str">
        <x:v>NR</x:v>
      </x:c>
      <x:c r="T361" s="2" t="str">
        <x:v>Better</x:v>
      </x:c>
      <x:c r="U361" s="2" t="str">
        <x:v>Significant</x:v>
      </x:c>
      <x:c r="V361" s="2" t="str">
        <x:v>large effect size r = -0.91</x:v>
      </x:c>
      <x:c r="W361" s="2" t="str">
        <x:v>NR</x:v>
      </x:c>
      <x:c r="X361" s="2" t="str">
        <x:v>NR</x:v>
      </x:c>
      <x:c r="Y361" s="2" t="str">
        <x:v>NR</x:v>
      </x:c>
      <x:c r="Z361" s="2" t="str">
        <x:v>No</x:v>
      </x:c>
      <x:c r="AA361" s="6" t="str">
        <x:v>p. 5; Section IV-B</x:v>
      </x:c>
      <x:c r="AB361" s="6" t="str">
        <x:v>Generated: W = 0, p = 0.002</x:v>
      </x:c>
      <x:c r="AC361" s="6" t="str">
        <x:v>AI组前后测提升显著</x:v>
      </x:c>
      <x:c r="AD361" s="2" t="str">
        <x:v>Accepted</x:v>
      </x:c>
      <x:c r="AE361" s="6" t="str">
        <x:v>NA</x:v>
      </x:c>
    </x:row>
    <x:row r="362" ht="76" customHeight="1">
      <x:c r="A362" s="2" t="str">
        <x:v>S31-RESULT-R05</x:v>
      </x:c>
      <x:c r="B362" s="2" t="str">
        <x:v>S31</x:v>
      </x:c>
      <x:c r="C362" s="2" t="str">
        <x:v>merged_1219</x:v>
      </x:c>
      <x:c r="D362" s="2" t="str">
        <x:v>Reviewer_A</x:v>
      </x:c>
      <x:c r="E362" s="2" t="str">
        <x:v>Reviewer_A</x:v>
      </x:c>
      <x:c r="F362" s="2" t="str">
        <x:v>S31-R05</x:v>
      </x:c>
      <x:c r="G362" s="2" t="str">
        <x:v>S31-EV01</x:v>
      </x:c>
      <x:c r="H362" s="2" t="str">
        <x:v>S31-T01</x:v>
      </x:c>
      <x:c r="I362" s="2" t="str">
        <x:v>NA</x:v>
      </x:c>
      <x:c r="J362" s="2" t="str">
        <x:v>Automotive security trace-link case</x:v>
      </x:c>
      <x:c r="K362" s="2" t="str">
        <x:v>Expert-written report</x:v>
      </x:c>
      <x:c r="L362" s="2" t="str">
        <x:v>No baseline (within-group)</x:v>
      </x:c>
      <x:c r="M362" s="2" t="str">
        <x:v>Wilcoxon signed-rank (pre vs post)</x:v>
      </x:c>
      <x:c r="N362" s="6" t="str">
        <x:v>W = 5, p = 0.003</x:v>
      </x:c>
      <x:c r="O362" s="2" t="n">
        <x:v>5</x:v>
      </x:c>
      <x:c r="P362" s="2" t="str">
        <x:v>W statistic</x:v>
      </x:c>
      <x:c r="Q362" s="6" t="str">
        <x:v>NR</x:v>
      </x:c>
      <x:c r="R362" s="2" t="str">
        <x:v>NA</x:v>
      </x:c>
      <x:c r="S362" s="2" t="str">
        <x:v>NR</x:v>
      </x:c>
      <x:c r="T362" s="2" t="str">
        <x:v>Better</x:v>
      </x:c>
      <x:c r="U362" s="2" t="str">
        <x:v>Significant</x:v>
      </x:c>
      <x:c r="V362" s="2" t="str">
        <x:v>large effect size r = -0.79</x:v>
      </x:c>
      <x:c r="W362" s="2" t="str">
        <x:v>NR</x:v>
      </x:c>
      <x:c r="X362" s="2" t="str">
        <x:v>NR</x:v>
      </x:c>
      <x:c r="Y362" s="2" t="str">
        <x:v>NR</x:v>
      </x:c>
      <x:c r="Z362" s="2" t="str">
        <x:v>No</x:v>
      </x:c>
      <x:c r="AA362" s="6" t="str">
        <x:v>p. 5; Section IV-B</x:v>
      </x:c>
      <x:c r="AB362" s="6" t="str">
        <x:v>Expert: W = 5, p = 0.003</x:v>
      </x:c>
      <x:c r="AC362" s="6" t="str">
        <x:v>专家组前后测也有显著提升，但效应较小</x:v>
      </x:c>
      <x:c r="AD362" s="2" t="str">
        <x:v>Accepted</x:v>
      </x:c>
      <x:c r="AE362" s="6" t="str">
        <x:v>NA</x:v>
      </x:c>
    </x:row>
    <x:row r="363" ht="76" customHeight="1">
      <x:c r="A363" s="2" t="str">
        <x:v>S31-RESULT-R06</x:v>
      </x:c>
      <x:c r="B363" s="2" t="str">
        <x:v>S31</x:v>
      </x:c>
      <x:c r="C363" s="2" t="str">
        <x:v>merged_1219</x:v>
      </x:c>
      <x:c r="D363" s="2" t="str">
        <x:v>Reviewer_A</x:v>
      </x:c>
      <x:c r="E363" s="2" t="str">
        <x:v>Reviewer_A</x:v>
      </x:c>
      <x:c r="F363" s="2" t="str">
        <x:v>S31-R06</x:v>
      </x:c>
      <x:c r="G363" s="2" t="str">
        <x:v>S31-EV01</x:v>
      </x:c>
      <x:c r="H363" s="2" t="str">
        <x:v>S31-T01</x:v>
      </x:c>
      <x:c r="I363" s="2" t="str">
        <x:v>NA</x:v>
      </x:c>
      <x:c r="J363" s="2" t="str">
        <x:v>Automotive security trace-link case</x:v>
      </x:c>
      <x:c r="K363" s="2" t="str">
        <x:v>AI-generated report</x:v>
      </x:c>
      <x:c r="L363" s="2" t="str">
        <x:v>NR</x:v>
      </x:c>
      <x:c r="M363" s="2" t="str">
        <x:v>Effect size (rank-biserial r)</x:v>
      </x:c>
      <x:c r="N363" s="6" t="str">
        <x:v>r = -0.91</x:v>
      </x:c>
      <x:c r="O363" s="2" t="n">
        <x:v>-0.91</x:v>
      </x:c>
      <x:c r="P363" s="2" t="str">
        <x:v>proportion</x:v>
      </x:c>
      <x:c r="Q363" s="6" t="str">
        <x:v>NR</x:v>
      </x:c>
      <x:c r="R363" s="2" t="str">
        <x:v>NA</x:v>
      </x:c>
      <x:c r="S363" s="2" t="str">
        <x:v>NR</x:v>
      </x:c>
      <x:c r="T363" s="2" t="str">
        <x:v>Not compared</x:v>
      </x:c>
      <x:c r="U363" s="2" t="str">
        <x:v>NA</x:v>
      </x:c>
      <x:c r="V363" s="2" t="str">
        <x:v>large effect</x:v>
      </x:c>
      <x:c r="W363" s="2" t="str">
        <x:v>NR</x:v>
      </x:c>
      <x:c r="X363" s="2" t="str">
        <x:v>NR</x:v>
      </x:c>
      <x:c r="Y363" s="2" t="str">
        <x:v>NR</x:v>
      </x:c>
      <x:c r="Z363" s="2" t="str">
        <x:v>No</x:v>
      </x:c>
      <x:c r="AA363" s="6" t="str">
        <x:v>p. 5; Section IV-B</x:v>
      </x:c>
      <x:c r="AB363" s="6" t="str">
        <x:v>the generated report yielding a larger effect on quiz scores (r = -0.91 vs. r = -0.79)</x:v>
      </x:c>
      <x:c r="AC363" s="6" t="str">
        <x:v>AI组效应量很大</x:v>
      </x:c>
      <x:c r="AD363" s="2" t="str">
        <x:v>Accepted</x:v>
      </x:c>
      <x:c r="AE363" s="6" t="str">
        <x:v>NA</x:v>
      </x:c>
    </x:row>
    <x:row r="364" ht="76" customHeight="1">
      <x:c r="A364" s="2" t="str">
        <x:v>S31-RESULT-R07</x:v>
      </x:c>
      <x:c r="B364" s="2" t="str">
        <x:v>S31</x:v>
      </x:c>
      <x:c r="C364" s="2" t="str">
        <x:v>merged_1219</x:v>
      </x:c>
      <x:c r="D364" s="2" t="str">
        <x:v>Reviewer_A</x:v>
      </x:c>
      <x:c r="E364" s="2" t="str">
        <x:v>Reviewer_A</x:v>
      </x:c>
      <x:c r="F364" s="2" t="str">
        <x:v>S31-R07</x:v>
      </x:c>
      <x:c r="G364" s="2" t="str">
        <x:v>S31-EV01</x:v>
      </x:c>
      <x:c r="H364" s="2" t="str">
        <x:v>S31-T01</x:v>
      </x:c>
      <x:c r="I364" s="2" t="str">
        <x:v>NA</x:v>
      </x:c>
      <x:c r="J364" s="2" t="str">
        <x:v>Automotive security trace-link case</x:v>
      </x:c>
      <x:c r="K364" s="2" t="str">
        <x:v>Expert-written report</x:v>
      </x:c>
      <x:c r="L364" s="2" t="str">
        <x:v>NR</x:v>
      </x:c>
      <x:c r="M364" s="2" t="str">
        <x:v>Effect size (rank-biserial r)</x:v>
      </x:c>
      <x:c r="N364" s="6" t="str">
        <x:v>r = -0.79</x:v>
      </x:c>
      <x:c r="O364" s="2" t="n">
        <x:v>-0.79</x:v>
      </x:c>
      <x:c r="P364" s="2" t="str">
        <x:v>proportion</x:v>
      </x:c>
      <x:c r="Q364" s="6" t="str">
        <x:v>NR</x:v>
      </x:c>
      <x:c r="R364" s="2" t="str">
        <x:v>NA</x:v>
      </x:c>
      <x:c r="S364" s="2" t="str">
        <x:v>NR</x:v>
      </x:c>
      <x:c r="T364" s="2" t="str">
        <x:v>Not compared</x:v>
      </x:c>
      <x:c r="U364" s="2" t="str">
        <x:v>NA</x:v>
      </x:c>
      <x:c r="V364" s="2" t="str">
        <x:v>large effect</x:v>
      </x:c>
      <x:c r="W364" s="2" t="str">
        <x:v>NR</x:v>
      </x:c>
      <x:c r="X364" s="2" t="str">
        <x:v>NR</x:v>
      </x:c>
      <x:c r="Y364" s="2" t="str">
        <x:v>NR</x:v>
      </x:c>
      <x:c r="Z364" s="2" t="str">
        <x:v>No</x:v>
      </x:c>
      <x:c r="AA364" s="6" t="str">
        <x:v>p. 5; Section IV-B</x:v>
      </x:c>
      <x:c r="AB364" s="6" t="str">
        <x:v>r = -0.79</x:v>
      </x:c>
      <x:c r="AC364" s="6" t="str">
        <x:v>专家组效应量也大，但较AI组小</x:v>
      </x:c>
      <x:c r="AD364" s="2" t="str">
        <x:v>Accepted</x:v>
      </x:c>
      <x:c r="AE364" s="6" t="str">
        <x:v>NA</x:v>
      </x:c>
    </x:row>
    <x:row r="365" ht="76" customHeight="1">
      <x:c r="A365" s="2" t="str">
        <x:v>S31-RESULT-R08</x:v>
      </x:c>
      <x:c r="B365" s="2" t="str">
        <x:v>S31</x:v>
      </x:c>
      <x:c r="C365" s="2" t="str">
        <x:v>merged_1219</x:v>
      </x:c>
      <x:c r="D365" s="2" t="str">
        <x:v>Reviewer_A</x:v>
      </x:c>
      <x:c r="E365" s="2" t="str">
        <x:v>Reviewer_A</x:v>
      </x:c>
      <x:c r="F365" s="2" t="str">
        <x:v>S31-R08</x:v>
      </x:c>
      <x:c r="G365" s="2" t="str">
        <x:v>S31-EV01</x:v>
      </x:c>
      <x:c r="H365" s="2" t="str">
        <x:v>S31-T01</x:v>
      </x:c>
      <x:c r="I365" s="2" t="str">
        <x:v>NA</x:v>
      </x:c>
      <x:c r="J365" s="2" t="str">
        <x:v>Automotive security trace-link case</x:v>
      </x:c>
      <x:c r="K365" s="2" t="str">
        <x:v>All participants</x:v>
      </x:c>
      <x:c r="L365" s="2" t="str">
        <x:v>NR</x:v>
      </x:c>
      <x:c r="M365" s="2" t="str">
        <x:v>Spearman ρ (baseline score vs improvement)</x:v>
      </x:c>
      <x:c r="N365" s="6" t="str">
        <x:v>ρ = -0.82, p &lt; 0.001</x:v>
      </x:c>
      <x:c r="O365" s="2" t="n">
        <x:v>-0.82</x:v>
      </x:c>
      <x:c r="P365" s="2" t="str">
        <x:v>proportion</x:v>
      </x:c>
      <x:c r="Q365" s="6" t="str">
        <x:v>NR</x:v>
      </x:c>
      <x:c r="R365" s="2" t="str">
        <x:v>NA</x:v>
      </x:c>
      <x:c r="S365" s="2" t="str">
        <x:v>NR</x:v>
      </x:c>
      <x:c r="T365" s="2" t="str">
        <x:v>Not compared</x:v>
      </x:c>
      <x:c r="U365" s="2" t="str">
        <x:v>Significant</x:v>
      </x:c>
      <x:c r="V365" s="2" t="str">
        <x:v>strong negative correlation</x:v>
      </x:c>
      <x:c r="W365" s="2" t="str">
        <x:v>NR</x:v>
      </x:c>
      <x:c r="X365" s="2" t="str">
        <x:v>NR</x:v>
      </x:c>
      <x:c r="Y365" s="2" t="str">
        <x:v>NR</x:v>
      </x:c>
      <x:c r="Z365" s="2" t="str">
        <x:v>No</x:v>
      </x:c>
      <x:c r="AA365" s="6" t="str">
        <x:v>p. 6; Section V-A</x:v>
      </x:c>
      <x:c r="AB365" s="6" t="str">
        <x:v>with learning gains, with, a strong negative correlation being observed between baseline knowledge and improvement (ϱ =</x:v>
      </x:c>
      <x:c r="AC365" s="6" t="str">
        <x:v>基础越差的参与者进步越大</x:v>
      </x:c>
      <x:c r="AD365" s="2" t="str">
        <x:v>Accepted</x:v>
      </x:c>
      <x:c r="AE365" s="6" t="str">
        <x:v>NA</x:v>
      </x:c>
    </x:row>
    <x:row r="366" ht="76" customHeight="1">
      <x:c r="A366" s="2" t="str">
        <x:v>S31-RESULT-R09</x:v>
      </x:c>
      <x:c r="B366" s="2" t="str">
        <x:v>S31</x:v>
      </x:c>
      <x:c r="C366" s="2" t="str">
        <x:v>merged_1219</x:v>
      </x:c>
      <x:c r="D366" s="2" t="str">
        <x:v>Reviewer_A</x:v>
      </x:c>
      <x:c r="E366" s="2" t="str">
        <x:v>Reviewer_A</x:v>
      </x:c>
      <x:c r="F366" s="2" t="str">
        <x:v>S31-R09</x:v>
      </x:c>
      <x:c r="G366" s="2" t="str">
        <x:v>S31-EV01</x:v>
      </x:c>
      <x:c r="H366" s="2" t="str">
        <x:v>S31-T01</x:v>
      </x:c>
      <x:c r="I366" s="2" t="str">
        <x:v>NA</x:v>
      </x:c>
      <x:c r="J366" s="2" t="str">
        <x:v>Automotive security trace-link case</x:v>
      </x:c>
      <x:c r="K366" s="2" t="str">
        <x:v>Domain experts</x:v>
      </x:c>
      <x:c r="L366" s="2" t="str">
        <x:v>Non-domain participants</x:v>
      </x:c>
      <x:c r="M366" s="2" t="str">
        <x:v>Mann-Whitney U (pre-quiz)</x:v>
      </x:c>
      <x:c r="N366" s="6" t="str">
        <x:v>U = 35.0, p = 0.028</x:v>
      </x:c>
      <x:c r="O366" s="2" t="n">
        <x:v>35</x:v>
      </x:c>
      <x:c r="P366" s="2" t="str">
        <x:v>U statistic</x:v>
      </x:c>
      <x:c r="Q366" s="6" t="str">
        <x:v>NR</x:v>
      </x:c>
      <x:c r="R366" s="2" t="str">
        <x:v>NA</x:v>
      </x:c>
      <x:c r="S366" s="2" t="str">
        <x:v>NR</x:v>
      </x:c>
      <x:c r="T366" s="2" t="str">
        <x:v>Better</x:v>
      </x:c>
      <x:c r="U366" s="2" t="str">
        <x:v>Significant</x:v>
      </x:c>
      <x:c r="V366" s="2" t="str">
        <x:v>Sig.</x:v>
      </x:c>
      <x:c r="W366" s="2" t="str">
        <x:v>NR</x:v>
      </x:c>
      <x:c r="X366" s="2" t="str">
        <x:v>NR</x:v>
      </x:c>
      <x:c r="Y366" s="2" t="str">
        <x:v>NR</x:v>
      </x:c>
      <x:c r="Z366" s="2" t="str">
        <x:v>No</x:v>
      </x:c>
      <x:c r="AA366" s="6" t="str">
        <x:v>p. 5; Table I</x:v>
      </x:c>
      <x:c r="AB366" s="6" t="str">
        <x:v>Domain vs. Non-Domain (Pre) 35.0 0.028 Significant</x:v>
      </x:c>
      <x:c r="AC366" s="6" t="str">
        <x:v>领域专家前测分数显著高于非领域参与者</x:v>
      </x:c>
      <x:c r="AD366" s="2" t="str">
        <x:v>Accepted</x:v>
      </x:c>
      <x:c r="AE366" s="6" t="str">
        <x:v>NA</x:v>
      </x:c>
    </x:row>
    <x:row r="367" ht="76" customHeight="1">
      <x:c r="A367" s="2" t="str">
        <x:v>S31-RESULT-R10</x:v>
      </x:c>
      <x:c r="B367" s="2" t="str">
        <x:v>S31</x:v>
      </x:c>
      <x:c r="C367" s="2" t="str">
        <x:v>merged_1219</x:v>
      </x:c>
      <x:c r="D367" s="2" t="str">
        <x:v>Reviewer_A</x:v>
      </x:c>
      <x:c r="E367" s="2" t="str">
        <x:v>Reviewer_A</x:v>
      </x:c>
      <x:c r="F367" s="2" t="str">
        <x:v>S31-R10</x:v>
      </x:c>
      <x:c r="G367" s="2" t="str">
        <x:v>S31-EV01</x:v>
      </x:c>
      <x:c r="H367" s="2" t="str">
        <x:v>S31-T01</x:v>
      </x:c>
      <x:c r="I367" s="2" t="str">
        <x:v>NA</x:v>
      </x:c>
      <x:c r="J367" s="2" t="str">
        <x:v>Automotive security trace-link case</x:v>
      </x:c>
      <x:c r="K367" s="2" t="str">
        <x:v>Domain experts</x:v>
      </x:c>
      <x:c r="L367" s="2" t="str">
        <x:v>Non-domain participants</x:v>
      </x:c>
      <x:c r="M367" s="2" t="str">
        <x:v>Mann-Whitney U (post-quiz)</x:v>
      </x:c>
      <x:c r="N367" s="6" t="str">
        <x:v>U = 85.5, p = 0.390</x:v>
      </x:c>
      <x:c r="O367" s="2" t="n">
        <x:v>85.5</x:v>
      </x:c>
      <x:c r="P367" s="2" t="str">
        <x:v>U statistic</x:v>
      </x:c>
      <x:c r="Q367" s="6" t="str">
        <x:v>NR</x:v>
      </x:c>
      <x:c r="R367" s="2" t="str">
        <x:v>NA</x:v>
      </x:c>
      <x:c r="S367" s="2" t="str">
        <x:v>NR</x:v>
      </x:c>
      <x:c r="T367" s="2" t="str">
        <x:v>Comparable</x:v>
      </x:c>
      <x:c r="U367" s="2" t="str">
        <x:v>Not significant</x:v>
      </x:c>
      <x:c r="V367" s="2" t="str">
        <x:v>No significant difference</x:v>
      </x:c>
      <x:c r="W367" s="2" t="str">
        <x:v>NR</x:v>
      </x:c>
      <x:c r="X367" s="2" t="str">
        <x:v>NR</x:v>
      </x:c>
      <x:c r="Y367" s="2" t="str">
        <x:v>NR</x:v>
      </x:c>
      <x:c r="Z367" s="2" t="str">
        <x:v>No</x:v>
      </x:c>
      <x:c r="AA367" s="6" t="str">
        <x:v>p. 5; Table I</x:v>
      </x:c>
      <x:c r="AB367" s="6" t="str">
        <x:v>Domain vs. Non-Domain (Post) 85.5 0.390 Not Significant</x:v>
      </x:c>
      <x:c r="AC367" s="6" t="str">
        <x:v>后测无显著差异，说明报告弥合了差距</x:v>
      </x:c>
      <x:c r="AD367" s="2" t="str">
        <x:v>Accepted</x:v>
      </x:c>
      <x:c r="AE367" s="6" t="str">
        <x:v>NA</x:v>
      </x:c>
    </x:row>
    <x:row r="368" ht="76" customHeight="1">
      <x:c r="A368" s="2" t="str">
        <x:v>S31-RESULT-R11</x:v>
      </x:c>
      <x:c r="B368" s="2" t="str">
        <x:v>S31</x:v>
      </x:c>
      <x:c r="C368" s="2" t="str">
        <x:v>merged_1219</x:v>
      </x:c>
      <x:c r="D368" s="2" t="str">
        <x:v>Reviewer_A</x:v>
      </x:c>
      <x:c r="E368" s="2" t="str">
        <x:v>Reviewer_A</x:v>
      </x:c>
      <x:c r="F368" s="2" t="str">
        <x:v>S31-R11</x:v>
      </x:c>
      <x:c r="G368" s="2" t="str">
        <x:v>S31-EV01</x:v>
      </x:c>
      <x:c r="H368" s="2" t="str">
        <x:v>S31-T01</x:v>
      </x:c>
      <x:c r="I368" s="2" t="str">
        <x:v>NA</x:v>
      </x:c>
      <x:c r="J368" s="2" t="str">
        <x:v>Automotive security trace-link case</x:v>
      </x:c>
      <x:c r="K368" s="2" t="str">
        <x:v>AI-generated report</x:v>
      </x:c>
      <x:c r="L368" s="2" t="str">
        <x:v>Expert-written report</x:v>
      </x:c>
      <x:c r="M368" s="2" t="str">
        <x:v>Clarity rating (5-point Likert) mean &amp; Mann-Whitney U</x:v>
      </x:c>
      <x:c r="N368" s="6" t="str">
        <x:v>Clarity 4.38 vs 3.17, U = 115.5, p = 0.034</x:v>
      </x:c>
      <x:c r="O368" s="2" t="n">
        <x:v>115.5</x:v>
      </x:c>
      <x:c r="P368" s="2" t="str">
        <x:v>U statistic</x:v>
      </x:c>
      <x:c r="Q368" s="6" t="str">
        <x:v>3.17</x:v>
      </x:c>
      <x:c r="R368" s="2" t="n">
        <x:v>3.17</x:v>
      </x:c>
      <x:c r="S368" s="2" t="str">
        <x:v>NR</x:v>
      </x:c>
      <x:c r="T368" s="2" t="str">
        <x:v>Better</x:v>
      </x:c>
      <x:c r="U368" s="2" t="str">
        <x:v>Significant</x:v>
      </x:c>
      <x:c r="V368" s="2" t="str">
        <x:v>Sig.</x:v>
      </x:c>
      <x:c r="W368" s="2" t="str">
        <x:v>NR</x:v>
      </x:c>
      <x:c r="X368" s="2" t="str">
        <x:v>NR</x:v>
      </x:c>
      <x:c r="Y368" s="2" t="str">
        <x:v>NR</x:v>
      </x:c>
      <x:c r="Z368" s="2" t="str">
        <x:v>No</x:v>
      </x:c>
      <x:c r="AA368" s="6" t="str">
        <x:v>p. 5; Table II</x:v>
      </x:c>
      <x:c r="AB368" s="6" t="str">
        <x:v>Clarity 4.38 3.17 115.5 0.034 Significant</x:v>
      </x:c>
      <x:c r="AC368" s="6" t="str">
        <x:v>AI报告在清晰度上显著优于专家报告</x:v>
      </x:c>
      <x:c r="AD368" s="2" t="str">
        <x:v>Accepted</x:v>
      </x:c>
      <x:c r="AE368" s="6" t="str">
        <x:v>NA</x:v>
      </x:c>
    </x:row>
    <x:row r="369" ht="76" customHeight="1">
      <x:c r="A369" s="2" t="str">
        <x:v>S31-RESULT-R12</x:v>
      </x:c>
      <x:c r="B369" s="2" t="str">
        <x:v>S31</x:v>
      </x:c>
      <x:c r="C369" s="2" t="str">
        <x:v>merged_1219</x:v>
      </x:c>
      <x:c r="D369" s="2" t="str">
        <x:v>Reviewer_A</x:v>
      </x:c>
      <x:c r="E369" s="2" t="str">
        <x:v>Reviewer_A</x:v>
      </x:c>
      <x:c r="F369" s="2" t="str">
        <x:v>S31-R12</x:v>
      </x:c>
      <x:c r="G369" s="2" t="str">
        <x:v>S31-EV01</x:v>
      </x:c>
      <x:c r="H369" s="2" t="str">
        <x:v>S31-T01</x:v>
      </x:c>
      <x:c r="I369" s="2" t="str">
        <x:v>NA</x:v>
      </x:c>
      <x:c r="J369" s="2" t="str">
        <x:v>Automotive security trace-link case</x:v>
      </x:c>
      <x:c r="K369" s="2" t="str">
        <x:v>AI-generated report</x:v>
      </x:c>
      <x:c r="L369" s="2" t="str">
        <x:v>Expert-written report</x:v>
      </x:c>
      <x:c r="M369" s="2" t="str">
        <x:v>Relevance rating (5-point Likert) mean &amp; Mann-Whitney U</x:v>
      </x:c>
      <x:c r="N369" s="6" t="str">
        <x:v>Relevance 4.54 vs 3.00, U = 134.5, p = 0.001</x:v>
      </x:c>
      <x:c r="O369" s="2" t="n">
        <x:v>134.5</x:v>
      </x:c>
      <x:c r="P369" s="2" t="str">
        <x:v>U statistic</x:v>
      </x:c>
      <x:c r="Q369" s="6" t="str">
        <x:v>3.00</x:v>
      </x:c>
      <x:c r="R369" s="2" t="n">
        <x:v>3</x:v>
      </x:c>
      <x:c r="S369" s="2" t="str">
        <x:v>NR</x:v>
      </x:c>
      <x:c r="T369" s="2" t="str">
        <x:v>Better</x:v>
      </x:c>
      <x:c r="U369" s="2" t="str">
        <x:v>Significant</x:v>
      </x:c>
      <x:c r="V369" s="2" t="str">
        <x:v>Sig.</x:v>
      </x:c>
      <x:c r="W369" s="2" t="str">
        <x:v>NR</x:v>
      </x:c>
      <x:c r="X369" s="2" t="str">
        <x:v>NR</x:v>
      </x:c>
      <x:c r="Y369" s="2" t="str">
        <x:v>NR</x:v>
      </x:c>
      <x:c r="Z369" s="2" t="str">
        <x:v>No</x:v>
      </x:c>
      <x:c r="AA369" s="6" t="str">
        <x:v>p. 5; Table II</x:v>
      </x:c>
      <x:c r="AB369" s="6" t="str">
        <x:v>Relevance 4.54 3.00 134.5 0.001 Significant</x:v>
      </x:c>
      <x:c r="AC369" s="6" t="str">
        <x:v>AI报告在相关性上显著优于专家报告</x:v>
      </x:c>
      <x:c r="AD369" s="2" t="str">
        <x:v>Accepted</x:v>
      </x:c>
      <x:c r="AE369" s="6" t="str">
        <x:v>NA</x:v>
      </x:c>
    </x:row>
    <x:row r="370" ht="76" customHeight="1">
      <x:c r="A370" s="2" t="str">
        <x:v>S31-RESULT-R13</x:v>
      </x:c>
      <x:c r="B370" s="2" t="str">
        <x:v>S31</x:v>
      </x:c>
      <x:c r="C370" s="2" t="str">
        <x:v>merged_1219</x:v>
      </x:c>
      <x:c r="D370" s="2" t="str">
        <x:v>Reviewer_A</x:v>
      </x:c>
      <x:c r="E370" s="2" t="str">
        <x:v>Reviewer_A</x:v>
      </x:c>
      <x:c r="F370" s="2" t="str">
        <x:v>S31-R13</x:v>
      </x:c>
      <x:c r="G370" s="2" t="str">
        <x:v>S31-EV01</x:v>
      </x:c>
      <x:c r="H370" s="2" t="str">
        <x:v>S31-T01</x:v>
      </x:c>
      <x:c r="I370" s="2" t="str">
        <x:v>NA</x:v>
      </x:c>
      <x:c r="J370" s="2" t="str">
        <x:v>Automotive security trace-link case</x:v>
      </x:c>
      <x:c r="K370" s="2" t="str">
        <x:v>AI-generated report</x:v>
      </x:c>
      <x:c r="L370" s="2" t="str">
        <x:v>Expert-written report</x:v>
      </x:c>
      <x:c r="M370" s="2" t="str">
        <x:v>Detail rating (5-point Likert) mean &amp; Mann-Whitney U</x:v>
      </x:c>
      <x:c r="N370" s="6" t="str">
        <x:v>Detail 4.38 vs 3.08, U = 123.0, p = 0.011</x:v>
      </x:c>
      <x:c r="O370" s="2" t="n">
        <x:v>123</x:v>
      </x:c>
      <x:c r="P370" s="2" t="str">
        <x:v>U statistic</x:v>
      </x:c>
      <x:c r="Q370" s="6" t="str">
        <x:v>3.08</x:v>
      </x:c>
      <x:c r="R370" s="2" t="n">
        <x:v>3.08</x:v>
      </x:c>
      <x:c r="S370" s="2" t="str">
        <x:v>NR</x:v>
      </x:c>
      <x:c r="T370" s="2" t="str">
        <x:v>Better</x:v>
      </x:c>
      <x:c r="U370" s="2" t="str">
        <x:v>Significant</x:v>
      </x:c>
      <x:c r="V370" s="2" t="str">
        <x:v>Sig.</x:v>
      </x:c>
      <x:c r="W370" s="2" t="str">
        <x:v>NR</x:v>
      </x:c>
      <x:c r="X370" s="2" t="str">
        <x:v>NR</x:v>
      </x:c>
      <x:c r="Y370" s="2" t="str">
        <x:v>NR</x:v>
      </x:c>
      <x:c r="Z370" s="2" t="str">
        <x:v>No</x:v>
      </x:c>
      <x:c r="AA370" s="6" t="str">
        <x:v>p. 5; Table II</x:v>
      </x:c>
      <x:c r="AB370" s="6" t="str">
        <x:v>Detail 4.38 3.08 123.0 0.011 Significant</x:v>
      </x:c>
      <x:c r="AC370" s="6" t="str">
        <x:v>AI报告在详细程度上显著优于专家报告</x:v>
      </x:c>
      <x:c r="AD370" s="2" t="str">
        <x:v>Accepted</x:v>
      </x:c>
      <x:c r="AE370" s="6" t="str">
        <x:v>NA</x:v>
      </x:c>
    </x:row>
    <x:row r="371" ht="76" customHeight="1">
      <x:c r="A371" s="2" t="str">
        <x:v>S31-RESULT-R14</x:v>
      </x:c>
      <x:c r="B371" s="2" t="str">
        <x:v>S31</x:v>
      </x:c>
      <x:c r="C371" s="2" t="str">
        <x:v>merged_1219</x:v>
      </x:c>
      <x:c r="D371" s="2" t="str">
        <x:v>Reviewer_A</x:v>
      </x:c>
      <x:c r="E371" s="2" t="str">
        <x:v>Reviewer_A</x:v>
      </x:c>
      <x:c r="F371" s="2" t="str">
        <x:v>S31-R14</x:v>
      </x:c>
      <x:c r="G371" s="2" t="str">
        <x:v>S31-EV01</x:v>
      </x:c>
      <x:c r="H371" s="2" t="str">
        <x:v>S31-T01</x:v>
      </x:c>
      <x:c r="I371" s="2" t="str">
        <x:v>NA</x:v>
      </x:c>
      <x:c r="J371" s="2" t="str">
        <x:v>Automotive security trace-link case</x:v>
      </x:c>
      <x:c r="K371" s="2" t="str">
        <x:v>AI-generated report</x:v>
      </x:c>
      <x:c r="L371" s="2" t="str">
        <x:v>Expert-written report</x:v>
      </x:c>
      <x:c r="M371" s="2" t="str">
        <x:v>Usefulness rating (5-point Likert) mean &amp; Mann-Whitney U</x:v>
      </x:c>
      <x:c r="N371" s="6" t="str">
        <x:v>Usefulness 4.31 vs 2.75, U = 129.5, p = 0.004</x:v>
      </x:c>
      <x:c r="O371" s="2" t="n">
        <x:v>129.5</x:v>
      </x:c>
      <x:c r="P371" s="2" t="str">
        <x:v>U statistic</x:v>
      </x:c>
      <x:c r="Q371" s="6" t="str">
        <x:v>2.75</x:v>
      </x:c>
      <x:c r="R371" s="2" t="n">
        <x:v>2.75</x:v>
      </x:c>
      <x:c r="S371" s="2" t="str">
        <x:v>NR</x:v>
      </x:c>
      <x:c r="T371" s="2" t="str">
        <x:v>Better</x:v>
      </x:c>
      <x:c r="U371" s="2" t="str">
        <x:v>Significant</x:v>
      </x:c>
      <x:c r="V371" s="2" t="str">
        <x:v>Sig.</x:v>
      </x:c>
      <x:c r="W371" s="2" t="str">
        <x:v>NR</x:v>
      </x:c>
      <x:c r="X371" s="2" t="str">
        <x:v>NR</x:v>
      </x:c>
      <x:c r="Y371" s="2" t="str">
        <x:v>NR</x:v>
      </x:c>
      <x:c r="Z371" s="2" t="str">
        <x:v>No</x:v>
      </x:c>
      <x:c r="AA371" s="6" t="str">
        <x:v>p. 5; Table II</x:v>
      </x:c>
      <x:c r="AB371" s="6" t="str">
        <x:v>Usefulness 4.31 2.75 129.5 0.004 Significant</x:v>
      </x:c>
      <x:c r="AC371" s="6" t="str">
        <x:v>AI报告在有用性上显著优于专家报告</x:v>
      </x:c>
      <x:c r="AD371" s="2" t="str">
        <x:v>Accepted</x:v>
      </x:c>
      <x:c r="AE371" s="6" t="str">
        <x:v>NA</x:v>
      </x:c>
    </x:row>
    <x:row r="372" ht="76" customHeight="1">
      <x:c r="A372" s="2" t="str">
        <x:v>S31-RESULT-R15</x:v>
      </x:c>
      <x:c r="B372" s="2" t="str">
        <x:v>S31</x:v>
      </x:c>
      <x:c r="C372" s="2" t="str">
        <x:v>merged_1219</x:v>
      </x:c>
      <x:c r="D372" s="2" t="str">
        <x:v>Reviewer_A</x:v>
      </x:c>
      <x:c r="E372" s="2" t="str">
        <x:v>Reviewer_A</x:v>
      </x:c>
      <x:c r="F372" s="2" t="str">
        <x:v>S31-R15</x:v>
      </x:c>
      <x:c r="G372" s="2" t="str">
        <x:v>S31-EV01</x:v>
      </x:c>
      <x:c r="H372" s="2" t="str">
        <x:v>S31-T01</x:v>
      </x:c>
      <x:c r="I372" s="2" t="str">
        <x:v>NA</x:v>
      </x:c>
      <x:c r="J372" s="2" t="str">
        <x:v>Automotive security trace-link case</x:v>
      </x:c>
      <x:c r="K372" s="2" t="str">
        <x:v>AI-generated report</x:v>
      </x:c>
      <x:c r="L372" s="2" t="str">
        <x:v>Expert-written report</x:v>
      </x:c>
      <x:c r="M372" s="2" t="str">
        <x:v>Satisfaction rating (5-point Likert) mean &amp; Mann-Whitney U</x:v>
      </x:c>
      <x:c r="N372" s="6" t="str">
        <x:v>Satisfaction 4.62 vs 3.25, U = 128.0, p = 0.004</x:v>
      </x:c>
      <x:c r="O372" s="2" t="n">
        <x:v>128</x:v>
      </x:c>
      <x:c r="P372" s="2" t="str">
        <x:v>U statistic</x:v>
      </x:c>
      <x:c r="Q372" s="6" t="str">
        <x:v>3.25</x:v>
      </x:c>
      <x:c r="R372" s="2" t="n">
        <x:v>3.25</x:v>
      </x:c>
      <x:c r="S372" s="2" t="str">
        <x:v>NR</x:v>
      </x:c>
      <x:c r="T372" s="2" t="str">
        <x:v>Better</x:v>
      </x:c>
      <x:c r="U372" s="2" t="str">
        <x:v>Significant</x:v>
      </x:c>
      <x:c r="V372" s="2" t="str">
        <x:v>Sig.</x:v>
      </x:c>
      <x:c r="W372" s="2" t="str">
        <x:v>NR</x:v>
      </x:c>
      <x:c r="X372" s="2" t="str">
        <x:v>NR</x:v>
      </x:c>
      <x:c r="Y372" s="2" t="str">
        <x:v>NR</x:v>
      </x:c>
      <x:c r="Z372" s="2" t="str">
        <x:v>No</x:v>
      </x:c>
      <x:c r="AA372" s="6" t="str">
        <x:v>p. 5; Table II</x:v>
      </x:c>
      <x:c r="AB372" s="6" t="str">
        <x:v>Satisfaction 4.62 3.25 128.0 0.004 Significant</x:v>
      </x:c>
      <x:c r="AC372" s="6" t="str">
        <x:v>AI报告在整体满意度上显著优于专家报告</x:v>
      </x:c>
      <x:c r="AD372" s="2" t="str">
        <x:v>Accepted</x:v>
      </x:c>
      <x:c r="AE372" s="6" t="str">
        <x:v>NA</x:v>
      </x:c>
    </x:row>
    <x:row r="373" ht="76" customHeight="1">
      <x:c r="A373" s="2" t="str">
        <x:v>S31-RESULT-R16</x:v>
      </x:c>
      <x:c r="B373" s="2" t="str">
        <x:v>S31</x:v>
      </x:c>
      <x:c r="C373" s="2" t="str">
        <x:v>merged_1219</x:v>
      </x:c>
      <x:c r="D373" s="2" t="str">
        <x:v>Reviewer_A</x:v>
      </x:c>
      <x:c r="E373" s="2" t="str">
        <x:v>Reviewer_A</x:v>
      </x:c>
      <x:c r="F373" s="2" t="str">
        <x:v>S31-R16</x:v>
      </x:c>
      <x:c r="G373" s="2" t="str">
        <x:v>S31-EV01</x:v>
      </x:c>
      <x:c r="H373" s="2" t="str">
        <x:v>S31-T01</x:v>
      </x:c>
      <x:c r="I373" s="2" t="str">
        <x:v>NA</x:v>
      </x:c>
      <x:c r="J373" s="2" t="str">
        <x:v>Automotive security trace-link case</x:v>
      </x:c>
      <x:c r="K373" s="2" t="str">
        <x:v>All participants</x:v>
      </x:c>
      <x:c r="L373" s="2" t="str">
        <x:v>NR</x:v>
      </x:c>
      <x:c r="M373" s="2" t="str">
        <x:v>Spearman ρ (Usefulness rating vs learning gain)</x:v>
      </x:c>
      <x:c r="N373" s="6" t="str">
        <x:v>Usefulness ρ = 0.78, p &lt; 0.001</x:v>
      </x:c>
      <x:c r="O373" s="2" t="n">
        <x:v>0.78</x:v>
      </x:c>
      <x:c r="P373" s="2" t="str">
        <x:v>proportion</x:v>
      </x:c>
      <x:c r="Q373" s="6" t="str">
        <x:v>NR</x:v>
      </x:c>
      <x:c r="R373" s="2" t="str">
        <x:v>NA</x:v>
      </x:c>
      <x:c r="S373" s="2" t="str">
        <x:v>NR</x:v>
      </x:c>
      <x:c r="T373" s="2" t="str">
        <x:v>Not compared</x:v>
      </x:c>
      <x:c r="U373" s="2" t="str">
        <x:v>Significant</x:v>
      </x:c>
      <x:c r="V373" s="2" t="str">
        <x:v>strong positive correlation</x:v>
      </x:c>
      <x:c r="W373" s="2" t="str">
        <x:v>NR</x:v>
      </x:c>
      <x:c r="X373" s="2" t="str">
        <x:v>NR</x:v>
      </x:c>
      <x:c r="Y373" s="2" t="str">
        <x:v>NR</x:v>
      </x:c>
      <x:c r="Z373" s="2" t="str">
        <x:v>No</x:v>
      </x:c>
      <x:c r="AA373" s="6" t="str">
        <x:v>p. 6; Table IV</x:v>
      </x:c>
      <x:c r="AB373" s="6" t="str">
        <x:v>Usefulness Pre-/Post-Score ∆ 0.78 &lt; 0.001 Significant</x:v>
      </x:c>
      <x:c r="AC373" s="6" t="str">
        <x:v>有用性评分与学习收益强正相关</x:v>
      </x:c>
      <x:c r="AD373" s="2" t="str">
        <x:v>Accepted</x:v>
      </x:c>
      <x:c r="AE373" s="6" t="str">
        <x:v>NA</x:v>
      </x:c>
    </x:row>
    <x:row r="374" ht="76" customHeight="1">
      <x:c r="A374" s="2" t="str">
        <x:v>S31-RESULT-R17</x:v>
      </x:c>
      <x:c r="B374" s="2" t="str">
        <x:v>S31</x:v>
      </x:c>
      <x:c r="C374" s="2" t="str">
        <x:v>merged_1219</x:v>
      </x:c>
      <x:c r="D374" s="2" t="str">
        <x:v>Reviewer_A</x:v>
      </x:c>
      <x:c r="E374" s="2" t="str">
        <x:v>Reviewer_A</x:v>
      </x:c>
      <x:c r="F374" s="2" t="str">
        <x:v>S31-R17</x:v>
      </x:c>
      <x:c r="G374" s="2" t="str">
        <x:v>S31-EV01</x:v>
      </x:c>
      <x:c r="H374" s="2" t="str">
        <x:v>S31-T01</x:v>
      </x:c>
      <x:c r="I374" s="2" t="str">
        <x:v>NA</x:v>
      </x:c>
      <x:c r="J374" s="2" t="str">
        <x:v>Automotive security trace-link case</x:v>
      </x:c>
      <x:c r="K374" s="2" t="str">
        <x:v>All participants</x:v>
      </x:c>
      <x:c r="L374" s="2" t="str">
        <x:v>NR</x:v>
      </x:c>
      <x:c r="M374" s="2" t="str">
        <x:v>Spearman ρ (Clarity rating vs learning gain)</x:v>
      </x:c>
      <x:c r="N374" s="6" t="str">
        <x:v>Clarity ρ = 0.72, p = 0.002</x:v>
      </x:c>
      <x:c r="O374" s="2" t="n">
        <x:v>0.72</x:v>
      </x:c>
      <x:c r="P374" s="2" t="str">
        <x:v>proportion</x:v>
      </x:c>
      <x:c r="Q374" s="6" t="str">
        <x:v>NR</x:v>
      </x:c>
      <x:c r="R374" s="2" t="str">
        <x:v>NA</x:v>
      </x:c>
      <x:c r="S374" s="2" t="str">
        <x:v>NR</x:v>
      </x:c>
      <x:c r="T374" s="2" t="str">
        <x:v>Not compared</x:v>
      </x:c>
      <x:c r="U374" s="2" t="str">
        <x:v>Significant</x:v>
      </x:c>
      <x:c r="V374" s="2" t="str">
        <x:v>strong positive correlation</x:v>
      </x:c>
      <x:c r="W374" s="2" t="str">
        <x:v>NR</x:v>
      </x:c>
      <x:c r="X374" s="2" t="str">
        <x:v>NR</x:v>
      </x:c>
      <x:c r="Y374" s="2" t="str">
        <x:v>NR</x:v>
      </x:c>
      <x:c r="Z374" s="2" t="str">
        <x:v>No</x:v>
      </x:c>
      <x:c r="AA374" s="6" t="str">
        <x:v>p. 6; Table IV</x:v>
      </x:c>
      <x:c r="AB374" s="6" t="str">
        <x:v>Clarity Pre-/Post-Score ∆ 0.72 0.002 Significant</x:v>
      </x:c>
      <x:c r="AC374" s="6" t="str">
        <x:v>清晰度评分与学习收益强正相关</x:v>
      </x:c>
      <x:c r="AD374" s="2" t="str">
        <x:v>Accepted</x:v>
      </x:c>
      <x:c r="AE374" s="6" t="str">
        <x:v>NA</x:v>
      </x:c>
    </x:row>
    <x:row r="375" ht="76" customHeight="1">
      <x:c r="A375" s="2" t="str">
        <x:v>S31-RESULT-R18</x:v>
      </x:c>
      <x:c r="B375" s="2" t="str">
        <x:v>S31</x:v>
      </x:c>
      <x:c r="C375" s="2" t="str">
        <x:v>merged_1219</x:v>
      </x:c>
      <x:c r="D375" s="2" t="str">
        <x:v>Reviewer_A</x:v>
      </x:c>
      <x:c r="E375" s="2" t="str">
        <x:v>Reviewer_A</x:v>
      </x:c>
      <x:c r="F375" s="2" t="str">
        <x:v>S31-R18</x:v>
      </x:c>
      <x:c r="G375" s="2" t="str">
        <x:v>S31-EV01</x:v>
      </x:c>
      <x:c r="H375" s="2" t="str">
        <x:v>S31-T01</x:v>
      </x:c>
      <x:c r="I375" s="2" t="str">
        <x:v>NA</x:v>
      </x:c>
      <x:c r="J375" s="2" t="str">
        <x:v>Automotive security trace-link case</x:v>
      </x:c>
      <x:c r="K375" s="2" t="str">
        <x:v>All participants</x:v>
      </x:c>
      <x:c r="L375" s="2" t="str">
        <x:v>NR</x:v>
      </x:c>
      <x:c r="M375" s="2" t="str">
        <x:v>Spearman ρ (Relevance rating vs learning gain)</x:v>
      </x:c>
      <x:c r="N375" s="6" t="str">
        <x:v>Relevance ρ = 0.66, p = 0.005</x:v>
      </x:c>
      <x:c r="O375" s="2" t="n">
        <x:v>0.66</x:v>
      </x:c>
      <x:c r="P375" s="2" t="str">
        <x:v>proportion</x:v>
      </x:c>
      <x:c r="Q375" s="6" t="str">
        <x:v>NR</x:v>
      </x:c>
      <x:c r="R375" s="2" t="str">
        <x:v>NA</x:v>
      </x:c>
      <x:c r="S375" s="2" t="str">
        <x:v>NR</x:v>
      </x:c>
      <x:c r="T375" s="2" t="str">
        <x:v>Not compared</x:v>
      </x:c>
      <x:c r="U375" s="2" t="str">
        <x:v>Significant</x:v>
      </x:c>
      <x:c r="V375" s="2" t="str">
        <x:v>moderate to strong positive correlation</x:v>
      </x:c>
      <x:c r="W375" s="2" t="str">
        <x:v>NR</x:v>
      </x:c>
      <x:c r="X375" s="2" t="str">
        <x:v>NR</x:v>
      </x:c>
      <x:c r="Y375" s="2" t="str">
        <x:v>NR</x:v>
      </x:c>
      <x:c r="Z375" s="2" t="str">
        <x:v>No</x:v>
      </x:c>
      <x:c r="AA375" s="6" t="str">
        <x:v>p. 6; Table IV</x:v>
      </x:c>
      <x:c r="AB375" s="6" t="str">
        <x:v>Relevance Pre-/Post-Score ∆ 0.66 0.005 Significant</x:v>
      </x:c>
      <x:c r="AC375" s="6" t="str">
        <x:v>相关性与学习收益正相关</x:v>
      </x:c>
      <x:c r="AD375" s="2" t="str">
        <x:v>Accepted</x:v>
      </x:c>
      <x:c r="AE375" s="6" t="str">
        <x:v>NA</x:v>
      </x:c>
    </x:row>
    <x:row r="376" ht="76" customHeight="1">
      <x:c r="A376" s="2" t="str">
        <x:v>S31-RESULT-R19</x:v>
      </x:c>
      <x:c r="B376" s="2" t="str">
        <x:v>S31</x:v>
      </x:c>
      <x:c r="C376" s="2" t="str">
        <x:v>merged_1219</x:v>
      </x:c>
      <x:c r="D376" s="2" t="str">
        <x:v>Reviewer_A</x:v>
      </x:c>
      <x:c r="E376" s="2" t="str">
        <x:v>Reviewer_A</x:v>
      </x:c>
      <x:c r="F376" s="2" t="str">
        <x:v>S31-R19</x:v>
      </x:c>
      <x:c r="G376" s="2" t="str">
        <x:v>S31-EV01</x:v>
      </x:c>
      <x:c r="H376" s="2" t="str">
        <x:v>S31-T01</x:v>
      </x:c>
      <x:c r="I376" s="2" t="str">
        <x:v>NA</x:v>
      </x:c>
      <x:c r="J376" s="2" t="str">
        <x:v>Automotive security trace-link case</x:v>
      </x:c>
      <x:c r="K376" s="2" t="str">
        <x:v>All participants</x:v>
      </x:c>
      <x:c r="L376" s="2" t="str">
        <x:v>NR</x:v>
      </x:c>
      <x:c r="M376" s="2" t="str">
        <x:v>Spearman ρ (Satisfaction rating vs learning gain)</x:v>
      </x:c>
      <x:c r="N376" s="6" t="str">
        <x:v>Satisfaction ρ = 0.63, p = 0.008</x:v>
      </x:c>
      <x:c r="O376" s="2" t="n">
        <x:v>0.63</x:v>
      </x:c>
      <x:c r="P376" s="2" t="str">
        <x:v>proportion</x:v>
      </x:c>
      <x:c r="Q376" s="6" t="str">
        <x:v>NR</x:v>
      </x:c>
      <x:c r="R376" s="2" t="str">
        <x:v>NA</x:v>
      </x:c>
      <x:c r="S376" s="2" t="str">
        <x:v>NR</x:v>
      </x:c>
      <x:c r="T376" s="2" t="str">
        <x:v>Not compared</x:v>
      </x:c>
      <x:c r="U376" s="2" t="str">
        <x:v>Significant</x:v>
      </x:c>
      <x:c r="V376" s="2" t="str">
        <x:v>moderate positive correlation</x:v>
      </x:c>
      <x:c r="W376" s="2" t="str">
        <x:v>NR</x:v>
      </x:c>
      <x:c r="X376" s="2" t="str">
        <x:v>NR</x:v>
      </x:c>
      <x:c r="Y376" s="2" t="str">
        <x:v>NR</x:v>
      </x:c>
      <x:c r="Z376" s="2" t="str">
        <x:v>No</x:v>
      </x:c>
      <x:c r="AA376" s="6" t="str">
        <x:v>p. 6; Table IV</x:v>
      </x:c>
      <x:c r="AB376" s="6" t="str">
        <x:v>Satisfaction Pre-/Post-Score ∆ 0.63 0.008 Significant</x:v>
      </x:c>
      <x:c r="AC376" s="6" t="str">
        <x:v>满意度与学习收益中度正相关</x:v>
      </x:c>
      <x:c r="AD376" s="2" t="str">
        <x:v>Accepted</x:v>
      </x:c>
      <x:c r="AE376" s="6" t="str">
        <x:v>NA</x:v>
      </x:c>
    </x:row>
    <x:row r="377" ht="76" customHeight="1">
      <x:c r="A377" s="2" t="str">
        <x:v>S31-RESULT-R20</x:v>
      </x:c>
      <x:c r="B377" s="2" t="str">
        <x:v>S31</x:v>
      </x:c>
      <x:c r="C377" s="2" t="str">
        <x:v>merged_1219</x:v>
      </x:c>
      <x:c r="D377" s="2" t="str">
        <x:v>Reviewer_A</x:v>
      </x:c>
      <x:c r="E377" s="2" t="str">
        <x:v>Reviewer_A</x:v>
      </x:c>
      <x:c r="F377" s="2" t="str">
        <x:v>S31-R20</x:v>
      </x:c>
      <x:c r="G377" s="2" t="str">
        <x:v>S31-EV01</x:v>
      </x:c>
      <x:c r="H377" s="2" t="str">
        <x:v>S31-T01</x:v>
      </x:c>
      <x:c r="I377" s="2" t="str">
        <x:v>NA</x:v>
      </x:c>
      <x:c r="J377" s="2" t="str">
        <x:v>Automotive security trace-link case</x:v>
      </x:c>
      <x:c r="K377" s="2" t="str">
        <x:v>All participants</x:v>
      </x:c>
      <x:c r="L377" s="2" t="str">
        <x:v>NR</x:v>
      </x:c>
      <x:c r="M377" s="2" t="str">
        <x:v>Spearman ρ (Detail rating vs learning gain)</x:v>
      </x:c>
      <x:c r="N377" s="6" t="str">
        <x:v>Detail ρ = 0.59, p = 0.011</x:v>
      </x:c>
      <x:c r="O377" s="2" t="n">
        <x:v>0.59</x:v>
      </x:c>
      <x:c r="P377" s="2" t="str">
        <x:v>proportion</x:v>
      </x:c>
      <x:c r="Q377" s="6" t="str">
        <x:v>NR</x:v>
      </x:c>
      <x:c r="R377" s="2" t="str">
        <x:v>NA</x:v>
      </x:c>
      <x:c r="S377" s="2" t="str">
        <x:v>NR</x:v>
      </x:c>
      <x:c r="T377" s="2" t="str">
        <x:v>Not compared</x:v>
      </x:c>
      <x:c r="U377" s="2" t="str">
        <x:v>Significant</x:v>
      </x:c>
      <x:c r="V377" s="2" t="str">
        <x:v>moderate positive correlation</x:v>
      </x:c>
      <x:c r="W377" s="2" t="str">
        <x:v>NR</x:v>
      </x:c>
      <x:c r="X377" s="2" t="str">
        <x:v>NR</x:v>
      </x:c>
      <x:c r="Y377" s="2" t="str">
        <x:v>NR</x:v>
      </x:c>
      <x:c r="Z377" s="2" t="str">
        <x:v>No</x:v>
      </x:c>
      <x:c r="AA377" s="6" t="str">
        <x:v>p. 6; Table IV</x:v>
      </x:c>
      <x:c r="AB377" s="6" t="str">
        <x:v>Detail Pre-/Post-Score ∆ 0.59 0.011 Significant</x:v>
      </x:c>
      <x:c r="AC377" s="6" t="str">
        <x:v>详细程度与学习收益中度正相关</x:v>
      </x:c>
      <x:c r="AD377" s="2" t="str">
        <x:v>Accepted</x:v>
      </x:c>
      <x:c r="AE377" s="6" t="str">
        <x:v>NA</x:v>
      </x:c>
    </x:row>
    <x:row r="378" ht="76" customHeight="1">
      <x:c r="A378" s="2" t="str">
        <x:v>S31-RESULT-R21</x:v>
      </x:c>
      <x:c r="B378" s="2" t="str">
        <x:v>S31</x:v>
      </x:c>
      <x:c r="C378" s="2" t="str">
        <x:v>merged_1219</x:v>
      </x:c>
      <x:c r="D378" s="2" t="str">
        <x:v>Reviewer_A</x:v>
      </x:c>
      <x:c r="E378" s="2" t="str">
        <x:v>Reviewer_A</x:v>
      </x:c>
      <x:c r="F378" s="2" t="str">
        <x:v>S31-R21</x:v>
      </x:c>
      <x:c r="G378" s="2" t="str">
        <x:v>S31-EV01</x:v>
      </x:c>
      <x:c r="H378" s="2" t="str">
        <x:v>S31-T01</x:v>
      </x:c>
      <x:c r="I378" s="2" t="str">
        <x:v>NA</x:v>
      </x:c>
      <x:c r="J378" s="2" t="str">
        <x:v>Automotive security trace-link case</x:v>
      </x:c>
      <x:c r="K378" s="2" t="str">
        <x:v>Expert-written report</x:v>
      </x:c>
      <x:c r="L378" s="2" t="str">
        <x:v>NR</x:v>
      </x:c>
      <x:c r="M378" s="2" t="str">
        <x:v>Number of participants with negative learning gain</x:v>
      </x:c>
      <x:c r="N378" s="6" t="str">
        <x:v>2 scores which had a negative learning gain of 10% (E9 and E11)</x:v>
      </x:c>
      <x:c r="O378" s="2" t="n">
        <x:v>2</x:v>
      </x:c>
      <x:c r="P378" s="2" t="str">
        <x:v>count</x:v>
      </x:c>
      <x:c r="Q378" s="6" t="str">
        <x:v>NR</x:v>
      </x:c>
      <x:c r="R378" s="2" t="str">
        <x:v>NA</x:v>
      </x:c>
      <x:c r="S378" s="2" t="str">
        <x:v>NR</x:v>
      </x:c>
      <x:c r="T378" s="2" t="str">
        <x:v>Worse</x:v>
      </x:c>
      <x:c r="U378" s="2" t="str">
        <x:v>Not tested</x:v>
      </x:c>
      <x:c r="V378" s="2" t="str">
        <x:v>Negative gain for two individuals in expert group</x:v>
      </x:c>
      <x:c r="W378" s="2" t="str">
        <x:v>NR</x:v>
      </x:c>
      <x:c r="X378" s="2" t="str">
        <x:v>NR</x:v>
      </x:c>
      <x:c r="Y378" s="2" t="str">
        <x:v>Two participants regressed after reading the expert report</x:v>
      </x:c>
      <x:c r="Z378" s="2" t="str">
        <x:v>Yes</x:v>
      </x:c>
      <x:c r="AA378" s="6" t="str">
        <x:v>p. 5; Section IV-B</x:v>
      </x:c>
      <x:c r="AB378" s="6" t="str">
        <x:v>points. However, there were also 2 scores which had a negative learning gain of 10 % (E9 and E11).</x:v>
      </x:c>
      <x:c r="AC378" s="6" t="str">
        <x:v>专家组有两名参与者后测成绩下降，AI组无人下降</x:v>
      </x:c>
      <x:c r="AD378" s="2" t="str">
        <x:v>Accepted</x:v>
      </x:c>
      <x:c r="AE378" s="6" t="str">
        <x:v>Negative finding only in expert group</x:v>
      </x:c>
    </x:row>
    <x:row r="379" ht="76" customHeight="1">
      <x:c r="A379" s="2" t="str">
        <x:v>S32-RESULT-R01</x:v>
      </x:c>
      <x:c r="B379" s="2" t="str">
        <x:v>S32</x:v>
      </x:c>
      <x:c r="C379" s="2" t="str">
        <x:v>merged_1220</x:v>
      </x:c>
      <x:c r="D379" s="2" t="str">
        <x:v>Reviewer_A</x:v>
      </x:c>
      <x:c r="E379" s="2" t="str">
        <x:v>Reviewer_A</x:v>
      </x:c>
      <x:c r="F379" s="2" t="str">
        <x:v>S32-R01</x:v>
      </x:c>
      <x:c r="G379" s="2" t="str">
        <x:v>S32-EV01</x:v>
      </x:c>
      <x:c r="H379" s="2" t="str">
        <x:v>S32-T01</x:v>
      </x:c>
      <x:c r="I379" s="2" t="str">
        <x:v>NA</x:v>
      </x:c>
      <x:c r="J379" s="2" t="str">
        <x:v>Automotive requirements example (2 system-level, 6 component-level)</x:v>
      </x:c>
      <x:c r="K379" s="2" t="str">
        <x:v>Proposed method</x:v>
      </x:c>
      <x:c r="L379" s="2" t="str">
        <x:v>No</x:v>
      </x:c>
      <x:c r="M379" s="2" t="str">
        <x:v>Mcin</x:v>
      </x:c>
      <x:c r="N379" s="6" t="str">
        <x:v>0.8</x:v>
      </x:c>
      <x:c r="O379" s="2" t="n">
        <x:v>0.8</x:v>
      </x:c>
      <x:c r="P379" s="2" t="str">
        <x:v>proportion</x:v>
      </x:c>
      <x:c r="Q379" s="6" t="str">
        <x:v>No</x:v>
      </x:c>
      <x:c r="R379" s="2" t="str">
        <x:v>NA</x:v>
      </x:c>
      <x:c r="S379" s="2" t="str">
        <x:v>NR</x:v>
      </x:c>
      <x:c r="T379" s="2" t="str">
        <x:v>Not compared</x:v>
      </x:c>
      <x:c r="U379" s="2" t="str">
        <x:v>Not tested</x:v>
      </x:c>
      <x:c r="V379" s="2" t="str">
        <x:v>NR</x:v>
      </x:c>
      <x:c r="W379" s="2" t="str">
        <x:v>NR</x:v>
      </x:c>
      <x:c r="X379" s="2" t="str">
        <x:v>NR</x:v>
      </x:c>
      <x:c r="Y379" s="2" t="str">
        <x:v>NR</x:v>
      </x:c>
      <x:c r="Z379" s="2" t="str">
        <x:v>No</x:v>
      </x:c>
      <x:c r="AA379" s="6" t="str">
        <x:v>p. 6; Section IV-C, after Table I.</x:v>
      </x:c>
      <x:c r="AB379" s="6" t="str">
        <x:v>Mcin = 0.8, Mcout = 1.0, Msin = 0.57, Msout = 1.0</x:v>
      </x:c>
      <x:c r="AC379" s="6" t="str">
        <x:v>Mc_in表示组件输入信号被系统输入信号覆盖的比例为0.8。</x:v>
      </x:c>
      <x:c r="AD379" s="2" t="str">
        <x:v>Accepted</x:v>
      </x:c>
      <x:c r="AE379" s="6" t="str">
        <x:v>NR</x:v>
      </x:c>
    </x:row>
    <x:row r="380" ht="76" customHeight="1">
      <x:c r="A380" s="2" t="str">
        <x:v>S32-RESULT-R02</x:v>
      </x:c>
      <x:c r="B380" s="2" t="str">
        <x:v>S32</x:v>
      </x:c>
      <x:c r="C380" s="2" t="str">
        <x:v>merged_1220</x:v>
      </x:c>
      <x:c r="D380" s="2" t="str">
        <x:v>Reviewer_A</x:v>
      </x:c>
      <x:c r="E380" s="2" t="str">
        <x:v>Reviewer_A</x:v>
      </x:c>
      <x:c r="F380" s="2" t="str">
        <x:v>S32-R02</x:v>
      </x:c>
      <x:c r="G380" s="2" t="str">
        <x:v>S32-EV01</x:v>
      </x:c>
      <x:c r="H380" s="2" t="str">
        <x:v>S32-T01</x:v>
      </x:c>
      <x:c r="I380" s="2" t="str">
        <x:v>NA</x:v>
      </x:c>
      <x:c r="J380" s="2" t="str">
        <x:v>Automotive requirements example (2 system-level, 6 component-level)</x:v>
      </x:c>
      <x:c r="K380" s="2" t="str">
        <x:v>Proposed method</x:v>
      </x:c>
      <x:c r="L380" s="2" t="str">
        <x:v>No</x:v>
      </x:c>
      <x:c r="M380" s="2" t="str">
        <x:v>Mcout</x:v>
      </x:c>
      <x:c r="N380" s="6" t="str">
        <x:v>1.0</x:v>
      </x:c>
      <x:c r="O380" s="2" t="n">
        <x:v>1</x:v>
      </x:c>
      <x:c r="P380" s="2" t="str">
        <x:v>proportion</x:v>
      </x:c>
      <x:c r="Q380" s="6" t="str">
        <x:v>No</x:v>
      </x:c>
      <x:c r="R380" s="2" t="str">
        <x:v>NA</x:v>
      </x:c>
      <x:c r="S380" s="2" t="str">
        <x:v>NR</x:v>
      </x:c>
      <x:c r="T380" s="2" t="str">
        <x:v>Not compared</x:v>
      </x:c>
      <x:c r="U380" s="2" t="str">
        <x:v>Not tested</x:v>
      </x:c>
      <x:c r="V380" s="2" t="str">
        <x:v>NR</x:v>
      </x:c>
      <x:c r="W380" s="2" t="str">
        <x:v>NR</x:v>
      </x:c>
      <x:c r="X380" s="2" t="str">
        <x:v>NR</x:v>
      </x:c>
      <x:c r="Y380" s="2" t="str">
        <x:v>NR</x:v>
      </x:c>
      <x:c r="Z380" s="2" t="str">
        <x:v>No</x:v>
      </x:c>
      <x:c r="AA380" s="6" t="str">
        <x:v>p. 6; Section IV-C, after Table I.</x:v>
      </x:c>
      <x:c r="AB380" s="6" t="str">
        <x:v>Mcin = 0.8, Mcout = 1.0, Msin = 0.57, Msout = 1.0</x:v>
      </x:c>
      <x:c r="AC380" s="6" t="str">
        <x:v>Mc_out表示组件输出信号被系统输出信号覆盖的比例为1.0，完全覆盖。</x:v>
      </x:c>
      <x:c r="AD380" s="2" t="str">
        <x:v>Accepted</x:v>
      </x:c>
      <x:c r="AE380" s="6" t="str">
        <x:v>NR</x:v>
      </x:c>
    </x:row>
    <x:row r="381" ht="76" customHeight="1">
      <x:c r="A381" s="2" t="str">
        <x:v>S32-RESULT-R03</x:v>
      </x:c>
      <x:c r="B381" s="2" t="str">
        <x:v>S32</x:v>
      </x:c>
      <x:c r="C381" s="2" t="str">
        <x:v>merged_1220</x:v>
      </x:c>
      <x:c r="D381" s="2" t="str">
        <x:v>Reviewer_A</x:v>
      </x:c>
      <x:c r="E381" s="2" t="str">
        <x:v>Reviewer_A</x:v>
      </x:c>
      <x:c r="F381" s="2" t="str">
        <x:v>S32-R03</x:v>
      </x:c>
      <x:c r="G381" s="2" t="str">
        <x:v>S32-EV01</x:v>
      </x:c>
      <x:c r="H381" s="2" t="str">
        <x:v>S32-T01</x:v>
      </x:c>
      <x:c r="I381" s="2" t="str">
        <x:v>NA</x:v>
      </x:c>
      <x:c r="J381" s="2" t="str">
        <x:v>Automotive requirements example (2 system-level, 6 component-level)</x:v>
      </x:c>
      <x:c r="K381" s="2" t="str">
        <x:v>Proposed method</x:v>
      </x:c>
      <x:c r="L381" s="2" t="str">
        <x:v>No</x:v>
      </x:c>
      <x:c r="M381" s="2" t="str">
        <x:v>Msin</x:v>
      </x:c>
      <x:c r="N381" s="6" t="str">
        <x:v>0.57</x:v>
      </x:c>
      <x:c r="O381" s="2" t="n">
        <x:v>0.57</x:v>
      </x:c>
      <x:c r="P381" s="2" t="str">
        <x:v>proportion</x:v>
      </x:c>
      <x:c r="Q381" s="6" t="str">
        <x:v>No</x:v>
      </x:c>
      <x:c r="R381" s="2" t="str">
        <x:v>NA</x:v>
      </x:c>
      <x:c r="S381" s="2" t="str">
        <x:v>NR</x:v>
      </x:c>
      <x:c r="T381" s="2" t="str">
        <x:v>Not compared</x:v>
      </x:c>
      <x:c r="U381" s="2" t="str">
        <x:v>Not tested</x:v>
      </x:c>
      <x:c r="V381" s="2" t="str">
        <x:v>NR</x:v>
      </x:c>
      <x:c r="W381" s="2" t="str">
        <x:v>NR</x:v>
      </x:c>
      <x:c r="X381" s="2" t="str">
        <x:v>NR</x:v>
      </x:c>
      <x:c r="Y381" s="2" t="str">
        <x:v>NR</x:v>
      </x:c>
      <x:c r="Z381" s="2" t="str">
        <x:v>No</x:v>
      </x:c>
      <x:c r="AA381" s="6" t="str">
        <x:v>p. 6; Section IV-C, after Table I.</x:v>
      </x:c>
      <x:c r="AB381" s="6" t="str">
        <x:v>Mcin = 0.8, Mcout = 1.0, Msin = 0.57, Msout = 1.0</x:v>
      </x:c>
      <x:c r="AC381" s="6" t="str">
        <x:v>Ms_in表示系统输入信号在组件层面实现的比例为0.57，覆盖不全。</x:v>
      </x:c>
      <x:c r="AD381" s="2" t="str">
        <x:v>Accepted</x:v>
      </x:c>
      <x:c r="AE381" s="6" t="str">
        <x:v>NR</x:v>
      </x:c>
    </x:row>
    <x:row r="382" ht="76" customHeight="1">
      <x:c r="A382" s="2" t="str">
        <x:v>S32-RESULT-R04</x:v>
      </x:c>
      <x:c r="B382" s="2" t="str">
        <x:v>S32</x:v>
      </x:c>
      <x:c r="C382" s="2" t="str">
        <x:v>merged_1220</x:v>
      </x:c>
      <x:c r="D382" s="2" t="str">
        <x:v>Reviewer_A</x:v>
      </x:c>
      <x:c r="E382" s="2" t="str">
        <x:v>Reviewer_A</x:v>
      </x:c>
      <x:c r="F382" s="2" t="str">
        <x:v>S32-R04</x:v>
      </x:c>
      <x:c r="G382" s="2" t="str">
        <x:v>S32-EV01</x:v>
      </x:c>
      <x:c r="H382" s="2" t="str">
        <x:v>S32-T01</x:v>
      </x:c>
      <x:c r="I382" s="2" t="str">
        <x:v>NA</x:v>
      </x:c>
      <x:c r="J382" s="2" t="str">
        <x:v>Automotive requirements example (2 system-level, 6 component-level)</x:v>
      </x:c>
      <x:c r="K382" s="2" t="str">
        <x:v>Proposed method</x:v>
      </x:c>
      <x:c r="L382" s="2" t="str">
        <x:v>No</x:v>
      </x:c>
      <x:c r="M382" s="2" t="str">
        <x:v>Msout</x:v>
      </x:c>
      <x:c r="N382" s="6" t="str">
        <x:v>1.0</x:v>
      </x:c>
      <x:c r="O382" s="2" t="n">
        <x:v>1</x:v>
      </x:c>
      <x:c r="P382" s="2" t="str">
        <x:v>proportion</x:v>
      </x:c>
      <x:c r="Q382" s="6" t="str">
        <x:v>No</x:v>
      </x:c>
      <x:c r="R382" s="2" t="str">
        <x:v>NA</x:v>
      </x:c>
      <x:c r="S382" s="2" t="str">
        <x:v>NR</x:v>
      </x:c>
      <x:c r="T382" s="2" t="str">
        <x:v>Not compared</x:v>
      </x:c>
      <x:c r="U382" s="2" t="str">
        <x:v>Not tested</x:v>
      </x:c>
      <x:c r="V382" s="2" t="str">
        <x:v>NR</x:v>
      </x:c>
      <x:c r="W382" s="2" t="str">
        <x:v>NR</x:v>
      </x:c>
      <x:c r="X382" s="2" t="str">
        <x:v>NR</x:v>
      </x:c>
      <x:c r="Y382" s="2" t="str">
        <x:v>NR</x:v>
      </x:c>
      <x:c r="Z382" s="2" t="str">
        <x:v>No</x:v>
      </x:c>
      <x:c r="AA382" s="6" t="str">
        <x:v>p. 6; Section IV-C, after Table I.</x:v>
      </x:c>
      <x:c r="AB382" s="6" t="str">
        <x:v>Mcin = 0.8, Mcout = 1.0, Msin = 0.57, Msout = 1.0</x:v>
      </x:c>
      <x:c r="AC382" s="6" t="str">
        <x:v>Ms_out表示系统输出信号在组件层面完全实现。</x:v>
      </x:c>
      <x:c r="AD382" s="2" t="str">
        <x:v>Accepted</x:v>
      </x:c>
      <x:c r="AE382" s="6" t="str">
        <x:v>NR</x:v>
      </x:c>
    </x:row>
    <x:row r="383" ht="76" customHeight="1">
      <x:c r="A383" s="2" t="str">
        <x:v>S33-RESULT-R01</x:v>
      </x:c>
      <x:c r="B383" s="2" t="str">
        <x:v>S33</x:v>
      </x:c>
      <x:c r="C383" s="2" t="str">
        <x:v>merged_1222</x:v>
      </x:c>
      <x:c r="D383" s="2" t="str">
        <x:v>Reviewer_A</x:v>
      </x:c>
      <x:c r="E383" s="2" t="str">
        <x:v>Reviewer_A</x:v>
      </x:c>
      <x:c r="F383" s="2" t="str">
        <x:v>S33-R01</x:v>
      </x:c>
      <x:c r="G383" s="2" t="str">
        <x:v>S33-EV01</x:v>
      </x:c>
      <x:c r="H383" s="2" t="str">
        <x:v>S33-T01</x:v>
      </x:c>
      <x:c r="I383" s="2" t="str">
        <x:v>S33-MU02</x:v>
      </x:c>
      <x:c r="J383" s="2" t="str">
        <x:v>Synthetic security requirements and source code dataset</x:v>
      </x:c>
      <x:c r="K383" s="2" t="str">
        <x:v>Llama</x:v>
      </x:c>
      <x:c r="L383" s="2" t="str">
        <x:v>CodeLlama 7B-Instruct</x:v>
      </x:c>
      <x:c r="M383" s="2" t="str">
        <x:v>F1-score</x:v>
      </x:c>
      <x:c r="N383" s="6" t="str">
        <x:v>0.56</x:v>
      </x:c>
      <x:c r="O383" s="2" t="n">
        <x:v>0.56</x:v>
      </x:c>
      <x:c r="P383" s="2" t="str">
        <x:v>proportion</x:v>
      </x:c>
      <x:c r="Q383" s="6" t="str">
        <x:v>0.35</x:v>
      </x:c>
      <x:c r="R383" s="2" t="n">
        <x:v>0.35</x:v>
      </x:c>
      <x:c r="S383" s="2" t="str">
        <x:v>NR</x:v>
      </x:c>
      <x:c r="T383" s="2" t="str">
        <x:v>Better</x:v>
      </x:c>
      <x:c r="U383" s="2" t="str">
        <x:v>Not tested</x:v>
      </x:c>
      <x:c r="V383" s="2" t="str">
        <x:v>NR</x:v>
      </x:c>
      <x:c r="W383" s="2" t="str">
        <x:v>NR</x:v>
      </x:c>
      <x:c r="X383" s="2" t="str">
        <x:v>NR</x:v>
      </x:c>
      <x:c r="Y383" s="2" t="str">
        <x:v>NR</x:v>
      </x:c>
      <x:c r="Z383" s="2" t="str">
        <x:v>No</x:v>
      </x:c>
      <x:c r="AA383" s="6" t="str">
        <x:v>p. 7; Section IV-G Results, text below Figure 6</x:v>
      </x:c>
      <x:c r="AB383" s="6" t="str">
        <x:v>LLama achieves an F1-score of 0.56, while CodeLLama scores 0.35.</x:v>
      </x:c>
      <x:c r="AC383" s="6" t="str">
        <x:v>Llama在F1分数上优于CodeLlama (0.56 vs 0.35)，表明通用LLM可能比代码专用LLM在追踪任务上表现更好。</x:v>
      </x:c>
      <x:c r="AD383" s="2" t="str">
        <x:v>Accepted</x:v>
      </x:c>
      <x:c r="AE383" s="6" t="str">
        <x:v>NR</x:v>
      </x:c>
    </x:row>
    <x:row r="384" ht="76" customHeight="1">
      <x:c r="A384" s="2" t="str">
        <x:v>S33-RESULT-R02</x:v>
      </x:c>
      <x:c r="B384" s="2" t="str">
        <x:v>S33</x:v>
      </x:c>
      <x:c r="C384" s="2" t="str">
        <x:v>merged_1222</x:v>
      </x:c>
      <x:c r="D384" s="2" t="str">
        <x:v>Reviewer_A</x:v>
      </x:c>
      <x:c r="E384" s="2" t="str">
        <x:v>Reviewer_A</x:v>
      </x:c>
      <x:c r="F384" s="2" t="str">
        <x:v>S33-R02</x:v>
      </x:c>
      <x:c r="G384" s="2" t="str">
        <x:v>S33-EV01</x:v>
      </x:c>
      <x:c r="H384" s="2" t="str">
        <x:v>S33-T01</x:v>
      </x:c>
      <x:c r="I384" s="2" t="str">
        <x:v>NA</x:v>
      </x:c>
      <x:c r="J384" s="2" t="str">
        <x:v>Synthetic security requirements and source code dataset</x:v>
      </x:c>
      <x:c r="K384" s="2" t="str">
        <x:v>Incomplete implementations</x:v>
      </x:c>
      <x:c r="L384" s="2" t="str">
        <x:v>Complete implementations</x:v>
      </x:c>
      <x:c r="M384" s="2" t="str">
        <x:v>F1-score</x:v>
      </x:c>
      <x:c r="N384" s="6" t="str">
        <x:v>0.53</x:v>
      </x:c>
      <x:c r="O384" s="2" t="n">
        <x:v>0.53</x:v>
      </x:c>
      <x:c r="P384" s="2" t="str">
        <x:v>proportion</x:v>
      </x:c>
      <x:c r="Q384" s="6" t="str">
        <x:v>0.45</x:v>
      </x:c>
      <x:c r="R384" s="2" t="n">
        <x:v>0.45</x:v>
      </x:c>
      <x:c r="S384" s="2" t="str">
        <x:v>NR</x:v>
      </x:c>
      <x:c r="T384" s="2" t="str">
        <x:v>Better</x:v>
      </x:c>
      <x:c r="U384" s="2" t="str">
        <x:v>Not tested</x:v>
      </x:c>
      <x:c r="V384" s="2" t="str">
        <x:v>NR</x:v>
      </x:c>
      <x:c r="W384" s="2" t="str">
        <x:v>NR</x:v>
      </x:c>
      <x:c r="X384" s="2" t="str">
        <x:v>NR</x:v>
      </x:c>
      <x:c r="Y384" s="2" t="str">
        <x:v>NR</x:v>
      </x:c>
      <x:c r="Z384" s="2" t="str">
        <x:v>No</x:v>
      </x:c>
      <x:c r="AA384" s="6" t="str">
        <x:v>p. 7; Section IV-G Results, paragraph on Implementation Completeness</x:v>
      </x:c>
      <x:c r="AB384" s="6" t="str">
        <x:v>incomplete implementations with an F1-score of 0.53 slightly outperform the complete implementations with 0.45.</x:v>
      </x:c>
      <x:c r="AC384" s="6" t="str">
        <x:v>不完整实现的F1分数(0.53)略高于完整实现(0.45)，表明部分实现可能帮助模型识别更多有效匹配。</x:v>
      </x:c>
      <x:c r="AD384" s="2" t="str">
        <x:v>Accepted</x:v>
      </x:c>
      <x:c r="AE384" s="6" t="str">
        <x:v>NR</x:v>
      </x:c>
    </x:row>
    <x:row r="385" ht="76" customHeight="1">
      <x:c r="A385" s="2" t="str">
        <x:v>S33-RESULT-R03</x:v>
      </x:c>
      <x:c r="B385" s="2" t="str">
        <x:v>S33</x:v>
      </x:c>
      <x:c r="C385" s="2" t="str">
        <x:v>merged_1222</x:v>
      </x:c>
      <x:c r="D385" s="2" t="str">
        <x:v>Reviewer_A</x:v>
      </x:c>
      <x:c r="E385" s="2" t="str">
        <x:v>Reviewer_A</x:v>
      </x:c>
      <x:c r="F385" s="2" t="str">
        <x:v>S33-R03</x:v>
      </x:c>
      <x:c r="G385" s="2" t="str">
        <x:v>S33-EV01</x:v>
      </x:c>
      <x:c r="H385" s="2" t="str">
        <x:v>S33-T01</x:v>
      </x:c>
      <x:c r="I385" s="2" t="str">
        <x:v>NA</x:v>
      </x:c>
      <x:c r="J385" s="2" t="str">
        <x:v>Synthetic security requirements and source code dataset</x:v>
      </x:c>
      <x:c r="K385" s="2" t="str">
        <x:v>Commented</x:v>
      </x:c>
      <x:c r="L385" s="2" t="str">
        <x:v>Uncommented</x:v>
      </x:c>
      <x:c r="M385" s="2" t="str">
        <x:v>F1-score</x:v>
      </x:c>
      <x:c r="N385" s="6" t="str">
        <x:v>0.46</x:v>
      </x:c>
      <x:c r="O385" s="2" t="n">
        <x:v>0.46</x:v>
      </x:c>
      <x:c r="P385" s="2" t="str">
        <x:v>proportion</x:v>
      </x:c>
      <x:c r="Q385" s="6" t="str">
        <x:v>0.44</x:v>
      </x:c>
      <x:c r="R385" s="2" t="n">
        <x:v>0.44</x:v>
      </x:c>
      <x:c r="S385" s="2" t="str">
        <x:v>NR</x:v>
      </x:c>
      <x:c r="T385" s="2" t="str">
        <x:v>Better</x:v>
      </x:c>
      <x:c r="U385" s="2" t="str">
        <x:v>Not tested</x:v>
      </x:c>
      <x:c r="V385" s="2" t="str">
        <x:v>NR</x:v>
      </x:c>
      <x:c r="W385" s="2" t="str">
        <x:v>NR</x:v>
      </x:c>
      <x:c r="X385" s="2" t="str">
        <x:v>NR</x:v>
      </x:c>
      <x:c r="Y385" s="2" t="str">
        <x:v>NR</x:v>
      </x:c>
      <x:c r="Z385" s="2" t="str">
        <x:v>No</x:v>
      </x:c>
      <x:c r="AA385" s="6" t="str">
        <x:v>p. 7; Section IV-G Results, paragraph on Comment Presence</x:v>
      </x:c>
      <x:c r="AB385" s="6" t="str">
        <x:v>The presence of comments offers only a small improvement in performance, with a F1-score of 0.46 compared to 0.44 when comments are removed.</x:v>
      </x:c>
      <x:c r="AC385" s="6" t="str">
        <x:v>注释仅带来微小提升(F1 0.46 vs 0.44)，说明LLM主要依赖代码结构而非注释理解匹配。</x:v>
      </x:c>
      <x:c r="AD385" s="2" t="str">
        <x:v>Accepted</x:v>
      </x:c>
      <x:c r="AE385" s="6" t="str">
        <x:v>NR</x:v>
      </x:c>
    </x:row>
    <x:row r="386" ht="76" customHeight="1">
      <x:c r="A386" s="2" t="str">
        <x:v>S33-RESULT-R04</x:v>
      </x:c>
      <x:c r="B386" s="2" t="str">
        <x:v>S33</x:v>
      </x:c>
      <x:c r="C386" s="2" t="str">
        <x:v>merged_1222</x:v>
      </x:c>
      <x:c r="D386" s="2" t="str">
        <x:v>Reviewer_A</x:v>
      </x:c>
      <x:c r="E386" s="2" t="str">
        <x:v>Reviewer_A</x:v>
      </x:c>
      <x:c r="F386" s="2" t="str">
        <x:v>S33-R04</x:v>
      </x:c>
      <x:c r="G386" s="2" t="str">
        <x:v>S33-EV01</x:v>
      </x:c>
      <x:c r="H386" s="2" t="str">
        <x:v>S33-T01</x:v>
      </x:c>
      <x:c r="I386" s="2" t="str">
        <x:v>NA</x:v>
      </x:c>
      <x:c r="J386" s="2" t="str">
        <x:v>Synthetic security requirements and source code dataset</x:v>
      </x:c>
      <x:c r="K386" s="2" t="str">
        <x:v>N:M</x:v>
      </x:c>
      <x:c r="L386" s="2" t="str">
        <x:v>N:1</x:v>
      </x:c>
      <x:c r="M386" s="2" t="str">
        <x:v>F1-score</x:v>
      </x:c>
      <x:c r="N386" s="6" t="str">
        <x:v>0.88</x:v>
      </x:c>
      <x:c r="O386" s="2" t="n">
        <x:v>0.88</x:v>
      </x:c>
      <x:c r="P386" s="2" t="str">
        <x:v>proportion</x:v>
      </x:c>
      <x:c r="Q386" s="6" t="str">
        <x:v>0.29</x:v>
      </x:c>
      <x:c r="R386" s="2" t="n">
        <x:v>0.29</x:v>
      </x:c>
      <x:c r="S386" s="2" t="str">
        <x:v>NR</x:v>
      </x:c>
      <x:c r="T386" s="2" t="str">
        <x:v>Better</x:v>
      </x:c>
      <x:c r="U386" s="2" t="str">
        <x:v>Not tested</x:v>
      </x:c>
      <x:c r="V386" s="2" t="str">
        <x:v>NR</x:v>
      </x:c>
      <x:c r="W386" s="2" t="str">
        <x:v>NR</x:v>
      </x:c>
      <x:c r="X386" s="2" t="str">
        <x:v>NR</x:v>
      </x:c>
      <x:c r="Y386" s="2" t="str">
        <x:v>NR</x:v>
      </x:c>
      <x:c r="Z386" s="2" t="str">
        <x:v>No</x:v>
      </x:c>
      <x:c r="AA386" s="6" t="str">
        <x:v>p. 7; Section IV-G Results, paragraph on Pair Evaluation Type</x:v>
      </x:c>
      <x:c r="AB386" s="6" t="str">
        <x:v>particularly when transitioning from N:1 (0.29) to N:M (0.88).</x:v>
      </x:c>
      <x:c r="AC386" s="6" t="str">
        <x:v>N:M配对方式大幅提升F1 (0.88 vs 0.29)，表明提供完整上下文对模型匹配至关重要。</x:v>
      </x:c>
      <x:c r="AD386" s="2" t="str">
        <x:v>Accepted</x:v>
      </x:c>
      <x:c r="AE386" s="6" t="str">
        <x:v>NR</x:v>
      </x:c>
    </x:row>
    <x:row r="387" ht="76" customHeight="1">
      <x:c r="A387" s="2" t="str">
        <x:v>S33-RESULT-R05</x:v>
      </x:c>
      <x:c r="B387" s="2" t="str">
        <x:v>S33</x:v>
      </x:c>
      <x:c r="C387" s="2" t="str">
        <x:v>merged_1222</x:v>
      </x:c>
      <x:c r="D387" s="2" t="str">
        <x:v>Reviewer_A</x:v>
      </x:c>
      <x:c r="E387" s="2" t="str">
        <x:v>Reviewer_A</x:v>
      </x:c>
      <x:c r="F387" s="2" t="str">
        <x:v>S33-R05</x:v>
      </x:c>
      <x:c r="G387" s="2" t="str">
        <x:v>S33-EV01</x:v>
      </x:c>
      <x:c r="H387" s="2" t="str">
        <x:v>S33-T01</x:v>
      </x:c>
      <x:c r="I387" s="2" t="str">
        <x:v>NA</x:v>
      </x:c>
      <x:c r="J387" s="2" t="str">
        <x:v>Synthetic security requirements and source code dataset</x:v>
      </x:c>
      <x:c r="K387" s="2" t="str">
        <x:v>Best configuration</x:v>
      </x:c>
      <x:c r="L387" s="2" t="str">
        <x:v>NA</x:v>
      </x:c>
      <x:c r="M387" s="2" t="str">
        <x:v>F1-score</x:v>
      </x:c>
      <x:c r="N387" s="6" t="str">
        <x:v>0.84</x:v>
      </x:c>
      <x:c r="O387" s="2" t="n">
        <x:v>0.84</x:v>
      </x:c>
      <x:c r="P387" s="2" t="str">
        <x:v>proportion</x:v>
      </x:c>
      <x:c r="Q387" s="6" t="str">
        <x:v>NA</x:v>
      </x:c>
      <x:c r="R387" s="2" t="str">
        <x:v>Unclear</x:v>
      </x:c>
      <x:c r="S387" s="2" t="str">
        <x:v>NR</x:v>
      </x:c>
      <x:c r="T387" s="2" t="str">
        <x:v>Not compared</x:v>
      </x:c>
      <x:c r="U387" s="2" t="str">
        <x:v>Not tested</x:v>
      </x:c>
      <x:c r="V387" s="2" t="str">
        <x:v>NR</x:v>
      </x:c>
      <x:c r="W387" s="2" t="str">
        <x:v>NR</x:v>
      </x:c>
      <x:c r="X387" s="2" t="str">
        <x:v>NR</x:v>
      </x:c>
      <x:c r="Y387" s="2" t="str">
        <x:v>NR</x:v>
      </x:c>
      <x:c r="Z387" s="2" t="str">
        <x:v>No</x:v>
      </x:c>
      <x:c r="AA387" s="6" t="str">
        <x:v>p. 8; Section IV-G Results, last paragraph before Section V</x:v>
      </x:c>
      <x:c r="AB387" s="6" t="str">
        <x:v>the value for precision is 0.96, the recall is 0.74 which ends in a F1-score of 0.84.</x:v>
      </x:c>
      <x:c r="AC387" s="6" t="str">
        <x:v>在最佳配置下(Llama, N:M, 任意语言/注释/完成度)，F1达到0.84，展示了LLM用于追踪恢复的潜力。</x:v>
      </x:c>
      <x:c r="AD387" s="2" t="str">
        <x:v>Accepted</x:v>
      </x:c>
      <x:c r="AE387" s="6" t="str">
        <x:v>NR</x:v>
      </x:c>
    </x:row>
    <x:row r="388" ht="76" customHeight="1">
      <x:c r="A388" s="2" t="str">
        <x:v>S34-RESULT-R01</x:v>
      </x:c>
      <x:c r="B388" s="2" t="str">
        <x:v>S34</x:v>
      </x:c>
      <x:c r="C388" s="2" t="str">
        <x:v>merged_1224-v1</x:v>
      </x:c>
      <x:c r="D388" s="2" t="str">
        <x:v>Reviewer_A</x:v>
      </x:c>
      <x:c r="E388" s="2" t="str">
        <x:v>Reviewer_A</x:v>
      </x:c>
      <x:c r="F388" s="2" t="str">
        <x:v>S34-R01</x:v>
      </x:c>
      <x:c r="G388" s="2" t="str">
        <x:v>S34-EV01</x:v>
      </x:c>
      <x:c r="H388" s="2" t="str">
        <x:v>S34-T01</x:v>
      </x:c>
      <x:c r="I388" s="2" t="str">
        <x:v>NA</x:v>
      </x:c>
      <x:c r="J388" s="2" t="str">
        <x:v>Waste Management System Use Cases</x:v>
      </x:c>
      <x:c r="K388" s="2" t="str">
        <x:v>chi-squared test of independence</x:v>
      </x:c>
      <x:c r="L388" s="2" t="str">
        <x:v>NA</x:v>
      </x:c>
      <x:c r="M388" s="2" t="str">
        <x:v>chi-squared statistic</x:v>
      </x:c>
      <x:c r="N388" s="6" t="str">
        <x:v>χ2 (16) = 3001.07, p &lt; .0001, Cramér’s V = 0.667</x:v>
      </x:c>
      <x:c r="O388" s="2" t="n">
        <x:v>3001.07</x:v>
      </x:c>
      <x:c r="P388" s="2" t="str">
        <x:v>count</x:v>
      </x:c>
      <x:c r="Q388" s="6" t="str">
        <x:v>NA</x:v>
      </x:c>
      <x:c r="R388" s="2" t="str">
        <x:v>NA</x:v>
      </x:c>
      <x:c r="S388" s="2" t="str">
        <x:v>NR</x:v>
      </x:c>
      <x:c r="T388" s="2" t="str">
        <x:v>Not compared</x:v>
      </x:c>
      <x:c r="U388" s="2" t="str">
        <x:v>Significant</x:v>
      </x:c>
      <x:c r="V388" s="2" t="str">
        <x:v>Cramér’s V = 0.667 indicates large effect</x:v>
      </x:c>
      <x:c r="W388" s="2" t="str">
        <x:v>NR</x:v>
      </x:c>
      <x:c r="X388" s="2" t="str">
        <x:v>NR</x:v>
      </x:c>
      <x:c r="Y388" s="2" t="str">
        <x:v>NR</x:v>
      </x:c>
      <x:c r="Z388" s="2" t="str">
        <x:v>No</x:v>
      </x:c>
      <x:c r="AA388" s="6" t="str">
        <x:v>p. 17; section 4.3</x:v>
      </x:c>
      <x:c r="AB388" s="6" t="str">
        <x:v>artifact usefulness. A strong association between model identity and annotation completeness was confirmed (χ2 (16) = 3001.07, p &lt; .0001, Cramér’s V = 0.667), indicating</x:v>
      </x:c>
      <x:c r="AC388" s="6" t="str">
        <x:v>统计检验显示标注完整性与模型身份强相关</x:v>
      </x:c>
      <x:c r="AD388" s="2" t="str">
        <x:v>Accepted</x:v>
      </x:c>
      <x:c r="AE388" s="6" t="str">
        <x:v>NA</x:v>
      </x:c>
    </x:row>
    <x:row r="389" ht="76" customHeight="1">
      <x:c r="A389" s="2" t="str">
        <x:v>S34-RESULT-R02</x:v>
      </x:c>
      <x:c r="B389" s="2" t="str">
        <x:v>S34</x:v>
      </x:c>
      <x:c r="C389" s="2" t="str">
        <x:v>merged_1224-v1</x:v>
      </x:c>
      <x:c r="D389" s="2" t="str">
        <x:v>Reviewer_A</x:v>
      </x:c>
      <x:c r="E389" s="2" t="str">
        <x:v>Reviewer_A</x:v>
      </x:c>
      <x:c r="F389" s="2" t="str">
        <x:v>S34-R02</x:v>
      </x:c>
      <x:c r="G389" s="2" t="str">
        <x:v>S34-EV01</x:v>
      </x:c>
      <x:c r="H389" s="2" t="str">
        <x:v>S34-T01</x:v>
      </x:c>
      <x:c r="I389" s="2" t="str">
        <x:v>NA</x:v>
      </x:c>
      <x:c r="J389" s="2" t="str">
        <x:v>Waste Management System Use Cases</x:v>
      </x:c>
      <x:c r="K389" s="2" t="str">
        <x:v>time measurement</x:v>
      </x:c>
      <x:c r="L389" s="2" t="str">
        <x:v>NA</x:v>
      </x:c>
      <x:c r="M389" s="2" t="str">
        <x:v>time</x:v>
      </x:c>
      <x:c r="N389" s="6" t="str">
        <x:v>times ranging from a few seconds to under five minutes</x:v>
      </x:c>
      <x:c r="O389" s="2" t="str">
        <x:v>NA</x:v>
      </x:c>
      <x:c r="P389" s="2" t="str">
        <x:v>seconds</x:v>
      </x:c>
      <x:c r="Q389" s="6" t="str">
        <x:v>NA</x:v>
      </x:c>
      <x:c r="R389" s="2" t="str">
        <x:v>NA</x:v>
      </x:c>
      <x:c r="S389" s="2" t="str">
        <x:v>NR</x:v>
      </x:c>
      <x:c r="T389" s="2" t="str">
        <x:v>Not compared</x:v>
      </x:c>
      <x:c r="U389" s="2" t="str">
        <x:v>Not tested</x:v>
      </x:c>
      <x:c r="V389" s="2" t="str">
        <x:v>Rapid compared to human effort</x:v>
      </x:c>
      <x:c r="W389" s="2" t="str">
        <x:v>NR</x:v>
      </x:c>
      <x:c r="X389" s="2" t="str">
        <x:v>a few seconds to under five minutes</x:v>
      </x:c>
      <x:c r="Y389" s="2" t="str">
        <x:v>NR</x:v>
      </x:c>
      <x:c r="Z389" s="2" t="str">
        <x:v>No</x:v>
      </x:c>
      <x:c r="AA389" s="6" t="str">
        <x:v>p. 11; section 4</x:v>
      </x:c>
      <x:c r="AB389" s="6" t="str">
        <x:v>Across all runs, LLMs processed inputs—including methodless UML class diagrams, structured use cases, and enrichment instructions—to generate fully updated PlantUML code in times ranging from a few seconds to under five minutes.</x:v>
      </x:c>
      <x:c r="AC389" s="6" t="str">
        <x:v>LLM处理速度远快于人工，适合敏捷开发</x:v>
      </x:c>
      <x:c r="AD389" s="2" t="str">
        <x:v>Accepted</x:v>
      </x:c>
      <x:c r="AE389" s="6" t="str">
        <x:v>NA</x:v>
      </x:c>
    </x:row>
    <x:row r="390" ht="76" customHeight="1">
      <x:c r="A390" s="2" t="str">
        <x:v>S34-RESULT-R03</x:v>
      </x:c>
      <x:c r="B390" s="2" t="str">
        <x:v>S34</x:v>
      </x:c>
      <x:c r="C390" s="2" t="str">
        <x:v>merged_1224-v1</x:v>
      </x:c>
      <x:c r="D390" s="2" t="str">
        <x:v>Reviewer_A</x:v>
      </x:c>
      <x:c r="E390" s="2" t="str">
        <x:v>Reviewer_A</x:v>
      </x:c>
      <x:c r="F390" s="2" t="str">
        <x:v>S34-R03</x:v>
      </x:c>
      <x:c r="G390" s="2" t="str">
        <x:v>S34-EV01</x:v>
      </x:c>
      <x:c r="H390" s="2" t="str">
        <x:v>S34-T01</x:v>
      </x:c>
      <x:c r="I390" s="2" t="str">
        <x:v>NA</x:v>
      </x:c>
      <x:c r="J390" s="2" t="str">
        <x:v>Waste Management System Use Cases</x:v>
      </x:c>
      <x:c r="K390" s="2" t="str">
        <x:v>chi-squared test</x:v>
      </x:c>
      <x:c r="L390" s="2" t="str">
        <x:v>NA</x:v>
      </x:c>
      <x:c r="M390" s="2" t="str">
        <x:v>syntactic correctness rate</x:v>
      </x:c>
      <x:c r="N390" s="6" t="str">
        <x:v>χ2 (8) = 6.43, p = 0.5993</x:v>
      </x:c>
      <x:c r="O390" s="2" t="n">
        <x:v>6.43</x:v>
      </x:c>
      <x:c r="P390" s="2" t="str">
        <x:v>count</x:v>
      </x:c>
      <x:c r="Q390" s="6" t="str">
        <x:v>NA</x:v>
      </x:c>
      <x:c r="R390" s="2" t="str">
        <x:v>NA</x:v>
      </x:c>
      <x:c r="S390" s="2" t="str">
        <x:v>NR</x:v>
      </x:c>
      <x:c r="T390" s="2" t="str">
        <x:v>Not compared</x:v>
      </x:c>
      <x:c r="U390" s="2" t="str">
        <x:v>Not significant</x:v>
      </x:c>
      <x:c r="V390" s="2" t="str">
        <x:v>No significant differences, moderate effect size (Cramér’s V=0.267)</x:v>
      </x:c>
      <x:c r="W390" s="2" t="str">
        <x:v>NR</x:v>
      </x:c>
      <x:c r="X390" s="2" t="str">
        <x:v>NR</x:v>
      </x:c>
      <x:c r="Y390" s="2" t="str">
        <x:v>NR</x:v>
      </x:c>
      <x:c r="Z390" s="2" t="str">
        <x:v>Yes</x:v>
      </x:c>
      <x:c r="AA390" s="6" t="str">
        <x:v>p. 20; section 4.5</x:v>
      </x:c>
      <x:c r="AB390" s="6" t="str">
        <x:v>No statistically significant differences in syntactic correctness rates were observed across models (χ2 (8) = 6.43, p = 0.5993), despite a moderate effect size (Cramér’s</x:v>
      </x:c>
      <x:c r="AC390" s="6" t="str">
        <x:v>各模型生成的语法正确率无显著差异，表明所有LLM均能生成有效PlantUML</x:v>
      </x:c>
      <x:c r="AD390" s="2" t="str">
        <x:v>Accepted</x:v>
      </x:c>
      <x:c r="AE390" s="6" t="str">
        <x:v>NA</x:v>
      </x:c>
    </x:row>
    <x:row r="391" ht="76" customHeight="1">
      <x:c r="A391" s="2" t="str">
        <x:v>S35-RESULT-R01</x:v>
      </x:c>
      <x:c r="B391" s="2" t="str">
        <x:v>S35</x:v>
      </x:c>
      <x:c r="C391" s="2" t="str">
        <x:v>merged_1225</x:v>
      </x:c>
      <x:c r="D391" s="2" t="str">
        <x:v>Reviewer_A</x:v>
      </x:c>
      <x:c r="E391" s="2" t="str">
        <x:v>Reviewer_A</x:v>
      </x:c>
      <x:c r="F391" s="2" t="str">
        <x:v>S35-R01</x:v>
      </x:c>
      <x:c r="G391" s="2" t="str">
        <x:v>S35-EV01</x:v>
      </x:c>
      <x:c r="H391" s="2" t="str">
        <x:v>S35-T01</x:v>
      </x:c>
      <x:c r="I391" s="2" t="str">
        <x:v>NA</x:v>
      </x:c>
      <x:c r="J391" s="2" t="str">
        <x:v>Scholar@UC full set</x:v>
      </x:c>
      <x:c r="K391" s="2" t="str">
        <x:v>Cosine (vector space model with tfidf and cosine similarity)</x:v>
      </x:c>
      <x:c r="L391" s="2" t="str">
        <x:v>No</x:v>
      </x:c>
      <x:c r="M391" s="2" t="str">
        <x:v>max overlap count (tests tracing to one requirement)</x:v>
      </x:c>
      <x:c r="N391" s="6" t="str">
        <x:v>12</x:v>
      </x:c>
      <x:c r="O391" s="2" t="n">
        <x:v>12</x:v>
      </x:c>
      <x:c r="P391" s="2" t="str">
        <x:v>count</x:v>
      </x:c>
      <x:c r="Q391" s="6" t="str">
        <x:v>NR</x:v>
      </x:c>
      <x:c r="R391" s="2" t="str">
        <x:v>NA</x:v>
      </x:c>
      <x:c r="S391" s="2" t="str">
        <x:v>NR</x:v>
      </x:c>
      <x:c r="T391" s="2" t="str">
        <x:v>Worse</x:v>
      </x:c>
      <x:c r="U391" s="2" t="str">
        <x:v>Not tested</x:v>
      </x:c>
      <x:c r="V391" s="2" t="str">
        <x:v>Unsatisfactory high overlap</x:v>
      </x:c>
      <x:c r="W391" s="2" t="str">
        <x:v>NR</x:v>
      </x:c>
      <x:c r="X391" s="2" t="str">
        <x:v>NR</x:v>
      </x:c>
      <x:c r="Y391" s="2" t="str">
        <x:v>NR</x:v>
      </x:c>
      <x:c r="Z391" s="2" t="str">
        <x:v>Yes</x:v>
      </x:c>
      <x:c r="AA391" s="6" t="str">
        <x:v>p. 3; Section III.A, Fig. 3-a</x:v>
      </x:c>
      <x:c r="AB391" s="6" t="str">
        <x:v>Cosine traces 12 different .rb files to the same requirement</x:v>
      </x:c>
      <x:c r="AC391" s="6" t="str">
        <x:v>Cosine方法导致12个不同的测试文件追踪到同一个需求，高度重叠，表明追踪质量差</x:v>
      </x:c>
      <x:c r="AD391" s="2" t="str">
        <x:v>Accepted</x:v>
      </x:c>
      <x:c r="AE391" s="6" t="str">
        <x:v>NA</x:v>
      </x:c>
    </x:row>
    <x:row r="392" ht="76" customHeight="1">
      <x:c r="A392" s="2" t="str">
        <x:v>S35-RESULT-R02</x:v>
      </x:c>
      <x:c r="B392" s="2" t="str">
        <x:v>S35</x:v>
      </x:c>
      <x:c r="C392" s="2" t="str">
        <x:v>merged_1225</x:v>
      </x:c>
      <x:c r="D392" s="2" t="str">
        <x:v>Reviewer_A</x:v>
      </x:c>
      <x:c r="E392" s="2" t="str">
        <x:v>Reviewer_A</x:v>
      </x:c>
      <x:c r="F392" s="2" t="str">
        <x:v>S35-R02</x:v>
      </x:c>
      <x:c r="G392" s="2" t="str">
        <x:v>S35-EV01</x:v>
      </x:c>
      <x:c r="H392" s="2" t="str">
        <x:v>S35-T01</x:v>
      </x:c>
      <x:c r="I392" s="2" t="str">
        <x:v>NA</x:v>
      </x:c>
      <x:c r="J392" s="2" t="str">
        <x:v>Scholar@UC full set</x:v>
      </x:c>
      <x:c r="K392" s="2" t="str">
        <x:v>RoBERTa (sentence transformer)</x:v>
      </x:c>
      <x:c r="L392" s="2" t="str">
        <x:v>No</x:v>
      </x:c>
      <x:c r="M392" s="2" t="str">
        <x:v>max overlap count (tests tracing to one requirement)</x:v>
      </x:c>
      <x:c r="N392" s="6" t="str">
        <x:v>9</x:v>
      </x:c>
      <x:c r="O392" s="2" t="n">
        <x:v>9</x:v>
      </x:c>
      <x:c r="P392" s="2" t="str">
        <x:v>count</x:v>
      </x:c>
      <x:c r="Q392" s="6" t="str">
        <x:v>NR</x:v>
      </x:c>
      <x:c r="R392" s="2" t="str">
        <x:v>NA</x:v>
      </x:c>
      <x:c r="S392" s="2" t="str">
        <x:v>NR</x:v>
      </x:c>
      <x:c r="T392" s="2" t="str">
        <x:v>Worse</x:v>
      </x:c>
      <x:c r="U392" s="2" t="str">
        <x:v>Not tested</x:v>
      </x:c>
      <x:c r="V392" s="2" t="str">
        <x:v>Unsatisfactory high overlap</x:v>
      </x:c>
      <x:c r="W392" s="2" t="str">
        <x:v>NR</x:v>
      </x:c>
      <x:c r="X392" s="2" t="str">
        <x:v>NR</x:v>
      </x:c>
      <x:c r="Y392" s="2" t="str">
        <x:v>NR</x:v>
      </x:c>
      <x:c r="Z392" s="2" t="str">
        <x:v>Yes</x:v>
      </x:c>
      <x:c r="AA392" s="6" t="str">
        <x:v>p. 3; Section III.A, Fig. 3-b</x:v>
      </x:c>
      <x:c r="AB392" s="6" t="str">
        <x:v>RoBERTa maps 9 test files to one tracing target</x:v>
      </x:c>
      <x:c r="AC392" s="6" t="str">
        <x:v>RoBERTa方法导致9个测试文件追踪到同一个需求，同样存在高度重叠问题</x:v>
      </x:c>
      <x:c r="AD392" s="2" t="str">
        <x:v>Accepted</x:v>
      </x:c>
      <x:c r="AE392" s="6" t="str">
        <x:v>NA</x:v>
      </x:c>
    </x:row>
    <x:row r="393" ht="76" customHeight="1">
      <x:c r="A393" s="2" t="str">
        <x:v>S35-RESULT-R03</x:v>
      </x:c>
      <x:c r="B393" s="2" t="str">
        <x:v>S35</x:v>
      </x:c>
      <x:c r="C393" s="2" t="str">
        <x:v>merged_1225</x:v>
      </x:c>
      <x:c r="D393" s="2" t="str">
        <x:v>Reviewer_A</x:v>
      </x:c>
      <x:c r="E393" s="2" t="str">
        <x:v>Reviewer_A</x:v>
      </x:c>
      <x:c r="F393" s="2" t="str">
        <x:v>S35-R03</x:v>
      </x:c>
      <x:c r="G393" s="2" t="str">
        <x:v>S35-EV01</x:v>
      </x:c>
      <x:c r="H393" s="2" t="str">
        <x:v>S35-T01</x:v>
      </x:c>
      <x:c r="I393" s="2" t="str">
        <x:v>NA</x:v>
      </x:c>
      <x:c r="J393" s="2" t="str">
        <x:v>Scholar@UC full set</x:v>
      </x:c>
      <x:c r="K393" s="2" t="str">
        <x:v>Cosine vs RoBERTa agreement</x:v>
      </x:c>
      <x:c r="L393" s="2" t="str">
        <x:v>No</x:v>
      </x:c>
      <x:c r="M393" s="2" t="str">
        <x:v>number of tests traced to same requirement by both methods</x:v>
      </x:c>
      <x:c r="N393" s="6" t="str">
        <x:v>1</x:v>
      </x:c>
      <x:c r="O393" s="2" t="n">
        <x:v>1</x:v>
      </x:c>
      <x:c r="P393" s="2" t="str">
        <x:v>count</x:v>
      </x:c>
      <x:c r="Q393" s="6" t="str">
        <x:v>NR</x:v>
      </x:c>
      <x:c r="R393" s="2" t="str">
        <x:v>NA</x:v>
      </x:c>
      <x:c r="S393" s="2" t="str">
        <x:v>NR</x:v>
      </x:c>
      <x:c r="T393" s="2" t="str">
        <x:v>Not compared</x:v>
      </x:c>
      <x:c r="U393" s="2" t="str">
        <x:v>Not tested</x:v>
      </x:c>
      <x:c r="V393" s="2" t="str">
        <x:v>Very low agreement between the two recovery methods</x:v>
      </x:c>
      <x:c r="W393" s="2" t="str">
        <x:v>NR</x:v>
      </x:c>
      <x:c r="X393" s="2" t="str">
        <x:v>NR</x:v>
      </x:c>
      <x:c r="Y393" s="2" t="str">
        <x:v>NR</x:v>
      </x:c>
      <x:c r="Z393" s="2" t="str">
        <x:v>Yes</x:v>
      </x:c>
      <x:c r="AA393" s="6" t="str">
        <x:v>p. 3; Section III.A</x:v>
      </x:c>
      <x:c r="AB393" s="6" t="str">
        <x:v>concern show spec.rb—is traced to the same requirement (ID: 138) by both Cosine and RoBERTa, suggesting the very</x:v>
      </x:c>
      <x:c r="AC393" s="6" t="str">
        <x:v>两种方法的一致性极低，仅有一个测试被它们均映射到同一需求，进一步表明恢复结果不可靠</x:v>
      </x:c>
      <x:c r="AD393" s="2" t="str">
        <x:v>Accepted</x:v>
      </x:c>
      <x:c r="AE393" s="6" t="str">
        <x:v>NA</x:v>
      </x:c>
    </x:row>
    <x:row r="394" ht="76" customHeight="1">
      <x:c r="A394" s="2" t="str">
        <x:v>S35-RESULT-R04</x:v>
      </x:c>
      <x:c r="B394" s="2" t="str">
        <x:v>S35</x:v>
      </x:c>
      <x:c r="C394" s="2" t="str">
        <x:v>merged_1225</x:v>
      </x:c>
      <x:c r="D394" s="2" t="str">
        <x:v>Reviewer_A</x:v>
      </x:c>
      <x:c r="E394" s="2" t="str">
        <x:v>Reviewer_A</x:v>
      </x:c>
      <x:c r="F394" s="2" t="str">
        <x:v>S35-R04</x:v>
      </x:c>
      <x:c r="G394" s="2" t="str">
        <x:v>S35-EV03</x:v>
      </x:c>
      <x:c r="H394" s="2" t="str">
        <x:v>S35-T01</x:v>
      </x:c>
      <x:c r="I394" s="2" t="str">
        <x:v>NA</x:v>
      </x:c>
      <x:c r="J394" s="2" t="str">
        <x:v>7 randomly sampled feature tests (survey)</x:v>
      </x:c>
      <x:c r="K394" s="2" t="str">
        <x:v>ChatGPT baseline prompting vs other methods</x:v>
      </x:c>
      <x:c r="L394" s="2" t="str">
        <x:v>Pattern-enriched prompting / Cosine / RoBERTa</x:v>
      </x:c>
      <x:c r="M394" s="2" t="str">
        <x:v>developer preference count</x:v>
      </x:c>
      <x:c r="N394" s="6" t="str">
        <x:v>Unclear</x:v>
      </x:c>
      <x:c r="O394" s="2" t="n">
        <x:v>5</x:v>
      </x:c>
      <x:c r="P394" s="2" t="str">
        <x:v>count</x:v>
      </x:c>
      <x:c r="Q394" s="6" t="str">
        <x:v>Unclear</x:v>
      </x:c>
      <x:c r="R394" s="2" t="n">
        <x:v>1</x:v>
      </x:c>
      <x:c r="S394" s="2" t="str">
        <x:v>NA</x:v>
      </x:c>
      <x:c r="T394" s="2" t="str">
        <x:v>Better</x:v>
      </x:c>
      <x:c r="U394" s="2" t="str">
        <x:v>Not tested</x:v>
      </x:c>
      <x:c r="V394" s="2" t="str">
        <x:v>Baseline prompting was preferred for 5 out of 7 tests, whereas pattern-enriched was chosen for only 1, and for 1 test neither option was selected</x:v>
      </x:c>
      <x:c r="W394" s="2" t="str">
        <x:v>NR</x:v>
      </x:c>
      <x:c r="X394" s="2" t="str">
        <x:v>NR</x:v>
      </x:c>
      <x:c r="Y394" s="2" t="str">
        <x:v>NR</x:v>
      </x:c>
      <x:c r="Z394" s="2" t="str">
        <x:v>No</x:v>
      </x:c>
      <x:c r="AA394" s="6" t="str">
        <x:v>p. 4; Section III.B, Table IV</x:v>
      </x:c>
      <x:c r="AB394" s="6" t="str">
        <x:v>Surprisingly, the pattern-enriched prompting was not always preferred by the developers.</x:v>
      </x:c>
      <x:c r="AC394" s="6" t="str">
        <x:v>在开发者调查中，简单提示（baseline）在大多数测试（5/7）上受到偏好，而模式增强提示仅在一个测试上被选中，一个测试两个都未采用</x:v>
      </x:c>
      <x:c r="AD394" s="2" t="str">
        <x:v>Accepted</x:v>
      </x:c>
      <x:c r="AE394" s="6" t="str">
        <x:v>根据表IV统计，baseline被选中的测试有：DOI, Search, Dashboard, Creation, RSS；pattern-enriched仅Capability被选中；Embargo开发者提供了自己的答案</x:v>
      </x:c>
    </x:row>
    <x:row r="395" ht="76" customHeight="1">
      <x:c r="A395" s="2" t="str">
        <x:v>S35-RESULT-R05</x:v>
      </x:c>
      <x:c r="B395" s="2" t="str">
        <x:v>S35</x:v>
      </x:c>
      <x:c r="C395" s="2" t="str">
        <x:v>merged_1225</x:v>
      </x:c>
      <x:c r="D395" s="2" t="str">
        <x:v>Reviewer_A</x:v>
      </x:c>
      <x:c r="E395" s="2" t="str">
        <x:v>Reviewer_A</x:v>
      </x:c>
      <x:c r="F395" s="2" t="str">
        <x:v>S35-R05</x:v>
      </x:c>
      <x:c r="G395" s="2" t="str">
        <x:v>S35-EV03</x:v>
      </x:c>
      <x:c r="H395" s="2" t="str">
        <x:v>S35-T01</x:v>
      </x:c>
      <x:c r="I395" s="2" t="str">
        <x:v>NA</x:v>
      </x:c>
      <x:c r="J395" s="2" t="str">
        <x:v>7 randomly sampled feature tests (survey)</x:v>
      </x:c>
      <x:c r="K395" s="2" t="str">
        <x:v>Cosine, RoBERTa, baseline, pattern-enriched</x:v>
      </x:c>
      <x:c r="L395" s="2" t="str">
        <x:v>No</x:v>
      </x:c>
      <x:c r="M395" s="2" t="str">
        <x:v>developer preference for Embargo test</x:v>
      </x:c>
      <x:c r="N395" s="6" t="str">
        <x:v>Other: Tests embargo creation and update with valid and invalid release dates</x:v>
      </x:c>
      <x:c r="O395" s="2" t="n">
        <x:v>0</x:v>
      </x:c>
      <x:c r="P395" s="2" t="str">
        <x:v>count</x:v>
      </x:c>
      <x:c r="Q395" s="6" t="str">
        <x:v>NR</x:v>
      </x:c>
      <x:c r="R395" s="2" t="str">
        <x:v>NA</x:v>
      </x:c>
      <x:c r="S395" s="2" t="str">
        <x:v>NA</x:v>
      </x:c>
      <x:c r="T395" s="2" t="str">
        <x:v>Worse</x:v>
      </x:c>
      <x:c r="U395" s="2" t="str">
        <x:v>Not tested</x:v>
      </x:c>
      <x:c r="V395" s="2" t="str">
        <x:v>All four methods were rejected for the Embargo test, indicating gaps in automated tracing</x:v>
      </x:c>
      <x:c r="W395" s="2" t="str">
        <x:v>NR</x:v>
      </x:c>
      <x:c r="X395" s="2" t="str">
        <x:v>NR</x:v>
      </x:c>
      <x:c r="Y395" s="2" t="str">
        <x:v>Embargo test: no automated method provided acceptable description</x:v>
      </x:c>
      <x:c r="Z395" s="2" t="str">
        <x:v>Yes</x:v>
      </x:c>
      <x:c r="AA395" s="6" t="str">
        <x:v>p. 5; Section III.B, Table IV</x:v>
      </x:c>
      <x:c r="AB395" s="6" t="str">
        <x:v>The developers chose ‘Other:’ and entered: “Tests embargo creation and update with valid and invalid release dates.”</x:v>
      </x:c>
      <x:c r="AC395" s="6" t="str">
        <x:v>对于Embargo测试，所有四种自动生成的结果均未被开发者接受，他们提供了自己的描述，暴露了现有方法的不足</x:v>
      </x:c>
      <x:c r="AD395" s="2" t="str">
        <x:v>Accepted</x:v>
      </x:c>
      <x:c r="AE395" s="6" t="str">
        <x:v>NA</x:v>
      </x:c>
    </x:row>
    <x:row r="396" ht="76" customHeight="1">
      <x:c r="A396" s="2" t="str">
        <x:v>S36-RESULT-R01</x:v>
      </x:c>
      <x:c r="B396" s="2" t="str">
        <x:v>S36</x:v>
      </x:c>
      <x:c r="C396" s="2" t="str">
        <x:v>merged_1236</x:v>
      </x:c>
      <x:c r="D396" s="2" t="str">
        <x:v>Reviewer_A</x:v>
      </x:c>
      <x:c r="E396" s="2" t="str">
        <x:v>Reviewer_A</x:v>
      </x:c>
      <x:c r="F396" s="2" t="str">
        <x:v>S36-R01</x:v>
      </x:c>
      <x:c r="G396" s="2" t="str">
        <x:v>S36-EV01</x:v>
      </x:c>
      <x:c r="H396" s="2" t="str">
        <x:v>S36-T01</x:v>
      </x:c>
      <x:c r="I396" s="2" t="str">
        <x:v>NA</x:v>
      </x:c>
      <x:c r="J396" s="2" t="str">
        <x:v>Banking, Healthcare, E-commerce (average)</x:v>
      </x:c>
      <x:c r="K396" s="2" t="str">
        <x:v>RAG pipeline with ChromaDB and all-MiniLM-L6-v2</x:v>
      </x:c>
      <x:c r="L396" s="2" t="str">
        <x:v>No</x:v>
      </x:c>
      <x:c r="M396" s="2" t="str">
        <x:v>Top-1 Accuracy</x:v>
      </x:c>
      <x:c r="N396" s="6" t="str">
        <x:v>76.8%</x:v>
      </x:c>
      <x:c r="O396" s="2" t="n">
        <x:v>76.8</x:v>
      </x:c>
      <x:c r="P396" s="2" t="str">
        <x:v>%</x:v>
      </x:c>
      <x:c r="Q396" s="6" t="str">
        <x:v>NA</x:v>
      </x:c>
      <x:c r="R396" s="2" t="str">
        <x:v>NA</x:v>
      </x:c>
      <x:c r="S396" s="2" t="str">
        <x:v>NR</x:v>
      </x:c>
      <x:c r="T396" s="2" t="str">
        <x:v>Not compared</x:v>
      </x:c>
      <x:c r="U396" s="2" t="str">
        <x:v>Not tested</x:v>
      </x:c>
      <x:c r="V396" s="2" t="str">
        <x:v>NR</x:v>
      </x:c>
      <x:c r="W396" s="2" t="str">
        <x:v>NR</x:v>
      </x:c>
      <x:c r="X396" s="2" t="str">
        <x:v>NR</x:v>
      </x:c>
      <x:c r="Y396" s="2" t="str">
        <x:v>NR</x:v>
      </x:c>
      <x:c r="Z396" s="2" t="str">
        <x:v>No</x:v>
      </x:c>
      <x:c r="AA396" s="6" t="str">
        <x:v>p. 4; Table III caption and text</x:v>
      </x:c>
      <x:c r="AB396" s="6" t="str">
        <x:v>the system achieved 76.8% Top-1 and 88.8% Top-3 accuracy</x:v>
      </x:c>
      <x:c r="AC396" s="6" t="str">
        <x:v>平均Top-1准确率76.8%，无基线对比。</x:v>
      </x:c>
      <x:c r="AD396" s="2" t="str">
        <x:v>Accepted</x:v>
      </x:c>
      <x:c r="AE396" s="6" t="str">
        <x:v>NA</x:v>
      </x:c>
    </x:row>
    <x:row r="397" ht="76" customHeight="1">
      <x:c r="A397" s="2" t="str">
        <x:v>S36-RESULT-R02</x:v>
      </x:c>
      <x:c r="B397" s="2" t="str">
        <x:v>S36</x:v>
      </x:c>
      <x:c r="C397" s="2" t="str">
        <x:v>merged_1236</x:v>
      </x:c>
      <x:c r="D397" s="2" t="str">
        <x:v>Reviewer_A</x:v>
      </x:c>
      <x:c r="E397" s="2" t="str">
        <x:v>Reviewer_A</x:v>
      </x:c>
      <x:c r="F397" s="2" t="str">
        <x:v>S36-R02</x:v>
      </x:c>
      <x:c r="G397" s="2" t="str">
        <x:v>S36-EV01</x:v>
      </x:c>
      <x:c r="H397" s="2" t="str">
        <x:v>S36-T01</x:v>
      </x:c>
      <x:c r="I397" s="2" t="str">
        <x:v>NA</x:v>
      </x:c>
      <x:c r="J397" s="2" t="str">
        <x:v>Banking, Healthcare, E-commerce (average)</x:v>
      </x:c>
      <x:c r="K397" s="2" t="str">
        <x:v>RAG pipeline with ChromaDB and all-MiniLM-L6-v2</x:v>
      </x:c>
      <x:c r="L397" s="2" t="str">
        <x:v>No</x:v>
      </x:c>
      <x:c r="M397" s="2" t="str">
        <x:v>Top-3 Accuracy</x:v>
      </x:c>
      <x:c r="N397" s="6" t="str">
        <x:v>88.8%</x:v>
      </x:c>
      <x:c r="O397" s="2" t="n">
        <x:v>88.8</x:v>
      </x:c>
      <x:c r="P397" s="2" t="str">
        <x:v>%</x:v>
      </x:c>
      <x:c r="Q397" s="6" t="str">
        <x:v>NA</x:v>
      </x:c>
      <x:c r="R397" s="2" t="str">
        <x:v>NA</x:v>
      </x:c>
      <x:c r="S397" s="2" t="str">
        <x:v>NR</x:v>
      </x:c>
      <x:c r="T397" s="2" t="str">
        <x:v>Not compared</x:v>
      </x:c>
      <x:c r="U397" s="2" t="str">
        <x:v>Not tested</x:v>
      </x:c>
      <x:c r="V397" s="2" t="str">
        <x:v>NR</x:v>
      </x:c>
      <x:c r="W397" s="2" t="str">
        <x:v>NR</x:v>
      </x:c>
      <x:c r="X397" s="2" t="str">
        <x:v>NR</x:v>
      </x:c>
      <x:c r="Y397" s="2" t="str">
        <x:v>NR</x:v>
      </x:c>
      <x:c r="Z397" s="2" t="str">
        <x:v>No</x:v>
      </x:c>
      <x:c r="AA397" s="6" t="str">
        <x:v>p. 4; Table III</x:v>
      </x:c>
      <x:c r="AB397" s="6" t="str">
        <x:v>the system achieved 76.8% Top-1 and 88.8% Top-3 accuracy</x:v>
      </x:c>
      <x:c r="AC397" s="6" t="str">
        <x:v>平均Top-3准确率88.8%。</x:v>
      </x:c>
      <x:c r="AD397" s="2" t="str">
        <x:v>Accepted</x:v>
      </x:c>
      <x:c r="AE397" s="6" t="str">
        <x:v>NA</x:v>
      </x:c>
    </x:row>
    <x:row r="398" ht="76" customHeight="1">
      <x:c r="A398" s="2" t="str">
        <x:v>S36-RESULT-R03</x:v>
      </x:c>
      <x:c r="B398" s="2" t="str">
        <x:v>S36</x:v>
      </x:c>
      <x:c r="C398" s="2" t="str">
        <x:v>merged_1236</x:v>
      </x:c>
      <x:c r="D398" s="2" t="str">
        <x:v>Reviewer_A</x:v>
      </x:c>
      <x:c r="E398" s="2" t="str">
        <x:v>Reviewer_A</x:v>
      </x:c>
      <x:c r="F398" s="2" t="str">
        <x:v>S36-R03</x:v>
      </x:c>
      <x:c r="G398" s="2" t="str">
        <x:v>S36-EV01</x:v>
      </x:c>
      <x:c r="H398" s="2" t="str">
        <x:v>S36-T01</x:v>
      </x:c>
      <x:c r="I398" s="2" t="str">
        <x:v>NA</x:v>
      </x:c>
      <x:c r="J398" s="2" t="str">
        <x:v>Banking, Healthcare, E-commerce (average)</x:v>
      </x:c>
      <x:c r="K398" s="2" t="str">
        <x:v>RAG pipeline with ChromaDB and all-MiniLM-L6-v2</x:v>
      </x:c>
      <x:c r="L398" s="2" t="str">
        <x:v>No</x:v>
      </x:c>
      <x:c r="M398" s="2" t="str">
        <x:v>Average Time</x:v>
      </x:c>
      <x:c r="N398" s="6" t="str">
        <x:v>140.52 MS</x:v>
      </x:c>
      <x:c r="O398" s="2" t="n">
        <x:v>140.52</x:v>
      </x:c>
      <x:c r="P398" s="2" t="str">
        <x:v>MS</x:v>
      </x:c>
      <x:c r="Q398" s="6" t="str">
        <x:v>NA</x:v>
      </x:c>
      <x:c r="R398" s="2" t="str">
        <x:v>NA</x:v>
      </x:c>
      <x:c r="S398" s="2" t="str">
        <x:v>NR</x:v>
      </x:c>
      <x:c r="T398" s="2" t="str">
        <x:v>Not compared</x:v>
      </x:c>
      <x:c r="U398" s="2" t="str">
        <x:v>Not tested</x:v>
      </x:c>
      <x:c r="V398" s="2" t="str">
        <x:v>NR</x:v>
      </x:c>
      <x:c r="W398" s="2" t="str">
        <x:v>NR</x:v>
      </x:c>
      <x:c r="X398" s="2" t="str">
        <x:v>NR</x:v>
      </x:c>
      <x:c r="Y398" s="2" t="str">
        <x:v>NR</x:v>
      </x:c>
      <x:c r="Z398" s="2" t="str">
        <x:v>No</x:v>
      </x:c>
      <x:c r="AA398" s="6" t="str">
        <x:v>p. 4; Table III (Average row, Avg Time column)</x:v>
      </x:c>
      <x:c r="AB398" s="6" t="str">
        <x:v>Average - 140.52 MS 76.8 88.8</x:v>
      </x:c>
      <x:c r="AC398" s="6" t="str">
        <x:v>平均检索时间140.52毫秒。</x:v>
      </x:c>
      <x:c r="AD398" s="2" t="str">
        <x:v>Accepted</x:v>
      </x:c>
      <x:c r="AE398" s="6" t="str">
        <x:v>NA</x:v>
      </x:c>
    </x:row>
    <x:row r="399" ht="76" customHeight="1">
      <x:c r="A399" s="2" t="str">
        <x:v>S36-RESULT-R04</x:v>
      </x:c>
      <x:c r="B399" s="2" t="str">
        <x:v>S36</x:v>
      </x:c>
      <x:c r="C399" s="2" t="str">
        <x:v>merged_1236</x:v>
      </x:c>
      <x:c r="D399" s="2" t="str">
        <x:v>Reviewer_A</x:v>
      </x:c>
      <x:c r="E399" s="2" t="str">
        <x:v>Reviewer_A</x:v>
      </x:c>
      <x:c r="F399" s="2" t="str">
        <x:v>S36-R04</x:v>
      </x:c>
      <x:c r="G399" s="2" t="str">
        <x:v>S36-EV01</x:v>
      </x:c>
      <x:c r="H399" s="2" t="str">
        <x:v>S36-T01</x:v>
      </x:c>
      <x:c r="I399" s="2" t="str">
        <x:v>NA</x:v>
      </x:c>
      <x:c r="J399" s="2" t="str">
        <x:v>E-commerce noise variants (D3-EP vs D3 clean)</x:v>
      </x:c>
      <x:c r="K399" s="2" t="str">
        <x:v>RAG pipeline with ChromaDB and all-MiniLM-L6-v2</x:v>
      </x:c>
      <x:c r="L399" s="2" t="str">
        <x:v>D3 clean baseline (Top-3 92%)</x:v>
      </x:c>
      <x:c r="M399" s="2" t="str">
        <x:v>Top-3 Accuracy</x:v>
      </x:c>
      <x:c r="N399" s="6" t="str">
        <x:v>92% (same as clean baseline)</x:v>
      </x:c>
      <x:c r="O399" s="2" t="n">
        <x:v>92</x:v>
      </x:c>
      <x:c r="P399" s="2" t="str">
        <x:v>%</x:v>
      </x:c>
      <x:c r="Q399" s="6" t="str">
        <x:v>92%</x:v>
      </x:c>
      <x:c r="R399" s="2" t="n">
        <x:v>92</x:v>
      </x:c>
      <x:c r="S399" s="2" t="str">
        <x:v>NR</x:v>
      </x:c>
      <x:c r="T399" s="2" t="str">
        <x:v>Comparable</x:v>
      </x:c>
      <x:c r="U399" s="2" t="str">
        <x:v>Not tested</x:v>
      </x:c>
      <x:c r="V399" s="2" t="str">
        <x:v>NR</x:v>
      </x:c>
      <x:c r="W399" s="2" t="str">
        <x:v>NR</x:v>
      </x:c>
      <x:c r="X399" s="2" t="str">
        <x:v>NR</x:v>
      </x:c>
      <x:c r="Y399" s="2" t="str">
        <x:v>NR</x:v>
      </x:c>
      <x:c r="Z399" s="2" t="str">
        <x:v>No</x:v>
      </x:c>
      <x:c r="AA399" s="6" t="str">
        <x:v>p. 4; Section V.D</x:v>
      </x:c>
      <x:c r="AB399" s="6" t="str">
        <x:v>Dataset D3-EP, despite containing 2.86× more chunks with substantial noise injection, maintained identical Top-3 accuracy (92%) compared to the clean baseline.</x:v>
      </x:c>
      <x:c r="AC399" s="6" t="str">
        <x:v>极端噪声下Top-3准确率与干净基线相同，显示出鲁棒性。</x:v>
      </x:c>
      <x:c r="AD399" s="2" t="str">
        <x:v>Accepted</x:v>
      </x:c>
      <x:c r="AE399" s="6" t="str">
        <x:v>NA</x:v>
      </x:c>
    </x:row>
    <x:row r="400" ht="76" customHeight="1">
      <x:c r="A400" s="2" t="str">
        <x:v>S36-RESULT-R05</x:v>
      </x:c>
      <x:c r="B400" s="2" t="str">
        <x:v>S36</x:v>
      </x:c>
      <x:c r="C400" s="2" t="str">
        <x:v>merged_1236</x:v>
      </x:c>
      <x:c r="D400" s="2" t="str">
        <x:v>Reviewer_A</x:v>
      </x:c>
      <x:c r="E400" s="2" t="str">
        <x:v>Reviewer_A</x:v>
      </x:c>
      <x:c r="F400" s="2" t="str">
        <x:v>S36-R05</x:v>
      </x:c>
      <x:c r="G400" s="2" t="str">
        <x:v>S36-EV01</x:v>
      </x:c>
      <x:c r="H400" s="2" t="str">
        <x:v>S36-T01</x:v>
      </x:c>
      <x:c r="I400" s="2" t="str">
        <x:v>NA</x:v>
      </x:c>
      <x:c r="J400" s="2" t="str">
        <x:v>All datasets</x:v>
      </x:c>
      <x:c r="K400" s="2" t="str">
        <x:v>RAG pipeline with ChromaDB and all-MiniLM-L6-v2</x:v>
      </x:c>
      <x:c r="L400" s="2" t="str">
        <x:v>NA</x:v>
      </x:c>
      <x:c r="M400" s="2" t="str">
        <x:v>Failure case analysis</x:v>
      </x:c>
      <x:c r="N400" s="6" t="str">
        <x:v>ContextViolation types (architectural boundary violations) occasionally retrieved generic architecture sections rather than the specific context definition.</x:v>
      </x:c>
      <x:c r="O400" s="2" t="str">
        <x:v>NA</x:v>
      </x:c>
      <x:c r="P400" s="2" t="str">
        <x:v>NA</x:v>
      </x:c>
      <x:c r="Q400" s="6" t="str">
        <x:v>NA</x:v>
      </x:c>
      <x:c r="R400" s="2" t="str">
        <x:v>NA</x:v>
      </x:c>
      <x:c r="S400" s="2" t="str">
        <x:v>NR</x:v>
      </x:c>
      <x:c r="T400" s="2" t="str">
        <x:v>Not compared</x:v>
      </x:c>
      <x:c r="U400" s="2" t="str">
        <x:v>Not tested</x:v>
      </x:c>
      <x:c r="V400" s="2" t="str">
        <x:v>NR</x:v>
      </x:c>
      <x:c r="W400" s="2" t="str">
        <x:v>NR</x:v>
      </x:c>
      <x:c r="X400" s="2" t="str">
        <x:v>NR</x:v>
      </x:c>
      <x:c r="Y400" s="2" t="str">
        <x:v>Yes</x:v>
      </x:c>
      <x:c r="Z400" s="2" t="str">
        <x:v>Yes</x:v>
      </x:c>
      <x:c r="AA400" s="6" t="str">
        <x:v>p. 4; Section V.D</x:v>
      </x:c>
      <x:c r="AB400" s="6" t="str">
        <x:v>an analysis of retrieval failures revealed that ContextViolation types (architectural boundary violations) occasionally retrieved generic architecture sections rather than the specific context definition.</x:v>
      </x:c>
      <x:c r="AC400" s="6" t="str">
        <x:v>错误分析显示，上下文边界违规有时会检索到通用架构部分而非特定上下文定义。</x:v>
      </x:c>
      <x:c r="AD400" s="2" t="str">
        <x:v>Accepted</x:v>
      </x:c>
      <x:c r="AE400" s="6" t="str">
        <x:v>NA</x:v>
      </x:c>
    </x:row>
    <x:row r="401" ht="76" customHeight="1">
      <x:c r="A401" s="2" t="str">
        <x:v>S37-RESULT-R01</x:v>
      </x:c>
      <x:c r="B401" s="2" t="str">
        <x:v>S37</x:v>
      </x:c>
      <x:c r="C401" s="2" t="str">
        <x:v>merged_1238</x:v>
      </x:c>
      <x:c r="D401" s="2" t="str">
        <x:v>Reviewer_A</x:v>
      </x:c>
      <x:c r="E401" s="2" t="str">
        <x:v>Reviewer_A</x:v>
      </x:c>
      <x:c r="F401" s="2" t="str">
        <x:v>S37-R01</x:v>
      </x:c>
      <x:c r="G401" s="2" t="str">
        <x:v>S37-EV01</x:v>
      </x:c>
      <x:c r="H401" s="2" t="str">
        <x:v>S37-T01</x:v>
      </x:c>
      <x:c r="I401" s="2" t="str">
        <x:v>NA</x:v>
      </x:c>
      <x:c r="J401" s="2" t="str">
        <x:v>ATM</x:v>
      </x:c>
      <x:c r="K401" s="2" t="str">
        <x:v>PRBC</x:v>
      </x:c>
      <x:c r="L401" s="2" t="str">
        <x:v>GSD</x:v>
      </x:c>
      <x:c r="M401" s="2" t="str">
        <x:v>F1-score</x:v>
      </x:c>
      <x:c r="N401" s="6" t="str">
        <x:v>87.0%</x:v>
      </x:c>
      <x:c r="O401" s="2" t="n">
        <x:v>87</x:v>
      </x:c>
      <x:c r="P401" s="2" t="str">
        <x:v>%</x:v>
      </x:c>
      <x:c r="Q401" s="6" t="str">
        <x:v>66.7%</x:v>
      </x:c>
      <x:c r="R401" s="2" t="n">
        <x:v>66.7</x:v>
      </x:c>
      <x:c r="S401" s="2" t="str">
        <x:v>NR</x:v>
      </x:c>
      <x:c r="T401" s="2" t="str">
        <x:v>Better</x:v>
      </x:c>
      <x:c r="U401" s="2" t="str">
        <x:v>Not tested</x:v>
      </x:c>
      <x:c r="V401" s="2" t="str">
        <x:v>NR</x:v>
      </x:c>
      <x:c r="W401" s="2" t="str">
        <x:v>NR</x:v>
      </x:c>
      <x:c r="X401" s="2" t="str">
        <x:v>NR</x:v>
      </x:c>
      <x:c r="Y401" s="2" t="str">
        <x:v>NR</x:v>
      </x:c>
      <x:c r="Z401" s="2" t="str">
        <x:v>No</x:v>
      </x:c>
      <x:c r="AA401" s="6" t="str">
        <x:v>p. 21; Table 8</x:v>
      </x:c>
      <x:c r="AB401" s="6" t="str">
        <x:v>F1-score 87.0% 80.7% 84.2% 80.0% 83.3%</x:v>
      </x:c>
      <x:c r="AC401" s="6" t="str">
        <x:v>在ATM案例上，PRBC的F1值显著高于GSD。</x:v>
      </x:c>
      <x:c r="AD401" s="2" t="str">
        <x:v>Accepted</x:v>
      </x:c>
      <x:c r="AE401" s="6" t="str">
        <x:v>NA</x:v>
      </x:c>
    </x:row>
    <x:row r="402" ht="76" customHeight="1">
      <x:c r="A402" s="2" t="str">
        <x:v>S37-RESULT-R02</x:v>
      </x:c>
      <x:c r="B402" s="2" t="str">
        <x:v>S37</x:v>
      </x:c>
      <x:c r="C402" s="2" t="str">
        <x:v>merged_1238</x:v>
      </x:c>
      <x:c r="D402" s="2" t="str">
        <x:v>Reviewer_A</x:v>
      </x:c>
      <x:c r="E402" s="2" t="str">
        <x:v>Reviewer_A</x:v>
      </x:c>
      <x:c r="F402" s="2" t="str">
        <x:v>S37-R02</x:v>
      </x:c>
      <x:c r="G402" s="2" t="str">
        <x:v>S37-EV01</x:v>
      </x:c>
      <x:c r="H402" s="2" t="str">
        <x:v>S37-T01</x:v>
      </x:c>
      <x:c r="I402" s="2" t="str">
        <x:v>NA</x:v>
      </x:c>
      <x:c r="J402" s="2" t="str">
        <x:v>ATM</x:v>
      </x:c>
      <x:c r="K402" s="2" t="str">
        <x:v>PRBC</x:v>
      </x:c>
      <x:c r="L402" s="2" t="str">
        <x:v>GSD</x:v>
      </x:c>
      <x:c r="M402" s="2" t="str">
        <x:v>Recall</x:v>
      </x:c>
      <x:c r="N402" s="6" t="str">
        <x:v>82.1%</x:v>
      </x:c>
      <x:c r="O402" s="2" t="n">
        <x:v>82.1</x:v>
      </x:c>
      <x:c r="P402" s="2" t="str">
        <x:v>%</x:v>
      </x:c>
      <x:c r="Q402" s="6" t="str">
        <x:v>83.3%</x:v>
      </x:c>
      <x:c r="R402" s="2" t="n">
        <x:v>83.3</x:v>
      </x:c>
      <x:c r="S402" s="2" t="str">
        <x:v>NR</x:v>
      </x:c>
      <x:c r="T402" s="2" t="str">
        <x:v>Comparable</x:v>
      </x:c>
      <x:c r="U402" s="2" t="str">
        <x:v>Not tested</x:v>
      </x:c>
      <x:c r="V402" s="2" t="str">
        <x:v>NR</x:v>
      </x:c>
      <x:c r="W402" s="2" t="str">
        <x:v>NR</x:v>
      </x:c>
      <x:c r="X402" s="2" t="str">
        <x:v>NR</x:v>
      </x:c>
      <x:c r="Y402" s="2" t="str">
        <x:v>NR</x:v>
      </x:c>
      <x:c r="Z402" s="2" t="str">
        <x:v>Yes</x:v>
      </x:c>
      <x:c r="AA402" s="6" t="str">
        <x:v>p. 22; Section 5.2 (4) Results analysis</x:v>
      </x:c>
      <x:c r="AB402" s="6" t="str">
        <x:v>except for yielding comparable results to the GSD method on the ATM case</x:v>
      </x:c>
      <x:c r="AC402" s="6" t="str">
        <x:v>在ATM案例上，PRBC的召回率与GSD相当，这是一个负面发现。</x:v>
      </x:c>
      <x:c r="AD402" s="2" t="str">
        <x:v>Accepted</x:v>
      </x:c>
      <x:c r="AE402" s="6" t="str">
        <x:v>NA</x:v>
      </x:c>
    </x:row>
    <x:row r="403" ht="76" customHeight="1">
      <x:c r="A403" s="2" t="str">
        <x:v>S37-RESULT-R03</x:v>
      </x:c>
      <x:c r="B403" s="2" t="str">
        <x:v>S37</x:v>
      </x:c>
      <x:c r="C403" s="2" t="str">
        <x:v>merged_1238</x:v>
      </x:c>
      <x:c r="D403" s="2" t="str">
        <x:v>Reviewer_A</x:v>
      </x:c>
      <x:c r="E403" s="2" t="str">
        <x:v>Reviewer_A</x:v>
      </x:c>
      <x:c r="F403" s="2" t="str">
        <x:v>S37-R03</x:v>
      </x:c>
      <x:c r="G403" s="2" t="str">
        <x:v>S37-EV01</x:v>
      </x:c>
      <x:c r="H403" s="2" t="str">
        <x:v>S37-T01</x:v>
      </x:c>
      <x:c r="I403" s="2" t="str">
        <x:v>NA</x:v>
      </x:c>
      <x:c r="J403" s="2" t="str">
        <x:v>Five public cases</x:v>
      </x:c>
      <x:c r="K403" s="2" t="str">
        <x:v>PRBC</x:v>
      </x:c>
      <x:c r="L403" s="2" t="str">
        <x:v>Multiple</x:v>
      </x:c>
      <x:c r="M403" s="2" t="str">
        <x:v>Overall comparison (F1)</x:v>
      </x:c>
      <x:c r="N403" s="6" t="str">
        <x:v>p-value is 0.049</x:v>
      </x:c>
      <x:c r="O403" s="2" t="n">
        <x:v>0.049</x:v>
      </x:c>
      <x:c r="P403" s="2" t="str">
        <x:v>proportion</x:v>
      </x:c>
      <x:c r="Q403" s="6" t="str">
        <x:v>NR</x:v>
      </x:c>
      <x:c r="R403" s="2" t="str">
        <x:v>NA</x:v>
      </x:c>
      <x:c r="S403" s="2" t="str">
        <x:v>NR</x:v>
      </x:c>
      <x:c r="T403" s="2" t="str">
        <x:v>Better</x:v>
      </x:c>
      <x:c r="U403" s="2" t="str">
        <x:v>Significant</x:v>
      </x:c>
      <x:c r="V403" s="2" t="str">
        <x:v>NR</x:v>
      </x:c>
      <x:c r="W403" s="2" t="str">
        <x:v>NR</x:v>
      </x:c>
      <x:c r="X403" s="2" t="str">
        <x:v>NR</x:v>
      </x:c>
      <x:c r="Y403" s="2" t="str">
        <x:v>NR</x:v>
      </x:c>
      <x:c r="Z403" s="2" t="str">
        <x:v>No</x:v>
      </x:c>
      <x:c r="AA403" s="6" t="str">
        <x:v>p. 22; Section 5.2 (5) Statistical significance</x:v>
      </x:c>
      <x:c r="AB403" s="6" t="str">
        <x:v>The permutation test is conducted to assess the uncertainty of results in Table 8. The p-value is 0.049.</x:v>
      </x:c>
      <x:c r="AC403" s="6" t="str">
        <x:v>置换检验表明PRBC在整体上显著优于基线方法。</x:v>
      </x:c>
      <x:c r="AD403" s="2" t="str">
        <x:v>Accepted</x:v>
      </x:c>
      <x:c r="AE403" s="6" t="str">
        <x:v>NA</x:v>
      </x:c>
    </x:row>
    <x:row r="404" ht="76" customHeight="1">
      <x:c r="A404" s="2" t="str">
        <x:v>S37-RESULT-R04</x:v>
      </x:c>
      <x:c r="B404" s="2" t="str">
        <x:v>S37</x:v>
      </x:c>
      <x:c r="C404" s="2" t="str">
        <x:v>merged_1238</x:v>
      </x:c>
      <x:c r="D404" s="2" t="str">
        <x:v>Reviewer_A</x:v>
      </x:c>
      <x:c r="E404" s="2" t="str">
        <x:v>Reviewer_A</x:v>
      </x:c>
      <x:c r="F404" s="2" t="str">
        <x:v>S37-R04</x:v>
      </x:c>
      <x:c r="G404" s="2" t="str">
        <x:v>S37-EV02</x:v>
      </x:c>
      <x:c r="H404" s="2" t="str">
        <x:v>S37-T01</x:v>
      </x:c>
      <x:c r="I404" s="2" t="str">
        <x:v>NA</x:v>
      </x:c>
      <x:c r="J404" s="2" t="str">
        <x:v>Car-hailing system case</x:v>
      </x:c>
      <x:c r="K404" s="2" t="str">
        <x:v>PRBC</x:v>
      </x:c>
      <x:c r="L404" s="2" t="str">
        <x:v>No baseline</x:v>
      </x:c>
      <x:c r="M404" s="2" t="str">
        <x:v>Verification result</x:v>
      </x:c>
      <x:c r="N404" s="6" t="str">
        <x:v>no dead transition, dead lock, live lock, or dead markings</x:v>
      </x:c>
      <x:c r="O404" s="2" t="str">
        <x:v>NA</x:v>
      </x:c>
      <x:c r="P404" s="2" t="str">
        <x:v>NA</x:v>
      </x:c>
      <x:c r="Q404" s="6" t="str">
        <x:v>NA</x:v>
      </x:c>
      <x:c r="R404" s="2" t="str">
        <x:v>NA</x:v>
      </x:c>
      <x:c r="S404" s="2" t="str">
        <x:v>NA</x:v>
      </x:c>
      <x:c r="T404" s="2" t="str">
        <x:v>Not compared</x:v>
      </x:c>
      <x:c r="U404" s="2" t="str">
        <x:v>NA</x:v>
      </x:c>
      <x:c r="V404" s="2" t="str">
        <x:v>NR</x:v>
      </x:c>
      <x:c r="W404" s="2" t="str">
        <x:v>NR</x:v>
      </x:c>
      <x:c r="X404" s="2" t="str">
        <x:v>NR</x:v>
      </x:c>
      <x:c r="Y404" s="2" t="str">
        <x:v>NR</x:v>
      </x:c>
      <x:c r="Z404" s="2" t="str">
        <x:v>No</x:v>
      </x:c>
      <x:c r="AA404" s="6" t="str">
        <x:v>p. 26; Section 5.3 (4) The executable verification</x:v>
      </x:c>
      <x:c r="AB404" s="6" t="str">
        <x:v>we find that there is no dead transition, dead lock, live lock, or dead markings in the CPN model, which can be proven by the state–space report shown in Table 10.</x:v>
      </x:c>
      <x:c r="AC404" s="6" t="str">
        <x:v>可执行性验证通过，CPN模型无死锁等问题。</x:v>
      </x:c>
      <x:c r="AD404" s="2" t="str">
        <x:v>Accepted</x:v>
      </x:c>
      <x:c r="AE404" s="6" t="str">
        <x:v>NA</x:v>
      </x:c>
    </x:row>
    <x:row r="405" ht="76" customHeight="1">
      <x:c r="A405" s="2" t="str">
        <x:v>S38-RESULT-R01</x:v>
      </x:c>
      <x:c r="B405" s="2" t="str">
        <x:v>S38</x:v>
      </x:c>
      <x:c r="C405" s="2" t="str">
        <x:v>merged_1241</x:v>
      </x:c>
      <x:c r="D405" s="2" t="str">
        <x:v>Reviewer_A</x:v>
      </x:c>
      <x:c r="E405" s="2" t="str">
        <x:v>Reviewer_A</x:v>
      </x:c>
      <x:c r="F405" s="2" t="str">
        <x:v>S38-R01</x:v>
      </x:c>
      <x:c r="G405" s="2" t="str">
        <x:v>S38-EV01</x:v>
      </x:c>
      <x:c r="H405" s="2" t="str">
        <x:v>S38-T01</x:v>
      </x:c>
      <x:c r="I405" s="2" t="str">
        <x:v>S38-MU01</x:v>
      </x:c>
      <x:c r="J405" s="2" t="str">
        <x:v>LusGen-Benchmark traceability subset (D2, D3, D4)</x:v>
      </x:c>
      <x:c r="K405" s="2" t="str">
        <x:v>LusGen</x:v>
      </x:c>
      <x:c r="L405" s="2" t="str">
        <x:v>No baseline</x:v>
      </x:c>
      <x:c r="M405" s="2" t="str">
        <x:v>T-acc</x:v>
      </x:c>
      <x:c r="N405" s="6" t="str">
        <x:v>85.1%</x:v>
      </x:c>
      <x:c r="O405" s="2" t="n">
        <x:v>85.1</x:v>
      </x:c>
      <x:c r="P405" s="2" t="str">
        <x:v>%</x:v>
      </x:c>
      <x:c r="Q405" s="6" t="str">
        <x:v>NA</x:v>
      </x:c>
      <x:c r="R405" s="2" t="str">
        <x:v>NA</x:v>
      </x:c>
      <x:c r="S405" s="2" t="str">
        <x:v>NR</x:v>
      </x:c>
      <x:c r="T405" s="2" t="str">
        <x:v>Not compared</x:v>
      </x:c>
      <x:c r="U405" s="2" t="str">
        <x:v>Not tested</x:v>
      </x:c>
      <x:c r="V405" s="2" t="str">
        <x:v>NR</x:v>
      </x:c>
      <x:c r="W405" s="2" t="str">
        <x:v>NR</x:v>
      </x:c>
      <x:c r="X405" s="2" t="str">
        <x:v>39.8 minutes for manual Lustre modeling of airborne wind speed system (8 requirements, 159 lines of Lustre model) as reference, no LLM-based generation time reported for traceability.</x:v>
      </x:c>
      <x:c r="Y405" s="2" t="str">
        <x:v>NR</x:v>
      </x:c>
      <x:c r="Z405" s="2" t="str">
        <x:v>No</x:v>
      </x:c>
      <x:c r="AA405" s="6" t="str">
        <x:v>p. 20; Table 9</x:v>
      </x:c>
      <x:c r="AB405" s="6" t="str">
        <x:v>Sum 437 80 73 85.1%</x:v>
      </x:c>
      <x:c r="AC405" s="6" t="str">
        <x:v>Qwen2.5-Coder在LusGen下整体T-acc为85.1%，TP=437，FP=80，FN=73。</x:v>
      </x:c>
      <x:c r="AD405" s="2" t="str">
        <x:v>Accepted</x:v>
      </x:c>
      <x:c r="AE405" s="6" t="str">
        <x:v>NA</x:v>
      </x:c>
    </x:row>
    <x:row r="406" ht="76" customHeight="1">
      <x:c r="A406" s="2" t="str">
        <x:v>S38-RESULT-R02</x:v>
      </x:c>
      <x:c r="B406" s="2" t="str">
        <x:v>S38</x:v>
      </x:c>
      <x:c r="C406" s="2" t="str">
        <x:v>merged_1241</x:v>
      </x:c>
      <x:c r="D406" s="2" t="str">
        <x:v>Reviewer_A</x:v>
      </x:c>
      <x:c r="E406" s="2" t="str">
        <x:v>Reviewer_A</x:v>
      </x:c>
      <x:c r="F406" s="2" t="str">
        <x:v>S38-R02</x:v>
      </x:c>
      <x:c r="G406" s="2" t="str">
        <x:v>S38-EV01</x:v>
      </x:c>
      <x:c r="H406" s="2" t="str">
        <x:v>S38-T01</x:v>
      </x:c>
      <x:c r="I406" s="2" t="str">
        <x:v>S38-MU02</x:v>
      </x:c>
      <x:c r="J406" s="2" t="str">
        <x:v>LusGen-Benchmark traceability subset (D2, D3, D4)</x:v>
      </x:c>
      <x:c r="K406" s="2" t="str">
        <x:v>LusGen</x:v>
      </x:c>
      <x:c r="L406" s="2" t="str">
        <x:v>No baseline</x:v>
      </x:c>
      <x:c r="M406" s="2" t="str">
        <x:v>T-acc</x:v>
      </x:c>
      <x:c r="N406" s="6" t="str">
        <x:v>88.4%</x:v>
      </x:c>
      <x:c r="O406" s="2" t="n">
        <x:v>88.4</x:v>
      </x:c>
      <x:c r="P406" s="2" t="str">
        <x:v>%</x:v>
      </x:c>
      <x:c r="Q406" s="6" t="str">
        <x:v>NA</x:v>
      </x:c>
      <x:c r="R406" s="2" t="str">
        <x:v>NA</x:v>
      </x:c>
      <x:c r="S406" s="2" t="str">
        <x:v>NR</x:v>
      </x:c>
      <x:c r="T406" s="2" t="str">
        <x:v>Not compared</x:v>
      </x:c>
      <x:c r="U406" s="2" t="str">
        <x:v>Not tested</x:v>
      </x:c>
      <x:c r="V406" s="2" t="str">
        <x:v>NR</x:v>
      </x:c>
      <x:c r="W406" s="2" t="str">
        <x:v>NR</x:v>
      </x:c>
      <x:c r="X406" s="2" t="str">
        <x:v>NR</x:v>
      </x:c>
      <x:c r="Y406" s="2" t="str">
        <x:v>NR</x:v>
      </x:c>
      <x:c r="Z406" s="2" t="str">
        <x:v>No</x:v>
      </x:c>
      <x:c r="AA406" s="6" t="str">
        <x:v>p. 20; Table 9</x:v>
      </x:c>
      <x:c r="AB406" s="6" t="str">
        <x:v>Sum 437 80 73 85.1% 482 96 31 88.4% 286 68 10 88.0% 327 88 14 86.5%</x:v>
      </x:c>
      <x:c r="AC406" s="6" t="str">
        <x:v>GPT-4o在LusGen下取得最高整体T-acc 88.4%，具有最多真阳性（482）和最少漏报。</x:v>
      </x:c>
      <x:c r="AD406" s="2" t="str">
        <x:v>Accepted</x:v>
      </x:c>
      <x:c r="AE406" s="6" t="str">
        <x:v>NA</x:v>
      </x:c>
    </x:row>
    <x:row r="407" ht="76" customHeight="1">
      <x:c r="A407" s="2" t="str">
        <x:v>S38-RESULT-R03</x:v>
      </x:c>
      <x:c r="B407" s="2" t="str">
        <x:v>S38</x:v>
      </x:c>
      <x:c r="C407" s="2" t="str">
        <x:v>merged_1241</x:v>
      </x:c>
      <x:c r="D407" s="2" t="str">
        <x:v>Reviewer_A</x:v>
      </x:c>
      <x:c r="E407" s="2" t="str">
        <x:v>Reviewer_A</x:v>
      </x:c>
      <x:c r="F407" s="2" t="str">
        <x:v>S38-R03</x:v>
      </x:c>
      <x:c r="G407" s="2" t="str">
        <x:v>S38-EV01</x:v>
      </x:c>
      <x:c r="H407" s="2" t="str">
        <x:v>S38-T01</x:v>
      </x:c>
      <x:c r="I407" s="2" t="str">
        <x:v>S38-MU03</x:v>
      </x:c>
      <x:c r="J407" s="2" t="str">
        <x:v>LusGen-Benchmark traceability subset (D2, D3, D4)</x:v>
      </x:c>
      <x:c r="K407" s="2" t="str">
        <x:v>LusGen</x:v>
      </x:c>
      <x:c r="L407" s="2" t="str">
        <x:v>No baseline</x:v>
      </x:c>
      <x:c r="M407" s="2" t="str">
        <x:v>T-acc</x:v>
      </x:c>
      <x:c r="N407" s="6" t="str">
        <x:v>88.0%</x:v>
      </x:c>
      <x:c r="O407" s="2" t="n">
        <x:v>88</x:v>
      </x:c>
      <x:c r="P407" s="2" t="str">
        <x:v>%</x:v>
      </x:c>
      <x:c r="Q407" s="6" t="str">
        <x:v>NA</x:v>
      </x:c>
      <x:c r="R407" s="2" t="str">
        <x:v>NA</x:v>
      </x:c>
      <x:c r="S407" s="2" t="str">
        <x:v>NR</x:v>
      </x:c>
      <x:c r="T407" s="2" t="str">
        <x:v>Not compared</x:v>
      </x:c>
      <x:c r="U407" s="2" t="str">
        <x:v>Not tested</x:v>
      </x:c>
      <x:c r="V407" s="2" t="str">
        <x:v>NR</x:v>
      </x:c>
      <x:c r="W407" s="2" t="str">
        <x:v>NR</x:v>
      </x:c>
      <x:c r="X407" s="2" t="str">
        <x:v>NR</x:v>
      </x:c>
      <x:c r="Y407" s="2" t="str">
        <x:v>NR</x:v>
      </x:c>
      <x:c r="Z407" s="2" t="str">
        <x:v>No</x:v>
      </x:c>
      <x:c r="AA407" s="6" t="str">
        <x:v>p. 20; Table 9</x:v>
      </x:c>
      <x:c r="AB407" s="6" t="str">
        <x:v>Sum 437 80 73 85.1% 482 96 31 88.4% 286 68 10 88.0% 327 88 14 86.5%</x:v>
      </x:c>
      <x:c r="AC407" s="6" t="str">
        <x:v>Deepseek-chat在LusGen下T-acc达88.0%，虽然真阳性数较低（286），但漏报极少（10），显示高召回。</x:v>
      </x:c>
      <x:c r="AD407" s="2" t="str">
        <x:v>Accepted</x:v>
      </x:c>
      <x:c r="AE407" s="6" t="str">
        <x:v>NA</x:v>
      </x:c>
    </x:row>
    <x:row r="408" ht="76" customHeight="1">
      <x:c r="A408" s="2" t="str">
        <x:v>S38-RESULT-R04</x:v>
      </x:c>
      <x:c r="B408" s="2" t="str">
        <x:v>S38</x:v>
      </x:c>
      <x:c r="C408" s="2" t="str">
        <x:v>merged_1241</x:v>
      </x:c>
      <x:c r="D408" s="2" t="str">
        <x:v>Reviewer_A</x:v>
      </x:c>
      <x:c r="E408" s="2" t="str">
        <x:v>Reviewer_A</x:v>
      </x:c>
      <x:c r="F408" s="2" t="str">
        <x:v>S38-R04</x:v>
      </x:c>
      <x:c r="G408" s="2" t="str">
        <x:v>S38-EV01</x:v>
      </x:c>
      <x:c r="H408" s="2" t="str">
        <x:v>S38-T01</x:v>
      </x:c>
      <x:c r="I408" s="2" t="str">
        <x:v>S38-MU04</x:v>
      </x:c>
      <x:c r="J408" s="2" t="str">
        <x:v>LusGen-Benchmark traceability subset (D2, D3, D4)</x:v>
      </x:c>
      <x:c r="K408" s="2" t="str">
        <x:v>LusGen</x:v>
      </x:c>
      <x:c r="L408" s="2" t="str">
        <x:v>No baseline</x:v>
      </x:c>
      <x:c r="M408" s="2" t="str">
        <x:v>T-acc</x:v>
      </x:c>
      <x:c r="N408" s="6" t="str">
        <x:v>86.5%</x:v>
      </x:c>
      <x:c r="O408" s="2" t="n">
        <x:v>86.5</x:v>
      </x:c>
      <x:c r="P408" s="2" t="str">
        <x:v>%</x:v>
      </x:c>
      <x:c r="Q408" s="6" t="str">
        <x:v>NA</x:v>
      </x:c>
      <x:c r="R408" s="2" t="str">
        <x:v>NA</x:v>
      </x:c>
      <x:c r="S408" s="2" t="str">
        <x:v>NR</x:v>
      </x:c>
      <x:c r="T408" s="2" t="str">
        <x:v>Not compared</x:v>
      </x:c>
      <x:c r="U408" s="2" t="str">
        <x:v>Not tested</x:v>
      </x:c>
      <x:c r="V408" s="2" t="str">
        <x:v>NR</x:v>
      </x:c>
      <x:c r="W408" s="2" t="str">
        <x:v>NR</x:v>
      </x:c>
      <x:c r="X408" s="2" t="str">
        <x:v>NR</x:v>
      </x:c>
      <x:c r="Y408" s="2" t="str">
        <x:v>NR</x:v>
      </x:c>
      <x:c r="Z408" s="2" t="str">
        <x:v>No</x:v>
      </x:c>
      <x:c r="AA408" s="6" t="str">
        <x:v>p. 20; Table 9</x:v>
      </x:c>
      <x:c r="AB408" s="6" t="str">
        <x:v>Sum 437 80 73 85.1% 482 96 31 88.4% 286 68 10 88.0% 327 88 14 86.5%</x:v>
      </x:c>
      <x:c r="AC408" s="6" t="str">
        <x:v>Gemini2.5-Flash在LusGen下T-acc为86.5%，整体性能略低于GPT-4o和Deepseek。</x:v>
      </x:c>
      <x:c r="AD408" s="2" t="str">
        <x:v>Accepted</x:v>
      </x:c>
      <x:c r="AE408" s="6" t="str">
        <x:v>NA</x:v>
      </x:c>
    </x:row>
    <x:row r="409" ht="76" customHeight="1">
      <x:c r="A409" s="2" t="str">
        <x:v>S39-RESULT-R01</x:v>
      </x:c>
      <x:c r="B409" s="2" t="str">
        <x:v>S39</x:v>
      </x:c>
      <x:c r="C409" s="2" t="str">
        <x:v>merged_1245</x:v>
      </x:c>
      <x:c r="D409" s="2" t="str">
        <x:v>Reviewer_A</x:v>
      </x:c>
      <x:c r="E409" s="2" t="str">
        <x:v>Reviewer_A</x:v>
      </x:c>
      <x:c r="F409" s="2" t="str">
        <x:v>S39-R01</x:v>
      </x:c>
      <x:c r="G409" s="2" t="str">
        <x:v>S39-EV01</x:v>
      </x:c>
      <x:c r="H409" s="2" t="str">
        <x:v>S39-T01</x:v>
      </x:c>
      <x:c r="I409" s="2" t="str">
        <x:v>S39-MU01</x:v>
      </x:c>
      <x:c r="J409" s="2" t="str">
        <x:v>Six open-source games</x:v>
      </x:c>
      <x:c r="K409" s="2" t="str">
        <x:v>GPT-4o on clean requirements (0% smells)</x:v>
      </x:c>
      <x:c r="L409" s="2" t="str">
        <x:v>NA</x:v>
      </x:c>
      <x:c r="M409" s="2" t="str">
        <x:v>binary tracing accuracy</x:v>
      </x:c>
      <x:c r="N409" s="6" t="str">
        <x:v>96%</x:v>
      </x:c>
      <x:c r="O409" s="2" t="n">
        <x:v>96</x:v>
      </x:c>
      <x:c r="P409" s="2" t="str">
        <x:v>%</x:v>
      </x:c>
      <x:c r="Q409" s="6" t="str">
        <x:v>NA</x:v>
      </x:c>
      <x:c r="R409" s="2" t="str">
        <x:v>NA</x:v>
      </x:c>
      <x:c r="S409" s="2" t="str">
        <x:v>NR</x:v>
      </x:c>
      <x:c r="T409" s="2" t="str">
        <x:v>Not compared</x:v>
      </x:c>
      <x:c r="U409" s="2" t="str">
        <x:v>Not tested</x:v>
      </x:c>
      <x:c r="V409" s="2" t="str">
        <x:v>NR</x:v>
      </x:c>
      <x:c r="W409" s="2" t="str">
        <x:v>NR</x:v>
      </x:c>
      <x:c r="X409" s="2" t="str">
        <x:v>NR</x:v>
      </x:c>
      <x:c r="Y409" s="2" t="str">
        <x:v>NR</x:v>
      </x:c>
      <x:c r="Z409" s="2" t="str">
        <x:v>No</x:v>
      </x:c>
      <x:c r="AA409" s="6" t="str">
        <x:v>p. 3; V. PREVIOUS RESULTS</x:v>
      </x:c>
      <x:c r="AB409" s="6" t="str">
        <x:v>capable of the tested models, GPT-4o, achieved an accuracy of 96 % in determining whether a given requirement was</x:v>
      </x:c>
      <x:c r="AC409" s="6" t="str">
        <x:v>在清洁需求上，GPT-4o的二元追踪准确率达到96%。</x:v>
      </x:c>
      <x:c r="AD409" s="2" t="str">
        <x:v>Accepted</x:v>
      </x:c>
      <x:c r="AE409" s="6" t="str">
        <x:v>NA</x:v>
      </x:c>
    </x:row>
    <x:row r="410" ht="76" customHeight="1">
      <x:c r="A410" s="2" t="str">
        <x:v>S39-RESULT-R02</x:v>
      </x:c>
      <x:c r="B410" s="2" t="str">
        <x:v>S39</x:v>
      </x:c>
      <x:c r="C410" s="2" t="str">
        <x:v>merged_1245</x:v>
      </x:c>
      <x:c r="D410" s="2" t="str">
        <x:v>Reviewer_A</x:v>
      </x:c>
      <x:c r="E410" s="2" t="str">
        <x:v>Reviewer_A</x:v>
      </x:c>
      <x:c r="F410" s="2" t="str">
        <x:v>S39-R02</x:v>
      </x:c>
      <x:c r="G410" s="2" t="str">
        <x:v>S39-EV01</x:v>
      </x:c>
      <x:c r="H410" s="2" t="str">
        <x:v>S39-T01</x:v>
      </x:c>
      <x:c r="I410" s="2" t="str">
        <x:v>S39-MU01</x:v>
      </x:c>
      <x:c r="J410" s="2" t="str">
        <x:v>Six open-source games</x:v>
      </x:c>
      <x:c r="K410" s="2" t="str">
        <x:v>GPT-4o on clean requirements (0% smells)</x:v>
      </x:c>
      <x:c r="L410" s="2" t="str">
        <x:v>NA</x:v>
      </x:c>
      <x:c r="M410" s="2" t="str">
        <x:v>LOC tracing F1-score</x:v>
      </x:c>
      <x:c r="N410" s="6" t="str">
        <x:v>0.68</x:v>
      </x:c>
      <x:c r="O410" s="2" t="n">
        <x:v>0.68</x:v>
      </x:c>
      <x:c r="P410" s="2" t="str">
        <x:v>proportion</x:v>
      </x:c>
      <x:c r="Q410" s="6" t="str">
        <x:v>NA</x:v>
      </x:c>
      <x:c r="R410" s="2" t="str">
        <x:v>NA</x:v>
      </x:c>
      <x:c r="S410" s="2" t="str">
        <x:v>NR</x:v>
      </x:c>
      <x:c r="T410" s="2" t="str">
        <x:v>Not compared</x:v>
      </x:c>
      <x:c r="U410" s="2" t="str">
        <x:v>Not tested</x:v>
      </x:c>
      <x:c r="V410" s="2" t="str">
        <x:v>NR</x:v>
      </x:c>
      <x:c r="W410" s="2" t="str">
        <x:v>NR</x:v>
      </x:c>
      <x:c r="X410" s="2" t="str">
        <x:v>NR</x:v>
      </x:c>
      <x:c r="Y410" s="2" t="str">
        <x:v>NR</x:v>
      </x:c>
      <x:c r="Z410" s="2" t="str">
        <x:v>No</x:v>
      </x:c>
      <x:c r="AA410" s="6" t="str">
        <x:v>p. 3; V. PREVIOUS RESULTS</x:v>
      </x:c>
      <x:c r="AB410" s="6" t="str">
        <x:v>For tracing the exact lines of code, the model achieved an F1 -score of 0.68.</x:v>
      </x:c>
      <x:c r="AC410" s="6" t="str">
        <x:v>在清洁需求上，GPT-4o的行级追踪F1分数为0.68。</x:v>
      </x:c>
      <x:c r="AD410" s="2" t="str">
        <x:v>Accepted</x:v>
      </x:c>
      <x:c r="AE410" s="6" t="str">
        <x:v>NA</x:v>
      </x:c>
    </x:row>
    <x:row r="411" ht="76" customHeight="1">
      <x:c r="A411" s="2" t="str">
        <x:v>S40-RESULT-R01</x:v>
      </x:c>
      <x:c r="B411" s="2" t="str">
        <x:v>S40</x:v>
      </x:c>
      <x:c r="C411" s="2" t="str">
        <x:v>merged_1263</x:v>
      </x:c>
      <x:c r="D411" s="2" t="str">
        <x:v>Reviewer_A</x:v>
      </x:c>
      <x:c r="E411" s="2" t="str">
        <x:v>Reviewer_A</x:v>
      </x:c>
      <x:c r="F411" s="2" t="str">
        <x:v>S40-R01</x:v>
      </x:c>
      <x:c r="G411" s="2" t="str">
        <x:v>S40-EV01</x:v>
      </x:c>
      <x:c r="H411" s="2" t="str">
        <x:v>S40-T01</x:v>
      </x:c>
      <x:c r="I411" s="2" t="str">
        <x:v>NA</x:v>
      </x:c>
      <x:c r="J411" s="2" t="str">
        <x:v>iTrust</x:v>
      </x:c>
      <x:c r="K411" s="2" t="str">
        <x:v>DSDR (NO LLM)</x:v>
      </x:c>
      <x:c r="L411" s="2" t="str">
        <x:v>LiSSA (NO LLM)</x:v>
      </x:c>
      <x:c r="M411" s="2" t="str">
        <x:v>Recall</x:v>
      </x:c>
      <x:c r="N411" s="6" t="str">
        <x:v>0.776</x:v>
      </x:c>
      <x:c r="O411" s="2" t="n">
        <x:v>0.776</x:v>
      </x:c>
      <x:c r="P411" s="2" t="str">
        <x:v>proportion</x:v>
      </x:c>
      <x:c r="Q411" s="6" t="str">
        <x:v>0.531</x:v>
      </x:c>
      <x:c r="R411" s="2" t="n">
        <x:v>0.531</x:v>
      </x:c>
      <x:c r="S411" s="2" t="str">
        <x:v>NR</x:v>
      </x:c>
      <x:c r="T411" s="2" t="str">
        <x:v>Better</x:v>
      </x:c>
      <x:c r="U411" s="2" t="str">
        <x:v>Not tested</x:v>
      </x:c>
      <x:c r="V411" s="2" t="str">
        <x:v>Large recall improvement (increase of 0.245) on sparse-link dataset</x:v>
      </x:c>
      <x:c r="W411" s="2" t="str">
        <x:v>NR</x:v>
      </x:c>
      <x:c r="X411" s="2" t="str">
        <x:v>NR</x:v>
      </x:c>
      <x:c r="Y411" s="2" t="str">
        <x:v>NR</x:v>
      </x:c>
      <x:c r="Z411" s="2" t="str">
        <x:v>No</x:v>
      </x:c>
      <x:c r="AA411" s="6" t="str">
        <x:v>p. 17; Section 4.1</x:v>
      </x:c>
      <x:c r="AB411" s="6" t="str">
        <x:v>The largest absolute gain occurs on I T RUST, where recall increases by 0.245 over L I SSA.</x:v>
      </x:c>
      <x:c r="AC411" s="6" t="str">
        <x:v>检索阶段DSDR在iTrust上取得了最大的查全率提升，比LiSSA高出0.245。</x:v>
      </x:c>
      <x:c r="AD411" s="2" t="str">
        <x:v>Accepted</x:v>
      </x:c>
      <x:c r="AE411" s="6" t="str">
        <x:v>NA</x:v>
      </x:c>
    </x:row>
    <x:row r="412" ht="76" customHeight="1">
      <x:c r="A412" s="2" t="str">
        <x:v>S40-RESULT-R02</x:v>
      </x:c>
      <x:c r="B412" s="2" t="str">
        <x:v>S40</x:v>
      </x:c>
      <x:c r="C412" s="2" t="str">
        <x:v>merged_1263</x:v>
      </x:c>
      <x:c r="D412" s="2" t="str">
        <x:v>Reviewer_A</x:v>
      </x:c>
      <x:c r="E412" s="2" t="str">
        <x:v>Reviewer_A</x:v>
      </x:c>
      <x:c r="F412" s="2" t="str">
        <x:v>S40-R02</x:v>
      </x:c>
      <x:c r="G412" s="2" t="str">
        <x:v>S40-EV01</x:v>
      </x:c>
      <x:c r="H412" s="2" t="str">
        <x:v>S40-T01</x:v>
      </x:c>
      <x:c r="I412" s="2" t="str">
        <x:v>S40-MU01</x:v>
      </x:c>
      <x:c r="J412" s="2" t="str">
        <x:v>SMOS</x:v>
      </x:c>
      <x:c r="K412" s="2" t="str">
        <x:v>DSDR (GPT-4o)</x:v>
      </x:c>
      <x:c r="L412" s="2" t="str">
        <x:v>LiSSA (GPT-4o)</x:v>
      </x:c>
      <x:c r="M412" s="2" t="str">
        <x:v>Precision</x:v>
      </x:c>
      <x:c r="N412" s="6" t="str">
        <x:v>0.663</x:v>
      </x:c>
      <x:c r="O412" s="2" t="n">
        <x:v>0.663</x:v>
      </x:c>
      <x:c r="P412" s="2" t="str">
        <x:v>proportion</x:v>
      </x:c>
      <x:c r="Q412" s="6" t="str">
        <x:v>0.590</x:v>
      </x:c>
      <x:c r="R412" s="2" t="n">
        <x:v>0.59</x:v>
      </x:c>
      <x:c r="S412" s="2" t="str">
        <x:v>NR</x:v>
      </x:c>
      <x:c r="T412" s="2" t="str">
        <x:v>Better</x:v>
      </x:c>
      <x:c r="U412" s="2" t="str">
        <x:v>Not tested</x:v>
      </x:c>
      <x:c r="V412" s="2" t="str">
        <x:v>Precision improvement of 0.073</x:v>
      </x:c>
      <x:c r="W412" s="2" t="str">
        <x:v>NR</x:v>
      </x:c>
      <x:c r="X412" s="2" t="str">
        <x:v>NR</x:v>
      </x:c>
      <x:c r="Y412" s="2" t="str">
        <x:v>NR</x:v>
      </x:c>
      <x:c r="Z412" s="2" t="str">
        <x:v>No</x:v>
      </x:c>
      <x:c r="AA412" s="6" t="str">
        <x:v>p. 18; Section 4.1</x:v>
      </x:c>
      <x:c r="AB412" s="6" t="str">
        <x:v>With GPT-4o, DSDR improves precision over L I SSA with GPT-4o on every dataset, with the clearest gains on SMOS and I T RUST.</x:v>
      </x:c>
      <x:c r="AC412" s="6" t="str">
        <x:v>使用GPT-4o验证后，DSDR在所有数据集上精确率均高于LiSSA，SMOS上提升最明显。</x:v>
      </x:c>
      <x:c r="AD412" s="2" t="str">
        <x:v>Accepted</x:v>
      </x:c>
      <x:c r="AE412" s="6" t="str">
        <x:v>Exact values from Table 2: DSDR Precision 0.663, LiSSA Precision 0.590.</x:v>
      </x:c>
    </x:row>
    <x:row r="413" ht="76" customHeight="1">
      <x:c r="A413" s="2" t="str">
        <x:v>S40-RESULT-R03</x:v>
      </x:c>
      <x:c r="B413" s="2" t="str">
        <x:v>S40</x:v>
      </x:c>
      <x:c r="C413" s="2" t="str">
        <x:v>merged_1263</x:v>
      </x:c>
      <x:c r="D413" s="2" t="str">
        <x:v>Reviewer_A</x:v>
      </x:c>
      <x:c r="E413" s="2" t="str">
        <x:v>Reviewer_A</x:v>
      </x:c>
      <x:c r="F413" s="2" t="str">
        <x:v>S40-R03</x:v>
      </x:c>
      <x:c r="G413" s="2" t="str">
        <x:v>S40-EV01</x:v>
      </x:c>
      <x:c r="H413" s="2" t="str">
        <x:v>S40-T01</x:v>
      </x:c>
      <x:c r="I413" s="2" t="str">
        <x:v>NA</x:v>
      </x:c>
      <x:c r="J413" s="2" t="str">
        <x:v>eTour</x:v>
      </x:c>
      <x:c r="K413" s="2" t="str">
        <x:v>DSDR (full)</x:v>
      </x:c>
      <x:c r="L413" s="2" t="str">
        <x:v>DSDR w/o Sem Gate</x:v>
      </x:c>
      <x:c r="M413" s="2" t="str">
        <x:v>Recall</x:v>
      </x:c>
      <x:c r="N413" s="6" t="str">
        <x:v>0.870</x:v>
      </x:c>
      <x:c r="O413" s="2" t="n">
        <x:v>0.87</x:v>
      </x:c>
      <x:c r="P413" s="2" t="str">
        <x:v>proportion</x:v>
      </x:c>
      <x:c r="Q413" s="6" t="str">
        <x:v>0.396</x:v>
      </x:c>
      <x:c r="R413" s="2" t="n">
        <x:v>0.396</x:v>
      </x:c>
      <x:c r="S413" s="2" t="str">
        <x:v>NR</x:v>
      </x:c>
      <x:c r="T413" s="2" t="str">
        <x:v>Better</x:v>
      </x:c>
      <x:c r="U413" s="2" t="str">
        <x:v>Not tested</x:v>
      </x:c>
      <x:c r="V413" s="2" t="str">
        <x:v>Large recall increase due to semantic gating</x:v>
      </x:c>
      <x:c r="W413" s="2" t="str">
        <x:v>NR</x:v>
      </x:c>
      <x:c r="X413" s="2" t="str">
        <x:v>NR</x:v>
      </x:c>
      <x:c r="Y413" s="2" t="str">
        <x:v>NR</x:v>
      </x:c>
      <x:c r="Z413" s="2" t="str">
        <x:v>No</x:v>
      </x:c>
      <x:c r="AA413" s="6" t="str">
        <x:v>p. 19; Section 4.2</x:v>
      </x:c>
      <x:c r="AB413" s="6" t="str">
        <x:v>retaining it in the full model raises recall from 0.396 to 0.870 on E T OUR</x:v>
      </x:c>
      <x:c r="AC413" s="6" t="str">
        <x:v>语义门控消融实验显示，移除语义门控导致eTour上查全率从0.870降至0.396。</x:v>
      </x:c>
      <x:c r="AD413" s="2" t="str">
        <x:v>Accepted</x:v>
      </x:c>
      <x:c r="AE413" s="6" t="str">
        <x:v>From ablation study.</x:v>
      </x:c>
    </x:row>
    <x:row r="414" ht="76" customHeight="1">
      <x:c r="A414" s="2" t="str">
        <x:v>S40-RESULT-R04</x:v>
      </x:c>
      <x:c r="B414" s="2" t="str">
        <x:v>S40</x:v>
      </x:c>
      <x:c r="C414" s="2" t="str">
        <x:v>merged_1263</x:v>
      </x:c>
      <x:c r="D414" s="2" t="str">
        <x:v>Reviewer_A</x:v>
      </x:c>
      <x:c r="E414" s="2" t="str">
        <x:v>Reviewer_A</x:v>
      </x:c>
      <x:c r="F414" s="2" t="str">
        <x:v>S40-R04</x:v>
      </x:c>
      <x:c r="G414" s="2" t="str">
        <x:v>S40-EV01</x:v>
      </x:c>
      <x:c r="H414" s="2" t="str">
        <x:v>S40-T01</x:v>
      </x:c>
      <x:c r="I414" s="2" t="str">
        <x:v>NA</x:v>
      </x:c>
      <x:c r="J414" s="2" t="str">
        <x:v>Dronology (RE)</x:v>
      </x:c>
      <x:c r="K414" s="2" t="str">
        <x:v>DSDR (full)</x:v>
      </x:c>
      <x:c r="L414" s="2" t="str">
        <x:v>DSDR w/o Sem Gate</x:v>
      </x:c>
      <x:c r="M414" s="2" t="str">
        <x:v>Recall</x:v>
      </x:c>
      <x:c r="N414" s="6" t="str">
        <x:v>0.446</x:v>
      </x:c>
      <x:c r="O414" s="2" t="n">
        <x:v>0.446</x:v>
      </x:c>
      <x:c r="P414" s="2" t="str">
        <x:v>proportion</x:v>
      </x:c>
      <x:c r="Q414" s="6" t="str">
        <x:v>0.126</x:v>
      </x:c>
      <x:c r="R414" s="2" t="n">
        <x:v>0.126</x:v>
      </x:c>
      <x:c r="S414" s="2" t="str">
        <x:v>NR</x:v>
      </x:c>
      <x:c r="T414" s="2" t="str">
        <x:v>Better</x:v>
      </x:c>
      <x:c r="U414" s="2" t="str">
        <x:v>Not tested</x:v>
      </x:c>
      <x:c r="V414" s="2" t="str">
        <x:v>Large recall increase due to semantic gating</x:v>
      </x:c>
      <x:c r="W414" s="2" t="str">
        <x:v>NR</x:v>
      </x:c>
      <x:c r="X414" s="2" t="str">
        <x:v>NR</x:v>
      </x:c>
      <x:c r="Y414" s="2" t="str">
        <x:v>NR</x:v>
      </x:c>
      <x:c r="Z414" s="2" t="str">
        <x:v>No</x:v>
      </x:c>
      <x:c r="AA414" s="6" t="str">
        <x:v>p. 19; Section 4.2</x:v>
      </x:c>
      <x:c r="AB414" s="6" t="str">
        <x:v>and from 0.126 to 0.446 on D RONOLOGY (RE) relative to the ungated variant.</x:v>
      </x:c>
      <x:c r="AC414" s="6" t="str">
        <x:v>语义门控消融实验，Dronology (RE)上查全率从0.126提升至0.446。</x:v>
      </x:c>
      <x:c r="AD414" s="2" t="str">
        <x:v>Accepted</x:v>
      </x:c>
      <x:c r="AE414" s="6" t="str">
        <x:v>From ablation study.</x:v>
      </x:c>
    </x:row>
    <x:row r="415" ht="76" customHeight="1">
      <x:c r="A415" s="2" t="str">
        <x:v>S40-RESULT-R05</x:v>
      </x:c>
      <x:c r="B415" s="2" t="str">
        <x:v>S40</x:v>
      </x:c>
      <x:c r="C415" s="2" t="str">
        <x:v>merged_1263</x:v>
      </x:c>
      <x:c r="D415" s="2" t="str">
        <x:v>Reviewer_A</x:v>
      </x:c>
      <x:c r="E415" s="2" t="str">
        <x:v>Reviewer_A</x:v>
      </x:c>
      <x:c r="F415" s="2" t="str">
        <x:v>S40-R05</x:v>
      </x:c>
      <x:c r="G415" s="2" t="str">
        <x:v>S40-EV01</x:v>
      </x:c>
      <x:c r="H415" s="2" t="str">
        <x:v>S40-T01</x:v>
      </x:c>
      <x:c r="I415" s="2" t="str">
        <x:v>S40-MU01</x:v>
      </x:c>
      <x:c r="J415" s="2" t="str">
        <x:v>All five tasks</x:v>
      </x:c>
      <x:c r="K415" s="2" t="str">
        <x:v>GPT-4o-mini validator</x:v>
      </x:c>
      <x:c r="L415" s="2" t="str">
        <x:v>GPT-4o validator</x:v>
      </x:c>
      <x:c r="M415" s="2" t="str">
        <x:v>Cost</x:v>
      </x:c>
      <x:c r="N415" s="6" t="str">
        <x:v>$17</x:v>
      </x:c>
      <x:c r="O415" s="2" t="n">
        <x:v>17</x:v>
      </x:c>
      <x:c r="P415" s="2" t="str">
        <x:v>USD</x:v>
      </x:c>
      <x:c r="Q415" s="6" t="str">
        <x:v>$285</x:v>
      </x:c>
      <x:c r="R415" s="2" t="n">
        <x:v>285</x:v>
      </x:c>
      <x:c r="S415" s="2" t="str">
        <x:v>NR</x:v>
      </x:c>
      <x:c r="T415" s="2" t="str">
        <x:v>Better</x:v>
      </x:c>
      <x:c r="U415" s="2" t="str">
        <x:v>NA</x:v>
      </x:c>
      <x:c r="V415" s="2" t="str">
        <x:v>16.7× cost reduction, 94% saving</x:v>
      </x:c>
      <x:c r="W415" s="2" t="str">
        <x:v>$17 for GPT-4o-mini vs $285 for GPT-4o for one pass</x:v>
      </x:c>
      <x:c r="X415" s="2" t="str">
        <x:v>NR</x:v>
      </x:c>
      <x:c r="Y415" s="2" t="str">
        <x:v>NR</x:v>
      </x:c>
      <x:c r="Z415" s="2" t="str">
        <x:v>No</x:v>
      </x:c>
      <x:c r="AA415" s="6" t="str">
        <x:v>p. 15; Section 3.4.3</x:v>
      </x:c>
      <x:c r="AB415" s="6" t="str">
        <x:v>the one-pass validator-token cost is $285 for GPT-4o and $17 for GPT-4o-mini.</x:v>
      </x:c>
      <x:c r="AC415" s="6" t="str">
        <x:v>验证成本比较显示GPT-4o-mini比GPT-4o便宜约16.7倍。</x:v>
      </x:c>
      <x:c r="AD415" s="2" t="str">
        <x:v>Accepted</x:v>
      </x:c>
      <x:c r="AE415" s="6" t="str">
        <x:v>Costs based on OpenAI API pricing as of Jan 2026.</x:v>
      </x:c>
    </x:row>
    <x:row r="416" ht="76" customHeight="1">
      <x:c r="A416" s="2" t="str">
        <x:v>S40-RESULT-R06</x:v>
      </x:c>
      <x:c r="B416" s="2" t="str">
        <x:v>S40</x:v>
      </x:c>
      <x:c r="C416" s="2" t="str">
        <x:v>merged_1263</x:v>
      </x:c>
      <x:c r="D416" s="2" t="str">
        <x:v>Reviewer_A</x:v>
      </x:c>
      <x:c r="E416" s="2" t="str">
        <x:v>Reviewer_A</x:v>
      </x:c>
      <x:c r="F416" s="2" t="str">
        <x:v>S40-R06</x:v>
      </x:c>
      <x:c r="G416" s="2" t="str">
        <x:v>S40-EV01</x:v>
      </x:c>
      <x:c r="H416" s="2" t="str">
        <x:v>S40-T01</x:v>
      </x:c>
      <x:c r="I416" s="2" t="str">
        <x:v>NA</x:v>
      </x:c>
      <x:c r="J416" s="2" t="str">
        <x:v>iTrust</x:v>
      </x:c>
      <x:c r="K416" s="2" t="str">
        <x:v>DSDR retrieval</x:v>
      </x:c>
      <x:c r="L416" s="2" t="str">
        <x:v>No</x:v>
      </x:c>
      <x:c r="M416" s="2" t="str">
        <x:v>Time</x:v>
      </x:c>
      <x:c r="N416" s="6" t="str">
        <x:v>5.32</x:v>
      </x:c>
      <x:c r="O416" s="2" t="n">
        <x:v>5.32</x:v>
      </x:c>
      <x:c r="P416" s="2" t="str">
        <x:v>seconds</x:v>
      </x:c>
      <x:c r="Q416" s="6" t="str">
        <x:v>No</x:v>
      </x:c>
      <x:c r="R416" s="2" t="str">
        <x:v>NA</x:v>
      </x:c>
      <x:c r="S416" s="2" t="str">
        <x:v>NR</x:v>
      </x:c>
      <x:c r="T416" s="2" t="str">
        <x:v>Not compared</x:v>
      </x:c>
      <x:c r="U416" s="2" t="str">
        <x:v>NA</x:v>
      </x:c>
      <x:c r="V416" s="2" t="str">
        <x:v>Retrieval time under seconds for iTrust</x:v>
      </x:c>
      <x:c r="W416" s="2" t="str">
        <x:v>NR</x:v>
      </x:c>
      <x:c r="X416" s="2" t="str">
        <x:v>5.32 s total retrieval time for iTrust</x:v>
      </x:c>
      <x:c r="Y416" s="2" t="str">
        <x:v>NR</x:v>
      </x:c>
      <x:c r="Z416" s="2" t="str">
        <x:v>No</x:v>
      </x:c>
      <x:c r="AA416" s="6" t="str">
        <x:v>p. 25; Table A1</x:v>
      </x:c>
      <x:c r="AB416" s="6" t="str">
        <x:v>iTrust 131 226 3.42 1.90 5.32 40.6</x:v>
      </x:c>
      <x:c r="AC416" s="6" t="str">
        <x:v>DSDR检索阶段在iTrust上的总耗时5.32秒，表明缓存嵌入后检索速度较快。</x:v>
      </x:c>
      <x:c r="AD416" s="2" t="str">
        <x:v>Accepted</x:v>
      </x:c>
      <x:c r="AE416" s="6" t="str">
        <x:v>Graph build and Stage II included.</x:v>
      </x:c>
    </x:row>
    <x:row r="417" ht="76" customHeight="1">
      <x:c r="A417" s="2" t="str">
        <x:v>S40-RESULT-R07</x:v>
      </x:c>
      <x:c r="B417" s="2" t="str">
        <x:v>S40</x:v>
      </x:c>
      <x:c r="C417" s="2" t="str">
        <x:v>merged_1263</x:v>
      </x:c>
      <x:c r="D417" s="2" t="str">
        <x:v>Reviewer_A</x:v>
      </x:c>
      <x:c r="E417" s="2" t="str">
        <x:v>Reviewer_A</x:v>
      </x:c>
      <x:c r="F417" s="2" t="str">
        <x:v>S40-R07</x:v>
      </x:c>
      <x:c r="G417" s="2" t="str">
        <x:v>S40-EV01</x:v>
      </x:c>
      <x:c r="H417" s="2" t="str">
        <x:v>S40-T01</x:v>
      </x:c>
      <x:c r="I417" s="2" t="str">
        <x:v>NA</x:v>
      </x:c>
      <x:c r="J417" s="2" t="str">
        <x:v>iTrust</x:v>
      </x:c>
      <x:c r="K417" s="2" t="str">
        <x:v>DSDR retrieval</x:v>
      </x:c>
      <x:c r="L417" s="2" t="str">
        <x:v>No</x:v>
      </x:c>
      <x:c r="M417" s="2" t="str">
        <x:v>NR</x:v>
      </x:c>
      <x:c r="N417" s="6" t="str">
        <x:v>NR</x:v>
      </x:c>
      <x:c r="O417" s="2" t="str">
        <x:v>NA</x:v>
      </x:c>
      <x:c r="P417" s="2" t="str">
        <x:v>NA</x:v>
      </x:c>
      <x:c r="Q417" s="6" t="str">
        <x:v>No</x:v>
      </x:c>
      <x:c r="R417" s="2" t="str">
        <x:v>NA</x:v>
      </x:c>
      <x:c r="S417" s="2" t="str">
        <x:v>NA</x:v>
      </x:c>
      <x:c r="T417" s="2" t="str">
        <x:v>Worse</x:v>
      </x:c>
      <x:c r="U417" s="2" t="str">
        <x:v>NA</x:v>
      </x:c>
      <x:c r="V417" s="2" t="str">
        <x:v>Risk of overemphasizing hub classes</x:v>
      </x:c>
      <x:c r="W417" s="2" t="str">
        <x:v>NR</x:v>
      </x:c>
      <x:c r="X417" s="2" t="str">
        <x:v>NR</x:v>
      </x:c>
      <x:c r="Y417" s="2" t="str">
        <x:v>In iTrust case, requirement UC2S1, PersonnelDAO (a hub) was overemphasized, ranking first while another relevant class remained lower.</x:v>
      </x:c>
      <x:c r="Z417" s="2" t="str">
        <x:v>Yes</x:v>
      </x:c>
      <x:c r="AA417" s="6" t="str">
        <x:v>p. 22; Section 4.4</x:v>
      </x:c>
      <x:c r="AB417" s="6" t="str">
        <x:v>This negative case marks a limitation of structural reinforcement. When many paths converge on a data-access or hub-like class, SG-DSDR can overemphasize that class relative to a more requirement-specific action class.</x:v>
      </x:c>
      <x:c r="AC417" s="6" t="str">
        <x:v>案例研究表明结构扩散可能过度强化枢纽类，导致误报。</x:v>
      </x:c>
      <x:c r="AD417" s="2" t="str">
        <x:v>Accepted</x:v>
      </x:c>
      <x:c r="AE417" s="6" t="str">
        <x:v>Qualitative finding from case study.</x:v>
      </x:c>
    </x:row>
    <x:row r="418" ht="76" customHeight="1">
      <x:c r="A418" s="2" t="str">
        <x:v>S40-RESULT-R08</x:v>
      </x:c>
      <x:c r="B418" s="2" t="str">
        <x:v>S40</x:v>
      </x:c>
      <x:c r="C418" s="2" t="str">
        <x:v>merged_1263</x:v>
      </x:c>
      <x:c r="D418" s="2" t="str">
        <x:v>Reviewer_A</x:v>
      </x:c>
      <x:c r="E418" s="2" t="str">
        <x:v>Reviewer_A</x:v>
      </x:c>
      <x:c r="F418" s="2" t="str">
        <x:v>S40-R08</x:v>
      </x:c>
      <x:c r="G418" s="2" t="str">
        <x:v>S40-EV01</x:v>
      </x:c>
      <x:c r="H418" s="2" t="str">
        <x:v>S40-T01</x:v>
      </x:c>
      <x:c r="I418" s="2" t="str">
        <x:v>NA</x:v>
      </x:c>
      <x:c r="J418" s="2" t="str">
        <x:v>Dronology (RE)</x:v>
      </x:c>
      <x:c r="K418" s="2" t="str">
        <x:v>Gated diffusion</x:v>
      </x:c>
      <x:c r="L418" s="2" t="str">
        <x:v>No semantic gate</x:v>
      </x:c>
      <x:c r="M418" s="2" t="str">
        <x:v>Mean in-degree reduction</x:v>
      </x:c>
      <x:c r="N418" s="6" t="str">
        <x:v>89.2%</x:v>
      </x:c>
      <x:c r="O418" s="2" t="n">
        <x:v>89.2</x:v>
      </x:c>
      <x:c r="P418" s="2" t="str">
        <x:v>%</x:v>
      </x:c>
      <x:c r="Q418" s="6" t="str">
        <x:v>94.4</x:v>
      </x:c>
      <x:c r="R418" s="2" t="n">
        <x:v>94.4</x:v>
      </x:c>
      <x:c r="S418" s="2" t="str">
        <x:v>NR</x:v>
      </x:c>
      <x:c r="T418" s="2" t="str">
        <x:v>Better</x:v>
      </x:c>
      <x:c r="U418" s="2" t="str">
        <x:v>Not tested</x:v>
      </x:c>
      <x:c r="V418" s="2" t="str">
        <x:v>Large reduction in hub dominance</x:v>
      </x:c>
      <x:c r="W418" s="2" t="str">
        <x:v>NR</x:v>
      </x:c>
      <x:c r="X418" s="2" t="str">
        <x:v>NR</x:v>
      </x:c>
      <x:c r="Y418" s="2" t="str">
        <x:v>NR</x:v>
      </x:c>
      <x:c r="Z418" s="2" t="str">
        <x:v>No</x:v>
      </x:c>
      <x:c r="AA418" s="6" t="str">
        <x:v>p. 26; Table A2</x:v>
      </x:c>
      <x:c r="AB418" s="6" t="str">
        <x:v>DRONOLOGY (RE) 99 98 27 94.4 10.2 89.2%</x:v>
      </x:c>
      <x:c r="AC418" s="6" t="str">
        <x:v>语义门控显著降低了枢纽类节点的入度，在Dronology (RE)上平均入度从94.4降至10.2，降低89.2%。</x:v>
      </x:c>
      <x:c r="AD418" s="2" t="str">
        <x:v>Accepted</x:v>
      </x:c>
      <x:c r="AE418" s="6" t="str">
        <x:v>From hub-artifact analysis in Appendix A.</x:v>
      </x:c>
    </x:row>
    <x:row r="419" ht="76" customHeight="1">
      <x:c r="A419" s="2" t="str">
        <x:v>S41-RESULT-R01</x:v>
      </x:c>
      <x:c r="B419" s="2" t="str">
        <x:v>S41</x:v>
      </x:c>
      <x:c r="C419" s="2" t="str">
        <x:v>merged_1264</x:v>
      </x:c>
      <x:c r="D419" s="2" t="str">
        <x:v>Reviewer_A</x:v>
      </x:c>
      <x:c r="E419" s="2" t="str">
        <x:v>Reviewer_A</x:v>
      </x:c>
      <x:c r="F419" s="2" t="str">
        <x:v>S41-R01</x:v>
      </x:c>
      <x:c r="G419" s="2" t="str">
        <x:v>S41-EV01</x:v>
      </x:c>
      <x:c r="H419" s="2" t="str">
        <x:v>S41-T01</x:v>
      </x:c>
      <x:c r="I419" s="2" t="str">
        <x:v>NA</x:v>
      </x:c>
      <x:c r="J419" s="2" t="str">
        <x:v>Six public Apache projects (Ambari, Calcite, Groovy, Ignite, Isis, Netbeans)</x:v>
      </x:c>
      <x:c r="K419" s="2" t="str">
        <x:v>SELink</x:v>
      </x:c>
      <x:c r="L419" s="2" t="str">
        <x:v>EALink</x:v>
      </x:c>
      <x:c r="M419" s="2" t="str">
        <x:v>Hit@1</x:v>
      </x:c>
      <x:c r="N419" s="6" t="str">
        <x:v>0.7350</x:v>
      </x:c>
      <x:c r="O419" s="2" t="n">
        <x:v>0.735</x:v>
      </x:c>
      <x:c r="P419" s="2" t="str">
        <x:v>NR</x:v>
      </x:c>
      <x:c r="Q419" s="6" t="str">
        <x:v>0.5390</x:v>
      </x:c>
      <x:c r="R419" s="2" t="n">
        <x:v>0.539</x:v>
      </x:c>
      <x:c r="S419" s="2" t="str">
        <x:v>NR</x:v>
      </x:c>
      <x:c r="T419" s="2" t="str">
        <x:v>Better</x:v>
      </x:c>
      <x:c r="U419" s="2" t="str">
        <x:v>Significant</x:v>
      </x:c>
      <x:c r="V419" s="2" t="str">
        <x:v>Large effect size (A12=0.75(L))</x:v>
      </x:c>
      <x:c r="W419" s="2" t="str">
        <x:v>NR</x:v>
      </x:c>
      <x:c r="X419" s="2" t="str">
        <x:v>NR</x:v>
      </x:c>
      <x:c r="Y419" s="2" t="str">
        <x:v>NR</x:v>
      </x:c>
      <x:c r="Z419" s="2" t="str">
        <x:v>No</x:v>
      </x:c>
      <x:c r="AA419" s="6" t="str">
        <x:v>p. 12; Table 5</x:v>
      </x:c>
      <x:c r="AB419" s="6" t="str">
        <x:v>Avg 0.4202 0.6624 0.0665 0.5032 0.2651 0.3612 0.7350 0.7697 0.0964 0.7416 0.4606 0.4778</x:v>
      </x:c>
      <x:c r="AC419" s="6" t="str">
        <x:v>SELink的Hit@1为0.7350，优于EALink的0.5390，差异显著</x:v>
      </x:c>
      <x:c r="AD419" s="2" t="str">
        <x:v>Accepted</x:v>
      </x:c>
      <x:c r="AE419" s="6" t="str">
        <x:v>EALink's Hit@1 from the same table, EALink Avg row: 0.5390 0.7633 0.0982 0.6213 0.3401 0.4326</x:v>
      </x:c>
    </x:row>
    <x:row r="420" ht="76" customHeight="1">
      <x:c r="A420" s="2" t="str">
        <x:v>S41-RESULT-R02</x:v>
      </x:c>
      <x:c r="B420" s="2" t="str">
        <x:v>S41</x:v>
      </x:c>
      <x:c r="C420" s="2" t="str">
        <x:v>merged_1264</x:v>
      </x:c>
      <x:c r="D420" s="2" t="str">
        <x:v>Reviewer_A</x:v>
      </x:c>
      <x:c r="E420" s="2" t="str">
        <x:v>Reviewer_A</x:v>
      </x:c>
      <x:c r="F420" s="2" t="str">
        <x:v>S41-R02</x:v>
      </x:c>
      <x:c r="G420" s="2" t="str">
        <x:v>S41-EV01</x:v>
      </x:c>
      <x:c r="H420" s="2" t="str">
        <x:v>S41-T01</x:v>
      </x:c>
      <x:c r="I420" s="2" t="str">
        <x:v>NA</x:v>
      </x:c>
      <x:c r="J420" s="2" t="str">
        <x:v>Six public Apache projects (Ambari, Calcite, Groovy, Ignite, Isis, Netbeans)</x:v>
      </x:c>
      <x:c r="K420" s="2" t="str">
        <x:v>SELink</x:v>
      </x:c>
      <x:c r="L420" s="2" t="str">
        <x:v>EALink</x:v>
      </x:c>
      <x:c r="M420" s="2" t="str">
        <x:v>Hit@10</x:v>
      </x:c>
      <x:c r="N420" s="6" t="str">
        <x:v>0.7697</x:v>
      </x:c>
      <x:c r="O420" s="2" t="n">
        <x:v>0.7697</x:v>
      </x:c>
      <x:c r="P420" s="2" t="str">
        <x:v>NR</x:v>
      </x:c>
      <x:c r="Q420" s="6" t="str">
        <x:v>0.7633</x:v>
      </x:c>
      <x:c r="R420" s="2" t="n">
        <x:v>0.7633</x:v>
      </x:c>
      <x:c r="S420" s="2" t="str">
        <x:v>NR</x:v>
      </x:c>
      <x:c r="T420" s="2" t="str">
        <x:v>Comparable</x:v>
      </x:c>
      <x:c r="U420" s="2" t="str">
        <x:v>Not significant</x:v>
      </x:c>
      <x:c r="V420" s="2" t="str">
        <x:v>Small effect size (A12=0.53)</x:v>
      </x:c>
      <x:c r="W420" s="2" t="str">
        <x:v>NR</x:v>
      </x:c>
      <x:c r="X420" s="2" t="str">
        <x:v>NR</x:v>
      </x:c>
      <x:c r="Y420" s="2" t="str">
        <x:v>NR</x:v>
      </x:c>
      <x:c r="Z420" s="2" t="str">
        <x:v>No</x:v>
      </x:c>
      <x:c r="AA420" s="6" t="str">
        <x:v>p. 12; Table 5</x:v>
      </x:c>
      <x:c r="AB420" s="6" t="str">
        <x:v>Avg 0.4202 0.6624 0.0665 0.5032 0.2651 0.3612 0.7350 0.7697 0.0964 0.7416 0.4606 0.4778</x:v>
      </x:c>
      <x:c r="AC420" s="6" t="str">
        <x:v>Hit@10差异微小，不显著</x:v>
      </x:c>
      <x:c r="AD420" s="2" t="str">
        <x:v>Accepted</x:v>
      </x:c>
      <x:c r="AE420" s="6" t="str">
        <x:v>EALink Hit@10: 0.7633</x:v>
      </x:c>
    </x:row>
    <x:row r="421" ht="76" customHeight="1">
      <x:c r="A421" s="2" t="str">
        <x:v>S41-RESULT-R03</x:v>
      </x:c>
      <x:c r="B421" s="2" t="str">
        <x:v>S41</x:v>
      </x:c>
      <x:c r="C421" s="2" t="str">
        <x:v>merged_1264</x:v>
      </x:c>
      <x:c r="D421" s="2" t="str">
        <x:v>Reviewer_A</x:v>
      </x:c>
      <x:c r="E421" s="2" t="str">
        <x:v>Reviewer_A</x:v>
      </x:c>
      <x:c r="F421" s="2" t="str">
        <x:v>S41-R03</x:v>
      </x:c>
      <x:c r="G421" s="2" t="str">
        <x:v>S41-EV01</x:v>
      </x:c>
      <x:c r="H421" s="2" t="str">
        <x:v>S41-T01</x:v>
      </x:c>
      <x:c r="I421" s="2" t="str">
        <x:v>NA</x:v>
      </x:c>
      <x:c r="J421" s="2" t="str">
        <x:v>Six public Apache projects (Ambari, Calcite, Groovy, Ignite, Isis, Netbeans)</x:v>
      </x:c>
      <x:c r="K421" s="2" t="str">
        <x:v>SELink</x:v>
      </x:c>
      <x:c r="L421" s="2" t="str">
        <x:v>EALink</x:v>
      </x:c>
      <x:c r="M421" s="2" t="str">
        <x:v>MRR</x:v>
      </x:c>
      <x:c r="N421" s="6" t="str">
        <x:v>0.7416</x:v>
      </x:c>
      <x:c r="O421" s="2" t="n">
        <x:v>0.7416</x:v>
      </x:c>
      <x:c r="P421" s="2" t="str">
        <x:v>NR</x:v>
      </x:c>
      <x:c r="Q421" s="6" t="str">
        <x:v>0.6213</x:v>
      </x:c>
      <x:c r="R421" s="2" t="n">
        <x:v>0.6213</x:v>
      </x:c>
      <x:c r="S421" s="2" t="str">
        <x:v>NR</x:v>
      </x:c>
      <x:c r="T421" s="2" t="str">
        <x:v>Better</x:v>
      </x:c>
      <x:c r="U421" s="2" t="str">
        <x:v>Significant</x:v>
      </x:c>
      <x:c r="V421" s="2" t="str">
        <x:v>Medium effect size (A12=0.69(M))</x:v>
      </x:c>
      <x:c r="W421" s="2" t="str">
        <x:v>NR</x:v>
      </x:c>
      <x:c r="X421" s="2" t="str">
        <x:v>NR</x:v>
      </x:c>
      <x:c r="Y421" s="2" t="str">
        <x:v>NR</x:v>
      </x:c>
      <x:c r="Z421" s="2" t="str">
        <x:v>No</x:v>
      </x:c>
      <x:c r="AA421" s="6" t="str">
        <x:v>p. 12; Table 5</x:v>
      </x:c>
      <x:c r="AB421" s="6" t="str">
        <x:v>Avg 0.4202 0.6624 0.0665 0.5032 0.2651 0.3612 0.7350 0.7697 0.0964 0.7416 0.4606 0.4778</x:v>
      </x:c>
      <x:c r="AC421" s="6" t="str">
        <x:v>MRR显著优于EALink</x:v>
      </x:c>
      <x:c r="AD421" s="2" t="str">
        <x:v>Accepted</x:v>
      </x:c>
      <x:c r="AE421" s="6" t="str">
        <x:v>NR</x:v>
      </x:c>
    </x:row>
    <x:row r="422" ht="76" customHeight="1">
      <x:c r="A422" s="2" t="str">
        <x:v>S41-RESULT-R04</x:v>
      </x:c>
      <x:c r="B422" s="2" t="str">
        <x:v>S41</x:v>
      </x:c>
      <x:c r="C422" s="2" t="str">
        <x:v>merged_1264</x:v>
      </x:c>
      <x:c r="D422" s="2" t="str">
        <x:v>Reviewer_A</x:v>
      </x:c>
      <x:c r="E422" s="2" t="str">
        <x:v>Reviewer_A</x:v>
      </x:c>
      <x:c r="F422" s="2" t="str">
        <x:v>S41-R04</x:v>
      </x:c>
      <x:c r="G422" s="2" t="str">
        <x:v>S41-EV01</x:v>
      </x:c>
      <x:c r="H422" s="2" t="str">
        <x:v>S41-T01</x:v>
      </x:c>
      <x:c r="I422" s="2" t="str">
        <x:v>NA</x:v>
      </x:c>
      <x:c r="J422" s="2" t="str">
        <x:v>Six public Apache projects (Ambari, Calcite, Groovy, Ignite, Isis, Netbeans)</x:v>
      </x:c>
      <x:c r="K422" s="2" t="str">
        <x:v>SELink</x:v>
      </x:c>
      <x:c r="L422" s="2" t="str">
        <x:v>EALink</x:v>
      </x:c>
      <x:c r="M422" s="2" t="str">
        <x:v>NDCG@1</x:v>
      </x:c>
      <x:c r="N422" s="6" t="str">
        <x:v>0.4606</x:v>
      </x:c>
      <x:c r="O422" s="2" t="n">
        <x:v>0.4606</x:v>
      </x:c>
      <x:c r="P422" s="2" t="str">
        <x:v>NR</x:v>
      </x:c>
      <x:c r="Q422" s="6" t="str">
        <x:v>0.3401</x:v>
      </x:c>
      <x:c r="R422" s="2" t="n">
        <x:v>0.3401</x:v>
      </x:c>
      <x:c r="S422" s="2" t="str">
        <x:v>NR</x:v>
      </x:c>
      <x:c r="T422" s="2" t="str">
        <x:v>Better</x:v>
      </x:c>
      <x:c r="U422" s="2" t="str">
        <x:v>Significant</x:v>
      </x:c>
      <x:c r="V422" s="2" t="str">
        <x:v>Large effect size (A12=0.75(L))</x:v>
      </x:c>
      <x:c r="W422" s="2" t="str">
        <x:v>NR</x:v>
      </x:c>
      <x:c r="X422" s="2" t="str">
        <x:v>NR</x:v>
      </x:c>
      <x:c r="Y422" s="2" t="str">
        <x:v>NR</x:v>
      </x:c>
      <x:c r="Z422" s="2" t="str">
        <x:v>No</x:v>
      </x:c>
      <x:c r="AA422" s="6" t="str">
        <x:v>p. 12; Table 5</x:v>
      </x:c>
      <x:c r="AB422" s="6" t="str">
        <x:v>Avg 0.4202 0.6624 0.0665 0.5032 0.2651 0.3612 0.7350 0.7697 0.0964 0.7416 0.4606 0.4778</x:v>
      </x:c>
      <x:c r="AC422" s="6" t="str">
        <x:v>NDCG@1显著优于EALink</x:v>
      </x:c>
      <x:c r="AD422" s="2" t="str">
        <x:v>Accepted</x:v>
      </x:c>
      <x:c r="AE422" s="6" t="str">
        <x:v>NR</x:v>
      </x:c>
    </x:row>
    <x:row r="423" ht="76" customHeight="1">
      <x:c r="A423" s="2" t="str">
        <x:v>S41-RESULT-R05</x:v>
      </x:c>
      <x:c r="B423" s="2" t="str">
        <x:v>S41</x:v>
      </x:c>
      <x:c r="C423" s="2" t="str">
        <x:v>merged_1264</x:v>
      </x:c>
      <x:c r="D423" s="2" t="str">
        <x:v>Reviewer_A</x:v>
      </x:c>
      <x:c r="E423" s="2" t="str">
        <x:v>Reviewer_A</x:v>
      </x:c>
      <x:c r="F423" s="2" t="str">
        <x:v>S41-R05</x:v>
      </x:c>
      <x:c r="G423" s="2" t="str">
        <x:v>S41-EV01</x:v>
      </x:c>
      <x:c r="H423" s="2" t="str">
        <x:v>S41-T01</x:v>
      </x:c>
      <x:c r="I423" s="2" t="str">
        <x:v>NA</x:v>
      </x:c>
      <x:c r="J423" s="2" t="str">
        <x:v>Six public Apache projects (Ambari, Calcite, Groovy, Ignite, Isis, Netbeans)</x:v>
      </x:c>
      <x:c r="K423" s="2" t="str">
        <x:v>SELink</x:v>
      </x:c>
      <x:c r="L423" s="2" t="str">
        <x:v>EALink</x:v>
      </x:c>
      <x:c r="M423" s="2" t="str">
        <x:v>Recall@1</x:v>
      </x:c>
      <x:c r="N423" s="6" t="str">
        <x:v>0.6723</x:v>
      </x:c>
      <x:c r="O423" s="2" t="n">
        <x:v>0.6723</x:v>
      </x:c>
      <x:c r="P423" s="2" t="str">
        <x:v>NR</x:v>
      </x:c>
      <x:c r="Q423" s="6" t="str">
        <x:v>0.4847</x:v>
      </x:c>
      <x:c r="R423" s="2" t="n">
        <x:v>0.4847</x:v>
      </x:c>
      <x:c r="S423" s="2" t="str">
        <x:v>NR</x:v>
      </x:c>
      <x:c r="T423" s="2" t="str">
        <x:v>Better</x:v>
      </x:c>
      <x:c r="U423" s="2" t="str">
        <x:v>Significant</x:v>
      </x:c>
      <x:c r="V423" s="2" t="str">
        <x:v>38.70% improvement, medium effect</x:v>
      </x:c>
      <x:c r="W423" s="2" t="str">
        <x:v>NR</x:v>
      </x:c>
      <x:c r="X423" s="2" t="str">
        <x:v>NR</x:v>
      </x:c>
      <x:c r="Y423" s="2" t="str">
        <x:v>NR</x:v>
      </x:c>
      <x:c r="Z423" s="2" t="str">
        <x:v>No</x:v>
      </x:c>
      <x:c r="AA423" s="6" t="str">
        <x:v>p. 12; Table 6</x:v>
      </x:c>
      <x:c r="AB423" s="6" t="str">
        <x:v>SELink 0.6723 0.7641 0.7297 0.7370 0.7394 2.46</x:v>
      </x:c>
      <x:c r="AC423" s="6" t="str">
        <x:v>Recall@1显著优于EALink</x:v>
      </x:c>
      <x:c r="AD423" s="2" t="str">
        <x:v>Accepted</x:v>
      </x:c>
      <x:c r="AE423" s="6" t="str">
        <x:v>NR</x:v>
      </x:c>
    </x:row>
    <x:row r="424" ht="76" customHeight="1">
      <x:c r="A424" s="2" t="str">
        <x:v>S41-RESULT-R06</x:v>
      </x:c>
      <x:c r="B424" s="2" t="str">
        <x:v>S41</x:v>
      </x:c>
      <x:c r="C424" s="2" t="str">
        <x:v>merged_1264</x:v>
      </x:c>
      <x:c r="D424" s="2" t="str">
        <x:v>Reviewer_A</x:v>
      </x:c>
      <x:c r="E424" s="2" t="str">
        <x:v>Reviewer_A</x:v>
      </x:c>
      <x:c r="F424" s="2" t="str">
        <x:v>S41-R06</x:v>
      </x:c>
      <x:c r="G424" s="2" t="str">
        <x:v>S41-EV01</x:v>
      </x:c>
      <x:c r="H424" s="2" t="str">
        <x:v>S41-T01</x:v>
      </x:c>
      <x:c r="I424" s="2" t="str">
        <x:v>NA</x:v>
      </x:c>
      <x:c r="J424" s="2" t="str">
        <x:v>Six public Apache projects (Ambari, Calcite, Groovy, Ignite, Isis, Netbeans)</x:v>
      </x:c>
      <x:c r="K424" s="2" t="str">
        <x:v>SELink</x:v>
      </x:c>
      <x:c r="L424" s="2" t="str">
        <x:v>EALink</x:v>
      </x:c>
      <x:c r="M424" s="2" t="str">
        <x:v>LAG</x:v>
      </x:c>
      <x:c r="N424" s="6" t="str">
        <x:v>2.46</x:v>
      </x:c>
      <x:c r="O424" s="2" t="n">
        <x:v>2.46</x:v>
      </x:c>
      <x:c r="P424" s="2" t="str">
        <x:v>NR</x:v>
      </x:c>
      <x:c r="Q424" s="6" t="str">
        <x:v>10.14</x:v>
      </x:c>
      <x:c r="R424" s="2" t="n">
        <x:v>10.14</x:v>
      </x:c>
      <x:c r="S424" s="2" t="str">
        <x:v>NR</x:v>
      </x:c>
      <x:c r="T424" s="2" t="str">
        <x:v>Better</x:v>
      </x:c>
      <x:c r="U424" s="2" t="str">
        <x:v>Significant</x:v>
      </x:c>
      <x:c r="V424" s="2" t="str">
        <x:v>75.73% reduction, large effect</x:v>
      </x:c>
      <x:c r="W424" s="2" t="str">
        <x:v>NR</x:v>
      </x:c>
      <x:c r="X424" s="2" t="str">
        <x:v>NR</x:v>
      </x:c>
      <x:c r="Y424" s="2" t="str">
        <x:v>NR</x:v>
      </x:c>
      <x:c r="Z424" s="2" t="str">
        <x:v>No</x:v>
      </x:c>
      <x:c r="AA424" s="6" t="str">
        <x:v>p. 12; Table 6</x:v>
      </x:c>
      <x:c r="AB424" s="6" t="str">
        <x:v>SELink 0.6723 0.7641 0.7297 0.7370 0.7394 2.46</x:v>
      </x:c>
      <x:c r="AC424" s="6" t="str">
        <x:v>LAG显著优于EALink</x:v>
      </x:c>
      <x:c r="AD424" s="2" t="str">
        <x:v>Accepted</x:v>
      </x:c>
      <x:c r="AE424" s="6" t="str">
        <x:v>NR</x:v>
      </x:c>
    </x:row>
    <x:row r="425" ht="76" customHeight="1">
      <x:c r="A425" s="2" t="str">
        <x:v>S41-RESULT-R07</x:v>
      </x:c>
      <x:c r="B425" s="2" t="str">
        <x:v>S41</x:v>
      </x:c>
      <x:c r="C425" s="2" t="str">
        <x:v>merged_1264</x:v>
      </x:c>
      <x:c r="D425" s="2" t="str">
        <x:v>Reviewer_A</x:v>
      </x:c>
      <x:c r="E425" s="2" t="str">
        <x:v>Reviewer_A</x:v>
      </x:c>
      <x:c r="F425" s="2" t="str">
        <x:v>S41-R07</x:v>
      </x:c>
      <x:c r="G425" s="2" t="str">
        <x:v>S41-EV02</x:v>
      </x:c>
      <x:c r="H425" s="2" t="str">
        <x:v>S41-T01</x:v>
      </x:c>
      <x:c r="I425" s="2" t="str">
        <x:v>NA</x:v>
      </x:c>
      <x:c r="J425" s="2" t="str">
        <x:v>Six public Apache projects (Ambari, Calcite, Groovy, Ignite, Isis, Netbeans)</x:v>
      </x:c>
      <x:c r="K425" s="2" t="str">
        <x:v>SELink (full)</x:v>
      </x:c>
      <x:c r="L425" s="2" t="str">
        <x:v>M2 only (EALink prediction)</x:v>
      </x:c>
      <x:c r="M425" s="2" t="str">
        <x:v>Hit@1 improvement</x:v>
      </x:c>
      <x:c r="N425" s="6" t="str">
        <x:v>36.36%</x:v>
      </x:c>
      <x:c r="O425" s="2" t="n">
        <x:v>36.36</x:v>
      </x:c>
      <x:c r="P425" s="2" t="str">
        <x:v>%</x:v>
      </x:c>
      <x:c r="Q425" s="6" t="str">
        <x:v>0% (baseline)</x:v>
      </x:c>
      <x:c r="R425" s="2" t="n">
        <x:v>0</x:v>
      </x:c>
      <x:c r="S425" s="2" t="str">
        <x:v>NR</x:v>
      </x:c>
      <x:c r="T425" s="2" t="str">
        <x:v>Better</x:v>
      </x:c>
      <x:c r="U425" s="2" t="str">
        <x:v>Significant</x:v>
      </x:c>
      <x:c r="V425" s="2" t="str">
        <x:v>Large effect size</x:v>
      </x:c>
      <x:c r="W425" s="2" t="str">
        <x:v>NR</x:v>
      </x:c>
      <x:c r="X425" s="2" t="str">
        <x:v>NR</x:v>
      </x:c>
      <x:c r="Y425" s="2" t="str">
        <x:v>NR</x:v>
      </x:c>
      <x:c r="Z425" s="2" t="str">
        <x:v>No</x:v>
      </x:c>
      <x:c r="AA425" s="6" t="str">
        <x:v>p. 13; section 5.2</x:v>
      </x:c>
      <x:c r="AB425" s="6" t="str">
        <x:v>the full SELink configuration (M1+M2+M3)</x:v>
      </x:c>
      <x:c r="AC425" s="6" t="str">
        <x:v>完整SELink比仅使用预测模块提升36.36%的Hit@1</x:v>
      </x:c>
      <x:c r="AD425" s="2" t="str">
        <x:v>Accepted</x:v>
      </x:c>
      <x:c r="AE425" s="6" t="str">
        <x:v>From Table 7</x:v>
      </x:c>
    </x:row>
    <x:row r="426" ht="76" customHeight="1">
      <x:c r="A426" s="2" t="str">
        <x:v>S41-RESULT-R08</x:v>
      </x:c>
      <x:c r="B426" s="2" t="str">
        <x:v>S41</x:v>
      </x:c>
      <x:c r="C426" s="2" t="str">
        <x:v>merged_1264</x:v>
      </x:c>
      <x:c r="D426" s="2" t="str">
        <x:v>Reviewer_A</x:v>
      </x:c>
      <x:c r="E426" s="2" t="str">
        <x:v>Reviewer_A</x:v>
      </x:c>
      <x:c r="F426" s="2" t="str">
        <x:v>S41-R08</x:v>
      </x:c>
      <x:c r="G426" s="2" t="str">
        <x:v>S41-EV02</x:v>
      </x:c>
      <x:c r="H426" s="2" t="str">
        <x:v>S41-T01</x:v>
      </x:c>
      <x:c r="I426" s="2" t="str">
        <x:v>NA</x:v>
      </x:c>
      <x:c r="J426" s="2" t="str">
        <x:v>Six public Apache projects (Ambari, Calcite, Groovy, Ignite, Isis, Netbeans)</x:v>
      </x:c>
      <x:c r="K426" s="2" t="str">
        <x:v>SELink (full)</x:v>
      </x:c>
      <x:c r="L426" s="2" t="str">
        <x:v>M2 only (EALink prediction)</x:v>
      </x:c>
      <x:c r="M426" s="2" t="str">
        <x:v>Recall@1 improvement</x:v>
      </x:c>
      <x:c r="N426" s="6" t="str">
        <x:v>38.70%</x:v>
      </x:c>
      <x:c r="O426" s="2" t="n">
        <x:v>38.7</x:v>
      </x:c>
      <x:c r="P426" s="2" t="str">
        <x:v>%</x:v>
      </x:c>
      <x:c r="Q426" s="6" t="str">
        <x:v>0% (baseline)</x:v>
      </x:c>
      <x:c r="R426" s="2" t="n">
        <x:v>0</x:v>
      </x:c>
      <x:c r="S426" s="2" t="str">
        <x:v>NR</x:v>
      </x:c>
      <x:c r="T426" s="2" t="str">
        <x:v>Better</x:v>
      </x:c>
      <x:c r="U426" s="2" t="str">
        <x:v>Significant</x:v>
      </x:c>
      <x:c r="V426" s="2" t="str">
        <x:v>Medium effect size</x:v>
      </x:c>
      <x:c r="W426" s="2" t="str">
        <x:v>NR</x:v>
      </x:c>
      <x:c r="X426" s="2" t="str">
        <x:v>NR</x:v>
      </x:c>
      <x:c r="Y426" s="2" t="str">
        <x:v>NR</x:v>
      </x:c>
      <x:c r="Z426" s="2" t="str">
        <x:v>No</x:v>
      </x:c>
      <x:c r="AA426" s="6" t="str">
        <x:v>p. 13; section 5.2</x:v>
      </x:c>
      <x:c r="AB426" s="6" t="str">
        <x:v>Recall@1 by 38.70%</x:v>
      </x:c>
      <x:c r="AC426" s="6" t="str">
        <x:v>Recall@1提升38.70%</x:v>
      </x:c>
      <x:c r="AD426" s="2" t="str">
        <x:v>Accepted</x:v>
      </x:c>
      <x:c r="AE426" s="6" t="str">
        <x:v>From Table 7</x:v>
      </x:c>
    </x:row>
    <x:row r="427" ht="76" customHeight="1">
      <x:c r="A427" s="2" t="str">
        <x:v>S41-RESULT-R09</x:v>
      </x:c>
      <x:c r="B427" s="2" t="str">
        <x:v>S41</x:v>
      </x:c>
      <x:c r="C427" s="2" t="str">
        <x:v>merged_1264</x:v>
      </x:c>
      <x:c r="D427" s="2" t="str">
        <x:v>Reviewer_A</x:v>
      </x:c>
      <x:c r="E427" s="2" t="str">
        <x:v>Reviewer_A</x:v>
      </x:c>
      <x:c r="F427" s="2" t="str">
        <x:v>S41-R09</x:v>
      </x:c>
      <x:c r="G427" s="2" t="str">
        <x:v>S41-EV02</x:v>
      </x:c>
      <x:c r="H427" s="2" t="str">
        <x:v>S41-T01</x:v>
      </x:c>
      <x:c r="I427" s="2" t="str">
        <x:v>NA</x:v>
      </x:c>
      <x:c r="J427" s="2" t="str">
        <x:v>Six public Apache projects (Ambari, Calcite, Groovy, Ignite, Isis, Netbeans)</x:v>
      </x:c>
      <x:c r="K427" s="2" t="str">
        <x:v>SELink (full)</x:v>
      </x:c>
      <x:c r="L427" s="2" t="str">
        <x:v>M2 only (EALink prediction)</x:v>
      </x:c>
      <x:c r="M427" s="2" t="str">
        <x:v>LAG improvement</x:v>
      </x:c>
      <x:c r="N427" s="6" t="str">
        <x:v>-75.73%</x:v>
      </x:c>
      <x:c r="O427" s="2" t="n">
        <x:v>-75.73</x:v>
      </x:c>
      <x:c r="P427" s="2" t="str">
        <x:v>%</x:v>
      </x:c>
      <x:c r="Q427" s="6" t="str">
        <x:v>0% (baseline)</x:v>
      </x:c>
      <x:c r="R427" s="2" t="n">
        <x:v>0</x:v>
      </x:c>
      <x:c r="S427" s="2" t="str">
        <x:v>NR</x:v>
      </x:c>
      <x:c r="T427" s="2" t="str">
        <x:v>Better</x:v>
      </x:c>
      <x:c r="U427" s="2" t="str">
        <x:v>Significant</x:v>
      </x:c>
      <x:c r="V427" s="2" t="str">
        <x:v>Large effect size</x:v>
      </x:c>
      <x:c r="W427" s="2" t="str">
        <x:v>NR</x:v>
      </x:c>
      <x:c r="X427" s="2" t="str">
        <x:v>NR</x:v>
      </x:c>
      <x:c r="Y427" s="2" t="str">
        <x:v>NR</x:v>
      </x:c>
      <x:c r="Z427" s="2" t="str">
        <x:v>No</x:v>
      </x:c>
      <x:c r="AA427" s="6" t="str">
        <x:v>p. 13; section 5.2</x:v>
      </x:c>
      <x:c r="AB427" s="6" t="str">
        <x:v>LAG decreases by 75.73%</x:v>
      </x:c>
      <x:c r="AC427" s="6" t="str">
        <x:v>LAG降低75.73%</x:v>
      </x:c>
      <x:c r="AD427" s="2" t="str">
        <x:v>Accepted</x:v>
      </x:c>
      <x:c r="AE427" s="6" t="str">
        <x:v>From Table 7</x:v>
      </x:c>
    </x:row>
    <x:row r="428" ht="76" customHeight="1">
      <x:c r="A428" s="2" t="str">
        <x:v>S41-RESULT-R10</x:v>
      </x:c>
      <x:c r="B428" s="2" t="str">
        <x:v>S41</x:v>
      </x:c>
      <x:c r="C428" s="2" t="str">
        <x:v>merged_1264</x:v>
      </x:c>
      <x:c r="D428" s="2" t="str">
        <x:v>Reviewer_A</x:v>
      </x:c>
      <x:c r="E428" s="2" t="str">
        <x:v>Reviewer_A</x:v>
      </x:c>
      <x:c r="F428" s="2" t="str">
        <x:v>S41-R10</x:v>
      </x:c>
      <x:c r="G428" s="2" t="str">
        <x:v>S41-EV03</x:v>
      </x:c>
      <x:c r="H428" s="2" t="str">
        <x:v>S41-T01</x:v>
      </x:c>
      <x:c r="I428" s="2" t="str">
        <x:v>S41-MU02</x:v>
      </x:c>
      <x:c r="J428" s="2" t="str">
        <x:v>Six public Apache projects (Ambari, Calcite, Groovy, Ignite, Isis, Netbeans)</x:v>
      </x:c>
      <x:c r="K428" s="2" t="str">
        <x:v>DeepSeek-v3</x:v>
      </x:c>
      <x:c r="L428" s="2" t="str">
        <x:v>Claude-3.7-Sonnet</x:v>
      </x:c>
      <x:c r="M428" s="2" t="str">
        <x:v>Hit@1</x:v>
      </x:c>
      <x:c r="N428" s="6" t="str">
        <x:v>0.791</x:v>
      </x:c>
      <x:c r="O428" s="2" t="n">
        <x:v>0.791</x:v>
      </x:c>
      <x:c r="P428" s="2" t="str">
        <x:v>NR</x:v>
      </x:c>
      <x:c r="Q428" s="6" t="str">
        <x:v>0.790</x:v>
      </x:c>
      <x:c r="R428" s="2" t="n">
        <x:v>0.79</x:v>
      </x:c>
      <x:c r="S428" s="2" t="str">
        <x:v>Q1-Q3: 0.503-0.855 for DeepSeek, 0.513-0.862 for Claude</x:v>
      </x:c>
      <x:c r="T428" s="2" t="str">
        <x:v>Comparable</x:v>
      </x:c>
      <x:c r="U428" s="2" t="str">
        <x:v>Not tested</x:v>
      </x:c>
      <x:c r="V428" s="2" t="str">
        <x:v>Negligible difference</x:v>
      </x:c>
      <x:c r="W428" s="2" t="str">
        <x:v>NR</x:v>
      </x:c>
      <x:c r="X428" s="2" t="str">
        <x:v>NR</x:v>
      </x:c>
      <x:c r="Y428" s="2" t="str">
        <x:v>NR</x:v>
      </x:c>
      <x:c r="Z428" s="2" t="str">
        <x:v>No</x:v>
      </x:c>
      <x:c r="AA428" s="6" t="str">
        <x:v>p. 13; Table 8</x:v>
      </x:c>
      <x:c r="AB428" s="6" t="str">
        <x:v>Hit@1(Pre@1) 0.503 0.791 0.855 0.513 0.790 0.862 0.522 0.789 0.869</x:v>
      </x:c>
      <x:c r="AC428" s="6" t="str">
        <x:v>不同LLM的Hit@1中位数非常接近，无显著差异</x:v>
      </x:c>
      <x:c r="AD428" s="2" t="str">
        <x:v>Accepted</x:v>
      </x:c>
      <x:c r="AE428" s="6" t="str">
        <x:v>NR</x:v>
      </x:c>
    </x:row>
    <x:row r="429" ht="76" customHeight="1">
      <x:c r="A429" s="2" t="str">
        <x:v>S42-RESULT-R01</x:v>
      </x:c>
      <x:c r="B429" s="2" t="str">
        <x:v>S42</x:v>
      </x:c>
      <x:c r="C429" s="2" t="str">
        <x:v>merged_1266</x:v>
      </x:c>
      <x:c r="D429" s="2" t="str">
        <x:v>Reviewer_A</x:v>
      </x:c>
      <x:c r="E429" s="2" t="str">
        <x:v>Reviewer_A</x:v>
      </x:c>
      <x:c r="F429" s="2" t="str">
        <x:v>S42-R01</x:v>
      </x:c>
      <x:c r="G429" s="2" t="str">
        <x:v>S42-EV01</x:v>
      </x:c>
      <x:c r="H429" s="2" t="str">
        <x:v>S42-T01</x:v>
      </x:c>
      <x:c r="I429" s="2" t="str">
        <x:v>S42-MU01</x:v>
      </x:c>
      <x:c r="J429" s="2" t="str">
        <x:v>Average across datasets</x:v>
      </x:c>
      <x:c r="K429" s="2" t="str">
        <x:v>RAG with CoT (GPT-4o)</x:v>
      </x:c>
      <x:c r="L429" s="2" t="str">
        <x:v>RAG with KISS (GPT-4o)</x:v>
      </x:c>
      <x:c r="M429" s="2" t="str">
        <x:v>F1-score</x:v>
      </x:c>
      <x:c r="N429" s="6" t="str">
        <x:v>45.1%</x:v>
      </x:c>
      <x:c r="O429" s="2" t="n">
        <x:v>45.1</x:v>
      </x:c>
      <x:c r="P429" s="2" t="str">
        <x:v>%</x:v>
      </x:c>
      <x:c r="Q429" s="6" t="str">
        <x:v>40.1%</x:v>
      </x:c>
      <x:c r="R429" s="2" t="n">
        <x:v>40.1</x:v>
      </x:c>
      <x:c r="S429" s="2" t="str">
        <x:v>NR</x:v>
      </x:c>
      <x:c r="T429" s="2" t="str">
        <x:v>Better</x:v>
      </x:c>
      <x:c r="U429" s="2" t="str">
        <x:v>Not significant</x:v>
      </x:c>
      <x:c r="V429" s="2" t="str">
        <x:v>NR</x:v>
      </x:c>
      <x:c r="W429" s="2" t="str">
        <x:v>NR</x:v>
      </x:c>
      <x:c r="X429" s="2" t="str">
        <x:v>NR</x:v>
      </x:c>
      <x:c r="Y429" s="2" t="str">
        <x:v>NR</x:v>
      </x:c>
      <x:c r="Z429" s="2" t="str">
        <x:v>Yes</x:v>
      </x:c>
      <x:c r="AA429" s="6" t="str">
        <x:v>p. 8; Section 4.2</x:v>
      </x:c>
      <x:c r="AB429" s="6" t="str">
        <x:v>However, neither in F1-score nor F2-score the differences between the CoT prompt versions and the KISS prompt versions are statistically significant (at the α = 0.05 level).</x:v>
      </x:c>
      <x:c r="AC429" s="6" t="str">
        <x:v>虽然CoT数值更高，但无统计显著性。</x:v>
      </x:c>
      <x:c r="AD429" s="2" t="str">
        <x:v>Accepted</x:v>
      </x:c>
      <x:c r="AE429" s="6" t="str">
        <x:v>Values from Table 2</x:v>
      </x:c>
    </x:row>
    <x:row r="430" ht="76" customHeight="1">
      <x:c r="A430" s="2" t="str">
        <x:v>S42-RESULT-R02</x:v>
      </x:c>
      <x:c r="B430" s="2" t="str">
        <x:v>S42</x:v>
      </x:c>
      <x:c r="C430" s="2" t="str">
        <x:v>merged_1266</x:v>
      </x:c>
      <x:c r="D430" s="2" t="str">
        <x:v>Reviewer_A</x:v>
      </x:c>
      <x:c r="E430" s="2" t="str">
        <x:v>Reviewer_A</x:v>
      </x:c>
      <x:c r="F430" s="2" t="str">
        <x:v>S42-R02</x:v>
      </x:c>
      <x:c r="G430" s="2" t="str">
        <x:v>S42-EV01</x:v>
      </x:c>
      <x:c r="H430" s="2" t="str">
        <x:v>S42-T01</x:v>
      </x:c>
      <x:c r="I430" s="2" t="str">
        <x:v>S42-MU01</x:v>
      </x:c>
      <x:c r="J430" s="2" t="str">
        <x:v>Average across datasets</x:v>
      </x:c>
      <x:c r="K430" s="2" t="str">
        <x:v>RAG with CoT (GPT-4o)</x:v>
      </x:c>
      <x:c r="L430" s="2" t="str">
        <x:v>RAG with CoT (Codellama 13b)</x:v>
      </x:c>
      <x:c r="M430" s="2" t="str">
        <x:v>F1-score</x:v>
      </x:c>
      <x:c r="N430" s="6" t="str">
        <x:v>45.1%</x:v>
      </x:c>
      <x:c r="O430" s="2" t="n">
        <x:v>45.1</x:v>
      </x:c>
      <x:c r="P430" s="2" t="str">
        <x:v>%</x:v>
      </x:c>
      <x:c r="Q430" s="6" t="str">
        <x:v>38.6%</x:v>
      </x:c>
      <x:c r="R430" s="2" t="n">
        <x:v>38.6</x:v>
      </x:c>
      <x:c r="S430" s="2" t="str">
        <x:v>NR</x:v>
      </x:c>
      <x:c r="T430" s="2" t="str">
        <x:v>Better</x:v>
      </x:c>
      <x:c r="U430" s="2" t="str">
        <x:v>Significant</x:v>
      </x:c>
      <x:c r="V430" s="2" t="str">
        <x:v>NR</x:v>
      </x:c>
      <x:c r="W430" s="2" t="str">
        <x:v>NR</x:v>
      </x:c>
      <x:c r="X430" s="2" t="str">
        <x:v>NR</x:v>
      </x:c>
      <x:c r="Y430" s="2" t="str">
        <x:v>NR</x:v>
      </x:c>
      <x:c r="Z430" s="2" t="str">
        <x:v>No</x:v>
      </x:c>
      <x:c r="AA430" s="6" t="str">
        <x:v>p. 10; Section 4.2</x:v>
      </x:c>
      <x:c r="AB430" s="6" t="str">
        <x:v>In F1-score, GPT-4o performs significantly better than both open-source models with medium effect size.</x:v>
      </x:c>
      <x:c r="AC430" s="6" t="str">
        <x:v>GPT-4o显著优于开源模型。</x:v>
      </x:c>
      <x:c r="AD430" s="2" t="str">
        <x:v>Accepted</x:v>
      </x:c>
      <x:c r="AE430" s="6" t="str">
        <x:v>Codellama CoT avg F1 .386 from Table 2</x:v>
      </x:c>
    </x:row>
    <x:row r="431" ht="76" customHeight="1">
      <x:c r="A431" s="2" t="str">
        <x:v>S42-RESULT-R03</x:v>
      </x:c>
      <x:c r="B431" s="2" t="str">
        <x:v>S42</x:v>
      </x:c>
      <x:c r="C431" s="2" t="str">
        <x:v>merged_1266</x:v>
      </x:c>
      <x:c r="D431" s="2" t="str">
        <x:v>Reviewer_A</x:v>
      </x:c>
      <x:c r="E431" s="2" t="str">
        <x:v>Reviewer_A</x:v>
      </x:c>
      <x:c r="F431" s="2" t="str">
        <x:v>S42-R03</x:v>
      </x:c>
      <x:c r="G431" s="2" t="str">
        <x:v>S42-EV01</x:v>
      </x:c>
      <x:c r="H431" s="2" t="str">
        <x:v>S42-T01</x:v>
      </x:c>
      <x:c r="I431" s="2" t="str">
        <x:v>S42-MU01</x:v>
      </x:c>
      <x:c r="J431" s="2" t="str">
        <x:v>Average across datasets</x:v>
      </x:c>
      <x:c r="K431" s="2" t="str">
        <x:v>RAG with CoT (GPT-4o)</x:v>
      </x:c>
      <x:c r="L431" s="2" t="str">
        <x:v>VSM</x:v>
      </x:c>
      <x:c r="M431" s="2" t="str">
        <x:v>F1-score</x:v>
      </x:c>
      <x:c r="N431" s="6" t="str">
        <x:v>45.1%</x:v>
      </x:c>
      <x:c r="O431" s="2" t="n">
        <x:v>45.1</x:v>
      </x:c>
      <x:c r="P431" s="2" t="str">
        <x:v>%</x:v>
      </x:c>
      <x:c r="Q431" s="6" t="str">
        <x:v>33.9%</x:v>
      </x:c>
      <x:c r="R431" s="2" t="n">
        <x:v>33.9</x:v>
      </x:c>
      <x:c r="S431" s="2" t="str">
        <x:v>NR</x:v>
      </x:c>
      <x:c r="T431" s="2" t="str">
        <x:v>Better</x:v>
      </x:c>
      <x:c r="U431" s="2" t="str">
        <x:v>Not tested</x:v>
      </x:c>
      <x:c r="V431" s="2" t="str">
        <x:v>NR</x:v>
      </x:c>
      <x:c r="W431" s="2" t="str">
        <x:v>NR</x:v>
      </x:c>
      <x:c r="X431" s="2" t="str">
        <x:v>NR</x:v>
      </x:c>
      <x:c r="Y431" s="2" t="str">
        <x:v>NR</x:v>
      </x:c>
      <x:c r="Z431" s="2" t="str">
        <x:v>No</x:v>
      </x:c>
      <x:c r="AA431" s="6" t="str">
        <x:v>p. 11; Section 4.2</x:v>
      </x:c>
      <x:c r="AB431" s="6" t="str">
        <x:v>points higher F1-score, we still regard our approach as superior to plain VSM.</x:v>
      </x:c>
      <x:c r="AC431" s="6" t="str">
        <x:v>优于VSM，但未做显著性检验。</x:v>
      </x:c>
      <x:c r="AD431" s="2" t="str">
        <x:v>Accepted</x:v>
      </x:c>
      <x:c r="AE431" s="6" t="str">
        <x:v>VSM avg F1 .339 from Table 3</x:v>
      </x:c>
    </x:row>
    <x:row r="432" ht="76" customHeight="1">
      <x:c r="A432" s="2" t="str">
        <x:v>S42-RESULT-R04</x:v>
      </x:c>
      <x:c r="B432" s="2" t="str">
        <x:v>S42</x:v>
      </x:c>
      <x:c r="C432" s="2" t="str">
        <x:v>merged_1266</x:v>
      </x:c>
      <x:c r="D432" s="2" t="str">
        <x:v>Reviewer_A</x:v>
      </x:c>
      <x:c r="E432" s="2" t="str">
        <x:v>Reviewer_A</x:v>
      </x:c>
      <x:c r="F432" s="2" t="str">
        <x:v>S42-R04</x:v>
      </x:c>
      <x:c r="G432" s="2" t="str">
        <x:v>S42-EV01</x:v>
      </x:c>
      <x:c r="H432" s="2" t="str">
        <x:v>S42-T01</x:v>
      </x:c>
      <x:c r="I432" s="2" t="str">
        <x:v>S42-MU01</x:v>
      </x:c>
      <x:c r="J432" s="2" t="str">
        <x:v>CM1-NASA</x:v>
      </x:c>
      <x:c r="K432" s="2" t="str">
        <x:v>RAG with CoT (GPT-4o)</x:v>
      </x:c>
      <x:c r="L432" s="2" t="str">
        <x:v>S2Trace</x:v>
      </x:c>
      <x:c r="M432" s="2" t="str">
        <x:v>F1-score</x:v>
      </x:c>
      <x:c r="N432" s="6" t="str">
        <x:v>51.9%</x:v>
      </x:c>
      <x:c r="O432" s="2" t="n">
        <x:v>51.9</x:v>
      </x:c>
      <x:c r="P432" s="2" t="str">
        <x:v>%</x:v>
      </x:c>
      <x:c r="Q432" s="6" t="str">
        <x:v>37.8%</x:v>
      </x:c>
      <x:c r="R432" s="2" t="n">
        <x:v>37.8</x:v>
      </x:c>
      <x:c r="S432" s="2" t="str">
        <x:v>NR</x:v>
      </x:c>
      <x:c r="T432" s="2" t="str">
        <x:v>Better</x:v>
      </x:c>
      <x:c r="U432" s="2" t="str">
        <x:v>Not tested</x:v>
      </x:c>
      <x:c r="V432" s="2" t="str">
        <x:v>NR</x:v>
      </x:c>
      <x:c r="W432" s="2" t="str">
        <x:v>NR</x:v>
      </x:c>
      <x:c r="X432" s="2" t="str">
        <x:v>NR</x:v>
      </x:c>
      <x:c r="Y432" s="2" t="str">
        <x:v>NR</x:v>
      </x:c>
      <x:c r="Z432" s="2" t="str">
        <x:v>No</x:v>
      </x:c>
      <x:c r="AA432" s="6" t="str">
        <x:v>p. 11; Section 4.2</x:v>
      </x:c>
      <x:c r="AB432" s="6" t="str">
        <x:v>On CM1, GPT-4o with CoT outperforms the better-performing S2Trace by 14.1 percentage points</x:v>
      </x:c>
      <x:c r="AC432" s="6" t="str">
        <x:v>明显优于S2Trace。</x:v>
      </x:c>
      <x:c r="AD432" s="2" t="str">
        <x:v>Accepted</x:v>
      </x:c>
      <x:c r="AE432" s="6" t="str">
        <x:v>Values from Table 3</x:v>
      </x:c>
    </x:row>
    <x:row r="433" ht="76" customHeight="1">
      <x:c r="A433" s="2" t="str">
        <x:v>S42-RESULT-R05</x:v>
      </x:c>
      <x:c r="B433" s="2" t="str">
        <x:v>S42</x:v>
      </x:c>
      <x:c r="C433" s="2" t="str">
        <x:v>merged_1266</x:v>
      </x:c>
      <x:c r="D433" s="2" t="str">
        <x:v>Reviewer_A</x:v>
      </x:c>
      <x:c r="E433" s="2" t="str">
        <x:v>Reviewer_A</x:v>
      </x:c>
      <x:c r="F433" s="2" t="str">
        <x:v>S42-R05</x:v>
      </x:c>
      <x:c r="G433" s="2" t="str">
        <x:v>S42-EV01</x:v>
      </x:c>
      <x:c r="H433" s="2" t="str">
        <x:v>S42-T01</x:v>
      </x:c>
      <x:c r="I433" s="2" t="str">
        <x:v>S42-MU01</x:v>
      </x:c>
      <x:c r="J433" s="2" t="str">
        <x:v>Average across datasets</x:v>
      </x:c>
      <x:c r="K433" s="2" t="str">
        <x:v>RAG with CoT (GPT-4o)</x:v>
      </x:c>
      <x:c r="L433" s="2" t="str">
        <x:v>None</x:v>
      </x:c>
      <x:c r="M433" s="2" t="str">
        <x:v>F2-score</x:v>
      </x:c>
      <x:c r="N433" s="6" t="str">
        <x:v>45.2%</x:v>
      </x:c>
      <x:c r="O433" s="2" t="n">
        <x:v>45.2</x:v>
      </x:c>
      <x:c r="P433" s="2" t="str">
        <x:v>%</x:v>
      </x:c>
      <x:c r="Q433" s="6" t="str">
        <x:v>NA</x:v>
      </x:c>
      <x:c r="R433" s="2" t="str">
        <x:v>NA</x:v>
      </x:c>
      <x:c r="S433" s="2" t="str">
        <x:v>NR</x:v>
      </x:c>
      <x:c r="T433" s="2" t="str">
        <x:v>Not compared</x:v>
      </x:c>
      <x:c r="U433" s="2" t="str">
        <x:v>NA</x:v>
      </x:c>
      <x:c r="V433" s="2" t="str">
        <x:v>NR</x:v>
      </x:c>
      <x:c r="W433" s="2" t="str">
        <x:v>NR</x:v>
      </x:c>
      <x:c r="X433" s="2" t="str">
        <x:v>NR</x:v>
      </x:c>
      <x:c r="Y433" s="2" t="str">
        <x:v>NR</x:v>
      </x:c>
      <x:c r="Z433" s="2" t="str">
        <x:v>No</x:v>
      </x:c>
      <x:c r="AA433" s="6" t="str">
        <x:v>p. 12; Section 5</x:v>
      </x:c>
      <x:c r="AB433" s="6" t="str">
        <x:v>form state-of-the-art and baseline approaches. On average, our best-performing configuration using GPT-4o and CoT prompting achieved an F1-score of 45.1%</x:v>
      </x:c>
      <x:c r="AC433" s="6" t="str">
        <x:v>报告了最佳配置的平均F2-score。</x:v>
      </x:c>
      <x:c r="AD433" s="2" t="str">
        <x:v>Accepted</x:v>
      </x:c>
      <x:c r="AE433" s="6" t="str">
        <x:v>NA</x:v>
      </x:c>
    </x:row>
    <x:row r="434" ht="76" customHeight="1">
      <x:c r="A434" s="2" t="str">
        <x:v>S43-RESULT-R01</x:v>
      </x:c>
      <x:c r="B434" s="2" t="str">
        <x:v>S43</x:v>
      </x:c>
      <x:c r="C434" s="2" t="str">
        <x:v>merged_1270</x:v>
      </x:c>
      <x:c r="D434" s="2" t="str">
        <x:v>Reviewer_A</x:v>
      </x:c>
      <x:c r="E434" s="2" t="str">
        <x:v>Reviewer_A</x:v>
      </x:c>
      <x:c r="F434" s="2" t="str">
        <x:v>S43-R01</x:v>
      </x:c>
      <x:c r="G434" s="2" t="str">
        <x:v>S43-EV01</x:v>
      </x:c>
      <x:c r="H434" s="2" t="str">
        <x:v>S43-T01</x:v>
      </x:c>
      <x:c r="I434" s="2" t="str">
        <x:v>S43-MU01</x:v>
      </x:c>
      <x:c r="J434" s="2" t="str">
        <x:v>10 open-source projects (average)</x:v>
      </x:c>
      <x:c r="K434" s="2" t="str">
        <x:v>Direct LLM prediction</x:v>
      </x:c>
      <x:c r="L434" s="2" t="str">
        <x:v>Llama 3.3 8B Instruct</x:v>
      </x:c>
      <x:c r="M434" s="2" t="str">
        <x:v>F1-score</x:v>
      </x:c>
      <x:c r="N434" s="6" t="str">
        <x:v>0.67</x:v>
      </x:c>
      <x:c r="O434" s="2" t="n">
        <x:v>0.67</x:v>
      </x:c>
      <x:c r="P434" s="2" t="str">
        <x:v>proportion</x:v>
      </x:c>
      <x:c r="Q434" s="6" t="str">
        <x:v>0.58</x:v>
      </x:c>
      <x:c r="R434" s="2" t="n">
        <x:v>0.58</x:v>
      </x:c>
      <x:c r="S434" s="2" t="str">
        <x:v>NR</x:v>
      </x:c>
      <x:c r="T434" s="2" t="str">
        <x:v>Better</x:v>
      </x:c>
      <x:c r="U434" s="2" t="str">
        <x:v>Not tested</x:v>
      </x:c>
      <x:c r="V434" s="2" t="str">
        <x:v>9% relative improvement</x:v>
      </x:c>
      <x:c r="W434" s="2" t="str">
        <x:v>NR</x:v>
      </x:c>
      <x:c r="X434" s="2" t="str">
        <x:v>NR</x:v>
      </x:c>
      <x:c r="Y434" s="2" t="str">
        <x:v>NR</x:v>
      </x:c>
      <x:c r="Z434" s="2" t="str">
        <x:v>No</x:v>
      </x:c>
      <x:c r="AA434" s="6" t="str">
        <x:v>p. 8; Section V.A</x:v>
      </x:c>
      <x:c r="AB434" s="6" t="str">
        <x:v>It achieves an average F1-score of 0.67, representing a 9% relative improvement compared to the second-best model, Llama 3.3, which scored 0.58.</x:v>
      </x:c>
      <x:c r="AC434" s="6" t="str">
        <x:v>Gemini 2.5 Pro平均F1最高，优于Llama 3.3。</x:v>
      </x:c>
      <x:c r="AD434" s="2" t="str">
        <x:v>Accepted</x:v>
      </x:c>
      <x:c r="AE434" s="6" t="str">
        <x:v>NA</x:v>
      </x:c>
    </x:row>
    <x:row r="435" ht="76" customHeight="1">
      <x:c r="A435" s="2" t="str">
        <x:v>S43-RESULT-R02</x:v>
      </x:c>
      <x:c r="B435" s="2" t="str">
        <x:v>S43</x:v>
      </x:c>
      <x:c r="C435" s="2" t="str">
        <x:v>merged_1270</x:v>
      </x:c>
      <x:c r="D435" s="2" t="str">
        <x:v>Reviewer_A</x:v>
      </x:c>
      <x:c r="E435" s="2" t="str">
        <x:v>Reviewer_A</x:v>
      </x:c>
      <x:c r="F435" s="2" t="str">
        <x:v>S43-R02</x:v>
      </x:c>
      <x:c r="G435" s="2" t="str">
        <x:v>S43-EV02</x:v>
      </x:c>
      <x:c r="H435" s="2" t="str">
        <x:v>S43-T01</x:v>
      </x:c>
      <x:c r="I435" s="2" t="str">
        <x:v>NA</x:v>
      </x:c>
      <x:c r="J435" s="2" t="str">
        <x:v>10 open-source projects (average)</x:v>
      </x:c>
      <x:c r="K435" s="2" t="str">
        <x:v>HGTRTracer</x:v>
      </x:c>
      <x:c r="L435" s="2" t="str">
        <x:v>Gemini 2.5 Pro alone</x:v>
      </x:c>
      <x:c r="M435" s="2" t="str">
        <x:v>Average F1 improvement</x:v>
      </x:c>
      <x:c r="N435" s="6" t="str">
        <x:v>18.57%</x:v>
      </x:c>
      <x:c r="O435" s="2" t="n">
        <x:v>18.57</x:v>
      </x:c>
      <x:c r="P435" s="2" t="str">
        <x:v>%</x:v>
      </x:c>
      <x:c r="Q435" s="6" t="str">
        <x:v>NR</x:v>
      </x:c>
      <x:c r="R435" s="2" t="str">
        <x:v>Unclear</x:v>
      </x:c>
      <x:c r="S435" s="2" t="str">
        <x:v>NR</x:v>
      </x:c>
      <x:c r="T435" s="2" t="str">
        <x:v>Better</x:v>
      </x:c>
      <x:c r="U435" s="2" t="str">
        <x:v>Not tested</x:v>
      </x:c>
      <x:c r="V435" s="2" t="str">
        <x:v>Substantial improvement</x:v>
      </x:c>
      <x:c r="W435" s="2" t="str">
        <x:v>NR</x:v>
      </x:c>
      <x:c r="X435" s="2" t="str">
        <x:v>NR</x:v>
      </x:c>
      <x:c r="Y435" s="2" t="str">
        <x:v>NR</x:v>
      </x:c>
      <x:c r="Z435" s="2" t="str">
        <x:v>No</x:v>
      </x:c>
      <x:c r="AA435" s="6" t="str">
        <x:v>p. 10; Section V.B</x:v>
      </x:c>
      <x:c r="AB435" s="6" t="str">
        <x:v>Specifically, HGT+Gemini achieves an average F1-score improvement of 18.57% compared to using Gemini alone.</x:v>
      </x:c>
      <x:c r="AC435" s="6" t="str">
        <x:v>结合HGT和Gemini比单独使用Gemini平均F1提升18.57%。</x:v>
      </x:c>
      <x:c r="AD435" s="2" t="str">
        <x:v>Accepted</x:v>
      </x:c>
      <x:c r="AE435" s="6" t="str">
        <x:v>NA</x:v>
      </x:c>
    </x:row>
    <x:row r="436" ht="76" customHeight="1">
      <x:c r="A436" s="2" t="str">
        <x:v>S43-RESULT-R03</x:v>
      </x:c>
      <x:c r="B436" s="2" t="str">
        <x:v>S43</x:v>
      </x:c>
      <x:c r="C436" s="2" t="str">
        <x:v>merged_1270</x:v>
      </x:c>
      <x:c r="D436" s="2" t="str">
        <x:v>Reviewer_A</x:v>
      </x:c>
      <x:c r="E436" s="2" t="str">
        <x:v>Reviewer_A</x:v>
      </x:c>
      <x:c r="F436" s="2" t="str">
        <x:v>S43-R03</x:v>
      </x:c>
      <x:c r="G436" s="2" t="str">
        <x:v>S43-EV02</x:v>
      </x:c>
      <x:c r="H436" s="2" t="str">
        <x:v>S43-T01</x:v>
      </x:c>
      <x:c r="I436" s="2" t="str">
        <x:v>NA</x:v>
      </x:c>
      <x:c r="J436" s="2" t="str">
        <x:v>10 open-source projects (average)</x:v>
      </x:c>
      <x:c r="K436" s="2" t="str">
        <x:v>HGTRTracer</x:v>
      </x:c>
      <x:c r="L436" s="2" t="str">
        <x:v>HGT alone</x:v>
      </x:c>
      <x:c r="M436" s="2" t="str">
        <x:v>Average F1 improvement</x:v>
      </x:c>
      <x:c r="N436" s="6" t="str">
        <x:v>17.56%</x:v>
      </x:c>
      <x:c r="O436" s="2" t="n">
        <x:v>17.56</x:v>
      </x:c>
      <x:c r="P436" s="2" t="str">
        <x:v>%</x:v>
      </x:c>
      <x:c r="Q436" s="6" t="str">
        <x:v>NR</x:v>
      </x:c>
      <x:c r="R436" s="2" t="str">
        <x:v>Unclear</x:v>
      </x:c>
      <x:c r="S436" s="2" t="str">
        <x:v>NR</x:v>
      </x:c>
      <x:c r="T436" s="2" t="str">
        <x:v>Better</x:v>
      </x:c>
      <x:c r="U436" s="2" t="str">
        <x:v>Not tested</x:v>
      </x:c>
      <x:c r="V436" s="2" t="str">
        <x:v>Substantial improvement</x:v>
      </x:c>
      <x:c r="W436" s="2" t="str">
        <x:v>NR</x:v>
      </x:c>
      <x:c r="X436" s="2" t="str">
        <x:v>NR</x:v>
      </x:c>
      <x:c r="Y436" s="2" t="str">
        <x:v>NR</x:v>
      </x:c>
      <x:c r="Z436" s="2" t="str">
        <x:v>No</x:v>
      </x:c>
      <x:c r="AA436" s="6" t="str">
        <x:v>p. 10; Section V.B</x:v>
      </x:c>
      <x:c r="AB436" s="6" t="str">
        <x:v>compared to using HGT alone, HGT+Gemini achieves an average F1-score increase of 17.56%.</x:v>
      </x:c>
      <x:c r="AC436" s="6" t="str">
        <x:v>结合HGT和Gemini比单独使用HGT平均F1提升17.56%。</x:v>
      </x:c>
      <x:c r="AD436" s="2" t="str">
        <x:v>Accepted</x:v>
      </x:c>
      <x:c r="AE436" s="6" t="str">
        <x:v>NA</x:v>
      </x:c>
    </x:row>
    <x:row r="437" ht="76" customHeight="1">
      <x:c r="A437" s="2" t="str">
        <x:v>S43-RESULT-R04</x:v>
      </x:c>
      <x:c r="B437" s="2" t="str">
        <x:v>S43</x:v>
      </x:c>
      <x:c r="C437" s="2" t="str">
        <x:v>merged_1270</x:v>
      </x:c>
      <x:c r="D437" s="2" t="str">
        <x:v>Reviewer_A</x:v>
      </x:c>
      <x:c r="E437" s="2" t="str">
        <x:v>Reviewer_A</x:v>
      </x:c>
      <x:c r="F437" s="2" t="str">
        <x:v>S43-R04</x:v>
      </x:c>
      <x:c r="G437" s="2" t="str">
        <x:v>S43-EV03</x:v>
      </x:c>
      <x:c r="H437" s="2" t="str">
        <x:v>S43-T01</x:v>
      </x:c>
      <x:c r="I437" s="2" t="str">
        <x:v>NA</x:v>
      </x:c>
      <x:c r="J437" s="2" t="str">
        <x:v>10 open-source projects (average)</x:v>
      </x:c>
      <x:c r="K437" s="2" t="str">
        <x:v>HGTRTracer</x:v>
      </x:c>
      <x:c r="L437" s="2" t="str">
        <x:v>TRAIL</x:v>
      </x:c>
      <x:c r="M437" s="2" t="str">
        <x:v>Average F1 improvement</x:v>
      </x:c>
      <x:c r="N437" s="6" t="str">
        <x:v>206.19%</x:v>
      </x:c>
      <x:c r="O437" s="2" t="n">
        <x:v>206.19</x:v>
      </x:c>
      <x:c r="P437" s="2" t="str">
        <x:v>%</x:v>
      </x:c>
      <x:c r="Q437" s="6" t="str">
        <x:v>NR</x:v>
      </x:c>
      <x:c r="R437" s="2" t="str">
        <x:v>Unclear</x:v>
      </x:c>
      <x:c r="S437" s="2" t="str">
        <x:v>NR</x:v>
      </x:c>
      <x:c r="T437" s="2" t="str">
        <x:v>Better</x:v>
      </x:c>
      <x:c r="U437" s="2" t="str">
        <x:v>Significant</x:v>
      </x:c>
      <x:c r="V437" s="2" t="str">
        <x:v>Large improvement</x:v>
      </x:c>
      <x:c r="W437" s="2" t="str">
        <x:v>NR</x:v>
      </x:c>
      <x:c r="X437" s="2" t="str">
        <x:v>NR</x:v>
      </x:c>
      <x:c r="Y437" s="2" t="str">
        <x:v>NR</x:v>
      </x:c>
      <x:c r="Z437" s="2" t="str">
        <x:v>No</x:v>
      </x:c>
      <x:c r="AA437" s="6" t="str">
        <x:v>p. 10; Section V.C</x:v>
      </x:c>
      <x:c r="AB437" s="6" t="str">
        <x:v>in terms of the F1-score metric, it achieves average improvements of 206.19%, 428.26%, 178.82%, 89.63%, and 28.65% compared to TRAIL, ConPOS, TAROT, DF4RT, and GA-XWCode, respectively.</x:v>
      </x:c>
      <x:c r="AC437" s="6" t="str">
        <x:v>HGTRTracer相比TRAIL平均F1提升高达206.19%。</x:v>
      </x:c>
      <x:c r="AD437" s="2" t="str">
        <x:v>Accepted</x:v>
      </x:c>
      <x:c r="AE437" s="6" t="str">
        <x:v>NA</x:v>
      </x:c>
    </x:row>
    <x:row r="438" ht="76" customHeight="1">
      <x:c r="A438" s="2" t="str">
        <x:v>S43-RESULT-R05</x:v>
      </x:c>
      <x:c r="B438" s="2" t="str">
        <x:v>S43</x:v>
      </x:c>
      <x:c r="C438" s="2" t="str">
        <x:v>merged_1270</x:v>
      </x:c>
      <x:c r="D438" s="2" t="str">
        <x:v>Reviewer_A</x:v>
      </x:c>
      <x:c r="E438" s="2" t="str">
        <x:v>Reviewer_A</x:v>
      </x:c>
      <x:c r="F438" s="2" t="str">
        <x:v>S43-R05</x:v>
      </x:c>
      <x:c r="G438" s="2" t="str">
        <x:v>S43-EV03</x:v>
      </x:c>
      <x:c r="H438" s="2" t="str">
        <x:v>S43-T01</x:v>
      </x:c>
      <x:c r="I438" s="2" t="str">
        <x:v>NA</x:v>
      </x:c>
      <x:c r="J438" s="2" t="str">
        <x:v>10 open-source projects (average)</x:v>
      </x:c>
      <x:c r="K438" s="2" t="str">
        <x:v>HGTRTracer</x:v>
      </x:c>
      <x:c r="L438" s="2" t="str">
        <x:v>ConPOS</x:v>
      </x:c>
      <x:c r="M438" s="2" t="str">
        <x:v>Average F1 improvement</x:v>
      </x:c>
      <x:c r="N438" s="6" t="str">
        <x:v>428.26%</x:v>
      </x:c>
      <x:c r="O438" s="2" t="n">
        <x:v>428.26</x:v>
      </x:c>
      <x:c r="P438" s="2" t="str">
        <x:v>%</x:v>
      </x:c>
      <x:c r="Q438" s="6" t="str">
        <x:v>NR</x:v>
      </x:c>
      <x:c r="R438" s="2" t="str">
        <x:v>Unclear</x:v>
      </x:c>
      <x:c r="S438" s="2" t="str">
        <x:v>NR</x:v>
      </x:c>
      <x:c r="T438" s="2" t="str">
        <x:v>Better</x:v>
      </x:c>
      <x:c r="U438" s="2" t="str">
        <x:v>Significant</x:v>
      </x:c>
      <x:c r="V438" s="2" t="str">
        <x:v>Very large improvement</x:v>
      </x:c>
      <x:c r="W438" s="2" t="str">
        <x:v>NR</x:v>
      </x:c>
      <x:c r="X438" s="2" t="str">
        <x:v>NR</x:v>
      </x:c>
      <x:c r="Y438" s="2" t="str">
        <x:v>NR</x:v>
      </x:c>
      <x:c r="Z438" s="2" t="str">
        <x:v>No</x:v>
      </x:c>
      <x:c r="AA438" s="6" t="str">
        <x:v>p. 10; Section V.C</x:v>
      </x:c>
      <x:c r="AB438" s="6" t="str">
        <x:v>in terms of the F1-score metric, it achieves average improvements of 206.19%, 428.26%, 178.82%, 89.63%, and 28.65% compared to TRAIL, ConPOS, TAROT, DF4RT, and GA-XWCode, respectively.</x:v>
      </x:c>
      <x:c r="AC438" s="6" t="str">
        <x:v>HGTRTracer相比ConPOS平均F1提升高达428.26%。</x:v>
      </x:c>
      <x:c r="AD438" s="2" t="str">
        <x:v>Accepted</x:v>
      </x:c>
      <x:c r="AE438" s="6" t="str">
        <x:v>NA</x:v>
      </x:c>
    </x:row>
    <x:row r="439" ht="76" customHeight="1">
      <x:c r="A439" s="2" t="str">
        <x:v>S43-RESULT-R06</x:v>
      </x:c>
      <x:c r="B439" s="2" t="str">
        <x:v>S43</x:v>
      </x:c>
      <x:c r="C439" s="2" t="str">
        <x:v>merged_1270</x:v>
      </x:c>
      <x:c r="D439" s="2" t="str">
        <x:v>Reviewer_A</x:v>
      </x:c>
      <x:c r="E439" s="2" t="str">
        <x:v>Reviewer_A</x:v>
      </x:c>
      <x:c r="F439" s="2" t="str">
        <x:v>S43-R06</x:v>
      </x:c>
      <x:c r="G439" s="2" t="str">
        <x:v>S43-EV03</x:v>
      </x:c>
      <x:c r="H439" s="2" t="str">
        <x:v>S43-T01</x:v>
      </x:c>
      <x:c r="I439" s="2" t="str">
        <x:v>NA</x:v>
      </x:c>
      <x:c r="J439" s="2" t="str">
        <x:v>10 open-source projects (average)</x:v>
      </x:c>
      <x:c r="K439" s="2" t="str">
        <x:v>HGTRTracer</x:v>
      </x:c>
      <x:c r="L439" s="2" t="str">
        <x:v>TAROT</x:v>
      </x:c>
      <x:c r="M439" s="2" t="str">
        <x:v>Average F1 improvement</x:v>
      </x:c>
      <x:c r="N439" s="6" t="str">
        <x:v>178.82%</x:v>
      </x:c>
      <x:c r="O439" s="2" t="n">
        <x:v>178.82</x:v>
      </x:c>
      <x:c r="P439" s="2" t="str">
        <x:v>%</x:v>
      </x:c>
      <x:c r="Q439" s="6" t="str">
        <x:v>NR</x:v>
      </x:c>
      <x:c r="R439" s="2" t="str">
        <x:v>Unclear</x:v>
      </x:c>
      <x:c r="S439" s="2" t="str">
        <x:v>NR</x:v>
      </x:c>
      <x:c r="T439" s="2" t="str">
        <x:v>Better</x:v>
      </x:c>
      <x:c r="U439" s="2" t="str">
        <x:v>Significant</x:v>
      </x:c>
      <x:c r="V439" s="2" t="str">
        <x:v>Large improvement</x:v>
      </x:c>
      <x:c r="W439" s="2" t="str">
        <x:v>NR</x:v>
      </x:c>
      <x:c r="X439" s="2" t="str">
        <x:v>NR</x:v>
      </x:c>
      <x:c r="Y439" s="2" t="str">
        <x:v>NR</x:v>
      </x:c>
      <x:c r="Z439" s="2" t="str">
        <x:v>No</x:v>
      </x:c>
      <x:c r="AA439" s="6" t="str">
        <x:v>p. 10; Section V.C</x:v>
      </x:c>
      <x:c r="AB439" s="6" t="str">
        <x:v>in terms of the F1-score metric, it achieves average improvements of 206.19%, 428.26%, 178.82%, 89.63%, and 28.65% compared to TRAIL, ConPOS, TAROT, DF4RT, and GA-XWCode, respectively.</x:v>
      </x:c>
      <x:c r="AC439" s="6" t="str">
        <x:v>HGTRTracer相比TAROT平均F1提升高达178.82%。</x:v>
      </x:c>
      <x:c r="AD439" s="2" t="str">
        <x:v>Accepted</x:v>
      </x:c>
      <x:c r="AE439" s="6" t="str">
        <x:v>NA</x:v>
      </x:c>
    </x:row>
    <x:row r="440" ht="76" customHeight="1">
      <x:c r="A440" s="2" t="str">
        <x:v>S43-RESULT-R07</x:v>
      </x:c>
      <x:c r="B440" s="2" t="str">
        <x:v>S43</x:v>
      </x:c>
      <x:c r="C440" s="2" t="str">
        <x:v>merged_1270</x:v>
      </x:c>
      <x:c r="D440" s="2" t="str">
        <x:v>Reviewer_A</x:v>
      </x:c>
      <x:c r="E440" s="2" t="str">
        <x:v>Reviewer_A</x:v>
      </x:c>
      <x:c r="F440" s="2" t="str">
        <x:v>S43-R07</x:v>
      </x:c>
      <x:c r="G440" s="2" t="str">
        <x:v>S43-EV03</x:v>
      </x:c>
      <x:c r="H440" s="2" t="str">
        <x:v>S43-T01</x:v>
      </x:c>
      <x:c r="I440" s="2" t="str">
        <x:v>NA</x:v>
      </x:c>
      <x:c r="J440" s="2" t="str">
        <x:v>10 open-source projects (average)</x:v>
      </x:c>
      <x:c r="K440" s="2" t="str">
        <x:v>HGTRTracer</x:v>
      </x:c>
      <x:c r="L440" s="2" t="str">
        <x:v>DF4RT</x:v>
      </x:c>
      <x:c r="M440" s="2" t="str">
        <x:v>Average F1 improvement</x:v>
      </x:c>
      <x:c r="N440" s="6" t="str">
        <x:v>89.63%</x:v>
      </x:c>
      <x:c r="O440" s="2" t="n">
        <x:v>89.63</x:v>
      </x:c>
      <x:c r="P440" s="2" t="str">
        <x:v>%</x:v>
      </x:c>
      <x:c r="Q440" s="6" t="str">
        <x:v>NR</x:v>
      </x:c>
      <x:c r="R440" s="2" t="str">
        <x:v>Unclear</x:v>
      </x:c>
      <x:c r="S440" s="2" t="str">
        <x:v>NR</x:v>
      </x:c>
      <x:c r="T440" s="2" t="str">
        <x:v>Better</x:v>
      </x:c>
      <x:c r="U440" s="2" t="str">
        <x:v>Significant</x:v>
      </x:c>
      <x:c r="V440" s="2" t="str">
        <x:v>Substantial improvement</x:v>
      </x:c>
      <x:c r="W440" s="2" t="str">
        <x:v>NR</x:v>
      </x:c>
      <x:c r="X440" s="2" t="str">
        <x:v>NR</x:v>
      </x:c>
      <x:c r="Y440" s="2" t="str">
        <x:v>NR</x:v>
      </x:c>
      <x:c r="Z440" s="2" t="str">
        <x:v>No</x:v>
      </x:c>
      <x:c r="AA440" s="6" t="str">
        <x:v>p. 10; Section V.C</x:v>
      </x:c>
      <x:c r="AB440" s="6" t="str">
        <x:v>in terms of the F1-score metric, it achieves average improvements of 206.19%, 428.26%, 178.82%, 89.63%, and 28.65% compared to TRAIL, ConPOS, TAROT, DF4RT, and GA-XWCode, respectively.</x:v>
      </x:c>
      <x:c r="AC440" s="6" t="str">
        <x:v>HGTRTracer相比DF4RT平均F1提升89.63%。</x:v>
      </x:c>
      <x:c r="AD440" s="2" t="str">
        <x:v>Accepted</x:v>
      </x:c>
      <x:c r="AE440" s="6" t="str">
        <x:v>NA</x:v>
      </x:c>
    </x:row>
    <x:row r="441" ht="76" customHeight="1">
      <x:c r="A441" s="2" t="str">
        <x:v>S43-RESULT-R08</x:v>
      </x:c>
      <x:c r="B441" s="2" t="str">
        <x:v>S43</x:v>
      </x:c>
      <x:c r="C441" s="2" t="str">
        <x:v>merged_1270</x:v>
      </x:c>
      <x:c r="D441" s="2" t="str">
        <x:v>Reviewer_A</x:v>
      </x:c>
      <x:c r="E441" s="2" t="str">
        <x:v>Reviewer_A</x:v>
      </x:c>
      <x:c r="F441" s="2" t="str">
        <x:v>S43-R08</x:v>
      </x:c>
      <x:c r="G441" s="2" t="str">
        <x:v>S43-EV03</x:v>
      </x:c>
      <x:c r="H441" s="2" t="str">
        <x:v>S43-T01</x:v>
      </x:c>
      <x:c r="I441" s="2" t="str">
        <x:v>NA</x:v>
      </x:c>
      <x:c r="J441" s="2" t="str">
        <x:v>10 open-source projects (average)</x:v>
      </x:c>
      <x:c r="K441" s="2" t="str">
        <x:v>HGTRTracer</x:v>
      </x:c>
      <x:c r="L441" s="2" t="str">
        <x:v>GA-XWCoDe</x:v>
      </x:c>
      <x:c r="M441" s="2" t="str">
        <x:v>Average F1 improvement</x:v>
      </x:c>
      <x:c r="N441" s="6" t="str">
        <x:v>28.65%</x:v>
      </x:c>
      <x:c r="O441" s="2" t="n">
        <x:v>28.65</x:v>
      </x:c>
      <x:c r="P441" s="2" t="str">
        <x:v>%</x:v>
      </x:c>
      <x:c r="Q441" s="6" t="str">
        <x:v>NR</x:v>
      </x:c>
      <x:c r="R441" s="2" t="str">
        <x:v>Unclear</x:v>
      </x:c>
      <x:c r="S441" s="2" t="str">
        <x:v>NR</x:v>
      </x:c>
      <x:c r="T441" s="2" t="str">
        <x:v>Better</x:v>
      </x:c>
      <x:c r="U441" s="2" t="str">
        <x:v>Significant</x:v>
      </x:c>
      <x:c r="V441" s="2" t="str">
        <x:v>Moderate improvement</x:v>
      </x:c>
      <x:c r="W441" s="2" t="str">
        <x:v>NR</x:v>
      </x:c>
      <x:c r="X441" s="2" t="str">
        <x:v>NR</x:v>
      </x:c>
      <x:c r="Y441" s="2" t="str">
        <x:v>NR</x:v>
      </x:c>
      <x:c r="Z441" s="2" t="str">
        <x:v>No</x:v>
      </x:c>
      <x:c r="AA441" s="6" t="str">
        <x:v>p. 10; Section V.C</x:v>
      </x:c>
      <x:c r="AB441" s="6" t="str">
        <x:v>in terms of the F1-score metric, it achieves average improvements of 206.19%, 428.26%, 178.82%, 89.63%, and 28.65% compared to TRAIL, ConPOS, TAROT, DF4RT, and GA-XWCode, respectively.</x:v>
      </x:c>
      <x:c r="AC441" s="6" t="str">
        <x:v>HGTRTracer相比GA-XWCoDe平均F1提升28.65%。</x:v>
      </x:c>
      <x:c r="AD441" s="2" t="str">
        <x:v>Accepted</x:v>
      </x:c>
      <x:c r="AE441" s="6" t="str">
        <x:v>NA</x:v>
      </x:c>
    </x:row>
    <x:row r="442" ht="76" customHeight="1">
      <x:c r="A442" s="2" t="str">
        <x:v>S43-RESULT-R09</x:v>
      </x:c>
      <x:c r="B442" s="2" t="str">
        <x:v>S43</x:v>
      </x:c>
      <x:c r="C442" s="2" t="str">
        <x:v>merged_1270</x:v>
      </x:c>
      <x:c r="D442" s="2" t="str">
        <x:v>Reviewer_A</x:v>
      </x:c>
      <x:c r="E442" s="2" t="str">
        <x:v>Reviewer_A</x:v>
      </x:c>
      <x:c r="F442" s="2" t="str">
        <x:v>S43-R09</x:v>
      </x:c>
      <x:c r="G442" s="2" t="str">
        <x:v>S43-EV03</x:v>
      </x:c>
      <x:c r="H442" s="2" t="str">
        <x:v>S43-T01</x:v>
      </x:c>
      <x:c r="I442" s="2" t="str">
        <x:v>NA</x:v>
      </x:c>
      <x:c r="J442" s="2" t="str">
        <x:v>10 open-source projects (average)</x:v>
      </x:c>
      <x:c r="K442" s="2" t="str">
        <x:v>HGTRTracer</x:v>
      </x:c>
      <x:c r="L442" s="2" t="str">
        <x:v>HGNNLink</x:v>
      </x:c>
      <x:c r="M442" s="2" t="str">
        <x:v>Average F1 improvement</x:v>
      </x:c>
      <x:c r="N442" s="6" t="str">
        <x:v>12.90%</x:v>
      </x:c>
      <x:c r="O442" s="2" t="n">
        <x:v>12.9</x:v>
      </x:c>
      <x:c r="P442" s="2" t="str">
        <x:v>%</x:v>
      </x:c>
      <x:c r="Q442" s="6" t="str">
        <x:v>NR</x:v>
      </x:c>
      <x:c r="R442" s="2" t="str">
        <x:v>Unclear</x:v>
      </x:c>
      <x:c r="S442" s="2" t="str">
        <x:v>NR</x:v>
      </x:c>
      <x:c r="T442" s="2" t="str">
        <x:v>Better</x:v>
      </x:c>
      <x:c r="U442" s="2" t="str">
        <x:v>Significant</x:v>
      </x:c>
      <x:c r="V442" s="2" t="str">
        <x:v>Moderate improvement</x:v>
      </x:c>
      <x:c r="W442" s="2" t="str">
        <x:v>NR</x:v>
      </x:c>
      <x:c r="X442" s="2" t="str">
        <x:v>NR</x:v>
      </x:c>
      <x:c r="Y442" s="2" t="str">
        <x:v>NR</x:v>
      </x:c>
      <x:c r="Z442" s="2" t="str">
        <x:v>No</x:v>
      </x:c>
      <x:c r="AA442" s="6" t="str">
        <x:v>p. 10; Section V.C</x:v>
      </x:c>
      <x:c r="AB442" s="6" t="str">
        <x:v>even when compared to the advanced graph neural network method HGNNLink, HGTRTracer maintains a 12.90% improvement in F1-score.</x:v>
      </x:c>
      <x:c r="AC442" s="6" t="str">
        <x:v>HGTRTracer相比最先进的HGNNLink仍有12.90%的提升。</x:v>
      </x:c>
      <x:c r="AD442" s="2" t="str">
        <x:v>Accepted</x:v>
      </x:c>
      <x:c r="AE442" s="6" t="str">
        <x:v>NA</x:v>
      </x:c>
    </x:row>
    <x:row r="443" ht="76" customHeight="1">
      <x:c r="A443" s="2" t="str">
        <x:v>S43-RESULT-R10</x:v>
      </x:c>
      <x:c r="B443" s="2" t="str">
        <x:v>S43</x:v>
      </x:c>
      <x:c r="C443" s="2" t="str">
        <x:v>merged_1270</x:v>
      </x:c>
      <x:c r="D443" s="2" t="str">
        <x:v>Reviewer_A</x:v>
      </x:c>
      <x:c r="E443" s="2" t="str">
        <x:v>Reviewer_A</x:v>
      </x:c>
      <x:c r="F443" s="2" t="str">
        <x:v>S43-R10</x:v>
      </x:c>
      <x:c r="G443" s="2" t="str">
        <x:v>S43-EV03</x:v>
      </x:c>
      <x:c r="H443" s="2" t="str">
        <x:v>S43-T01</x:v>
      </x:c>
      <x:c r="I443" s="2" t="str">
        <x:v>NA</x:v>
      </x:c>
      <x:c r="J443" s="2" t="str">
        <x:v>smos</x:v>
      </x:c>
      <x:c r="K443" s="2" t="str">
        <x:v>HGTRTracer</x:v>
      </x:c>
      <x:c r="L443" s="2" t="str">
        <x:v>GA-XWCoDe</x:v>
      </x:c>
      <x:c r="M443" s="2" t="str">
        <x:v>F1-score</x:v>
      </x:c>
      <x:c r="N443" s="6" t="str">
        <x:v>0.4848</x:v>
      </x:c>
      <x:c r="O443" s="2" t="n">
        <x:v>0.4848</x:v>
      </x:c>
      <x:c r="P443" s="2" t="str">
        <x:v>proportion</x:v>
      </x:c>
      <x:c r="Q443" s="6" t="str">
        <x:v>0.8797</x:v>
      </x:c>
      <x:c r="R443" s="2" t="n">
        <x:v>0.8797</x:v>
      </x:c>
      <x:c r="S443" s="2" t="str">
        <x:v>NR</x:v>
      </x:c>
      <x:c r="T443" s="2" t="str">
        <x:v>Worse</x:v>
      </x:c>
      <x:c r="U443" s="2" t="str">
        <x:v>Unclear</x:v>
      </x:c>
      <x:c r="V443" s="2" t="str">
        <x:v>Worse performance on this dataset</x:v>
      </x:c>
      <x:c r="W443" s="2" t="str">
        <x:v>NR</x:v>
      </x:c>
      <x:c r="X443" s="2" t="str">
        <x:v>NR</x:v>
      </x:c>
      <x:c r="Y443" s="2" t="str">
        <x:v>Smos dataset, where attribution may be incomplete due to high true link proportion and code complexity.</x:v>
      </x:c>
      <x:c r="Z443" s="2" t="str">
        <x:v>Yes</x:v>
      </x:c>
      <x:c r="AA443" s="6" t="str">
        <x:v>p. 10; Section V.C; Table VI (smos row)</x:v>
      </x:c>
      <x:c r="AB443" s="6" t="str">
        <x:v>Only on the Drools, smos and Pig datasets does HGTRTracer perform slightly worse than HGNNLink and GA-XWCoDe, respectively.</x:v>
      </x:c>
      <x:c r="AC443" s="6" t="str">
        <x:v>在smos数据集上HGTRTracer F1远低于GA-XWCoDe，属于负面案例。</x:v>
      </x:c>
      <x:c r="AD443" s="2" t="str">
        <x:v>Accepted</x:v>
      </x:c>
      <x:c r="AE443" s="6" t="str">
        <x:v>该数据集真实链接比例高，归因信息不完整导致性能下降。</x:v>
      </x:c>
    </x:row>
    <x:row r="444" ht="76" customHeight="1">
      <x:c r="A444" s="2" t="str">
        <x:v>S44-RESULT-R01</x:v>
      </x:c>
      <x:c r="B444" s="2" t="str">
        <x:v>S44</x:v>
      </x:c>
      <x:c r="C444" s="2" t="str">
        <x:v>merged_1274</x:v>
      </x:c>
      <x:c r="D444" s="2" t="str">
        <x:v>Reviewer_A</x:v>
      </x:c>
      <x:c r="E444" s="2" t="str">
        <x:v>Reviewer_A</x:v>
      </x:c>
      <x:c r="F444" s="2" t="str">
        <x:v>S44-R01</x:v>
      </x:c>
      <x:c r="G444" s="2" t="str">
        <x:v>S44-EV01</x:v>
      </x:c>
      <x:c r="H444" s="2" t="str">
        <x:v>S44-T01</x:v>
      </x:c>
      <x:c r="I444" s="2" t="str">
        <x:v>NA</x:v>
      </x:c>
      <x:c r="J444" s="2" t="str">
        <x:v>Four CoSET datasets (iTrust, eTour, eANCI, SMOS)</x:v>
      </x:c>
      <x:c r="K444" s="2" t="str">
        <x:v>CoT approach</x:v>
      </x:c>
      <x:c r="L444" s="2" t="str">
        <x:v>LSI</x:v>
      </x:c>
      <x:c r="M444" s="2" t="str">
        <x:v>MAP improvement</x:v>
      </x:c>
      <x:c r="N444" s="6" t="str">
        <x:v>125.47%</x:v>
      </x:c>
      <x:c r="O444" s="2" t="n">
        <x:v>125.47</x:v>
      </x:c>
      <x:c r="P444" s="2" t="str">
        <x:v>%</x:v>
      </x:c>
      <x:c r="Q444" s="6" t="str">
        <x:v>NR</x:v>
      </x:c>
      <x:c r="R444" s="2" t="str">
        <x:v>NR</x:v>
      </x:c>
      <x:c r="S444" s="2" t="str">
        <x:v>NR</x:v>
      </x:c>
      <x:c r="T444" s="2" t="str">
        <x:v>Better</x:v>
      </x:c>
      <x:c r="U444" s="2" t="str">
        <x:v>Not tested</x:v>
      </x:c>
      <x:c r="V444" s="2" t="str">
        <x:v>NR</x:v>
      </x:c>
      <x:c r="W444" s="2" t="str">
        <x:v>NR</x:v>
      </x:c>
      <x:c r="X444" s="2" t="str">
        <x:v>NR</x:v>
      </x:c>
      <x:c r="Y444" s="2" t="str">
        <x:v>NR</x:v>
      </x:c>
      <x:c r="Z444" s="2" t="str">
        <x:v>No</x:v>
      </x:c>
      <x:c r="AA444" s="6" t="str">
        <x:v>p. 1; Abstract</x:v>
      </x:c>
      <x:c r="AB444" s="6" t="str">
        <x:v>Evaluations on four industrial datasets (iTrust, eTour, eANCI, SMOS) show 125.47%, 63.2% and 62.13% average MAP improvements over LSI, FTLR+ and FQETLR+ baselines respectively.</x:v>
      </x:c>
      <x:c r="AC444" s="6" t="str">
        <x:v>相比LSI基线，CoT方法在平均MAP上提升125.47%。</x:v>
      </x:c>
      <x:c r="AD444" s="2" t="str">
        <x:v>Accepted</x:v>
      </x:c>
      <x:c r="AE444" s="6" t="str">
        <x:v>NR</x:v>
      </x:c>
    </x:row>
    <x:row r="445" ht="76" customHeight="1">
      <x:c r="A445" s="2" t="str">
        <x:v>S44-RESULT-R02</x:v>
      </x:c>
      <x:c r="B445" s="2" t="str">
        <x:v>S44</x:v>
      </x:c>
      <x:c r="C445" s="2" t="str">
        <x:v>merged_1274</x:v>
      </x:c>
      <x:c r="D445" s="2" t="str">
        <x:v>Reviewer_A</x:v>
      </x:c>
      <x:c r="E445" s="2" t="str">
        <x:v>Reviewer_A</x:v>
      </x:c>
      <x:c r="F445" s="2" t="str">
        <x:v>S44-R02</x:v>
      </x:c>
      <x:c r="G445" s="2" t="str">
        <x:v>S44-EV01</x:v>
      </x:c>
      <x:c r="H445" s="2" t="str">
        <x:v>S44-T01</x:v>
      </x:c>
      <x:c r="I445" s="2" t="str">
        <x:v>NA</x:v>
      </x:c>
      <x:c r="J445" s="2" t="str">
        <x:v>Four CoSET datasets (iTrust, eTour, eANCI, SMOS)</x:v>
      </x:c>
      <x:c r="K445" s="2" t="str">
        <x:v>CoT approach</x:v>
      </x:c>
      <x:c r="L445" s="2" t="str">
        <x:v>FTLR+</x:v>
      </x:c>
      <x:c r="M445" s="2" t="str">
        <x:v>MAP improvement</x:v>
      </x:c>
      <x:c r="N445" s="6" t="str">
        <x:v>63.2%</x:v>
      </x:c>
      <x:c r="O445" s="2" t="n">
        <x:v>63.2</x:v>
      </x:c>
      <x:c r="P445" s="2" t="str">
        <x:v>%</x:v>
      </x:c>
      <x:c r="Q445" s="6" t="str">
        <x:v>NR</x:v>
      </x:c>
      <x:c r="R445" s="2" t="str">
        <x:v>NR</x:v>
      </x:c>
      <x:c r="S445" s="2" t="str">
        <x:v>NR</x:v>
      </x:c>
      <x:c r="T445" s="2" t="str">
        <x:v>Better</x:v>
      </x:c>
      <x:c r="U445" s="2" t="str">
        <x:v>Not tested</x:v>
      </x:c>
      <x:c r="V445" s="2" t="str">
        <x:v>NR</x:v>
      </x:c>
      <x:c r="W445" s="2" t="str">
        <x:v>NR</x:v>
      </x:c>
      <x:c r="X445" s="2" t="str">
        <x:v>NR</x:v>
      </x:c>
      <x:c r="Y445" s="2" t="str">
        <x:v>NR</x:v>
      </x:c>
      <x:c r="Z445" s="2" t="str">
        <x:v>No</x:v>
      </x:c>
      <x:c r="AA445" s="6" t="str">
        <x:v>p. 1; Abstract</x:v>
      </x:c>
      <x:c r="AB445" s="6" t="str">
        <x:v>Evaluations on four industrial datasets (iTrust, eTour, eANCI, SMOS) show 125.47%, 63.2% and 62.13% average MAP improvements over LSI, FTLR+ and FQETLR+ baselines respectively.</x:v>
      </x:c>
      <x:c r="AC445" s="6" t="str">
        <x:v>相比FTLR+基线，CoT方法在平均MAP上提升63.2%。</x:v>
      </x:c>
      <x:c r="AD445" s="2" t="str">
        <x:v>Accepted</x:v>
      </x:c>
      <x:c r="AE445" s="6" t="str">
        <x:v>NR</x:v>
      </x:c>
    </x:row>
    <x:row r="446" ht="76" customHeight="1">
      <x:c r="A446" s="2" t="str">
        <x:v>S44-RESULT-R03</x:v>
      </x:c>
      <x:c r="B446" s="2" t="str">
        <x:v>S44</x:v>
      </x:c>
      <x:c r="C446" s="2" t="str">
        <x:v>merged_1274</x:v>
      </x:c>
      <x:c r="D446" s="2" t="str">
        <x:v>Reviewer_A</x:v>
      </x:c>
      <x:c r="E446" s="2" t="str">
        <x:v>Reviewer_A</x:v>
      </x:c>
      <x:c r="F446" s="2" t="str">
        <x:v>S44-R03</x:v>
      </x:c>
      <x:c r="G446" s="2" t="str">
        <x:v>S44-EV01</x:v>
      </x:c>
      <x:c r="H446" s="2" t="str">
        <x:v>S44-T01</x:v>
      </x:c>
      <x:c r="I446" s="2" t="str">
        <x:v>NA</x:v>
      </x:c>
      <x:c r="J446" s="2" t="str">
        <x:v>Four CoSET datasets (iTrust, eTour, eANCI, SMOS)</x:v>
      </x:c>
      <x:c r="K446" s="2" t="str">
        <x:v>CoT approach</x:v>
      </x:c>
      <x:c r="L446" s="2" t="str">
        <x:v>FQETLR+</x:v>
      </x:c>
      <x:c r="M446" s="2" t="str">
        <x:v>MAP improvement</x:v>
      </x:c>
      <x:c r="N446" s="6" t="str">
        <x:v>62.13%</x:v>
      </x:c>
      <x:c r="O446" s="2" t="n">
        <x:v>62.13</x:v>
      </x:c>
      <x:c r="P446" s="2" t="str">
        <x:v>%</x:v>
      </x:c>
      <x:c r="Q446" s="6" t="str">
        <x:v>NR</x:v>
      </x:c>
      <x:c r="R446" s="2" t="str">
        <x:v>NR</x:v>
      </x:c>
      <x:c r="S446" s="2" t="str">
        <x:v>NR</x:v>
      </x:c>
      <x:c r="T446" s="2" t="str">
        <x:v>Better</x:v>
      </x:c>
      <x:c r="U446" s="2" t="str">
        <x:v>Not tested</x:v>
      </x:c>
      <x:c r="V446" s="2" t="str">
        <x:v>NR</x:v>
      </x:c>
      <x:c r="W446" s="2" t="str">
        <x:v>NR</x:v>
      </x:c>
      <x:c r="X446" s="2" t="str">
        <x:v>NR</x:v>
      </x:c>
      <x:c r="Y446" s="2" t="str">
        <x:v>NR</x:v>
      </x:c>
      <x:c r="Z446" s="2" t="str">
        <x:v>No</x:v>
      </x:c>
      <x:c r="AA446" s="6" t="str">
        <x:v>p. 1; Abstract</x:v>
      </x:c>
      <x:c r="AB446" s="6" t="str">
        <x:v>Evaluations on four industrial datasets (iTrust, eTour, eANCI, SMOS) show 125.47%, 63.2% and 62.13% average MAP improvements over LSI, FTLR+ and FQETLR+ baselines respectively.</x:v>
      </x:c>
      <x:c r="AC446" s="6" t="str">
        <x:v>相比FQETLR+基线，CoT方法在平均MAP上提升62.13%。</x:v>
      </x:c>
      <x:c r="AD446" s="2" t="str">
        <x:v>Accepted</x:v>
      </x:c>
      <x:c r="AE446" s="6" t="str">
        <x:v>NR</x:v>
      </x:c>
    </x:row>
    <x:row r="447" ht="76" customHeight="1">
      <x:c r="A447" s="2" t="str">
        <x:v>S44-RESULT-R04</x:v>
      </x:c>
      <x:c r="B447" s="2" t="str">
        <x:v>S44</x:v>
      </x:c>
      <x:c r="C447" s="2" t="str">
        <x:v>merged_1274</x:v>
      </x:c>
      <x:c r="D447" s="2" t="str">
        <x:v>Reviewer_A</x:v>
      </x:c>
      <x:c r="E447" s="2" t="str">
        <x:v>Reviewer_A</x:v>
      </x:c>
      <x:c r="F447" s="2" t="str">
        <x:v>S44-R04</x:v>
      </x:c>
      <x:c r="G447" s="2" t="str">
        <x:v>S44-EV01</x:v>
      </x:c>
      <x:c r="H447" s="2" t="str">
        <x:v>S44-T01</x:v>
      </x:c>
      <x:c r="I447" s="2" t="str">
        <x:v>S44-MU02</x:v>
      </x:c>
      <x:c r="J447" s="2" t="str">
        <x:v>Four CoSET datasets (iTrust, eTour, eANCI, SMOS)</x:v>
      </x:c>
      <x:c r="K447" s="2" t="str">
        <x:v>CoT approach</x:v>
      </x:c>
      <x:c r="L447" s="2" t="str">
        <x:v>No</x:v>
      </x:c>
      <x:c r="M447" s="2" t="str">
        <x:v>Cost</x:v>
      </x:c>
      <x:c r="N447" s="6" t="str">
        <x:v>$0.52</x:v>
      </x:c>
      <x:c r="O447" s="2" t="n">
        <x:v>0.52</x:v>
      </x:c>
      <x:c r="P447" s="2" t="str">
        <x:v>USD</x:v>
      </x:c>
      <x:c r="Q447" s="6" t="str">
        <x:v>NA</x:v>
      </x:c>
      <x:c r="R447" s="2" t="str">
        <x:v>NA</x:v>
      </x:c>
      <x:c r="S447" s="2" t="str">
        <x:v>NR</x:v>
      </x:c>
      <x:c r="T447" s="2" t="str">
        <x:v>Not compared</x:v>
      </x:c>
      <x:c r="U447" s="2" t="str">
        <x:v>NA</x:v>
      </x:c>
      <x:c r="V447" s="2" t="str">
        <x:v>NR</x:v>
      </x:c>
      <x:c r="W447" s="2" t="str">
        <x:v>NR</x:v>
      </x:c>
      <x:c r="X447" s="2" t="str">
        <x:v>NR</x:v>
      </x:c>
      <x:c r="Y447" s="2" t="str">
        <x:v>NR</x:v>
      </x:c>
      <x:c r="Z447" s="2" t="str">
        <x:v>NR</x:v>
      </x:c>
      <x:c r="AA447" s="6" t="str">
        <x:v>p. 5; Section III-B Results</x:v>
      </x:c>
      <x:c r="AB447" s="6" t="str">
        <x:v>Based on the ofﬁcial pricing of the GPT-3.5 API ($0.0015 per 1K tokens for input and $0.0020 per 1K tokens for output), the total cost across the four evaluated datasets is approximately $0.52.</x:v>
      </x:c>
      <x:c r="AC447" s="6" t="str">
        <x:v>在四个数据集上的总API调用成本约为0.52美元。</x:v>
      </x:c>
      <x:c r="AD447" s="2" t="str">
        <x:v>Accepted</x:v>
      </x:c>
      <x:c r="AE447" s="6" t="str">
        <x:v>NR</x:v>
      </x:c>
    </x:row>
    <x:row r="448" ht="76" customHeight="1">
      <x:c r="A448" s="2" t="str">
        <x:v>S44-RESULT-R05</x:v>
      </x:c>
      <x:c r="B448" s="2" t="str">
        <x:v>S44</x:v>
      </x:c>
      <x:c r="C448" s="2" t="str">
        <x:v>merged_1274</x:v>
      </x:c>
      <x:c r="D448" s="2" t="str">
        <x:v>Reviewer_A</x:v>
      </x:c>
      <x:c r="E448" s="2" t="str">
        <x:v>Reviewer_A</x:v>
      </x:c>
      <x:c r="F448" s="2" t="str">
        <x:v>S44-R05</x:v>
      </x:c>
      <x:c r="G448" s="2" t="str">
        <x:v>S44-EV01</x:v>
      </x:c>
      <x:c r="H448" s="2" t="str">
        <x:v>S44-T01</x:v>
      </x:c>
      <x:c r="I448" s="2" t="str">
        <x:v>S44-MU02</x:v>
      </x:c>
      <x:c r="J448" s="2" t="str">
        <x:v>Four CoSET datasets (iTrust, eTour, eANCI, SMOS)</x:v>
      </x:c>
      <x:c r="K448" s="2" t="str">
        <x:v>CoT approach</x:v>
      </x:c>
      <x:c r="L448" s="2" t="str">
        <x:v>No</x:v>
      </x:c>
      <x:c r="M448" s="2" t="str">
        <x:v>Input tokens</x:v>
      </x:c>
      <x:c r="N448" s="6" t="str">
        <x:v>335,189</x:v>
      </x:c>
      <x:c r="O448" s="2" t="n">
        <x:v>335189</x:v>
      </x:c>
      <x:c r="P448" s="2" t="str">
        <x:v>count</x:v>
      </x:c>
      <x:c r="Q448" s="6" t="str">
        <x:v>NA</x:v>
      </x:c>
      <x:c r="R448" s="2" t="str">
        <x:v>NA</x:v>
      </x:c>
      <x:c r="S448" s="2" t="str">
        <x:v>NR</x:v>
      </x:c>
      <x:c r="T448" s="2" t="str">
        <x:v>Not compared</x:v>
      </x:c>
      <x:c r="U448" s="2" t="str">
        <x:v>NA</x:v>
      </x:c>
      <x:c r="V448" s="2" t="str">
        <x:v>NR</x:v>
      </x:c>
      <x:c r="W448" s="2" t="str">
        <x:v>NR</x:v>
      </x:c>
      <x:c r="X448" s="2" t="str">
        <x:v>NR</x:v>
      </x:c>
      <x:c r="Y448" s="2" t="str">
        <x:v>NR</x:v>
      </x:c>
      <x:c r="Z448" s="2" t="str">
        <x:v>NR</x:v>
      </x:c>
      <x:c r="AA448" s="6" t="str">
        <x:v>p. 5; Section III-B Results</x:v>
      </x:c>
      <x:c r="AB448" s="6" t="str">
        <x:v>According to our statistics, the CoT approach required 335,189 input tokens and 8,200 output tokens.</x:v>
      </x:c>
      <x:c r="AC448" s="6" t="str">
        <x:v>CoT方法消耗了335,189个输入token。</x:v>
      </x:c>
      <x:c r="AD448" s="2" t="str">
        <x:v>Accepted</x:v>
      </x:c>
      <x:c r="AE448" s="6" t="str">
        <x:v>NR</x:v>
      </x:c>
    </x:row>
    <x:row r="449" ht="76" customHeight="1">
      <x:c r="A449" s="2" t="str">
        <x:v>S44-RESULT-R06</x:v>
      </x:c>
      <x:c r="B449" s="2" t="str">
        <x:v>S44</x:v>
      </x:c>
      <x:c r="C449" s="2" t="str">
        <x:v>merged_1274</x:v>
      </x:c>
      <x:c r="D449" s="2" t="str">
        <x:v>Reviewer_A</x:v>
      </x:c>
      <x:c r="E449" s="2" t="str">
        <x:v>Reviewer_A</x:v>
      </x:c>
      <x:c r="F449" s="2" t="str">
        <x:v>S44-R06</x:v>
      </x:c>
      <x:c r="G449" s="2" t="str">
        <x:v>S44-EV01</x:v>
      </x:c>
      <x:c r="H449" s="2" t="str">
        <x:v>S44-T01</x:v>
      </x:c>
      <x:c r="I449" s="2" t="str">
        <x:v>S44-MU02</x:v>
      </x:c>
      <x:c r="J449" s="2" t="str">
        <x:v>Four CoSET datasets (iTrust, eTour, eANCI, SMOS)</x:v>
      </x:c>
      <x:c r="K449" s="2" t="str">
        <x:v>CoT approach</x:v>
      </x:c>
      <x:c r="L449" s="2" t="str">
        <x:v>No</x:v>
      </x:c>
      <x:c r="M449" s="2" t="str">
        <x:v>Output tokens</x:v>
      </x:c>
      <x:c r="N449" s="6" t="str">
        <x:v>8,200</x:v>
      </x:c>
      <x:c r="O449" s="2" t="n">
        <x:v>8200</x:v>
      </x:c>
      <x:c r="P449" s="2" t="str">
        <x:v>count</x:v>
      </x:c>
      <x:c r="Q449" s="6" t="str">
        <x:v>NA</x:v>
      </x:c>
      <x:c r="R449" s="2" t="str">
        <x:v>NA</x:v>
      </x:c>
      <x:c r="S449" s="2" t="str">
        <x:v>NR</x:v>
      </x:c>
      <x:c r="T449" s="2" t="str">
        <x:v>Not compared</x:v>
      </x:c>
      <x:c r="U449" s="2" t="str">
        <x:v>NA</x:v>
      </x:c>
      <x:c r="V449" s="2" t="str">
        <x:v>NR</x:v>
      </x:c>
      <x:c r="W449" s="2" t="str">
        <x:v>NR</x:v>
      </x:c>
      <x:c r="X449" s="2" t="str">
        <x:v>NR</x:v>
      </x:c>
      <x:c r="Y449" s="2" t="str">
        <x:v>NR</x:v>
      </x:c>
      <x:c r="Z449" s="2" t="str">
        <x:v>NR</x:v>
      </x:c>
      <x:c r="AA449" s="6" t="str">
        <x:v>p. 5; Section III-B Results</x:v>
      </x:c>
      <x:c r="AB449" s="6" t="str">
        <x:v>According to our statistics, the CoT approach required 335,189 input tokens and 8,200 output tokens.</x:v>
      </x:c>
      <x:c r="AC449" s="6" t="str">
        <x:v>CoT方法产生了8,200个输出token。</x:v>
      </x:c>
      <x:c r="AD449" s="2" t="str">
        <x:v>Accepted</x:v>
      </x:c>
      <x:c r="AE449" s="6" t="str">
        <x:v>NR</x:v>
      </x:c>
    </x:row>
    <x:row r="450" ht="76" customHeight="1">
      <x:c r="A450" s="2" t="str">
        <x:v>S44-RESULT-R07</x:v>
      </x:c>
      <x:c r="B450" s="2" t="str">
        <x:v>S44</x:v>
      </x:c>
      <x:c r="C450" s="2" t="str">
        <x:v>merged_1274</x:v>
      </x:c>
      <x:c r="D450" s="2" t="str">
        <x:v>Reviewer_A</x:v>
      </x:c>
      <x:c r="E450" s="2" t="str">
        <x:v>Reviewer_A</x:v>
      </x:c>
      <x:c r="F450" s="2" t="str">
        <x:v>S44-R07</x:v>
      </x:c>
      <x:c r="G450" s="2" t="str">
        <x:v>S44-EV02</x:v>
      </x:c>
      <x:c r="H450" s="2" t="str">
        <x:v>S44-T01</x:v>
      </x:c>
      <x:c r="I450" s="2" t="str">
        <x:v>NA</x:v>
      </x:c>
      <x:c r="J450" s="2" t="str">
        <x:v>iTrust</x:v>
      </x:c>
      <x:c r="K450" s="2" t="str">
        <x:v>CoT prompts</x:v>
      </x:c>
      <x:c r="L450" s="2" t="str">
        <x:v>Simple prompt</x:v>
      </x:c>
      <x:c r="M450" s="2" t="str">
        <x:v>MAP improvement</x:v>
      </x:c>
      <x:c r="N450" s="6" t="str">
        <x:v>61%</x:v>
      </x:c>
      <x:c r="O450" s="2" t="n">
        <x:v>61</x:v>
      </x:c>
      <x:c r="P450" s="2" t="str">
        <x:v>%</x:v>
      </x:c>
      <x:c r="Q450" s="6" t="str">
        <x:v>NR</x:v>
      </x:c>
      <x:c r="R450" s="2" t="str">
        <x:v>NR</x:v>
      </x:c>
      <x:c r="S450" s="2" t="str">
        <x:v>NR</x:v>
      </x:c>
      <x:c r="T450" s="2" t="str">
        <x:v>Better</x:v>
      </x:c>
      <x:c r="U450" s="2" t="str">
        <x:v>Not tested</x:v>
      </x:c>
      <x:c r="V450" s="2" t="str">
        <x:v>NR</x:v>
      </x:c>
      <x:c r="W450" s="2" t="str">
        <x:v>NR</x:v>
      </x:c>
      <x:c r="X450" s="2" t="str">
        <x:v>NR</x:v>
      </x:c>
      <x:c r="Y450" s="2" t="str">
        <x:v>NR</x:v>
      </x:c>
      <x:c r="Z450" s="2" t="str">
        <x:v>No</x:v>
      </x:c>
      <x:c r="AA450" s="6" t="str">
        <x:v>p. 5; Section III-B Results</x:v>
      </x:c>
      <x:c r="AB450" s="6" t="str">
        <x:v>MAP improves by 61%, 21%, 32%, and 14% on the four datasets</x:v>
      </x:c>
      <x:c r="AC450" s="6" t="str">
        <x:v>在iTrust数据集上，CoT提示比简单提示的MAP高61%。</x:v>
      </x:c>
      <x:c r="AD450" s="2" t="str">
        <x:v>Accepted</x:v>
      </x:c>
      <x:c r="AE450" s="6" t="str">
        <x:v>NR</x:v>
      </x:c>
    </x:row>
    <x:row r="451" ht="76" customHeight="1">
      <x:c r="A451" s="2" t="str">
        <x:v>S44-RESULT-R08</x:v>
      </x:c>
      <x:c r="B451" s="2" t="str">
        <x:v>S44</x:v>
      </x:c>
      <x:c r="C451" s="2" t="str">
        <x:v>merged_1274</x:v>
      </x:c>
      <x:c r="D451" s="2" t="str">
        <x:v>Reviewer_A</x:v>
      </x:c>
      <x:c r="E451" s="2" t="str">
        <x:v>Reviewer_A</x:v>
      </x:c>
      <x:c r="F451" s="2" t="str">
        <x:v>S44-R08</x:v>
      </x:c>
      <x:c r="G451" s="2" t="str">
        <x:v>S44-EV02</x:v>
      </x:c>
      <x:c r="H451" s="2" t="str">
        <x:v>S44-T01</x:v>
      </x:c>
      <x:c r="I451" s="2" t="str">
        <x:v>NA</x:v>
      </x:c>
      <x:c r="J451" s="2" t="str">
        <x:v>eTour</x:v>
      </x:c>
      <x:c r="K451" s="2" t="str">
        <x:v>CoT prompts</x:v>
      </x:c>
      <x:c r="L451" s="2" t="str">
        <x:v>Simple prompt</x:v>
      </x:c>
      <x:c r="M451" s="2" t="str">
        <x:v>MAP improvement</x:v>
      </x:c>
      <x:c r="N451" s="6" t="str">
        <x:v>21%</x:v>
      </x:c>
      <x:c r="O451" s="2" t="n">
        <x:v>21</x:v>
      </x:c>
      <x:c r="P451" s="2" t="str">
        <x:v>%</x:v>
      </x:c>
      <x:c r="Q451" s="6" t="str">
        <x:v>NR</x:v>
      </x:c>
      <x:c r="R451" s="2" t="str">
        <x:v>NR</x:v>
      </x:c>
      <x:c r="S451" s="2" t="str">
        <x:v>NR</x:v>
      </x:c>
      <x:c r="T451" s="2" t="str">
        <x:v>Better</x:v>
      </x:c>
      <x:c r="U451" s="2" t="str">
        <x:v>Not tested</x:v>
      </x:c>
      <x:c r="V451" s="2" t="str">
        <x:v>NR</x:v>
      </x:c>
      <x:c r="W451" s="2" t="str">
        <x:v>NR</x:v>
      </x:c>
      <x:c r="X451" s="2" t="str">
        <x:v>NR</x:v>
      </x:c>
      <x:c r="Y451" s="2" t="str">
        <x:v>NR</x:v>
      </x:c>
      <x:c r="Z451" s="2" t="str">
        <x:v>No</x:v>
      </x:c>
      <x:c r="AA451" s="6" t="str">
        <x:v>p. 5; Section III-B Results</x:v>
      </x:c>
      <x:c r="AB451" s="6" t="str">
        <x:v>MAP improves by 61%, 21%, 32%, and 14% on the four datasets</x:v>
      </x:c>
      <x:c r="AC451" s="6" t="str">
        <x:v>在eTour数据集上，CoT提示比简单提示的MAP高21%。</x:v>
      </x:c>
      <x:c r="AD451" s="2" t="str">
        <x:v>Accepted</x:v>
      </x:c>
      <x:c r="AE451" s="6" t="str">
        <x:v>NR</x:v>
      </x:c>
    </x:row>
    <x:row r="452" ht="76" customHeight="1">
      <x:c r="A452" s="2" t="str">
        <x:v>S44-RESULT-R09</x:v>
      </x:c>
      <x:c r="B452" s="2" t="str">
        <x:v>S44</x:v>
      </x:c>
      <x:c r="C452" s="2" t="str">
        <x:v>merged_1274</x:v>
      </x:c>
      <x:c r="D452" s="2" t="str">
        <x:v>Reviewer_A</x:v>
      </x:c>
      <x:c r="E452" s="2" t="str">
        <x:v>Reviewer_A</x:v>
      </x:c>
      <x:c r="F452" s="2" t="str">
        <x:v>S44-R09</x:v>
      </x:c>
      <x:c r="G452" s="2" t="str">
        <x:v>S44-EV02</x:v>
      </x:c>
      <x:c r="H452" s="2" t="str">
        <x:v>S44-T01</x:v>
      </x:c>
      <x:c r="I452" s="2" t="str">
        <x:v>NA</x:v>
      </x:c>
      <x:c r="J452" s="2" t="str">
        <x:v>eANCI</x:v>
      </x:c>
      <x:c r="K452" s="2" t="str">
        <x:v>CoT prompts</x:v>
      </x:c>
      <x:c r="L452" s="2" t="str">
        <x:v>Simple prompt</x:v>
      </x:c>
      <x:c r="M452" s="2" t="str">
        <x:v>MAP improvement</x:v>
      </x:c>
      <x:c r="N452" s="6" t="str">
        <x:v>32%</x:v>
      </x:c>
      <x:c r="O452" s="2" t="n">
        <x:v>32</x:v>
      </x:c>
      <x:c r="P452" s="2" t="str">
        <x:v>%</x:v>
      </x:c>
      <x:c r="Q452" s="6" t="str">
        <x:v>NR</x:v>
      </x:c>
      <x:c r="R452" s="2" t="str">
        <x:v>NR</x:v>
      </x:c>
      <x:c r="S452" s="2" t="str">
        <x:v>NR</x:v>
      </x:c>
      <x:c r="T452" s="2" t="str">
        <x:v>Better</x:v>
      </x:c>
      <x:c r="U452" s="2" t="str">
        <x:v>Not tested</x:v>
      </x:c>
      <x:c r="V452" s="2" t="str">
        <x:v>NR</x:v>
      </x:c>
      <x:c r="W452" s="2" t="str">
        <x:v>NR</x:v>
      </x:c>
      <x:c r="X452" s="2" t="str">
        <x:v>NR</x:v>
      </x:c>
      <x:c r="Y452" s="2" t="str">
        <x:v>NR</x:v>
      </x:c>
      <x:c r="Z452" s="2" t="str">
        <x:v>No</x:v>
      </x:c>
      <x:c r="AA452" s="6" t="str">
        <x:v>p. 5; Section III-B Results</x:v>
      </x:c>
      <x:c r="AB452" s="6" t="str">
        <x:v>MAP improves by 61%, 21%, 32%, and 14% on the four datasets</x:v>
      </x:c>
      <x:c r="AC452" s="6" t="str">
        <x:v>在eANCI数据集上，CoT提示比简单提示的MAP高32%。</x:v>
      </x:c>
      <x:c r="AD452" s="2" t="str">
        <x:v>Accepted</x:v>
      </x:c>
      <x:c r="AE452" s="6" t="str">
        <x:v>NR</x:v>
      </x:c>
    </x:row>
    <x:row r="453" ht="76" customHeight="1">
      <x:c r="A453" s="2" t="str">
        <x:v>S44-RESULT-R10</x:v>
      </x:c>
      <x:c r="B453" s="2" t="str">
        <x:v>S44</x:v>
      </x:c>
      <x:c r="C453" s="2" t="str">
        <x:v>merged_1274</x:v>
      </x:c>
      <x:c r="D453" s="2" t="str">
        <x:v>Reviewer_A</x:v>
      </x:c>
      <x:c r="E453" s="2" t="str">
        <x:v>Reviewer_A</x:v>
      </x:c>
      <x:c r="F453" s="2" t="str">
        <x:v>S44-R10</x:v>
      </x:c>
      <x:c r="G453" s="2" t="str">
        <x:v>S44-EV02</x:v>
      </x:c>
      <x:c r="H453" s="2" t="str">
        <x:v>S44-T01</x:v>
      </x:c>
      <x:c r="I453" s="2" t="str">
        <x:v>NA</x:v>
      </x:c>
      <x:c r="J453" s="2" t="str">
        <x:v>SMOS</x:v>
      </x:c>
      <x:c r="K453" s="2" t="str">
        <x:v>CoT prompts</x:v>
      </x:c>
      <x:c r="L453" s="2" t="str">
        <x:v>Simple prompt</x:v>
      </x:c>
      <x:c r="M453" s="2" t="str">
        <x:v>MAP improvement</x:v>
      </x:c>
      <x:c r="N453" s="6" t="str">
        <x:v>14%</x:v>
      </x:c>
      <x:c r="O453" s="2" t="n">
        <x:v>14</x:v>
      </x:c>
      <x:c r="P453" s="2" t="str">
        <x:v>%</x:v>
      </x:c>
      <x:c r="Q453" s="6" t="str">
        <x:v>NR</x:v>
      </x:c>
      <x:c r="R453" s="2" t="str">
        <x:v>NR</x:v>
      </x:c>
      <x:c r="S453" s="2" t="str">
        <x:v>NR</x:v>
      </x:c>
      <x:c r="T453" s="2" t="str">
        <x:v>Better</x:v>
      </x:c>
      <x:c r="U453" s="2" t="str">
        <x:v>Not tested</x:v>
      </x:c>
      <x:c r="V453" s="2" t="str">
        <x:v>NR</x:v>
      </x:c>
      <x:c r="W453" s="2" t="str">
        <x:v>NR</x:v>
      </x:c>
      <x:c r="X453" s="2" t="str">
        <x:v>NR</x:v>
      </x:c>
      <x:c r="Y453" s="2" t="str">
        <x:v>NR</x:v>
      </x:c>
      <x:c r="Z453" s="2" t="str">
        <x:v>No</x:v>
      </x:c>
      <x:c r="AA453" s="6" t="str">
        <x:v>p. 5; Section III-B Results</x:v>
      </x:c>
      <x:c r="AB453" s="6" t="str">
        <x:v>MAP improves by 61%, 21%, 32%, and 14% on the four datasets</x:v>
      </x:c>
      <x:c r="AC453" s="6" t="str">
        <x:v>在SMOS数据集上，CoT提示比简单提示的MAP高14%。</x:v>
      </x:c>
      <x:c r="AD453" s="2" t="str">
        <x:v>Accepted</x:v>
      </x:c>
      <x:c r="AE453" s="6" t="str">
        <x:v>NR</x:v>
      </x:c>
    </x:row>
    <x:row r="454" ht="76" customHeight="1">
      <x:c r="A454" s="2" t="str">
        <x:v>S45-RESULT-R01</x:v>
      </x:c>
      <x:c r="B454" s="2" t="str">
        <x:v>S45</x:v>
      </x:c>
      <x:c r="C454" s="2" t="str">
        <x:v>merged_1275</x:v>
      </x:c>
      <x:c r="D454" s="2" t="str">
        <x:v>Reviewer_A</x:v>
      </x:c>
      <x:c r="E454" s="2" t="str">
        <x:v>Reviewer_A</x:v>
      </x:c>
      <x:c r="F454" s="2" t="str">
        <x:v>S45-R01</x:v>
      </x:c>
      <x:c r="G454" s="2" t="str">
        <x:v>S45-EV01</x:v>
      </x:c>
      <x:c r="H454" s="2" t="str">
        <x:v>S45-T01</x:v>
      </x:c>
      <x:c r="I454" s="2" t="str">
        <x:v>S45-MU01</x:v>
      </x:c>
      <x:c r="J454" s="2" t="str">
        <x:v>Automotive Park Assist IC firmware requirements (21 SYSRS, 24 SWRS)</x:v>
      </x:c>
      <x:c r="K454" s="2" t="str">
        <x:v>ChatGPT-4o with trace link quality assessment prompt</x:v>
      </x:c>
      <x:c r="L454" s="2" t="str">
        <x:v>Human experts (pooled)</x:v>
      </x:c>
      <x:c r="M454" s="2" t="str">
        <x:v>Precision</x:v>
      </x:c>
      <x:c r="N454" s="6" t="str">
        <x:v>P=0.96</x:v>
      </x:c>
      <x:c r="O454" s="2" t="n">
        <x:v>0.96</x:v>
      </x:c>
      <x:c r="P454" s="2" t="str">
        <x:v>proportion</x:v>
      </x:c>
      <x:c r="Q454" s="6" t="str">
        <x:v>NR</x:v>
      </x:c>
      <x:c r="R454" s="2" t="str">
        <x:v>NR</x:v>
      </x:c>
      <x:c r="S454" s="2" t="str">
        <x:v>NR</x:v>
      </x:c>
      <x:c r="T454" s="2" t="str">
        <x:v>Not compared</x:v>
      </x:c>
      <x:c r="U454" s="2" t="str">
        <x:v>Not tested</x:v>
      </x:c>
      <x:c r="V454" s="2" t="str">
        <x:v>NR</x:v>
      </x:c>
      <x:c r="W454" s="2" t="str">
        <x:v>NR</x:v>
      </x:c>
      <x:c r="X454" s="2" t="str">
        <x:v>NR</x:v>
      </x:c>
      <x:c r="Y454" s="2" t="str">
        <x:v>NR</x:v>
      </x:c>
      <x:c r="Z454" s="2" t="str">
        <x:v>No</x:v>
      </x:c>
      <x:c r="AA454" s="6" t="str">
        <x:v>p. 3; Study 1</x:v>
      </x:c>
      <x:c r="AB454" s="6" t="str">
        <x:v>The pooling based evaluation result is, P=0.96, R=0.71, F1-Score=0.82.</x:v>
      </x:c>
      <x:c r="AC454" s="6" t="str">
        <x:v>ChatGPT-4o在链接质量检查的精确度很高。</x:v>
      </x:c>
      <x:c r="AD454" s="2" t="str">
        <x:v>Accepted</x:v>
      </x:c>
      <x:c r="AE454" s="6" t="str">
        <x:v>NA</x:v>
      </x:c>
    </x:row>
    <x:row r="455" ht="76" customHeight="1">
      <x:c r="A455" s="2" t="str">
        <x:v>S45-RESULT-R02</x:v>
      </x:c>
      <x:c r="B455" s="2" t="str">
        <x:v>S45</x:v>
      </x:c>
      <x:c r="C455" s="2" t="str">
        <x:v>merged_1275</x:v>
      </x:c>
      <x:c r="D455" s="2" t="str">
        <x:v>Reviewer_A</x:v>
      </x:c>
      <x:c r="E455" s="2" t="str">
        <x:v>Reviewer_A</x:v>
      </x:c>
      <x:c r="F455" s="2" t="str">
        <x:v>S45-R02</x:v>
      </x:c>
      <x:c r="G455" s="2" t="str">
        <x:v>S45-EV01</x:v>
      </x:c>
      <x:c r="H455" s="2" t="str">
        <x:v>S45-T01</x:v>
      </x:c>
      <x:c r="I455" s="2" t="str">
        <x:v>S45-MU01</x:v>
      </x:c>
      <x:c r="J455" s="2" t="str">
        <x:v>Automotive Park Assist IC firmware requirements (21 SYSRS, 24 SWRS)</x:v>
      </x:c>
      <x:c r="K455" s="2" t="str">
        <x:v>ChatGPT-4o with trace link quality assessment prompt</x:v>
      </x:c>
      <x:c r="L455" s="2" t="str">
        <x:v>Human experts (pooled)</x:v>
      </x:c>
      <x:c r="M455" s="2" t="str">
        <x:v>Recall</x:v>
      </x:c>
      <x:c r="N455" s="6" t="str">
        <x:v>R=0.71</x:v>
      </x:c>
      <x:c r="O455" s="2" t="n">
        <x:v>0.71</x:v>
      </x:c>
      <x:c r="P455" s="2" t="str">
        <x:v>proportion</x:v>
      </x:c>
      <x:c r="Q455" s="6" t="str">
        <x:v>NR</x:v>
      </x:c>
      <x:c r="R455" s="2" t="str">
        <x:v>NR</x:v>
      </x:c>
      <x:c r="S455" s="2" t="str">
        <x:v>NR</x:v>
      </x:c>
      <x:c r="T455" s="2" t="str">
        <x:v>Not compared</x:v>
      </x:c>
      <x:c r="U455" s="2" t="str">
        <x:v>Not tested</x:v>
      </x:c>
      <x:c r="V455" s="2" t="str">
        <x:v>NR</x:v>
      </x:c>
      <x:c r="W455" s="2" t="str">
        <x:v>NR</x:v>
      </x:c>
      <x:c r="X455" s="2" t="str">
        <x:v>NR</x:v>
      </x:c>
      <x:c r="Y455" s="2" t="str">
        <x:v>NR</x:v>
      </x:c>
      <x:c r="Z455" s="2" t="str">
        <x:v>No</x:v>
      </x:c>
      <x:c r="AA455" s="6" t="str">
        <x:v>p. 3; Study 1</x:v>
      </x:c>
      <x:c r="AB455" s="6" t="str">
        <x:v>The pooling based evaluation result is, P=0.96, R=0.71, F1-Score=0.82.</x:v>
      </x:c>
      <x:c r="AC455" s="6" t="str">
        <x:v>召回率中等，说明ChatGPT-4o遗漏了一些专家发现的问题。</x:v>
      </x:c>
      <x:c r="AD455" s="2" t="str">
        <x:v>Accepted</x:v>
      </x:c>
      <x:c r="AE455" s="6" t="str">
        <x:v>NA</x:v>
      </x:c>
    </x:row>
    <x:row r="456" ht="76" customHeight="1">
      <x:c r="A456" s="2" t="str">
        <x:v>S45-RESULT-R03</x:v>
      </x:c>
      <x:c r="B456" s="2" t="str">
        <x:v>S45</x:v>
      </x:c>
      <x:c r="C456" s="2" t="str">
        <x:v>merged_1275</x:v>
      </x:c>
      <x:c r="D456" s="2" t="str">
        <x:v>Reviewer_A</x:v>
      </x:c>
      <x:c r="E456" s="2" t="str">
        <x:v>Reviewer_A</x:v>
      </x:c>
      <x:c r="F456" s="2" t="str">
        <x:v>S45-R03</x:v>
      </x:c>
      <x:c r="G456" s="2" t="str">
        <x:v>S45-EV01</x:v>
      </x:c>
      <x:c r="H456" s="2" t="str">
        <x:v>S45-T01</x:v>
      </x:c>
      <x:c r="I456" s="2" t="str">
        <x:v>S45-MU01</x:v>
      </x:c>
      <x:c r="J456" s="2" t="str">
        <x:v>Automotive Park Assist IC firmware requirements (21 SYSRS, 24 SWRS)</x:v>
      </x:c>
      <x:c r="K456" s="2" t="str">
        <x:v>ChatGPT-4o with trace link quality assessment prompt</x:v>
      </x:c>
      <x:c r="L456" s="2" t="str">
        <x:v>Human experts (pooled)</x:v>
      </x:c>
      <x:c r="M456" s="2" t="str">
        <x:v>F1-score</x:v>
      </x:c>
      <x:c r="N456" s="6" t="str">
        <x:v>F1-Score=0.82</x:v>
      </x:c>
      <x:c r="O456" s="2" t="n">
        <x:v>0.82</x:v>
      </x:c>
      <x:c r="P456" s="2" t="str">
        <x:v>proportion</x:v>
      </x:c>
      <x:c r="Q456" s="6" t="str">
        <x:v>NR</x:v>
      </x:c>
      <x:c r="R456" s="2" t="str">
        <x:v>NR</x:v>
      </x:c>
      <x:c r="S456" s="2" t="str">
        <x:v>NR</x:v>
      </x:c>
      <x:c r="T456" s="2" t="str">
        <x:v>Not compared</x:v>
      </x:c>
      <x:c r="U456" s="2" t="str">
        <x:v>Not tested</x:v>
      </x:c>
      <x:c r="V456" s="2" t="str">
        <x:v>NR</x:v>
      </x:c>
      <x:c r="W456" s="2" t="str">
        <x:v>NR</x:v>
      </x:c>
      <x:c r="X456" s="2" t="str">
        <x:v>NR</x:v>
      </x:c>
      <x:c r="Y456" s="2" t="str">
        <x:v>NR</x:v>
      </x:c>
      <x:c r="Z456" s="2" t="str">
        <x:v>No</x:v>
      </x:c>
      <x:c r="AA456" s="6" t="str">
        <x:v>p. 3; Study 1</x:v>
      </x:c>
      <x:c r="AB456" s="6" t="str">
        <x:v>The pooling based evaluation result is, P=0.96, R=0.71, F1-Score=0.82.</x:v>
      </x:c>
      <x:c r="AC456" s="6" t="str">
        <x:v>F1分数表明整体性能中等，平衡了精确度和召回率。</x:v>
      </x:c>
      <x:c r="AD456" s="2" t="str">
        <x:v>Accepted</x:v>
      </x:c>
      <x:c r="AE456" s="6" t="str">
        <x:v>NA</x:v>
      </x:c>
    </x:row>
    <x:row r="457" ht="76" customHeight="1">
      <x:c r="A457" s="2" t="str">
        <x:v>S45-RESULT-R04</x:v>
      </x:c>
      <x:c r="B457" s="2" t="str">
        <x:v>S45</x:v>
      </x:c>
      <x:c r="C457" s="2" t="str">
        <x:v>merged_1275</x:v>
      </x:c>
      <x:c r="D457" s="2" t="str">
        <x:v>Reviewer_A</x:v>
      </x:c>
      <x:c r="E457" s="2" t="str">
        <x:v>Reviewer_A</x:v>
      </x:c>
      <x:c r="F457" s="2" t="str">
        <x:v>S45-R04</x:v>
      </x:c>
      <x:c r="G457" s="2" t="str">
        <x:v>S45-EV01</x:v>
      </x:c>
      <x:c r="H457" s="2" t="str">
        <x:v>S45-T01</x:v>
      </x:c>
      <x:c r="I457" s="2" t="str">
        <x:v>S45-MU01</x:v>
      </x:c>
      <x:c r="J457" s="2" t="str">
        <x:v>Automotive Park Assist IC firmware requirements (21 SYSRS, 24 SWRS)</x:v>
      </x:c>
      <x:c r="K457" s="2" t="str">
        <x:v>ChatGPT-4o with trace link quality assessment prompt</x:v>
      </x:c>
      <x:c r="L457" s="2" t="str">
        <x:v>Human experts (ranking)</x:v>
      </x:c>
      <x:c r="M457" s="2" t="str">
        <x:v>Average rank</x:v>
      </x:c>
      <x:c r="N457" s="6" t="str">
        <x:v>between 1 and 2</x:v>
      </x:c>
      <x:c r="O457" s="2" t="str">
        <x:v>Unclear</x:v>
      </x:c>
      <x:c r="P457" s="2" t="str">
        <x:v>rank</x:v>
      </x:c>
      <x:c r="Q457" s="6" t="str">
        <x:v>NR</x:v>
      </x:c>
      <x:c r="R457" s="2" t="str">
        <x:v>NR</x:v>
      </x:c>
      <x:c r="S457" s="2" t="str">
        <x:v>NR</x:v>
      </x:c>
      <x:c r="T457" s="2" t="str">
        <x:v>Not compared</x:v>
      </x:c>
      <x:c r="U457" s="2" t="str">
        <x:v>Not tested</x:v>
      </x:c>
      <x:c r="V457" s="2" t="str">
        <x:v>NR</x:v>
      </x:c>
      <x:c r="W457" s="2" t="str">
        <x:v>NR</x:v>
      </x:c>
      <x:c r="X457" s="2" t="str">
        <x:v>NR</x:v>
      </x:c>
      <x:c r="Y457" s="2" t="str">
        <x:v>NR</x:v>
      </x:c>
      <x:c r="Z457" s="2" t="str">
        <x:v>No</x:v>
      </x:c>
      <x:c r="AA457" s="6" t="str">
        <x:v>p. 3; Study 1</x:v>
      </x:c>
      <x:c r="AB457" s="6" t="str">
        <x:v>the ranking-based evaluation resulted in ChatGPT-4o responses having an average rank between 1 and 2</x:v>
      </x:c>
      <x:c r="AC457" s="6" t="str">
        <x:v>专家评估认为ChatGPT-4o的回答质量很高，平均排名在1到2之间。</x:v>
      </x:c>
      <x:c r="AD457" s="2" t="str">
        <x:v>Accepted</x:v>
      </x:c>
      <x:c r="AE457" s="6" t="str">
        <x:v>NA</x:v>
      </x:c>
    </x:row>
    <x:row r="458" ht="76" customHeight="1">
      <x:c r="A458" s="2" t="str">
        <x:v>S45-RESULT-R05</x:v>
      </x:c>
      <x:c r="B458" s="2" t="str">
        <x:v>S45</x:v>
      </x:c>
      <x:c r="C458" s="2" t="str">
        <x:v>merged_1275</x:v>
      </x:c>
      <x:c r="D458" s="2" t="str">
        <x:v>Reviewer_A</x:v>
      </x:c>
      <x:c r="E458" s="2" t="str">
        <x:v>Reviewer_A</x:v>
      </x:c>
      <x:c r="F458" s="2" t="str">
        <x:v>S45-R05</x:v>
      </x:c>
      <x:c r="G458" s="2" t="str">
        <x:v>S45-EV01</x:v>
      </x:c>
      <x:c r="H458" s="2" t="str">
        <x:v>S45-T01</x:v>
      </x:c>
      <x:c r="I458" s="2" t="str">
        <x:v>S45-MU01</x:v>
      </x:c>
      <x:c r="J458" s="2" t="str">
        <x:v>Automotive Park Assist IC firmware requirements (21 SYSRS, 24 SWRS)</x:v>
      </x:c>
      <x:c r="K458" s="2" t="str">
        <x:v>ChatGPT-4o with trace link quality assessment prompt</x:v>
      </x:c>
      <x:c r="L458" s="2" t="str">
        <x:v>Human experts</x:v>
      </x:c>
      <x:c r="M458" s="2" t="str">
        <x:v>Time (minutes)</x:v>
      </x:c>
      <x:c r="N458" s="6" t="str">
        <x:v>Expert respondents took 120 minutes, while ChatGPT-4o took 20 minutes</x:v>
      </x:c>
      <x:c r="O458" s="2" t="n">
        <x:v>20</x:v>
      </x:c>
      <x:c r="P458" s="2" t="str">
        <x:v>minutes</x:v>
      </x:c>
      <x:c r="Q458" s="6" t="str">
        <x:v>120</x:v>
      </x:c>
      <x:c r="R458" s="2" t="n">
        <x:v>120</x:v>
      </x:c>
      <x:c r="S458" s="2" t="str">
        <x:v>NR</x:v>
      </x:c>
      <x:c r="T458" s="2" t="str">
        <x:v>Better</x:v>
      </x:c>
      <x:c r="U458" s="2" t="str">
        <x:v>Not tested</x:v>
      </x:c>
      <x:c r="V458" s="2" t="str">
        <x:v>时间效率大幅提升</x:v>
      </x:c>
      <x:c r="W458" s="2" t="str">
        <x:v>NR</x:v>
      </x:c>
      <x:c r="X458" s="2" t="str">
        <x:v>ChatGPT-4o took 20 minutes vs. 120 minutes for experts</x:v>
      </x:c>
      <x:c r="Y458" s="2" t="str">
        <x:v>NR</x:v>
      </x:c>
      <x:c r="Z458" s="2" t="str">
        <x:v>No</x:v>
      </x:c>
      <x:c r="AA458" s="6" t="str">
        <x:v>p. 3; Study 1</x:v>
      </x:c>
      <x:c r="AB458" s="6" t="str">
        <x:v>F1-Score is moderate, balancing precision and recall. Time Efficiency: Expert respondents took 120 minutes, while ChatGPT-4o took 20 minutes, with requirements fed manually sequentially (∼ 1 min per</x:v>
      </x:c>
      <x:c r="AC458" s="6" t="str">
        <x:v>ChatGPT-4o完成任务的时间远少于专家，显示出明显的效率优势。</x:v>
      </x:c>
      <x:c r="AD458" s="2" t="str">
        <x:v>Accepted</x:v>
      </x:c>
      <x:c r="AE458" s="6" t="str">
        <x:v>NA</x:v>
      </x:c>
    </x:row>
    <x:row r="459" ht="76" customHeight="1">
      <x:c r="A459" s="2" t="str">
        <x:v>S45-RESULT-R06</x:v>
      </x:c>
      <x:c r="B459" s="2" t="str">
        <x:v>S45</x:v>
      </x:c>
      <x:c r="C459" s="2" t="str">
        <x:v>merged_1275</x:v>
      </x:c>
      <x:c r="D459" s="2" t="str">
        <x:v>Reviewer_A</x:v>
      </x:c>
      <x:c r="E459" s="2" t="str">
        <x:v>Reviewer_A</x:v>
      </x:c>
      <x:c r="F459" s="2" t="str">
        <x:v>S45-R06</x:v>
      </x:c>
      <x:c r="G459" s="2" t="str">
        <x:v>S45-EV02</x:v>
      </x:c>
      <x:c r="H459" s="2" t="str">
        <x:v>S45-T02</x:v>
      </x:c>
      <x:c r="I459" s="2" t="str">
        <x:v>S45-MU01</x:v>
      </x:c>
      <x:c r="J459" s="2" t="str">
        <x:v>Software Requirements and Test Cases from Ultrasonic Park Assist IC project</x:v>
      </x:c>
      <x:c r="K459" s="2" t="str">
        <x:v>ChatGPT-4o with test case coverage assessment prompt</x:v>
      </x:c>
      <x:c r="L459" s="2" t="str">
        <x:v>No baseline</x:v>
      </x:c>
      <x:c r="M459" s="2" t="str">
        <x:v>Q1&amp;Q2 combined Yes/Partial rating</x:v>
      </x:c>
      <x:c r="N459" s="6" t="str">
        <x:v>100%</x:v>
      </x:c>
      <x:c r="O459" s="2" t="n">
        <x:v>100</x:v>
      </x:c>
      <x:c r="P459" s="2" t="str">
        <x:v>%</x:v>
      </x:c>
      <x:c r="Q459" s="6" t="str">
        <x:v>NR</x:v>
      </x:c>
      <x:c r="R459" s="2" t="str">
        <x:v>NR</x:v>
      </x:c>
      <x:c r="S459" s="2" t="str">
        <x:v>NR</x:v>
      </x:c>
      <x:c r="T459" s="2" t="str">
        <x:v>Not compared</x:v>
      </x:c>
      <x:c r="U459" s="2" t="str">
        <x:v>Not tested</x:v>
      </x:c>
      <x:c r="V459" s="2" t="str">
        <x:v>NR</x:v>
      </x:c>
      <x:c r="W459" s="2" t="str">
        <x:v>NR</x:v>
      </x:c>
      <x:c r="X459" s="2" t="str">
        <x:v>NR</x:v>
      </x:c>
      <x:c r="Y459" s="2" t="str">
        <x:v>NR</x:v>
      </x:c>
      <x:c r="Z459" s="2" t="str">
        <x:v>No</x:v>
      </x:c>
      <x:c r="AA459" s="6" t="str">
        <x:v>p. 3; Study 2</x:v>
      </x:c>
      <x:c r="AB459" s="6" t="str">
        <x:v>the ChatGPT-4o achieved a combined "Yes" or "Partial" rating of 100%, with no "No" ratings recorded.</x:v>
      </x:c>
      <x:c r="AC459" s="6" t="str">
        <x:v>ChatGPT-4o在测试用例覆盖检查的有效性和完整性方面获得专家全部正面或部分正面评价。</x:v>
      </x:c>
      <x:c r="AD459" s="2" t="str">
        <x:v>Accepted</x:v>
      </x:c>
      <x:c r="AE459" s="6" t="str">
        <x:v>NA</x:v>
      </x:c>
    </x:row>
    <x:row r="460" ht="76" customHeight="1">
      <x:c r="A460" s="2" t="str">
        <x:v>S45-RESULT-R07</x:v>
      </x:c>
      <x:c r="B460" s="2" t="str">
        <x:v>S45</x:v>
      </x:c>
      <x:c r="C460" s="2" t="str">
        <x:v>merged_1275</x:v>
      </x:c>
      <x:c r="D460" s="2" t="str">
        <x:v>Reviewer_A</x:v>
      </x:c>
      <x:c r="E460" s="2" t="str">
        <x:v>Reviewer_A</x:v>
      </x:c>
      <x:c r="F460" s="2" t="str">
        <x:v>S45-R07</x:v>
      </x:c>
      <x:c r="G460" s="2" t="str">
        <x:v>S45-EV02</x:v>
      </x:c>
      <x:c r="H460" s="2" t="str">
        <x:v>S45-T02</x:v>
      </x:c>
      <x:c r="I460" s="2" t="str">
        <x:v>S45-MU01</x:v>
      </x:c>
      <x:c r="J460" s="2" t="str">
        <x:v>Software Requirements and Test Cases from Ultrasonic Park Assist IC project</x:v>
      </x:c>
      <x:c r="K460" s="2" t="str">
        <x:v>ChatGPT-4o with test case coverage assessment prompt</x:v>
      </x:c>
      <x:c r="L460" s="2" t="str">
        <x:v>No baseline</x:v>
      </x:c>
      <x:c r="M460" s="2" t="str">
        <x:v>Q3 No rating</x:v>
      </x:c>
      <x:c r="N460" s="6" t="str">
        <x:v>100%</x:v>
      </x:c>
      <x:c r="O460" s="2" t="n">
        <x:v>100</x:v>
      </x:c>
      <x:c r="P460" s="2" t="str">
        <x:v>%</x:v>
      </x:c>
      <x:c r="Q460" s="6" t="str">
        <x:v>NR</x:v>
      </x:c>
      <x:c r="R460" s="2" t="str">
        <x:v>NR</x:v>
      </x:c>
      <x:c r="S460" s="2" t="str">
        <x:v>NR</x:v>
      </x:c>
      <x:c r="T460" s="2" t="str">
        <x:v>Not compared</x:v>
      </x:c>
      <x:c r="U460" s="2" t="str">
        <x:v>Not tested</x:v>
      </x:c>
      <x:c r="V460" s="2" t="str">
        <x:v>NR</x:v>
      </x:c>
      <x:c r="W460" s="2" t="str">
        <x:v>NR</x:v>
      </x:c>
      <x:c r="X460" s="2" t="str">
        <x:v>NR</x:v>
      </x:c>
      <x:c r="Y460" s="2" t="str">
        <x:v>NR</x:v>
      </x:c>
      <x:c r="Z460" s="2" t="str">
        <x:v>No</x:v>
      </x:c>
      <x:c r="AA460" s="6" t="str">
        <x:v>p. 3; Study 2</x:v>
      </x:c>
      <x:c r="AB460" s="6" t="str">
        <x:v>the response was "No", meaning, the evaluators confirmed that ChatGPT-4o did not omit any critical aspects in its test cases, further validating its thoroughness.</x:v>
      </x:c>
      <x:c r="AC460" s="6" t="str">
        <x:v>所有专家确认ChatGPT-4o没有遗漏关键测试用例或方面。</x:v>
      </x:c>
      <x:c r="AD460" s="2" t="str">
        <x:v>Accepted</x:v>
      </x:c>
      <x:c r="AE460" s="6" t="str">
        <x:v>NA</x:v>
      </x:c>
    </x:row>
    <x:row r="461" ht="76" customHeight="1">
      <x:c r="A461" s="2" t="str">
        <x:v>S45-RESULT-R08</x:v>
      </x:c>
      <x:c r="B461" s="2" t="str">
        <x:v>S45</x:v>
      </x:c>
      <x:c r="C461" s="2" t="str">
        <x:v>merged_1275</x:v>
      </x:c>
      <x:c r="D461" s="2" t="str">
        <x:v>Reviewer_A</x:v>
      </x:c>
      <x:c r="E461" s="2" t="str">
        <x:v>Reviewer_A</x:v>
      </x:c>
      <x:c r="F461" s="2" t="str">
        <x:v>S45-R08</x:v>
      </x:c>
      <x:c r="G461" s="2" t="str">
        <x:v>S45-EV03</x:v>
      </x:c>
      <x:c r="H461" s="2" t="str">
        <x:v>S45-T03</x:v>
      </x:c>
      <x:c r="I461" s="2" t="str">
        <x:v>S45-MU01</x:v>
      </x:c>
      <x:c r="J461" s="2" t="str">
        <x:v>Standard Firmware project requirements (21 SYSRS, 24 SWRS)</x:v>
      </x:c>
      <x:c r="K461" s="2" t="str">
        <x:v>ChatGPT-4o with trace link prediction prompt</x:v>
      </x:c>
      <x:c r="L461" s="2" t="str">
        <x:v>No baseline</x:v>
      </x:c>
      <x:c r="M461" s="2" t="str">
        <x:v>Precision</x:v>
      </x:c>
      <x:c r="N461" s="6" t="str">
        <x:v>P=1</x:v>
      </x:c>
      <x:c r="O461" s="2" t="n">
        <x:v>1</x:v>
      </x:c>
      <x:c r="P461" s="2" t="str">
        <x:v>proportion</x:v>
      </x:c>
      <x:c r="Q461" s="6" t="str">
        <x:v>NR</x:v>
      </x:c>
      <x:c r="R461" s="2" t="str">
        <x:v>NR</x:v>
      </x:c>
      <x:c r="S461" s="2" t="str">
        <x:v>NR</x:v>
      </x:c>
      <x:c r="T461" s="2" t="str">
        <x:v>Not compared</x:v>
      </x:c>
      <x:c r="U461" s="2" t="str">
        <x:v>Not tested</x:v>
      </x:c>
      <x:c r="V461" s="2" t="str">
        <x:v>NR</x:v>
      </x:c>
      <x:c r="W461" s="2" t="str">
        <x:v>NR</x:v>
      </x:c>
      <x:c r="X461" s="2" t="str">
        <x:v>NR</x:v>
      </x:c>
      <x:c r="Y461" s="2" t="str">
        <x:v>NR</x:v>
      </x:c>
      <x:c r="Z461" s="2" t="str">
        <x:v>No</x:v>
      </x:c>
      <x:c r="AA461" s="6" t="str">
        <x:v>p. 4; Study 3</x:v>
      </x:c>
      <x:c r="AB461" s="6" t="str">
        <x:v>The final performance is averaged across all runs as P=1, R=0.97, F1-Score=0.98.</x:v>
      </x:c>
      <x:c r="AC461" s="6" t="str">
        <x:v>ChatGPT-4o在预测追溯链接时精确度达到完美。</x:v>
      </x:c>
      <x:c r="AD461" s="2" t="str">
        <x:v>Accepted</x:v>
      </x:c>
      <x:c r="AE461" s="6" t="str">
        <x:v>NA</x:v>
      </x:c>
    </x:row>
    <x:row r="462" ht="76" customHeight="1">
      <x:c r="A462" s="2" t="str">
        <x:v>S45-RESULT-R09</x:v>
      </x:c>
      <x:c r="B462" s="2" t="str">
        <x:v>S45</x:v>
      </x:c>
      <x:c r="C462" s="2" t="str">
        <x:v>merged_1275</x:v>
      </x:c>
      <x:c r="D462" s="2" t="str">
        <x:v>Reviewer_A</x:v>
      </x:c>
      <x:c r="E462" s="2" t="str">
        <x:v>Reviewer_A</x:v>
      </x:c>
      <x:c r="F462" s="2" t="str">
        <x:v>S45-R09</x:v>
      </x:c>
      <x:c r="G462" s="2" t="str">
        <x:v>S45-EV03</x:v>
      </x:c>
      <x:c r="H462" s="2" t="str">
        <x:v>S45-T03</x:v>
      </x:c>
      <x:c r="I462" s="2" t="str">
        <x:v>S45-MU01</x:v>
      </x:c>
      <x:c r="J462" s="2" t="str">
        <x:v>Standard Firmware project requirements (21 SYSRS, 24 SWRS)</x:v>
      </x:c>
      <x:c r="K462" s="2" t="str">
        <x:v>ChatGPT-4o with trace link prediction prompt</x:v>
      </x:c>
      <x:c r="L462" s="2" t="str">
        <x:v>No baseline</x:v>
      </x:c>
      <x:c r="M462" s="2" t="str">
        <x:v>Recall</x:v>
      </x:c>
      <x:c r="N462" s="6" t="str">
        <x:v>R=0.97</x:v>
      </x:c>
      <x:c r="O462" s="2" t="n">
        <x:v>0.97</x:v>
      </x:c>
      <x:c r="P462" s="2" t="str">
        <x:v>proportion</x:v>
      </x:c>
      <x:c r="Q462" s="6" t="str">
        <x:v>NR</x:v>
      </x:c>
      <x:c r="R462" s="2" t="str">
        <x:v>NR</x:v>
      </x:c>
      <x:c r="S462" s="2" t="str">
        <x:v>NR</x:v>
      </x:c>
      <x:c r="T462" s="2" t="str">
        <x:v>Not compared</x:v>
      </x:c>
      <x:c r="U462" s="2" t="str">
        <x:v>Not tested</x:v>
      </x:c>
      <x:c r="V462" s="2" t="str">
        <x:v>NR</x:v>
      </x:c>
      <x:c r="W462" s="2" t="str">
        <x:v>NR</x:v>
      </x:c>
      <x:c r="X462" s="2" t="str">
        <x:v>NR</x:v>
      </x:c>
      <x:c r="Y462" s="2" t="str">
        <x:v>NR</x:v>
      </x:c>
      <x:c r="Z462" s="2" t="str">
        <x:v>No</x:v>
      </x:c>
      <x:c r="AA462" s="6" t="str">
        <x:v>p. 4; Study 3</x:v>
      </x:c>
      <x:c r="AB462" s="6" t="str">
        <x:v>The final performance is averaged across all runs as P=1, R=0.97, F1-Score=0.98.</x:v>
      </x:c>
      <x:c r="AC462" s="6" t="str">
        <x:v>召回率很高，但有一个假阴性。</x:v>
      </x:c>
      <x:c r="AD462" s="2" t="str">
        <x:v>Accepted</x:v>
      </x:c>
      <x:c r="AE462" s="6" t="str">
        <x:v>NA</x:v>
      </x:c>
    </x:row>
    <x:row r="463" ht="76" customHeight="1">
      <x:c r="A463" s="2" t="str">
        <x:v>S45-RESULT-R10</x:v>
      </x:c>
      <x:c r="B463" s="2" t="str">
        <x:v>S45</x:v>
      </x:c>
      <x:c r="C463" s="2" t="str">
        <x:v>merged_1275</x:v>
      </x:c>
      <x:c r="D463" s="2" t="str">
        <x:v>Reviewer_A</x:v>
      </x:c>
      <x:c r="E463" s="2" t="str">
        <x:v>Reviewer_A</x:v>
      </x:c>
      <x:c r="F463" s="2" t="str">
        <x:v>S45-R10</x:v>
      </x:c>
      <x:c r="G463" s="2" t="str">
        <x:v>S45-EV03</x:v>
      </x:c>
      <x:c r="H463" s="2" t="str">
        <x:v>S45-T03</x:v>
      </x:c>
      <x:c r="I463" s="2" t="str">
        <x:v>S45-MU01</x:v>
      </x:c>
      <x:c r="J463" s="2" t="str">
        <x:v>Standard Firmware project requirements (21 SYSRS, 24 SWRS)</x:v>
      </x:c>
      <x:c r="K463" s="2" t="str">
        <x:v>ChatGPT-4o with trace link prediction prompt</x:v>
      </x:c>
      <x:c r="L463" s="2" t="str">
        <x:v>No baseline</x:v>
      </x:c>
      <x:c r="M463" s="2" t="str">
        <x:v>F1-score</x:v>
      </x:c>
      <x:c r="N463" s="6" t="str">
        <x:v>F1-Score=0.98</x:v>
      </x:c>
      <x:c r="O463" s="2" t="n">
        <x:v>0.98</x:v>
      </x:c>
      <x:c r="P463" s="2" t="str">
        <x:v>proportion</x:v>
      </x:c>
      <x:c r="Q463" s="6" t="str">
        <x:v>NR</x:v>
      </x:c>
      <x:c r="R463" s="2" t="str">
        <x:v>NR</x:v>
      </x:c>
      <x:c r="S463" s="2" t="str">
        <x:v>NR</x:v>
      </x:c>
      <x:c r="T463" s="2" t="str">
        <x:v>Not compared</x:v>
      </x:c>
      <x:c r="U463" s="2" t="str">
        <x:v>Not tested</x:v>
      </x:c>
      <x:c r="V463" s="2" t="str">
        <x:v>NR</x:v>
      </x:c>
      <x:c r="W463" s="2" t="str">
        <x:v>NR</x:v>
      </x:c>
      <x:c r="X463" s="2" t="str">
        <x:v>NR</x:v>
      </x:c>
      <x:c r="Y463" s="2" t="str">
        <x:v>NR</x:v>
      </x:c>
      <x:c r="Z463" s="2" t="str">
        <x:v>No</x:v>
      </x:c>
      <x:c r="AA463" s="6" t="str">
        <x:v>p. 4; Study 3</x:v>
      </x:c>
      <x:c r="AB463" s="6" t="str">
        <x:v>The final performance is averaged across all runs as P=1, R=0.97, F1-Score=0.98.</x:v>
      </x:c>
      <x:c r="AC463" s="6" t="str">
        <x:v>F1分数接近完美，表明整体预测性能很好。</x:v>
      </x:c>
      <x:c r="AD463" s="2" t="str">
        <x:v>Accepted</x:v>
      </x:c>
      <x:c r="AE463" s="6" t="str">
        <x:v>NA</x:v>
      </x:c>
    </x:row>
    <x:row r="464" ht="76" customHeight="1">
      <x:c r="A464" s="2" t="str">
        <x:v>S45-RESULT-R11</x:v>
      </x:c>
      <x:c r="B464" s="2" t="str">
        <x:v>S45</x:v>
      </x:c>
      <x:c r="C464" s="2" t="str">
        <x:v>merged_1275</x:v>
      </x:c>
      <x:c r="D464" s="2" t="str">
        <x:v>Reviewer_A</x:v>
      </x:c>
      <x:c r="E464" s="2" t="str">
        <x:v>Reviewer_A</x:v>
      </x:c>
      <x:c r="F464" s="2" t="str">
        <x:v>S45-R11</x:v>
      </x:c>
      <x:c r="G464" s="2" t="str">
        <x:v>S45-EV03</x:v>
      </x:c>
      <x:c r="H464" s="2" t="str">
        <x:v>S45-T03</x:v>
      </x:c>
      <x:c r="I464" s="2" t="str">
        <x:v>S45-MU01</x:v>
      </x:c>
      <x:c r="J464" s="2" t="str">
        <x:v>Standard Firmware project requirements (21 SYSRS, 24 SWRS)</x:v>
      </x:c>
      <x:c r="K464" s="2" t="str">
        <x:v>ChatGPT-4o with trace link prediction prompt</x:v>
      </x:c>
      <x:c r="L464" s="2" t="str">
        <x:v>No baseline</x:v>
      </x:c>
      <x:c r="M464" s="2" t="str">
        <x:v>False Negative count</x:v>
      </x:c>
      <x:c r="N464" s="6" t="str">
        <x:v>one FN</x:v>
      </x:c>
      <x:c r="O464" s="2" t="n">
        <x:v>1</x:v>
      </x:c>
      <x:c r="P464" s="2" t="str">
        <x:v>count</x:v>
      </x:c>
      <x:c r="Q464" s="6" t="str">
        <x:v>NR</x:v>
      </x:c>
      <x:c r="R464" s="2" t="str">
        <x:v>NR</x:v>
      </x:c>
      <x:c r="S464" s="2" t="str">
        <x:v>NR</x:v>
      </x:c>
      <x:c r="T464" s="2" t="str">
        <x:v>Not compared</x:v>
      </x:c>
      <x:c r="U464" s="2" t="str">
        <x:v>Not tested</x:v>
      </x:c>
      <x:c r="V464" s="2" t="str">
        <x:v>NR</x:v>
      </x:c>
      <x:c r="W464" s="2" t="str">
        <x:v>NR</x:v>
      </x:c>
      <x:c r="X464" s="2" t="str">
        <x:v>NR</x:v>
      </x:c>
      <x:c r="Y464" s="2" t="str">
        <x:v>ChatGPT-4o correctly flagged an incomplete lower-level requirement but was marked false negative as the ground truth retained the link.</x:v>
      </x:c>
      <x:c r="Z464" s="2" t="str">
        <x:v>Yes</x:v>
      </x:c>
      <x:c r="AA464" s="6" t="str">
        <x:v>p. 4; Study 3</x:v>
      </x:c>
      <x:c r="AB464" s="6" t="str">
        <x:v>ChatGPT-4o correctly flagged an incomplete lower-level requirement but was marked false negative as the ground truth retained the link.</x:v>
      </x:c>
      <x:c r="AC464" s="6" t="str">
        <x:v>一个假阴性案例实际上是由于ChatGPT正确识别了不完整需求，但金标准仍保留了链接。</x:v>
      </x:c>
      <x:c r="AD464" s="2" t="str">
        <x:v>Accepted</x:v>
      </x:c>
      <x:c r="AE464" s="6" t="str">
        <x:v>NA</x:v>
      </x:c>
    </x:row>
    <x:row r="465" ht="76" customHeight="1">
      <x:c r="A465" s="2" t="str">
        <x:v>S45-RESULT-R12</x:v>
      </x:c>
      <x:c r="B465" s="2" t="str">
        <x:v>S45</x:v>
      </x:c>
      <x:c r="C465" s="2" t="str">
        <x:v>merged_1275</x:v>
      </x:c>
      <x:c r="D465" s="2" t="str">
        <x:v>Reviewer_A</x:v>
      </x:c>
      <x:c r="E465" s="2" t="str">
        <x:v>Reviewer_A</x:v>
      </x:c>
      <x:c r="F465" s="2" t="str">
        <x:v>S45-R12</x:v>
      </x:c>
      <x:c r="G465" s="2" t="str">
        <x:v>S45-EV05</x:v>
      </x:c>
      <x:c r="H465" s="2" t="str">
        <x:v>S45-T05</x:v>
      </x:c>
      <x:c r="I465" s="2" t="str">
        <x:v>S45-MU01</x:v>
      </x:c>
      <x:c r="J465" s="2" t="str">
        <x:v>Single real project ticket (SYSRS 021, SWRS 023, SWRS 024)</x:v>
      </x:c>
      <x:c r="K465" s="2" t="str">
        <x:v>ChatGPT-4o with inconsistency detection prompt</x:v>
      </x:c>
      <x:c r="L465" s="2" t="str">
        <x:v>No baseline</x:v>
      </x:c>
      <x:c r="M465" s="2" t="str">
        <x:v>Successful misalignment identification</x:v>
      </x:c>
      <x:c r="N465" s="6" t="str">
        <x:v>successfully identified</x:v>
      </x:c>
      <x:c r="O465" s="2" t="n">
        <x:v>1</x:v>
      </x:c>
      <x:c r="P465" s="2" t="str">
        <x:v>count</x:v>
      </x:c>
      <x:c r="Q465" s="6" t="str">
        <x:v>NR</x:v>
      </x:c>
      <x:c r="R465" s="2" t="str">
        <x:v>NR</x:v>
      </x:c>
      <x:c r="S465" s="2" t="str">
        <x:v>NR</x:v>
      </x:c>
      <x:c r="T465" s="2" t="str">
        <x:v>Not compared</x:v>
      </x:c>
      <x:c r="U465" s="2" t="str">
        <x:v>Not tested</x:v>
      </x:c>
      <x:c r="V465" s="2" t="str">
        <x:v>NR</x:v>
      </x:c>
      <x:c r="W465" s="2" t="str">
        <x:v>NR</x:v>
      </x:c>
      <x:c r="X465" s="2" t="str">
        <x:v>NR</x:v>
      </x:c>
      <x:c r="Y465" s="2" t="str">
        <x:v>NR</x:v>
      </x:c>
      <x:c r="Z465" s="2" t="str">
        <x:v>No</x:v>
      </x:c>
      <x:c r="AA465" s="6" t="str">
        <x:v>p. 5; Study 5</x:v>
      </x:c>
      <x:c r="AB465" s="6" t="str">
        <x:v>The response shows that ChatGPT-4o successfully identified the misalignment, demonstrating its ability to detect inconsistencies between system and software requirements and suggest revisions.</x:v>
      </x:c>
      <x:c r="AC465" s="6" t="str">
        <x:v>ChatGPT-4o成功识别出真实工单中的不一致。</x:v>
      </x:c>
      <x:c r="AD465" s="2" t="str">
        <x:v>Accepted</x:v>
      </x:c>
      <x:c r="AE465" s="6" t="str">
        <x:v>NA</x:v>
      </x:c>
    </x:row>
    <x:row r="466" ht="76" customHeight="1">
      <x:c r="A466" s="2" t="str">
        <x:v>S46-RESULT-R01</x:v>
      </x:c>
      <x:c r="B466" s="2" t="str">
        <x:v>S46</x:v>
      </x:c>
      <x:c r="C466" s="2" t="str">
        <x:v>merged_1293</x:v>
      </x:c>
      <x:c r="D466" s="2" t="str">
        <x:v>Reviewer_A</x:v>
      </x:c>
      <x:c r="E466" s="2" t="str">
        <x:v>Reviewer_A</x:v>
      </x:c>
      <x:c r="F466" s="2" t="str">
        <x:v>S46-R01</x:v>
      </x:c>
      <x:c r="G466" s="2" t="str">
        <x:v>S46-EV01</x:v>
      </x:c>
      <x:c r="H466" s="2" t="str">
        <x:v>S46-T01</x:v>
      </x:c>
      <x:c r="I466" s="2" t="str">
        <x:v>NA</x:v>
      </x:c>
      <x:c r="J466" s="2" t="str">
        <x:v>Smart Home System</x:v>
      </x:c>
      <x:c r="K466" s="2" t="str">
        <x:v>Structured prompting</x:v>
      </x:c>
      <x:c r="L466" s="2" t="str">
        <x:v>Unstructured prompting</x:v>
      </x:c>
      <x:c r="M466" s="2" t="str">
        <x:v>TMPR improvement</x:v>
      </x:c>
      <x:c r="N466" s="6" t="str">
        <x:v>23.92%</x:v>
      </x:c>
      <x:c r="O466" s="2" t="n">
        <x:v>23.92</x:v>
      </x:c>
      <x:c r="P466" s="2" t="str">
        <x:v>%</x:v>
      </x:c>
      <x:c r="Q466" s="6" t="str">
        <x:v>NR</x:v>
      </x:c>
      <x:c r="R466" s="2" t="str">
        <x:v>NR</x:v>
      </x:c>
      <x:c r="S466" s="2" t="str">
        <x:v>NR</x:v>
      </x:c>
      <x:c r="T466" s="2" t="str">
        <x:v>Better</x:v>
      </x:c>
      <x:c r="U466" s="2" t="str">
        <x:v>Not tested</x:v>
      </x:c>
      <x:c r="V466" s="2" t="str">
        <x:v>NR</x:v>
      </x:c>
      <x:c r="W466" s="2" t="str">
        <x:v>NR</x:v>
      </x:c>
      <x:c r="X466" s="2" t="str">
        <x:v>NR</x:v>
      </x:c>
      <x:c r="Y466" s="2" t="str">
        <x:v>NR</x:v>
      </x:c>
      <x:c r="Z466" s="2" t="str">
        <x:v>No</x:v>
      </x:c>
      <x:c r="AA466" s="6" t="str">
        <x:v>p. 18; section Comparative analysis</x:v>
      </x:c>
      <x:c r="AB466" s="6" t="str">
        <x:v>structured prompts demonstrated an average improvement of 23.92% in TMPR across the five models</x:v>
      </x:c>
      <x:c r="AC466" s="6" t="str">
        <x:v>结构提示在所有模型上平均提升了23.92%的整体过程可追溯性。</x:v>
      </x:c>
      <x:c r="AD466" s="2" t="str">
        <x:v>Accepted</x:v>
      </x:c>
      <x:c r="AE466" s="6" t="str">
        <x:v>NR</x:v>
      </x:c>
    </x:row>
    <x:row r="467" ht="76" customHeight="1">
      <x:c r="A467" s="2" t="str">
        <x:v>S46-RESULT-R02</x:v>
      </x:c>
      <x:c r="B467" s="2" t="str">
        <x:v>S46</x:v>
      </x:c>
      <x:c r="C467" s="2" t="str">
        <x:v>merged_1293</x:v>
      </x:c>
      <x:c r="D467" s="2" t="str">
        <x:v>Reviewer_A</x:v>
      </x:c>
      <x:c r="E467" s="2" t="str">
        <x:v>Reviewer_A</x:v>
      </x:c>
      <x:c r="F467" s="2" t="str">
        <x:v>S46-R02</x:v>
      </x:c>
      <x:c r="G467" s="2" t="str">
        <x:v>S46-EV01</x:v>
      </x:c>
      <x:c r="H467" s="2" t="str">
        <x:v>S46-T01</x:v>
      </x:c>
      <x:c r="I467" s="2" t="str">
        <x:v>NA</x:v>
      </x:c>
      <x:c r="J467" s="2" t="str">
        <x:v>Smart Home System</x:v>
      </x:c>
      <x:c r="K467" s="2" t="str">
        <x:v>Structured prompting</x:v>
      </x:c>
      <x:c r="L467" s="2" t="str">
        <x:v>Unstructured prompting</x:v>
      </x:c>
      <x:c r="M467" s="2" t="str">
        <x:v>TMP improvement</x:v>
      </x:c>
      <x:c r="N467" s="6" t="str">
        <x:v>19.14%</x:v>
      </x:c>
      <x:c r="O467" s="2" t="n">
        <x:v>19.14</x:v>
      </x:c>
      <x:c r="P467" s="2" t="str">
        <x:v>%</x:v>
      </x:c>
      <x:c r="Q467" s="6" t="str">
        <x:v>NR</x:v>
      </x:c>
      <x:c r="R467" s="2" t="str">
        <x:v>NR</x:v>
      </x:c>
      <x:c r="S467" s="2" t="str">
        <x:v>NR</x:v>
      </x:c>
      <x:c r="T467" s="2" t="str">
        <x:v>Better</x:v>
      </x:c>
      <x:c r="U467" s="2" t="str">
        <x:v>Not tested</x:v>
      </x:c>
      <x:c r="V467" s="2" t="str">
        <x:v>NR</x:v>
      </x:c>
      <x:c r="W467" s="2" t="str">
        <x:v>NR</x:v>
      </x:c>
      <x:c r="X467" s="2" t="str">
        <x:v>NR</x:v>
      </x:c>
      <x:c r="Y467" s="2" t="str">
        <x:v>NR</x:v>
      </x:c>
      <x:c r="Z467" s="2" t="str">
        <x:v>No</x:v>
      </x:c>
      <x:c r="AA467" s="6" t="str">
        <x:v>p. 3; section Introduction</x:v>
      </x:c>
      <x:c r="AB467" s="6" t="str">
        <x:v>TMP is improved by 19.14% in the Requirements Analysis phase</x:v>
      </x:c>
      <x:c r="AC467" s="6" t="str">
        <x:v>结构化提示在需求分析阶段将阶段可追溯性提升了19.14%。</x:v>
      </x:c>
      <x:c r="AD467" s="2" t="str">
        <x:v>Accepted</x:v>
      </x:c>
      <x:c r="AE467" s="6" t="str">
        <x:v>NR</x:v>
      </x:c>
    </x:row>
    <x:row r="468" ht="76" customHeight="1">
      <x:c r="A468" s="2" t="str">
        <x:v>S46-RESULT-R03</x:v>
      </x:c>
      <x:c r="B468" s="2" t="str">
        <x:v>S46</x:v>
      </x:c>
      <x:c r="C468" s="2" t="str">
        <x:v>merged_1293</x:v>
      </x:c>
      <x:c r="D468" s="2" t="str">
        <x:v>Reviewer_A</x:v>
      </x:c>
      <x:c r="E468" s="2" t="str">
        <x:v>Reviewer_A</x:v>
      </x:c>
      <x:c r="F468" s="2" t="str">
        <x:v>S46-R03</x:v>
      </x:c>
      <x:c r="G468" s="2" t="str">
        <x:v>S46-EV01</x:v>
      </x:c>
      <x:c r="H468" s="2" t="str">
        <x:v>S46-T01</x:v>
      </x:c>
      <x:c r="I468" s="2" t="str">
        <x:v>NA</x:v>
      </x:c>
      <x:c r="J468" s="2" t="str">
        <x:v>Smart Home System</x:v>
      </x:c>
      <x:c r="K468" s="2" t="str">
        <x:v>Structured prompting</x:v>
      </x:c>
      <x:c r="L468" s="2" t="str">
        <x:v>Unstructured prompting</x:v>
      </x:c>
      <x:c r="M468" s="2" t="str">
        <x:v>TMP improvement</x:v>
      </x:c>
      <x:c r="N468" s="6" t="str">
        <x:v>32.21%</x:v>
      </x:c>
      <x:c r="O468" s="2" t="n">
        <x:v>32.21</x:v>
      </x:c>
      <x:c r="P468" s="2" t="str">
        <x:v>%</x:v>
      </x:c>
      <x:c r="Q468" s="6" t="str">
        <x:v>NR</x:v>
      </x:c>
      <x:c r="R468" s="2" t="str">
        <x:v>NR</x:v>
      </x:c>
      <x:c r="S468" s="2" t="str">
        <x:v>NR</x:v>
      </x:c>
      <x:c r="T468" s="2" t="str">
        <x:v>Better</x:v>
      </x:c>
      <x:c r="U468" s="2" t="str">
        <x:v>Not tested</x:v>
      </x:c>
      <x:c r="V468" s="2" t="str">
        <x:v>NR</x:v>
      </x:c>
      <x:c r="W468" s="2" t="str">
        <x:v>NR</x:v>
      </x:c>
      <x:c r="X468" s="2" t="str">
        <x:v>NR</x:v>
      </x:c>
      <x:c r="Y468" s="2" t="str">
        <x:v>NR</x:v>
      </x:c>
      <x:c r="Z468" s="2" t="str">
        <x:v>No</x:v>
      </x:c>
      <x:c r="AA468" s="6" t="str">
        <x:v>p. 3; section Introduction</x:v>
      </x:c>
      <x:c r="AB468" s="6" t="str">
        <x:v>TMP is improved by 19.14% in the Requirements Analysis phase, 32.21% in the Design Modeling phase,</x:v>
      </x:c>
      <x:c r="AC468" s="6" t="str">
        <x:v>结构化提示在设计建模阶段将阶段可追溯性提升了32.21%。</x:v>
      </x:c>
      <x:c r="AD468" s="2" t="str">
        <x:v>Accepted</x:v>
      </x:c>
      <x:c r="AE468" s="6" t="str">
        <x:v>NR</x:v>
      </x:c>
    </x:row>
    <x:row r="469" ht="76" customHeight="1">
      <x:c r="A469" s="2" t="str">
        <x:v>S46-RESULT-R04</x:v>
      </x:c>
      <x:c r="B469" s="2" t="str">
        <x:v>S46</x:v>
      </x:c>
      <x:c r="C469" s="2" t="str">
        <x:v>merged_1293</x:v>
      </x:c>
      <x:c r="D469" s="2" t="str">
        <x:v>Reviewer_A</x:v>
      </x:c>
      <x:c r="E469" s="2" t="str">
        <x:v>Reviewer_A</x:v>
      </x:c>
      <x:c r="F469" s="2" t="str">
        <x:v>S46-R04</x:v>
      </x:c>
      <x:c r="G469" s="2" t="str">
        <x:v>S46-EV01</x:v>
      </x:c>
      <x:c r="H469" s="2" t="str">
        <x:v>S46-T01</x:v>
      </x:c>
      <x:c r="I469" s="2" t="str">
        <x:v>NA</x:v>
      </x:c>
      <x:c r="J469" s="2" t="str">
        <x:v>Smart Home System</x:v>
      </x:c>
      <x:c r="K469" s="2" t="str">
        <x:v>Structured prompting</x:v>
      </x:c>
      <x:c r="L469" s="2" t="str">
        <x:v>Unstructured prompting</x:v>
      </x:c>
      <x:c r="M469" s="2" t="str">
        <x:v>TMP improvement</x:v>
      </x:c>
      <x:c r="N469" s="6" t="str">
        <x:v>21.38%</x:v>
      </x:c>
      <x:c r="O469" s="2" t="n">
        <x:v>21.38</x:v>
      </x:c>
      <x:c r="P469" s="2" t="str">
        <x:v>%</x:v>
      </x:c>
      <x:c r="Q469" s="6" t="str">
        <x:v>NR</x:v>
      </x:c>
      <x:c r="R469" s="2" t="str">
        <x:v>NR</x:v>
      </x:c>
      <x:c r="S469" s="2" t="str">
        <x:v>NR</x:v>
      </x:c>
      <x:c r="T469" s="2" t="str">
        <x:v>Better</x:v>
      </x:c>
      <x:c r="U469" s="2" t="str">
        <x:v>Not tested</x:v>
      </x:c>
      <x:c r="V469" s="2" t="str">
        <x:v>NR</x:v>
      </x:c>
      <x:c r="W469" s="2" t="str">
        <x:v>NR</x:v>
      </x:c>
      <x:c r="X469" s="2" t="str">
        <x:v>NR</x:v>
      </x:c>
      <x:c r="Y469" s="2" t="str">
        <x:v>NR</x:v>
      </x:c>
      <x:c r="Z469" s="2" t="str">
        <x:v>No</x:v>
      </x:c>
      <x:c r="AA469" s="6" t="str">
        <x:v>p. 3; section Introduction</x:v>
      </x:c>
      <x:c r="AB469" s="6" t="str">
        <x:v>TMP is improved by 19.14% in the Requirements</x:v>
      </x:c>
      <x:c r="AC469" s="6" t="str">
        <x:v>结构化提示在实施阶段将阶段可追溯性提升了21.38%。</x:v>
      </x:c>
      <x:c r="AD469" s="2" t="str">
        <x:v>Accepted</x:v>
      </x:c>
      <x:c r="AE469" s="6" t="str">
        <x:v>NR</x:v>
      </x:c>
    </x:row>
    <x:row r="470" ht="76" customHeight="1">
      <x:c r="A470" s="2" t="str">
        <x:v>S46-RESULT-R05</x:v>
      </x:c>
      <x:c r="B470" s="2" t="str">
        <x:v>S46</x:v>
      </x:c>
      <x:c r="C470" s="2" t="str">
        <x:v>merged_1293</x:v>
      </x:c>
      <x:c r="D470" s="2" t="str">
        <x:v>Reviewer_A</x:v>
      </x:c>
      <x:c r="E470" s="2" t="str">
        <x:v>Reviewer_A</x:v>
      </x:c>
      <x:c r="F470" s="2" t="str">
        <x:v>S46-R05</x:v>
      </x:c>
      <x:c r="G470" s="2" t="str">
        <x:v>S46-EV01</x:v>
      </x:c>
      <x:c r="H470" s="2" t="str">
        <x:v>S46-T01</x:v>
      </x:c>
      <x:c r="I470" s="2" t="str">
        <x:v>NA</x:v>
      </x:c>
      <x:c r="J470" s="2" t="str">
        <x:v>Smart Home System</x:v>
      </x:c>
      <x:c r="K470" s="2" t="str">
        <x:v>Structured prompting</x:v>
      </x:c>
      <x:c r="L470" s="2" t="str">
        <x:v>Unstructured prompting</x:v>
      </x:c>
      <x:c r="M470" s="2" t="str">
        <x:v>TMP improvement</x:v>
      </x:c>
      <x:c r="N470" s="6" t="str">
        <x:v>26.35%</x:v>
      </x:c>
      <x:c r="O470" s="2" t="n">
        <x:v>26.35</x:v>
      </x:c>
      <x:c r="P470" s="2" t="str">
        <x:v>%</x:v>
      </x:c>
      <x:c r="Q470" s="6" t="str">
        <x:v>NR</x:v>
      </x:c>
      <x:c r="R470" s="2" t="str">
        <x:v>NR</x:v>
      </x:c>
      <x:c r="S470" s="2" t="str">
        <x:v>NR</x:v>
      </x:c>
      <x:c r="T470" s="2" t="str">
        <x:v>Better</x:v>
      </x:c>
      <x:c r="U470" s="2" t="str">
        <x:v>Not tested</x:v>
      </x:c>
      <x:c r="V470" s="2" t="str">
        <x:v>NR</x:v>
      </x:c>
      <x:c r="W470" s="2" t="str">
        <x:v>NR</x:v>
      </x:c>
      <x:c r="X470" s="2" t="str">
        <x:v>NR</x:v>
      </x:c>
      <x:c r="Y470" s="2" t="str">
        <x:v>NR</x:v>
      </x:c>
      <x:c r="Z470" s="2" t="str">
        <x:v>No</x:v>
      </x:c>
      <x:c r="AA470" s="6" t="str">
        <x:v>p. 3; section Introduction</x:v>
      </x:c>
      <x:c r="AB470" s="6" t="str">
        <x:v>TMP is improved by 19.14% in the Requirements</x:v>
      </x:c>
      <x:c r="AC470" s="6" t="str">
        <x:v>结构化提示在测试阶段将阶段可追溯性提升了26.35%。</x:v>
      </x:c>
      <x:c r="AD470" s="2" t="str">
        <x:v>Accepted</x:v>
      </x:c>
      <x:c r="AE470" s="6" t="str">
        <x:v>NR</x:v>
      </x:c>
    </x:row>
    <x:row r="471" ht="76" customHeight="1">
      <x:c r="A471" s="2" t="str">
        <x:v>S46-RESULT-R06</x:v>
      </x:c>
      <x:c r="B471" s="2" t="str">
        <x:v>S46</x:v>
      </x:c>
      <x:c r="C471" s="2" t="str">
        <x:v>merged_1293</x:v>
      </x:c>
      <x:c r="D471" s="2" t="str">
        <x:v>Reviewer_A</x:v>
      </x:c>
      <x:c r="E471" s="2" t="str">
        <x:v>Reviewer_A</x:v>
      </x:c>
      <x:c r="F471" s="2" t="str">
        <x:v>S46-R06</x:v>
      </x:c>
      <x:c r="G471" s="2" t="str">
        <x:v>S46-EV01</x:v>
      </x:c>
      <x:c r="H471" s="2" t="str">
        <x:v>S46-T01</x:v>
      </x:c>
      <x:c r="I471" s="2" t="str">
        <x:v>NA</x:v>
      </x:c>
      <x:c r="J471" s="2" t="str">
        <x:v>Smart Home System</x:v>
      </x:c>
      <x:c r="K471" s="2" t="str">
        <x:v>Structured prompting</x:v>
      </x:c>
      <x:c r="L471" s="2" t="str">
        <x:v>Unstructured prompting</x:v>
      </x:c>
      <x:c r="M471" s="2" t="str">
        <x:v>TMPR improvement</x:v>
      </x:c>
      <x:c r="N471" s="6" t="str">
        <x:v>14.24%</x:v>
      </x:c>
      <x:c r="O471" s="2" t="n">
        <x:v>14.24</x:v>
      </x:c>
      <x:c r="P471" s="2" t="str">
        <x:v>%</x:v>
      </x:c>
      <x:c r="Q471" s="6" t="str">
        <x:v>NR</x:v>
      </x:c>
      <x:c r="R471" s="2" t="str">
        <x:v>NR</x:v>
      </x:c>
      <x:c r="S471" s="2" t="str">
        <x:v>NR</x:v>
      </x:c>
      <x:c r="T471" s="2" t="str">
        <x:v>Better</x:v>
      </x:c>
      <x:c r="U471" s="2" t="str">
        <x:v>Not tested</x:v>
      </x:c>
      <x:c r="V471" s="2" t="str">
        <x:v>NR</x:v>
      </x:c>
      <x:c r="W471" s="2" t="str">
        <x:v>NR</x:v>
      </x:c>
      <x:c r="X471" s="2" t="str">
        <x:v>NR</x:v>
      </x:c>
      <x:c r="Y471" s="2" t="str">
        <x:v>NR</x:v>
      </x:c>
      <x:c r="Z471" s="2" t="str">
        <x:v>No</x:v>
      </x:c>
      <x:c r="AA471" s="6" t="str">
        <x:v>p. 3; section Introduction</x:v>
      </x:c>
      <x:c r="AB471" s="6" t="str">
        <x:v>TMPR is improved by 14.24% in Meta</x:v>
      </x:c>
      <x:c r="AC471" s="6" t="str">
        <x:v>Meta模型上结构化提示的过程可追溯性提升14.24%。</x:v>
      </x:c>
      <x:c r="AD471" s="2" t="str">
        <x:v>Accepted</x:v>
      </x:c>
      <x:c r="AE471" s="6" t="str">
        <x:v>NR</x:v>
      </x:c>
    </x:row>
    <x:row r="472" ht="76" customHeight="1">
      <x:c r="A472" s="2" t="str">
        <x:v>S46-RESULT-R07</x:v>
      </x:c>
      <x:c r="B472" s="2" t="str">
        <x:v>S46</x:v>
      </x:c>
      <x:c r="C472" s="2" t="str">
        <x:v>merged_1293</x:v>
      </x:c>
      <x:c r="D472" s="2" t="str">
        <x:v>Reviewer_A</x:v>
      </x:c>
      <x:c r="E472" s="2" t="str">
        <x:v>Reviewer_A</x:v>
      </x:c>
      <x:c r="F472" s="2" t="str">
        <x:v>S46-R07</x:v>
      </x:c>
      <x:c r="G472" s="2" t="str">
        <x:v>S46-EV01</x:v>
      </x:c>
      <x:c r="H472" s="2" t="str">
        <x:v>S46-T01</x:v>
      </x:c>
      <x:c r="I472" s="2" t="str">
        <x:v>S46-MU11</x:v>
      </x:c>
      <x:c r="J472" s="2" t="str">
        <x:v>Smart Home System</x:v>
      </x:c>
      <x:c r="K472" s="2" t="str">
        <x:v>Structured prompting</x:v>
      </x:c>
      <x:c r="L472" s="2" t="str">
        <x:v>Unstructured prompting</x:v>
      </x:c>
      <x:c r="M472" s="2" t="str">
        <x:v>TMPR improvement</x:v>
      </x:c>
      <x:c r="N472" s="6" t="str">
        <x:v>47.42%</x:v>
      </x:c>
      <x:c r="O472" s="2" t="n">
        <x:v>47.42</x:v>
      </x:c>
      <x:c r="P472" s="2" t="str">
        <x:v>%</x:v>
      </x:c>
      <x:c r="Q472" s="6" t="str">
        <x:v>NR</x:v>
      </x:c>
      <x:c r="R472" s="2" t="str">
        <x:v>NR</x:v>
      </x:c>
      <x:c r="S472" s="2" t="str">
        <x:v>NR</x:v>
      </x:c>
      <x:c r="T472" s="2" t="str">
        <x:v>Better</x:v>
      </x:c>
      <x:c r="U472" s="2" t="str">
        <x:v>Not tested</x:v>
      </x:c>
      <x:c r="V472" s="2" t="str">
        <x:v>NR</x:v>
      </x:c>
      <x:c r="W472" s="2" t="str">
        <x:v>NR</x:v>
      </x:c>
      <x:c r="X472" s="2" t="str">
        <x:v>NR</x:v>
      </x:c>
      <x:c r="Y472" s="2" t="str">
        <x:v>NR</x:v>
      </x:c>
      <x:c r="Z472" s="2" t="str">
        <x:v>No</x:v>
      </x:c>
      <x:c r="AA472" s="6" t="str">
        <x:v>p. 3; section Introduction</x:v>
      </x:c>
      <x:c r="AB472" s="6" t="str">
        <x:v>TMP is improved by 19.14% in the Requirements</x:v>
      </x:c>
      <x:c r="AC472" s="6" t="str">
        <x:v>Gemini模型上结构化提示的过程可追溯性提升47.42%。</x:v>
      </x:c>
      <x:c r="AD472" s="2" t="str">
        <x:v>Accepted</x:v>
      </x:c>
      <x:c r="AE472" s="6" t="str">
        <x:v>NR</x:v>
      </x:c>
    </x:row>
    <x:row r="473" ht="76" customHeight="1">
      <x:c r="A473" s="2" t="str">
        <x:v>S46-RESULT-R08</x:v>
      </x:c>
      <x:c r="B473" s="2" t="str">
        <x:v>S46</x:v>
      </x:c>
      <x:c r="C473" s="2" t="str">
        <x:v>merged_1293</x:v>
      </x:c>
      <x:c r="D473" s="2" t="str">
        <x:v>Reviewer_A</x:v>
      </x:c>
      <x:c r="E473" s="2" t="str">
        <x:v>Reviewer_A</x:v>
      </x:c>
      <x:c r="F473" s="2" t="str">
        <x:v>S46-R08</x:v>
      </x:c>
      <x:c r="G473" s="2" t="str">
        <x:v>S46-EV01</x:v>
      </x:c>
      <x:c r="H473" s="2" t="str">
        <x:v>S46-T01</x:v>
      </x:c>
      <x:c r="I473" s="2" t="str">
        <x:v>S46-MU21</x:v>
      </x:c>
      <x:c r="J473" s="2" t="str">
        <x:v>Smart Home System</x:v>
      </x:c>
      <x:c r="K473" s="2" t="str">
        <x:v>Structured prompting</x:v>
      </x:c>
      <x:c r="L473" s="2" t="str">
        <x:v>Unstructured prompting</x:v>
      </x:c>
      <x:c r="M473" s="2" t="str">
        <x:v>TMPR improvement</x:v>
      </x:c>
      <x:c r="N473" s="6" t="str">
        <x:v>25.32%</x:v>
      </x:c>
      <x:c r="O473" s="2" t="n">
        <x:v>25.32</x:v>
      </x:c>
      <x:c r="P473" s="2" t="str">
        <x:v>%</x:v>
      </x:c>
      <x:c r="Q473" s="6" t="str">
        <x:v>NR</x:v>
      </x:c>
      <x:c r="R473" s="2" t="str">
        <x:v>NR</x:v>
      </x:c>
      <x:c r="S473" s="2" t="str">
        <x:v>NR</x:v>
      </x:c>
      <x:c r="T473" s="2" t="str">
        <x:v>Better</x:v>
      </x:c>
      <x:c r="U473" s="2" t="str">
        <x:v>Not tested</x:v>
      </x:c>
      <x:c r="V473" s="2" t="str">
        <x:v>NR</x:v>
      </x:c>
      <x:c r="W473" s="2" t="str">
        <x:v>NR</x:v>
      </x:c>
      <x:c r="X473" s="2" t="str">
        <x:v>NR</x:v>
      </x:c>
      <x:c r="Y473" s="2" t="str">
        <x:v>NR</x:v>
      </x:c>
      <x:c r="Z473" s="2" t="str">
        <x:v>No</x:v>
      </x:c>
      <x:c r="AA473" s="6" t="str">
        <x:v>p. 3; section Introduction</x:v>
      </x:c>
      <x:c r="AB473" s="6" t="str">
        <x:v>Testing phase. For AI models, TMPR is improved by 14.24% in Meta, 47.42% in Gemini, 25.32% in Copilot,</x:v>
      </x:c>
      <x:c r="AC473" s="6" t="str">
        <x:v>Copilot模型上结构化提示的过程可追溯性提升25.32%。</x:v>
      </x:c>
      <x:c r="AD473" s="2" t="str">
        <x:v>Accepted</x:v>
      </x:c>
      <x:c r="AE473" s="6" t="str">
        <x:v>NR</x:v>
      </x:c>
    </x:row>
    <x:row r="474" ht="76" customHeight="1">
      <x:c r="A474" s="2" t="str">
        <x:v>S46-RESULT-R09</x:v>
      </x:c>
      <x:c r="B474" s="2" t="str">
        <x:v>S46</x:v>
      </x:c>
      <x:c r="C474" s="2" t="str">
        <x:v>merged_1293</x:v>
      </x:c>
      <x:c r="D474" s="2" t="str">
        <x:v>Reviewer_A</x:v>
      </x:c>
      <x:c r="E474" s="2" t="str">
        <x:v>Reviewer_A</x:v>
      </x:c>
      <x:c r="F474" s="2" t="str">
        <x:v>S46-R09</x:v>
      </x:c>
      <x:c r="G474" s="2" t="str">
        <x:v>S46-EV01</x:v>
      </x:c>
      <x:c r="H474" s="2" t="str">
        <x:v>S46-T01</x:v>
      </x:c>
      <x:c r="I474" s="2" t="str">
        <x:v>NA</x:v>
      </x:c>
      <x:c r="J474" s="2" t="str">
        <x:v>Smart Home System</x:v>
      </x:c>
      <x:c r="K474" s="2" t="str">
        <x:v>Structured prompting</x:v>
      </x:c>
      <x:c r="L474" s="2" t="str">
        <x:v>Unstructured prompting</x:v>
      </x:c>
      <x:c r="M474" s="2" t="str">
        <x:v>TMPR improvement</x:v>
      </x:c>
      <x:c r="N474" s="6" t="str">
        <x:v>14.43%</x:v>
      </x:c>
      <x:c r="O474" s="2" t="n">
        <x:v>14.43</x:v>
      </x:c>
      <x:c r="P474" s="2" t="str">
        <x:v>%</x:v>
      </x:c>
      <x:c r="Q474" s="6" t="str">
        <x:v>NR</x:v>
      </x:c>
      <x:c r="R474" s="2" t="str">
        <x:v>NR</x:v>
      </x:c>
      <x:c r="S474" s="2" t="str">
        <x:v>NR</x:v>
      </x:c>
      <x:c r="T474" s="2" t="str">
        <x:v>Better</x:v>
      </x:c>
      <x:c r="U474" s="2" t="str">
        <x:v>Not tested</x:v>
      </x:c>
      <x:c r="V474" s="2" t="str">
        <x:v>NR</x:v>
      </x:c>
      <x:c r="W474" s="2" t="str">
        <x:v>NR</x:v>
      </x:c>
      <x:c r="X474" s="2" t="str">
        <x:v>NR</x:v>
      </x:c>
      <x:c r="Y474" s="2" t="str">
        <x:v>NR</x:v>
      </x:c>
      <x:c r="Z474" s="2" t="str">
        <x:v>No</x:v>
      </x:c>
      <x:c r="AA474" s="6" t="str">
        <x:v>p. 3; section Introduction</x:v>
      </x:c>
      <x:c r="AB474" s="6" t="str">
        <x:v>TMP is improved by 19.14% in the Requirements</x:v>
      </x:c>
      <x:c r="AC474" s="6" t="str">
        <x:v>Claude模型上结构化提示的过程可追溯性提升14.43%。</x:v>
      </x:c>
      <x:c r="AD474" s="2" t="str">
        <x:v>Accepted</x:v>
      </x:c>
      <x:c r="AE474" s="6" t="str">
        <x:v>NR</x:v>
      </x:c>
    </x:row>
    <x:row r="475" ht="76" customHeight="1">
      <x:c r="A475" s="2" t="str">
        <x:v>S46-RESULT-R10</x:v>
      </x:c>
      <x:c r="B475" s="2" t="str">
        <x:v>S46</x:v>
      </x:c>
      <x:c r="C475" s="2" t="str">
        <x:v>merged_1293</x:v>
      </x:c>
      <x:c r="D475" s="2" t="str">
        <x:v>Reviewer_A</x:v>
      </x:c>
      <x:c r="E475" s="2" t="str">
        <x:v>Reviewer_A</x:v>
      </x:c>
      <x:c r="F475" s="2" t="str">
        <x:v>S46-R10</x:v>
      </x:c>
      <x:c r="G475" s="2" t="str">
        <x:v>S46-EV01</x:v>
      </x:c>
      <x:c r="H475" s="2" t="str">
        <x:v>S46-T01</x:v>
      </x:c>
      <x:c r="I475" s="2" t="str">
        <x:v>NA</x:v>
      </x:c>
      <x:c r="J475" s="2" t="str">
        <x:v>Smart Home System</x:v>
      </x:c>
      <x:c r="K475" s="2" t="str">
        <x:v>Structured prompting</x:v>
      </x:c>
      <x:c r="L475" s="2" t="str">
        <x:v>Unstructured prompting</x:v>
      </x:c>
      <x:c r="M475" s="2" t="str">
        <x:v>TMPR improvement</x:v>
      </x:c>
      <x:c r="N475" s="6" t="str">
        <x:v>18.2%</x:v>
      </x:c>
      <x:c r="O475" s="2" t="n">
        <x:v>18.2</x:v>
      </x:c>
      <x:c r="P475" s="2" t="str">
        <x:v>%</x:v>
      </x:c>
      <x:c r="Q475" s="6" t="str">
        <x:v>NR</x:v>
      </x:c>
      <x:c r="R475" s="2" t="str">
        <x:v>NR</x:v>
      </x:c>
      <x:c r="S475" s="2" t="str">
        <x:v>NR</x:v>
      </x:c>
      <x:c r="T475" s="2" t="str">
        <x:v>Better</x:v>
      </x:c>
      <x:c r="U475" s="2" t="str">
        <x:v>Not tested</x:v>
      </x:c>
      <x:c r="V475" s="2" t="str">
        <x:v>NR</x:v>
      </x:c>
      <x:c r="W475" s="2" t="str">
        <x:v>NR</x:v>
      </x:c>
      <x:c r="X475" s="2" t="str">
        <x:v>NR</x:v>
      </x:c>
      <x:c r="Y475" s="2" t="str">
        <x:v>NR</x:v>
      </x:c>
      <x:c r="Z475" s="2" t="str">
        <x:v>No</x:v>
      </x:c>
      <x:c r="AA475" s="6" t="str">
        <x:v>p. 3; section Introduction</x:v>
      </x:c>
      <x:c r="AB475" s="6" t="str">
        <x:v>TMP is improved by 19.14% in the Requirements</x:v>
      </x:c>
      <x:c r="AC475" s="6" t="str">
        <x:v>ChatGPT模型上结构化提示的过程可追溯性提升18.2%。</x:v>
      </x:c>
      <x:c r="AD475" s="2" t="str">
        <x:v>Accepted</x:v>
      </x:c>
      <x:c r="AE475" s="6" t="str">
        <x:v>NR</x:v>
      </x:c>
    </x:row>
    <x:row r="476" ht="76" customHeight="1">
      <x:c r="A476" s="2" t="str">
        <x:v>S46-RESULT-R11</x:v>
      </x:c>
      <x:c r="B476" s="2" t="str">
        <x:v>S46</x:v>
      </x:c>
      <x:c r="C476" s="2" t="str">
        <x:v>merged_1293</x:v>
      </x:c>
      <x:c r="D476" s="2" t="str">
        <x:v>Reviewer_A</x:v>
      </x:c>
      <x:c r="E476" s="2" t="str">
        <x:v>Reviewer_A</x:v>
      </x:c>
      <x:c r="F476" s="2" t="str">
        <x:v>S46-R11</x:v>
      </x:c>
      <x:c r="G476" s="2" t="str">
        <x:v>S46-EV01</x:v>
      </x:c>
      <x:c r="H476" s="2" t="str">
        <x:v>S46-T10</x:v>
      </x:c>
      <x:c r="I476" s="2" t="str">
        <x:v>NA</x:v>
      </x:c>
      <x:c r="J476" s="2" t="str">
        <x:v>Smart Home System</x:v>
      </x:c>
      <x:c r="K476" s="2" t="str">
        <x:v>Structured prompting</x:v>
      </x:c>
      <x:c r="L476" s="2" t="str">
        <x:v>Unstructured prompting</x:v>
      </x:c>
      <x:c r="M476" s="2" t="str">
        <x:v>TMP decline</x:v>
      </x:c>
      <x:c r="N476" s="6" t="str">
        <x:v>-15.7%</x:v>
      </x:c>
      <x:c r="O476" s="2" t="n">
        <x:v>-15.7</x:v>
      </x:c>
      <x:c r="P476" s="2" t="str">
        <x:v>%</x:v>
      </x:c>
      <x:c r="Q476" s="6" t="str">
        <x:v>NR</x:v>
      </x:c>
      <x:c r="R476" s="2" t="str">
        <x:v>NR</x:v>
      </x:c>
      <x:c r="S476" s="2" t="str">
        <x:v>NR</x:v>
      </x:c>
      <x:c r="T476" s="2" t="str">
        <x:v>Worse</x:v>
      </x:c>
      <x:c r="U476" s="2" t="str">
        <x:v>Not tested</x:v>
      </x:c>
      <x:c r="V476" s="2" t="str">
        <x:v>NR</x:v>
      </x:c>
      <x:c r="W476" s="2" t="str">
        <x:v>NR</x:v>
      </x:c>
      <x:c r="X476" s="2" t="str">
        <x:v>NR</x:v>
      </x:c>
      <x:c r="Y476" s="2" t="str">
        <x:v>Omitted three out of ten classes in unit tests</x:v>
      </x:c>
      <x:c r="Z476" s="2" t="str">
        <x:v>Yes</x:v>
      </x:c>
      <x:c r="AA476" s="6" t="str">
        <x:v>p. 10; section Meta</x:v>
      </x:c>
      <x:c r="AB476" s="6" t="str">
        <x:v>an anomaly occurs in the Testing phase where TMP score shows a decline by −15.7%.</x:v>
      </x:c>
      <x:c r="AC476" s="6" t="str">
        <x:v>Meta模型在测试阶段的结构化提示反而导致可追溯性下降15.7%，原因为单元测试遗漏了三个类。</x:v>
      </x:c>
      <x:c r="AD476" s="2" t="str">
        <x:v>Accepted</x:v>
      </x:c>
      <x:c r="AE476" s="6" t="str">
        <x:v>NR</x:v>
      </x:c>
    </x:row>
    <x:row r="477" ht="76" customHeight="1">
      <x:c r="A477" s="2" t="str">
        <x:v>S46-RESULT-R12</x:v>
      </x:c>
      <x:c r="B477" s="2" t="str">
        <x:v>S46</x:v>
      </x:c>
      <x:c r="C477" s="2" t="str">
        <x:v>merged_1293</x:v>
      </x:c>
      <x:c r="D477" s="2" t="str">
        <x:v>Reviewer_A</x:v>
      </x:c>
      <x:c r="E477" s="2" t="str">
        <x:v>Reviewer_A</x:v>
      </x:c>
      <x:c r="F477" s="2" t="str">
        <x:v>S46-R12</x:v>
      </x:c>
      <x:c r="G477" s="2" t="str">
        <x:v>S46-EV01</x:v>
      </x:c>
      <x:c r="H477" s="2" t="str">
        <x:v>S46-T01</x:v>
      </x:c>
      <x:c r="I477" s="2" t="str">
        <x:v>NA</x:v>
      </x:c>
      <x:c r="J477" s="2" t="str">
        <x:v>Smart Home System</x:v>
      </x:c>
      <x:c r="K477" s="2" t="str">
        <x:v>Structured prompting</x:v>
      </x:c>
      <x:c r="L477" s="2" t="str">
        <x:v>Unstructured prompting</x:v>
      </x:c>
      <x:c r="M477" s="2" t="str">
        <x:v>TMPR standard deviation</x:v>
      </x:c>
      <x:c r="N477" s="6" t="str">
        <x:v>0.045</x:v>
      </x:c>
      <x:c r="O477" s="2" t="n">
        <x:v>0.045</x:v>
      </x:c>
      <x:c r="P477" s="2" t="str">
        <x:v>proportion</x:v>
      </x:c>
      <x:c r="Q477" s="6" t="str">
        <x:v>0.084</x:v>
      </x:c>
      <x:c r="R477" s="2" t="n">
        <x:v>0.084</x:v>
      </x:c>
      <x:c r="S477" s="2" t="str">
        <x:v>NR</x:v>
      </x:c>
      <x:c r="T477" s="2" t="str">
        <x:v>Better</x:v>
      </x:c>
      <x:c r="U477" s="2" t="str">
        <x:v>Not tested</x:v>
      </x:c>
      <x:c r="V477" s="2" t="str">
        <x:v>NR</x:v>
      </x:c>
      <x:c r="W477" s="2" t="str">
        <x:v>NR</x:v>
      </x:c>
      <x:c r="X477" s="2" t="str">
        <x:v>NR</x:v>
      </x:c>
      <x:c r="Y477" s="2" t="str">
        <x:v>NR</x:v>
      </x:c>
      <x:c r="Z477" s="2" t="str">
        <x:v>No</x:v>
      </x:c>
      <x:c r="AA477" s="6" t="str">
        <x:v>p. 16; section Comparative analysis</x:v>
      </x:c>
      <x:c r="AB477" s="6" t="str">
        <x:v>prompting exhibits a lower standard deviation of 0.045, compared to 0.084 for unstructured prompt­</x:v>
      </x:c>
      <x:c r="AC477" s="6" t="str">
        <x:v>结构提示的TMPR标准差更低，表明各模型表现更一致。</x:v>
      </x:c>
      <x:c r="AD477" s="2" t="str">
        <x:v>Accepted</x:v>
      </x:c>
      <x:c r="AE477" s="6" t="str">
        <x:v>NR</x:v>
      </x:c>
    </x:row>
    <x:row r="478" ht="76" customHeight="1">
      <x:c r="A478" s="2" t="str">
        <x:v>S47-RESULT-R01</x:v>
      </x:c>
      <x:c r="B478" s="2" t="str">
        <x:v>S47</x:v>
      </x:c>
      <x:c r="C478" s="2" t="str">
        <x:v>merged_1302-v1</x:v>
      </x:c>
      <x:c r="D478" s="2" t="str">
        <x:v>Reviewer_A</x:v>
      </x:c>
      <x:c r="E478" s="2" t="str">
        <x:v>Reviewer_A</x:v>
      </x:c>
      <x:c r="F478" s="2" t="str">
        <x:v>S47-R01</x:v>
      </x:c>
      <x:c r="G478" s="2" t="str">
        <x:v>S47-EV01</x:v>
      </x:c>
      <x:c r="H478" s="2" t="str">
        <x:v>S47-T01</x:v>
      </x:c>
      <x:c r="I478" s="2" t="str">
        <x:v>NA</x:v>
      </x:c>
      <x:c r="J478" s="2" t="str">
        <x:v>Multiple open-source embedded systems repositories (154-156 specification sections)</x:v>
      </x:c>
      <x:c r="K478" s="2" t="str">
        <x:v>mgrep</x:v>
      </x:c>
      <x:c r="L478" s="2" t="str">
        <x:v>No</x:v>
      </x:c>
      <x:c r="M478" s="2" t="str">
        <x:v>File Mapping Accuracy</x:v>
      </x:c>
      <x:c r="N478" s="6" t="str">
        <x:v>0.0</x:v>
      </x:c>
      <x:c r="O478" s="2" t="n">
        <x:v>0</x:v>
      </x:c>
      <x:c r="P478" s="2" t="str">
        <x:v>%</x:v>
      </x:c>
      <x:c r="Q478" s="6" t="str">
        <x:v>NR</x:v>
      </x:c>
      <x:c r="R478" s="2" t="str">
        <x:v>NR</x:v>
      </x:c>
      <x:c r="S478" s="2" t="str">
        <x:v>NR</x:v>
      </x:c>
      <x:c r="T478" s="2" t="str">
        <x:v>Not compared</x:v>
      </x:c>
      <x:c r="U478" s="2" t="str">
        <x:v>Not tested</x:v>
      </x:c>
      <x:c r="V478" s="2" t="str">
        <x:v>NR</x:v>
      </x:c>
      <x:c r="W478" s="2" t="str">
        <x:v>NR</x:v>
      </x:c>
      <x:c r="X478" s="2" t="str">
        <x:v>NR</x:v>
      </x:c>
      <x:c r="Y478" s="2" t="str">
        <x:v>NR</x:v>
      </x:c>
      <x:c r="Z478" s="2" t="str">
        <x:v>No</x:v>
      </x:c>
      <x:c r="AA478" s="6" t="str">
        <x:v>p. 10; Table 2</x:v>
      </x:c>
      <x:c r="AB478" s="6" t="str">
        <x:v>mgrep N/A N/A N/A N/A 100.0 0.0</x:v>
      </x:c>
      <x:c r="AC478" s="6" t="str">
        <x:v>mgrep 的文件映射准确率为0%，表明纯关键词匹配无法正确映射到相应功能文件。</x:v>
      </x:c>
      <x:c r="AD478" s="2" t="str">
        <x:v>Accepted</x:v>
      </x:c>
      <x:c r="AE478" s="6" t="str">
        <x:v>NR</x:v>
      </x:c>
    </x:row>
    <x:row r="479" ht="76" customHeight="1">
      <x:c r="A479" s="2" t="str">
        <x:v>S47-RESULT-R02</x:v>
      </x:c>
      <x:c r="B479" s="2" t="str">
        <x:v>S47</x:v>
      </x:c>
      <x:c r="C479" s="2" t="str">
        <x:v>merged_1302-v1</x:v>
      </x:c>
      <x:c r="D479" s="2" t="str">
        <x:v>Reviewer_A</x:v>
      </x:c>
      <x:c r="E479" s="2" t="str">
        <x:v>Reviewer_A</x:v>
      </x:c>
      <x:c r="F479" s="2" t="str">
        <x:v>S47-R02</x:v>
      </x:c>
      <x:c r="G479" s="2" t="str">
        <x:v>S47-EV01</x:v>
      </x:c>
      <x:c r="H479" s="2" t="str">
        <x:v>S47-T01</x:v>
      </x:c>
      <x:c r="I479" s="2" t="str">
        <x:v>NA</x:v>
      </x:c>
      <x:c r="J479" s="2" t="str">
        <x:v>Multiple open-source embedded systems repositories (154-156 specification sections)</x:v>
      </x:c>
      <x:c r="K479" s="2" t="str">
        <x:v>BM25</x:v>
      </x:c>
      <x:c r="L479" s="2" t="str">
        <x:v>No</x:v>
      </x:c>
      <x:c r="M479" s="2" t="str">
        <x:v>File Mapping Accuracy</x:v>
      </x:c>
      <x:c r="N479" s="6" t="str">
        <x:v>0.0</x:v>
      </x:c>
      <x:c r="O479" s="2" t="n">
        <x:v>0</x:v>
      </x:c>
      <x:c r="P479" s="2" t="str">
        <x:v>%</x:v>
      </x:c>
      <x:c r="Q479" s="6" t="str">
        <x:v>NR</x:v>
      </x:c>
      <x:c r="R479" s="2" t="str">
        <x:v>NR</x:v>
      </x:c>
      <x:c r="S479" s="2" t="str">
        <x:v>NR</x:v>
      </x:c>
      <x:c r="T479" s="2" t="str">
        <x:v>Not compared</x:v>
      </x:c>
      <x:c r="U479" s="2" t="str">
        <x:v>Not tested</x:v>
      </x:c>
      <x:c r="V479" s="2" t="str">
        <x:v>NR</x:v>
      </x:c>
      <x:c r="W479" s="2" t="str">
        <x:v>NR</x:v>
      </x:c>
      <x:c r="X479" s="2" t="str">
        <x:v>NR</x:v>
      </x:c>
      <x:c r="Y479" s="2" t="str">
        <x:v>NR</x:v>
      </x:c>
      <x:c r="Z479" s="2" t="str">
        <x:v>No</x:v>
      </x:c>
      <x:c r="AA479" s="6" t="str">
        <x:v>p. 10; Table 2</x:v>
      </x:c>
      <x:c r="AB479" s="6" t="str">
        <x:v>BM25 N/A N/A N/A N/A 100.0 0.0</x:v>
      </x:c>
      <x:c r="AC479" s="6" t="str">
        <x:v>BM25 同样无法正确映射文件，尽管语义理解有所改善但仍产生抽象层级不匹配。</x:v>
      </x:c>
      <x:c r="AD479" s="2" t="str">
        <x:v>Accepted</x:v>
      </x:c>
      <x:c r="AE479" s="6" t="str">
        <x:v>NR</x:v>
      </x:c>
    </x:row>
    <x:row r="480" ht="76" customHeight="1">
      <x:c r="A480" s="2" t="str">
        <x:v>S47-RESULT-R03</x:v>
      </x:c>
      <x:c r="B480" s="2" t="str">
        <x:v>S47</x:v>
      </x:c>
      <x:c r="C480" s="2" t="str">
        <x:v>merged_1302-v1</x:v>
      </x:c>
      <x:c r="D480" s="2" t="str">
        <x:v>Reviewer_A</x:v>
      </x:c>
      <x:c r="E480" s="2" t="str">
        <x:v>Reviewer_A</x:v>
      </x:c>
      <x:c r="F480" s="2" t="str">
        <x:v>S47-R03</x:v>
      </x:c>
      <x:c r="G480" s="2" t="str">
        <x:v>S47-EV01</x:v>
      </x:c>
      <x:c r="H480" s="2" t="str">
        <x:v>S47-T01</x:v>
      </x:c>
      <x:c r="I480" s="2" t="str">
        <x:v>NA</x:v>
      </x:c>
      <x:c r="J480" s="2" t="str">
        <x:v>Multiple open-source embedded systems repositories (154-156 specification sections)</x:v>
      </x:c>
      <x:c r="K480" s="2" t="str">
        <x:v>Gemini∗</x:v>
      </x:c>
      <x:c r="L480" s="2" t="str">
        <x:v>No</x:v>
      </x:c>
      <x:c r="M480" s="2" t="str">
        <x:v>File Mapping Accuracy</x:v>
      </x:c>
      <x:c r="N480" s="6" t="str">
        <x:v>53.3</x:v>
      </x:c>
      <x:c r="O480" s="2" t="n">
        <x:v>53.3</x:v>
      </x:c>
      <x:c r="P480" s="2" t="str">
        <x:v>%</x:v>
      </x:c>
      <x:c r="Q480" s="6" t="str">
        <x:v>NR</x:v>
      </x:c>
      <x:c r="R480" s="2" t="str">
        <x:v>NR</x:v>
      </x:c>
      <x:c r="S480" s="2" t="str">
        <x:v>NR</x:v>
      </x:c>
      <x:c r="T480" s="2" t="str">
        <x:v>Not compared</x:v>
      </x:c>
      <x:c r="U480" s="2" t="str">
        <x:v>Not tested</x:v>
      </x:c>
      <x:c r="V480" s="2" t="str">
        <x:v>NR</x:v>
      </x:c>
      <x:c r="W480" s="2" t="str">
        <x:v>NR</x:v>
      </x:c>
      <x:c r="X480" s="2" t="str">
        <x:v>NR</x:v>
      </x:c>
      <x:c r="Y480" s="2" t="str">
        <x:v>NR</x:v>
      </x:c>
      <x:c r="Z480" s="2" t="str">
        <x:v>No</x:v>
      </x:c>
      <x:c r="AA480" s="6" t="str">
        <x:v>p. 10; Table 2</x:v>
      </x:c>
      <x:c r="AB480" s="6" t="str">
        <x:v>Gemini∗ 89.5 19.0 90 68.8 92.7 53.3</x:v>
      </x:c>
      <x:c r="AC480" s="6" t="str">
        <x:v>直接使用 Gemini 2.5 Flash 进行映射，文件映射准确率 53.3%，提供了一个较强的初始基准。</x:v>
      </x:c>
      <x:c r="AD480" s="2" t="str">
        <x:v>Accepted</x:v>
      </x:c>
      <x:c r="AE480" s="6" t="str">
        <x:v>NR</x:v>
      </x:c>
    </x:row>
    <x:row r="481" ht="76" customHeight="1">
      <x:c r="A481" s="2" t="str">
        <x:v>S47-RESULT-R04</x:v>
      </x:c>
      <x:c r="B481" s="2" t="str">
        <x:v>S47</x:v>
      </x:c>
      <x:c r="C481" s="2" t="str">
        <x:v>merged_1302-v1</x:v>
      </x:c>
      <x:c r="D481" s="2" t="str">
        <x:v>Reviewer_A</x:v>
      </x:c>
      <x:c r="E481" s="2" t="str">
        <x:v>Reviewer_A</x:v>
      </x:c>
      <x:c r="F481" s="2" t="str">
        <x:v>S47-R04</x:v>
      </x:c>
      <x:c r="G481" s="2" t="str">
        <x:v>S47-EV01</x:v>
      </x:c>
      <x:c r="H481" s="2" t="str">
        <x:v>S47-T01</x:v>
      </x:c>
      <x:c r="I481" s="2" t="str">
        <x:v>NA</x:v>
      </x:c>
      <x:c r="J481" s="2" t="str">
        <x:v>Multiple open-source embedded systems repositories (154-156 specification sections)</x:v>
      </x:c>
      <x:c r="K481" s="2" t="str">
        <x:v>Gemini∗ + H2LooP Toolchain (Structures)</x:v>
      </x:c>
      <x:c r="L481" s="2" t="str">
        <x:v>Gemini∗ (direct LLM)</x:v>
      </x:c>
      <x:c r="M481" s="2" t="str">
        <x:v>File Mapping Accuracy</x:v>
      </x:c>
      <x:c r="N481" s="6" t="str">
        <x:v>63.3</x:v>
      </x:c>
      <x:c r="O481" s="2" t="n">
        <x:v>63.3</x:v>
      </x:c>
      <x:c r="P481" s="2" t="str">
        <x:v>%</x:v>
      </x:c>
      <x:c r="Q481" s="6" t="str">
        <x:v>53.3</x:v>
      </x:c>
      <x:c r="R481" s="2" t="n">
        <x:v>53.3</x:v>
      </x:c>
      <x:c r="S481" s="2" t="str">
        <x:v>NR</x:v>
      </x:c>
      <x:c r="T481" s="2" t="str">
        <x:v>Better</x:v>
      </x:c>
      <x:c r="U481" s="2" t="str">
        <x:v>Not tested</x:v>
      </x:c>
      <x:c r="V481" s="2" t="str">
        <x:v>NR</x:v>
      </x:c>
      <x:c r="W481" s="2" t="str">
        <x:v>NR</x:v>
      </x:c>
      <x:c r="X481" s="2" t="str">
        <x:v>NR</x:v>
      </x:c>
      <x:c r="Y481" s="2" t="str">
        <x:v>NR</x:v>
      </x:c>
      <x:c r="Z481" s="2" t="str">
        <x:v>No</x:v>
      </x:c>
      <x:c r="AA481" s="6" t="str">
        <x:v>p. 10; Section 5.3</x:v>
      </x:c>
      <x:c r="AB481" s="6" t="str">
        <x:v>This improved file mapping accuracy from 53.3% to 63.3%</x:v>
      </x:c>
      <x:c r="AC481" s="6" t="str">
        <x:v>增加仓库和文件夹层级结构信息后，文件映射准确率从 53.3% 提升至 63.3%。</x:v>
      </x:c>
      <x:c r="AD481" s="2" t="str">
        <x:v>Accepted</x:v>
      </x:c>
      <x:c r="AE481" s="6" t="str">
        <x:v>NR</x:v>
      </x:c>
    </x:row>
    <x:row r="482" ht="76" customHeight="1">
      <x:c r="A482" s="2" t="str">
        <x:v>S47-RESULT-R05</x:v>
      </x:c>
      <x:c r="B482" s="2" t="str">
        <x:v>S47</x:v>
      </x:c>
      <x:c r="C482" s="2" t="str">
        <x:v>merged_1302-v1</x:v>
      </x:c>
      <x:c r="D482" s="2" t="str">
        <x:v>Reviewer_A</x:v>
      </x:c>
      <x:c r="E482" s="2" t="str">
        <x:v>Reviewer_A</x:v>
      </x:c>
      <x:c r="F482" s="2" t="str">
        <x:v>S47-R05</x:v>
      </x:c>
      <x:c r="G482" s="2" t="str">
        <x:v>S47-EV01</x:v>
      </x:c>
      <x:c r="H482" s="2" t="str">
        <x:v>S47-T01</x:v>
      </x:c>
      <x:c r="I482" s="2" t="str">
        <x:v>NA</x:v>
      </x:c>
      <x:c r="J482" s="2" t="str">
        <x:v>Multiple open-source embedded systems repositories (154-156 specification sections)</x:v>
      </x:c>
      <x:c r="K482" s="2" t="str">
        <x:v>Gemini∗ + H2LooP Toolchain (Structures + Ctags)</x:v>
      </x:c>
      <x:c r="L482" s="2" t="str">
        <x:v>Gemini∗ + H2LooP Toolchain (Structures)</x:v>
      </x:c>
      <x:c r="M482" s="2" t="str">
        <x:v>File Mapping Accuracy</x:v>
      </x:c>
      <x:c r="N482" s="6" t="str">
        <x:v>56.7</x:v>
      </x:c>
      <x:c r="O482" s="2" t="n">
        <x:v>56.7</x:v>
      </x:c>
      <x:c r="P482" s="2" t="str">
        <x:v>%</x:v>
      </x:c>
      <x:c r="Q482" s="6" t="str">
        <x:v>63.3</x:v>
      </x:c>
      <x:c r="R482" s="2" t="n">
        <x:v>63.3</x:v>
      </x:c>
      <x:c r="S482" s="2" t="str">
        <x:v>NR</x:v>
      </x:c>
      <x:c r="T482" s="2" t="str">
        <x:v>Worse</x:v>
      </x:c>
      <x:c r="U482" s="2" t="str">
        <x:v>Not tested</x:v>
      </x:c>
      <x:c r="V482" s="2" t="str">
        <x:v>NR</x:v>
      </x:c>
      <x:c r="W482" s="2" t="str">
        <x:v>NR</x:v>
      </x:c>
      <x:c r="X482" s="2" t="str">
        <x:v>NR</x:v>
      </x:c>
      <x:c r="Y482" s="2" t="str">
        <x:v>NR</x:v>
      </x:c>
      <x:c r="Z482" s="2" t="str">
        <x:v>Yes</x:v>
      </x:c>
      <x:c r="AA482" s="6" t="str">
        <x:v>p. 10; Table 2</x:v>
      </x:c>
      <x:c r="AB482" s="6" t="str">
        <x:v>Gemini∗ + H2LooP Toolchain (Structures + Ctags) 90.1 16.4 24 17.7 95.3 56.7</x:v>
      </x:c>
      <x:c r="AC482" s="6" t="str">
        <x:v>添加 Ctags 符号解析后，文件映射准确率反而下降至 56.7%，可能由于符号表示压缩导致部分语义丢失。</x:v>
      </x:c>
      <x:c r="AD482" s="2" t="str">
        <x:v>Accepted</x:v>
      </x:c>
      <x:c r="AE482" s="6" t="str">
        <x:v>NA</x:v>
      </x:c>
    </x:row>
    <x:row r="483" ht="76" customHeight="1">
      <x:c r="A483" s="2" t="str">
        <x:v>S47-RESULT-R06</x:v>
      </x:c>
      <x:c r="B483" s="2" t="str">
        <x:v>S47</x:v>
      </x:c>
      <x:c r="C483" s="2" t="str">
        <x:v>merged_1302-v1</x:v>
      </x:c>
      <x:c r="D483" s="2" t="str">
        <x:v>Reviewer_A</x:v>
      </x:c>
      <x:c r="E483" s="2" t="str">
        <x:v>Reviewer_A</x:v>
      </x:c>
      <x:c r="F483" s="2" t="str">
        <x:v>S47-R06</x:v>
      </x:c>
      <x:c r="G483" s="2" t="str">
        <x:v>S47-EV01</x:v>
      </x:c>
      <x:c r="H483" s="2" t="str">
        <x:v>S47-T01</x:v>
      </x:c>
      <x:c r="I483" s="2" t="str">
        <x:v>S47-MU05</x:v>
      </x:c>
      <x:c r="J483" s="2" t="str">
        <x:v>Multiple open-source embedded systems repositories (154-156 specification sections)</x:v>
      </x:c>
      <x:c r="K483" s="2" t="str">
        <x:v>Qwen3∗∗ + H2LooP Toolchain (Structures + Ctags)</x:v>
      </x:c>
      <x:c r="L483" s="2" t="str">
        <x:v>Gemini∗ + H2LooP Toolchain (Structures + Ctags)</x:v>
      </x:c>
      <x:c r="M483" s="2" t="str">
        <x:v>File Mapping Accuracy</x:v>
      </x:c>
      <x:c r="N483" s="6" t="str">
        <x:v>66.7</x:v>
      </x:c>
      <x:c r="O483" s="2" t="n">
        <x:v>66.7</x:v>
      </x:c>
      <x:c r="P483" s="2" t="str">
        <x:v>%</x:v>
      </x:c>
      <x:c r="Q483" s="6" t="str">
        <x:v>56.7</x:v>
      </x:c>
      <x:c r="R483" s="2" t="n">
        <x:v>56.7</x:v>
      </x:c>
      <x:c r="S483" s="2" t="str">
        <x:v>NR</x:v>
      </x:c>
      <x:c r="T483" s="2" t="str">
        <x:v>Better</x:v>
      </x:c>
      <x:c r="U483" s="2" t="str">
        <x:v>Not tested</x:v>
      </x:c>
      <x:c r="V483" s="2" t="str">
        <x:v>NR</x:v>
      </x:c>
      <x:c r="W483" s="2" t="str">
        <x:v>NR</x:v>
      </x:c>
      <x:c r="X483" s="2" t="str">
        <x:v>NR</x:v>
      </x:c>
      <x:c r="Y483" s="2" t="str">
        <x:v>NR</x:v>
      </x:c>
      <x:c r="Z483" s="2" t="str">
        <x:v>No</x:v>
      </x:c>
      <x:c r="AA483" s="6" t="str">
        <x:v>p. 10; Table 2</x:v>
      </x:c>
      <x:c r="AB483" s="6" t="str">
        <x:v>Qwen3∗∗ + H2LooP Toolchain (Structures + Ctags) 84.1 11.6 10 3.2 96.3 66.7</x:v>
      </x:c>
      <x:c r="AC483" s="6" t="str">
        <x:v>切换到开源模型 Qwen3-Coder 后，文件映射准确率显著提升至 66.7%，同时大幅降低 token 消耗和运行时间。</x:v>
      </x:c>
      <x:c r="AD483" s="2" t="str">
        <x:v>Accepted</x:v>
      </x:c>
      <x:c r="AE483" s="6" t="str">
        <x:v>NR</x:v>
      </x:c>
    </x:row>
    <x:row r="484" ht="76" customHeight="1">
      <x:c r="A484" s="2" t="str">
        <x:v>S47-RESULT-R07</x:v>
      </x:c>
      <x:c r="B484" s="2" t="str">
        <x:v>S47</x:v>
      </x:c>
      <x:c r="C484" s="2" t="str">
        <x:v>merged_1302-v1</x:v>
      </x:c>
      <x:c r="D484" s="2" t="str">
        <x:v>Reviewer_A</x:v>
      </x:c>
      <x:c r="E484" s="2" t="str">
        <x:v>Reviewer_A</x:v>
      </x:c>
      <x:c r="F484" s="2" t="str">
        <x:v>S47-R07</x:v>
      </x:c>
      <x:c r="G484" s="2" t="str">
        <x:v>S47-EV01</x:v>
      </x:c>
      <x:c r="H484" s="2" t="str">
        <x:v>S47-T01</x:v>
      </x:c>
      <x:c r="I484" s="2" t="str">
        <x:v>NA</x:v>
      </x:c>
      <x:c r="J484" s="2" t="str">
        <x:v>Multiple open-source embedded systems repositories (154-156 specification sections)</x:v>
      </x:c>
      <x:c r="K484" s="2" t="str">
        <x:v>Proposed (Full)</x:v>
      </x:c>
      <x:c r="L484" s="2" t="str">
        <x:v>Qwen3∗∗ + H2LooP Toolchain (Structures + Ctags)</x:v>
      </x:c>
      <x:c r="M484" s="2" t="str">
        <x:v>File Mapping Accuracy</x:v>
      </x:c>
      <x:c r="N484" s="6" t="str">
        <x:v>73.3</x:v>
      </x:c>
      <x:c r="O484" s="2" t="n">
        <x:v>73.3</x:v>
      </x:c>
      <x:c r="P484" s="2" t="str">
        <x:v>%</x:v>
      </x:c>
      <x:c r="Q484" s="6" t="str">
        <x:v>66.7</x:v>
      </x:c>
      <x:c r="R484" s="2" t="n">
        <x:v>66.7</x:v>
      </x:c>
      <x:c r="S484" s="2" t="str">
        <x:v>NR</x:v>
      </x:c>
      <x:c r="T484" s="2" t="str">
        <x:v>Better</x:v>
      </x:c>
      <x:c r="U484" s="2" t="str">
        <x:v>Not tested</x:v>
      </x:c>
      <x:c r="V484" s="2" t="str">
        <x:v>NR</x:v>
      </x:c>
      <x:c r="W484" s="2" t="str">
        <x:v>NR</x:v>
      </x:c>
      <x:c r="X484" s="2" t="str">
        <x:v>NR</x:v>
      </x:c>
      <x:c r="Y484" s="2" t="str">
        <x:v>NR</x:v>
      </x:c>
      <x:c r="Z484" s="2" t="str">
        <x:v>No</x:v>
      </x:c>
      <x:c r="AA484" s="6" t="str">
        <x:v>p. 12; Section 5.3</x:v>
      </x:c>
      <x:c r="AB484" s="6" t="str">
        <x:v>This achieves the highest file mapping accuracy (73.3%) while maintaining excellent file existence accuracy (95.9%).</x:v>
      </x:c>
      <x:c r="AC484" s="6" t="str">
        <x:v>最终版本结合顺序验证后，文件映射准确率达到最高 73.3%，证明分层方法有效。</x:v>
      </x:c>
      <x:c r="AD484" s="2" t="str">
        <x:v>Accepted</x:v>
      </x:c>
      <x:c r="AE484" s="6" t="str">
        <x:v>NR</x:v>
      </x:c>
    </x:row>
    <x:row r="485" ht="76" customHeight="1">
      <x:c r="A485" s="2" t="str">
        <x:v>S47-RESULT-R08</x:v>
      </x:c>
      <x:c r="B485" s="2" t="str">
        <x:v>S47</x:v>
      </x:c>
      <x:c r="C485" s="2" t="str">
        <x:v>merged_1302-v1</x:v>
      </x:c>
      <x:c r="D485" s="2" t="str">
        <x:v>Reviewer_A</x:v>
      </x:c>
      <x:c r="E485" s="2" t="str">
        <x:v>Reviewer_A</x:v>
      </x:c>
      <x:c r="F485" s="2" t="str">
        <x:v>S47-R08</x:v>
      </x:c>
      <x:c r="G485" s="2" t="str">
        <x:v>S47-EV01</x:v>
      </x:c>
      <x:c r="H485" s="2" t="str">
        <x:v>S47-T01</x:v>
      </x:c>
      <x:c r="I485" s="2" t="str">
        <x:v>NA</x:v>
      </x:c>
      <x:c r="J485" s="2" t="str">
        <x:v>Multiple open-source embedded systems repositories (154-156 specification sections)</x:v>
      </x:c>
      <x:c r="K485" s="2" t="str">
        <x:v>mgrep</x:v>
      </x:c>
      <x:c r="L485" s="2" t="str">
        <x:v>No</x:v>
      </x:c>
      <x:c r="M485" s="2" t="str">
        <x:v>File Existence Accuracy</x:v>
      </x:c>
      <x:c r="N485" s="6" t="str">
        <x:v>100.0</x:v>
      </x:c>
      <x:c r="O485" s="2" t="n">
        <x:v>100</x:v>
      </x:c>
      <x:c r="P485" s="2" t="str">
        <x:v>%</x:v>
      </x:c>
      <x:c r="Q485" s="6" t="str">
        <x:v>NR</x:v>
      </x:c>
      <x:c r="R485" s="2" t="str">
        <x:v>NR</x:v>
      </x:c>
      <x:c r="S485" s="2" t="str">
        <x:v>NR</x:v>
      </x:c>
      <x:c r="T485" s="2" t="str">
        <x:v>Not compared</x:v>
      </x:c>
      <x:c r="U485" s="2" t="str">
        <x:v>Not tested</x:v>
      </x:c>
      <x:c r="V485" s="2" t="str">
        <x:v>NR</x:v>
      </x:c>
      <x:c r="W485" s="2" t="str">
        <x:v>NR</x:v>
      </x:c>
      <x:c r="X485" s="2" t="str">
        <x:v>NR</x:v>
      </x:c>
      <x:c r="Y485" s="2" t="str">
        <x:v>NR</x:v>
      </x:c>
      <x:c r="Z485" s="2" t="str">
        <x:v>No</x:v>
      </x:c>
      <x:c r="AA485" s="6" t="str">
        <x:v>p. 10; Table 2</x:v>
      </x:c>
      <x:c r="AB485" s="6" t="str">
        <x:v>mgrep N/A N/A N/A N/A 100.0 0.0</x:v>
      </x:c>
      <x:c r="AC485" s="6" t="str">
        <x:v>mgrep 的文件存在准确率为 100%，因为它只引用实际存在的文件。</x:v>
      </x:c>
      <x:c r="AD485" s="2" t="str">
        <x:v>Accepted</x:v>
      </x:c>
      <x:c r="AE485" s="6" t="str">
        <x:v>NR</x:v>
      </x:c>
    </x:row>
    <x:row r="486" ht="76" customHeight="1">
      <x:c r="A486" s="2" t="str">
        <x:v>S47-RESULT-R09</x:v>
      </x:c>
      <x:c r="B486" s="2" t="str">
        <x:v>S47</x:v>
      </x:c>
      <x:c r="C486" s="2" t="str">
        <x:v>merged_1302-v1</x:v>
      </x:c>
      <x:c r="D486" s="2" t="str">
        <x:v>Reviewer_A</x:v>
      </x:c>
      <x:c r="E486" s="2" t="str">
        <x:v>Reviewer_A</x:v>
      </x:c>
      <x:c r="F486" s="2" t="str">
        <x:v>S47-R09</x:v>
      </x:c>
      <x:c r="G486" s="2" t="str">
        <x:v>S47-EV01</x:v>
      </x:c>
      <x:c r="H486" s="2" t="str">
        <x:v>S47-T01</x:v>
      </x:c>
      <x:c r="I486" s="2" t="str">
        <x:v>NA</x:v>
      </x:c>
      <x:c r="J486" s="2" t="str">
        <x:v>Multiple open-source embedded systems repositories (154-156 specification sections)</x:v>
      </x:c>
      <x:c r="K486" s="2" t="str">
        <x:v>BM25</x:v>
      </x:c>
      <x:c r="L486" s="2" t="str">
        <x:v>No</x:v>
      </x:c>
      <x:c r="M486" s="2" t="str">
        <x:v>File Existence Accuracy</x:v>
      </x:c>
      <x:c r="N486" s="6" t="str">
        <x:v>100.0</x:v>
      </x:c>
      <x:c r="O486" s="2" t="n">
        <x:v>100</x:v>
      </x:c>
      <x:c r="P486" s="2" t="str">
        <x:v>%</x:v>
      </x:c>
      <x:c r="Q486" s="6" t="str">
        <x:v>NR</x:v>
      </x:c>
      <x:c r="R486" s="2" t="str">
        <x:v>NR</x:v>
      </x:c>
      <x:c r="S486" s="2" t="str">
        <x:v>NR</x:v>
      </x:c>
      <x:c r="T486" s="2" t="str">
        <x:v>Not compared</x:v>
      </x:c>
      <x:c r="U486" s="2" t="str">
        <x:v>Not tested</x:v>
      </x:c>
      <x:c r="V486" s="2" t="str">
        <x:v>NR</x:v>
      </x:c>
      <x:c r="W486" s="2" t="str">
        <x:v>NR</x:v>
      </x:c>
      <x:c r="X486" s="2" t="str">
        <x:v>NR</x:v>
      </x:c>
      <x:c r="Y486" s="2" t="str">
        <x:v>NR</x:v>
      </x:c>
      <x:c r="Z486" s="2" t="str">
        <x:v>No</x:v>
      </x:c>
      <x:c r="AA486" s="6" t="str">
        <x:v>p. 10; Table 2</x:v>
      </x:c>
      <x:c r="AB486" s="6" t="str">
        <x:v>BM25 N/A N/A N/A N/A 100.0 0.0</x:v>
      </x:c>
      <x:c r="AC486" s="6" t="str">
        <x:v>BM25 同样所有引用文件都存在，但映射功能不正确。</x:v>
      </x:c>
      <x:c r="AD486" s="2" t="str">
        <x:v>Accepted</x:v>
      </x:c>
      <x:c r="AE486" s="6" t="str">
        <x:v>NR</x:v>
      </x:c>
    </x:row>
    <x:row r="487" ht="76" customHeight="1">
      <x:c r="A487" s="2" t="str">
        <x:v>S47-RESULT-R10</x:v>
      </x:c>
      <x:c r="B487" s="2" t="str">
        <x:v>S47</x:v>
      </x:c>
      <x:c r="C487" s="2" t="str">
        <x:v>merged_1302-v1</x:v>
      </x:c>
      <x:c r="D487" s="2" t="str">
        <x:v>Reviewer_A</x:v>
      </x:c>
      <x:c r="E487" s="2" t="str">
        <x:v>Reviewer_A</x:v>
      </x:c>
      <x:c r="F487" s="2" t="str">
        <x:v>S47-R10</x:v>
      </x:c>
      <x:c r="G487" s="2" t="str">
        <x:v>S47-EV01</x:v>
      </x:c>
      <x:c r="H487" s="2" t="str">
        <x:v>S47-T01</x:v>
      </x:c>
      <x:c r="I487" s="2" t="str">
        <x:v>NA</x:v>
      </x:c>
      <x:c r="J487" s="2" t="str">
        <x:v>Multiple open-source embedded systems repositories (154-156 specification sections)</x:v>
      </x:c>
      <x:c r="K487" s="2" t="str">
        <x:v>Gemini∗</x:v>
      </x:c>
      <x:c r="L487" s="2" t="str">
        <x:v>No</x:v>
      </x:c>
      <x:c r="M487" s="2" t="str">
        <x:v>File Existence Accuracy</x:v>
      </x:c>
      <x:c r="N487" s="6" t="str">
        <x:v>92.7</x:v>
      </x:c>
      <x:c r="O487" s="2" t="n">
        <x:v>92.7</x:v>
      </x:c>
      <x:c r="P487" s="2" t="str">
        <x:v>%</x:v>
      </x:c>
      <x:c r="Q487" s="6" t="str">
        <x:v>NR</x:v>
      </x:c>
      <x:c r="R487" s="2" t="str">
        <x:v>NR</x:v>
      </x:c>
      <x:c r="S487" s="2" t="str">
        <x:v>NR</x:v>
      </x:c>
      <x:c r="T487" s="2" t="str">
        <x:v>Not compared</x:v>
      </x:c>
      <x:c r="U487" s="2" t="str">
        <x:v>Not tested</x:v>
      </x:c>
      <x:c r="V487" s="2" t="str">
        <x:v>NR</x:v>
      </x:c>
      <x:c r="W487" s="2" t="str">
        <x:v>NR</x:v>
      </x:c>
      <x:c r="X487" s="2" t="str">
        <x:v>NR</x:v>
      </x:c>
      <x:c r="Y487" s="2" t="str">
        <x:v>NR</x:v>
      </x:c>
      <x:c r="Z487" s="2" t="str">
        <x:v>No</x:v>
      </x:c>
      <x:c r="AA487" s="6" t="str">
        <x:v>p. 10; Table 2</x:v>
      </x:c>
      <x:c r="AB487" s="6" t="str">
        <x:v>Gemini∗ 89.5 19.0 90 68.8 92.7 53.3</x:v>
      </x:c>
      <x:c r="AC487" s="6" t="str">
        <x:v>直接使用 LLM 可能产生少量不存在的文件引用。</x:v>
      </x:c>
      <x:c r="AD487" s="2" t="str">
        <x:v>Accepted</x:v>
      </x:c>
      <x:c r="AE487" s="6" t="str">
        <x:v>NR</x:v>
      </x:c>
    </x:row>
    <x:row r="488" ht="76" customHeight="1">
      <x:c r="A488" s="2" t="str">
        <x:v>S47-RESULT-R11</x:v>
      </x:c>
      <x:c r="B488" s="2" t="str">
        <x:v>S47</x:v>
      </x:c>
      <x:c r="C488" s="2" t="str">
        <x:v>merged_1302-v1</x:v>
      </x:c>
      <x:c r="D488" s="2" t="str">
        <x:v>Reviewer_A</x:v>
      </x:c>
      <x:c r="E488" s="2" t="str">
        <x:v>Reviewer_A</x:v>
      </x:c>
      <x:c r="F488" s="2" t="str">
        <x:v>S47-R11</x:v>
      </x:c>
      <x:c r="G488" s="2" t="str">
        <x:v>S47-EV01</x:v>
      </x:c>
      <x:c r="H488" s="2" t="str">
        <x:v>S47-T01</x:v>
      </x:c>
      <x:c r="I488" s="2" t="str">
        <x:v>NA</x:v>
      </x:c>
      <x:c r="J488" s="2" t="str">
        <x:v>Multiple open-source embedded systems repositories (154-156 specification sections)</x:v>
      </x:c>
      <x:c r="K488" s="2" t="str">
        <x:v>Proposed (Full)</x:v>
      </x:c>
      <x:c r="L488" s="2" t="str">
        <x:v>Gemini∗ (direct LLM)</x:v>
      </x:c>
      <x:c r="M488" s="2" t="str">
        <x:v>Token Consumption</x:v>
      </x:c>
      <x:c r="N488" s="6" t="str">
        <x:v>10.9</x:v>
      </x:c>
      <x:c r="O488" s="2" t="n">
        <x:v>10.9</x:v>
      </x:c>
      <x:c r="P488" s="2" t="str">
        <x:v>M</x:v>
      </x:c>
      <x:c r="Q488" s="6" t="str">
        <x:v>68.8</x:v>
      </x:c>
      <x:c r="R488" s="2" t="n">
        <x:v>68.8</x:v>
      </x:c>
      <x:c r="S488" s="2" t="str">
        <x:v>NR</x:v>
      </x:c>
      <x:c r="T488" s="2" t="str">
        <x:v>Better</x:v>
      </x:c>
      <x:c r="U488" s="2" t="str">
        <x:v>Not tested</x:v>
      </x:c>
      <x:c r="V488" s="2" t="str">
        <x:v>NR</x:v>
      </x:c>
      <x:c r="W488" s="2" t="str">
        <x:v>NR</x:v>
      </x:c>
      <x:c r="X488" s="2" t="str">
        <x:v>NR</x:v>
      </x:c>
      <x:c r="Y488" s="2" t="str">
        <x:v>NR</x:v>
      </x:c>
      <x:c r="Z488" s="2" t="str">
        <x:v>No</x:v>
      </x:c>
      <x:c r="AA488" s="6" t="str">
        <x:v>p. 12; Section 5.4</x:v>
      </x:c>
      <x:c r="AB488" s="6" t="str">
        <x:v>decreasing token consumption from 68.8 million to 10.9 million tokens</x:v>
      </x:c>
      <x:c r="AC488" s="6" t="str">
        <x:v>最终方法的 token 消耗相比直接使用 Gemini 从 68.8M 降至 10.9M，减少了 84%。</x:v>
      </x:c>
      <x:c r="AD488" s="2" t="str">
        <x:v>Accepted</x:v>
      </x:c>
      <x:c r="AE488" s="6" t="str">
        <x:v>NA</x:v>
      </x:c>
    </x:row>
    <x:row r="489" ht="76" customHeight="1">
      <x:c r="A489" s="2" t="str">
        <x:v>S47-RESULT-R12</x:v>
      </x:c>
      <x:c r="B489" s="2" t="str">
        <x:v>S47</x:v>
      </x:c>
      <x:c r="C489" s="2" t="str">
        <x:v>merged_1302-v1</x:v>
      </x:c>
      <x:c r="D489" s="2" t="str">
        <x:v>Reviewer_A</x:v>
      </x:c>
      <x:c r="E489" s="2" t="str">
        <x:v>Reviewer_A</x:v>
      </x:c>
      <x:c r="F489" s="2" t="str">
        <x:v>S47-R12</x:v>
      </x:c>
      <x:c r="G489" s="2" t="str">
        <x:v>S47-EV01</x:v>
      </x:c>
      <x:c r="H489" s="2" t="str">
        <x:v>S47-T01</x:v>
      </x:c>
      <x:c r="I489" s="2" t="str">
        <x:v>NA</x:v>
      </x:c>
      <x:c r="J489" s="2" t="str">
        <x:v>Multiple open-source embedded systems repositories (154-156 specification sections)</x:v>
      </x:c>
      <x:c r="K489" s="2" t="str">
        <x:v>Proposed (Full)</x:v>
      </x:c>
      <x:c r="L489" s="2" t="str">
        <x:v>Gemini∗ (direct LLM)</x:v>
      </x:c>
      <x:c r="M489" s="2" t="str">
        <x:v>Token consumption reduction</x:v>
      </x:c>
      <x:c r="N489" s="6" t="str">
        <x:v>84%</x:v>
      </x:c>
      <x:c r="O489" s="2" t="n">
        <x:v>84</x:v>
      </x:c>
      <x:c r="P489" s="2" t="str">
        <x:v>%</x:v>
      </x:c>
      <x:c r="Q489" s="6" t="str">
        <x:v>NR</x:v>
      </x:c>
      <x:c r="R489" s="2" t="str">
        <x:v>NR</x:v>
      </x:c>
      <x:c r="S489" s="2" t="str">
        <x:v>NR</x:v>
      </x:c>
      <x:c r="T489" s="2" t="str">
        <x:v>Better</x:v>
      </x:c>
      <x:c r="U489" s="2" t="str">
        <x:v>Not tested</x:v>
      </x:c>
      <x:c r="V489" s="2" t="str">
        <x:v>NR</x:v>
      </x:c>
      <x:c r="W489" s="2" t="str">
        <x:v>NR</x:v>
      </x:c>
      <x:c r="X489" s="2" t="str">
        <x:v>NR</x:v>
      </x:c>
      <x:c r="Y489" s="2" t="str">
        <x:v>NR</x:v>
      </x:c>
      <x:c r="Z489" s="2" t="str">
        <x:v>No</x:v>
      </x:c>
      <x:c r="AA489" s="6" t="str">
        <x:v>p. 1; Abstract</x:v>
      </x:c>
      <x:c r="AB489" s="6" t="str">
        <x:v>lowering total LLM token consumption by 84%</x:v>
      </x:c>
      <x:c r="AC489" s="6" t="str">
        <x:v>最终方法相比基线减少了 84% 的 LLM token 消耗。</x:v>
      </x:c>
      <x:c r="AD489" s="2" t="str">
        <x:v>Accepted</x:v>
      </x:c>
      <x:c r="AE489" s="6" t="str">
        <x:v>NA</x:v>
      </x:c>
    </x:row>
    <x:row r="490" ht="76" customHeight="1">
      <x:c r="A490" s="2" t="str">
        <x:v>S47-RESULT-R13</x:v>
      </x:c>
      <x:c r="B490" s="2" t="str">
        <x:v>S47</x:v>
      </x:c>
      <x:c r="C490" s="2" t="str">
        <x:v>merged_1302-v1</x:v>
      </x:c>
      <x:c r="D490" s="2" t="str">
        <x:v>Reviewer_A</x:v>
      </x:c>
      <x:c r="E490" s="2" t="str">
        <x:v>Reviewer_A</x:v>
      </x:c>
      <x:c r="F490" s="2" t="str">
        <x:v>S47-R13</x:v>
      </x:c>
      <x:c r="G490" s="2" t="str">
        <x:v>S47-EV01</x:v>
      </x:c>
      <x:c r="H490" s="2" t="str">
        <x:v>S47-T01</x:v>
      </x:c>
      <x:c r="I490" s="2" t="str">
        <x:v>NA</x:v>
      </x:c>
      <x:c r="J490" s="2" t="str">
        <x:v>Multiple open-source embedded systems repositories (154-156 specification sections)</x:v>
      </x:c>
      <x:c r="K490" s="2" t="str">
        <x:v>Proposed (Full)</x:v>
      </x:c>
      <x:c r="L490" s="2" t="str">
        <x:v>Gemini∗ (direct LLM)</x:v>
      </x:c>
      <x:c r="M490" s="2" t="str">
        <x:v>Runtime</x:v>
      </x:c>
      <x:c r="N490" s="6" t="str">
        <x:v>18</x:v>
      </x:c>
      <x:c r="O490" s="2" t="n">
        <x:v>18</x:v>
      </x:c>
      <x:c r="P490" s="2" t="str">
        <x:v>min</x:v>
      </x:c>
      <x:c r="Q490" s="6" t="str">
        <x:v>90</x:v>
      </x:c>
      <x:c r="R490" s="2" t="n">
        <x:v>90</x:v>
      </x:c>
      <x:c r="S490" s="2" t="str">
        <x:v>NR</x:v>
      </x:c>
      <x:c r="T490" s="2" t="str">
        <x:v>Better</x:v>
      </x:c>
      <x:c r="U490" s="2" t="str">
        <x:v>Not tested</x:v>
      </x:c>
      <x:c r="V490" s="2" t="str">
        <x:v>NR</x:v>
      </x:c>
      <x:c r="W490" s="2" t="str">
        <x:v>NR</x:v>
      </x:c>
      <x:c r="X490" s="2" t="str">
        <x:v>NR</x:v>
      </x:c>
      <x:c r="Y490" s="2" t="str">
        <x:v>NR</x:v>
      </x:c>
      <x:c r="Z490" s="2" t="str">
        <x:v>No</x:v>
      </x:c>
      <x:c r="AA490" s="6" t="str">
        <x:v>p. 12; Section 5.4</x:v>
      </x:c>
      <x:c r="AB490" s="6" t="str">
        <x:v>processing time is reduced by 80%, from 90 minutes to 18 minutes</x:v>
      </x:c>
      <x:c r="AC490" s="6" t="str">
        <x:v>最终方法的运行时间从 90 分钟降至 18 分钟，减少了 80%。</x:v>
      </x:c>
      <x:c r="AD490" s="2" t="str">
        <x:v>Accepted</x:v>
      </x:c>
      <x:c r="AE490" s="6" t="str">
        <x:v>NR</x:v>
      </x:c>
    </x:row>
    <x:row r="491" ht="76" customHeight="1">
      <x:c r="A491" s="2" t="str">
        <x:v>S47-RESULT-R14</x:v>
      </x:c>
      <x:c r="B491" s="2" t="str">
        <x:v>S47</x:v>
      </x:c>
      <x:c r="C491" s="2" t="str">
        <x:v>merged_1302-v1</x:v>
      </x:c>
      <x:c r="D491" s="2" t="str">
        <x:v>Reviewer_A</x:v>
      </x:c>
      <x:c r="E491" s="2" t="str">
        <x:v>Reviewer_A</x:v>
      </x:c>
      <x:c r="F491" s="2" t="str">
        <x:v>S47-R14</x:v>
      </x:c>
      <x:c r="G491" s="2" t="str">
        <x:v>S47-EV01</x:v>
      </x:c>
      <x:c r="H491" s="2" t="str">
        <x:v>S47-T01</x:v>
      </x:c>
      <x:c r="I491" s="2" t="str">
        <x:v>NA</x:v>
      </x:c>
      <x:c r="J491" s="2" t="str">
        <x:v>Multiple open-source embedded systems repositories (154-156 specification sections)</x:v>
      </x:c>
      <x:c r="K491" s="2" t="str">
        <x:v>Proposed (Full)</x:v>
      </x:c>
      <x:c r="L491" s="2" t="str">
        <x:v>Gemini∗ (direct LLM)</x:v>
      </x:c>
      <x:c r="M491" s="2" t="str">
        <x:v>Runtime reduction</x:v>
      </x:c>
      <x:c r="N491" s="6" t="str">
        <x:v>80%</x:v>
      </x:c>
      <x:c r="O491" s="2" t="n">
        <x:v>80</x:v>
      </x:c>
      <x:c r="P491" s="2" t="str">
        <x:v>%</x:v>
      </x:c>
      <x:c r="Q491" s="6" t="str">
        <x:v>NR</x:v>
      </x:c>
      <x:c r="R491" s="2" t="str">
        <x:v>NR</x:v>
      </x:c>
      <x:c r="S491" s="2" t="str">
        <x:v>NR</x:v>
      </x:c>
      <x:c r="T491" s="2" t="str">
        <x:v>Better</x:v>
      </x:c>
      <x:c r="U491" s="2" t="str">
        <x:v>Not tested</x:v>
      </x:c>
      <x:c r="V491" s="2" t="str">
        <x:v>NR</x:v>
      </x:c>
      <x:c r="W491" s="2" t="str">
        <x:v>NR</x:v>
      </x:c>
      <x:c r="X491" s="2" t="str">
        <x:v>NR</x:v>
      </x:c>
      <x:c r="Y491" s="2" t="str">
        <x:v>NR</x:v>
      </x:c>
      <x:c r="Z491" s="2" t="str">
        <x:v>No</x:v>
      </x:c>
      <x:c r="AA491" s="6" t="str">
        <x:v>p. 1; Abstract</x:v>
      </x:c>
      <x:c r="AB491" s="6" t="str">
        <x:v>end-to-end runtime by approximately 80%</x:v>
      </x:c>
      <x:c r="AC491" s="6" t="str">
        <x:v>最终方法实现了约 80% 的运行时间减少。</x:v>
      </x:c>
      <x:c r="AD491" s="2" t="str">
        <x:v>Accepted</x:v>
      </x:c>
      <x:c r="AE491" s="6" t="str">
        <x:v>NA</x:v>
      </x:c>
    </x:row>
    <x:row r="492" ht="76" customHeight="1">
      <x:c r="A492" s="2" t="str">
        <x:v>S47-RESULT-R15</x:v>
      </x:c>
      <x:c r="B492" s="2" t="str">
        <x:v>S47</x:v>
      </x:c>
      <x:c r="C492" s="2" t="str">
        <x:v>merged_1302-v1</x:v>
      </x:c>
      <x:c r="D492" s="2" t="str">
        <x:v>Reviewer_A</x:v>
      </x:c>
      <x:c r="E492" s="2" t="str">
        <x:v>Reviewer_A</x:v>
      </x:c>
      <x:c r="F492" s="2" t="str">
        <x:v>S47-R15</x:v>
      </x:c>
      <x:c r="G492" s="2" t="str">
        <x:v>S47-EV01</x:v>
      </x:c>
      <x:c r="H492" s="2" t="str">
        <x:v>S47-T01</x:v>
      </x:c>
      <x:c r="I492" s="2" t="str">
        <x:v>NA</x:v>
      </x:c>
      <x:c r="J492" s="2" t="str">
        <x:v>Multiple open-source embedded systems repositories (154-156 specification sections)</x:v>
      </x:c>
      <x:c r="K492" s="2" t="str">
        <x:v>Gemini∗ + H2LooP Toolchain (Structures)</x:v>
      </x:c>
      <x:c r="L492" s="2" t="str">
        <x:v>Gemini∗ (direct LLM)</x:v>
      </x:c>
      <x:c r="M492" s="2" t="str">
        <x:v>Runtime reduction</x:v>
      </x:c>
      <x:c r="N492" s="6" t="str">
        <x:v>76.7%</x:v>
      </x:c>
      <x:c r="O492" s="2" t="n">
        <x:v>76.7</x:v>
      </x:c>
      <x:c r="P492" s="2" t="str">
        <x:v>%</x:v>
      </x:c>
      <x:c r="Q492" s="6" t="str">
        <x:v>NR</x:v>
      </x:c>
      <x:c r="R492" s="2" t="str">
        <x:v>NR</x:v>
      </x:c>
      <x:c r="S492" s="2" t="str">
        <x:v>NR</x:v>
      </x:c>
      <x:c r="T492" s="2" t="str">
        <x:v>Better</x:v>
      </x:c>
      <x:c r="U492" s="2" t="str">
        <x:v>Not tested</x:v>
      </x:c>
      <x:c r="V492" s="2" t="str">
        <x:v>NR</x:v>
      </x:c>
      <x:c r="W492" s="2" t="str">
        <x:v>NR</x:v>
      </x:c>
      <x:c r="X492" s="2" t="str">
        <x:v>NR</x:v>
      </x:c>
      <x:c r="Y492" s="2" t="str">
        <x:v>NR</x:v>
      </x:c>
      <x:c r="Z492" s="2" t="str">
        <x:v>No</x:v>
      </x:c>
      <x:c r="AA492" s="6" t="str">
        <x:v>p. 10; Section 5.3</x:v>
      </x:c>
      <x:c r="AB492" s="6" t="str">
        <x:v>The addition of repository, folder and file level structures (Iteration 2) provided the most significant runtime improvement (76.7% reduction)</x:v>
      </x:c>
      <x:c r="AC492" s="6" t="str">
        <x:v>增加结构信息带来了 76.7% 的运行时间减少，是最大的单步改善。</x:v>
      </x:c>
      <x:c r="AD492" s="2" t="str">
        <x:v>Accepted</x:v>
      </x:c>
      <x:c r="AE492" s="6" t="str">
        <x:v>NA</x:v>
      </x:c>
    </x:row>
    <x:row r="493" ht="76" customHeight="1">
      <x:c r="A493" s="2" t="str">
        <x:v>S47-RESULT-R16</x:v>
      </x:c>
      <x:c r="B493" s="2" t="str">
        <x:v>S47</x:v>
      </x:c>
      <x:c r="C493" s="2" t="str">
        <x:v>merged_1302-v1</x:v>
      </x:c>
      <x:c r="D493" s="2" t="str">
        <x:v>Reviewer_A</x:v>
      </x:c>
      <x:c r="E493" s="2" t="str">
        <x:v>Reviewer_A</x:v>
      </x:c>
      <x:c r="F493" s="2" t="str">
        <x:v>S47-R16</x:v>
      </x:c>
      <x:c r="G493" s="2" t="str">
        <x:v>S47-EV01</x:v>
      </x:c>
      <x:c r="H493" s="2" t="str">
        <x:v>S47-T01</x:v>
      </x:c>
      <x:c r="I493" s="2" t="str">
        <x:v>NA</x:v>
      </x:c>
      <x:c r="J493" s="2" t="str">
        <x:v>Multiple open-source embedded systems repositories (154-156 specification sections)</x:v>
      </x:c>
      <x:c r="K493" s="2" t="str">
        <x:v>Gemini∗ + H2LooP Toolchain (Structures + Ctags)</x:v>
      </x:c>
      <x:c r="L493" s="2" t="str">
        <x:v>Gemini∗ + H2LooP Toolchain (Structures)</x:v>
      </x:c>
      <x:c r="M493" s="2" t="str">
        <x:v>Token consumption reduction</x:v>
      </x:c>
      <x:c r="N493" s="6" t="str">
        <x:v>63.8%</x:v>
      </x:c>
      <x:c r="O493" s="2" t="n">
        <x:v>63.8</x:v>
      </x:c>
      <x:c r="P493" s="2" t="str">
        <x:v>%</x:v>
      </x:c>
      <x:c r="Q493" s="6" t="str">
        <x:v>NR</x:v>
      </x:c>
      <x:c r="R493" s="2" t="str">
        <x:v>NR</x:v>
      </x:c>
      <x:c r="S493" s="2" t="str">
        <x:v>NR</x:v>
      </x:c>
      <x:c r="T493" s="2" t="str">
        <x:v>Better</x:v>
      </x:c>
      <x:c r="U493" s="2" t="str">
        <x:v>Not tested</x:v>
      </x:c>
      <x:c r="V493" s="2" t="str">
        <x:v>NR</x:v>
      </x:c>
      <x:c r="W493" s="2" t="str">
        <x:v>NR</x:v>
      </x:c>
      <x:c r="X493" s="2" t="str">
        <x:v>NR</x:v>
      </x:c>
      <x:c r="Y493" s="2" t="str">
        <x:v>NR</x:v>
      </x:c>
      <x:c r="Z493" s="2" t="str">
        <x:v>No</x:v>
      </x:c>
      <x:c r="AA493" s="6" t="str">
        <x:v>p. 10; Section 5.3</x:v>
      </x:c>
      <x:c r="AB493" s="6" t="str">
        <x:v>Ctags integration (Iteration 3) resulted in the largest reduction in token consumption (63.8% reduction)</x:v>
      </x:c>
      <x:c r="AC493" s="6" t="str">
        <x:v>引入 Ctags 符号解析后，token 消耗减少了 63.8%，是最显著的 token 节省。</x:v>
      </x:c>
      <x:c r="AD493" s="2" t="str">
        <x:v>Accepted</x:v>
      </x:c>
      <x:c r="AE493" s="6" t="str">
        <x:v>NA</x:v>
      </x:c>
    </x:row>
    <x:row r="494" ht="76" customHeight="1">
      <x:c r="A494" s="2" t="str">
        <x:v>S48-RESULT-R01</x:v>
      </x:c>
      <x:c r="B494" s="2" t="str">
        <x:v>S48</x:v>
      </x:c>
      <x:c r="C494" s="2" t="str">
        <x:v>merged_1441</x:v>
      </x:c>
      <x:c r="D494" s="2" t="str">
        <x:v>Reviewer_A</x:v>
      </x:c>
      <x:c r="E494" s="2" t="str">
        <x:v>Reviewer_A</x:v>
      </x:c>
      <x:c r="F494" s="2" t="str">
        <x:v>S48-R01</x:v>
      </x:c>
      <x:c r="G494" s="2" t="str">
        <x:v>S48-EV01</x:v>
      </x:c>
      <x:c r="H494" s="2" t="str">
        <x:v>S48-T01</x:v>
      </x:c>
      <x:c r="I494" s="2" t="str">
        <x:v>NA</x:v>
      </x:c>
      <x:c r="J494" s="2" t="str">
        <x:v>23 Apache Jira projects</x:v>
      </x:c>
      <x:c r="K494" s="2" t="str">
        <x:v>LHGLink</x:v>
      </x:c>
      <x:c r="L494" s="2" t="str">
        <x:v>DCCNN</x:v>
      </x:c>
      <x:c r="M494" s="2" t="str">
        <x:v>AUC</x:v>
      </x:c>
      <x:c r="N494" s="6" t="str">
        <x:v>95.11%</x:v>
      </x:c>
      <x:c r="O494" s="2" t="n">
        <x:v>95.11</x:v>
      </x:c>
      <x:c r="P494" s="2" t="str">
        <x:v>%</x:v>
      </x:c>
      <x:c r="Q494" s="6" t="str">
        <x:v>NR</x:v>
      </x:c>
      <x:c r="R494" s="2" t="str">
        <x:v>Unclear</x:v>
      </x:c>
      <x:c r="S494" s="2" t="str">
        <x:v>NR</x:v>
      </x:c>
      <x:c r="T494" s="2" t="str">
        <x:v>Better</x:v>
      </x:c>
      <x:c r="U494" s="2" t="str">
        <x:v>Significant</x:v>
      </x:c>
      <x:c r="V494" s="2" t="str">
        <x:v>Large effect size (Cohen's d large)</x:v>
      </x:c>
      <x:c r="W494" s="2" t="str">
        <x:v>NR</x:v>
      </x:c>
      <x:c r="X494" s="2" t="str">
        <x:v>NR</x:v>
      </x:c>
      <x:c r="Y494" s="2" t="str">
        <x:v>NR</x:v>
      </x:c>
      <x:c r="Z494" s="2" t="str">
        <x:v>No</x:v>
      </x:c>
      <x:c r="AA494" s="6" t="str">
        <x:v>p. 11; Section V.A</x:v>
      </x:c>
      <x:c r="AB494" s="6" t="str">
        <x:v>large gains observed in AUC(+38.40%)</x:v>
      </x:c>
      <x:c r="AC494" s="6" t="str">
        <x:v>LHGLink在AUC上相比DCCNN有大幅提升，相对提升38.40%。</x:v>
      </x:c>
      <x:c r="AD494" s="2" t="str">
        <x:v>Accepted</x:v>
      </x:c>
      <x:c r="AE494" s="6" t="str">
        <x:v>DCCNN基线值未直接给出，但可从提升百分比推断。</x:v>
      </x:c>
    </x:row>
    <x:row r="495" ht="76" customHeight="1">
      <x:c r="A495" s="2" t="str">
        <x:v>S48-RESULT-R02</x:v>
      </x:c>
      <x:c r="B495" s="2" t="str">
        <x:v>S48</x:v>
      </x:c>
      <x:c r="C495" s="2" t="str">
        <x:v>merged_1441</x:v>
      </x:c>
      <x:c r="D495" s="2" t="str">
        <x:v>Reviewer_A</x:v>
      </x:c>
      <x:c r="E495" s="2" t="str">
        <x:v>Reviewer_A</x:v>
      </x:c>
      <x:c r="F495" s="2" t="str">
        <x:v>S48-R02</x:v>
      </x:c>
      <x:c r="G495" s="2" t="str">
        <x:v>S48-EV01</x:v>
      </x:c>
      <x:c r="H495" s="2" t="str">
        <x:v>S48-T01</x:v>
      </x:c>
      <x:c r="I495" s="2" t="str">
        <x:v>NA</x:v>
      </x:c>
      <x:c r="J495" s="2" t="str">
        <x:v>23 Apache Jira projects</x:v>
      </x:c>
      <x:c r="K495" s="2" t="str">
        <x:v>LHGLink</x:v>
      </x:c>
      <x:c r="L495" s="2" t="str">
        <x:v>DCCNN</x:v>
      </x:c>
      <x:c r="M495" s="2" t="str">
        <x:v>Accuracy</x:v>
      </x:c>
      <x:c r="N495" s="6" t="str">
        <x:v>90.40%</x:v>
      </x:c>
      <x:c r="O495" s="2" t="n">
        <x:v>90.4</x:v>
      </x:c>
      <x:c r="P495" s="2" t="str">
        <x:v>%</x:v>
      </x:c>
      <x:c r="Q495" s="6" t="str">
        <x:v>NR</x:v>
      </x:c>
      <x:c r="R495" s="2" t="str">
        <x:v>Unclear</x:v>
      </x:c>
      <x:c r="S495" s="2" t="str">
        <x:v>NR</x:v>
      </x:c>
      <x:c r="T495" s="2" t="str">
        <x:v>Better</x:v>
      </x:c>
      <x:c r="U495" s="2" t="str">
        <x:v>Significant</x:v>
      </x:c>
      <x:c r="V495" s="2" t="str">
        <x:v>Large effect size (Cohen's d large)</x:v>
      </x:c>
      <x:c r="W495" s="2" t="str">
        <x:v>NR</x:v>
      </x:c>
      <x:c r="X495" s="2" t="str">
        <x:v>NR</x:v>
      </x:c>
      <x:c r="Y495" s="2" t="str">
        <x:v>NR</x:v>
      </x:c>
      <x:c r="Z495" s="2" t="str">
        <x:v>No</x:v>
      </x:c>
      <x:c r="AA495" s="6" t="str">
        <x:v>p. 11; Section V.A</x:v>
      </x:c>
      <x:c r="AB495" s="6" t="str">
        <x:v>when compared with DCCNN, with large gains observed in AUC(+38.40%), Accuracy (+49.39%), Precision (+50.78%),</x:v>
      </x:c>
      <x:c r="AC495" s="6" t="str">
        <x:v>LHGLink在Accuracy上相比DCCNN有大幅提升，相对提升49.39%。</x:v>
      </x:c>
      <x:c r="AD495" s="2" t="str">
        <x:v>Accepted</x:v>
      </x:c>
      <x:c r="AE495" s="6" t="str">
        <x:v>NR</x:v>
      </x:c>
    </x:row>
    <x:row r="496" ht="76" customHeight="1">
      <x:c r="A496" s="2" t="str">
        <x:v>S48-RESULT-R03</x:v>
      </x:c>
      <x:c r="B496" s="2" t="str">
        <x:v>S48</x:v>
      </x:c>
      <x:c r="C496" s="2" t="str">
        <x:v>merged_1441</x:v>
      </x:c>
      <x:c r="D496" s="2" t="str">
        <x:v>Reviewer_A</x:v>
      </x:c>
      <x:c r="E496" s="2" t="str">
        <x:v>Reviewer_A</x:v>
      </x:c>
      <x:c r="F496" s="2" t="str">
        <x:v>S48-R03</x:v>
      </x:c>
      <x:c r="G496" s="2" t="str">
        <x:v>S48-EV01</x:v>
      </x:c>
      <x:c r="H496" s="2" t="str">
        <x:v>S48-T01</x:v>
      </x:c>
      <x:c r="I496" s="2" t="str">
        <x:v>NA</x:v>
      </x:c>
      <x:c r="J496" s="2" t="str">
        <x:v>23 Apache Jira projects</x:v>
      </x:c>
      <x:c r="K496" s="2" t="str">
        <x:v>LHGLink</x:v>
      </x:c>
      <x:c r="L496" s="2" t="str">
        <x:v>DCCNN</x:v>
      </x:c>
      <x:c r="M496" s="2" t="str">
        <x:v>F1-score</x:v>
      </x:c>
      <x:c r="N496" s="6" t="str">
        <x:v>90.79%</x:v>
      </x:c>
      <x:c r="O496" s="2" t="n">
        <x:v>90.79</x:v>
      </x:c>
      <x:c r="P496" s="2" t="str">
        <x:v>%</x:v>
      </x:c>
      <x:c r="Q496" s="6" t="str">
        <x:v>NR</x:v>
      </x:c>
      <x:c r="R496" s="2" t="str">
        <x:v>Unclear</x:v>
      </x:c>
      <x:c r="S496" s="2" t="str">
        <x:v>NR</x:v>
      </x:c>
      <x:c r="T496" s="2" t="str">
        <x:v>Better</x:v>
      </x:c>
      <x:c r="U496" s="2" t="str">
        <x:v>Significant</x:v>
      </x:c>
      <x:c r="V496" s="2" t="str">
        <x:v>Large effect size (Cohen's d large)</x:v>
      </x:c>
      <x:c r="W496" s="2" t="str">
        <x:v>NR</x:v>
      </x:c>
      <x:c r="X496" s="2" t="str">
        <x:v>NR</x:v>
      </x:c>
      <x:c r="Y496" s="2" t="str">
        <x:v>NR</x:v>
      </x:c>
      <x:c r="Z496" s="2" t="str">
        <x:v>No</x:v>
      </x:c>
      <x:c r="AA496" s="6" t="str">
        <x:v>p. 11; Section V.A</x:v>
      </x:c>
      <x:c r="AB496" s="6" t="str">
        <x:v>and F1-score (+29.13%).</x:v>
      </x:c>
      <x:c r="AC496" s="6" t="str">
        <x:v>LHGLink在F1-score上相比DCCNN有大幅提升，相对提升29.13%。</x:v>
      </x:c>
      <x:c r="AD496" s="2" t="str">
        <x:v>Accepted</x:v>
      </x:c>
      <x:c r="AE496" s="6" t="str">
        <x:v>NR</x:v>
      </x:c>
    </x:row>
    <x:row r="497" ht="76" customHeight="1">
      <x:c r="A497" s="2" t="str">
        <x:v>S48-RESULT-R04</x:v>
      </x:c>
      <x:c r="B497" s="2" t="str">
        <x:v>S48</x:v>
      </x:c>
      <x:c r="C497" s="2" t="str">
        <x:v>merged_1441</x:v>
      </x:c>
      <x:c r="D497" s="2" t="str">
        <x:v>Reviewer_A</x:v>
      </x:c>
      <x:c r="E497" s="2" t="str">
        <x:v>Reviewer_A</x:v>
      </x:c>
      <x:c r="F497" s="2" t="str">
        <x:v>S48-R04</x:v>
      </x:c>
      <x:c r="G497" s="2" t="str">
        <x:v>S48-EV01</x:v>
      </x:c>
      <x:c r="H497" s="2" t="str">
        <x:v>S48-T01</x:v>
      </x:c>
      <x:c r="I497" s="2" t="str">
        <x:v>NA</x:v>
      </x:c>
      <x:c r="J497" s="2" t="str">
        <x:v>23 Apache Jira projects</x:v>
      </x:c>
      <x:c r="K497" s="2" t="str">
        <x:v>LHGLink</x:v>
      </x:c>
      <x:c r="L497" s="2" t="str">
        <x:v>TLDBERT</x:v>
      </x:c>
      <x:c r="M497" s="2" t="str">
        <x:v>Recall</x:v>
      </x:c>
      <x:c r="N497" s="6" t="str">
        <x:v>94.19%</x:v>
      </x:c>
      <x:c r="O497" s="2" t="n">
        <x:v>94.19</x:v>
      </x:c>
      <x:c r="P497" s="2" t="str">
        <x:v>%</x:v>
      </x:c>
      <x:c r="Q497" s="6" t="str">
        <x:v>NR</x:v>
      </x:c>
      <x:c r="R497" s="2" t="str">
        <x:v>Unclear</x:v>
      </x:c>
      <x:c r="S497" s="2" t="str">
        <x:v>NR</x:v>
      </x:c>
      <x:c r="T497" s="2" t="str">
        <x:v>Better</x:v>
      </x:c>
      <x:c r="U497" s="2" t="str">
        <x:v>Significant</x:v>
      </x:c>
      <x:c r="V497" s="2" t="str">
        <x:v>Large effect size (Cohen's d large)</x:v>
      </x:c>
      <x:c r="W497" s="2" t="str">
        <x:v>NR</x:v>
      </x:c>
      <x:c r="X497" s="2" t="str">
        <x:v>NR</x:v>
      </x:c>
      <x:c r="Y497" s="2" t="str">
        <x:v>NR</x:v>
      </x:c>
      <x:c r="Z497" s="2" t="str">
        <x:v>No</x:v>
      </x:c>
      <x:c r="AA497" s="6" t="str">
        <x:v>p. 11; Section V.A</x:v>
      </x:c>
      <x:c r="AB497" s="6" t="str">
        <x:v>Compared with the strongest baseline (TLDBERT), our framework still yields consistent improvements, particularly on Recall (+11.04%)</x:v>
      </x:c>
      <x:c r="AC497" s="6" t="str">
        <x:v>LHGLink在Recall上相比TLDBERT有显著提升，相对提升11.04%。</x:v>
      </x:c>
      <x:c r="AD497" s="2" t="str">
        <x:v>Accepted</x:v>
      </x:c>
      <x:c r="AE497" s="6" t="str">
        <x:v>NR</x:v>
      </x:c>
    </x:row>
    <x:row r="498" ht="76" customHeight="1">
      <x:c r="A498" s="2" t="str">
        <x:v>S48-RESULT-R05</x:v>
      </x:c>
      <x:c r="B498" s="2" t="str">
        <x:v>S48</x:v>
      </x:c>
      <x:c r="C498" s="2" t="str">
        <x:v>merged_1441</x:v>
      </x:c>
      <x:c r="D498" s="2" t="str">
        <x:v>Reviewer_A</x:v>
      </x:c>
      <x:c r="E498" s="2" t="str">
        <x:v>Reviewer_A</x:v>
      </x:c>
      <x:c r="F498" s="2" t="str">
        <x:v>S48-R05</x:v>
      </x:c>
      <x:c r="G498" s="2" t="str">
        <x:v>S48-EV01</x:v>
      </x:c>
      <x:c r="H498" s="2" t="str">
        <x:v>S48-T01</x:v>
      </x:c>
      <x:c r="I498" s="2" t="str">
        <x:v>NA</x:v>
      </x:c>
      <x:c r="J498" s="2" t="str">
        <x:v>23 Apache Jira projects</x:v>
      </x:c>
      <x:c r="K498" s="2" t="str">
        <x:v>LHGLink</x:v>
      </x:c>
      <x:c r="L498" s="2" t="str">
        <x:v>TLDBERT</x:v>
      </x:c>
      <x:c r="M498" s="2" t="str">
        <x:v>F1-score</x:v>
      </x:c>
      <x:c r="N498" s="6" t="str">
        <x:v>90.79%</x:v>
      </x:c>
      <x:c r="O498" s="2" t="n">
        <x:v>90.79</x:v>
      </x:c>
      <x:c r="P498" s="2" t="str">
        <x:v>%</x:v>
      </x:c>
      <x:c r="Q498" s="6" t="str">
        <x:v>NR</x:v>
      </x:c>
      <x:c r="R498" s="2" t="str">
        <x:v>Unclear</x:v>
      </x:c>
      <x:c r="S498" s="2" t="str">
        <x:v>NR</x:v>
      </x:c>
      <x:c r="T498" s="2" t="str">
        <x:v>Better</x:v>
      </x:c>
      <x:c r="U498" s="2" t="str">
        <x:v>Significant</x:v>
      </x:c>
      <x:c r="V498" s="2" t="str">
        <x:v>Large effect size (Cohen's d large)</x:v>
      </x:c>
      <x:c r="W498" s="2" t="str">
        <x:v>NR</x:v>
      </x:c>
      <x:c r="X498" s="2" t="str">
        <x:v>NR</x:v>
      </x:c>
      <x:c r="Y498" s="2" t="str">
        <x:v>NR</x:v>
      </x:c>
      <x:c r="Z498" s="2" t="str">
        <x:v>No</x:v>
      </x:c>
      <x:c r="AA498" s="6" t="str">
        <x:v>p. 11; Section V.A</x:v>
      </x:c>
      <x:c r="AB498" s="6" t="str">
        <x:v>Compared with the strongest baseline (TLDBERT), our framework still yields consistent improvements, particularly on</x:v>
      </x:c>
      <x:c r="AC498" s="6" t="str">
        <x:v>LHGLink在F1-score上相比TLDBERT有显著提升，相对提升6.02%。</x:v>
      </x:c>
      <x:c r="AD498" s="2" t="str">
        <x:v>Accepted</x:v>
      </x:c>
      <x:c r="AE498" s="6" t="str">
        <x:v>NR</x:v>
      </x:c>
    </x:row>
    <x:row r="499" ht="76" customHeight="1">
      <x:c r="A499" s="2" t="str">
        <x:v>S48-RESULT-R06</x:v>
      </x:c>
      <x:c r="B499" s="2" t="str">
        <x:v>S48</x:v>
      </x:c>
      <x:c r="C499" s="2" t="str">
        <x:v>merged_1441</x:v>
      </x:c>
      <x:c r="D499" s="2" t="str">
        <x:v>Reviewer_A</x:v>
      </x:c>
      <x:c r="E499" s="2" t="str">
        <x:v>Reviewer_A</x:v>
      </x:c>
      <x:c r="F499" s="2" t="str">
        <x:v>S48-R06</x:v>
      </x:c>
      <x:c r="G499" s="2" t="str">
        <x:v>S48-EV01</x:v>
      </x:c>
      <x:c r="H499" s="2" t="str">
        <x:v>S48-T01</x:v>
      </x:c>
      <x:c r="I499" s="2" t="str">
        <x:v>NA</x:v>
      </x:c>
      <x:c r="J499" s="2" t="str">
        <x:v>23 Apache Jira projects</x:v>
      </x:c>
      <x:c r="K499" s="2" t="str">
        <x:v>LHGLink (full)</x:v>
      </x:c>
      <x:c r="L499" s="2" t="str">
        <x:v>LHGLink (issue-only)</x:v>
      </x:c>
      <x:c r="M499" s="2" t="str">
        <x:v>F1-score</x:v>
      </x:c>
      <x:c r="N499" s="6" t="str">
        <x:v>90.79%</x:v>
      </x:c>
      <x:c r="O499" s="2" t="n">
        <x:v>90.79</x:v>
      </x:c>
      <x:c r="P499" s="2" t="str">
        <x:v>%</x:v>
      </x:c>
      <x:c r="Q499" s="6" t="str">
        <x:v>NR</x:v>
      </x:c>
      <x:c r="R499" s="2" t="str">
        <x:v>Unclear</x:v>
      </x:c>
      <x:c r="S499" s="2" t="str">
        <x:v>NR</x:v>
      </x:c>
      <x:c r="T499" s="2" t="str">
        <x:v>Better</x:v>
      </x:c>
      <x:c r="U499" s="2" t="str">
        <x:v>Significant</x:v>
      </x:c>
      <x:c r="V499" s="2" t="str">
        <x:v>Large effect size (Cohen's d large)</x:v>
      </x:c>
      <x:c r="W499" s="2" t="str">
        <x:v>NR</x:v>
      </x:c>
      <x:c r="X499" s="2" t="str">
        <x:v>NR</x:v>
      </x:c>
      <x:c r="Y499" s="2" t="str">
        <x:v>NR</x:v>
      </x:c>
      <x:c r="Z499" s="2" t="str">
        <x:v>No</x:v>
      </x:c>
      <x:c r="AA499" s="6" t="str">
        <x:v>p. 12; Section V.B</x:v>
      </x:c>
      <x:c r="AB499" s="6" t="str">
        <x:v>12.23% in F1-score</x:v>
      </x:c>
      <x:c r="AC499" s="6" t="str">
        <x:v>使用全部节点类型（issue+assignee+component）相比仅使用issue节点的F1-score有12.23%的提升，表明异构图建模的有效性。</x:v>
      </x:c>
      <x:c r="AD499" s="2" t="str">
        <x:v>Accepted</x:v>
      </x:c>
      <x:c r="AE499" s="6" t="str">
        <x:v>NR</x:v>
      </x:c>
    </x:row>
    <x:row r="500" ht="76" customHeight="1">
      <x:c r="A500" s="2" t="str">
        <x:v>S48-RESULT-R07</x:v>
      </x:c>
      <x:c r="B500" s="2" t="str">
        <x:v>S48</x:v>
      </x:c>
      <x:c r="C500" s="2" t="str">
        <x:v>merged_1441</x:v>
      </x:c>
      <x:c r="D500" s="2" t="str">
        <x:v>Reviewer_A</x:v>
      </x:c>
      <x:c r="E500" s="2" t="str">
        <x:v>Reviewer_A</x:v>
      </x:c>
      <x:c r="F500" s="2" t="str">
        <x:v>S48-R07</x:v>
      </x:c>
      <x:c r="G500" s="2" t="str">
        <x:v>S48-EV01</x:v>
      </x:c>
      <x:c r="H500" s="2" t="str">
        <x:v>S48-T01</x:v>
      </x:c>
      <x:c r="I500" s="2" t="str">
        <x:v>NA</x:v>
      </x:c>
      <x:c r="J500" s="2" t="str">
        <x:v>23 Apache Jira projects</x:v>
      </x:c>
      <x:c r="K500" s="2" t="str">
        <x:v>LHGLink (full)</x:v>
      </x:c>
      <x:c r="L500" s="2" t="str">
        <x:v>LHGLink (issue-only)</x:v>
      </x:c>
      <x:c r="M500" s="2" t="str">
        <x:v>AUC</x:v>
      </x:c>
      <x:c r="N500" s="6" t="str">
        <x:v>95.11%</x:v>
      </x:c>
      <x:c r="O500" s="2" t="n">
        <x:v>95.11</x:v>
      </x:c>
      <x:c r="P500" s="2" t="str">
        <x:v>%</x:v>
      </x:c>
      <x:c r="Q500" s="6" t="str">
        <x:v>NR</x:v>
      </x:c>
      <x:c r="R500" s="2" t="str">
        <x:v>Unclear</x:v>
      </x:c>
      <x:c r="S500" s="2" t="str">
        <x:v>NR</x:v>
      </x:c>
      <x:c r="T500" s="2" t="str">
        <x:v>Better</x:v>
      </x:c>
      <x:c r="U500" s="2" t="str">
        <x:v>Significant</x:v>
      </x:c>
      <x:c r="V500" s="2" t="str">
        <x:v>Large effect size (Cohen's d large)</x:v>
      </x:c>
      <x:c r="W500" s="2" t="str">
        <x:v>NR</x:v>
      </x:c>
      <x:c r="X500" s="2" t="str">
        <x:v>NR</x:v>
      </x:c>
      <x:c r="Y500" s="2" t="str">
        <x:v>NR</x:v>
      </x:c>
      <x:c r="Z500" s="2" t="str">
        <x:v>No</x:v>
      </x:c>
      <x:c r="AA500" s="6" t="str">
        <x:v>p. 12; Section V.B</x:v>
      </x:c>
      <x:c r="AB500" s="6" t="str">
        <x:v>full heterogeneous configuration yields substantial improvements of 8.72% in AUC, 14.09% in Accuracy, 8.91% in</x:v>
      </x:c>
      <x:c r="AC500" s="6" t="str">
        <x:v>使用全部节点类型相比仅使用issue节点在AUC上有8.72%的提升。</x:v>
      </x:c>
      <x:c r="AD500" s="2" t="str">
        <x:v>Accepted</x:v>
      </x:c>
      <x:c r="AE500" s="6" t="str">
        <x:v>NR</x:v>
      </x:c>
    </x:row>
    <x:row r="501" ht="76" customHeight="1">
      <x:c r="A501" s="2" t="str">
        <x:v>S48-RESULT-R08</x:v>
      </x:c>
      <x:c r="B501" s="2" t="str">
        <x:v>S48</x:v>
      </x:c>
      <x:c r="C501" s="2" t="str">
        <x:v>merged_1441</x:v>
      </x:c>
      <x:c r="D501" s="2" t="str">
        <x:v>Reviewer_A</x:v>
      </x:c>
      <x:c r="E501" s="2" t="str">
        <x:v>Reviewer_A</x:v>
      </x:c>
      <x:c r="F501" s="2" t="str">
        <x:v>S48-R08</x:v>
      </x:c>
      <x:c r="G501" s="2" t="str">
        <x:v>S48-EV01</x:v>
      </x:c>
      <x:c r="H501" s="2" t="str">
        <x:v>S48-T01</x:v>
      </x:c>
      <x:c r="I501" s="2" t="str">
        <x:v>NA</x:v>
      </x:c>
      <x:c r="J501" s="2" t="str">
        <x:v>23 Apache Jira projects</x:v>
      </x:c>
      <x:c r="K501" s="2" t="str">
        <x:v>LHGLink (W/Enh)</x:v>
      </x:c>
      <x:c r="L501" s="2" t="str">
        <x:v>LHGLink (W/O Enh)</x:v>
      </x:c>
      <x:c r="M501" s="2" t="str">
        <x:v>AUC</x:v>
      </x:c>
      <x:c r="N501" s="6" t="str">
        <x:v>95.11%</x:v>
      </x:c>
      <x:c r="O501" s="2" t="n">
        <x:v>95.11</x:v>
      </x:c>
      <x:c r="P501" s="2" t="str">
        <x:v>%</x:v>
      </x:c>
      <x:c r="Q501" s="6" t="str">
        <x:v>90.19%</x:v>
      </x:c>
      <x:c r="R501" s="2" t="n">
        <x:v>90.19</x:v>
      </x:c>
      <x:c r="S501" s="2" t="str">
        <x:v>NR</x:v>
      </x:c>
      <x:c r="T501" s="2" t="str">
        <x:v>Better</x:v>
      </x:c>
      <x:c r="U501" s="2" t="str">
        <x:v>Significant</x:v>
      </x:c>
      <x:c r="V501" s="2" t="str">
        <x:v>Large effect size (Cohen's d=0.89)</x:v>
      </x:c>
      <x:c r="W501" s="2" t="str">
        <x:v>NR</x:v>
      </x:c>
      <x:c r="X501" s="2" t="str">
        <x:v>NR</x:v>
      </x:c>
      <x:c r="Y501" s="2" t="str">
        <x:v>NR</x:v>
      </x:c>
      <x:c r="Z501" s="2" t="str">
        <x:v>No</x:v>
      </x:c>
      <x:c r="AA501" s="6" t="str">
        <x:v>p. 13; Table IV</x:v>
      </x:c>
      <x:c r="AB501" s="6" t="str">
        <x:v>AUC 95.11 90.19 5.46%</x:v>
      </x:c>
      <x:c r="AC501" s="6" t="str">
        <x:v>使用LLM文本增强后，AUC从90.19%提升到95.11%，提升5.46%。</x:v>
      </x:c>
      <x:c r="AD501" s="2" t="str">
        <x:v>Accepted</x:v>
      </x:c>
      <x:c r="AE501" s="6" t="str">
        <x:v>NR</x:v>
      </x:c>
    </x:row>
    <x:row r="502" ht="76" customHeight="1">
      <x:c r="A502" s="2" t="str">
        <x:v>S48-RESULT-R09</x:v>
      </x:c>
      <x:c r="B502" s="2" t="str">
        <x:v>S48</x:v>
      </x:c>
      <x:c r="C502" s="2" t="str">
        <x:v>merged_1441</x:v>
      </x:c>
      <x:c r="D502" s="2" t="str">
        <x:v>Reviewer_A</x:v>
      </x:c>
      <x:c r="E502" s="2" t="str">
        <x:v>Reviewer_A</x:v>
      </x:c>
      <x:c r="F502" s="2" t="str">
        <x:v>S48-R09</x:v>
      </x:c>
      <x:c r="G502" s="2" t="str">
        <x:v>S48-EV01</x:v>
      </x:c>
      <x:c r="H502" s="2" t="str">
        <x:v>S48-T01</x:v>
      </x:c>
      <x:c r="I502" s="2" t="str">
        <x:v>NA</x:v>
      </x:c>
      <x:c r="J502" s="2" t="str">
        <x:v>23 Apache Jira projects</x:v>
      </x:c>
      <x:c r="K502" s="2" t="str">
        <x:v>LHGLink (W/Enh)</x:v>
      </x:c>
      <x:c r="L502" s="2" t="str">
        <x:v>LHGLink (W/O Enh)</x:v>
      </x:c>
      <x:c r="M502" s="2" t="str">
        <x:v>Accuracy</x:v>
      </x:c>
      <x:c r="N502" s="6" t="str">
        <x:v>90.40%</x:v>
      </x:c>
      <x:c r="O502" s="2" t="n">
        <x:v>90.4</x:v>
      </x:c>
      <x:c r="P502" s="2" t="str">
        <x:v>%</x:v>
      </x:c>
      <x:c r="Q502" s="6" t="str">
        <x:v>84.40%</x:v>
      </x:c>
      <x:c r="R502" s="2" t="n">
        <x:v>84.4</x:v>
      </x:c>
      <x:c r="S502" s="2" t="str">
        <x:v>NR</x:v>
      </x:c>
      <x:c r="T502" s="2" t="str">
        <x:v>Better</x:v>
      </x:c>
      <x:c r="U502" s="2" t="str">
        <x:v>Significant</x:v>
      </x:c>
      <x:c r="V502" s="2" t="str">
        <x:v>Large effect size (Cohen's d=1.06)</x:v>
      </x:c>
      <x:c r="W502" s="2" t="str">
        <x:v>NR</x:v>
      </x:c>
      <x:c r="X502" s="2" t="str">
        <x:v>NR</x:v>
      </x:c>
      <x:c r="Y502" s="2" t="str">
        <x:v>NR</x:v>
      </x:c>
      <x:c r="Z502" s="2" t="str">
        <x:v>No</x:v>
      </x:c>
      <x:c r="AA502" s="6" t="str">
        <x:v>p. 13; Table IV</x:v>
      </x:c>
      <x:c r="AB502" s="6" t="str">
        <x:v>Accuracy 90.40 84.40 7.12%</x:v>
      </x:c>
      <x:c r="AC502" s="6" t="str">
        <x:v>使用LLM文本增强后，Accuracy从84.40%提升到90.40%，提升7.12%。</x:v>
      </x:c>
      <x:c r="AD502" s="2" t="str">
        <x:v>Accepted</x:v>
      </x:c>
      <x:c r="AE502" s="6" t="str">
        <x:v>NR</x:v>
      </x:c>
    </x:row>
    <x:row r="503" ht="76" customHeight="1">
      <x:c r="A503" s="2" t="str">
        <x:v>S48-RESULT-R10</x:v>
      </x:c>
      <x:c r="B503" s="2" t="str">
        <x:v>S48</x:v>
      </x:c>
      <x:c r="C503" s="2" t="str">
        <x:v>merged_1441</x:v>
      </x:c>
      <x:c r="D503" s="2" t="str">
        <x:v>Reviewer_A</x:v>
      </x:c>
      <x:c r="E503" s="2" t="str">
        <x:v>Reviewer_A</x:v>
      </x:c>
      <x:c r="F503" s="2" t="str">
        <x:v>S48-R10</x:v>
      </x:c>
      <x:c r="G503" s="2" t="str">
        <x:v>S48-EV01</x:v>
      </x:c>
      <x:c r="H503" s="2" t="str">
        <x:v>S48-T01</x:v>
      </x:c>
      <x:c r="I503" s="2" t="str">
        <x:v>NA</x:v>
      </x:c>
      <x:c r="J503" s="2" t="str">
        <x:v>23 Apache Jira projects</x:v>
      </x:c>
      <x:c r="K503" s="2" t="str">
        <x:v>LHGLink (W/Enh)</x:v>
      </x:c>
      <x:c r="L503" s="2" t="str">
        <x:v>LHGLink (W/O Enh)</x:v>
      </x:c>
      <x:c r="M503" s="2" t="str">
        <x:v>Recall</x:v>
      </x:c>
      <x:c r="N503" s="6" t="str">
        <x:v>94.19%</x:v>
      </x:c>
      <x:c r="O503" s="2" t="n">
        <x:v>94.19</x:v>
      </x:c>
      <x:c r="P503" s="2" t="str">
        <x:v>%</x:v>
      </x:c>
      <x:c r="Q503" s="6" t="str">
        <x:v>91.13%</x:v>
      </x:c>
      <x:c r="R503" s="2" t="n">
        <x:v>91.13</x:v>
      </x:c>
      <x:c r="S503" s="2" t="str">
        <x:v>NR</x:v>
      </x:c>
      <x:c r="T503" s="2" t="str">
        <x:v>Better</x:v>
      </x:c>
      <x:c r="U503" s="2" t="str">
        <x:v>Significant</x:v>
      </x:c>
      <x:c r="V503" s="2" t="str">
        <x:v>Medium effect size (Cohen's d=0.61)</x:v>
      </x:c>
      <x:c r="W503" s="2" t="str">
        <x:v>NR</x:v>
      </x:c>
      <x:c r="X503" s="2" t="str">
        <x:v>NR</x:v>
      </x:c>
      <x:c r="Y503" s="2" t="str">
        <x:v>NR</x:v>
      </x:c>
      <x:c r="Z503" s="2" t="str">
        <x:v>No</x:v>
      </x:c>
      <x:c r="AA503" s="6" t="str">
        <x:v>p. 13; Table IV</x:v>
      </x:c>
      <x:c r="AB503" s="6" t="str">
        <x:v>Recall 94.19 91.13 3.35%</x:v>
      </x:c>
      <x:c r="AC503" s="6" t="str">
        <x:v>使用LLM文本增强后，Recall从91.13%提升到94.19%，提升3.35%。</x:v>
      </x:c>
      <x:c r="AD503" s="2" t="str">
        <x:v>Accepted</x:v>
      </x:c>
      <x:c r="AE503" s="6" t="str">
        <x:v>NR</x:v>
      </x:c>
    </x:row>
    <x:row r="504" ht="76" customHeight="1">
      <x:c r="A504" s="2" t="str">
        <x:v>S48-RESULT-R11</x:v>
      </x:c>
      <x:c r="B504" s="2" t="str">
        <x:v>S48</x:v>
      </x:c>
      <x:c r="C504" s="2" t="str">
        <x:v>merged_1441</x:v>
      </x:c>
      <x:c r="D504" s="2" t="str">
        <x:v>Reviewer_A</x:v>
      </x:c>
      <x:c r="E504" s="2" t="str">
        <x:v>Reviewer_A</x:v>
      </x:c>
      <x:c r="F504" s="2" t="str">
        <x:v>S48-R11</x:v>
      </x:c>
      <x:c r="G504" s="2" t="str">
        <x:v>S48-EV01</x:v>
      </x:c>
      <x:c r="H504" s="2" t="str">
        <x:v>S48-T01</x:v>
      </x:c>
      <x:c r="I504" s="2" t="str">
        <x:v>NA</x:v>
      </x:c>
      <x:c r="J504" s="2" t="str">
        <x:v>23 Apache Jira projects</x:v>
      </x:c>
      <x:c r="K504" s="2" t="str">
        <x:v>LHGLink (W/Enh)</x:v>
      </x:c>
      <x:c r="L504" s="2" t="str">
        <x:v>LHGLink (W/O Enh)</x:v>
      </x:c>
      <x:c r="M504" s="2" t="str">
        <x:v>Precision</x:v>
      </x:c>
      <x:c r="N504" s="6" t="str">
        <x:v>87.84%</x:v>
      </x:c>
      <x:c r="O504" s="2" t="n">
        <x:v>87.84</x:v>
      </x:c>
      <x:c r="P504" s="2" t="str">
        <x:v>%</x:v>
      </x:c>
      <x:c r="Q504" s="6" t="str">
        <x:v>80.68%</x:v>
      </x:c>
      <x:c r="R504" s="2" t="n">
        <x:v>80.68</x:v>
      </x:c>
      <x:c r="S504" s="2" t="str">
        <x:v>NR</x:v>
      </x:c>
      <x:c r="T504" s="2" t="str">
        <x:v>Better</x:v>
      </x:c>
      <x:c r="U504" s="2" t="str">
        <x:v>Significant</x:v>
      </x:c>
      <x:c r="V504" s="2" t="str">
        <x:v>Large effect size (Cohen's d=1.22)</x:v>
      </x:c>
      <x:c r="W504" s="2" t="str">
        <x:v>NR</x:v>
      </x:c>
      <x:c r="X504" s="2" t="str">
        <x:v>NR</x:v>
      </x:c>
      <x:c r="Y504" s="2" t="str">
        <x:v>NR</x:v>
      </x:c>
      <x:c r="Z504" s="2" t="str">
        <x:v>No</x:v>
      </x:c>
      <x:c r="AA504" s="6" t="str">
        <x:v>p. 13; Table IV</x:v>
      </x:c>
      <x:c r="AB504" s="6" t="str">
        <x:v>Precision 87.84 80.68 8.86%</x:v>
      </x:c>
      <x:c r="AC504" s="6" t="str">
        <x:v>使用LLM文本增强后，Precision从80.68%提升到87.84%，提升8.86%。</x:v>
      </x:c>
      <x:c r="AD504" s="2" t="str">
        <x:v>Accepted</x:v>
      </x:c>
      <x:c r="AE504" s="6" t="str">
        <x:v>NR</x:v>
      </x:c>
    </x:row>
    <x:row r="505" ht="76" customHeight="1">
      <x:c r="A505" s="2" t="str">
        <x:v>S48-RESULT-R12</x:v>
      </x:c>
      <x:c r="B505" s="2" t="str">
        <x:v>S48</x:v>
      </x:c>
      <x:c r="C505" s="2" t="str">
        <x:v>merged_1441</x:v>
      </x:c>
      <x:c r="D505" s="2" t="str">
        <x:v>Reviewer_A</x:v>
      </x:c>
      <x:c r="E505" s="2" t="str">
        <x:v>Reviewer_A</x:v>
      </x:c>
      <x:c r="F505" s="2" t="str">
        <x:v>S48-R12</x:v>
      </x:c>
      <x:c r="G505" s="2" t="str">
        <x:v>S48-EV01</x:v>
      </x:c>
      <x:c r="H505" s="2" t="str">
        <x:v>S48-T01</x:v>
      </x:c>
      <x:c r="I505" s="2" t="str">
        <x:v>NA</x:v>
      </x:c>
      <x:c r="J505" s="2" t="str">
        <x:v>23 Apache Jira projects</x:v>
      </x:c>
      <x:c r="K505" s="2" t="str">
        <x:v>LHGLink (W/Enh)</x:v>
      </x:c>
      <x:c r="L505" s="2" t="str">
        <x:v>LHGLink (W/O Enh)</x:v>
      </x:c>
      <x:c r="M505" s="2" t="str">
        <x:v>F1-score</x:v>
      </x:c>
      <x:c r="N505" s="6" t="str">
        <x:v>90.79%</x:v>
      </x:c>
      <x:c r="O505" s="2" t="n">
        <x:v>90.79</x:v>
      </x:c>
      <x:c r="P505" s="2" t="str">
        <x:v>%</x:v>
      </x:c>
      <x:c r="Q505" s="6" t="str">
        <x:v>85.49%</x:v>
      </x:c>
      <x:c r="R505" s="2" t="n">
        <x:v>85.49</x:v>
      </x:c>
      <x:c r="S505" s="2" t="str">
        <x:v>NR</x:v>
      </x:c>
      <x:c r="T505" s="2" t="str">
        <x:v>Better</x:v>
      </x:c>
      <x:c r="U505" s="2" t="str">
        <x:v>Significant</x:v>
      </x:c>
      <x:c r="V505" s="2" t="str">
        <x:v>Large effect size (Cohen's d=1.11)</x:v>
      </x:c>
      <x:c r="W505" s="2" t="str">
        <x:v>NR</x:v>
      </x:c>
      <x:c r="X505" s="2" t="str">
        <x:v>NR</x:v>
      </x:c>
      <x:c r="Y505" s="2" t="str">
        <x:v>NR</x:v>
      </x:c>
      <x:c r="Z505" s="2" t="str">
        <x:v>No</x:v>
      </x:c>
      <x:c r="AA505" s="6" t="str">
        <x:v>p. 13; Table IV</x:v>
      </x:c>
      <x:c r="AB505" s="6" t="str">
        <x:v>F1-Score 90.79 85.49 6.20%</x:v>
      </x:c>
      <x:c r="AC505" s="6" t="str">
        <x:v>使用LLM文本增强后，F1-score从85.49%提升到90.79%，提升6.20%。</x:v>
      </x:c>
      <x:c r="AD505" s="2" t="str">
        <x:v>Accepted</x:v>
      </x:c>
      <x:c r="AE505" s="6" t="str">
        <x:v>NR</x:v>
      </x:c>
    </x:row>
    <x:row r="506" ht="76" customHeight="1">
      <x:c r="A506" s="2" t="str">
        <x:v>S48-RESULT-R13</x:v>
      </x:c>
      <x:c r="B506" s="2" t="str">
        <x:v>S48</x:v>
      </x:c>
      <x:c r="C506" s="2" t="str">
        <x:v>merged_1441</x:v>
      </x:c>
      <x:c r="D506" s="2" t="str">
        <x:v>Reviewer_A</x:v>
      </x:c>
      <x:c r="E506" s="2" t="str">
        <x:v>Reviewer_A</x:v>
      </x:c>
      <x:c r="F506" s="2" t="str">
        <x:v>S48-R13</x:v>
      </x:c>
      <x:c r="G506" s="2" t="str">
        <x:v>S48-EV01</x:v>
      </x:c>
      <x:c r="H506" s="2" t="str">
        <x:v>S48-T01</x:v>
      </x:c>
      <x:c r="I506" s="2" t="str">
        <x:v>NA</x:v>
      </x:c>
      <x:c r="J506" s="2" t="str">
        <x:v>23 Apache Jira projects</x:v>
      </x:c>
      <x:c r="K506" s="2" t="str">
        <x:v>LHGLink</x:v>
      </x:c>
      <x:c r="L506" s="2" t="str">
        <x:v>TLDBERT</x:v>
      </x:c>
      <x:c r="M506" s="2" t="str">
        <x:v>MRR</x:v>
      </x:c>
      <x:c r="N506" s="6" t="str">
        <x:v>0.7774</x:v>
      </x:c>
      <x:c r="O506" s="2" t="n">
        <x:v>0.7774</x:v>
      </x:c>
      <x:c r="P506" s="2" t="str">
        <x:v>other explicit unit</x:v>
      </x:c>
      <x:c r="Q506" s="6" t="str">
        <x:v>NR</x:v>
      </x:c>
      <x:c r="R506" s="2" t="str">
        <x:v>Unclear</x:v>
      </x:c>
      <x:c r="S506" s="2" t="str">
        <x:v>NR</x:v>
      </x:c>
      <x:c r="T506" s="2" t="str">
        <x:v>Better</x:v>
      </x:c>
      <x:c r="U506" s="2" t="str">
        <x:v>Not tested</x:v>
      </x:c>
      <x:c r="V506" s="2" t="str">
        <x:v>NR</x:v>
      </x:c>
      <x:c r="W506" s="2" t="str">
        <x:v>NR</x:v>
      </x:c>
      <x:c r="X506" s="2" t="str">
        <x:v>NR</x:v>
      </x:c>
      <x:c r="Y506" s="2" t="str">
        <x:v>NR</x:v>
      </x:c>
      <x:c r="Z506" s="2" t="str">
        <x:v>No</x:v>
      </x:c>
      <x:c r="AA506" s="6" t="str">
        <x:v>p. 16; Section VI.E</x:v>
      </x:c>
      <x:c r="AB506" s="6" t="str">
        <x:v>Even at 1:500, LHGLink maintains an MRR of 0.7774</x:v>
      </x:c>
      <x:c r="AC506" s="6" t="str">
        <x:v>在极端类别不平衡下（1:500），LHGLink的MRR仍达到0.7774，优于所有基线。</x:v>
      </x:c>
      <x:c r="AD506" s="2" t="str">
        <x:v>Accepted</x:v>
      </x:c>
      <x:c r="AE506" s="6" t="str">
        <x:v>NR</x:v>
      </x:c>
    </x:row>
    <x:row r="507" ht="76" customHeight="1">
      <x:c r="A507" s="2" t="str">
        <x:v>S48-RESULT-R14</x:v>
      </x:c>
      <x:c r="B507" s="2" t="str">
        <x:v>S48</x:v>
      </x:c>
      <x:c r="C507" s="2" t="str">
        <x:v>merged_1441</x:v>
      </x:c>
      <x:c r="D507" s="2" t="str">
        <x:v>Reviewer_A</x:v>
      </x:c>
      <x:c r="E507" s="2" t="str">
        <x:v>Reviewer_A</x:v>
      </x:c>
      <x:c r="F507" s="2" t="str">
        <x:v>S48-R14</x:v>
      </x:c>
      <x:c r="G507" s="2" t="str">
        <x:v>S48-EV01</x:v>
      </x:c>
      <x:c r="H507" s="2" t="str">
        <x:v>S48-T01</x:v>
      </x:c>
      <x:c r="I507" s="2" t="str">
        <x:v>NA</x:v>
      </x:c>
      <x:c r="J507" s="2" t="str">
        <x:v>23 Apache Jira projects</x:v>
      </x:c>
      <x:c r="K507" s="2" t="str">
        <x:v>LHGLink</x:v>
      </x:c>
      <x:c r="L507" s="2" t="str">
        <x:v>TLDBERT</x:v>
      </x:c>
      <x:c r="M507" s="2" t="str">
        <x:v>Recall@10</x:v>
      </x:c>
      <x:c r="N507" s="6" t="str">
        <x:v>0.9751</x:v>
      </x:c>
      <x:c r="O507" s="2" t="n">
        <x:v>0.9751</x:v>
      </x:c>
      <x:c r="P507" s="2" t="str">
        <x:v>other explicit unit</x:v>
      </x:c>
      <x:c r="Q507" s="6" t="str">
        <x:v>NR</x:v>
      </x:c>
      <x:c r="R507" s="2" t="str">
        <x:v>Unclear</x:v>
      </x:c>
      <x:c r="S507" s="2" t="str">
        <x:v>NR</x:v>
      </x:c>
      <x:c r="T507" s="2" t="str">
        <x:v>Better</x:v>
      </x:c>
      <x:c r="U507" s="2" t="str">
        <x:v>Not tested</x:v>
      </x:c>
      <x:c r="V507" s="2" t="str">
        <x:v>NR</x:v>
      </x:c>
      <x:c r="W507" s="2" t="str">
        <x:v>NR</x:v>
      </x:c>
      <x:c r="X507" s="2" t="str">
        <x:v>NR</x:v>
      </x:c>
      <x:c r="Y507" s="2" t="str">
        <x:v>NR</x:v>
      </x:c>
      <x:c r="Z507" s="2" t="str">
        <x:v>No</x:v>
      </x:c>
      <x:c r="AA507" s="6" t="str">
        <x:v>p. 16; Section VI.E (same sentence)</x:v>
      </x:c>
      <x:c r="AB507" s="6" t="str">
        <x:v>Recall@10 of 0.9751</x:v>
      </x:c>
      <x:c r="AC507" s="6" t="str">
        <x:v>在极端类别不平衡下（1:500），LHGLink的Recall@10达到0.9751，优于所有基线。</x:v>
      </x:c>
      <x:c r="AD507" s="2" t="str">
        <x:v>Accepted</x:v>
      </x:c>
      <x:c r="AE507" s="6" t="str">
        <x:v>NR</x:v>
      </x:c>
    </x:row>
    <x:row r="508" ht="76" customHeight="1">
      <x:c r="A508" s="2" t="str">
        <x:v>S49-RESULT-R01</x:v>
      </x:c>
      <x:c r="B508" s="2" t="str">
        <x:v>S49</x:v>
      </x:c>
      <x:c r="C508" s="2" t="str">
        <x:v>merged_1486</x:v>
      </x:c>
      <x:c r="D508" s="2" t="str">
        <x:v>Reviewer_A</x:v>
      </x:c>
      <x:c r="E508" s="2" t="str">
        <x:v>Reviewer_A</x:v>
      </x:c>
      <x:c r="F508" s="2" t="str">
        <x:v>S49-R01</x:v>
      </x:c>
      <x:c r="G508" s="2" t="str">
        <x:v>S49-EV01</x:v>
      </x:c>
      <x:c r="H508" s="2" t="str">
        <x:v>S49-T01</x:v>
      </x:c>
      <x:c r="I508" s="2" t="str">
        <x:v>NA</x:v>
      </x:c>
      <x:c r="J508" s="2" t="str">
        <x:v>PURE dataset (THEMAS and QHEADACHE)</x:v>
      </x:c>
      <x:c r="K508" s="2" t="str">
        <x:v>Question Refinement pattern</x:v>
      </x:c>
      <x:c r="L508" s="2" t="str">
        <x:v>Other prompt patterns (Cognitive Verifier, Context Manager, Persona, Template)</x:v>
      </x:c>
      <x:c r="M508" s="2" t="str">
        <x:v>precision</x:v>
      </x:c>
      <x:c r="N508" s="6" t="str">
        <x:v>the highest average precision</x:v>
      </x:c>
      <x:c r="O508" s="2" t="str">
        <x:v>Unclear</x:v>
      </x:c>
      <x:c r="P508" s="2" t="str">
        <x:v>NA</x:v>
      </x:c>
      <x:c r="Q508" s="6" t="str">
        <x:v>Unclear</x:v>
      </x:c>
      <x:c r="R508" s="2" t="str">
        <x:v>Unclear</x:v>
      </x:c>
      <x:c r="S508" s="2" t="str">
        <x:v>NR</x:v>
      </x:c>
      <x:c r="T508" s="2" t="str">
        <x:v>Better</x:v>
      </x:c>
      <x:c r="U508" s="2" t="str">
        <x:v>Not tested</x:v>
      </x:c>
      <x:c r="V508" s="2" t="str">
        <x:v>Not discussed</x:v>
      </x:c>
      <x:c r="W508" s="2" t="str">
        <x:v>NR</x:v>
      </x:c>
      <x:c r="X508" s="2" t="str">
        <x:v>NR</x:v>
      </x:c>
      <x:c r="Y508" s="2" t="str">
        <x:v>NR</x:v>
      </x:c>
      <x:c r="Z508" s="2" t="str">
        <x:v>No</x:v>
      </x:c>
      <x:c r="AA508" s="6" t="str">
        <x:v>p. 14; Section 4.1, Question Refinement Pattern</x:v>
      </x:c>
      <x:c r="AB508" s="6" t="str">
        <x:v>Even in the requirements traceability task, this pattern yielded the highest average precision, F-score and accuracy values in comparison to other patterns.</x:v>
      </x:c>
      <x:c r="AC508" s="6" t="str">
        <x:v>Question Refinement模式在追踪任务中获得了最高平均精确度。</x:v>
      </x:c>
      <x:c r="AD508" s="2" t="str">
        <x:v>Accepted</x:v>
      </x:c>
      <x:c r="AE508" s="6" t="str">
        <x:v>No numeric values provided in text; only comparative.</x:v>
      </x:c>
    </x:row>
    <x:row r="509" ht="76" customHeight="1">
      <x:c r="A509" s="2" t="str">
        <x:v>S49-RESULT-R02</x:v>
      </x:c>
      <x:c r="B509" s="2" t="str">
        <x:v>S49</x:v>
      </x:c>
      <x:c r="C509" s="2" t="str">
        <x:v>merged_1486</x:v>
      </x:c>
      <x:c r="D509" s="2" t="str">
        <x:v>Reviewer_A</x:v>
      </x:c>
      <x:c r="E509" s="2" t="str">
        <x:v>Reviewer_A</x:v>
      </x:c>
      <x:c r="F509" s="2" t="str">
        <x:v>S49-R02</x:v>
      </x:c>
      <x:c r="G509" s="2" t="str">
        <x:v>S49-EV01</x:v>
      </x:c>
      <x:c r="H509" s="2" t="str">
        <x:v>S49-T01</x:v>
      </x:c>
      <x:c r="I509" s="2" t="str">
        <x:v>NA</x:v>
      </x:c>
      <x:c r="J509" s="2" t="str">
        <x:v>PURE dataset (THEMAS and QHEADACHE)</x:v>
      </x:c>
      <x:c r="K509" s="2" t="str">
        <x:v>Question Refinement pattern</x:v>
      </x:c>
      <x:c r="L509" s="2" t="str">
        <x:v>Other prompt patterns (Cognitive Verifier, Context Manager, Persona, Template)</x:v>
      </x:c>
      <x:c r="M509" s="2" t="str">
        <x:v>F-score</x:v>
      </x:c>
      <x:c r="N509" s="6" t="str">
        <x:v>the highest average F-score</x:v>
      </x:c>
      <x:c r="O509" s="2" t="str">
        <x:v>Unclear</x:v>
      </x:c>
      <x:c r="P509" s="2" t="str">
        <x:v>NA</x:v>
      </x:c>
      <x:c r="Q509" s="6" t="str">
        <x:v>Unclear</x:v>
      </x:c>
      <x:c r="R509" s="2" t="str">
        <x:v>Unclear</x:v>
      </x:c>
      <x:c r="S509" s="2" t="str">
        <x:v>NR</x:v>
      </x:c>
      <x:c r="T509" s="2" t="str">
        <x:v>Better</x:v>
      </x:c>
      <x:c r="U509" s="2" t="str">
        <x:v>Not tested</x:v>
      </x:c>
      <x:c r="V509" s="2" t="str">
        <x:v>Not discussed</x:v>
      </x:c>
      <x:c r="W509" s="2" t="str">
        <x:v>NR</x:v>
      </x:c>
      <x:c r="X509" s="2" t="str">
        <x:v>NR</x:v>
      </x:c>
      <x:c r="Y509" s="2" t="str">
        <x:v>NR</x:v>
      </x:c>
      <x:c r="Z509" s="2" t="str">
        <x:v>No</x:v>
      </x:c>
      <x:c r="AA509" s="6" t="str">
        <x:v>p. 14; Section 4.1, Question Refinement Pattern</x:v>
      </x:c>
      <x:c r="AB509" s="6" t="str">
        <x:v>Even in the requirements traceability task, this pattern yielded the highest average precision, F-score and accuracy values in comparison to other patterns.</x:v>
      </x:c>
      <x:c r="AC509" s="6" t="str">
        <x:v>Question Refinement模式在追踪任务中获得了最高平均F-score。</x:v>
      </x:c>
      <x:c r="AD509" s="2" t="str">
        <x:v>Accepted</x:v>
      </x:c>
      <x:c r="AE509" s="6" t="str">
        <x:v>Same evidence as R1, but metric differs.</x:v>
      </x:c>
    </x:row>
    <x:row r="510" ht="76" customHeight="1">
      <x:c r="A510" s="2" t="str">
        <x:v>S49-RESULT-R03</x:v>
      </x:c>
      <x:c r="B510" s="2" t="str">
        <x:v>S49</x:v>
      </x:c>
      <x:c r="C510" s="2" t="str">
        <x:v>merged_1486</x:v>
      </x:c>
      <x:c r="D510" s="2" t="str">
        <x:v>Reviewer_A</x:v>
      </x:c>
      <x:c r="E510" s="2" t="str">
        <x:v>Reviewer_A</x:v>
      </x:c>
      <x:c r="F510" s="2" t="str">
        <x:v>S49-R03</x:v>
      </x:c>
      <x:c r="G510" s="2" t="str">
        <x:v>S49-EV01</x:v>
      </x:c>
      <x:c r="H510" s="2" t="str">
        <x:v>S49-T01</x:v>
      </x:c>
      <x:c r="I510" s="2" t="str">
        <x:v>NA</x:v>
      </x:c>
      <x:c r="J510" s="2" t="str">
        <x:v>PURE dataset (THEMAS and QHEADACHE)</x:v>
      </x:c>
      <x:c r="K510" s="2" t="str">
        <x:v>Question Refinement pattern</x:v>
      </x:c>
      <x:c r="L510" s="2" t="str">
        <x:v>Other prompt patterns (Cognitive Verifier, Context Manager, Persona, Template)</x:v>
      </x:c>
      <x:c r="M510" s="2" t="str">
        <x:v>accuracy</x:v>
      </x:c>
      <x:c r="N510" s="6" t="str">
        <x:v>the highest average accuracy</x:v>
      </x:c>
      <x:c r="O510" s="2" t="str">
        <x:v>Unclear</x:v>
      </x:c>
      <x:c r="P510" s="2" t="str">
        <x:v>NA</x:v>
      </x:c>
      <x:c r="Q510" s="6" t="str">
        <x:v>Unclear</x:v>
      </x:c>
      <x:c r="R510" s="2" t="str">
        <x:v>Unclear</x:v>
      </x:c>
      <x:c r="S510" s="2" t="str">
        <x:v>NR</x:v>
      </x:c>
      <x:c r="T510" s="2" t="str">
        <x:v>Better</x:v>
      </x:c>
      <x:c r="U510" s="2" t="str">
        <x:v>Not tested</x:v>
      </x:c>
      <x:c r="V510" s="2" t="str">
        <x:v>Not discussed</x:v>
      </x:c>
      <x:c r="W510" s="2" t="str">
        <x:v>NR</x:v>
      </x:c>
      <x:c r="X510" s="2" t="str">
        <x:v>NR</x:v>
      </x:c>
      <x:c r="Y510" s="2" t="str">
        <x:v>NR</x:v>
      </x:c>
      <x:c r="Z510" s="2" t="str">
        <x:v>No</x:v>
      </x:c>
      <x:c r="AA510" s="6" t="str">
        <x:v>p. 14; Section 4.1, Question Refinement Pattern</x:v>
      </x:c>
      <x:c r="AB510" s="6" t="str">
        <x:v>Even in the requirements traceability task, this pattern yielded the highest average precision, F-score and accuracy values in comparison to other patterns.</x:v>
      </x:c>
      <x:c r="AC510" s="6" t="str">
        <x:v>Question Refinement模式在追踪任务中获得了最高平均准确度。</x:v>
      </x:c>
      <x:c r="AD510" s="2" t="str">
        <x:v>Accepted</x:v>
      </x:c>
      <x:c r="AE510" s="6" t="str">
        <x:v>Same evidence as R1, but metric differs.</x:v>
      </x:c>
    </x:row>
    <x:row r="511" ht="76" customHeight="1">
      <x:c r="A511" s="2" t="str">
        <x:v>S49-RESULT-R04</x:v>
      </x:c>
      <x:c r="B511" s="2" t="str">
        <x:v>S49</x:v>
      </x:c>
      <x:c r="C511" s="2" t="str">
        <x:v>merged_1486</x:v>
      </x:c>
      <x:c r="D511" s="2" t="str">
        <x:v>Reviewer_A</x:v>
      </x:c>
      <x:c r="E511" s="2" t="str">
        <x:v>Reviewer_A</x:v>
      </x:c>
      <x:c r="F511" s="2" t="str">
        <x:v>S49-R04</x:v>
      </x:c>
      <x:c r="G511" s="2" t="str">
        <x:v>S49-EV01</x:v>
      </x:c>
      <x:c r="H511" s="2" t="str">
        <x:v>S49-T01</x:v>
      </x:c>
      <x:c r="I511" s="2" t="str">
        <x:v>NA</x:v>
      </x:c>
      <x:c r="J511" s="2" t="str">
        <x:v>PURE dataset (THEMAS and QHEADACHE)</x:v>
      </x:c>
      <x:c r="K511" s="2" t="str">
        <x:v>Persona pattern</x:v>
      </x:c>
      <x:c r="L511" s="2" t="str">
        <x:v>Other prompt patterns (Cognitive Verifier, Context Manager, Question Refinement, Template)</x:v>
      </x:c>
      <x:c r="M511" s="2" t="str">
        <x:v>recall</x:v>
      </x:c>
      <x:c r="N511" s="6" t="str">
        <x:v>the highest recall scores</x:v>
      </x:c>
      <x:c r="O511" s="2" t="str">
        <x:v>Unclear</x:v>
      </x:c>
      <x:c r="P511" s="2" t="str">
        <x:v>NA</x:v>
      </x:c>
      <x:c r="Q511" s="6" t="str">
        <x:v>Unclear</x:v>
      </x:c>
      <x:c r="R511" s="2" t="str">
        <x:v>Unclear</x:v>
      </x:c>
      <x:c r="S511" s="2" t="str">
        <x:v>NR</x:v>
      </x:c>
      <x:c r="T511" s="2" t="str">
        <x:v>Better</x:v>
      </x:c>
      <x:c r="U511" s="2" t="str">
        <x:v>Not tested</x:v>
      </x:c>
      <x:c r="V511" s="2" t="str">
        <x:v>Not discussed</x:v>
      </x:c>
      <x:c r="W511" s="2" t="str">
        <x:v>NR</x:v>
      </x:c>
      <x:c r="X511" s="2" t="str">
        <x:v>NR</x:v>
      </x:c>
      <x:c r="Y511" s="2" t="str">
        <x:v>NR</x:v>
      </x:c>
      <x:c r="Z511" s="2" t="str">
        <x:v>No</x:v>
      </x:c>
      <x:c r="AA511" s="6" t="str">
        <x:v>p. 13; Section 4.1, Persona Pattern</x:v>
      </x:c>
      <x:c r="AB511" s="6" t="str">
        <x:v>The Persona pattern yielded the highest recall scores compared to the other patterns when it comes to requirements traceability task.</x:v>
      </x:c>
      <x:c r="AC511" s="6" t="str">
        <x:v>Persona模式在追踪任务中获得了最高召回率。</x:v>
      </x:c>
      <x:c r="AD511" s="2" t="str">
        <x:v>Accepted</x:v>
      </x:c>
      <x:c r="AE511" s="6" t="str">
        <x:v>No numeric values provided in text; only comparative.</x:v>
      </x:c>
    </x:row>
    <x:row r="512" ht="76" customHeight="1">
      <x:c r="A512" s="2" t="str">
        <x:v>S49-RESULT-R05</x:v>
      </x:c>
      <x:c r="B512" s="2" t="str">
        <x:v>S49</x:v>
      </x:c>
      <x:c r="C512" s="2" t="str">
        <x:v>merged_1486</x:v>
      </x:c>
      <x:c r="D512" s="2" t="str">
        <x:v>Reviewer_A</x:v>
      </x:c>
      <x:c r="E512" s="2" t="str">
        <x:v>Reviewer_A</x:v>
      </x:c>
      <x:c r="F512" s="2" t="str">
        <x:v>S49-R05</x:v>
      </x:c>
      <x:c r="G512" s="2" t="str">
        <x:v>S49-EV01</x:v>
      </x:c>
      <x:c r="H512" s="2" t="str">
        <x:v>S49-T01</x:v>
      </x:c>
      <x:c r="I512" s="2" t="str">
        <x:v>NA</x:v>
      </x:c>
      <x:c r="J512" s="2" t="str">
        <x:v>PURE dataset (THEMAS and QHEADACHE)</x:v>
      </x:c>
      <x:c r="K512" s="2" t="str">
        <x:v>Question Refinement pattern</x:v>
      </x:c>
      <x:c r="L512" s="2" t="str">
        <x:v>All five prompt patterns</x:v>
      </x:c>
      <x:c r="M512" s="2" t="str">
        <x:v>rank</x:v>
      </x:c>
      <x:c r="N512" s="6" t="str">
        <x:v>1st</x:v>
      </x:c>
      <x:c r="O512" s="2" t="n">
        <x:v>1</x:v>
      </x:c>
      <x:c r="P512" s="2" t="str">
        <x:v>ordinal</x:v>
      </x:c>
      <x:c r="Q512" s="6" t="str">
        <x:v>NA</x:v>
      </x:c>
      <x:c r="R512" s="2" t="str">
        <x:v>NA</x:v>
      </x:c>
      <x:c r="S512" s="2" t="str">
        <x:v>NR</x:v>
      </x:c>
      <x:c r="T512" s="2" t="str">
        <x:v>Better</x:v>
      </x:c>
      <x:c r="U512" s="2" t="str">
        <x:v>Not tested</x:v>
      </x:c>
      <x:c r="V512" s="2" t="str">
        <x:v>Not discussed</x:v>
      </x:c>
      <x:c r="W512" s="2" t="str">
        <x:v>NR</x:v>
      </x:c>
      <x:c r="X512" s="2" t="str">
        <x:v>NR</x:v>
      </x:c>
      <x:c r="Y512" s="2" t="str">
        <x:v>NR</x:v>
      </x:c>
      <x:c r="Z512" s="2" t="str">
        <x:v>No</x:v>
      </x:c>
      <x:c r="AA512" s="6" t="str">
        <x:v>p. 15; Table 6</x:v>
      </x:c>
      <x:c r="AB512" s="6" t="str">
        <x:v>1st Question Refinement</x:v>
      </x:c>
      <x:c r="AC512" s="6" t="str">
        <x:v>在追踪任务中，Question Refinement模式综合排名第一。</x:v>
      </x:c>
      <x:c r="AD512" s="2" t="str">
        <x:v>Accepted</x:v>
      </x:c>
      <x:c r="AE512" s="6" t="str">
        <x:v>Ranks derived from performance metrics across all patterns.</x:v>
      </x:c>
    </x:row>
    <x:row r="513" ht="76" customHeight="1">
      <x:c r="A513" s="2" t="str">
        <x:v>S50-RESULT-R01</x:v>
      </x:c>
      <x:c r="B513" s="2" t="str">
        <x:v>S50</x:v>
      </x:c>
      <x:c r="C513" s="2" t="str">
        <x:v>snowball_00068</x:v>
      </x:c>
      <x:c r="D513" s="2" t="str">
        <x:v>Reviewer_A</x:v>
      </x:c>
      <x:c r="E513" s="2" t="str">
        <x:v>Reviewer_A</x:v>
      </x:c>
      <x:c r="F513" s="2" t="str">
        <x:v>S50-R01</x:v>
      </x:c>
      <x:c r="G513" s="2" t="str">
        <x:v>S50-EV01</x:v>
      </x:c>
      <x:c r="H513" s="2" t="str">
        <x:v>S50-T01</x:v>
      </x:c>
      <x:c r="I513" s="2" t="str">
        <x:v>S50-MU01</x:v>
      </x:c>
      <x:c r="J513" s="2" t="str">
        <x:v>Expert-created questions (30)</x:v>
      </x:c>
      <x:c r="K513" s="2" t="str">
        <x:v>Proposed framework</x:v>
      </x:c>
      <x:c r="L513" s="2" t="str">
        <x:v>No</x:v>
      </x:c>
      <x:c r="M513" s="2" t="str">
        <x:v>accuracy</x:v>
      </x:c>
      <x:c r="N513" s="6" t="str">
        <x:v>90%</x:v>
      </x:c>
      <x:c r="O513" s="2" t="n">
        <x:v>90</x:v>
      </x:c>
      <x:c r="P513" s="2" t="str">
        <x:v>%</x:v>
      </x:c>
      <x:c r="Q513" s="6" t="str">
        <x:v>No</x:v>
      </x:c>
      <x:c r="R513" s="2" t="str">
        <x:v>NA</x:v>
      </x:c>
      <x:c r="S513" s="2" t="str">
        <x:v>NR</x:v>
      </x:c>
      <x:c r="T513" s="2" t="str">
        <x:v>Not compared</x:v>
      </x:c>
      <x:c r="U513" s="2" t="str">
        <x:v>Not tested</x:v>
      </x:c>
      <x:c r="V513" s="2" t="str">
        <x:v>NR</x:v>
      </x:c>
      <x:c r="W513" s="2" t="str">
        <x:v>NR</x:v>
      </x:c>
      <x:c r="X513" s="2" t="str">
        <x:v>NR</x:v>
      </x:c>
      <x:c r="Y513" s="2" t="str">
        <x:v>NR</x:v>
      </x:c>
      <x:c r="Z513" s="2" t="str">
        <x:v>No</x:v>
      </x:c>
      <x:c r="AA513" s="6" t="str">
        <x:v>p. 11; Section V-B</x:v>
      </x:c>
      <x:c r="AB513" s="6" t="str">
        <x:v>high accuracy in multiple-choice and closed-ended questions</x:v>
      </x:c>
      <x:c r="AC513" s="6" t="str">
        <x:v>框架在选择题和封闭题上达到90%准确率。</x:v>
      </x:c>
      <x:c r="AD513" s="2" t="str">
        <x:v>Accepted</x:v>
      </x:c>
      <x:c r="AE513" s="6" t="str">
        <x:v>NA</x:v>
      </x:c>
    </x:row>
    <x:row r="514" ht="76" customHeight="1">
      <x:c r="A514" s="2" t="str">
        <x:v>S50-RESULT-R02</x:v>
      </x:c>
      <x:c r="B514" s="2" t="str">
        <x:v>S50</x:v>
      </x:c>
      <x:c r="C514" s="2" t="str">
        <x:v>snowball_00068</x:v>
      </x:c>
      <x:c r="D514" s="2" t="str">
        <x:v>Reviewer_A</x:v>
      </x:c>
      <x:c r="E514" s="2" t="str">
        <x:v>Reviewer_A</x:v>
      </x:c>
      <x:c r="F514" s="2" t="str">
        <x:v>S50-R02</x:v>
      </x:c>
      <x:c r="G514" s="2" t="str">
        <x:v>S50-EV01</x:v>
      </x:c>
      <x:c r="H514" s="2" t="str">
        <x:v>S50-T01</x:v>
      </x:c>
      <x:c r="I514" s="2" t="str">
        <x:v>S50-MU01</x:v>
      </x:c>
      <x:c r="J514" s="2" t="str">
        <x:v>Expert-created questions (30)</x:v>
      </x:c>
      <x:c r="K514" s="2" t="str">
        <x:v>Proposed framework</x:v>
      </x:c>
      <x:c r="L514" s="2" t="str">
        <x:v>No</x:v>
      </x:c>
      <x:c r="M514" s="2" t="str">
        <x:v>factual consistency</x:v>
      </x:c>
      <x:c r="N514" s="6" t="str">
        <x:v>75%</x:v>
      </x:c>
      <x:c r="O514" s="2" t="n">
        <x:v>75</x:v>
      </x:c>
      <x:c r="P514" s="2" t="str">
        <x:v>%</x:v>
      </x:c>
      <x:c r="Q514" s="6" t="str">
        <x:v>No</x:v>
      </x:c>
      <x:c r="R514" s="2" t="str">
        <x:v>NA</x:v>
      </x:c>
      <x:c r="S514" s="2" t="str">
        <x:v>NR</x:v>
      </x:c>
      <x:c r="T514" s="2" t="str">
        <x:v>Not compared</x:v>
      </x:c>
      <x:c r="U514" s="2" t="str">
        <x:v>Not tested</x:v>
      </x:c>
      <x:c r="V514" s="2" t="str">
        <x:v>NR</x:v>
      </x:c>
      <x:c r="W514" s="2" t="str">
        <x:v>NR</x:v>
      </x:c>
      <x:c r="X514" s="2" t="str">
        <x:v>NR</x:v>
      </x:c>
      <x:c r="Y514" s="2" t="str">
        <x:v>NR</x:v>
      </x:c>
      <x:c r="Z514" s="2" t="str">
        <x:v>No</x:v>
      </x:c>
      <x:c r="AA514" s="6" t="str">
        <x:v>p. 11; Section V-B</x:v>
      </x:c>
      <x:c r="AB514" s="6" t="str">
        <x:v>The model also showed excellent factual consistency (75%)</x:v>
      </x:c>
      <x:c r="AC514" s="6" t="str">
        <x:v>开放题的事实一致性为75%。</x:v>
      </x:c>
      <x:c r="AD514" s="2" t="str">
        <x:v>Accepted</x:v>
      </x:c>
      <x:c r="AE514" s="6" t="str">
        <x:v>NA</x:v>
      </x:c>
    </x:row>
    <x:row r="515" ht="76" customHeight="1">
      <x:c r="A515" s="2" t="str">
        <x:v>S50-RESULT-R03</x:v>
      </x:c>
      <x:c r="B515" s="2" t="str">
        <x:v>S50</x:v>
      </x:c>
      <x:c r="C515" s="2" t="str">
        <x:v>snowball_00068</x:v>
      </x:c>
      <x:c r="D515" s="2" t="str">
        <x:v>Reviewer_A</x:v>
      </x:c>
      <x:c r="E515" s="2" t="str">
        <x:v>Reviewer_A</x:v>
      </x:c>
      <x:c r="F515" s="2" t="str">
        <x:v>S50-R03</x:v>
      </x:c>
      <x:c r="G515" s="2" t="str">
        <x:v>S50-EV01</x:v>
      </x:c>
      <x:c r="H515" s="2" t="str">
        <x:v>S50-T01</x:v>
      </x:c>
      <x:c r="I515" s="2" t="str">
        <x:v>S50-MU01</x:v>
      </x:c>
      <x:c r="J515" s="2" t="str">
        <x:v>Expert-created questions (30)</x:v>
      </x:c>
      <x:c r="K515" s="2" t="str">
        <x:v>Proposed framework</x:v>
      </x:c>
      <x:c r="L515" s="2" t="str">
        <x:v>No</x:v>
      </x:c>
      <x:c r="M515" s="2" t="str">
        <x:v>semantic similarity</x:v>
      </x:c>
      <x:c r="N515" s="6" t="str">
        <x:v>79%</x:v>
      </x:c>
      <x:c r="O515" s="2" t="n">
        <x:v>79</x:v>
      </x:c>
      <x:c r="P515" s="2" t="str">
        <x:v>%</x:v>
      </x:c>
      <x:c r="Q515" s="6" t="str">
        <x:v>No</x:v>
      </x:c>
      <x:c r="R515" s="2" t="str">
        <x:v>NA</x:v>
      </x:c>
      <x:c r="S515" s="2" t="str">
        <x:v>NR</x:v>
      </x:c>
      <x:c r="T515" s="2" t="str">
        <x:v>Not compared</x:v>
      </x:c>
      <x:c r="U515" s="2" t="str">
        <x:v>Not tested</x:v>
      </x:c>
      <x:c r="V515" s="2" t="str">
        <x:v>NR</x:v>
      </x:c>
      <x:c r="W515" s="2" t="str">
        <x:v>NR</x:v>
      </x:c>
      <x:c r="X515" s="2" t="str">
        <x:v>NR</x:v>
      </x:c>
      <x:c r="Y515" s="2" t="str">
        <x:v>NR</x:v>
      </x:c>
      <x:c r="Z515" s="2" t="str">
        <x:v>No</x:v>
      </x:c>
      <x:c r="AA515" s="6" t="str">
        <x:v>p. 11; Section V-B</x:v>
      </x:c>
      <x:c r="AB515" s="6" t="str">
        <x:v>and semantic similarity (79%) in open-ended questions</x:v>
      </x:c>
      <x:c r="AC515" s="6" t="str">
        <x:v>语义相似度为79%。</x:v>
      </x:c>
      <x:c r="AD515" s="2" t="str">
        <x:v>Accepted</x:v>
      </x:c>
      <x:c r="AE515" s="6" t="str">
        <x:v>NA</x:v>
      </x:c>
    </x:row>
    <x:row r="516" ht="76" customHeight="1">
      <x:c r="A516" s="2" t="str">
        <x:v>S50-RESULT-R04</x:v>
      </x:c>
      <x:c r="B516" s="2" t="str">
        <x:v>S50</x:v>
      </x:c>
      <x:c r="C516" s="2" t="str">
        <x:v>snowball_00068</x:v>
      </x:c>
      <x:c r="D516" s="2" t="str">
        <x:v>Reviewer_A</x:v>
      </x:c>
      <x:c r="E516" s="2" t="str">
        <x:v>Reviewer_A</x:v>
      </x:c>
      <x:c r="F516" s="2" t="str">
        <x:v>S50-R04</x:v>
      </x:c>
      <x:c r="G516" s="2" t="str">
        <x:v>S50-EV01</x:v>
      </x:c>
      <x:c r="H516" s="2" t="str">
        <x:v>S50-T01</x:v>
      </x:c>
      <x:c r="I516" s="2" t="str">
        <x:v>S50-MU01</x:v>
      </x:c>
      <x:c r="J516" s="2" t="str">
        <x:v>Expert-created questions (30)</x:v>
      </x:c>
      <x:c r="K516" s="2" t="str">
        <x:v>Proposed framework</x:v>
      </x:c>
      <x:c r="L516" s="2" t="str">
        <x:v>No</x:v>
      </x:c>
      <x:c r="M516" s="2" t="str">
        <x:v>N-gram overlap</x:v>
      </x:c>
      <x:c r="N516" s="6" t="str">
        <x:v>34%</x:v>
      </x:c>
      <x:c r="O516" s="2" t="n">
        <x:v>34</x:v>
      </x:c>
      <x:c r="P516" s="2" t="str">
        <x:v>%</x:v>
      </x:c>
      <x:c r="Q516" s="6" t="str">
        <x:v>No</x:v>
      </x:c>
      <x:c r="R516" s="2" t="str">
        <x:v>NA</x:v>
      </x:c>
      <x:c r="S516" s="2" t="str">
        <x:v>NR</x:v>
      </x:c>
      <x:c r="T516" s="2" t="str">
        <x:v>Not compared</x:v>
      </x:c>
      <x:c r="U516" s="2" t="str">
        <x:v>Not tested</x:v>
      </x:c>
      <x:c r="V516" s="2" t="str">
        <x:v>NR</x:v>
      </x:c>
      <x:c r="W516" s="2" t="str">
        <x:v>NR</x:v>
      </x:c>
      <x:c r="X516" s="2" t="str">
        <x:v>NR</x:v>
      </x:c>
      <x:c r="Y516" s="2" t="str">
        <x:v>NR</x:v>
      </x:c>
      <x:c r="Z516" s="2" t="str">
        <x:v>No</x:v>
      </x:c>
      <x:c r="AA516" s="6" t="str">
        <x:v>p. 11; Section V-B</x:v>
      </x:c>
      <x:c r="AB516" s="6" t="str">
        <x:v>the N(=1)-gram overlap score (34%)</x:v>
      </x:c>
      <x:c r="AC516" s="6" t="str">
        <x:v>N-gram重迭度仅为34%，表明用词与参考回答差异大。</x:v>
      </x:c>
      <x:c r="AD516" s="2" t="str">
        <x:v>Accepted</x:v>
      </x:c>
      <x:c r="AE516" s="6" t="str">
        <x:v>NA</x:v>
      </x:c>
    </x:row>
    <x:row r="517" ht="76" customHeight="1">
      <x:c r="A517" s="2" t="str">
        <x:v>S50-RESULT-R05</x:v>
      </x:c>
      <x:c r="B517" s="2" t="str">
        <x:v>S50</x:v>
      </x:c>
      <x:c r="C517" s="2" t="str">
        <x:v>snowball_00068</x:v>
      </x:c>
      <x:c r="D517" s="2" t="str">
        <x:v>Reviewer_A</x:v>
      </x:c>
      <x:c r="E517" s="2" t="str">
        <x:v>Reviewer_A</x:v>
      </x:c>
      <x:c r="F517" s="2" t="str">
        <x:v>S50-R05</x:v>
      </x:c>
      <x:c r="G517" s="2" t="str">
        <x:v>S50-EV01</x:v>
      </x:c>
      <x:c r="H517" s="2" t="str">
        <x:v>S50-T01</x:v>
      </x:c>
      <x:c r="I517" s="2" t="str">
        <x:v>S50-MU01</x:v>
      </x:c>
      <x:c r="J517" s="2" t="str">
        <x:v>Expert-created questions (30)</x:v>
      </x:c>
      <x:c r="K517" s="2" t="str">
        <x:v>Proposed framework</x:v>
      </x:c>
      <x:c r="L517" s="2" t="str">
        <x:v>No</x:v>
      </x:c>
      <x:c r="M517" s="2" t="str">
        <x:v>length similarity</x:v>
      </x:c>
      <x:c r="N517" s="6" t="str">
        <x:v>67.5%</x:v>
      </x:c>
      <x:c r="O517" s="2" t="n">
        <x:v>67.5</x:v>
      </x:c>
      <x:c r="P517" s="2" t="str">
        <x:v>%</x:v>
      </x:c>
      <x:c r="Q517" s="6" t="str">
        <x:v>No</x:v>
      </x:c>
      <x:c r="R517" s="2" t="str">
        <x:v>NA</x:v>
      </x:c>
      <x:c r="S517" s="2" t="str">
        <x:v>NR</x:v>
      </x:c>
      <x:c r="T517" s="2" t="str">
        <x:v>Not compared</x:v>
      </x:c>
      <x:c r="U517" s="2" t="str">
        <x:v>Not tested</x:v>
      </x:c>
      <x:c r="V517" s="2" t="str">
        <x:v>NR</x:v>
      </x:c>
      <x:c r="W517" s="2" t="str">
        <x:v>NR</x:v>
      </x:c>
      <x:c r="X517" s="2" t="str">
        <x:v>NR</x:v>
      </x:c>
      <x:c r="Y517" s="2" t="str">
        <x:v>NR</x:v>
      </x:c>
      <x:c r="Z517" s="2" t="str">
        <x:v>No</x:v>
      </x:c>
      <x:c r="AA517" s="6" t="str">
        <x:v>p. 11; Section V-B</x:v>
      </x:c>
      <x:c r="AB517" s="6" t="str">
        <x:v>and length similarity (67.5%)</x:v>
      </x:c>
      <x:c r="AC517" s="6" t="str">
        <x:v>回答长度相似度为67.5%。</x:v>
      </x:c>
      <x:c r="AD517" s="2" t="str">
        <x:v>Accepted</x:v>
      </x:c>
      <x:c r="AE517" s="6" t="str">
        <x:v>NA</x:v>
      </x:c>
    </x:row>
    <x:row r="518" ht="76" customHeight="1">
      <x:c r="A518" s="2" t="str">
        <x:v>S50-RESULT-R06</x:v>
      </x:c>
      <x:c r="B518" s="2" t="str">
        <x:v>S50</x:v>
      </x:c>
      <x:c r="C518" s="2" t="str">
        <x:v>snowball_00068</x:v>
      </x:c>
      <x:c r="D518" s="2" t="str">
        <x:v>Reviewer_A</x:v>
      </x:c>
      <x:c r="E518" s="2" t="str">
        <x:v>Reviewer_A</x:v>
      </x:c>
      <x:c r="F518" s="2" t="str">
        <x:v>S50-R06</x:v>
      </x:c>
      <x:c r="G518" s="2" t="str">
        <x:v>S50-EV03</x:v>
      </x:c>
      <x:c r="H518" s="2" t="str">
        <x:v>S50-T01</x:v>
      </x:c>
      <x:c r="I518" s="2" t="str">
        <x:v>S50-MU01</x:v>
      </x:c>
      <x:c r="J518" s="2" t="str">
        <x:v>Usability comparison exercise (SPARQL vs LLM interface)</x:v>
      </x:c>
      <x:c r="K518" s="2" t="str">
        <x:v>Proposed LLM-based interface</x:v>
      </x:c>
      <x:c r="L518" s="2" t="str">
        <x:v>SPARQL</x:v>
      </x:c>
      <x:c r="M518" s="2" t="str">
        <x:v>ease of use</x:v>
      </x:c>
      <x:c r="N518" s="6" t="str">
        <x:v>83% easier to use</x:v>
      </x:c>
      <x:c r="O518" s="2" t="n">
        <x:v>83</x:v>
      </x:c>
      <x:c r="P518" s="2" t="str">
        <x:v>%</x:v>
      </x:c>
      <x:c r="Q518" s="6" t="str">
        <x:v>NR</x:v>
      </x:c>
      <x:c r="R518" s="2" t="str">
        <x:v>Unclear</x:v>
      </x:c>
      <x:c r="S518" s="2" t="str">
        <x:v>NR</x:v>
      </x:c>
      <x:c r="T518" s="2" t="str">
        <x:v>Better</x:v>
      </x:c>
      <x:c r="U518" s="2" t="str">
        <x:v>Not tested</x:v>
      </x:c>
      <x:c r="V518" s="2" t="str">
        <x:v>NR</x:v>
      </x:c>
      <x:c r="W518" s="2" t="str">
        <x:v>NR</x:v>
      </x:c>
      <x:c r="X518" s="2" t="str">
        <x:v>NR</x:v>
      </x:c>
      <x:c r="Y518" s="2" t="str">
        <x:v>NR</x:v>
      </x:c>
      <x:c r="Z518" s="2" t="str">
        <x:v>No</x:v>
      </x:c>
      <x:c r="AA518" s="6" t="str">
        <x:v>p. 12; Section V-D</x:v>
      </x:c>
      <x:c r="AB518" s="6" t="str">
        <x:v>approaches. The results indicate that, on average, our LLMbased user interface is 83% easier to use and provides 78%</x:v>
      </x:c>
      <x:c r="AC518" s="6" t="str">
        <x:v>用户认为LLM界面比SPARQL易用性高83%。</x:v>
      </x:c>
      <x:c r="AD518" s="2" t="str">
        <x:v>Accepted</x:v>
      </x:c>
      <x:c r="AE518" s="6" t="str">
        <x:v>NA</x:v>
      </x:c>
    </x:row>
    <x:row r="519" ht="76" customHeight="1">
      <x:c r="A519" s="2" t="str">
        <x:v>S50-RESULT-R07</x:v>
      </x:c>
      <x:c r="B519" s="2" t="str">
        <x:v>S50</x:v>
      </x:c>
      <x:c r="C519" s="2" t="str">
        <x:v>snowball_00068</x:v>
      </x:c>
      <x:c r="D519" s="2" t="str">
        <x:v>Reviewer_A</x:v>
      </x:c>
      <x:c r="E519" s="2" t="str">
        <x:v>Reviewer_A</x:v>
      </x:c>
      <x:c r="F519" s="2" t="str">
        <x:v>S50-R07</x:v>
      </x:c>
      <x:c r="G519" s="2" t="str">
        <x:v>S50-EV03</x:v>
      </x:c>
      <x:c r="H519" s="2" t="str">
        <x:v>S50-T01</x:v>
      </x:c>
      <x:c r="I519" s="2" t="str">
        <x:v>S50-MU01</x:v>
      </x:c>
      <x:c r="J519" s="2" t="str">
        <x:v>Usability comparison exercise (SPARQL vs LLM interface)</x:v>
      </x:c>
      <x:c r="K519" s="2" t="str">
        <x:v>Proposed LLM-based interface</x:v>
      </x:c>
      <x:c r="L519" s="2" t="str">
        <x:v>SPARQL</x:v>
      </x:c>
      <x:c r="M519" s="2" t="str">
        <x:v>meaningfulness</x:v>
      </x:c>
      <x:c r="N519" s="6" t="str">
        <x:v>78% more meaningful responses</x:v>
      </x:c>
      <x:c r="O519" s="2" t="n">
        <x:v>78</x:v>
      </x:c>
      <x:c r="P519" s="2" t="str">
        <x:v>%</x:v>
      </x:c>
      <x:c r="Q519" s="6" t="str">
        <x:v>NR</x:v>
      </x:c>
      <x:c r="R519" s="2" t="str">
        <x:v>Unclear</x:v>
      </x:c>
      <x:c r="S519" s="2" t="str">
        <x:v>NR</x:v>
      </x:c>
      <x:c r="T519" s="2" t="str">
        <x:v>Better</x:v>
      </x:c>
      <x:c r="U519" s="2" t="str">
        <x:v>Not tested</x:v>
      </x:c>
      <x:c r="V519" s="2" t="str">
        <x:v>NR</x:v>
      </x:c>
      <x:c r="W519" s="2" t="str">
        <x:v>NR</x:v>
      </x:c>
      <x:c r="X519" s="2" t="str">
        <x:v>NR</x:v>
      </x:c>
      <x:c r="Y519" s="2" t="str">
        <x:v>NR</x:v>
      </x:c>
      <x:c r="Z519" s="2" t="str">
        <x:v>No</x:v>
      </x:c>
      <x:c r="AA519" s="6" t="str">
        <x:v>p. 12; Section V-D</x:v>
      </x:c>
      <x:c r="AB519" s="6" t="str">
        <x:v>and provides 78% more meaningful responses compared to SPARQL.</x:v>
      </x:c>
      <x:c r="AC519" s="6" t="str">
        <x:v>回答的“有意义”程度提高78%。</x:v>
      </x:c>
      <x:c r="AD519" s="2" t="str">
        <x:v>Accepted</x:v>
      </x:c>
      <x:c r="AE519" s="6" t="str">
        <x:v>NA</x:v>
      </x:c>
    </x:row>
    <x:row r="520" ht="76" customHeight="1">
      <x:c r="A520" s="2" t="str">
        <x:v>S50-RESULT-R08</x:v>
      </x:c>
      <x:c r="B520" s="2" t="str">
        <x:v>S50</x:v>
      </x:c>
      <x:c r="C520" s="2" t="str">
        <x:v>snowball_00068</x:v>
      </x:c>
      <x:c r="D520" s="2" t="str">
        <x:v>Reviewer_A</x:v>
      </x:c>
      <x:c r="E520" s="2" t="str">
        <x:v>Reviewer_A</x:v>
      </x:c>
      <x:c r="F520" s="2" t="str">
        <x:v>S50-R08</x:v>
      </x:c>
      <x:c r="G520" s="2" t="str">
        <x:v>S50-EV03</x:v>
      </x:c>
      <x:c r="H520" s="2" t="str">
        <x:v>S50-T01</x:v>
      </x:c>
      <x:c r="I520" s="2" t="str">
        <x:v>S50-MU01</x:v>
      </x:c>
      <x:c r="J520" s="2" t="str">
        <x:v>Usability comparison exercise (SPARQL vs LLM interface)</x:v>
      </x:c>
      <x:c r="K520" s="2" t="str">
        <x:v>Proposed framework</x:v>
      </x:c>
      <x:c r="L520" s="2" t="str">
        <x:v>SPARQL</x:v>
      </x:c>
      <x:c r="M520" s="2" t="str">
        <x:v>response time</x:v>
      </x:c>
      <x:c r="N520" s="6" t="str">
        <x:v>3.2 s</x:v>
      </x:c>
      <x:c r="O520" s="2" t="n">
        <x:v>3.2</x:v>
      </x:c>
      <x:c r="P520" s="2" t="str">
        <x:v>seconds</x:v>
      </x:c>
      <x:c r="Q520" s="6" t="str">
        <x:v>less than 0.1 s</x:v>
      </x:c>
      <x:c r="R520" s="2" t="n">
        <x:v>0.1</x:v>
      </x:c>
      <x:c r="S520" s="2" t="str">
        <x:v>NR</x:v>
      </x:c>
      <x:c r="T520" s="2" t="str">
        <x:v>Worse</x:v>
      </x:c>
      <x:c r="U520" s="2" t="str">
        <x:v>Not tested</x:v>
      </x:c>
      <x:c r="V520" s="2" t="str">
        <x:v>NR</x:v>
      </x:c>
      <x:c r="W520" s="2" t="str">
        <x:v>NR</x:v>
      </x:c>
      <x:c r="X520" s="2" t="str">
        <x:v>LLM interface 3.2 s vs SPARQL &lt;0.1 s</x:v>
      </x:c>
      <x:c r="Y520" s="2" t="str">
        <x:v>NR</x:v>
      </x:c>
      <x:c r="Z520" s="2" t="str">
        <x:v>No</x:v>
      </x:c>
      <x:c r="AA520" s="6" t="str">
        <x:v>p. 12; Section V-D</x:v>
      </x:c>
      <x:c r="AB520" s="6" t="str">
        <x:v>SPARQL returns response in less than 0.1 s while the developed software tool generates response in 3.2 s.</x:v>
      </x:c>
      <x:c r="AC520" s="6" t="str">
        <x:v>LLM工具的响应时间（3.2秒）远慢于SPARQL（&lt;0.1秒）。</x:v>
      </x:c>
      <x:c r="AD520" s="2" t="str">
        <x:v>Accepted</x:v>
      </x:c>
      <x:c r="AE520" s="6" t="str">
        <x:v>NA</x:v>
      </x:c>
    </x:row>
    <x:row r="521" ht="76" customHeight="1">
      <x:c r="A521" s="2" t="str">
        <x:v>S51-RESULT-R01</x:v>
      </x:c>
      <x:c r="B521" s="2" t="str">
        <x:v>S51</x:v>
      </x:c>
      <x:c r="C521" s="2" t="str">
        <x:v>snowball_00085</x:v>
      </x:c>
      <x:c r="D521" s="2" t="str">
        <x:v>Reviewer_A</x:v>
      </x:c>
      <x:c r="E521" s="2" t="str">
        <x:v>Reviewer_A</x:v>
      </x:c>
      <x:c r="F521" s="2" t="str">
        <x:v>S51-R01</x:v>
      </x:c>
      <x:c r="G521" s="2" t="str">
        <x:v>S51-EV01</x:v>
      </x:c>
      <x:c r="H521" s="2" t="str">
        <x:v>S51-T01</x:v>
      </x:c>
      <x:c r="I521" s="2" t="str">
        <x:v>S51-MU01</x:v>
      </x:c>
      <x:c r="J521" s="2" t="str">
        <x:v>Smart Grid Workflow Specifications and Requirements Dataset</x:v>
      </x:c>
      <x:c r="K521" s="2" t="str">
        <x:v>GPT-4o (various prompts and conditions)</x:v>
      </x:c>
      <x:c r="L521" s="2" t="str">
        <x:v>formal rule-based system (ground truth)</x:v>
      </x:c>
      <x:c r="M521" s="2" t="str">
        <x:v>f1-score</x:v>
      </x:c>
      <x:c r="N521" s="6" t="str">
        <x:v>f1-scores between 79% and 92%</x:v>
      </x:c>
      <x:c r="O521" s="2" t="str">
        <x:v>Unclear</x:v>
      </x:c>
      <x:c r="P521" s="2" t="str">
        <x:v>%</x:v>
      </x:c>
      <x:c r="Q521" s="6" t="str">
        <x:v>formal method has 100% accuracy</x:v>
      </x:c>
      <x:c r="R521" s="2" t="n">
        <x:v>100</x:v>
      </x:c>
      <x:c r="S521" s="2" t="str">
        <x:v>NR</x:v>
      </x:c>
      <x:c r="T521" s="2" t="str">
        <x:v>Worse</x:v>
      </x:c>
      <x:c r="U521" s="2" t="str">
        <x:v>Not tested</x:v>
      </x:c>
      <x:c r="V521" s="2" t="str">
        <x:v>NR</x:v>
      </x:c>
      <x:c r="W521" s="2" t="str">
        <x:v>NR</x:v>
      </x:c>
      <x:c r="X521" s="2" t="str">
        <x:v>NR</x:v>
      </x:c>
      <x:c r="Y521" s="2" t="str">
        <x:v>NR</x:v>
      </x:c>
      <x:c r="Z521" s="2" t="str">
        <x:v>Yes</x:v>
      </x:c>
      <x:c r="AA521" s="6" t="str">
        <x:v>p. 5; Section V</x:v>
      </x:c>
      <x:c r="AB521" s="6" t="str">
        <x:v>even for the best performing model GPT-4o, f1-scores between 79% and 92% are observed, proving clear deficits compared to formal methods.</x:v>
      </x:c>
      <x:c r="AC521" s="6" t="str">
        <x:v>最佳模型GPT-4o的F1分数在79%-92%之间，仍低于形式化方法的100%，表明LLM尚未能完全替代形式化验证。</x:v>
      </x:c>
      <x:c r="AD521" s="2" t="str">
        <x:v>Accepted</x:v>
      </x:c>
      <x:c r="AE521" s="6" t="str">
        <x:v>NA</x:v>
      </x:c>
    </x:row>
    <x:row r="522" ht="76" customHeight="1">
      <x:c r="A522" s="2" t="str">
        <x:v>S51-RESULT-R02</x:v>
      </x:c>
      <x:c r="B522" s="2" t="str">
        <x:v>S51</x:v>
      </x:c>
      <x:c r="C522" s="2" t="str">
        <x:v>snowball_00085</x:v>
      </x:c>
      <x:c r="D522" s="2" t="str">
        <x:v>Reviewer_A</x:v>
      </x:c>
      <x:c r="E522" s="2" t="str">
        <x:v>Reviewer_A</x:v>
      </x:c>
      <x:c r="F522" s="2" t="str">
        <x:v>S51-R02</x:v>
      </x:c>
      <x:c r="G522" s="2" t="str">
        <x:v>S51-EV01</x:v>
      </x:c>
      <x:c r="H522" s="2" t="str">
        <x:v>S51-T01</x:v>
      </x:c>
      <x:c r="I522" s="2" t="str">
        <x:v>S51-MU01</x:v>
      </x:c>
      <x:c r="J522" s="2" t="str">
        <x:v>Smart Grid Workflow Specifications and Requirements Dataset</x:v>
      </x:c>
      <x:c r="K522" s="2" t="str">
        <x:v>GPT-4o (average over conditions)</x:v>
      </x:c>
      <x:c r="L522" s="2" t="str">
        <x:v>NR</x:v>
      </x:c>
      <x:c r="M522" s="2" t="str">
        <x:v>f1-score (fulfillment)</x:v>
      </x:c>
      <x:c r="N522" s="6" t="str">
        <x:v>0.87</x:v>
      </x:c>
      <x:c r="O522" s="2" t="n">
        <x:v>0.87</x:v>
      </x:c>
      <x:c r="P522" s="2" t="str">
        <x:v>proportion</x:v>
      </x:c>
      <x:c r="Q522" s="6" t="str">
        <x:v>NR</x:v>
      </x:c>
      <x:c r="R522" s="2" t="str">
        <x:v>NR</x:v>
      </x:c>
      <x:c r="S522" s="2" t="str">
        <x:v>NR</x:v>
      </x:c>
      <x:c r="T522" s="2" t="str">
        <x:v>Better</x:v>
      </x:c>
      <x:c r="U522" s="2" t="str">
        <x:v>Not tested</x:v>
      </x:c>
      <x:c r="V522" s="2" t="str">
        <x:v>NR</x:v>
      </x:c>
      <x:c r="W522" s="2" t="str">
        <x:v>NR</x:v>
      </x:c>
      <x:c r="X522" s="2" t="str">
        <x:v>NR</x:v>
      </x:c>
      <x:c r="Y522" s="2" t="str">
        <x:v>NR</x:v>
      </x:c>
      <x:c r="Z522" s="2" t="str">
        <x:v>No</x:v>
      </x:c>
      <x:c r="AA522" s="6" t="str">
        <x:v>p. 5; Table I</x:v>
      </x:c>
      <x:c r="AB522" s="6" t="str">
        <x:v>High 0.45 0.11 0.17 0.92 0.47 0.62 0.93 0.81 0.87 1 0.94 0.97 0.87 0.77 0.82 0.98 0.86 0.92 0.46 0.56 0.51 0.97 0.51 0.67</x:v>
      </x:c>
      <x:c r="AC522" s="6" t="str">
        <x:v>在系统规格复杂度高的条件下，GPT-4o的满足性F1分数达到0.87，高于低复杂度时的0.81，表明模型在复杂规格上表现更好。</x:v>
      </x:c>
      <x:c r="AD522" s="2" t="str">
        <x:v>Accepted</x:v>
      </x:c>
      <x:c r="AE522" s="6" t="str">
        <x:v>Table I中Specification Complexity High行的第9个数值对应GPT-4o Ful. F1</x:v>
      </x:c>
    </x:row>
    <x:row r="523" ht="76" customHeight="1">
      <x:c r="A523" s="2" t="str">
        <x:v>S51-RESULT-R03</x:v>
      </x:c>
      <x:c r="B523" s="2" t="str">
        <x:v>S51</x:v>
      </x:c>
      <x:c r="C523" s="2" t="str">
        <x:v>snowball_00085</x:v>
      </x:c>
      <x:c r="D523" s="2" t="str">
        <x:v>Reviewer_A</x:v>
      </x:c>
      <x:c r="E523" s="2" t="str">
        <x:v>Reviewer_A</x:v>
      </x:c>
      <x:c r="F523" s="2" t="str">
        <x:v>S51-R03</x:v>
      </x:c>
      <x:c r="G523" s="2" t="str">
        <x:v>S51-EV01</x:v>
      </x:c>
      <x:c r="H523" s="2" t="str">
        <x:v>S51-T01</x:v>
      </x:c>
      <x:c r="I523" s="2" t="str">
        <x:v>S51-MU01</x:v>
      </x:c>
      <x:c r="J523" s="2" t="str">
        <x:v>Smart Grid Workflow Specifications and Requirements Dataset</x:v>
      </x:c>
      <x:c r="K523" s="2" t="str">
        <x:v>GPT-4o (average over conditions)</x:v>
      </x:c>
      <x:c r="L523" s="2" t="str">
        <x:v>NR</x:v>
      </x:c>
      <x:c r="M523" s="2" t="str">
        <x:v>f1-score (fulfillment)</x:v>
      </x:c>
      <x:c r="N523" s="6" t="str">
        <x:v>0.81</x:v>
      </x:c>
      <x:c r="O523" s="2" t="n">
        <x:v>0.81</x:v>
      </x:c>
      <x:c r="P523" s="2" t="str">
        <x:v>proportion</x:v>
      </x:c>
      <x:c r="Q523" s="6" t="str">
        <x:v>NR</x:v>
      </x:c>
      <x:c r="R523" s="2" t="str">
        <x:v>NR</x:v>
      </x:c>
      <x:c r="S523" s="2" t="str">
        <x:v>NR</x:v>
      </x:c>
      <x:c r="T523" s="2" t="str">
        <x:v>Worse</x:v>
      </x:c>
      <x:c r="U523" s="2" t="str">
        <x:v>Not tested</x:v>
      </x:c>
      <x:c r="V523" s="2" t="str">
        <x:v>NR</x:v>
      </x:c>
      <x:c r="W523" s="2" t="str">
        <x:v>NR</x:v>
      </x:c>
      <x:c r="X523" s="2" t="str">
        <x:v>NR</x:v>
      </x:c>
      <x:c r="Y523" s="2" t="str">
        <x:v>NR</x:v>
      </x:c>
      <x:c r="Z523" s="2" t="str">
        <x:v>No</x:v>
      </x:c>
      <x:c r="AA523" s="6" t="str">
        <x:v>p. 5; Table I</x:v>
      </x:c>
      <x:c r="AB523" s="6" t="str">
        <x:v>20 0.3 0.23 0.26 0.8 0.38 0.51 0.79 0.82 0.81 0.99 0.89 0.94 0.64 0.77 0.7 0.99 0.78 0.88 0.41 0.61 0.49 0.96 0.59 0.73</x:v>
      </x:c>
      <x:c r="AC523" s="6" t="str">
        <x:v>随着需求数量增加，GPT-4o的满足性F1分数从5条需求时的0.92降至20条时的0.81，表明任务分解有助于提高性能。</x:v>
      </x:c>
      <x:c r="AD523" s="2" t="str">
        <x:v>Accepted</x:v>
      </x:c>
      <x:c r="AE523" s="6" t="str">
        <x:v>Table I中Number of Requirements 20行的第9个数值对应GPT-4o Ful. F1</x:v>
      </x:c>
    </x:row>
    <x:row r="524" ht="76" customHeight="1">
      <x:c r="A524" s="2" t="str">
        <x:v>S51-RESULT-R04</x:v>
      </x:c>
      <x:c r="B524" s="2" t="str">
        <x:v>S51</x:v>
      </x:c>
      <x:c r="C524" s="2" t="str">
        <x:v>snowball_00085</x:v>
      </x:c>
      <x:c r="D524" s="2" t="str">
        <x:v>Reviewer_A</x:v>
      </x:c>
      <x:c r="E524" s="2" t="str">
        <x:v>Reviewer_A</x:v>
      </x:c>
      <x:c r="F524" s="2" t="str">
        <x:v>S51-R04</x:v>
      </x:c>
      <x:c r="G524" s="2" t="str">
        <x:v>S51-EV01</x:v>
      </x:c>
      <x:c r="H524" s="2" t="str">
        <x:v>S51-T01</x:v>
      </x:c>
      <x:c r="I524" s="2" t="str">
        <x:v>S51-MU01</x:v>
      </x:c>
      <x:c r="J524" s="2" t="str">
        <x:v>Smart Grid Workflow Specifications and Requirements Dataset</x:v>
      </x:c>
      <x:c r="K524" s="2" t="str">
        <x:v>few-shot prompting</x:v>
      </x:c>
      <x:c r="L524" s="2" t="str">
        <x:v>base prompt</x:v>
      </x:c>
      <x:c r="M524" s="2" t="str">
        <x:v>f1-score (applicability)</x:v>
      </x:c>
      <x:c r="N524" s="6" t="str">
        <x:v>0.99</x:v>
      </x:c>
      <x:c r="O524" s="2" t="n">
        <x:v>0.99</x:v>
      </x:c>
      <x:c r="P524" s="2" t="str">
        <x:v>proportion</x:v>
      </x:c>
      <x:c r="Q524" s="6" t="str">
        <x:v>0.81</x:v>
      </x:c>
      <x:c r="R524" s="2" t="n">
        <x:v>0.81</x:v>
      </x:c>
      <x:c r="S524" s="2" t="str">
        <x:v>NR</x:v>
      </x:c>
      <x:c r="T524" s="2" t="str">
        <x:v>Better</x:v>
      </x:c>
      <x:c r="U524" s="2" t="str">
        <x:v>Not tested</x:v>
      </x:c>
      <x:c r="V524" s="2" t="str">
        <x:v>NR</x:v>
      </x:c>
      <x:c r="W524" s="2" t="str">
        <x:v>NR</x:v>
      </x:c>
      <x:c r="X524" s="2" t="str">
        <x:v>NR</x:v>
      </x:c>
      <x:c r="Y524" s="2" t="str">
        <x:v>NR</x:v>
      </x:c>
      <x:c r="Z524" s="2" t="str">
        <x:v>No</x:v>
      </x:c>
      <x:c r="AA524" s="6" t="str">
        <x:v>p. 5; Table I</x:v>
      </x:c>
      <x:c r="AB524" s="6" t="str">
        <x:v>few-shot 0.57 0.42 0.48 0.84 0.86 0.85 0.93 0.87 0.9 0.99 0.99 0.99 0.93 0.89 0.91 1 0.98 0.99 0.83 0.83 0.83 0.99 0.91 0.95</x:v>
      </x:c>
      <x:c r="AC524" s="6" t="str">
        <x:v>GPT-4o在少样本提示下，需求适用性判断的F1分数达到0.99，相比基础提示的0.81有显著提升，表明提示策略对性能影响重大。</x:v>
      </x:c>
      <x:c r="AD524" s="2" t="str">
        <x:v>Accepted</x:v>
      </x:c>
      <x:c r="AE524" s="6" t="str">
        <x:v>baseline value 0.81 from base prompt row in Table I</x:v>
      </x:c>
    </x:row>
    <x:row r="525" ht="76" customHeight="1">
      <x:c r="A525" s="2" t="str">
        <x:v>S51-RESULT-R05</x:v>
      </x:c>
      <x:c r="B525" s="2" t="str">
        <x:v>S51</x:v>
      </x:c>
      <x:c r="C525" s="2" t="str">
        <x:v>snowball_00085</x:v>
      </x:c>
      <x:c r="D525" s="2" t="str">
        <x:v>Reviewer_A</x:v>
      </x:c>
      <x:c r="E525" s="2" t="str">
        <x:v>Reviewer_A</x:v>
      </x:c>
      <x:c r="F525" s="2" t="str">
        <x:v>S51-R05</x:v>
      </x:c>
      <x:c r="G525" s="2" t="str">
        <x:v>S51-EV01</x:v>
      </x:c>
      <x:c r="H525" s="2" t="str">
        <x:v>S51-T01</x:v>
      </x:c>
      <x:c r="I525" s="2" t="str">
        <x:v>S51-MU01</x:v>
      </x:c>
      <x:c r="J525" s="2" t="str">
        <x:v>Smart Grid Workflow Specifications and Requirements Dataset</x:v>
      </x:c>
      <x:c r="K525" s="2" t="str">
        <x:v>conversational style</x:v>
      </x:c>
      <x:c r="L525" s="2" t="str">
        <x:v>structured style</x:v>
      </x:c>
      <x:c r="M525" s="2" t="str">
        <x:v>f1-score (fulfillment)</x:v>
      </x:c>
      <x:c r="N525" s="6" t="str">
        <x:v>0.83</x:v>
      </x:c>
      <x:c r="O525" s="2" t="n">
        <x:v>0.83</x:v>
      </x:c>
      <x:c r="P525" s="2" t="str">
        <x:v>proportion</x:v>
      </x:c>
      <x:c r="Q525" s="6" t="str">
        <x:v>0.87</x:v>
      </x:c>
      <x:c r="R525" s="2" t="n">
        <x:v>0.87</x:v>
      </x:c>
      <x:c r="S525" s="2" t="str">
        <x:v>NR</x:v>
      </x:c>
      <x:c r="T525" s="2" t="str">
        <x:v>Worse</x:v>
      </x:c>
      <x:c r="U525" s="2" t="str">
        <x:v>Not tested</x:v>
      </x:c>
      <x:c r="V525" s="2" t="str">
        <x:v>NR</x:v>
      </x:c>
      <x:c r="W525" s="2" t="str">
        <x:v>NR</x:v>
      </x:c>
      <x:c r="X525" s="2" t="str">
        <x:v>NR</x:v>
      </x:c>
      <x:c r="Y525" s="2" t="str">
        <x:v>NR</x:v>
      </x:c>
      <x:c r="Z525" s="2" t="str">
        <x:v>No</x:v>
      </x:c>
      <x:c r="AA525" s="6" t="str">
        <x:v>p. 5; Table I</x:v>
      </x:c>
      <x:c r="AB525" s="6" t="str">
        <x:v>conv. 0.33 0.23 0.27 0.82 0.32 0.46 0.78 0.87 0.83 0.99 0.83 0.9 0.7 0.79 0.74 1 0.71 0.83 0.48 0.58 0.52 0.98 0.55 0.7</x:v>
      </x:c>
      <x:c r="AC525" s="6" t="str">
        <x:v>GPT-4o在会话式文本风格下满足性F1分数为0.83，低于结构化风格的0.87，说明一致的术语和清晰表达对LLM性能有正面影响。</x:v>
      </x:c>
      <x:c r="AD525" s="2" t="str">
        <x:v>Accepted</x:v>
      </x:c>
      <x:c r="AE525" s="6" t="str">
        <x:v>baseline value 0.87 from structured style row in Table I</x:v>
      </x:c>
    </x:row>
    <x:row r="526" ht="76" customHeight="1">
      <x:c r="A526" s="2" t="str">
        <x:v>S51-RESULT-R06</x:v>
      </x:c>
      <x:c r="B526" s="2" t="str">
        <x:v>S51</x:v>
      </x:c>
      <x:c r="C526" s="2" t="str">
        <x:v>snowball_00085</x:v>
      </x:c>
      <x:c r="D526" s="2" t="str">
        <x:v>Reviewer_A</x:v>
      </x:c>
      <x:c r="E526" s="2" t="str">
        <x:v>Reviewer_A</x:v>
      </x:c>
      <x:c r="F526" s="2" t="str">
        <x:v>S51-R06</x:v>
      </x:c>
      <x:c r="G526" s="2" t="str">
        <x:v>S51-EV01</x:v>
      </x:c>
      <x:c r="H526" s="2" t="str">
        <x:v>S51-T01</x:v>
      </x:c>
      <x:c r="I526" s="2" t="str">
        <x:v>S51-MU02</x:v>
      </x:c>
      <x:c r="J526" s="2" t="str">
        <x:v>Smart Grid Workflow Specifications and Requirements Dataset</x:v>
      </x:c>
      <x:c r="K526" s="2" t="str">
        <x:v>GPT-3.5-turbo (all conditions)</x:v>
      </x:c>
      <x:c r="L526" s="2" t="str">
        <x:v>NA</x:v>
      </x:c>
      <x:c r="M526" s="2" t="str">
        <x:v>f1-score (fulfillment)</x:v>
      </x:c>
      <x:c r="N526" s="6" t="str">
        <x:v>f1-scores of no more than 50%</x:v>
      </x:c>
      <x:c r="O526" s="2" t="n">
        <x:v>0.5</x:v>
      </x:c>
      <x:c r="P526" s="2" t="str">
        <x:v>%</x:v>
      </x:c>
      <x:c r="Q526" s="6" t="str">
        <x:v>NA</x:v>
      </x:c>
      <x:c r="R526" s="2" t="str">
        <x:v>NA</x:v>
      </x:c>
      <x:c r="S526" s="2" t="str">
        <x:v>NR</x:v>
      </x:c>
      <x:c r="T526" s="2" t="str">
        <x:v>Worse</x:v>
      </x:c>
      <x:c r="U526" s="2" t="str">
        <x:v>Not tested</x:v>
      </x:c>
      <x:c r="V526" s="2" t="str">
        <x:v>negative</x:v>
      </x:c>
      <x:c r="W526" s="2" t="str">
        <x:v>NR</x:v>
      </x:c>
      <x:c r="X526" s="2" t="str">
        <x:v>NR</x:v>
      </x:c>
      <x:c r="Y526" s="2" t="str">
        <x:v>NR</x:v>
      </x:c>
      <x:c r="Z526" s="2" t="str">
        <x:v>Yes</x:v>
      </x:c>
      <x:c r="AA526" s="6" t="str">
        <x:v>p. 5; Section IV</x:v>
      </x:c>
      <x:c r="AB526" s="6" t="str">
        <x:v>exhibiting f1-scores of no more than 50%, indicating that GPT3.5-turbo should not be used for evaluation of requirements fulfillment, if utilizing more advanced models is financially</x:v>
      </x:c>
      <x:c r="AC526" s="6" t="str">
        <x:v>GPT-3.5-turbo在所有条件下满足性判断的F1分数不超过50%，表现最差，不推荐用于需求验证。</x:v>
      </x:c>
      <x:c r="AD526" s="2" t="str">
        <x:v>Accepted</x:v>
      </x:c>
      <x:c r="AE526" s="6" t="str">
        <x:v>NA</x:v>
      </x:c>
    </x:row>
    <x:row r="527" ht="76" customHeight="1">
      <x:c r="A527" s="2" t="str">
        <x:v>S52-RESULT-R01</x:v>
      </x:c>
      <x:c r="B527" s="2" t="str">
        <x:v>S52</x:v>
      </x:c>
      <x:c r="C527" s="2" t="str">
        <x:v>snowball_00095</x:v>
      </x:c>
      <x:c r="D527" s="2" t="str">
        <x:v>Reviewer_A</x:v>
      </x:c>
      <x:c r="E527" s="2" t="str">
        <x:v>Reviewer_A</x:v>
      </x:c>
      <x:c r="F527" s="2" t="str">
        <x:v>S52-R01</x:v>
      </x:c>
      <x:c r="G527" s="2" t="str">
        <x:v>S52-EV01</x:v>
      </x:c>
      <x:c r="H527" s="2" t="str">
        <x:v>S52-T01</x:v>
      </x:c>
      <x:c r="I527" s="2" t="str">
        <x:v>NA</x:v>
      </x:c>
      <x:c r="J527" s="2" t="str">
        <x:v>Dronology, SAFA, Jack of Clubs</x:v>
      </x:c>
      <x:c r="K527" s="2" t="str">
        <x:v>Baseline LLM approach</x:v>
      </x:c>
      <x:c r="L527" s="2" t="str">
        <x:v>Human-made documentation</x:v>
      </x:c>
      <x:c r="M527" s="2" t="str">
        <x:v>Readability</x:v>
      </x:c>
      <x:c r="N527" s="6" t="str">
        <x:v>Baseline Mean 4.44, Human Mean 3.90</x:v>
      </x:c>
      <x:c r="O527" s="2" t="n">
        <x:v>4.44</x:v>
      </x:c>
      <x:c r="P527" s="2" t="str">
        <x:v>score (1-5)</x:v>
      </x:c>
      <x:c r="Q527" s="6" t="str">
        <x:v>Human Mean 3.90</x:v>
      </x:c>
      <x:c r="R527" s="2" t="n">
        <x:v>3.9</x:v>
      </x:c>
      <x:c r="S527" s="2" t="str">
        <x:v>NR</x:v>
      </x:c>
      <x:c r="T527" s="2" t="str">
        <x:v>Better</x:v>
      </x:c>
      <x:c r="U527" s="2" t="str">
        <x:v>Significant</x:v>
      </x:c>
      <x:c r="V527" s="2" t="str">
        <x:v>NR</x:v>
      </x:c>
      <x:c r="W527" s="2" t="str">
        <x:v>NR</x:v>
      </x:c>
      <x:c r="X527" s="2" t="str">
        <x:v>NR</x:v>
      </x:c>
      <x:c r="Y527" s="2" t="str">
        <x:v>NR</x:v>
      </x:c>
      <x:c r="Z527" s="2" t="str">
        <x:v>No</x:v>
      </x:c>
      <x:c r="AA527" s="6" t="str">
        <x:v>p. 8; Table III</x:v>
      </x:c>
      <x:c r="AB527" s="6" t="str">
        <x:v>Readability 3.90 4.44 0.002445</x:v>
      </x:c>
      <x:c r="AC527" s="6" t="str">
        <x:v>基线的可读性显著高于人工文档，p=0.002445。</x:v>
      </x:c>
      <x:c r="AD527" s="2" t="str">
        <x:v>Accepted</x:v>
      </x:c>
      <x:c r="AE527" s="6" t="str">
        <x:v>NA</x:v>
      </x:c>
    </x:row>
    <x:row r="528" ht="76" customHeight="1">
      <x:c r="A528" s="2" t="str">
        <x:v>S52-RESULT-R02</x:v>
      </x:c>
      <x:c r="B528" s="2" t="str">
        <x:v>S52</x:v>
      </x:c>
      <x:c r="C528" s="2" t="str">
        <x:v>snowball_00095</x:v>
      </x:c>
      <x:c r="D528" s="2" t="str">
        <x:v>Reviewer_A</x:v>
      </x:c>
      <x:c r="E528" s="2" t="str">
        <x:v>Reviewer_A</x:v>
      </x:c>
      <x:c r="F528" s="2" t="str">
        <x:v>S52-R02</x:v>
      </x:c>
      <x:c r="G528" s="2" t="str">
        <x:v>S52-EV01</x:v>
      </x:c>
      <x:c r="H528" s="2" t="str">
        <x:v>S52-T01</x:v>
      </x:c>
      <x:c r="I528" s="2" t="str">
        <x:v>NA</x:v>
      </x:c>
      <x:c r="J528" s="2" t="str">
        <x:v>Dronology, SAFA, Jack of Clubs</x:v>
      </x:c>
      <x:c r="K528" s="2" t="str">
        <x:v>HGEN</x:v>
      </x:c>
      <x:c r="L528" s="2" t="str">
        <x:v>Human-made documentation</x:v>
      </x:c>
      <x:c r="M528" s="2" t="str">
        <x:v>Readability</x:v>
      </x:c>
      <x:c r="N528" s="6" t="str">
        <x:v>HGEN Mean 4.38, Human Mean 3.90</x:v>
      </x:c>
      <x:c r="O528" s="2" t="n">
        <x:v>4.38</x:v>
      </x:c>
      <x:c r="P528" s="2" t="str">
        <x:v>score (1-5)</x:v>
      </x:c>
      <x:c r="Q528" s="6" t="str">
        <x:v>Human Mean 3.90</x:v>
      </x:c>
      <x:c r="R528" s="2" t="n">
        <x:v>3.9</x:v>
      </x:c>
      <x:c r="S528" s="2" t="str">
        <x:v>NR</x:v>
      </x:c>
      <x:c r="T528" s="2" t="str">
        <x:v>Better</x:v>
      </x:c>
      <x:c r="U528" s="2" t="str">
        <x:v>Significant</x:v>
      </x:c>
      <x:c r="V528" s="2" t="str">
        <x:v>NR</x:v>
      </x:c>
      <x:c r="W528" s="2" t="str">
        <x:v>NR</x:v>
      </x:c>
      <x:c r="X528" s="2" t="str">
        <x:v>NR</x:v>
      </x:c>
      <x:c r="Y528" s="2" t="str">
        <x:v>NR</x:v>
      </x:c>
      <x:c r="Z528" s="2" t="str">
        <x:v>No</x:v>
      </x:c>
      <x:c r="AA528" s="6" t="str">
        <x:v>p. 8; Table III</x:v>
      </x:c>
      <x:c r="AB528" s="6" t="str">
        <x:v>Readability 3.90 4.38 0.000104</x:v>
      </x:c>
      <x:c r="AC528" s="6" t="str">
        <x:v>HGEN的可读性显著优于人工文档，p=0.000104。</x:v>
      </x:c>
      <x:c r="AD528" s="2" t="str">
        <x:v>Accepted</x:v>
      </x:c>
      <x:c r="AE528" s="6" t="str">
        <x:v>NA</x:v>
      </x:c>
    </x:row>
    <x:row r="529" ht="76" customHeight="1">
      <x:c r="A529" s="2" t="str">
        <x:v>S52-RESULT-R03</x:v>
      </x:c>
      <x:c r="B529" s="2" t="str">
        <x:v>S52</x:v>
      </x:c>
      <x:c r="C529" s="2" t="str">
        <x:v>snowball_00095</x:v>
      </x:c>
      <x:c r="D529" s="2" t="str">
        <x:v>Reviewer_A</x:v>
      </x:c>
      <x:c r="E529" s="2" t="str">
        <x:v>Reviewer_A</x:v>
      </x:c>
      <x:c r="F529" s="2" t="str">
        <x:v>S52-R03</x:v>
      </x:c>
      <x:c r="G529" s="2" t="str">
        <x:v>S52-EV01</x:v>
      </x:c>
      <x:c r="H529" s="2" t="str">
        <x:v>S52-T01</x:v>
      </x:c>
      <x:c r="I529" s="2" t="str">
        <x:v>NA</x:v>
      </x:c>
      <x:c r="J529" s="2" t="str">
        <x:v>Dronology, SAFA, Jack of Clubs</x:v>
      </x:c>
      <x:c r="K529" s="2" t="str">
        <x:v>HGEN</x:v>
      </x:c>
      <x:c r="L529" s="2" t="str">
        <x:v>Human-made documentation</x:v>
      </x:c>
      <x:c r="M529" s="2" t="str">
        <x:v>Appropriateness</x:v>
      </x:c>
      <x:c r="N529" s="6" t="str">
        <x:v>HGEN Mean 4.16, Human Mean 3.70</x:v>
      </x:c>
      <x:c r="O529" s="2" t="n">
        <x:v>4.16</x:v>
      </x:c>
      <x:c r="P529" s="2" t="str">
        <x:v>score (1-5)</x:v>
      </x:c>
      <x:c r="Q529" s="6" t="str">
        <x:v>Human Mean 3.70</x:v>
      </x:c>
      <x:c r="R529" s="2" t="n">
        <x:v>3.7</x:v>
      </x:c>
      <x:c r="S529" s="2" t="str">
        <x:v>NR</x:v>
      </x:c>
      <x:c r="T529" s="2" t="str">
        <x:v>Better</x:v>
      </x:c>
      <x:c r="U529" s="2" t="str">
        <x:v>Significant</x:v>
      </x:c>
      <x:c r="V529" s="2" t="str">
        <x:v>NR</x:v>
      </x:c>
      <x:c r="W529" s="2" t="str">
        <x:v>NR</x:v>
      </x:c>
      <x:c r="X529" s="2" t="str">
        <x:v>NR</x:v>
      </x:c>
      <x:c r="Y529" s="2" t="str">
        <x:v>NR</x:v>
      </x:c>
      <x:c r="Z529" s="2" t="str">
        <x:v>No</x:v>
      </x:c>
      <x:c r="AA529" s="6" t="str">
        <x:v>p. 8; Table III</x:v>
      </x:c>
      <x:c r="AB529" s="6" t="str">
        <x:v>Appropriateness 3.70 4.16 0.001493</x:v>
      </x:c>
      <x:c r="AC529" s="6" t="str">
        <x:v>HGEN的适当性显著优于人工文档，p=0.001493。</x:v>
      </x:c>
      <x:c r="AD529" s="2" t="str">
        <x:v>Accepted</x:v>
      </x:c>
      <x:c r="AE529" s="6" t="str">
        <x:v>NA</x:v>
      </x:c>
    </x:row>
    <x:row r="530" ht="76" customHeight="1">
      <x:c r="A530" s="2" t="str">
        <x:v>S52-RESULT-R04</x:v>
      </x:c>
      <x:c r="B530" s="2" t="str">
        <x:v>S52</x:v>
      </x:c>
      <x:c r="C530" s="2" t="str">
        <x:v>snowball_00095</x:v>
      </x:c>
      <x:c r="D530" s="2" t="str">
        <x:v>Reviewer_A</x:v>
      </x:c>
      <x:c r="E530" s="2" t="str">
        <x:v>Reviewer_A</x:v>
      </x:c>
      <x:c r="F530" s="2" t="str">
        <x:v>S52-R04</x:v>
      </x:c>
      <x:c r="G530" s="2" t="str">
        <x:v>S52-EV01</x:v>
      </x:c>
      <x:c r="H530" s="2" t="str">
        <x:v>S52-T01</x:v>
      </x:c>
      <x:c r="I530" s="2" t="str">
        <x:v>NA</x:v>
      </x:c>
      <x:c r="J530" s="2" t="str">
        <x:v>Dronology, SAFA, Jack of Clubs</x:v>
      </x:c>
      <x:c r="K530" s="2" t="str">
        <x:v>HGEN</x:v>
      </x:c>
      <x:c r="L530" s="2" t="str">
        <x:v>Human-made documentation</x:v>
      </x:c>
      <x:c r="M530" s="2" t="str">
        <x:v>Usefulness</x:v>
      </x:c>
      <x:c r="N530" s="6" t="str">
        <x:v>HGEN Mean 4.14, Human Mean 3.51</x:v>
      </x:c>
      <x:c r="O530" s="2" t="n">
        <x:v>4.14</x:v>
      </x:c>
      <x:c r="P530" s="2" t="str">
        <x:v>score (1-5)</x:v>
      </x:c>
      <x:c r="Q530" s="6" t="str">
        <x:v>Human Mean 3.51</x:v>
      </x:c>
      <x:c r="R530" s="2" t="n">
        <x:v>3.51</x:v>
      </x:c>
      <x:c r="S530" s="2" t="str">
        <x:v>NR</x:v>
      </x:c>
      <x:c r="T530" s="2" t="str">
        <x:v>Better</x:v>
      </x:c>
      <x:c r="U530" s="2" t="str">
        <x:v>Significant</x:v>
      </x:c>
      <x:c r="V530" s="2" t="str">
        <x:v>NR</x:v>
      </x:c>
      <x:c r="W530" s="2" t="str">
        <x:v>NR</x:v>
      </x:c>
      <x:c r="X530" s="2" t="str">
        <x:v>NR</x:v>
      </x:c>
      <x:c r="Y530" s="2" t="str">
        <x:v>NR</x:v>
      </x:c>
      <x:c r="Z530" s="2" t="str">
        <x:v>No</x:v>
      </x:c>
      <x:c r="AA530" s="6" t="str">
        <x:v>p. 8; Table III</x:v>
      </x:c>
      <x:c r="AB530" s="6" t="str">
        <x:v>Usefulness 3.51 4.14 7.09e-06</x:v>
      </x:c>
      <x:c r="AC530" s="6" t="str">
        <x:v>HGEN的有用性显著优于人工文档，p=7.09e-06。</x:v>
      </x:c>
      <x:c r="AD530" s="2" t="str">
        <x:v>Accepted</x:v>
      </x:c>
      <x:c r="AE530" s="6" t="str">
        <x:v>NA</x:v>
      </x:c>
    </x:row>
    <x:row r="531" ht="76" customHeight="1">
      <x:c r="A531" s="2" t="str">
        <x:v>S52-RESULT-R05</x:v>
      </x:c>
      <x:c r="B531" s="2" t="str">
        <x:v>S52</x:v>
      </x:c>
      <x:c r="C531" s="2" t="str">
        <x:v>snowball_00095</x:v>
      </x:c>
      <x:c r="D531" s="2" t="str">
        <x:v>Reviewer_A</x:v>
      </x:c>
      <x:c r="E531" s="2" t="str">
        <x:v>Reviewer_A</x:v>
      </x:c>
      <x:c r="F531" s="2" t="str">
        <x:v>S52-R05</x:v>
      </x:c>
      <x:c r="G531" s="2" t="str">
        <x:v>S52-EV01</x:v>
      </x:c>
      <x:c r="H531" s="2" t="str">
        <x:v>S52-T01</x:v>
      </x:c>
      <x:c r="I531" s="2" t="str">
        <x:v>NA</x:v>
      </x:c>
      <x:c r="J531" s="2" t="str">
        <x:v>Dronology, SAFA, Jack of Clubs</x:v>
      </x:c>
      <x:c r="K531" s="2" t="str">
        <x:v>HGEN</x:v>
      </x:c>
      <x:c r="L531" s="2" t="str">
        <x:v>Human-made documentation</x:v>
      </x:c>
      <x:c r="M531" s="2" t="str">
        <x:v>Helpfulness</x:v>
      </x:c>
      <x:c r="N531" s="6" t="str">
        <x:v>HGEN Mean 4.21, Human Mean 3.82</x:v>
      </x:c>
      <x:c r="O531" s="2" t="n">
        <x:v>4.21</x:v>
      </x:c>
      <x:c r="P531" s="2" t="str">
        <x:v>score (1-5)</x:v>
      </x:c>
      <x:c r="Q531" s="6" t="str">
        <x:v>Human Mean 3.82</x:v>
      </x:c>
      <x:c r="R531" s="2" t="n">
        <x:v>3.82</x:v>
      </x:c>
      <x:c r="S531" s="2" t="str">
        <x:v>NR</x:v>
      </x:c>
      <x:c r="T531" s="2" t="str">
        <x:v>Better</x:v>
      </x:c>
      <x:c r="U531" s="2" t="str">
        <x:v>Significant</x:v>
      </x:c>
      <x:c r="V531" s="2" t="str">
        <x:v>NR</x:v>
      </x:c>
      <x:c r="W531" s="2" t="str">
        <x:v>NR</x:v>
      </x:c>
      <x:c r="X531" s="2" t="str">
        <x:v>NR</x:v>
      </x:c>
      <x:c r="Y531" s="2" t="str">
        <x:v>NR</x:v>
      </x:c>
      <x:c r="Z531" s="2" t="str">
        <x:v>No</x:v>
      </x:c>
      <x:c r="AA531" s="6" t="str">
        <x:v>p. 8; Table III</x:v>
      </x:c>
      <x:c r="AB531" s="6" t="str">
        <x:v>Helpfulness 3.82 4.21 0.002445</x:v>
      </x:c>
      <x:c r="AC531" s="6" t="str">
        <x:v>HGEN的助益性显著优于人工文档，p=0.002445。</x:v>
      </x:c>
      <x:c r="AD531" s="2" t="str">
        <x:v>Accepted</x:v>
      </x:c>
      <x:c r="AE531" s="6" t="str">
        <x:v>NA</x:v>
      </x:c>
    </x:row>
    <x:row r="532" ht="76" customHeight="1">
      <x:c r="A532" s="2" t="str">
        <x:v>S52-RESULT-R06</x:v>
      </x:c>
      <x:c r="B532" s="2" t="str">
        <x:v>S52</x:v>
      </x:c>
      <x:c r="C532" s="2" t="str">
        <x:v>snowball_00095</x:v>
      </x:c>
      <x:c r="D532" s="2" t="str">
        <x:v>Reviewer_A</x:v>
      </x:c>
      <x:c r="E532" s="2" t="str">
        <x:v>Reviewer_A</x:v>
      </x:c>
      <x:c r="F532" s="2" t="str">
        <x:v>S52-R06</x:v>
      </x:c>
      <x:c r="G532" s="2" t="str">
        <x:v>S52-EV01</x:v>
      </x:c>
      <x:c r="H532" s="2" t="str">
        <x:v>S52-T01</x:v>
      </x:c>
      <x:c r="I532" s="2" t="str">
        <x:v>NA</x:v>
      </x:c>
      <x:c r="J532" s="2" t="str">
        <x:v>Dronology, SAFA, Jack of Clubs</x:v>
      </x:c>
      <x:c r="K532" s="2" t="str">
        <x:v>HGEN</x:v>
      </x:c>
      <x:c r="L532" s="2" t="str">
        <x:v>Baseline LLM</x:v>
      </x:c>
      <x:c r="M532" s="2" t="str">
        <x:v>Usefulness</x:v>
      </x:c>
      <x:c r="N532" s="6" t="str">
        <x:v>HGEN Mean 4.14, Baseline Mean 3.67</x:v>
      </x:c>
      <x:c r="O532" s="2" t="n">
        <x:v>4.14</x:v>
      </x:c>
      <x:c r="P532" s="2" t="str">
        <x:v>score (1-5)</x:v>
      </x:c>
      <x:c r="Q532" s="6" t="str">
        <x:v>Baseline Mean 3.67</x:v>
      </x:c>
      <x:c r="R532" s="2" t="n">
        <x:v>3.67</x:v>
      </x:c>
      <x:c r="S532" s="2" t="str">
        <x:v>NR</x:v>
      </x:c>
      <x:c r="T532" s="2" t="str">
        <x:v>Better</x:v>
      </x:c>
      <x:c r="U532" s="2" t="str">
        <x:v>Significant</x:v>
      </x:c>
      <x:c r="V532" s="2" t="str">
        <x:v>NR</x:v>
      </x:c>
      <x:c r="W532" s="2" t="str">
        <x:v>NR</x:v>
      </x:c>
      <x:c r="X532" s="2" t="str">
        <x:v>NR</x:v>
      </x:c>
      <x:c r="Y532" s="2" t="str">
        <x:v>NR</x:v>
      </x:c>
      <x:c r="Z532" s="2" t="str">
        <x:v>No</x:v>
      </x:c>
      <x:c r="AA532" s="6" t="str">
        <x:v>p. 8; Table III</x:v>
      </x:c>
      <x:c r="AB532" s="6" t="str">
        <x:v>Usefulness 3.67 4.14 0.020646</x:v>
      </x:c>
      <x:c r="AC532" s="6" t="str">
        <x:v>HGEN的有用性显著优于基线LLM，p=0.020646。</x:v>
      </x:c>
      <x:c r="AD532" s="2" t="str">
        <x:v>Accepted</x:v>
      </x:c>
      <x:c r="AE532" s="6" t="str">
        <x:v>NA</x:v>
      </x:c>
    </x:row>
    <x:row r="533" ht="76" customHeight="1">
      <x:c r="A533" s="2" t="str">
        <x:v>S52-RESULT-R07</x:v>
      </x:c>
      <x:c r="B533" s="2" t="str">
        <x:v>S52</x:v>
      </x:c>
      <x:c r="C533" s="2" t="str">
        <x:v>snowball_00095</x:v>
      </x:c>
      <x:c r="D533" s="2" t="str">
        <x:v>Reviewer_A</x:v>
      </x:c>
      <x:c r="E533" s="2" t="str">
        <x:v>Reviewer_A</x:v>
      </x:c>
      <x:c r="F533" s="2" t="str">
        <x:v>S52-R07</x:v>
      </x:c>
      <x:c r="G533" s="2" t="str">
        <x:v>S52-EV02</x:v>
      </x:c>
      <x:c r="H533" s="2" t="str">
        <x:v>S52-T01</x:v>
      </x:c>
      <x:c r="I533" s="2" t="str">
        <x:v>NA</x:v>
      </x:c>
      <x:c r="J533" s="2" t="str">
        <x:v>Dronology</x:v>
      </x:c>
      <x:c r="K533" s="2" t="str">
        <x:v>HGEN</x:v>
      </x:c>
      <x:c r="L533" s="2" t="str">
        <x:v>Baseline LLM</x:v>
      </x:c>
      <x:c r="M533" s="2" t="str">
        <x:v>Concept Coverage</x:v>
      </x:c>
      <x:c r="N533" s="6" t="str">
        <x:v>HGEN 87.5%, Baseline 6.3%</x:v>
      </x:c>
      <x:c r="O533" s="2" t="n">
        <x:v>87.5</x:v>
      </x:c>
      <x:c r="P533" s="2" t="str">
        <x:v>%</x:v>
      </x:c>
      <x:c r="Q533" s="6" t="str">
        <x:v>Baseline 6.3%</x:v>
      </x:c>
      <x:c r="R533" s="2" t="n">
        <x:v>6.3</x:v>
      </x:c>
      <x:c r="S533" s="2" t="str">
        <x:v>NR</x:v>
      </x:c>
      <x:c r="T533" s="2" t="str">
        <x:v>Better</x:v>
      </x:c>
      <x:c r="U533" s="2" t="str">
        <x:v>Not tested</x:v>
      </x:c>
      <x:c r="V533" s="2" t="str">
        <x:v>NR</x:v>
      </x:c>
      <x:c r="W533" s="2" t="str">
        <x:v>NR</x:v>
      </x:c>
      <x:c r="X533" s="2" t="str">
        <x:v>NR</x:v>
      </x:c>
      <x:c r="Y533" s="2" t="str">
        <x:v>NR</x:v>
      </x:c>
      <x:c r="Z533" s="2" t="str">
        <x:v>No</x:v>
      </x:c>
      <x:c r="AA533" s="6" t="str">
        <x:v>p. 8; Table IV</x:v>
      </x:c>
      <x:c r="AB533" s="6" t="str">
        <x:v>Human vs. Baseline</x:v>
      </x:c>
      <x:c r="AC533" s="6" t="str">
        <x:v>在Dronology项目中，HGEN的概念覆盖率远超基线。</x:v>
      </x:c>
      <x:c r="AD533" s="2" t="str">
        <x:v>Accepted</x:v>
      </x:c>
      <x:c r="AE533" s="6" t="str">
        <x:v>NA</x:v>
      </x:c>
    </x:row>
    <x:row r="534" ht="76" customHeight="1">
      <x:c r="A534" s="2" t="str">
        <x:v>S52-RESULT-R08</x:v>
      </x:c>
      <x:c r="B534" s="2" t="str">
        <x:v>S52</x:v>
      </x:c>
      <x:c r="C534" s="2" t="str">
        <x:v>snowball_00095</x:v>
      </x:c>
      <x:c r="D534" s="2" t="str">
        <x:v>Reviewer_A</x:v>
      </x:c>
      <x:c r="E534" s="2" t="str">
        <x:v>Reviewer_A</x:v>
      </x:c>
      <x:c r="F534" s="2" t="str">
        <x:v>S52-R08</x:v>
      </x:c>
      <x:c r="G534" s="2" t="str">
        <x:v>S52-EV02</x:v>
      </x:c>
      <x:c r="H534" s="2" t="str">
        <x:v>S52-T01</x:v>
      </x:c>
      <x:c r="I534" s="2" t="str">
        <x:v>NA</x:v>
      </x:c>
      <x:c r="J534" s="2" t="str">
        <x:v>SAFA</x:v>
      </x:c>
      <x:c r="K534" s="2" t="str">
        <x:v>HGEN</x:v>
      </x:c>
      <x:c r="L534" s="2" t="str">
        <x:v>Baseline LLM</x:v>
      </x:c>
      <x:c r="M534" s="2" t="str">
        <x:v>Concept Coverage</x:v>
      </x:c>
      <x:c r="N534" s="6" t="str">
        <x:v>HGEN 84.4%, Baseline 37.8%</x:v>
      </x:c>
      <x:c r="O534" s="2" t="n">
        <x:v>84.4</x:v>
      </x:c>
      <x:c r="P534" s="2" t="str">
        <x:v>%</x:v>
      </x:c>
      <x:c r="Q534" s="6" t="str">
        <x:v>Baseline 37.8%</x:v>
      </x:c>
      <x:c r="R534" s="2" t="n">
        <x:v>37.8</x:v>
      </x:c>
      <x:c r="S534" s="2" t="str">
        <x:v>NR</x:v>
      </x:c>
      <x:c r="T534" s="2" t="str">
        <x:v>Better</x:v>
      </x:c>
      <x:c r="U534" s="2" t="str">
        <x:v>Not tested</x:v>
      </x:c>
      <x:c r="V534" s="2" t="str">
        <x:v>NR</x:v>
      </x:c>
      <x:c r="W534" s="2" t="str">
        <x:v>NR</x:v>
      </x:c>
      <x:c r="X534" s="2" t="str">
        <x:v>NR</x:v>
      </x:c>
      <x:c r="Y534" s="2" t="str">
        <x:v>NR</x:v>
      </x:c>
      <x:c r="Z534" s="2" t="str">
        <x:v>No</x:v>
      </x:c>
      <x:c r="AA534" s="6" t="str">
        <x:v>p. 8; Table IV</x:v>
      </x:c>
      <x:c r="AB534" s="6" t="str">
        <x:v>SAFA E2 37.8% 38.9% 84.4% 43.1%</x:v>
      </x:c>
      <x:c r="AC534" s="6" t="str">
        <x:v>在SAFA项目中，HGEN的概念覆盖率大幅优于基线。</x:v>
      </x:c>
      <x:c r="AD534" s="2" t="str">
        <x:v>Accepted</x:v>
      </x:c>
      <x:c r="AE534" s="6" t="str">
        <x:v>NA</x:v>
      </x:c>
    </x:row>
    <x:row r="535" ht="76" customHeight="1">
      <x:c r="A535" s="2" t="str">
        <x:v>S52-RESULT-R09</x:v>
      </x:c>
      <x:c r="B535" s="2" t="str">
        <x:v>S52</x:v>
      </x:c>
      <x:c r="C535" s="2" t="str">
        <x:v>snowball_00095</x:v>
      </x:c>
      <x:c r="D535" s="2" t="str">
        <x:v>Reviewer_A</x:v>
      </x:c>
      <x:c r="E535" s="2" t="str">
        <x:v>Reviewer_A</x:v>
      </x:c>
      <x:c r="F535" s="2" t="str">
        <x:v>S52-R09</x:v>
      </x:c>
      <x:c r="G535" s="2" t="str">
        <x:v>S52-EV02</x:v>
      </x:c>
      <x:c r="H535" s="2" t="str">
        <x:v>S52-T01</x:v>
      </x:c>
      <x:c r="I535" s="2" t="str">
        <x:v>NA</x:v>
      </x:c>
      <x:c r="J535" s="2" t="str">
        <x:v>Jack of Clubs</x:v>
      </x:c>
      <x:c r="K535" s="2" t="str">
        <x:v>HGEN</x:v>
      </x:c>
      <x:c r="L535" s="2" t="str">
        <x:v>Baseline LLM</x:v>
      </x:c>
      <x:c r="M535" s="2" t="str">
        <x:v>Concept Coverage</x:v>
      </x:c>
      <x:c r="N535" s="6" t="str">
        <x:v>HGEN 100%, Baseline 50%</x:v>
      </x:c>
      <x:c r="O535" s="2" t="n">
        <x:v>100</x:v>
      </x:c>
      <x:c r="P535" s="2" t="str">
        <x:v>%</x:v>
      </x:c>
      <x:c r="Q535" s="6" t="str">
        <x:v>Baseline 50%</x:v>
      </x:c>
      <x:c r="R535" s="2" t="n">
        <x:v>50</x:v>
      </x:c>
      <x:c r="S535" s="2" t="str">
        <x:v>NR</x:v>
      </x:c>
      <x:c r="T535" s="2" t="str">
        <x:v>Better</x:v>
      </x:c>
      <x:c r="U535" s="2" t="str">
        <x:v>Not tested</x:v>
      </x:c>
      <x:c r="V535" s="2" t="str">
        <x:v>NR</x:v>
      </x:c>
      <x:c r="W535" s="2" t="str">
        <x:v>NR</x:v>
      </x:c>
      <x:c r="X535" s="2" t="str">
        <x:v>NR</x:v>
      </x:c>
      <x:c r="Y535" s="2" t="str">
        <x:v>NR</x:v>
      </x:c>
      <x:c r="Z535" s="2" t="str">
        <x:v>No</x:v>
      </x:c>
      <x:c r="AA535" s="6" t="str">
        <x:v>p. 8; Table IV</x:v>
      </x:c>
      <x:c r="AB535" s="6" t="str">
        <x:v>JOC E3 50.0% 35.7% 100% 38.5%</x:v>
      </x:c>
      <x:c r="AC535" s="6" t="str">
        <x:v>在Jack of Clubs项目中，HGEN实现了完整的概念覆盖。</x:v>
      </x:c>
      <x:c r="AD535" s="2" t="str">
        <x:v>Accepted</x:v>
      </x:c>
      <x:c r="AE535" s="6" t="str">
        <x:v>NA</x:v>
      </x:c>
    </x:row>
    <x:row r="536" ht="76" customHeight="1">
      <x:c r="A536" s="2" t="str">
        <x:v>S52-RESULT-R10</x:v>
      </x:c>
      <x:c r="B536" s="2" t="str">
        <x:v>S52</x:v>
      </x:c>
      <x:c r="C536" s="2" t="str">
        <x:v>snowball_00095</x:v>
      </x:c>
      <x:c r="D536" s="2" t="str">
        <x:v>Reviewer_A</x:v>
      </x:c>
      <x:c r="E536" s="2" t="str">
        <x:v>Reviewer_A</x:v>
      </x:c>
      <x:c r="F536" s="2" t="str">
        <x:v>S52-R10</x:v>
      </x:c>
      <x:c r="G536" s="2" t="str">
        <x:v>S52-EV03</x:v>
      </x:c>
      <x:c r="H536" s="2" t="str">
        <x:v>S52-T01</x:v>
      </x:c>
      <x:c r="I536" s="2" t="str">
        <x:v>NA</x:v>
      </x:c>
      <x:c r="J536" s="2" t="str">
        <x:v>Dronology</x:v>
      </x:c>
      <x:c r="K536" s="2" t="str">
        <x:v>HGEN</x:v>
      </x:c>
      <x:c r="L536" s="2" t="str">
        <x:v>Baseline LLM</x:v>
      </x:c>
      <x:c r="M536" s="2" t="str">
        <x:v>mAP</x:v>
      </x:c>
      <x:c r="N536" s="6" t="str">
        <x:v>HGEN 94.0%, Baseline 84.5%</x:v>
      </x:c>
      <x:c r="O536" s="2" t="n">
        <x:v>94</x:v>
      </x:c>
      <x:c r="P536" s="2" t="str">
        <x:v>%</x:v>
      </x:c>
      <x:c r="Q536" s="6" t="str">
        <x:v>Baseline 84.5%</x:v>
      </x:c>
      <x:c r="R536" s="2" t="n">
        <x:v>84.5</x:v>
      </x:c>
      <x:c r="S536" s="2" t="str">
        <x:v>NR</x:v>
      </x:c>
      <x:c r="T536" s="2" t="str">
        <x:v>Better</x:v>
      </x:c>
      <x:c r="U536" s="2" t="str">
        <x:v>Not tested</x:v>
      </x:c>
      <x:c r="V536" s="2" t="str">
        <x:v>NR</x:v>
      </x:c>
      <x:c r="W536" s="2" t="str">
        <x:v>NR</x:v>
      </x:c>
      <x:c r="X536" s="2" t="str">
        <x:v>NR</x:v>
      </x:c>
      <x:c r="Y536" s="2" t="str">
        <x:v>NR</x:v>
      </x:c>
      <x:c r="Z536" s="2" t="str">
        <x:v>No</x:v>
      </x:c>
      <x:c r="AA536" s="6" t="str">
        <x:v>p. 8; Table V</x:v>
      </x:c>
      <x:c r="AB536" s="6" t="str">
        <x:v>Baseline 84.5%</x:v>
      </x:c>
      <x:c r="AC536" s="6" t="str">
        <x:v>Dronology上HGEN的mAP高于基线。</x:v>
      </x:c>
      <x:c r="AD536" s="2" t="str">
        <x:v>Accepted</x:v>
      </x:c>
      <x:c r="AE536" s="6" t="str">
        <x:v>NA</x:v>
      </x:c>
    </x:row>
    <x:row r="537" ht="76" customHeight="1">
      <x:c r="A537" s="2" t="str">
        <x:v>S52-RESULT-R11</x:v>
      </x:c>
      <x:c r="B537" s="2" t="str">
        <x:v>S52</x:v>
      </x:c>
      <x:c r="C537" s="2" t="str">
        <x:v>snowball_00095</x:v>
      </x:c>
      <x:c r="D537" s="2" t="str">
        <x:v>Reviewer_A</x:v>
      </x:c>
      <x:c r="E537" s="2" t="str">
        <x:v>Reviewer_A</x:v>
      </x:c>
      <x:c r="F537" s="2" t="str">
        <x:v>S52-R11</x:v>
      </x:c>
      <x:c r="G537" s="2" t="str">
        <x:v>S52-EV03</x:v>
      </x:c>
      <x:c r="H537" s="2" t="str">
        <x:v>S52-T01</x:v>
      </x:c>
      <x:c r="I537" s="2" t="str">
        <x:v>NA</x:v>
      </x:c>
      <x:c r="J537" s="2" t="str">
        <x:v>Dronology</x:v>
      </x:c>
      <x:c r="K537" s="2" t="str">
        <x:v>HGEN</x:v>
      </x:c>
      <x:c r="L537" s="2" t="str">
        <x:v>Baseline LLM</x:v>
      </x:c>
      <x:c r="M537" s="2" t="str">
        <x:v>Precision</x:v>
      </x:c>
      <x:c r="N537" s="6" t="str">
        <x:v>HGEN 56.3%, Baseline 47.2%</x:v>
      </x:c>
      <x:c r="O537" s="2" t="n">
        <x:v>56.3</x:v>
      </x:c>
      <x:c r="P537" s="2" t="str">
        <x:v>%</x:v>
      </x:c>
      <x:c r="Q537" s="6" t="str">
        <x:v>Baseline 47.2%</x:v>
      </x:c>
      <x:c r="R537" s="2" t="n">
        <x:v>47.2</x:v>
      </x:c>
      <x:c r="S537" s="2" t="str">
        <x:v>NR</x:v>
      </x:c>
      <x:c r="T537" s="2" t="str">
        <x:v>Better</x:v>
      </x:c>
      <x:c r="U537" s="2" t="str">
        <x:v>Not tested</x:v>
      </x:c>
      <x:c r="V537" s="2" t="str">
        <x:v>NR</x:v>
      </x:c>
      <x:c r="W537" s="2" t="str">
        <x:v>NR</x:v>
      </x:c>
      <x:c r="X537" s="2" t="str">
        <x:v>NR</x:v>
      </x:c>
      <x:c r="Y537" s="2" t="str">
        <x:v>NR</x:v>
      </x:c>
      <x:c r="Z537" s="2" t="str">
        <x:v>No</x:v>
      </x:c>
      <x:c r="AA537" s="6" t="str">
        <x:v>p. 8; Table V</x:v>
      </x:c>
      <x:c r="AB537" s="6" t="str">
        <x:v>Baseline 84.5% 47.2% 89.5% 17 HGEN 94.0% 56.3% 93.4% 0</x:v>
      </x:c>
      <x:c r="AC537" s="6" t="str">
        <x:v>Dronology上HGEN的精确率高于基线。</x:v>
      </x:c>
      <x:c r="AD537" s="2" t="str">
        <x:v>Accepted</x:v>
      </x:c>
      <x:c r="AE537" s="6" t="str">
        <x:v>NA</x:v>
      </x:c>
    </x:row>
    <x:row r="538" ht="76" customHeight="1">
      <x:c r="A538" s="2" t="str">
        <x:v>S52-RESULT-R12</x:v>
      </x:c>
      <x:c r="B538" s="2" t="str">
        <x:v>S52</x:v>
      </x:c>
      <x:c r="C538" s="2" t="str">
        <x:v>snowball_00095</x:v>
      </x:c>
      <x:c r="D538" s="2" t="str">
        <x:v>Reviewer_A</x:v>
      </x:c>
      <x:c r="E538" s="2" t="str">
        <x:v>Reviewer_A</x:v>
      </x:c>
      <x:c r="F538" s="2" t="str">
        <x:v>S52-R12</x:v>
      </x:c>
      <x:c r="G538" s="2" t="str">
        <x:v>S52-EV03</x:v>
      </x:c>
      <x:c r="H538" s="2" t="str">
        <x:v>S52-T01</x:v>
      </x:c>
      <x:c r="I538" s="2" t="str">
        <x:v>NA</x:v>
      </x:c>
      <x:c r="J538" s="2" t="str">
        <x:v>Dronology</x:v>
      </x:c>
      <x:c r="K538" s="2" t="str">
        <x:v>HGEN</x:v>
      </x:c>
      <x:c r="L538" s="2" t="str">
        <x:v>Baseline LLM</x:v>
      </x:c>
      <x:c r="M538" s="2" t="str">
        <x:v>Recall</x:v>
      </x:c>
      <x:c r="N538" s="6" t="str">
        <x:v>HGEN 93.4%, Baseline 89.5%</x:v>
      </x:c>
      <x:c r="O538" s="2" t="n">
        <x:v>93.4</x:v>
      </x:c>
      <x:c r="P538" s="2" t="str">
        <x:v>%</x:v>
      </x:c>
      <x:c r="Q538" s="6" t="str">
        <x:v>Baseline 89.5%</x:v>
      </x:c>
      <x:c r="R538" s="2" t="n">
        <x:v>89.5</x:v>
      </x:c>
      <x:c r="S538" s="2" t="str">
        <x:v>NR</x:v>
      </x:c>
      <x:c r="T538" s="2" t="str">
        <x:v>Better</x:v>
      </x:c>
      <x:c r="U538" s="2" t="str">
        <x:v>Not tested</x:v>
      </x:c>
      <x:c r="V538" s="2" t="str">
        <x:v>NR</x:v>
      </x:c>
      <x:c r="W538" s="2" t="str">
        <x:v>NR</x:v>
      </x:c>
      <x:c r="X538" s="2" t="str">
        <x:v>NR</x:v>
      </x:c>
      <x:c r="Y538" s="2" t="str">
        <x:v>NR</x:v>
      </x:c>
      <x:c r="Z538" s="2" t="str">
        <x:v>No</x:v>
      </x:c>
      <x:c r="AA538" s="6" t="str">
        <x:v>p. 8; Table V</x:v>
      </x:c>
      <x:c r="AB538" s="6" t="str">
        <x:v>Baseline 84.5% 47.2% 89.5% 17 HGEN 94.0% 56.3% 93.4% 0</x:v>
      </x:c>
      <x:c r="AC538" s="6" t="str">
        <x:v>Dronology上HGEN的召回率略高。</x:v>
      </x:c>
      <x:c r="AD538" s="2" t="str">
        <x:v>Accepted</x:v>
      </x:c>
      <x:c r="AE538" s="6" t="str">
        <x:v>NA</x:v>
      </x:c>
    </x:row>
    <x:row r="539" ht="76" customHeight="1">
      <x:c r="A539" s="2" t="str">
        <x:v>S52-RESULT-R13</x:v>
      </x:c>
      <x:c r="B539" s="2" t="str">
        <x:v>S52</x:v>
      </x:c>
      <x:c r="C539" s="2" t="str">
        <x:v>snowball_00095</x:v>
      </x:c>
      <x:c r="D539" s="2" t="str">
        <x:v>Reviewer_A</x:v>
      </x:c>
      <x:c r="E539" s="2" t="str">
        <x:v>Reviewer_A</x:v>
      </x:c>
      <x:c r="F539" s="2" t="str">
        <x:v>S52-R13</x:v>
      </x:c>
      <x:c r="G539" s="2" t="str">
        <x:v>S52-EV03</x:v>
      </x:c>
      <x:c r="H539" s="2" t="str">
        <x:v>S52-T01</x:v>
      </x:c>
      <x:c r="I539" s="2" t="str">
        <x:v>NA</x:v>
      </x:c>
      <x:c r="J539" s="2" t="str">
        <x:v>Dronology</x:v>
      </x:c>
      <x:c r="K539" s="2" t="str">
        <x:v>HGEN</x:v>
      </x:c>
      <x:c r="L539" s="2" t="str">
        <x:v>Baseline LLM</x:v>
      </x:c>
      <x:c r="M539" s="2" t="str">
        <x:v># Orphans</x:v>
      </x:c>
      <x:c r="N539" s="6" t="str">
        <x:v>HGEN 0, Baseline 17</x:v>
      </x:c>
      <x:c r="O539" s="2" t="n">
        <x:v>0</x:v>
      </x:c>
      <x:c r="P539" s="2" t="str">
        <x:v>count</x:v>
      </x:c>
      <x:c r="Q539" s="6" t="str">
        <x:v>Baseline 17</x:v>
      </x:c>
      <x:c r="R539" s="2" t="n">
        <x:v>17</x:v>
      </x:c>
      <x:c r="S539" s="2" t="str">
        <x:v>NR</x:v>
      </x:c>
      <x:c r="T539" s="2" t="str">
        <x:v>Better</x:v>
      </x:c>
      <x:c r="U539" s="2" t="str">
        <x:v>Not tested</x:v>
      </x:c>
      <x:c r="V539" s="2" t="str">
        <x:v>NR</x:v>
      </x:c>
      <x:c r="W539" s="2" t="str">
        <x:v>NR</x:v>
      </x:c>
      <x:c r="X539" s="2" t="str">
        <x:v>NR</x:v>
      </x:c>
      <x:c r="Y539" s="2" t="str">
        <x:v>NR</x:v>
      </x:c>
      <x:c r="Z539" s="2" t="str">
        <x:v>No</x:v>
      </x:c>
      <x:c r="AA539" s="6" t="str">
        <x:v>p. 8; Table V</x:v>
      </x:c>
      <x:c r="AB539" s="6" t="str">
        <x:v>WITH RESPECT TO THE QUALITY ATTRIBUTE . Baseline 84.5% 47.2% 89.5% 17 HGEN 94.0% 56.3% 93.4% 0</x:v>
      </x:c>
      <x:c r="AC539" s="6" t="str">
        <x:v>Dronology上HGEN无孤儿链接，而基线有17个。</x:v>
      </x:c>
      <x:c r="AD539" s="2" t="str">
        <x:v>Accepted</x:v>
      </x:c>
      <x:c r="AE539" s="6" t="str">
        <x:v>NA</x:v>
      </x:c>
    </x:row>
    <x:row r="540" ht="76" customHeight="1">
      <x:c r="A540" s="2" t="str">
        <x:v>S52-RESULT-R14</x:v>
      </x:c>
      <x:c r="B540" s="2" t="str">
        <x:v>S52</x:v>
      </x:c>
      <x:c r="C540" s="2" t="str">
        <x:v>snowball_00095</x:v>
      </x:c>
      <x:c r="D540" s="2" t="str">
        <x:v>Reviewer_A</x:v>
      </x:c>
      <x:c r="E540" s="2" t="str">
        <x:v>Reviewer_A</x:v>
      </x:c>
      <x:c r="F540" s="2" t="str">
        <x:v>S52-R14</x:v>
      </x:c>
      <x:c r="G540" s="2" t="str">
        <x:v>S52-EV03</x:v>
      </x:c>
      <x:c r="H540" s="2" t="str">
        <x:v>S52-T01</x:v>
      </x:c>
      <x:c r="I540" s="2" t="str">
        <x:v>NA</x:v>
      </x:c>
      <x:c r="J540" s="2" t="str">
        <x:v>SAFA</x:v>
      </x:c>
      <x:c r="K540" s="2" t="str">
        <x:v>HGEN</x:v>
      </x:c>
      <x:c r="L540" s="2" t="str">
        <x:v>Baseline LLM</x:v>
      </x:c>
      <x:c r="M540" s="2" t="str">
        <x:v>mAP</x:v>
      </x:c>
      <x:c r="N540" s="6" t="str">
        <x:v>HGEN 94.5%, Baseline 91.9%</x:v>
      </x:c>
      <x:c r="O540" s="2" t="n">
        <x:v>94.5</x:v>
      </x:c>
      <x:c r="P540" s="2" t="str">
        <x:v>%</x:v>
      </x:c>
      <x:c r="Q540" s="6" t="str">
        <x:v>Baseline 91.9%</x:v>
      </x:c>
      <x:c r="R540" s="2" t="n">
        <x:v>91.9</x:v>
      </x:c>
      <x:c r="S540" s="2" t="str">
        <x:v>NR</x:v>
      </x:c>
      <x:c r="T540" s="2" t="str">
        <x:v>Better</x:v>
      </x:c>
      <x:c r="U540" s="2" t="str">
        <x:v>Not tested</x:v>
      </x:c>
      <x:c r="V540" s="2" t="str">
        <x:v>NR</x:v>
      </x:c>
      <x:c r="W540" s="2" t="str">
        <x:v>NR</x:v>
      </x:c>
      <x:c r="X540" s="2" t="str">
        <x:v>NR</x:v>
      </x:c>
      <x:c r="Y540" s="2" t="str">
        <x:v>NR</x:v>
      </x:c>
      <x:c r="Z540" s="2" t="str">
        <x:v>No</x:v>
      </x:c>
      <x:c r="AA540" s="6" t="str">
        <x:v>p. 8; Table V</x:v>
      </x:c>
      <x:c r="AB540" s="6" t="str">
        <x:v>Baseline 91.9%</x:v>
      </x:c>
      <x:c r="AC540" s="6" t="str">
        <x:v>SAFA上HGEN的mAP略高于基线。</x:v>
      </x:c>
      <x:c r="AD540" s="2" t="str">
        <x:v>Accepted</x:v>
      </x:c>
      <x:c r="AE540" s="6" t="str">
        <x:v>NA</x:v>
      </x:c>
    </x:row>
    <x:row r="541" ht="76" customHeight="1">
      <x:c r="A541" s="2" t="str">
        <x:v>S52-RESULT-R15</x:v>
      </x:c>
      <x:c r="B541" s="2" t="str">
        <x:v>S52</x:v>
      </x:c>
      <x:c r="C541" s="2" t="str">
        <x:v>snowball_00095</x:v>
      </x:c>
      <x:c r="D541" s="2" t="str">
        <x:v>Reviewer_A</x:v>
      </x:c>
      <x:c r="E541" s="2" t="str">
        <x:v>Reviewer_A</x:v>
      </x:c>
      <x:c r="F541" s="2" t="str">
        <x:v>S52-R15</x:v>
      </x:c>
      <x:c r="G541" s="2" t="str">
        <x:v>S52-EV03</x:v>
      </x:c>
      <x:c r="H541" s="2" t="str">
        <x:v>S52-T01</x:v>
      </x:c>
      <x:c r="I541" s="2" t="str">
        <x:v>NA</x:v>
      </x:c>
      <x:c r="J541" s="2" t="str">
        <x:v>SAFA</x:v>
      </x:c>
      <x:c r="K541" s="2" t="str">
        <x:v>HGEN</x:v>
      </x:c>
      <x:c r="L541" s="2" t="str">
        <x:v>Baseline LLM</x:v>
      </x:c>
      <x:c r="M541" s="2" t="str">
        <x:v>Precision</x:v>
      </x:c>
      <x:c r="N541" s="6" t="str">
        <x:v>HGEN 54.3%, Baseline 49.2%</x:v>
      </x:c>
      <x:c r="O541" s="2" t="n">
        <x:v>54.3</x:v>
      </x:c>
      <x:c r="P541" s="2" t="str">
        <x:v>%</x:v>
      </x:c>
      <x:c r="Q541" s="6" t="str">
        <x:v>Baseline 49.2%</x:v>
      </x:c>
      <x:c r="R541" s="2" t="n">
        <x:v>49.2</x:v>
      </x:c>
      <x:c r="S541" s="2" t="str">
        <x:v>NR</x:v>
      </x:c>
      <x:c r="T541" s="2" t="str">
        <x:v>Better</x:v>
      </x:c>
      <x:c r="U541" s="2" t="str">
        <x:v>Not tested</x:v>
      </x:c>
      <x:c r="V541" s="2" t="str">
        <x:v>NR</x:v>
      </x:c>
      <x:c r="W541" s="2" t="str">
        <x:v>NR</x:v>
      </x:c>
      <x:c r="X541" s="2" t="str">
        <x:v>NR</x:v>
      </x:c>
      <x:c r="Y541" s="2" t="str">
        <x:v>NR</x:v>
      </x:c>
      <x:c r="Z541" s="2" t="str">
        <x:v>No</x:v>
      </x:c>
      <x:c r="AA541" s="6" t="str">
        <x:v>p. 8; Table V</x:v>
      </x:c>
      <x:c r="AB541" s="6" t="str">
        <x:v>Baseline 91.9% 49.2% 100% 28 HGEN 94.5% 54.3% 98.4% 9</x:v>
      </x:c>
      <x:c r="AC541" s="6" t="str">
        <x:v>SAFA上HGEN的精确率高于基线。</x:v>
      </x:c>
      <x:c r="AD541" s="2" t="str">
        <x:v>Accepted</x:v>
      </x:c>
      <x:c r="AE541" s="6" t="str">
        <x:v>NA</x:v>
      </x:c>
    </x:row>
    <x:row r="542" ht="76" customHeight="1">
      <x:c r="A542" s="2" t="str">
        <x:v>S52-RESULT-R16</x:v>
      </x:c>
      <x:c r="B542" s="2" t="str">
        <x:v>S52</x:v>
      </x:c>
      <x:c r="C542" s="2" t="str">
        <x:v>snowball_00095</x:v>
      </x:c>
      <x:c r="D542" s="2" t="str">
        <x:v>Reviewer_A</x:v>
      </x:c>
      <x:c r="E542" s="2" t="str">
        <x:v>Reviewer_A</x:v>
      </x:c>
      <x:c r="F542" s="2" t="str">
        <x:v>S52-R16</x:v>
      </x:c>
      <x:c r="G542" s="2" t="str">
        <x:v>S52-EV03</x:v>
      </x:c>
      <x:c r="H542" s="2" t="str">
        <x:v>S52-T01</x:v>
      </x:c>
      <x:c r="I542" s="2" t="str">
        <x:v>NA</x:v>
      </x:c>
      <x:c r="J542" s="2" t="str">
        <x:v>SAFA</x:v>
      </x:c>
      <x:c r="K542" s="2" t="str">
        <x:v>HGEN</x:v>
      </x:c>
      <x:c r="L542" s="2" t="str">
        <x:v>Baseline LLM</x:v>
      </x:c>
      <x:c r="M542" s="2" t="str">
        <x:v>Recall</x:v>
      </x:c>
      <x:c r="N542" s="6" t="str">
        <x:v>HGEN 98.4%, Baseline 100%</x:v>
      </x:c>
      <x:c r="O542" s="2" t="n">
        <x:v>98.4</x:v>
      </x:c>
      <x:c r="P542" s="2" t="str">
        <x:v>%</x:v>
      </x:c>
      <x:c r="Q542" s="6" t="str">
        <x:v>Baseline 100%</x:v>
      </x:c>
      <x:c r="R542" s="2" t="n">
        <x:v>100</x:v>
      </x:c>
      <x:c r="S542" s="2" t="str">
        <x:v>NR</x:v>
      </x:c>
      <x:c r="T542" s="2" t="str">
        <x:v>Worse</x:v>
      </x:c>
      <x:c r="U542" s="2" t="str">
        <x:v>Not tested</x:v>
      </x:c>
      <x:c r="V542" s="2" t="str">
        <x:v>NR</x:v>
      </x:c>
      <x:c r="W542" s="2" t="str">
        <x:v>NR</x:v>
      </x:c>
      <x:c r="X542" s="2" t="str">
        <x:v>NR</x:v>
      </x:c>
      <x:c r="Y542" s="2" t="str">
        <x:v>NR</x:v>
      </x:c>
      <x:c r="Z542" s="2" t="str">
        <x:v>No</x:v>
      </x:c>
      <x:c r="AA542" s="6" t="str">
        <x:v>p. 8; Table V</x:v>
      </x:c>
      <x:c r="AB542" s="6" t="str">
        <x:v>Baseline 91.9% 49.2% 100% 28 HGEN 94.5% 54.3% 98.4% 9</x:v>
      </x:c>
      <x:c r="AC542" s="6" t="str">
        <x:v>SAFA上HGEN的召回率略低于完美的基线。</x:v>
      </x:c>
      <x:c r="AD542" s="2" t="str">
        <x:v>Accepted</x:v>
      </x:c>
      <x:c r="AE542" s="6" t="str">
        <x:v>NA</x:v>
      </x:c>
    </x:row>
    <x:row r="543" ht="76" customHeight="1">
      <x:c r="A543" s="2" t="str">
        <x:v>S52-RESULT-R17</x:v>
      </x:c>
      <x:c r="B543" s="2" t="str">
        <x:v>S52</x:v>
      </x:c>
      <x:c r="C543" s="2" t="str">
        <x:v>snowball_00095</x:v>
      </x:c>
      <x:c r="D543" s="2" t="str">
        <x:v>Reviewer_A</x:v>
      </x:c>
      <x:c r="E543" s="2" t="str">
        <x:v>Reviewer_A</x:v>
      </x:c>
      <x:c r="F543" s="2" t="str">
        <x:v>S52-R17</x:v>
      </x:c>
      <x:c r="G543" s="2" t="str">
        <x:v>S52-EV03</x:v>
      </x:c>
      <x:c r="H543" s="2" t="str">
        <x:v>S52-T01</x:v>
      </x:c>
      <x:c r="I543" s="2" t="str">
        <x:v>NA</x:v>
      </x:c>
      <x:c r="J543" s="2" t="str">
        <x:v>SAFA</x:v>
      </x:c>
      <x:c r="K543" s="2" t="str">
        <x:v>HGEN</x:v>
      </x:c>
      <x:c r="L543" s="2" t="str">
        <x:v>Baseline LLM</x:v>
      </x:c>
      <x:c r="M543" s="2" t="str">
        <x:v># Orphans</x:v>
      </x:c>
      <x:c r="N543" s="6" t="str">
        <x:v>HGEN 9, Baseline 28</x:v>
      </x:c>
      <x:c r="O543" s="2" t="n">
        <x:v>9</x:v>
      </x:c>
      <x:c r="P543" s="2" t="str">
        <x:v>count</x:v>
      </x:c>
      <x:c r="Q543" s="6" t="str">
        <x:v>Baseline 28</x:v>
      </x:c>
      <x:c r="R543" s="2" t="n">
        <x:v>28</x:v>
      </x:c>
      <x:c r="S543" s="2" t="str">
        <x:v>NR</x:v>
      </x:c>
      <x:c r="T543" s="2" t="str">
        <x:v>Better</x:v>
      </x:c>
      <x:c r="U543" s="2" t="str">
        <x:v>Not tested</x:v>
      </x:c>
      <x:c r="V543" s="2" t="str">
        <x:v>NR</x:v>
      </x:c>
      <x:c r="W543" s="2" t="str">
        <x:v>NR</x:v>
      </x:c>
      <x:c r="X543" s="2" t="str">
        <x:v>NR</x:v>
      </x:c>
      <x:c r="Y543" s="2" t="str">
        <x:v>NR</x:v>
      </x:c>
      <x:c r="Z543" s="2" t="str">
        <x:v>No</x:v>
      </x:c>
      <x:c r="AA543" s="6" t="str">
        <x:v>p. 8; Table V</x:v>
      </x:c>
      <x:c r="AB543" s="6" t="str">
        <x:v>Human Mean Baseline Mean</x:v>
      </x:c>
      <x:c r="AC543" s="6" t="str">
        <x:v>SAFA上HGEN的孤儿链接数远低于基线。</x:v>
      </x:c>
      <x:c r="AD543" s="2" t="str">
        <x:v>Accepted</x:v>
      </x:c>
      <x:c r="AE543" s="6" t="str">
        <x:v>NA</x:v>
      </x:c>
    </x:row>
    <x:row r="544" ht="76" customHeight="1">
      <x:c r="A544" s="2" t="str">
        <x:v>S52-RESULT-R18</x:v>
      </x:c>
      <x:c r="B544" s="2" t="str">
        <x:v>S52</x:v>
      </x:c>
      <x:c r="C544" s="2" t="str">
        <x:v>snowball_00095</x:v>
      </x:c>
      <x:c r="D544" s="2" t="str">
        <x:v>Reviewer_A</x:v>
      </x:c>
      <x:c r="E544" s="2" t="str">
        <x:v>Reviewer_A</x:v>
      </x:c>
      <x:c r="F544" s="2" t="str">
        <x:v>S52-R18</x:v>
      </x:c>
      <x:c r="G544" s="2" t="str">
        <x:v>S52-EV03</x:v>
      </x:c>
      <x:c r="H544" s="2" t="str">
        <x:v>S52-T01</x:v>
      </x:c>
      <x:c r="I544" s="2" t="str">
        <x:v>NA</x:v>
      </x:c>
      <x:c r="J544" s="2" t="str">
        <x:v>Jack of Clubs</x:v>
      </x:c>
      <x:c r="K544" s="2" t="str">
        <x:v>HGEN</x:v>
      </x:c>
      <x:c r="L544" s="2" t="str">
        <x:v>Baseline LLM</x:v>
      </x:c>
      <x:c r="M544" s="2" t="str">
        <x:v>mAP</x:v>
      </x:c>
      <x:c r="N544" s="6" t="str">
        <x:v>HGEN 96.7%, Baseline 95.5%</x:v>
      </x:c>
      <x:c r="O544" s="2" t="n">
        <x:v>96.7</x:v>
      </x:c>
      <x:c r="P544" s="2" t="str">
        <x:v>%</x:v>
      </x:c>
      <x:c r="Q544" s="6" t="str">
        <x:v>Baseline 95.5%</x:v>
      </x:c>
      <x:c r="R544" s="2" t="n">
        <x:v>95.5</x:v>
      </x:c>
      <x:c r="S544" s="2" t="str">
        <x:v>NR</x:v>
      </x:c>
      <x:c r="T544" s="2" t="str">
        <x:v>Better</x:v>
      </x:c>
      <x:c r="U544" s="2" t="str">
        <x:v>Not tested</x:v>
      </x:c>
      <x:c r="V544" s="2" t="str">
        <x:v>NR</x:v>
      </x:c>
      <x:c r="W544" s="2" t="str">
        <x:v>NR</x:v>
      </x:c>
      <x:c r="X544" s="2" t="str">
        <x:v>NR</x:v>
      </x:c>
      <x:c r="Y544" s="2" t="str">
        <x:v>NR</x:v>
      </x:c>
      <x:c r="Z544" s="2" t="str">
        <x:v>No</x:v>
      </x:c>
      <x:c r="AA544" s="6" t="str">
        <x:v>p. 8; Table V</x:v>
      </x:c>
      <x:c r="AB544" s="6" t="str">
        <x:v>Baseline 95.5%</x:v>
      </x:c>
      <x:c r="AC544" s="6" t="str">
        <x:v>Jack of Clubs上HGEN的mAP略高于基线。</x:v>
      </x:c>
      <x:c r="AD544" s="2" t="str">
        <x:v>Accepted</x:v>
      </x:c>
      <x:c r="AE544" s="6" t="str">
        <x:v>NA</x:v>
      </x:c>
    </x:row>
    <x:row r="545" ht="76" customHeight="1">
      <x:c r="A545" s="2" t="str">
        <x:v>S52-RESULT-R19</x:v>
      </x:c>
      <x:c r="B545" s="2" t="str">
        <x:v>S52</x:v>
      </x:c>
      <x:c r="C545" s="2" t="str">
        <x:v>snowball_00095</x:v>
      </x:c>
      <x:c r="D545" s="2" t="str">
        <x:v>Reviewer_A</x:v>
      </x:c>
      <x:c r="E545" s="2" t="str">
        <x:v>Reviewer_A</x:v>
      </x:c>
      <x:c r="F545" s="2" t="str">
        <x:v>S52-R19</x:v>
      </x:c>
      <x:c r="G545" s="2" t="str">
        <x:v>S52-EV03</x:v>
      </x:c>
      <x:c r="H545" s="2" t="str">
        <x:v>S52-T01</x:v>
      </x:c>
      <x:c r="I545" s="2" t="str">
        <x:v>NA</x:v>
      </x:c>
      <x:c r="J545" s="2" t="str">
        <x:v>Jack of Clubs</x:v>
      </x:c>
      <x:c r="K545" s="2" t="str">
        <x:v>HGEN</x:v>
      </x:c>
      <x:c r="L545" s="2" t="str">
        <x:v>Baseline LLM</x:v>
      </x:c>
      <x:c r="M545" s="2" t="str">
        <x:v>Precision</x:v>
      </x:c>
      <x:c r="N545" s="6" t="str">
        <x:v>HGEN 81.4%, Baseline 67.3%</x:v>
      </x:c>
      <x:c r="O545" s="2" t="n">
        <x:v>81.4</x:v>
      </x:c>
      <x:c r="P545" s="2" t="str">
        <x:v>%</x:v>
      </x:c>
      <x:c r="Q545" s="6" t="str">
        <x:v>Baseline 67.3%</x:v>
      </x:c>
      <x:c r="R545" s="2" t="n">
        <x:v>67.3</x:v>
      </x:c>
      <x:c r="S545" s="2" t="str">
        <x:v>NR</x:v>
      </x:c>
      <x:c r="T545" s="2" t="str">
        <x:v>Better</x:v>
      </x:c>
      <x:c r="U545" s="2" t="str">
        <x:v>Not tested</x:v>
      </x:c>
      <x:c r="V545" s="2" t="str">
        <x:v>NR</x:v>
      </x:c>
      <x:c r="W545" s="2" t="str">
        <x:v>NR</x:v>
      </x:c>
      <x:c r="X545" s="2" t="str">
        <x:v>NR</x:v>
      </x:c>
      <x:c r="Y545" s="2" t="str">
        <x:v>NR</x:v>
      </x:c>
      <x:c r="Z545" s="2" t="str">
        <x:v>No</x:v>
      </x:c>
      <x:c r="AA545" s="6" t="str">
        <x:v>p. 8; Table V</x:v>
      </x:c>
      <x:c r="AB545" s="6" t="str">
        <x:v>Baseline 95.5% 67.3% 74.5% 11 HGEN 96.7% 81.4% 80.2% 1</x:v>
      </x:c>
      <x:c r="AC545" s="6" t="str">
        <x:v>Jack of Clubs上HGEN的精确率远高于基线。</x:v>
      </x:c>
      <x:c r="AD545" s="2" t="str">
        <x:v>Accepted</x:v>
      </x:c>
      <x:c r="AE545" s="6" t="str">
        <x:v>NA</x:v>
      </x:c>
    </x:row>
    <x:row r="546" ht="76" customHeight="1">
      <x:c r="A546" s="2" t="str">
        <x:v>S52-RESULT-R20</x:v>
      </x:c>
      <x:c r="B546" s="2" t="str">
        <x:v>S52</x:v>
      </x:c>
      <x:c r="C546" s="2" t="str">
        <x:v>snowball_00095</x:v>
      </x:c>
      <x:c r="D546" s="2" t="str">
        <x:v>Reviewer_A</x:v>
      </x:c>
      <x:c r="E546" s="2" t="str">
        <x:v>Reviewer_A</x:v>
      </x:c>
      <x:c r="F546" s="2" t="str">
        <x:v>S52-R20</x:v>
      </x:c>
      <x:c r="G546" s="2" t="str">
        <x:v>S52-EV03</x:v>
      </x:c>
      <x:c r="H546" s="2" t="str">
        <x:v>S52-T01</x:v>
      </x:c>
      <x:c r="I546" s="2" t="str">
        <x:v>NA</x:v>
      </x:c>
      <x:c r="J546" s="2" t="str">
        <x:v>Jack of Clubs</x:v>
      </x:c>
      <x:c r="K546" s="2" t="str">
        <x:v>HGEN</x:v>
      </x:c>
      <x:c r="L546" s="2" t="str">
        <x:v>Baseline LLM</x:v>
      </x:c>
      <x:c r="M546" s="2" t="str">
        <x:v>Recall</x:v>
      </x:c>
      <x:c r="N546" s="6" t="str">
        <x:v>HGEN 80.2%, Baseline 74.5%</x:v>
      </x:c>
      <x:c r="O546" s="2" t="n">
        <x:v>80.2</x:v>
      </x:c>
      <x:c r="P546" s="2" t="str">
        <x:v>%</x:v>
      </x:c>
      <x:c r="Q546" s="6" t="str">
        <x:v>Baseline 74.5%</x:v>
      </x:c>
      <x:c r="R546" s="2" t="n">
        <x:v>74.5</x:v>
      </x:c>
      <x:c r="S546" s="2" t="str">
        <x:v>NR</x:v>
      </x:c>
      <x:c r="T546" s="2" t="str">
        <x:v>Better</x:v>
      </x:c>
      <x:c r="U546" s="2" t="str">
        <x:v>Not tested</x:v>
      </x:c>
      <x:c r="V546" s="2" t="str">
        <x:v>NR</x:v>
      </x:c>
      <x:c r="W546" s="2" t="str">
        <x:v>NR</x:v>
      </x:c>
      <x:c r="X546" s="2" t="str">
        <x:v>NR</x:v>
      </x:c>
      <x:c r="Y546" s="2" t="str">
        <x:v>NR</x:v>
      </x:c>
      <x:c r="Z546" s="2" t="str">
        <x:v>No</x:v>
      </x:c>
      <x:c r="AA546" s="6" t="str">
        <x:v>p. 8; Table V</x:v>
      </x:c>
      <x:c r="AB546" s="6" t="str">
        <x:v>Baseline 95.5% 67.3% 74.5% 11 HGEN 96.7% 81.4% 80.2% 1</x:v>
      </x:c>
      <x:c r="AC546" s="6" t="str">
        <x:v>Jack of Clubs上HGEN的召回率高于基线。</x:v>
      </x:c>
      <x:c r="AD546" s="2" t="str">
        <x:v>Accepted</x:v>
      </x:c>
      <x:c r="AE546" s="6" t="str">
        <x:v>NA</x:v>
      </x:c>
    </x:row>
    <x:row r="547" ht="76" customHeight="1">
      <x:c r="A547" s="2" t="str">
        <x:v>S52-RESULT-R21</x:v>
      </x:c>
      <x:c r="B547" s="2" t="str">
        <x:v>S52</x:v>
      </x:c>
      <x:c r="C547" s="2" t="str">
        <x:v>snowball_00095</x:v>
      </x:c>
      <x:c r="D547" s="2" t="str">
        <x:v>Reviewer_A</x:v>
      </x:c>
      <x:c r="E547" s="2" t="str">
        <x:v>Reviewer_A</x:v>
      </x:c>
      <x:c r="F547" s="2" t="str">
        <x:v>S52-R21</x:v>
      </x:c>
      <x:c r="G547" s="2" t="str">
        <x:v>S52-EV03</x:v>
      </x:c>
      <x:c r="H547" s="2" t="str">
        <x:v>S52-T01</x:v>
      </x:c>
      <x:c r="I547" s="2" t="str">
        <x:v>NA</x:v>
      </x:c>
      <x:c r="J547" s="2" t="str">
        <x:v>Jack of Clubs</x:v>
      </x:c>
      <x:c r="K547" s="2" t="str">
        <x:v>HGEN</x:v>
      </x:c>
      <x:c r="L547" s="2" t="str">
        <x:v>Baseline LLM</x:v>
      </x:c>
      <x:c r="M547" s="2" t="str">
        <x:v># Orphans</x:v>
      </x:c>
      <x:c r="N547" s="6" t="str">
        <x:v>HGEN 1, Baseline 11</x:v>
      </x:c>
      <x:c r="O547" s="2" t="n">
        <x:v>1</x:v>
      </x:c>
      <x:c r="P547" s="2" t="str">
        <x:v>count</x:v>
      </x:c>
      <x:c r="Q547" s="6" t="str">
        <x:v>Baseline 11</x:v>
      </x:c>
      <x:c r="R547" s="2" t="n">
        <x:v>11</x:v>
      </x:c>
      <x:c r="S547" s="2" t="str">
        <x:v>NR</x:v>
      </x:c>
      <x:c r="T547" s="2" t="str">
        <x:v>Better</x:v>
      </x:c>
      <x:c r="U547" s="2" t="str">
        <x:v>Not tested</x:v>
      </x:c>
      <x:c r="V547" s="2" t="str">
        <x:v>NR</x:v>
      </x:c>
      <x:c r="W547" s="2" t="str">
        <x:v>NR</x:v>
      </x:c>
      <x:c r="X547" s="2" t="str">
        <x:v>NR</x:v>
      </x:c>
      <x:c r="Y547" s="2" t="str">
        <x:v>NR</x:v>
      </x:c>
      <x:c r="Z547" s="2" t="str">
        <x:v>No</x:v>
      </x:c>
      <x:c r="AA547" s="6" t="str">
        <x:v>p. 8; Table V</x:v>
      </x:c>
      <x:c r="AB547" s="6" t="str">
        <x:v>both the Baseline and HGEN uncovered project aspects not</x:v>
      </x:c>
      <x:c r="AC547" s="6" t="str">
        <x:v>Jack of Clubs上HGEN的孤儿链接数极低。</x:v>
      </x:c>
      <x:c r="AD547" s="2" t="str">
        <x:v>Accepted</x:v>
      </x:c>
      <x:c r="AE547" s="6" t="str">
        <x:v>NA</x:v>
      </x:c>
    </x:row>
    <x:row r="548" ht="76" customHeight="1">
      <x:c r="A548" s="2" t="str">
        <x:v>S53-RESULT-R001</x:v>
      </x:c>
      <x:c r="B548" s="2" t="str">
        <x:v>S53</x:v>
      </x:c>
      <x:c r="C548" s="2" t="str">
        <x:v>merged_1229</x:v>
      </x:c>
      <x:c r="D548" s="2" t="str">
        <x:v>Reviewer_A</x:v>
      </x:c>
      <x:c r="E548" s="2" t="str">
        <x:v>Reviewer_A</x:v>
      </x:c>
      <x:c r="F548" s="2" t="str">
        <x:v>S53-R001</x:v>
      </x:c>
      <x:c r="G548" s="2" t="str">
        <x:v>S53-EV01</x:v>
      </x:c>
      <x:c r="H548" s="2" t="str">
        <x:v>S53-T01</x:v>
      </x:c>
      <x:c r="I548" s="2" t="str">
        <x:v>S53-MU01</x:v>
      </x:c>
      <x:c r="J548" s="2" t="str">
        <x:v>Synthetic Track Surveillance Drone artifacts</x:v>
      </x:c>
      <x:c r="K548" s="2" t="str">
        <x:v>GPT-4</x:v>
      </x:c>
      <x:c r="L548" s="2" t="str">
        <x:v>NA</x:v>
      </x:c>
      <x:c r="M548" s="2" t="str">
        <x:v>Completeness</x:v>
      </x:c>
      <x:c r="N548" s="6" t="str">
        <x:v>1</x:v>
      </x:c>
      <x:c r="O548" s="2" t="n">
        <x:v>1</x:v>
      </x:c>
      <x:c r="P548" s="2" t="str">
        <x:v>score (0, 0.5, or 1)</x:v>
      </x:c>
      <x:c r="Q548" s="6" t="str">
        <x:v>NA</x:v>
      </x:c>
      <x:c r="R548" s="2"/>
      <x:c r="S548" s="2" t="str">
        <x:v>NR</x:v>
      </x:c>
      <x:c r="T548" s="2" t="str">
        <x:v>NA</x:v>
      </x:c>
      <x:c r="U548" s="2" t="str">
        <x:v>Not tested</x:v>
      </x:c>
      <x:c r="V548" s="2" t="str">
        <x:v>NR</x:v>
      </x:c>
      <x:c r="W548" s="2" t="str">
        <x:v>NR</x:v>
      </x:c>
      <x:c r="X548" s="2" t="str">
        <x:v>NR</x:v>
      </x:c>
      <x:c r="Y548" s="2" t="str">
        <x:v>See narrative error analysis</x:v>
      </x:c>
      <x:c r="Z548" s="2" t="str">
        <x:v>No</x:v>
      </x:c>
      <x:c r="AA548" s="6" t="str">
        <x:v>p. 5; Table II</x:v>
      </x:c>
      <x:c r="AB548" s="6" t="str">
        <x:v>Table II reports GPT4 Completeness=1 for task 1.</x:v>
      </x:c>
      <x:c r="AC548" s="6" t="str">
        <x:v>Direct transcription of the task-level score from Table II.</x:v>
      </x:c>
      <x:c r="AD548" s="2" t="str">
        <x:v>Accepted</x:v>
      </x:c>
      <x:c r="AE548" s="6" t="str">
        <x:v>NR</x:v>
      </x:c>
    </x:row>
    <x:row r="549" ht="76" customHeight="1">
      <x:c r="A549" s="2" t="str">
        <x:v>S53-RESULT-R002</x:v>
      </x:c>
      <x:c r="B549" s="2" t="str">
        <x:v>S53</x:v>
      </x:c>
      <x:c r="C549" s="2" t="str">
        <x:v>merged_1229</x:v>
      </x:c>
      <x:c r="D549" s="2" t="str">
        <x:v>Reviewer_A</x:v>
      </x:c>
      <x:c r="E549" s="2" t="str">
        <x:v>Reviewer_A</x:v>
      </x:c>
      <x:c r="F549" s="2" t="str">
        <x:v>S53-R002</x:v>
      </x:c>
      <x:c r="G549" s="2" t="str">
        <x:v>S53-EV02</x:v>
      </x:c>
      <x:c r="H549" s="2" t="str">
        <x:v>S53-T02</x:v>
      </x:c>
      <x:c r="I549" s="2" t="str">
        <x:v>S53-MU04</x:v>
      </x:c>
      <x:c r="J549" s="2" t="str">
        <x:v>Synthetic Track Surveillance Drone artifacts</x:v>
      </x:c>
      <x:c r="K549" s="2" t="str">
        <x:v>GPT-4</x:v>
      </x:c>
      <x:c r="L549" s="2" t="str">
        <x:v>NA</x:v>
      </x:c>
      <x:c r="M549" s="2" t="str">
        <x:v>Completeness</x:v>
      </x:c>
      <x:c r="N549" s="6" t="str">
        <x:v>0.5</x:v>
      </x:c>
      <x:c r="O549" s="2" t="n">
        <x:v>0.5</x:v>
      </x:c>
      <x:c r="P549" s="2" t="str">
        <x:v>score (0, 0.5, or 1)</x:v>
      </x:c>
      <x:c r="Q549" s="6" t="str">
        <x:v>NA</x:v>
      </x:c>
      <x:c r="R549" s="2"/>
      <x:c r="S549" s="2" t="str">
        <x:v>NR</x:v>
      </x:c>
      <x:c r="T549" s="2" t="str">
        <x:v>NA</x:v>
      </x:c>
      <x:c r="U549" s="2" t="str">
        <x:v>Not tested</x:v>
      </x:c>
      <x:c r="V549" s="2" t="str">
        <x:v>NR</x:v>
      </x:c>
      <x:c r="W549" s="2" t="str">
        <x:v>NR</x:v>
      </x:c>
      <x:c r="X549" s="2" t="str">
        <x:v>NR</x:v>
      </x:c>
      <x:c r="Y549" s="2" t="str">
        <x:v>See narrative error analysis</x:v>
      </x:c>
      <x:c r="Z549" s="2" t="str">
        <x:v>No</x:v>
      </x:c>
      <x:c r="AA549" s="6" t="str">
        <x:v>p. 5; Table II</x:v>
      </x:c>
      <x:c r="AB549" s="6" t="str">
        <x:v>Table II reports GPT4 Completeness=0.5 for task 2.</x:v>
      </x:c>
      <x:c r="AC549" s="6" t="str">
        <x:v>Direct transcription of the task-level score from Table II.</x:v>
      </x:c>
      <x:c r="AD549" s="2" t="str">
        <x:v>Accepted</x:v>
      </x:c>
      <x:c r="AE549" s="6" t="str">
        <x:v>NR</x:v>
      </x:c>
    </x:row>
    <x:row r="550" ht="76" customHeight="1">
      <x:c r="A550" s="2" t="str">
        <x:v>S53-RESULT-R003</x:v>
      </x:c>
      <x:c r="B550" s="2" t="str">
        <x:v>S53</x:v>
      </x:c>
      <x:c r="C550" s="2" t="str">
        <x:v>merged_1229</x:v>
      </x:c>
      <x:c r="D550" s="2" t="str">
        <x:v>Reviewer_A</x:v>
      </x:c>
      <x:c r="E550" s="2" t="str">
        <x:v>Reviewer_A</x:v>
      </x:c>
      <x:c r="F550" s="2" t="str">
        <x:v>S53-R003</x:v>
      </x:c>
      <x:c r="G550" s="2" t="str">
        <x:v>S53-EV03</x:v>
      </x:c>
      <x:c r="H550" s="2" t="str">
        <x:v>S53-T03</x:v>
      </x:c>
      <x:c r="I550" s="2" t="str">
        <x:v>S53-MU07</x:v>
      </x:c>
      <x:c r="J550" s="2" t="str">
        <x:v>Synthetic Track Surveillance Drone artifacts</x:v>
      </x:c>
      <x:c r="K550" s="2" t="str">
        <x:v>GPT-4</x:v>
      </x:c>
      <x:c r="L550" s="2" t="str">
        <x:v>NA</x:v>
      </x:c>
      <x:c r="M550" s="2" t="str">
        <x:v>Completeness</x:v>
      </x:c>
      <x:c r="N550" s="6" t="str">
        <x:v>0.5</x:v>
      </x:c>
      <x:c r="O550" s="2" t="n">
        <x:v>0.5</x:v>
      </x:c>
      <x:c r="P550" s="2" t="str">
        <x:v>score (0, 0.5, or 1)</x:v>
      </x:c>
      <x:c r="Q550" s="6" t="str">
        <x:v>NA</x:v>
      </x:c>
      <x:c r="R550" s="2"/>
      <x:c r="S550" s="2" t="str">
        <x:v>NR</x:v>
      </x:c>
      <x:c r="T550" s="2" t="str">
        <x:v>NA</x:v>
      </x:c>
      <x:c r="U550" s="2" t="str">
        <x:v>Not tested</x:v>
      </x:c>
      <x:c r="V550" s="2" t="str">
        <x:v>NR</x:v>
      </x:c>
      <x:c r="W550" s="2" t="str">
        <x:v>NR</x:v>
      </x:c>
      <x:c r="X550" s="2" t="str">
        <x:v>NR</x:v>
      </x:c>
      <x:c r="Y550" s="2" t="str">
        <x:v>See narrative error analysis</x:v>
      </x:c>
      <x:c r="Z550" s="2" t="str">
        <x:v>No</x:v>
      </x:c>
      <x:c r="AA550" s="6" t="str">
        <x:v>p. 5; Table II</x:v>
      </x:c>
      <x:c r="AB550" s="6" t="str">
        <x:v>Table II reports GPT4 Completeness=0.5 for task 3.</x:v>
      </x:c>
      <x:c r="AC550" s="6" t="str">
        <x:v>Direct transcription of the task-level score from Table II.</x:v>
      </x:c>
      <x:c r="AD550" s="2" t="str">
        <x:v>Accepted</x:v>
      </x:c>
      <x:c r="AE550" s="6" t="str">
        <x:v>NR</x:v>
      </x:c>
    </x:row>
    <x:row r="551" ht="76" customHeight="1">
      <x:c r="A551" s="2" t="str">
        <x:v>S53-RESULT-R004</x:v>
      </x:c>
      <x:c r="B551" s="2" t="str">
        <x:v>S53</x:v>
      </x:c>
      <x:c r="C551" s="2" t="str">
        <x:v>merged_1229</x:v>
      </x:c>
      <x:c r="D551" s="2" t="str">
        <x:v>Reviewer_A</x:v>
      </x:c>
      <x:c r="E551" s="2" t="str">
        <x:v>Reviewer_A</x:v>
      </x:c>
      <x:c r="F551" s="2" t="str">
        <x:v>S53-R004</x:v>
      </x:c>
      <x:c r="G551" s="2" t="str">
        <x:v>S53-EV04</x:v>
      </x:c>
      <x:c r="H551" s="2" t="str">
        <x:v>S53-T04</x:v>
      </x:c>
      <x:c r="I551" s="2" t="str">
        <x:v>S53-MU10</x:v>
      </x:c>
      <x:c r="J551" s="2" t="str">
        <x:v>Synthetic Track Surveillance Drone artifacts</x:v>
      </x:c>
      <x:c r="K551" s="2" t="str">
        <x:v>GPT-4</x:v>
      </x:c>
      <x:c r="L551" s="2" t="str">
        <x:v>NA</x:v>
      </x:c>
      <x:c r="M551" s="2" t="str">
        <x:v>Completeness</x:v>
      </x:c>
      <x:c r="N551" s="6" t="str">
        <x:v>0</x:v>
      </x:c>
      <x:c r="O551" s="2" t="n">
        <x:v>0</x:v>
      </x:c>
      <x:c r="P551" s="2" t="str">
        <x:v>score (0, 0.5, or 1)</x:v>
      </x:c>
      <x:c r="Q551" s="6" t="str">
        <x:v>NA</x:v>
      </x:c>
      <x:c r="R551" s="2"/>
      <x:c r="S551" s="2" t="str">
        <x:v>NR</x:v>
      </x:c>
      <x:c r="T551" s="2" t="str">
        <x:v>NA</x:v>
      </x:c>
      <x:c r="U551" s="2" t="str">
        <x:v>Not tested</x:v>
      </x:c>
      <x:c r="V551" s="2" t="str">
        <x:v>NR</x:v>
      </x:c>
      <x:c r="W551" s="2" t="str">
        <x:v>NR</x:v>
      </x:c>
      <x:c r="X551" s="2" t="str">
        <x:v>NR</x:v>
      </x:c>
      <x:c r="Y551" s="2" t="str">
        <x:v>See narrative error analysis</x:v>
      </x:c>
      <x:c r="Z551" s="2" t="str">
        <x:v>Yes</x:v>
      </x:c>
      <x:c r="AA551" s="6" t="str">
        <x:v>p. 5; Table II</x:v>
      </x:c>
      <x:c r="AB551" s="6" t="str">
        <x:v>Table II reports GPT4 Completeness=0 for task 4.</x:v>
      </x:c>
      <x:c r="AC551" s="6" t="str">
        <x:v>Direct transcription of the task-level score from Table II.</x:v>
      </x:c>
      <x:c r="AD551" s="2" t="str">
        <x:v>Accepted</x:v>
      </x:c>
      <x:c r="AE551" s="6" t="str">
        <x:v>NR</x:v>
      </x:c>
    </x:row>
    <x:row r="552" ht="76" customHeight="1">
      <x:c r="A552" s="2" t="str">
        <x:v>S53-RESULT-R005</x:v>
      </x:c>
      <x:c r="B552" s="2" t="str">
        <x:v>S53</x:v>
      </x:c>
      <x:c r="C552" s="2" t="str">
        <x:v>merged_1229</x:v>
      </x:c>
      <x:c r="D552" s="2" t="str">
        <x:v>Reviewer_A</x:v>
      </x:c>
      <x:c r="E552" s="2" t="str">
        <x:v>Reviewer_A</x:v>
      </x:c>
      <x:c r="F552" s="2" t="str">
        <x:v>S53-R005</x:v>
      </x:c>
      <x:c r="G552" s="2" t="str">
        <x:v>S53-EV01</x:v>
      </x:c>
      <x:c r="H552" s="2" t="str">
        <x:v>S53-T01</x:v>
      </x:c>
      <x:c r="I552" s="2" t="str">
        <x:v>S53-MU01</x:v>
      </x:c>
      <x:c r="J552" s="2" t="str">
        <x:v>Synthetic Track Surveillance Drone artifacts</x:v>
      </x:c>
      <x:c r="K552" s="2" t="str">
        <x:v>GPT-4</x:v>
      </x:c>
      <x:c r="L552" s="2" t="str">
        <x:v>NA</x:v>
      </x:c>
      <x:c r="M552" s="2" t="str">
        <x:v>Correctness</x:v>
      </x:c>
      <x:c r="N552" s="6" t="str">
        <x:v>0.5</x:v>
      </x:c>
      <x:c r="O552" s="2" t="n">
        <x:v>0.5</x:v>
      </x:c>
      <x:c r="P552" s="2" t="str">
        <x:v>score (0, 0.5, or 1)</x:v>
      </x:c>
      <x:c r="Q552" s="6" t="str">
        <x:v>NA</x:v>
      </x:c>
      <x:c r="R552" s="2"/>
      <x:c r="S552" s="2" t="str">
        <x:v>NR</x:v>
      </x:c>
      <x:c r="T552" s="2" t="str">
        <x:v>NA</x:v>
      </x:c>
      <x:c r="U552" s="2" t="str">
        <x:v>Not tested</x:v>
      </x:c>
      <x:c r="V552" s="2" t="str">
        <x:v>NR</x:v>
      </x:c>
      <x:c r="W552" s="2" t="str">
        <x:v>NR</x:v>
      </x:c>
      <x:c r="X552" s="2" t="str">
        <x:v>NR</x:v>
      </x:c>
      <x:c r="Y552" s="2" t="str">
        <x:v>See narrative error analysis</x:v>
      </x:c>
      <x:c r="Z552" s="2" t="str">
        <x:v>No</x:v>
      </x:c>
      <x:c r="AA552" s="6" t="str">
        <x:v>p. 5; Table II</x:v>
      </x:c>
      <x:c r="AB552" s="6" t="str">
        <x:v>Table II reports GPT4 Correctness=0.5 for task 1.</x:v>
      </x:c>
      <x:c r="AC552" s="6" t="str">
        <x:v>Direct transcription of the task-level score from Table II.</x:v>
      </x:c>
      <x:c r="AD552" s="2" t="str">
        <x:v>Accepted</x:v>
      </x:c>
      <x:c r="AE552" s="6" t="str">
        <x:v>NR</x:v>
      </x:c>
    </x:row>
    <x:row r="553" ht="76" customHeight="1">
      <x:c r="A553" s="2" t="str">
        <x:v>S53-RESULT-R006</x:v>
      </x:c>
      <x:c r="B553" s="2" t="str">
        <x:v>S53</x:v>
      </x:c>
      <x:c r="C553" s="2" t="str">
        <x:v>merged_1229</x:v>
      </x:c>
      <x:c r="D553" s="2" t="str">
        <x:v>Reviewer_A</x:v>
      </x:c>
      <x:c r="E553" s="2" t="str">
        <x:v>Reviewer_A</x:v>
      </x:c>
      <x:c r="F553" s="2" t="str">
        <x:v>S53-R006</x:v>
      </x:c>
      <x:c r="G553" s="2" t="str">
        <x:v>S53-EV02</x:v>
      </x:c>
      <x:c r="H553" s="2" t="str">
        <x:v>S53-T02</x:v>
      </x:c>
      <x:c r="I553" s="2" t="str">
        <x:v>S53-MU04</x:v>
      </x:c>
      <x:c r="J553" s="2" t="str">
        <x:v>Synthetic Track Surveillance Drone artifacts</x:v>
      </x:c>
      <x:c r="K553" s="2" t="str">
        <x:v>GPT-4</x:v>
      </x:c>
      <x:c r="L553" s="2" t="str">
        <x:v>NA</x:v>
      </x:c>
      <x:c r="M553" s="2" t="str">
        <x:v>Correctness</x:v>
      </x:c>
      <x:c r="N553" s="6" t="str">
        <x:v>0.5</x:v>
      </x:c>
      <x:c r="O553" s="2" t="n">
        <x:v>0.5</x:v>
      </x:c>
      <x:c r="P553" s="2" t="str">
        <x:v>score (0, 0.5, or 1)</x:v>
      </x:c>
      <x:c r="Q553" s="6" t="str">
        <x:v>NA</x:v>
      </x:c>
      <x:c r="R553" s="2"/>
      <x:c r="S553" s="2" t="str">
        <x:v>NR</x:v>
      </x:c>
      <x:c r="T553" s="2" t="str">
        <x:v>NA</x:v>
      </x:c>
      <x:c r="U553" s="2" t="str">
        <x:v>Not tested</x:v>
      </x:c>
      <x:c r="V553" s="2" t="str">
        <x:v>NR</x:v>
      </x:c>
      <x:c r="W553" s="2" t="str">
        <x:v>NR</x:v>
      </x:c>
      <x:c r="X553" s="2" t="str">
        <x:v>NR</x:v>
      </x:c>
      <x:c r="Y553" s="2" t="str">
        <x:v>See narrative error analysis</x:v>
      </x:c>
      <x:c r="Z553" s="2" t="str">
        <x:v>No</x:v>
      </x:c>
      <x:c r="AA553" s="6" t="str">
        <x:v>p. 5; Table II</x:v>
      </x:c>
      <x:c r="AB553" s="6" t="str">
        <x:v>Table II reports GPT4 Correctness=0.5 for task 2.</x:v>
      </x:c>
      <x:c r="AC553" s="6" t="str">
        <x:v>Direct transcription of the task-level score from Table II.</x:v>
      </x:c>
      <x:c r="AD553" s="2" t="str">
        <x:v>Accepted</x:v>
      </x:c>
      <x:c r="AE553" s="6" t="str">
        <x:v>NR</x:v>
      </x:c>
    </x:row>
    <x:row r="554" ht="76" customHeight="1">
      <x:c r="A554" s="2" t="str">
        <x:v>S53-RESULT-R007</x:v>
      </x:c>
      <x:c r="B554" s="2" t="str">
        <x:v>S53</x:v>
      </x:c>
      <x:c r="C554" s="2" t="str">
        <x:v>merged_1229</x:v>
      </x:c>
      <x:c r="D554" s="2" t="str">
        <x:v>Reviewer_A</x:v>
      </x:c>
      <x:c r="E554" s="2" t="str">
        <x:v>Reviewer_A</x:v>
      </x:c>
      <x:c r="F554" s="2" t="str">
        <x:v>S53-R007</x:v>
      </x:c>
      <x:c r="G554" s="2" t="str">
        <x:v>S53-EV03</x:v>
      </x:c>
      <x:c r="H554" s="2" t="str">
        <x:v>S53-T03</x:v>
      </x:c>
      <x:c r="I554" s="2" t="str">
        <x:v>S53-MU07</x:v>
      </x:c>
      <x:c r="J554" s="2" t="str">
        <x:v>Synthetic Track Surveillance Drone artifacts</x:v>
      </x:c>
      <x:c r="K554" s="2" t="str">
        <x:v>GPT-4</x:v>
      </x:c>
      <x:c r="L554" s="2" t="str">
        <x:v>NA</x:v>
      </x:c>
      <x:c r="M554" s="2" t="str">
        <x:v>Correctness</x:v>
      </x:c>
      <x:c r="N554" s="6" t="str">
        <x:v>0.5</x:v>
      </x:c>
      <x:c r="O554" s="2" t="n">
        <x:v>0.5</x:v>
      </x:c>
      <x:c r="P554" s="2" t="str">
        <x:v>score (0, 0.5, or 1)</x:v>
      </x:c>
      <x:c r="Q554" s="6" t="str">
        <x:v>NA</x:v>
      </x:c>
      <x:c r="R554" s="2"/>
      <x:c r="S554" s="2" t="str">
        <x:v>NR</x:v>
      </x:c>
      <x:c r="T554" s="2" t="str">
        <x:v>NA</x:v>
      </x:c>
      <x:c r="U554" s="2" t="str">
        <x:v>Not tested</x:v>
      </x:c>
      <x:c r="V554" s="2" t="str">
        <x:v>NR</x:v>
      </x:c>
      <x:c r="W554" s="2" t="str">
        <x:v>NR</x:v>
      </x:c>
      <x:c r="X554" s="2" t="str">
        <x:v>NR</x:v>
      </x:c>
      <x:c r="Y554" s="2" t="str">
        <x:v>See narrative error analysis</x:v>
      </x:c>
      <x:c r="Z554" s="2" t="str">
        <x:v>No</x:v>
      </x:c>
      <x:c r="AA554" s="6" t="str">
        <x:v>p. 5; Table II</x:v>
      </x:c>
      <x:c r="AB554" s="6" t="str">
        <x:v>Table II reports GPT4 Correctness=0.5 for task 3.</x:v>
      </x:c>
      <x:c r="AC554" s="6" t="str">
        <x:v>Direct transcription of the task-level score from Table II.</x:v>
      </x:c>
      <x:c r="AD554" s="2" t="str">
        <x:v>Accepted</x:v>
      </x:c>
      <x:c r="AE554" s="6" t="str">
        <x:v>NR</x:v>
      </x:c>
    </x:row>
    <x:row r="555" ht="76" customHeight="1">
      <x:c r="A555" s="2" t="str">
        <x:v>S53-RESULT-R008</x:v>
      </x:c>
      <x:c r="B555" s="2" t="str">
        <x:v>S53</x:v>
      </x:c>
      <x:c r="C555" s="2" t="str">
        <x:v>merged_1229</x:v>
      </x:c>
      <x:c r="D555" s="2" t="str">
        <x:v>Reviewer_A</x:v>
      </x:c>
      <x:c r="E555" s="2" t="str">
        <x:v>Reviewer_A</x:v>
      </x:c>
      <x:c r="F555" s="2" t="str">
        <x:v>S53-R008</x:v>
      </x:c>
      <x:c r="G555" s="2" t="str">
        <x:v>S53-EV04</x:v>
      </x:c>
      <x:c r="H555" s="2" t="str">
        <x:v>S53-T04</x:v>
      </x:c>
      <x:c r="I555" s="2" t="str">
        <x:v>S53-MU10</x:v>
      </x:c>
      <x:c r="J555" s="2" t="str">
        <x:v>Synthetic Track Surveillance Drone artifacts</x:v>
      </x:c>
      <x:c r="K555" s="2" t="str">
        <x:v>GPT-4</x:v>
      </x:c>
      <x:c r="L555" s="2" t="str">
        <x:v>NA</x:v>
      </x:c>
      <x:c r="M555" s="2" t="str">
        <x:v>Correctness</x:v>
      </x:c>
      <x:c r="N555" s="6" t="str">
        <x:v>0.5</x:v>
      </x:c>
      <x:c r="O555" s="2" t="n">
        <x:v>0.5</x:v>
      </x:c>
      <x:c r="P555" s="2" t="str">
        <x:v>score (0, 0.5, or 1)</x:v>
      </x:c>
      <x:c r="Q555" s="6" t="str">
        <x:v>NA</x:v>
      </x:c>
      <x:c r="R555" s="2"/>
      <x:c r="S555" s="2" t="str">
        <x:v>NR</x:v>
      </x:c>
      <x:c r="T555" s="2" t="str">
        <x:v>NA</x:v>
      </x:c>
      <x:c r="U555" s="2" t="str">
        <x:v>Not tested</x:v>
      </x:c>
      <x:c r="V555" s="2" t="str">
        <x:v>NR</x:v>
      </x:c>
      <x:c r="W555" s="2" t="str">
        <x:v>NR</x:v>
      </x:c>
      <x:c r="X555" s="2" t="str">
        <x:v>NR</x:v>
      </x:c>
      <x:c r="Y555" s="2" t="str">
        <x:v>See narrative error analysis</x:v>
      </x:c>
      <x:c r="Z555" s="2" t="str">
        <x:v>No</x:v>
      </x:c>
      <x:c r="AA555" s="6" t="str">
        <x:v>p. 5; Table II</x:v>
      </x:c>
      <x:c r="AB555" s="6" t="str">
        <x:v>Table II reports GPT4 Correctness=0.5 for task 4.</x:v>
      </x:c>
      <x:c r="AC555" s="6" t="str">
        <x:v>Direct transcription of the task-level score from Table II.</x:v>
      </x:c>
      <x:c r="AD555" s="2" t="str">
        <x:v>Accepted</x:v>
      </x:c>
      <x:c r="AE555" s="6" t="str">
        <x:v>NR</x:v>
      </x:c>
    </x:row>
    <x:row r="556" ht="76" customHeight="1">
      <x:c r="A556" s="2" t="str">
        <x:v>S53-RESULT-R009</x:v>
      </x:c>
      <x:c r="B556" s="2" t="str">
        <x:v>S53</x:v>
      </x:c>
      <x:c r="C556" s="2" t="str">
        <x:v>merged_1229</x:v>
      </x:c>
      <x:c r="D556" s="2" t="str">
        <x:v>Reviewer_A</x:v>
      </x:c>
      <x:c r="E556" s="2" t="str">
        <x:v>Reviewer_A</x:v>
      </x:c>
      <x:c r="F556" s="2" t="str">
        <x:v>S53-R009</x:v>
      </x:c>
      <x:c r="G556" s="2" t="str">
        <x:v>S53-EV01</x:v>
      </x:c>
      <x:c r="H556" s="2" t="str">
        <x:v>S53-T01</x:v>
      </x:c>
      <x:c r="I556" s="2" t="str">
        <x:v>S53-MU01</x:v>
      </x:c>
      <x:c r="J556" s="2" t="str">
        <x:v>Synthetic Track Surveillance Drone artifacts</x:v>
      </x:c>
      <x:c r="K556" s="2" t="str">
        <x:v>GPT-4</x:v>
      </x:c>
      <x:c r="L556" s="2" t="str">
        <x:v>NA</x:v>
      </x:c>
      <x:c r="M556" s="2" t="str">
        <x:v>Consistency</x:v>
      </x:c>
      <x:c r="N556" s="6" t="str">
        <x:v>0.5</x:v>
      </x:c>
      <x:c r="O556" s="2" t="n">
        <x:v>0.5</x:v>
      </x:c>
      <x:c r="P556" s="2" t="str">
        <x:v>score (0, 0.5, or 1)</x:v>
      </x:c>
      <x:c r="Q556" s="6" t="str">
        <x:v>NA</x:v>
      </x:c>
      <x:c r="R556" s="2"/>
      <x:c r="S556" s="2" t="str">
        <x:v>NR</x:v>
      </x:c>
      <x:c r="T556" s="2" t="str">
        <x:v>NA</x:v>
      </x:c>
      <x:c r="U556" s="2" t="str">
        <x:v>Not tested</x:v>
      </x:c>
      <x:c r="V556" s="2" t="str">
        <x:v>NR</x:v>
      </x:c>
      <x:c r="W556" s="2" t="str">
        <x:v>NR</x:v>
      </x:c>
      <x:c r="X556" s="2" t="str">
        <x:v>NR</x:v>
      </x:c>
      <x:c r="Y556" s="2" t="str">
        <x:v>See narrative error analysis</x:v>
      </x:c>
      <x:c r="Z556" s="2" t="str">
        <x:v>No</x:v>
      </x:c>
      <x:c r="AA556" s="6" t="str">
        <x:v>p. 5; Table II</x:v>
      </x:c>
      <x:c r="AB556" s="6" t="str">
        <x:v>Table II reports GPT4 Consistency=0.5 for task 1.</x:v>
      </x:c>
      <x:c r="AC556" s="6" t="str">
        <x:v>Direct transcription of the task-level score from Table II.</x:v>
      </x:c>
      <x:c r="AD556" s="2" t="str">
        <x:v>Accepted</x:v>
      </x:c>
      <x:c r="AE556" s="6" t="str">
        <x:v>NR</x:v>
      </x:c>
    </x:row>
    <x:row r="557" ht="76" customHeight="1">
      <x:c r="A557" s="2" t="str">
        <x:v>S53-RESULT-R010</x:v>
      </x:c>
      <x:c r="B557" s="2" t="str">
        <x:v>S53</x:v>
      </x:c>
      <x:c r="C557" s="2" t="str">
        <x:v>merged_1229</x:v>
      </x:c>
      <x:c r="D557" s="2" t="str">
        <x:v>Reviewer_A</x:v>
      </x:c>
      <x:c r="E557" s="2" t="str">
        <x:v>Reviewer_A</x:v>
      </x:c>
      <x:c r="F557" s="2" t="str">
        <x:v>S53-R010</x:v>
      </x:c>
      <x:c r="G557" s="2" t="str">
        <x:v>S53-EV02</x:v>
      </x:c>
      <x:c r="H557" s="2" t="str">
        <x:v>S53-T02</x:v>
      </x:c>
      <x:c r="I557" s="2" t="str">
        <x:v>S53-MU04</x:v>
      </x:c>
      <x:c r="J557" s="2" t="str">
        <x:v>Synthetic Track Surveillance Drone artifacts</x:v>
      </x:c>
      <x:c r="K557" s="2" t="str">
        <x:v>GPT-4</x:v>
      </x:c>
      <x:c r="L557" s="2" t="str">
        <x:v>NA</x:v>
      </x:c>
      <x:c r="M557" s="2" t="str">
        <x:v>Consistency</x:v>
      </x:c>
      <x:c r="N557" s="6" t="str">
        <x:v>1</x:v>
      </x:c>
      <x:c r="O557" s="2" t="n">
        <x:v>1</x:v>
      </x:c>
      <x:c r="P557" s="2" t="str">
        <x:v>score (0, 0.5, or 1)</x:v>
      </x:c>
      <x:c r="Q557" s="6" t="str">
        <x:v>NA</x:v>
      </x:c>
      <x:c r="R557" s="2"/>
      <x:c r="S557" s="2" t="str">
        <x:v>NR</x:v>
      </x:c>
      <x:c r="T557" s="2" t="str">
        <x:v>NA</x:v>
      </x:c>
      <x:c r="U557" s="2" t="str">
        <x:v>Not tested</x:v>
      </x:c>
      <x:c r="V557" s="2" t="str">
        <x:v>NR</x:v>
      </x:c>
      <x:c r="W557" s="2" t="str">
        <x:v>NR</x:v>
      </x:c>
      <x:c r="X557" s="2" t="str">
        <x:v>NR</x:v>
      </x:c>
      <x:c r="Y557" s="2" t="str">
        <x:v>See narrative error analysis</x:v>
      </x:c>
      <x:c r="Z557" s="2" t="str">
        <x:v>No</x:v>
      </x:c>
      <x:c r="AA557" s="6" t="str">
        <x:v>p. 5; Table II</x:v>
      </x:c>
      <x:c r="AB557" s="6" t="str">
        <x:v>Table II reports GPT4 Consistency=1 for task 2.</x:v>
      </x:c>
      <x:c r="AC557" s="6" t="str">
        <x:v>Direct transcription of the task-level score from Table II.</x:v>
      </x:c>
      <x:c r="AD557" s="2" t="str">
        <x:v>Accepted</x:v>
      </x:c>
      <x:c r="AE557" s="6" t="str">
        <x:v>NR</x:v>
      </x:c>
    </x:row>
    <x:row r="558" ht="76" customHeight="1">
      <x:c r="A558" s="2" t="str">
        <x:v>S53-RESULT-R011</x:v>
      </x:c>
      <x:c r="B558" s="2" t="str">
        <x:v>S53</x:v>
      </x:c>
      <x:c r="C558" s="2" t="str">
        <x:v>merged_1229</x:v>
      </x:c>
      <x:c r="D558" s="2" t="str">
        <x:v>Reviewer_A</x:v>
      </x:c>
      <x:c r="E558" s="2" t="str">
        <x:v>Reviewer_A</x:v>
      </x:c>
      <x:c r="F558" s="2" t="str">
        <x:v>S53-R011</x:v>
      </x:c>
      <x:c r="G558" s="2" t="str">
        <x:v>S53-EV03</x:v>
      </x:c>
      <x:c r="H558" s="2" t="str">
        <x:v>S53-T03</x:v>
      </x:c>
      <x:c r="I558" s="2" t="str">
        <x:v>S53-MU07</x:v>
      </x:c>
      <x:c r="J558" s="2" t="str">
        <x:v>Synthetic Track Surveillance Drone artifacts</x:v>
      </x:c>
      <x:c r="K558" s="2" t="str">
        <x:v>GPT-4</x:v>
      </x:c>
      <x:c r="L558" s="2" t="str">
        <x:v>NA</x:v>
      </x:c>
      <x:c r="M558" s="2" t="str">
        <x:v>Consistency</x:v>
      </x:c>
      <x:c r="N558" s="6" t="str">
        <x:v>0.5</x:v>
      </x:c>
      <x:c r="O558" s="2" t="n">
        <x:v>0.5</x:v>
      </x:c>
      <x:c r="P558" s="2" t="str">
        <x:v>score (0, 0.5, or 1)</x:v>
      </x:c>
      <x:c r="Q558" s="6" t="str">
        <x:v>NA</x:v>
      </x:c>
      <x:c r="R558" s="2"/>
      <x:c r="S558" s="2" t="str">
        <x:v>NR</x:v>
      </x:c>
      <x:c r="T558" s="2" t="str">
        <x:v>NA</x:v>
      </x:c>
      <x:c r="U558" s="2" t="str">
        <x:v>Not tested</x:v>
      </x:c>
      <x:c r="V558" s="2" t="str">
        <x:v>NR</x:v>
      </x:c>
      <x:c r="W558" s="2" t="str">
        <x:v>NR</x:v>
      </x:c>
      <x:c r="X558" s="2" t="str">
        <x:v>NR</x:v>
      </x:c>
      <x:c r="Y558" s="2" t="str">
        <x:v>See narrative error analysis</x:v>
      </x:c>
      <x:c r="Z558" s="2" t="str">
        <x:v>No</x:v>
      </x:c>
      <x:c r="AA558" s="6" t="str">
        <x:v>p. 5; Table II</x:v>
      </x:c>
      <x:c r="AB558" s="6" t="str">
        <x:v>Table II reports GPT4 Consistency=0.5 for task 3.</x:v>
      </x:c>
      <x:c r="AC558" s="6" t="str">
        <x:v>Direct transcription of the task-level score from Table II.</x:v>
      </x:c>
      <x:c r="AD558" s="2" t="str">
        <x:v>Accepted</x:v>
      </x:c>
      <x:c r="AE558" s="6" t="str">
        <x:v>NR</x:v>
      </x:c>
    </x:row>
    <x:row r="559" ht="76" customHeight="1">
      <x:c r="A559" s="2" t="str">
        <x:v>S53-RESULT-R012</x:v>
      </x:c>
      <x:c r="B559" s="2" t="str">
        <x:v>S53</x:v>
      </x:c>
      <x:c r="C559" s="2" t="str">
        <x:v>merged_1229</x:v>
      </x:c>
      <x:c r="D559" s="2" t="str">
        <x:v>Reviewer_A</x:v>
      </x:c>
      <x:c r="E559" s="2" t="str">
        <x:v>Reviewer_A</x:v>
      </x:c>
      <x:c r="F559" s="2" t="str">
        <x:v>S53-R012</x:v>
      </x:c>
      <x:c r="G559" s="2" t="str">
        <x:v>S53-EV04</x:v>
      </x:c>
      <x:c r="H559" s="2" t="str">
        <x:v>S53-T04</x:v>
      </x:c>
      <x:c r="I559" s="2" t="str">
        <x:v>S53-MU10</x:v>
      </x:c>
      <x:c r="J559" s="2" t="str">
        <x:v>Synthetic Track Surveillance Drone artifacts</x:v>
      </x:c>
      <x:c r="K559" s="2" t="str">
        <x:v>GPT-4</x:v>
      </x:c>
      <x:c r="L559" s="2" t="str">
        <x:v>NA</x:v>
      </x:c>
      <x:c r="M559" s="2" t="str">
        <x:v>Consistency</x:v>
      </x:c>
      <x:c r="N559" s="6" t="str">
        <x:v>0.5</x:v>
      </x:c>
      <x:c r="O559" s="2" t="n">
        <x:v>0.5</x:v>
      </x:c>
      <x:c r="P559" s="2" t="str">
        <x:v>score (0, 0.5, or 1)</x:v>
      </x:c>
      <x:c r="Q559" s="6" t="str">
        <x:v>NA</x:v>
      </x:c>
      <x:c r="R559" s="2"/>
      <x:c r="S559" s="2" t="str">
        <x:v>NR</x:v>
      </x:c>
      <x:c r="T559" s="2" t="str">
        <x:v>NA</x:v>
      </x:c>
      <x:c r="U559" s="2" t="str">
        <x:v>Not tested</x:v>
      </x:c>
      <x:c r="V559" s="2" t="str">
        <x:v>NR</x:v>
      </x:c>
      <x:c r="W559" s="2" t="str">
        <x:v>NR</x:v>
      </x:c>
      <x:c r="X559" s="2" t="str">
        <x:v>NR</x:v>
      </x:c>
      <x:c r="Y559" s="2" t="str">
        <x:v>See narrative error analysis</x:v>
      </x:c>
      <x:c r="Z559" s="2" t="str">
        <x:v>No</x:v>
      </x:c>
      <x:c r="AA559" s="6" t="str">
        <x:v>p. 5; Table II</x:v>
      </x:c>
      <x:c r="AB559" s="6" t="str">
        <x:v>Table II reports GPT4 Consistency=0.5 for task 4.</x:v>
      </x:c>
      <x:c r="AC559" s="6" t="str">
        <x:v>Direct transcription of the task-level score from Table II.</x:v>
      </x:c>
      <x:c r="AD559" s="2" t="str">
        <x:v>Accepted</x:v>
      </x:c>
      <x:c r="AE559" s="6" t="str">
        <x:v>NR</x:v>
      </x:c>
    </x:row>
    <x:row r="560" ht="76" customHeight="1">
      <x:c r="A560" s="2" t="str">
        <x:v>S53-RESULT-R013</x:v>
      </x:c>
      <x:c r="B560" s="2" t="str">
        <x:v>S53</x:v>
      </x:c>
      <x:c r="C560" s="2" t="str">
        <x:v>merged_1229</x:v>
      </x:c>
      <x:c r="D560" s="2" t="str">
        <x:v>Reviewer_A</x:v>
      </x:c>
      <x:c r="E560" s="2" t="str">
        <x:v>Reviewer_A</x:v>
      </x:c>
      <x:c r="F560" s="2" t="str">
        <x:v>S53-R013</x:v>
      </x:c>
      <x:c r="G560" s="2" t="str">
        <x:v>S53-EV01</x:v>
      </x:c>
      <x:c r="H560" s="2" t="str">
        <x:v>S53-T01</x:v>
      </x:c>
      <x:c r="I560" s="2" t="str">
        <x:v>S53-MU01</x:v>
      </x:c>
      <x:c r="J560" s="2" t="str">
        <x:v>Synthetic Track Surveillance Drone artifacts</x:v>
      </x:c>
      <x:c r="K560" s="2" t="str">
        <x:v>GPT-4</x:v>
      </x:c>
      <x:c r="L560" s="2" t="str">
        <x:v>NA</x:v>
      </x:c>
      <x:c r="M560" s="2" t="str">
        <x:v>Traceability</x:v>
      </x:c>
      <x:c r="N560" s="6" t="str">
        <x:v>1</x:v>
      </x:c>
      <x:c r="O560" s="2" t="n">
        <x:v>1</x:v>
      </x:c>
      <x:c r="P560" s="2" t="str">
        <x:v>score (0, 0.5, or 1)</x:v>
      </x:c>
      <x:c r="Q560" s="6" t="str">
        <x:v>NA</x:v>
      </x:c>
      <x:c r="R560" s="2"/>
      <x:c r="S560" s="2" t="str">
        <x:v>NR</x:v>
      </x:c>
      <x:c r="T560" s="2" t="str">
        <x:v>NA</x:v>
      </x:c>
      <x:c r="U560" s="2" t="str">
        <x:v>Not tested</x:v>
      </x:c>
      <x:c r="V560" s="2" t="str">
        <x:v>NR</x:v>
      </x:c>
      <x:c r="W560" s="2" t="str">
        <x:v>NR</x:v>
      </x:c>
      <x:c r="X560" s="2" t="str">
        <x:v>NR</x:v>
      </x:c>
      <x:c r="Y560" s="2" t="str">
        <x:v>See narrative error analysis</x:v>
      </x:c>
      <x:c r="Z560" s="2" t="str">
        <x:v>No</x:v>
      </x:c>
      <x:c r="AA560" s="6" t="str">
        <x:v>p. 5; Table II</x:v>
      </x:c>
      <x:c r="AB560" s="6" t="str">
        <x:v>Table II reports GPT4 Traceability=1 for task 1.</x:v>
      </x:c>
      <x:c r="AC560" s="6" t="str">
        <x:v>Direct transcription of the task-level score from Table II.</x:v>
      </x:c>
      <x:c r="AD560" s="2" t="str">
        <x:v>Accepted</x:v>
      </x:c>
      <x:c r="AE560" s="6" t="str">
        <x:v>NR</x:v>
      </x:c>
    </x:row>
    <x:row r="561" ht="76" customHeight="1">
      <x:c r="A561" s="2" t="str">
        <x:v>S53-RESULT-R014</x:v>
      </x:c>
      <x:c r="B561" s="2" t="str">
        <x:v>S53</x:v>
      </x:c>
      <x:c r="C561" s="2" t="str">
        <x:v>merged_1229</x:v>
      </x:c>
      <x:c r="D561" s="2" t="str">
        <x:v>Reviewer_A</x:v>
      </x:c>
      <x:c r="E561" s="2" t="str">
        <x:v>Reviewer_A</x:v>
      </x:c>
      <x:c r="F561" s="2" t="str">
        <x:v>S53-R014</x:v>
      </x:c>
      <x:c r="G561" s="2" t="str">
        <x:v>S53-EV02</x:v>
      </x:c>
      <x:c r="H561" s="2" t="str">
        <x:v>S53-T02</x:v>
      </x:c>
      <x:c r="I561" s="2" t="str">
        <x:v>S53-MU04</x:v>
      </x:c>
      <x:c r="J561" s="2" t="str">
        <x:v>Synthetic Track Surveillance Drone artifacts</x:v>
      </x:c>
      <x:c r="K561" s="2" t="str">
        <x:v>GPT-4</x:v>
      </x:c>
      <x:c r="L561" s="2" t="str">
        <x:v>NA</x:v>
      </x:c>
      <x:c r="M561" s="2" t="str">
        <x:v>Traceability</x:v>
      </x:c>
      <x:c r="N561" s="6" t="str">
        <x:v>1</x:v>
      </x:c>
      <x:c r="O561" s="2" t="n">
        <x:v>1</x:v>
      </x:c>
      <x:c r="P561" s="2" t="str">
        <x:v>score (0, 0.5, or 1)</x:v>
      </x:c>
      <x:c r="Q561" s="6" t="str">
        <x:v>NA</x:v>
      </x:c>
      <x:c r="R561" s="2"/>
      <x:c r="S561" s="2" t="str">
        <x:v>NR</x:v>
      </x:c>
      <x:c r="T561" s="2" t="str">
        <x:v>NA</x:v>
      </x:c>
      <x:c r="U561" s="2" t="str">
        <x:v>Not tested</x:v>
      </x:c>
      <x:c r="V561" s="2" t="str">
        <x:v>NR</x:v>
      </x:c>
      <x:c r="W561" s="2" t="str">
        <x:v>NR</x:v>
      </x:c>
      <x:c r="X561" s="2" t="str">
        <x:v>NR</x:v>
      </x:c>
      <x:c r="Y561" s="2" t="str">
        <x:v>See narrative error analysis</x:v>
      </x:c>
      <x:c r="Z561" s="2" t="str">
        <x:v>No</x:v>
      </x:c>
      <x:c r="AA561" s="6" t="str">
        <x:v>p. 5; Table II</x:v>
      </x:c>
      <x:c r="AB561" s="6" t="str">
        <x:v>Table II reports GPT4 Traceability=1 for task 2.</x:v>
      </x:c>
      <x:c r="AC561" s="6" t="str">
        <x:v>Direct transcription of the task-level score from Table II.</x:v>
      </x:c>
      <x:c r="AD561" s="2" t="str">
        <x:v>Accepted</x:v>
      </x:c>
      <x:c r="AE561" s="6" t="str">
        <x:v>NR</x:v>
      </x:c>
    </x:row>
    <x:row r="562" ht="76" customHeight="1">
      <x:c r="A562" s="2" t="str">
        <x:v>S53-RESULT-R015</x:v>
      </x:c>
      <x:c r="B562" s="2" t="str">
        <x:v>S53</x:v>
      </x:c>
      <x:c r="C562" s="2" t="str">
        <x:v>merged_1229</x:v>
      </x:c>
      <x:c r="D562" s="2" t="str">
        <x:v>Reviewer_A</x:v>
      </x:c>
      <x:c r="E562" s="2" t="str">
        <x:v>Reviewer_A</x:v>
      </x:c>
      <x:c r="F562" s="2" t="str">
        <x:v>S53-R015</x:v>
      </x:c>
      <x:c r="G562" s="2" t="str">
        <x:v>S53-EV03</x:v>
      </x:c>
      <x:c r="H562" s="2" t="str">
        <x:v>S53-T03</x:v>
      </x:c>
      <x:c r="I562" s="2" t="str">
        <x:v>S53-MU07</x:v>
      </x:c>
      <x:c r="J562" s="2" t="str">
        <x:v>Synthetic Track Surveillance Drone artifacts</x:v>
      </x:c>
      <x:c r="K562" s="2" t="str">
        <x:v>GPT-4</x:v>
      </x:c>
      <x:c r="L562" s="2" t="str">
        <x:v>NA</x:v>
      </x:c>
      <x:c r="M562" s="2" t="str">
        <x:v>Traceability</x:v>
      </x:c>
      <x:c r="N562" s="6" t="str">
        <x:v>1</x:v>
      </x:c>
      <x:c r="O562" s="2" t="n">
        <x:v>1</x:v>
      </x:c>
      <x:c r="P562" s="2" t="str">
        <x:v>score (0, 0.5, or 1)</x:v>
      </x:c>
      <x:c r="Q562" s="6" t="str">
        <x:v>NA</x:v>
      </x:c>
      <x:c r="R562" s="2"/>
      <x:c r="S562" s="2" t="str">
        <x:v>NR</x:v>
      </x:c>
      <x:c r="T562" s="2" t="str">
        <x:v>NA</x:v>
      </x:c>
      <x:c r="U562" s="2" t="str">
        <x:v>Not tested</x:v>
      </x:c>
      <x:c r="V562" s="2" t="str">
        <x:v>NR</x:v>
      </x:c>
      <x:c r="W562" s="2" t="str">
        <x:v>NR</x:v>
      </x:c>
      <x:c r="X562" s="2" t="str">
        <x:v>NR</x:v>
      </x:c>
      <x:c r="Y562" s="2" t="str">
        <x:v>See narrative error analysis</x:v>
      </x:c>
      <x:c r="Z562" s="2" t="str">
        <x:v>No</x:v>
      </x:c>
      <x:c r="AA562" s="6" t="str">
        <x:v>p. 5; Table II</x:v>
      </x:c>
      <x:c r="AB562" s="6" t="str">
        <x:v>Table II reports GPT4 Traceability=1 for task 3.</x:v>
      </x:c>
      <x:c r="AC562" s="6" t="str">
        <x:v>Direct transcription of the task-level score from Table II.</x:v>
      </x:c>
      <x:c r="AD562" s="2" t="str">
        <x:v>Accepted</x:v>
      </x:c>
      <x:c r="AE562" s="6" t="str">
        <x:v>NR</x:v>
      </x:c>
    </x:row>
    <x:row r="563" ht="76" customHeight="1">
      <x:c r="A563" s="2" t="str">
        <x:v>S53-RESULT-R016</x:v>
      </x:c>
      <x:c r="B563" s="2" t="str">
        <x:v>S53</x:v>
      </x:c>
      <x:c r="C563" s="2" t="str">
        <x:v>merged_1229</x:v>
      </x:c>
      <x:c r="D563" s="2" t="str">
        <x:v>Reviewer_A</x:v>
      </x:c>
      <x:c r="E563" s="2" t="str">
        <x:v>Reviewer_A</x:v>
      </x:c>
      <x:c r="F563" s="2" t="str">
        <x:v>S53-R016</x:v>
      </x:c>
      <x:c r="G563" s="2" t="str">
        <x:v>S53-EV04</x:v>
      </x:c>
      <x:c r="H563" s="2" t="str">
        <x:v>S53-T04</x:v>
      </x:c>
      <x:c r="I563" s="2" t="str">
        <x:v>S53-MU10</x:v>
      </x:c>
      <x:c r="J563" s="2" t="str">
        <x:v>Synthetic Track Surveillance Drone artifacts</x:v>
      </x:c>
      <x:c r="K563" s="2" t="str">
        <x:v>GPT-4</x:v>
      </x:c>
      <x:c r="L563" s="2" t="str">
        <x:v>NA</x:v>
      </x:c>
      <x:c r="M563" s="2" t="str">
        <x:v>Traceability</x:v>
      </x:c>
      <x:c r="N563" s="6" t="str">
        <x:v>0.5</x:v>
      </x:c>
      <x:c r="O563" s="2" t="n">
        <x:v>0.5</x:v>
      </x:c>
      <x:c r="P563" s="2" t="str">
        <x:v>score (0, 0.5, or 1)</x:v>
      </x:c>
      <x:c r="Q563" s="6" t="str">
        <x:v>NA</x:v>
      </x:c>
      <x:c r="R563" s="2"/>
      <x:c r="S563" s="2" t="str">
        <x:v>NR</x:v>
      </x:c>
      <x:c r="T563" s="2" t="str">
        <x:v>NA</x:v>
      </x:c>
      <x:c r="U563" s="2" t="str">
        <x:v>Not tested</x:v>
      </x:c>
      <x:c r="V563" s="2" t="str">
        <x:v>NR</x:v>
      </x:c>
      <x:c r="W563" s="2" t="str">
        <x:v>NR</x:v>
      </x:c>
      <x:c r="X563" s="2" t="str">
        <x:v>NR</x:v>
      </x:c>
      <x:c r="Y563" s="2" t="str">
        <x:v>See narrative error analysis</x:v>
      </x:c>
      <x:c r="Z563" s="2" t="str">
        <x:v>No</x:v>
      </x:c>
      <x:c r="AA563" s="6" t="str">
        <x:v>p. 5; Table II</x:v>
      </x:c>
      <x:c r="AB563" s="6" t="str">
        <x:v>Table II reports GPT4 Traceability=0.5 for task 4.</x:v>
      </x:c>
      <x:c r="AC563" s="6" t="str">
        <x:v>Direct transcription of the task-level score from Table II.</x:v>
      </x:c>
      <x:c r="AD563" s="2" t="str">
        <x:v>Accepted</x:v>
      </x:c>
      <x:c r="AE563" s="6" t="str">
        <x:v>NR</x:v>
      </x:c>
    </x:row>
    <x:row r="564" ht="76" customHeight="1">
      <x:c r="A564" s="2" t="str">
        <x:v>S53-RESULT-R017</x:v>
      </x:c>
      <x:c r="B564" s="2" t="str">
        <x:v>S53</x:v>
      </x:c>
      <x:c r="C564" s="2" t="str">
        <x:v>merged_1229</x:v>
      </x:c>
      <x:c r="D564" s="2" t="str">
        <x:v>Reviewer_A</x:v>
      </x:c>
      <x:c r="E564" s="2" t="str">
        <x:v>Reviewer_A</x:v>
      </x:c>
      <x:c r="F564" s="2" t="str">
        <x:v>S53-R017</x:v>
      </x:c>
      <x:c r="G564" s="2" t="str">
        <x:v>S53-EV01|S53-EV02|S53-EV03|S53-EV04</x:v>
      </x:c>
      <x:c r="H564" s="2" t="str">
        <x:v>S53-T01|S53-T02|S53-T03|S53-T04</x:v>
      </x:c>
      <x:c r="I564" s="2" t="str">
        <x:v>S53-MU01</x:v>
      </x:c>
      <x:c r="J564" s="2" t="str">
        <x:v>Synthetic Track Surveillance Drone artifacts</x:v>
      </x:c>
      <x:c r="K564" s="2" t="str">
        <x:v>GPT-4</x:v>
      </x:c>
      <x:c r="L564" s="2" t="str">
        <x:v>NA</x:v>
      </x:c>
      <x:c r="M564" s="2" t="str">
        <x:v>Total score</x:v>
      </x:c>
      <x:c r="N564" s="6" t="str">
        <x:v>9.5</x:v>
      </x:c>
      <x:c r="O564" s="2" t="n">
        <x:v>9.5</x:v>
      </x:c>
      <x:c r="P564" s="2" t="str">
        <x:v>points across 16 checklist cells</x:v>
      </x:c>
      <x:c r="Q564" s="6" t="str">
        <x:v>NA</x:v>
      </x:c>
      <x:c r="R564" s="2"/>
      <x:c r="S564" s="2" t="str">
        <x:v>NR</x:v>
      </x:c>
      <x:c r="T564" s="2" t="str">
        <x:v>NA</x:v>
      </x:c>
      <x:c r="U564" s="2" t="str">
        <x:v>Not tested</x:v>
      </x:c>
      <x:c r="V564" s="2" t="str">
        <x:v>NR</x:v>
      </x:c>
      <x:c r="W564" s="2" t="str">
        <x:v>NR</x:v>
      </x:c>
      <x:c r="X564" s="2" t="str">
        <x:v>NR</x:v>
      </x:c>
      <x:c r="Y564" s="2" t="str">
        <x:v>NR</x:v>
      </x:c>
      <x:c r="Z564" s="2" t="str">
        <x:v>No</x:v>
      </x:c>
      <x:c r="AA564" s="6" t="str">
        <x:v>p. 5; Table II</x:v>
      </x:c>
      <x:c r="AB564" s="6" t="str">
        <x:v>Total: 9.5</x:v>
      </x:c>
      <x:c r="AC564" s="6" t="str">
        <x:v>Direct transcription of the model total from Table II.</x:v>
      </x:c>
      <x:c r="AD564" s="2" t="str">
        <x:v>Accepted</x:v>
      </x:c>
      <x:c r="AE564" s="6" t="str">
        <x:v>The total aggregates all four tasks and four dimensions.</x:v>
      </x:c>
    </x:row>
    <x:row r="565" ht="76" customHeight="1">
      <x:c r="A565" s="2" t="str">
        <x:v>S53-RESULT-R018</x:v>
      </x:c>
      <x:c r="B565" s="2" t="str">
        <x:v>S53</x:v>
      </x:c>
      <x:c r="C565" s="2" t="str">
        <x:v>merged_1229</x:v>
      </x:c>
      <x:c r="D565" s="2" t="str">
        <x:v>Reviewer_A</x:v>
      </x:c>
      <x:c r="E565" s="2" t="str">
        <x:v>Reviewer_A</x:v>
      </x:c>
      <x:c r="F565" s="2" t="str">
        <x:v>S53-R018</x:v>
      </x:c>
      <x:c r="G565" s="2" t="str">
        <x:v>S53-EV01</x:v>
      </x:c>
      <x:c r="H565" s="2" t="str">
        <x:v>S53-T01</x:v>
      </x:c>
      <x:c r="I565" s="2" t="str">
        <x:v>S53-MU02</x:v>
      </x:c>
      <x:c r="J565" s="2" t="str">
        <x:v>Synthetic Track Surveillance Drone artifacts</x:v>
      </x:c>
      <x:c r="K565" s="2" t="str">
        <x:v>Claude Sonnet 4</x:v>
      </x:c>
      <x:c r="L565" s="2" t="str">
        <x:v>NA</x:v>
      </x:c>
      <x:c r="M565" s="2" t="str">
        <x:v>Completeness</x:v>
      </x:c>
      <x:c r="N565" s="6" t="str">
        <x:v>1</x:v>
      </x:c>
      <x:c r="O565" s="2" t="n">
        <x:v>1</x:v>
      </x:c>
      <x:c r="P565" s="2" t="str">
        <x:v>score (0, 0.5, or 1)</x:v>
      </x:c>
      <x:c r="Q565" s="6" t="str">
        <x:v>NA</x:v>
      </x:c>
      <x:c r="R565" s="2"/>
      <x:c r="S565" s="2" t="str">
        <x:v>NR</x:v>
      </x:c>
      <x:c r="T565" s="2" t="str">
        <x:v>NA</x:v>
      </x:c>
      <x:c r="U565" s="2" t="str">
        <x:v>Not tested</x:v>
      </x:c>
      <x:c r="V565" s="2" t="str">
        <x:v>NR</x:v>
      </x:c>
      <x:c r="W565" s="2" t="str">
        <x:v>NR</x:v>
      </x:c>
      <x:c r="X565" s="2" t="str">
        <x:v>NR</x:v>
      </x:c>
      <x:c r="Y565" s="2" t="str">
        <x:v>See narrative error analysis</x:v>
      </x:c>
      <x:c r="Z565" s="2" t="str">
        <x:v>No</x:v>
      </x:c>
      <x:c r="AA565" s="6" t="str">
        <x:v>p. 5; Table II</x:v>
      </x:c>
      <x:c r="AB565" s="6" t="str">
        <x:v>Table II reports Claude Completeness=1 for task 1.</x:v>
      </x:c>
      <x:c r="AC565" s="6" t="str">
        <x:v>Direct transcription of the task-level score from Table II.</x:v>
      </x:c>
      <x:c r="AD565" s="2" t="str">
        <x:v>Accepted</x:v>
      </x:c>
      <x:c r="AE565" s="6" t="str">
        <x:v>NR</x:v>
      </x:c>
    </x:row>
    <x:row r="566" ht="76" customHeight="1">
      <x:c r="A566" s="2" t="str">
        <x:v>S53-RESULT-R019</x:v>
      </x:c>
      <x:c r="B566" s="2" t="str">
        <x:v>S53</x:v>
      </x:c>
      <x:c r="C566" s="2" t="str">
        <x:v>merged_1229</x:v>
      </x:c>
      <x:c r="D566" s="2" t="str">
        <x:v>Reviewer_A</x:v>
      </x:c>
      <x:c r="E566" s="2" t="str">
        <x:v>Reviewer_A</x:v>
      </x:c>
      <x:c r="F566" s="2" t="str">
        <x:v>S53-R019</x:v>
      </x:c>
      <x:c r="G566" s="2" t="str">
        <x:v>S53-EV02</x:v>
      </x:c>
      <x:c r="H566" s="2" t="str">
        <x:v>S53-T02</x:v>
      </x:c>
      <x:c r="I566" s="2" t="str">
        <x:v>S53-MU05</x:v>
      </x:c>
      <x:c r="J566" s="2" t="str">
        <x:v>Synthetic Track Surveillance Drone artifacts</x:v>
      </x:c>
      <x:c r="K566" s="2" t="str">
        <x:v>Claude Sonnet 4</x:v>
      </x:c>
      <x:c r="L566" s="2" t="str">
        <x:v>NA</x:v>
      </x:c>
      <x:c r="M566" s="2" t="str">
        <x:v>Completeness</x:v>
      </x:c>
      <x:c r="N566" s="6" t="str">
        <x:v>1</x:v>
      </x:c>
      <x:c r="O566" s="2" t="n">
        <x:v>1</x:v>
      </x:c>
      <x:c r="P566" s="2" t="str">
        <x:v>score (0, 0.5, or 1)</x:v>
      </x:c>
      <x:c r="Q566" s="6" t="str">
        <x:v>NA</x:v>
      </x:c>
      <x:c r="R566" s="2"/>
      <x:c r="S566" s="2" t="str">
        <x:v>NR</x:v>
      </x:c>
      <x:c r="T566" s="2" t="str">
        <x:v>NA</x:v>
      </x:c>
      <x:c r="U566" s="2" t="str">
        <x:v>Not tested</x:v>
      </x:c>
      <x:c r="V566" s="2" t="str">
        <x:v>NR</x:v>
      </x:c>
      <x:c r="W566" s="2" t="str">
        <x:v>NR</x:v>
      </x:c>
      <x:c r="X566" s="2" t="str">
        <x:v>NR</x:v>
      </x:c>
      <x:c r="Y566" s="2" t="str">
        <x:v>See narrative error analysis</x:v>
      </x:c>
      <x:c r="Z566" s="2" t="str">
        <x:v>No</x:v>
      </x:c>
      <x:c r="AA566" s="6" t="str">
        <x:v>p. 5; Table II</x:v>
      </x:c>
      <x:c r="AB566" s="6" t="str">
        <x:v>Table II reports Claude Completeness=1 for task 2.</x:v>
      </x:c>
      <x:c r="AC566" s="6" t="str">
        <x:v>Direct transcription of the task-level score from Table II.</x:v>
      </x:c>
      <x:c r="AD566" s="2" t="str">
        <x:v>Accepted</x:v>
      </x:c>
      <x:c r="AE566" s="6" t="str">
        <x:v>NR</x:v>
      </x:c>
    </x:row>
    <x:row r="567" ht="76" customHeight="1">
      <x:c r="A567" s="2" t="str">
        <x:v>S53-RESULT-R020</x:v>
      </x:c>
      <x:c r="B567" s="2" t="str">
        <x:v>S53</x:v>
      </x:c>
      <x:c r="C567" s="2" t="str">
        <x:v>merged_1229</x:v>
      </x:c>
      <x:c r="D567" s="2" t="str">
        <x:v>Reviewer_A</x:v>
      </x:c>
      <x:c r="E567" s="2" t="str">
        <x:v>Reviewer_A</x:v>
      </x:c>
      <x:c r="F567" s="2" t="str">
        <x:v>S53-R020</x:v>
      </x:c>
      <x:c r="G567" s="2" t="str">
        <x:v>S53-EV03</x:v>
      </x:c>
      <x:c r="H567" s="2" t="str">
        <x:v>S53-T03</x:v>
      </x:c>
      <x:c r="I567" s="2" t="str">
        <x:v>S53-MU08</x:v>
      </x:c>
      <x:c r="J567" s="2" t="str">
        <x:v>Synthetic Track Surveillance Drone artifacts</x:v>
      </x:c>
      <x:c r="K567" s="2" t="str">
        <x:v>Claude Sonnet 4</x:v>
      </x:c>
      <x:c r="L567" s="2" t="str">
        <x:v>NA</x:v>
      </x:c>
      <x:c r="M567" s="2" t="str">
        <x:v>Completeness</x:v>
      </x:c>
      <x:c r="N567" s="6" t="str">
        <x:v>1</x:v>
      </x:c>
      <x:c r="O567" s="2" t="n">
        <x:v>1</x:v>
      </x:c>
      <x:c r="P567" s="2" t="str">
        <x:v>score (0, 0.5, or 1)</x:v>
      </x:c>
      <x:c r="Q567" s="6" t="str">
        <x:v>NA</x:v>
      </x:c>
      <x:c r="R567" s="2"/>
      <x:c r="S567" s="2" t="str">
        <x:v>NR</x:v>
      </x:c>
      <x:c r="T567" s="2" t="str">
        <x:v>NA</x:v>
      </x:c>
      <x:c r="U567" s="2" t="str">
        <x:v>Not tested</x:v>
      </x:c>
      <x:c r="V567" s="2" t="str">
        <x:v>NR</x:v>
      </x:c>
      <x:c r="W567" s="2" t="str">
        <x:v>NR</x:v>
      </x:c>
      <x:c r="X567" s="2" t="str">
        <x:v>NR</x:v>
      </x:c>
      <x:c r="Y567" s="2" t="str">
        <x:v>See narrative error analysis</x:v>
      </x:c>
      <x:c r="Z567" s="2" t="str">
        <x:v>No</x:v>
      </x:c>
      <x:c r="AA567" s="6" t="str">
        <x:v>p. 5; Table II</x:v>
      </x:c>
      <x:c r="AB567" s="6" t="str">
        <x:v>Table II reports Claude Completeness=1 for task 3.</x:v>
      </x:c>
      <x:c r="AC567" s="6" t="str">
        <x:v>Direct transcription of the task-level score from Table II.</x:v>
      </x:c>
      <x:c r="AD567" s="2" t="str">
        <x:v>Accepted</x:v>
      </x:c>
      <x:c r="AE567" s="6" t="str">
        <x:v>NR</x:v>
      </x:c>
    </x:row>
    <x:row r="568" ht="76" customHeight="1">
      <x:c r="A568" s="2" t="str">
        <x:v>S53-RESULT-R021</x:v>
      </x:c>
      <x:c r="B568" s="2" t="str">
        <x:v>S53</x:v>
      </x:c>
      <x:c r="C568" s="2" t="str">
        <x:v>merged_1229</x:v>
      </x:c>
      <x:c r="D568" s="2" t="str">
        <x:v>Reviewer_A</x:v>
      </x:c>
      <x:c r="E568" s="2" t="str">
        <x:v>Reviewer_A</x:v>
      </x:c>
      <x:c r="F568" s="2" t="str">
        <x:v>S53-R021</x:v>
      </x:c>
      <x:c r="G568" s="2" t="str">
        <x:v>S53-EV04</x:v>
      </x:c>
      <x:c r="H568" s="2" t="str">
        <x:v>S53-T04</x:v>
      </x:c>
      <x:c r="I568" s="2" t="str">
        <x:v>S53-MU11</x:v>
      </x:c>
      <x:c r="J568" s="2" t="str">
        <x:v>Synthetic Track Surveillance Drone artifacts</x:v>
      </x:c>
      <x:c r="K568" s="2" t="str">
        <x:v>Claude Sonnet 4</x:v>
      </x:c>
      <x:c r="L568" s="2" t="str">
        <x:v>NA</x:v>
      </x:c>
      <x:c r="M568" s="2" t="str">
        <x:v>Completeness</x:v>
      </x:c>
      <x:c r="N568" s="6" t="str">
        <x:v>0.5</x:v>
      </x:c>
      <x:c r="O568" s="2" t="n">
        <x:v>0.5</x:v>
      </x:c>
      <x:c r="P568" s="2" t="str">
        <x:v>score (0, 0.5, or 1)</x:v>
      </x:c>
      <x:c r="Q568" s="6" t="str">
        <x:v>NA</x:v>
      </x:c>
      <x:c r="R568" s="2"/>
      <x:c r="S568" s="2" t="str">
        <x:v>NR</x:v>
      </x:c>
      <x:c r="T568" s="2" t="str">
        <x:v>NA</x:v>
      </x:c>
      <x:c r="U568" s="2" t="str">
        <x:v>Not tested</x:v>
      </x:c>
      <x:c r="V568" s="2" t="str">
        <x:v>NR</x:v>
      </x:c>
      <x:c r="W568" s="2" t="str">
        <x:v>NR</x:v>
      </x:c>
      <x:c r="X568" s="2" t="str">
        <x:v>NR</x:v>
      </x:c>
      <x:c r="Y568" s="2" t="str">
        <x:v>See narrative error analysis</x:v>
      </x:c>
      <x:c r="Z568" s="2" t="str">
        <x:v>No</x:v>
      </x:c>
      <x:c r="AA568" s="6" t="str">
        <x:v>p. 5; Table II</x:v>
      </x:c>
      <x:c r="AB568" s="6" t="str">
        <x:v>Table II reports Claude Completeness=0.5 for task 4.</x:v>
      </x:c>
      <x:c r="AC568" s="6" t="str">
        <x:v>Direct transcription of the task-level score from Table II.</x:v>
      </x:c>
      <x:c r="AD568" s="2" t="str">
        <x:v>Accepted</x:v>
      </x:c>
      <x:c r="AE568" s="6" t="str">
        <x:v>NR</x:v>
      </x:c>
    </x:row>
    <x:row r="569" ht="76" customHeight="1">
      <x:c r="A569" s="2" t="str">
        <x:v>S53-RESULT-R022</x:v>
      </x:c>
      <x:c r="B569" s="2" t="str">
        <x:v>S53</x:v>
      </x:c>
      <x:c r="C569" s="2" t="str">
        <x:v>merged_1229</x:v>
      </x:c>
      <x:c r="D569" s="2" t="str">
        <x:v>Reviewer_A</x:v>
      </x:c>
      <x:c r="E569" s="2" t="str">
        <x:v>Reviewer_A</x:v>
      </x:c>
      <x:c r="F569" s="2" t="str">
        <x:v>S53-R022</x:v>
      </x:c>
      <x:c r="G569" s="2" t="str">
        <x:v>S53-EV01</x:v>
      </x:c>
      <x:c r="H569" s="2" t="str">
        <x:v>S53-T01</x:v>
      </x:c>
      <x:c r="I569" s="2" t="str">
        <x:v>S53-MU02</x:v>
      </x:c>
      <x:c r="J569" s="2" t="str">
        <x:v>Synthetic Track Surveillance Drone artifacts</x:v>
      </x:c>
      <x:c r="K569" s="2" t="str">
        <x:v>Claude Sonnet 4</x:v>
      </x:c>
      <x:c r="L569" s="2" t="str">
        <x:v>NA</x:v>
      </x:c>
      <x:c r="M569" s="2" t="str">
        <x:v>Correctness</x:v>
      </x:c>
      <x:c r="N569" s="6" t="str">
        <x:v>1</x:v>
      </x:c>
      <x:c r="O569" s="2" t="n">
        <x:v>1</x:v>
      </x:c>
      <x:c r="P569" s="2" t="str">
        <x:v>score (0, 0.5, or 1)</x:v>
      </x:c>
      <x:c r="Q569" s="6" t="str">
        <x:v>NA</x:v>
      </x:c>
      <x:c r="R569" s="2"/>
      <x:c r="S569" s="2" t="str">
        <x:v>NR</x:v>
      </x:c>
      <x:c r="T569" s="2" t="str">
        <x:v>NA</x:v>
      </x:c>
      <x:c r="U569" s="2" t="str">
        <x:v>Not tested</x:v>
      </x:c>
      <x:c r="V569" s="2" t="str">
        <x:v>NR</x:v>
      </x:c>
      <x:c r="W569" s="2" t="str">
        <x:v>NR</x:v>
      </x:c>
      <x:c r="X569" s="2" t="str">
        <x:v>NR</x:v>
      </x:c>
      <x:c r="Y569" s="2" t="str">
        <x:v>See narrative error analysis</x:v>
      </x:c>
      <x:c r="Z569" s="2" t="str">
        <x:v>No</x:v>
      </x:c>
      <x:c r="AA569" s="6" t="str">
        <x:v>p. 5; Table II</x:v>
      </x:c>
      <x:c r="AB569" s="6" t="str">
        <x:v>Table II reports Claude Correctness=1 for task 1.</x:v>
      </x:c>
      <x:c r="AC569" s="6" t="str">
        <x:v>Direct transcription of the task-level score from Table II.</x:v>
      </x:c>
      <x:c r="AD569" s="2" t="str">
        <x:v>Accepted</x:v>
      </x:c>
      <x:c r="AE569" s="6" t="str">
        <x:v>NR</x:v>
      </x:c>
    </x:row>
    <x:row r="570" ht="76" customHeight="1">
      <x:c r="A570" s="2" t="str">
        <x:v>S53-RESULT-R023</x:v>
      </x:c>
      <x:c r="B570" s="2" t="str">
        <x:v>S53</x:v>
      </x:c>
      <x:c r="C570" s="2" t="str">
        <x:v>merged_1229</x:v>
      </x:c>
      <x:c r="D570" s="2" t="str">
        <x:v>Reviewer_A</x:v>
      </x:c>
      <x:c r="E570" s="2" t="str">
        <x:v>Reviewer_A</x:v>
      </x:c>
      <x:c r="F570" s="2" t="str">
        <x:v>S53-R023</x:v>
      </x:c>
      <x:c r="G570" s="2" t="str">
        <x:v>S53-EV02</x:v>
      </x:c>
      <x:c r="H570" s="2" t="str">
        <x:v>S53-T02</x:v>
      </x:c>
      <x:c r="I570" s="2" t="str">
        <x:v>S53-MU05</x:v>
      </x:c>
      <x:c r="J570" s="2" t="str">
        <x:v>Synthetic Track Surveillance Drone artifacts</x:v>
      </x:c>
      <x:c r="K570" s="2" t="str">
        <x:v>Claude Sonnet 4</x:v>
      </x:c>
      <x:c r="L570" s="2" t="str">
        <x:v>NA</x:v>
      </x:c>
      <x:c r="M570" s="2" t="str">
        <x:v>Correctness</x:v>
      </x:c>
      <x:c r="N570" s="6" t="str">
        <x:v>1</x:v>
      </x:c>
      <x:c r="O570" s="2" t="n">
        <x:v>1</x:v>
      </x:c>
      <x:c r="P570" s="2" t="str">
        <x:v>score (0, 0.5, or 1)</x:v>
      </x:c>
      <x:c r="Q570" s="6" t="str">
        <x:v>NA</x:v>
      </x:c>
      <x:c r="R570" s="2"/>
      <x:c r="S570" s="2" t="str">
        <x:v>NR</x:v>
      </x:c>
      <x:c r="T570" s="2" t="str">
        <x:v>NA</x:v>
      </x:c>
      <x:c r="U570" s="2" t="str">
        <x:v>Not tested</x:v>
      </x:c>
      <x:c r="V570" s="2" t="str">
        <x:v>NR</x:v>
      </x:c>
      <x:c r="W570" s="2" t="str">
        <x:v>NR</x:v>
      </x:c>
      <x:c r="X570" s="2" t="str">
        <x:v>NR</x:v>
      </x:c>
      <x:c r="Y570" s="2" t="str">
        <x:v>See narrative error analysis</x:v>
      </x:c>
      <x:c r="Z570" s="2" t="str">
        <x:v>No</x:v>
      </x:c>
      <x:c r="AA570" s="6" t="str">
        <x:v>p. 5; Table II</x:v>
      </x:c>
      <x:c r="AB570" s="6" t="str">
        <x:v>Table II reports Claude Correctness=1 for task 2.</x:v>
      </x:c>
      <x:c r="AC570" s="6" t="str">
        <x:v>Direct transcription of the task-level score from Table II.</x:v>
      </x:c>
      <x:c r="AD570" s="2" t="str">
        <x:v>Accepted</x:v>
      </x:c>
      <x:c r="AE570" s="6" t="str">
        <x:v>NR</x:v>
      </x:c>
    </x:row>
    <x:row r="571" ht="76" customHeight="1">
      <x:c r="A571" s="2" t="str">
        <x:v>S53-RESULT-R024</x:v>
      </x:c>
      <x:c r="B571" s="2" t="str">
        <x:v>S53</x:v>
      </x:c>
      <x:c r="C571" s="2" t="str">
        <x:v>merged_1229</x:v>
      </x:c>
      <x:c r="D571" s="2" t="str">
        <x:v>Reviewer_A</x:v>
      </x:c>
      <x:c r="E571" s="2" t="str">
        <x:v>Reviewer_A</x:v>
      </x:c>
      <x:c r="F571" s="2" t="str">
        <x:v>S53-R024</x:v>
      </x:c>
      <x:c r="G571" s="2" t="str">
        <x:v>S53-EV03</x:v>
      </x:c>
      <x:c r="H571" s="2" t="str">
        <x:v>S53-T03</x:v>
      </x:c>
      <x:c r="I571" s="2" t="str">
        <x:v>S53-MU08</x:v>
      </x:c>
      <x:c r="J571" s="2" t="str">
        <x:v>Synthetic Track Surveillance Drone artifacts</x:v>
      </x:c>
      <x:c r="K571" s="2" t="str">
        <x:v>Claude Sonnet 4</x:v>
      </x:c>
      <x:c r="L571" s="2" t="str">
        <x:v>NA</x:v>
      </x:c>
      <x:c r="M571" s="2" t="str">
        <x:v>Correctness</x:v>
      </x:c>
      <x:c r="N571" s="6" t="str">
        <x:v>0.5</x:v>
      </x:c>
      <x:c r="O571" s="2" t="n">
        <x:v>0.5</x:v>
      </x:c>
      <x:c r="P571" s="2" t="str">
        <x:v>score (0, 0.5, or 1)</x:v>
      </x:c>
      <x:c r="Q571" s="6" t="str">
        <x:v>NA</x:v>
      </x:c>
      <x:c r="R571" s="2"/>
      <x:c r="S571" s="2" t="str">
        <x:v>NR</x:v>
      </x:c>
      <x:c r="T571" s="2" t="str">
        <x:v>NA</x:v>
      </x:c>
      <x:c r="U571" s="2" t="str">
        <x:v>Not tested</x:v>
      </x:c>
      <x:c r="V571" s="2" t="str">
        <x:v>NR</x:v>
      </x:c>
      <x:c r="W571" s="2" t="str">
        <x:v>NR</x:v>
      </x:c>
      <x:c r="X571" s="2" t="str">
        <x:v>NR</x:v>
      </x:c>
      <x:c r="Y571" s="2" t="str">
        <x:v>See narrative error analysis</x:v>
      </x:c>
      <x:c r="Z571" s="2" t="str">
        <x:v>No</x:v>
      </x:c>
      <x:c r="AA571" s="6" t="str">
        <x:v>p. 5; Table II</x:v>
      </x:c>
      <x:c r="AB571" s="6" t="str">
        <x:v>Table II reports Claude Correctness=0.5 for task 3.</x:v>
      </x:c>
      <x:c r="AC571" s="6" t="str">
        <x:v>Direct transcription of the task-level score from Table II.</x:v>
      </x:c>
      <x:c r="AD571" s="2" t="str">
        <x:v>Accepted</x:v>
      </x:c>
      <x:c r="AE571" s="6" t="str">
        <x:v>NR</x:v>
      </x:c>
    </x:row>
    <x:row r="572" ht="76" customHeight="1">
      <x:c r="A572" s="2" t="str">
        <x:v>S53-RESULT-R025</x:v>
      </x:c>
      <x:c r="B572" s="2" t="str">
        <x:v>S53</x:v>
      </x:c>
      <x:c r="C572" s="2" t="str">
        <x:v>merged_1229</x:v>
      </x:c>
      <x:c r="D572" s="2" t="str">
        <x:v>Reviewer_A</x:v>
      </x:c>
      <x:c r="E572" s="2" t="str">
        <x:v>Reviewer_A</x:v>
      </x:c>
      <x:c r="F572" s="2" t="str">
        <x:v>S53-R025</x:v>
      </x:c>
      <x:c r="G572" s="2" t="str">
        <x:v>S53-EV04</x:v>
      </x:c>
      <x:c r="H572" s="2" t="str">
        <x:v>S53-T04</x:v>
      </x:c>
      <x:c r="I572" s="2" t="str">
        <x:v>S53-MU11</x:v>
      </x:c>
      <x:c r="J572" s="2" t="str">
        <x:v>Synthetic Track Surveillance Drone artifacts</x:v>
      </x:c>
      <x:c r="K572" s="2" t="str">
        <x:v>Claude Sonnet 4</x:v>
      </x:c>
      <x:c r="L572" s="2" t="str">
        <x:v>NA</x:v>
      </x:c>
      <x:c r="M572" s="2" t="str">
        <x:v>Correctness</x:v>
      </x:c>
      <x:c r="N572" s="6" t="str">
        <x:v>0.5</x:v>
      </x:c>
      <x:c r="O572" s="2" t="n">
        <x:v>0.5</x:v>
      </x:c>
      <x:c r="P572" s="2" t="str">
        <x:v>score (0, 0.5, or 1)</x:v>
      </x:c>
      <x:c r="Q572" s="6" t="str">
        <x:v>NA</x:v>
      </x:c>
      <x:c r="R572" s="2"/>
      <x:c r="S572" s="2" t="str">
        <x:v>NR</x:v>
      </x:c>
      <x:c r="T572" s="2" t="str">
        <x:v>NA</x:v>
      </x:c>
      <x:c r="U572" s="2" t="str">
        <x:v>Not tested</x:v>
      </x:c>
      <x:c r="V572" s="2" t="str">
        <x:v>NR</x:v>
      </x:c>
      <x:c r="W572" s="2" t="str">
        <x:v>NR</x:v>
      </x:c>
      <x:c r="X572" s="2" t="str">
        <x:v>NR</x:v>
      </x:c>
      <x:c r="Y572" s="2" t="str">
        <x:v>See narrative error analysis</x:v>
      </x:c>
      <x:c r="Z572" s="2" t="str">
        <x:v>No</x:v>
      </x:c>
      <x:c r="AA572" s="6" t="str">
        <x:v>p. 5; Table II</x:v>
      </x:c>
      <x:c r="AB572" s="6" t="str">
        <x:v>Table II reports Claude Correctness=0.5 for task 4.</x:v>
      </x:c>
      <x:c r="AC572" s="6" t="str">
        <x:v>Direct transcription of the task-level score from Table II.</x:v>
      </x:c>
      <x:c r="AD572" s="2" t="str">
        <x:v>Accepted</x:v>
      </x:c>
      <x:c r="AE572" s="6" t="str">
        <x:v>NR</x:v>
      </x:c>
    </x:row>
    <x:row r="573" ht="76" customHeight="1">
      <x:c r="A573" s="2" t="str">
        <x:v>S53-RESULT-R026</x:v>
      </x:c>
      <x:c r="B573" s="2" t="str">
        <x:v>S53</x:v>
      </x:c>
      <x:c r="C573" s="2" t="str">
        <x:v>merged_1229</x:v>
      </x:c>
      <x:c r="D573" s="2" t="str">
        <x:v>Reviewer_A</x:v>
      </x:c>
      <x:c r="E573" s="2" t="str">
        <x:v>Reviewer_A</x:v>
      </x:c>
      <x:c r="F573" s="2" t="str">
        <x:v>S53-R026</x:v>
      </x:c>
      <x:c r="G573" s="2" t="str">
        <x:v>S53-EV01</x:v>
      </x:c>
      <x:c r="H573" s="2" t="str">
        <x:v>S53-T01</x:v>
      </x:c>
      <x:c r="I573" s="2" t="str">
        <x:v>S53-MU02</x:v>
      </x:c>
      <x:c r="J573" s="2" t="str">
        <x:v>Synthetic Track Surveillance Drone artifacts</x:v>
      </x:c>
      <x:c r="K573" s="2" t="str">
        <x:v>Claude Sonnet 4</x:v>
      </x:c>
      <x:c r="L573" s="2" t="str">
        <x:v>NA</x:v>
      </x:c>
      <x:c r="M573" s="2" t="str">
        <x:v>Consistency</x:v>
      </x:c>
      <x:c r="N573" s="6" t="str">
        <x:v>0.5</x:v>
      </x:c>
      <x:c r="O573" s="2" t="n">
        <x:v>0.5</x:v>
      </x:c>
      <x:c r="P573" s="2" t="str">
        <x:v>score (0, 0.5, or 1)</x:v>
      </x:c>
      <x:c r="Q573" s="6" t="str">
        <x:v>NA</x:v>
      </x:c>
      <x:c r="R573" s="2"/>
      <x:c r="S573" s="2" t="str">
        <x:v>NR</x:v>
      </x:c>
      <x:c r="T573" s="2" t="str">
        <x:v>NA</x:v>
      </x:c>
      <x:c r="U573" s="2" t="str">
        <x:v>Not tested</x:v>
      </x:c>
      <x:c r="V573" s="2" t="str">
        <x:v>NR</x:v>
      </x:c>
      <x:c r="W573" s="2" t="str">
        <x:v>NR</x:v>
      </x:c>
      <x:c r="X573" s="2" t="str">
        <x:v>NR</x:v>
      </x:c>
      <x:c r="Y573" s="2" t="str">
        <x:v>See narrative error analysis</x:v>
      </x:c>
      <x:c r="Z573" s="2" t="str">
        <x:v>No</x:v>
      </x:c>
      <x:c r="AA573" s="6" t="str">
        <x:v>p. 5; Table II</x:v>
      </x:c>
      <x:c r="AB573" s="6" t="str">
        <x:v>Table II reports Claude Consistency=0.5 for task 1.</x:v>
      </x:c>
      <x:c r="AC573" s="6" t="str">
        <x:v>Direct transcription of the task-level score from Table II.</x:v>
      </x:c>
      <x:c r="AD573" s="2" t="str">
        <x:v>Accepted</x:v>
      </x:c>
      <x:c r="AE573" s="6" t="str">
        <x:v>NR</x:v>
      </x:c>
    </x:row>
    <x:row r="574" ht="76" customHeight="1">
      <x:c r="A574" s="2" t="str">
        <x:v>S53-RESULT-R027</x:v>
      </x:c>
      <x:c r="B574" s="2" t="str">
        <x:v>S53</x:v>
      </x:c>
      <x:c r="C574" s="2" t="str">
        <x:v>merged_1229</x:v>
      </x:c>
      <x:c r="D574" s="2" t="str">
        <x:v>Reviewer_A</x:v>
      </x:c>
      <x:c r="E574" s="2" t="str">
        <x:v>Reviewer_A</x:v>
      </x:c>
      <x:c r="F574" s="2" t="str">
        <x:v>S53-R027</x:v>
      </x:c>
      <x:c r="G574" s="2" t="str">
        <x:v>S53-EV02</x:v>
      </x:c>
      <x:c r="H574" s="2" t="str">
        <x:v>S53-T02</x:v>
      </x:c>
      <x:c r="I574" s="2" t="str">
        <x:v>S53-MU05</x:v>
      </x:c>
      <x:c r="J574" s="2" t="str">
        <x:v>Synthetic Track Surveillance Drone artifacts</x:v>
      </x:c>
      <x:c r="K574" s="2" t="str">
        <x:v>Claude Sonnet 4</x:v>
      </x:c>
      <x:c r="L574" s="2" t="str">
        <x:v>NA</x:v>
      </x:c>
      <x:c r="M574" s="2" t="str">
        <x:v>Consistency</x:v>
      </x:c>
      <x:c r="N574" s="6" t="str">
        <x:v>1</x:v>
      </x:c>
      <x:c r="O574" s="2" t="n">
        <x:v>1</x:v>
      </x:c>
      <x:c r="P574" s="2" t="str">
        <x:v>score (0, 0.5, or 1)</x:v>
      </x:c>
      <x:c r="Q574" s="6" t="str">
        <x:v>NA</x:v>
      </x:c>
      <x:c r="R574" s="2"/>
      <x:c r="S574" s="2" t="str">
        <x:v>NR</x:v>
      </x:c>
      <x:c r="T574" s="2" t="str">
        <x:v>NA</x:v>
      </x:c>
      <x:c r="U574" s="2" t="str">
        <x:v>Not tested</x:v>
      </x:c>
      <x:c r="V574" s="2" t="str">
        <x:v>NR</x:v>
      </x:c>
      <x:c r="W574" s="2" t="str">
        <x:v>NR</x:v>
      </x:c>
      <x:c r="X574" s="2" t="str">
        <x:v>NR</x:v>
      </x:c>
      <x:c r="Y574" s="2" t="str">
        <x:v>See narrative error analysis</x:v>
      </x:c>
      <x:c r="Z574" s="2" t="str">
        <x:v>No</x:v>
      </x:c>
      <x:c r="AA574" s="6" t="str">
        <x:v>p. 5; Table II</x:v>
      </x:c>
      <x:c r="AB574" s="6" t="str">
        <x:v>Table II reports Claude Consistency=1 for task 2.</x:v>
      </x:c>
      <x:c r="AC574" s="6" t="str">
        <x:v>Direct transcription of the task-level score from Table II.</x:v>
      </x:c>
      <x:c r="AD574" s="2" t="str">
        <x:v>Accepted</x:v>
      </x:c>
      <x:c r="AE574" s="6" t="str">
        <x:v>NR</x:v>
      </x:c>
    </x:row>
    <x:row r="575" ht="76" customHeight="1">
      <x:c r="A575" s="2" t="str">
        <x:v>S53-RESULT-R028</x:v>
      </x:c>
      <x:c r="B575" s="2" t="str">
        <x:v>S53</x:v>
      </x:c>
      <x:c r="C575" s="2" t="str">
        <x:v>merged_1229</x:v>
      </x:c>
      <x:c r="D575" s="2" t="str">
        <x:v>Reviewer_A</x:v>
      </x:c>
      <x:c r="E575" s="2" t="str">
        <x:v>Reviewer_A</x:v>
      </x:c>
      <x:c r="F575" s="2" t="str">
        <x:v>S53-R028</x:v>
      </x:c>
      <x:c r="G575" s="2" t="str">
        <x:v>S53-EV03</x:v>
      </x:c>
      <x:c r="H575" s="2" t="str">
        <x:v>S53-T03</x:v>
      </x:c>
      <x:c r="I575" s="2" t="str">
        <x:v>S53-MU08</x:v>
      </x:c>
      <x:c r="J575" s="2" t="str">
        <x:v>Synthetic Track Surveillance Drone artifacts</x:v>
      </x:c>
      <x:c r="K575" s="2" t="str">
        <x:v>Claude Sonnet 4</x:v>
      </x:c>
      <x:c r="L575" s="2" t="str">
        <x:v>NA</x:v>
      </x:c>
      <x:c r="M575" s="2" t="str">
        <x:v>Consistency</x:v>
      </x:c>
      <x:c r="N575" s="6" t="str">
        <x:v>1</x:v>
      </x:c>
      <x:c r="O575" s="2" t="n">
        <x:v>1</x:v>
      </x:c>
      <x:c r="P575" s="2" t="str">
        <x:v>score (0, 0.5, or 1)</x:v>
      </x:c>
      <x:c r="Q575" s="6" t="str">
        <x:v>NA</x:v>
      </x:c>
      <x:c r="R575" s="2"/>
      <x:c r="S575" s="2" t="str">
        <x:v>NR</x:v>
      </x:c>
      <x:c r="T575" s="2" t="str">
        <x:v>NA</x:v>
      </x:c>
      <x:c r="U575" s="2" t="str">
        <x:v>Not tested</x:v>
      </x:c>
      <x:c r="V575" s="2" t="str">
        <x:v>NR</x:v>
      </x:c>
      <x:c r="W575" s="2" t="str">
        <x:v>NR</x:v>
      </x:c>
      <x:c r="X575" s="2" t="str">
        <x:v>NR</x:v>
      </x:c>
      <x:c r="Y575" s="2" t="str">
        <x:v>See narrative error analysis</x:v>
      </x:c>
      <x:c r="Z575" s="2" t="str">
        <x:v>No</x:v>
      </x:c>
      <x:c r="AA575" s="6" t="str">
        <x:v>p. 5; Table II</x:v>
      </x:c>
      <x:c r="AB575" s="6" t="str">
        <x:v>Table II reports Claude Consistency=1 for task 3.</x:v>
      </x:c>
      <x:c r="AC575" s="6" t="str">
        <x:v>Direct transcription of the task-level score from Table II.</x:v>
      </x:c>
      <x:c r="AD575" s="2" t="str">
        <x:v>Accepted</x:v>
      </x:c>
      <x:c r="AE575" s="6" t="str">
        <x:v>NR</x:v>
      </x:c>
    </x:row>
    <x:row r="576" ht="76" customHeight="1">
      <x:c r="A576" s="2" t="str">
        <x:v>S53-RESULT-R029</x:v>
      </x:c>
      <x:c r="B576" s="2" t="str">
        <x:v>S53</x:v>
      </x:c>
      <x:c r="C576" s="2" t="str">
        <x:v>merged_1229</x:v>
      </x:c>
      <x:c r="D576" s="2" t="str">
        <x:v>Reviewer_A</x:v>
      </x:c>
      <x:c r="E576" s="2" t="str">
        <x:v>Reviewer_A</x:v>
      </x:c>
      <x:c r="F576" s="2" t="str">
        <x:v>S53-R029</x:v>
      </x:c>
      <x:c r="G576" s="2" t="str">
        <x:v>S53-EV04</x:v>
      </x:c>
      <x:c r="H576" s="2" t="str">
        <x:v>S53-T04</x:v>
      </x:c>
      <x:c r="I576" s="2" t="str">
        <x:v>S53-MU11</x:v>
      </x:c>
      <x:c r="J576" s="2" t="str">
        <x:v>Synthetic Track Surveillance Drone artifacts</x:v>
      </x:c>
      <x:c r="K576" s="2" t="str">
        <x:v>Claude Sonnet 4</x:v>
      </x:c>
      <x:c r="L576" s="2" t="str">
        <x:v>NA</x:v>
      </x:c>
      <x:c r="M576" s="2" t="str">
        <x:v>Consistency</x:v>
      </x:c>
      <x:c r="N576" s="6" t="str">
        <x:v>0.5</x:v>
      </x:c>
      <x:c r="O576" s="2" t="n">
        <x:v>0.5</x:v>
      </x:c>
      <x:c r="P576" s="2" t="str">
        <x:v>score (0, 0.5, or 1)</x:v>
      </x:c>
      <x:c r="Q576" s="6" t="str">
        <x:v>NA</x:v>
      </x:c>
      <x:c r="R576" s="2"/>
      <x:c r="S576" s="2" t="str">
        <x:v>NR</x:v>
      </x:c>
      <x:c r="T576" s="2" t="str">
        <x:v>NA</x:v>
      </x:c>
      <x:c r="U576" s="2" t="str">
        <x:v>Not tested</x:v>
      </x:c>
      <x:c r="V576" s="2" t="str">
        <x:v>NR</x:v>
      </x:c>
      <x:c r="W576" s="2" t="str">
        <x:v>NR</x:v>
      </x:c>
      <x:c r="X576" s="2" t="str">
        <x:v>NR</x:v>
      </x:c>
      <x:c r="Y576" s="2" t="str">
        <x:v>See narrative error analysis</x:v>
      </x:c>
      <x:c r="Z576" s="2" t="str">
        <x:v>No</x:v>
      </x:c>
      <x:c r="AA576" s="6" t="str">
        <x:v>p. 5; Table II</x:v>
      </x:c>
      <x:c r="AB576" s="6" t="str">
        <x:v>Table II reports Claude Consistency=0.5 for task 4.</x:v>
      </x:c>
      <x:c r="AC576" s="6" t="str">
        <x:v>Direct transcription of the task-level score from Table II.</x:v>
      </x:c>
      <x:c r="AD576" s="2" t="str">
        <x:v>Accepted</x:v>
      </x:c>
      <x:c r="AE576" s="6" t="str">
        <x:v>NR</x:v>
      </x:c>
    </x:row>
    <x:row r="577" ht="76" customHeight="1">
      <x:c r="A577" s="2" t="str">
        <x:v>S53-RESULT-R030</x:v>
      </x:c>
      <x:c r="B577" s="2" t="str">
        <x:v>S53</x:v>
      </x:c>
      <x:c r="C577" s="2" t="str">
        <x:v>merged_1229</x:v>
      </x:c>
      <x:c r="D577" s="2" t="str">
        <x:v>Reviewer_A</x:v>
      </x:c>
      <x:c r="E577" s="2" t="str">
        <x:v>Reviewer_A</x:v>
      </x:c>
      <x:c r="F577" s="2" t="str">
        <x:v>S53-R030</x:v>
      </x:c>
      <x:c r="G577" s="2" t="str">
        <x:v>S53-EV01</x:v>
      </x:c>
      <x:c r="H577" s="2" t="str">
        <x:v>S53-T01</x:v>
      </x:c>
      <x:c r="I577" s="2" t="str">
        <x:v>S53-MU02</x:v>
      </x:c>
      <x:c r="J577" s="2" t="str">
        <x:v>Synthetic Track Surveillance Drone artifacts</x:v>
      </x:c>
      <x:c r="K577" s="2" t="str">
        <x:v>Claude Sonnet 4</x:v>
      </x:c>
      <x:c r="L577" s="2" t="str">
        <x:v>NA</x:v>
      </x:c>
      <x:c r="M577" s="2" t="str">
        <x:v>Traceability</x:v>
      </x:c>
      <x:c r="N577" s="6" t="str">
        <x:v>1</x:v>
      </x:c>
      <x:c r="O577" s="2" t="n">
        <x:v>1</x:v>
      </x:c>
      <x:c r="P577" s="2" t="str">
        <x:v>score (0, 0.5, or 1)</x:v>
      </x:c>
      <x:c r="Q577" s="6" t="str">
        <x:v>NA</x:v>
      </x:c>
      <x:c r="R577" s="2"/>
      <x:c r="S577" s="2" t="str">
        <x:v>NR</x:v>
      </x:c>
      <x:c r="T577" s="2" t="str">
        <x:v>NA</x:v>
      </x:c>
      <x:c r="U577" s="2" t="str">
        <x:v>Not tested</x:v>
      </x:c>
      <x:c r="V577" s="2" t="str">
        <x:v>NR</x:v>
      </x:c>
      <x:c r="W577" s="2" t="str">
        <x:v>NR</x:v>
      </x:c>
      <x:c r="X577" s="2" t="str">
        <x:v>NR</x:v>
      </x:c>
      <x:c r="Y577" s="2" t="str">
        <x:v>See narrative error analysis</x:v>
      </x:c>
      <x:c r="Z577" s="2" t="str">
        <x:v>No</x:v>
      </x:c>
      <x:c r="AA577" s="6" t="str">
        <x:v>p. 5; Table II</x:v>
      </x:c>
      <x:c r="AB577" s="6" t="str">
        <x:v>Table II reports Claude Traceability=1 for task 1.</x:v>
      </x:c>
      <x:c r="AC577" s="6" t="str">
        <x:v>Direct transcription of the task-level score from Table II.</x:v>
      </x:c>
      <x:c r="AD577" s="2" t="str">
        <x:v>Accepted</x:v>
      </x:c>
      <x:c r="AE577" s="6" t="str">
        <x:v>NR</x:v>
      </x:c>
    </x:row>
    <x:row r="578" ht="76" customHeight="1">
      <x:c r="A578" s="2" t="str">
        <x:v>S53-RESULT-R031</x:v>
      </x:c>
      <x:c r="B578" s="2" t="str">
        <x:v>S53</x:v>
      </x:c>
      <x:c r="C578" s="2" t="str">
        <x:v>merged_1229</x:v>
      </x:c>
      <x:c r="D578" s="2" t="str">
        <x:v>Reviewer_A</x:v>
      </x:c>
      <x:c r="E578" s="2" t="str">
        <x:v>Reviewer_A</x:v>
      </x:c>
      <x:c r="F578" s="2" t="str">
        <x:v>S53-R031</x:v>
      </x:c>
      <x:c r="G578" s="2" t="str">
        <x:v>S53-EV02</x:v>
      </x:c>
      <x:c r="H578" s="2" t="str">
        <x:v>S53-T02</x:v>
      </x:c>
      <x:c r="I578" s="2" t="str">
        <x:v>S53-MU05</x:v>
      </x:c>
      <x:c r="J578" s="2" t="str">
        <x:v>Synthetic Track Surveillance Drone artifacts</x:v>
      </x:c>
      <x:c r="K578" s="2" t="str">
        <x:v>Claude Sonnet 4</x:v>
      </x:c>
      <x:c r="L578" s="2" t="str">
        <x:v>NA</x:v>
      </x:c>
      <x:c r="M578" s="2" t="str">
        <x:v>Traceability</x:v>
      </x:c>
      <x:c r="N578" s="6" t="str">
        <x:v>1</x:v>
      </x:c>
      <x:c r="O578" s="2" t="n">
        <x:v>1</x:v>
      </x:c>
      <x:c r="P578" s="2" t="str">
        <x:v>score (0, 0.5, or 1)</x:v>
      </x:c>
      <x:c r="Q578" s="6" t="str">
        <x:v>NA</x:v>
      </x:c>
      <x:c r="R578" s="2"/>
      <x:c r="S578" s="2" t="str">
        <x:v>NR</x:v>
      </x:c>
      <x:c r="T578" s="2" t="str">
        <x:v>NA</x:v>
      </x:c>
      <x:c r="U578" s="2" t="str">
        <x:v>Not tested</x:v>
      </x:c>
      <x:c r="V578" s="2" t="str">
        <x:v>NR</x:v>
      </x:c>
      <x:c r="W578" s="2" t="str">
        <x:v>NR</x:v>
      </x:c>
      <x:c r="X578" s="2" t="str">
        <x:v>NR</x:v>
      </x:c>
      <x:c r="Y578" s="2" t="str">
        <x:v>See narrative error analysis</x:v>
      </x:c>
      <x:c r="Z578" s="2" t="str">
        <x:v>No</x:v>
      </x:c>
      <x:c r="AA578" s="6" t="str">
        <x:v>p. 5; Table II</x:v>
      </x:c>
      <x:c r="AB578" s="6" t="str">
        <x:v>Table II reports Claude Traceability=1 for task 2.</x:v>
      </x:c>
      <x:c r="AC578" s="6" t="str">
        <x:v>Direct transcription of the task-level score from Table II.</x:v>
      </x:c>
      <x:c r="AD578" s="2" t="str">
        <x:v>Accepted</x:v>
      </x:c>
      <x:c r="AE578" s="6" t="str">
        <x:v>NR</x:v>
      </x:c>
    </x:row>
    <x:row r="579" ht="76" customHeight="1">
      <x:c r="A579" s="2" t="str">
        <x:v>S53-RESULT-R032</x:v>
      </x:c>
      <x:c r="B579" s="2" t="str">
        <x:v>S53</x:v>
      </x:c>
      <x:c r="C579" s="2" t="str">
        <x:v>merged_1229</x:v>
      </x:c>
      <x:c r="D579" s="2" t="str">
        <x:v>Reviewer_A</x:v>
      </x:c>
      <x:c r="E579" s="2" t="str">
        <x:v>Reviewer_A</x:v>
      </x:c>
      <x:c r="F579" s="2" t="str">
        <x:v>S53-R032</x:v>
      </x:c>
      <x:c r="G579" s="2" t="str">
        <x:v>S53-EV03</x:v>
      </x:c>
      <x:c r="H579" s="2" t="str">
        <x:v>S53-T03</x:v>
      </x:c>
      <x:c r="I579" s="2" t="str">
        <x:v>S53-MU08</x:v>
      </x:c>
      <x:c r="J579" s="2" t="str">
        <x:v>Synthetic Track Surveillance Drone artifacts</x:v>
      </x:c>
      <x:c r="K579" s="2" t="str">
        <x:v>Claude Sonnet 4</x:v>
      </x:c>
      <x:c r="L579" s="2" t="str">
        <x:v>NA</x:v>
      </x:c>
      <x:c r="M579" s="2" t="str">
        <x:v>Traceability</x:v>
      </x:c>
      <x:c r="N579" s="6" t="str">
        <x:v>1</x:v>
      </x:c>
      <x:c r="O579" s="2" t="n">
        <x:v>1</x:v>
      </x:c>
      <x:c r="P579" s="2" t="str">
        <x:v>score (0, 0.5, or 1)</x:v>
      </x:c>
      <x:c r="Q579" s="6" t="str">
        <x:v>NA</x:v>
      </x:c>
      <x:c r="R579" s="2"/>
      <x:c r="S579" s="2" t="str">
        <x:v>NR</x:v>
      </x:c>
      <x:c r="T579" s="2" t="str">
        <x:v>NA</x:v>
      </x:c>
      <x:c r="U579" s="2" t="str">
        <x:v>Not tested</x:v>
      </x:c>
      <x:c r="V579" s="2" t="str">
        <x:v>NR</x:v>
      </x:c>
      <x:c r="W579" s="2" t="str">
        <x:v>NR</x:v>
      </x:c>
      <x:c r="X579" s="2" t="str">
        <x:v>NR</x:v>
      </x:c>
      <x:c r="Y579" s="2" t="str">
        <x:v>See narrative error analysis</x:v>
      </x:c>
      <x:c r="Z579" s="2" t="str">
        <x:v>No</x:v>
      </x:c>
      <x:c r="AA579" s="6" t="str">
        <x:v>p. 5; Table II</x:v>
      </x:c>
      <x:c r="AB579" s="6" t="str">
        <x:v>Table II reports Claude Traceability=1 for task 3.</x:v>
      </x:c>
      <x:c r="AC579" s="6" t="str">
        <x:v>Direct transcription of the task-level score from Table II.</x:v>
      </x:c>
      <x:c r="AD579" s="2" t="str">
        <x:v>Accepted</x:v>
      </x:c>
      <x:c r="AE579" s="6" t="str">
        <x:v>NR</x:v>
      </x:c>
    </x:row>
    <x:row r="580" ht="76" customHeight="1">
      <x:c r="A580" s="2" t="str">
        <x:v>S53-RESULT-R033</x:v>
      </x:c>
      <x:c r="B580" s="2" t="str">
        <x:v>S53</x:v>
      </x:c>
      <x:c r="C580" s="2" t="str">
        <x:v>merged_1229</x:v>
      </x:c>
      <x:c r="D580" s="2" t="str">
        <x:v>Reviewer_A</x:v>
      </x:c>
      <x:c r="E580" s="2" t="str">
        <x:v>Reviewer_A</x:v>
      </x:c>
      <x:c r="F580" s="2" t="str">
        <x:v>S53-R033</x:v>
      </x:c>
      <x:c r="G580" s="2" t="str">
        <x:v>S53-EV04</x:v>
      </x:c>
      <x:c r="H580" s="2" t="str">
        <x:v>S53-T04</x:v>
      </x:c>
      <x:c r="I580" s="2" t="str">
        <x:v>S53-MU11</x:v>
      </x:c>
      <x:c r="J580" s="2" t="str">
        <x:v>Synthetic Track Surveillance Drone artifacts</x:v>
      </x:c>
      <x:c r="K580" s="2" t="str">
        <x:v>Claude Sonnet 4</x:v>
      </x:c>
      <x:c r="L580" s="2" t="str">
        <x:v>NA</x:v>
      </x:c>
      <x:c r="M580" s="2" t="str">
        <x:v>Traceability</x:v>
      </x:c>
      <x:c r="N580" s="6" t="str">
        <x:v>1</x:v>
      </x:c>
      <x:c r="O580" s="2" t="n">
        <x:v>1</x:v>
      </x:c>
      <x:c r="P580" s="2" t="str">
        <x:v>score (0, 0.5, or 1)</x:v>
      </x:c>
      <x:c r="Q580" s="6" t="str">
        <x:v>NA</x:v>
      </x:c>
      <x:c r="R580" s="2"/>
      <x:c r="S580" s="2" t="str">
        <x:v>NR</x:v>
      </x:c>
      <x:c r="T580" s="2" t="str">
        <x:v>NA</x:v>
      </x:c>
      <x:c r="U580" s="2" t="str">
        <x:v>Not tested</x:v>
      </x:c>
      <x:c r="V580" s="2" t="str">
        <x:v>NR</x:v>
      </x:c>
      <x:c r="W580" s="2" t="str">
        <x:v>NR</x:v>
      </x:c>
      <x:c r="X580" s="2" t="str">
        <x:v>NR</x:v>
      </x:c>
      <x:c r="Y580" s="2" t="str">
        <x:v>See narrative error analysis</x:v>
      </x:c>
      <x:c r="Z580" s="2" t="str">
        <x:v>No</x:v>
      </x:c>
      <x:c r="AA580" s="6" t="str">
        <x:v>p. 5; Table II</x:v>
      </x:c>
      <x:c r="AB580" s="6" t="str">
        <x:v>Table II reports Claude Traceability=1 for task 4.</x:v>
      </x:c>
      <x:c r="AC580" s="6" t="str">
        <x:v>Direct transcription of the task-level score from Table II.</x:v>
      </x:c>
      <x:c r="AD580" s="2" t="str">
        <x:v>Accepted</x:v>
      </x:c>
      <x:c r="AE580" s="6" t="str">
        <x:v>NR</x:v>
      </x:c>
    </x:row>
    <x:row r="581" ht="76" customHeight="1">
      <x:c r="A581" s="2" t="str">
        <x:v>S53-RESULT-R034</x:v>
      </x:c>
      <x:c r="B581" s="2" t="str">
        <x:v>S53</x:v>
      </x:c>
      <x:c r="C581" s="2" t="str">
        <x:v>merged_1229</x:v>
      </x:c>
      <x:c r="D581" s="2" t="str">
        <x:v>Reviewer_A</x:v>
      </x:c>
      <x:c r="E581" s="2" t="str">
        <x:v>Reviewer_A</x:v>
      </x:c>
      <x:c r="F581" s="2" t="str">
        <x:v>S53-R034</x:v>
      </x:c>
      <x:c r="G581" s="2" t="str">
        <x:v>S53-EV01|S53-EV02|S53-EV03|S53-EV04</x:v>
      </x:c>
      <x:c r="H581" s="2" t="str">
        <x:v>S53-T01|S53-T02|S53-T03|S53-T04</x:v>
      </x:c>
      <x:c r="I581" s="2" t="str">
        <x:v>S53-MU02</x:v>
      </x:c>
      <x:c r="J581" s="2" t="str">
        <x:v>Synthetic Track Surveillance Drone artifacts</x:v>
      </x:c>
      <x:c r="K581" s="2" t="str">
        <x:v>Claude Sonnet 4</x:v>
      </x:c>
      <x:c r="L581" s="2" t="str">
        <x:v>NA</x:v>
      </x:c>
      <x:c r="M581" s="2" t="str">
        <x:v>Total score</x:v>
      </x:c>
      <x:c r="N581" s="6" t="str">
        <x:v>13.5</x:v>
      </x:c>
      <x:c r="O581" s="2" t="n">
        <x:v>13.5</x:v>
      </x:c>
      <x:c r="P581" s="2" t="str">
        <x:v>points across 16 checklist cells</x:v>
      </x:c>
      <x:c r="Q581" s="6" t="str">
        <x:v>NA</x:v>
      </x:c>
      <x:c r="R581" s="2"/>
      <x:c r="S581" s="2" t="str">
        <x:v>NR</x:v>
      </x:c>
      <x:c r="T581" s="2" t="str">
        <x:v>NA</x:v>
      </x:c>
      <x:c r="U581" s="2" t="str">
        <x:v>Not tested</x:v>
      </x:c>
      <x:c r="V581" s="2" t="str">
        <x:v>NR</x:v>
      </x:c>
      <x:c r="W581" s="2" t="str">
        <x:v>NR</x:v>
      </x:c>
      <x:c r="X581" s="2" t="str">
        <x:v>NR</x:v>
      </x:c>
      <x:c r="Y581" s="2" t="str">
        <x:v>NR</x:v>
      </x:c>
      <x:c r="Z581" s="2" t="str">
        <x:v>No</x:v>
      </x:c>
      <x:c r="AA581" s="6" t="str">
        <x:v>p. 5; Table II</x:v>
      </x:c>
      <x:c r="AB581" s="6" t="str">
        <x:v>Total: 13.5</x:v>
      </x:c>
      <x:c r="AC581" s="6" t="str">
        <x:v>Direct transcription of the model total from Table II.</x:v>
      </x:c>
      <x:c r="AD581" s="2" t="str">
        <x:v>Accepted</x:v>
      </x:c>
      <x:c r="AE581" s="6" t="str">
        <x:v>The total aggregates all four tasks and four dimensions.</x:v>
      </x:c>
    </x:row>
    <x:row r="582" ht="76" customHeight="1">
      <x:c r="A582" s="2" t="str">
        <x:v>S53-RESULT-R035</x:v>
      </x:c>
      <x:c r="B582" s="2" t="str">
        <x:v>S53</x:v>
      </x:c>
      <x:c r="C582" s="2" t="str">
        <x:v>merged_1229</x:v>
      </x:c>
      <x:c r="D582" s="2" t="str">
        <x:v>Reviewer_A</x:v>
      </x:c>
      <x:c r="E582" s="2" t="str">
        <x:v>Reviewer_A</x:v>
      </x:c>
      <x:c r="F582" s="2" t="str">
        <x:v>S53-R035</x:v>
      </x:c>
      <x:c r="G582" s="2" t="str">
        <x:v>S53-EV01</x:v>
      </x:c>
      <x:c r="H582" s="2" t="str">
        <x:v>S53-T01</x:v>
      </x:c>
      <x:c r="I582" s="2" t="str">
        <x:v>S53-MU03</x:v>
      </x:c>
      <x:c r="J582" s="2" t="str">
        <x:v>Synthetic Track Surveillance Drone artifacts</x:v>
      </x:c>
      <x:c r="K582" s="2" t="str">
        <x:v>Gemini 2.5 Flash</x:v>
      </x:c>
      <x:c r="L582" s="2" t="str">
        <x:v>NA</x:v>
      </x:c>
      <x:c r="M582" s="2" t="str">
        <x:v>Completeness</x:v>
      </x:c>
      <x:c r="N582" s="6" t="str">
        <x:v>1</x:v>
      </x:c>
      <x:c r="O582" s="2" t="n">
        <x:v>1</x:v>
      </x:c>
      <x:c r="P582" s="2" t="str">
        <x:v>score (0, 0.5, or 1)</x:v>
      </x:c>
      <x:c r="Q582" s="6" t="str">
        <x:v>NA</x:v>
      </x:c>
      <x:c r="R582" s="2"/>
      <x:c r="S582" s="2" t="str">
        <x:v>NR</x:v>
      </x:c>
      <x:c r="T582" s="2" t="str">
        <x:v>NA</x:v>
      </x:c>
      <x:c r="U582" s="2" t="str">
        <x:v>Not tested</x:v>
      </x:c>
      <x:c r="V582" s="2" t="str">
        <x:v>NR</x:v>
      </x:c>
      <x:c r="W582" s="2" t="str">
        <x:v>NR</x:v>
      </x:c>
      <x:c r="X582" s="2" t="str">
        <x:v>NR</x:v>
      </x:c>
      <x:c r="Y582" s="2" t="str">
        <x:v>See narrative error analysis</x:v>
      </x:c>
      <x:c r="Z582" s="2" t="str">
        <x:v>No</x:v>
      </x:c>
      <x:c r="AA582" s="6" t="str">
        <x:v>p. 5; Table II</x:v>
      </x:c>
      <x:c r="AB582" s="6" t="str">
        <x:v>Table II reports Gemini Completeness=1 for task 1.</x:v>
      </x:c>
      <x:c r="AC582" s="6" t="str">
        <x:v>Direct transcription of the task-level score from Table II.</x:v>
      </x:c>
      <x:c r="AD582" s="2" t="str">
        <x:v>Accepted</x:v>
      </x:c>
      <x:c r="AE582" s="6" t="str">
        <x:v>NR</x:v>
      </x:c>
    </x:row>
    <x:row r="583" ht="76" customHeight="1">
      <x:c r="A583" s="2" t="str">
        <x:v>S53-RESULT-R036</x:v>
      </x:c>
      <x:c r="B583" s="2" t="str">
        <x:v>S53</x:v>
      </x:c>
      <x:c r="C583" s="2" t="str">
        <x:v>merged_1229</x:v>
      </x:c>
      <x:c r="D583" s="2" t="str">
        <x:v>Reviewer_A</x:v>
      </x:c>
      <x:c r="E583" s="2" t="str">
        <x:v>Reviewer_A</x:v>
      </x:c>
      <x:c r="F583" s="2" t="str">
        <x:v>S53-R036</x:v>
      </x:c>
      <x:c r="G583" s="2" t="str">
        <x:v>S53-EV02</x:v>
      </x:c>
      <x:c r="H583" s="2" t="str">
        <x:v>S53-T02</x:v>
      </x:c>
      <x:c r="I583" s="2" t="str">
        <x:v>S53-MU06</x:v>
      </x:c>
      <x:c r="J583" s="2" t="str">
        <x:v>Synthetic Track Surveillance Drone artifacts</x:v>
      </x:c>
      <x:c r="K583" s="2" t="str">
        <x:v>Gemini 2.5 Flash</x:v>
      </x:c>
      <x:c r="L583" s="2" t="str">
        <x:v>NA</x:v>
      </x:c>
      <x:c r="M583" s="2" t="str">
        <x:v>Completeness</x:v>
      </x:c>
      <x:c r="N583" s="6" t="str">
        <x:v>0.5</x:v>
      </x:c>
      <x:c r="O583" s="2" t="n">
        <x:v>0.5</x:v>
      </x:c>
      <x:c r="P583" s="2" t="str">
        <x:v>score (0, 0.5, or 1)</x:v>
      </x:c>
      <x:c r="Q583" s="6" t="str">
        <x:v>NA</x:v>
      </x:c>
      <x:c r="R583" s="2"/>
      <x:c r="S583" s="2" t="str">
        <x:v>NR</x:v>
      </x:c>
      <x:c r="T583" s="2" t="str">
        <x:v>NA</x:v>
      </x:c>
      <x:c r="U583" s="2" t="str">
        <x:v>Not tested</x:v>
      </x:c>
      <x:c r="V583" s="2" t="str">
        <x:v>NR</x:v>
      </x:c>
      <x:c r="W583" s="2" t="str">
        <x:v>NR</x:v>
      </x:c>
      <x:c r="X583" s="2" t="str">
        <x:v>NR</x:v>
      </x:c>
      <x:c r="Y583" s="2" t="str">
        <x:v>See narrative error analysis</x:v>
      </x:c>
      <x:c r="Z583" s="2" t="str">
        <x:v>No</x:v>
      </x:c>
      <x:c r="AA583" s="6" t="str">
        <x:v>p. 5; Table II</x:v>
      </x:c>
      <x:c r="AB583" s="6" t="str">
        <x:v>Table II reports Gemini Completeness=0.5 for task 2.</x:v>
      </x:c>
      <x:c r="AC583" s="6" t="str">
        <x:v>Direct transcription of the task-level score from Table II.</x:v>
      </x:c>
      <x:c r="AD583" s="2" t="str">
        <x:v>Accepted</x:v>
      </x:c>
      <x:c r="AE583" s="6" t="str">
        <x:v>NR</x:v>
      </x:c>
    </x:row>
    <x:row r="584" ht="76" customHeight="1">
      <x:c r="A584" s="2" t="str">
        <x:v>S53-RESULT-R037</x:v>
      </x:c>
      <x:c r="B584" s="2" t="str">
        <x:v>S53</x:v>
      </x:c>
      <x:c r="C584" s="2" t="str">
        <x:v>merged_1229</x:v>
      </x:c>
      <x:c r="D584" s="2" t="str">
        <x:v>Reviewer_A</x:v>
      </x:c>
      <x:c r="E584" s="2" t="str">
        <x:v>Reviewer_A</x:v>
      </x:c>
      <x:c r="F584" s="2" t="str">
        <x:v>S53-R037</x:v>
      </x:c>
      <x:c r="G584" s="2" t="str">
        <x:v>S53-EV03</x:v>
      </x:c>
      <x:c r="H584" s="2" t="str">
        <x:v>S53-T03</x:v>
      </x:c>
      <x:c r="I584" s="2" t="str">
        <x:v>S53-MU09</x:v>
      </x:c>
      <x:c r="J584" s="2" t="str">
        <x:v>Synthetic Track Surveillance Drone artifacts</x:v>
      </x:c>
      <x:c r="K584" s="2" t="str">
        <x:v>Gemini 2.5 Flash</x:v>
      </x:c>
      <x:c r="L584" s="2" t="str">
        <x:v>NA</x:v>
      </x:c>
      <x:c r="M584" s="2" t="str">
        <x:v>Completeness</x:v>
      </x:c>
      <x:c r="N584" s="6" t="str">
        <x:v>0.5</x:v>
      </x:c>
      <x:c r="O584" s="2" t="n">
        <x:v>0.5</x:v>
      </x:c>
      <x:c r="P584" s="2" t="str">
        <x:v>score (0, 0.5, or 1)</x:v>
      </x:c>
      <x:c r="Q584" s="6" t="str">
        <x:v>NA</x:v>
      </x:c>
      <x:c r="R584" s="2"/>
      <x:c r="S584" s="2" t="str">
        <x:v>NR</x:v>
      </x:c>
      <x:c r="T584" s="2" t="str">
        <x:v>NA</x:v>
      </x:c>
      <x:c r="U584" s="2" t="str">
        <x:v>Not tested</x:v>
      </x:c>
      <x:c r="V584" s="2" t="str">
        <x:v>NR</x:v>
      </x:c>
      <x:c r="W584" s="2" t="str">
        <x:v>NR</x:v>
      </x:c>
      <x:c r="X584" s="2" t="str">
        <x:v>NR</x:v>
      </x:c>
      <x:c r="Y584" s="2" t="str">
        <x:v>See narrative error analysis</x:v>
      </x:c>
      <x:c r="Z584" s="2" t="str">
        <x:v>No</x:v>
      </x:c>
      <x:c r="AA584" s="6" t="str">
        <x:v>p. 5; Table II</x:v>
      </x:c>
      <x:c r="AB584" s="6" t="str">
        <x:v>Table II reports Gemini Completeness=0.5 for task 3.</x:v>
      </x:c>
      <x:c r="AC584" s="6" t="str">
        <x:v>Direct transcription of the task-level score from Table II.</x:v>
      </x:c>
      <x:c r="AD584" s="2" t="str">
        <x:v>Accepted</x:v>
      </x:c>
      <x:c r="AE584" s="6" t="str">
        <x:v>NR</x:v>
      </x:c>
    </x:row>
    <x:row r="585" ht="76" customHeight="1">
      <x:c r="A585" s="2" t="str">
        <x:v>S53-RESULT-R038</x:v>
      </x:c>
      <x:c r="B585" s="2" t="str">
        <x:v>S53</x:v>
      </x:c>
      <x:c r="C585" s="2" t="str">
        <x:v>merged_1229</x:v>
      </x:c>
      <x:c r="D585" s="2" t="str">
        <x:v>Reviewer_A</x:v>
      </x:c>
      <x:c r="E585" s="2" t="str">
        <x:v>Reviewer_A</x:v>
      </x:c>
      <x:c r="F585" s="2" t="str">
        <x:v>S53-R038</x:v>
      </x:c>
      <x:c r="G585" s="2" t="str">
        <x:v>S53-EV04</x:v>
      </x:c>
      <x:c r="H585" s="2" t="str">
        <x:v>S53-T04</x:v>
      </x:c>
      <x:c r="I585" s="2" t="str">
        <x:v>S53-MU12</x:v>
      </x:c>
      <x:c r="J585" s="2" t="str">
        <x:v>Synthetic Track Surveillance Drone artifacts</x:v>
      </x:c>
      <x:c r="K585" s="2" t="str">
        <x:v>Gemini 2.5 Flash</x:v>
      </x:c>
      <x:c r="L585" s="2" t="str">
        <x:v>NA</x:v>
      </x:c>
      <x:c r="M585" s="2" t="str">
        <x:v>Completeness</x:v>
      </x:c>
      <x:c r="N585" s="6" t="str">
        <x:v>0.5</x:v>
      </x:c>
      <x:c r="O585" s="2" t="n">
        <x:v>0.5</x:v>
      </x:c>
      <x:c r="P585" s="2" t="str">
        <x:v>score (0, 0.5, or 1)</x:v>
      </x:c>
      <x:c r="Q585" s="6" t="str">
        <x:v>NA</x:v>
      </x:c>
      <x:c r="R585" s="2"/>
      <x:c r="S585" s="2" t="str">
        <x:v>NR</x:v>
      </x:c>
      <x:c r="T585" s="2" t="str">
        <x:v>NA</x:v>
      </x:c>
      <x:c r="U585" s="2" t="str">
        <x:v>Not tested</x:v>
      </x:c>
      <x:c r="V585" s="2" t="str">
        <x:v>NR</x:v>
      </x:c>
      <x:c r="W585" s="2" t="str">
        <x:v>NR</x:v>
      </x:c>
      <x:c r="X585" s="2" t="str">
        <x:v>NR</x:v>
      </x:c>
      <x:c r="Y585" s="2" t="str">
        <x:v>See narrative error analysis</x:v>
      </x:c>
      <x:c r="Z585" s="2" t="str">
        <x:v>No</x:v>
      </x:c>
      <x:c r="AA585" s="6" t="str">
        <x:v>p. 5; Table II</x:v>
      </x:c>
      <x:c r="AB585" s="6" t="str">
        <x:v>Table II reports Gemini Completeness=0.5 for task 4.</x:v>
      </x:c>
      <x:c r="AC585" s="6" t="str">
        <x:v>Direct transcription of the task-level score from Table II.</x:v>
      </x:c>
      <x:c r="AD585" s="2" t="str">
        <x:v>Accepted</x:v>
      </x:c>
      <x:c r="AE585" s="6" t="str">
        <x:v>NR</x:v>
      </x:c>
    </x:row>
    <x:row r="586" ht="76" customHeight="1">
      <x:c r="A586" s="2" t="str">
        <x:v>S53-RESULT-R039</x:v>
      </x:c>
      <x:c r="B586" s="2" t="str">
        <x:v>S53</x:v>
      </x:c>
      <x:c r="C586" s="2" t="str">
        <x:v>merged_1229</x:v>
      </x:c>
      <x:c r="D586" s="2" t="str">
        <x:v>Reviewer_A</x:v>
      </x:c>
      <x:c r="E586" s="2" t="str">
        <x:v>Reviewer_A</x:v>
      </x:c>
      <x:c r="F586" s="2" t="str">
        <x:v>S53-R039</x:v>
      </x:c>
      <x:c r="G586" s="2" t="str">
        <x:v>S53-EV01</x:v>
      </x:c>
      <x:c r="H586" s="2" t="str">
        <x:v>S53-T01</x:v>
      </x:c>
      <x:c r="I586" s="2" t="str">
        <x:v>S53-MU03</x:v>
      </x:c>
      <x:c r="J586" s="2" t="str">
        <x:v>Synthetic Track Surveillance Drone artifacts</x:v>
      </x:c>
      <x:c r="K586" s="2" t="str">
        <x:v>Gemini 2.5 Flash</x:v>
      </x:c>
      <x:c r="L586" s="2" t="str">
        <x:v>NA</x:v>
      </x:c>
      <x:c r="M586" s="2" t="str">
        <x:v>Correctness</x:v>
      </x:c>
      <x:c r="N586" s="6" t="str">
        <x:v>0.5</x:v>
      </x:c>
      <x:c r="O586" s="2" t="n">
        <x:v>0.5</x:v>
      </x:c>
      <x:c r="P586" s="2" t="str">
        <x:v>score (0, 0.5, or 1)</x:v>
      </x:c>
      <x:c r="Q586" s="6" t="str">
        <x:v>NA</x:v>
      </x:c>
      <x:c r="R586" s="2"/>
      <x:c r="S586" s="2" t="str">
        <x:v>NR</x:v>
      </x:c>
      <x:c r="T586" s="2" t="str">
        <x:v>NA</x:v>
      </x:c>
      <x:c r="U586" s="2" t="str">
        <x:v>Not tested</x:v>
      </x:c>
      <x:c r="V586" s="2" t="str">
        <x:v>NR</x:v>
      </x:c>
      <x:c r="W586" s="2" t="str">
        <x:v>NR</x:v>
      </x:c>
      <x:c r="X586" s="2" t="str">
        <x:v>NR</x:v>
      </x:c>
      <x:c r="Y586" s="2" t="str">
        <x:v>See narrative error analysis</x:v>
      </x:c>
      <x:c r="Z586" s="2" t="str">
        <x:v>No</x:v>
      </x:c>
      <x:c r="AA586" s="6" t="str">
        <x:v>p. 5; Table II</x:v>
      </x:c>
      <x:c r="AB586" s="6" t="str">
        <x:v>Table II reports Gemini Correctness=0.5 for task 1.</x:v>
      </x:c>
      <x:c r="AC586" s="6" t="str">
        <x:v>Direct transcription of the task-level score from Table II.</x:v>
      </x:c>
      <x:c r="AD586" s="2" t="str">
        <x:v>Accepted</x:v>
      </x:c>
      <x:c r="AE586" s="6" t="str">
        <x:v>NR</x:v>
      </x:c>
    </x:row>
    <x:row r="587" ht="76" customHeight="1">
      <x:c r="A587" s="2" t="str">
        <x:v>S53-RESULT-R040</x:v>
      </x:c>
      <x:c r="B587" s="2" t="str">
        <x:v>S53</x:v>
      </x:c>
      <x:c r="C587" s="2" t="str">
        <x:v>merged_1229</x:v>
      </x:c>
      <x:c r="D587" s="2" t="str">
        <x:v>Reviewer_A</x:v>
      </x:c>
      <x:c r="E587" s="2" t="str">
        <x:v>Reviewer_A</x:v>
      </x:c>
      <x:c r="F587" s="2" t="str">
        <x:v>S53-R040</x:v>
      </x:c>
      <x:c r="G587" s="2" t="str">
        <x:v>S53-EV02</x:v>
      </x:c>
      <x:c r="H587" s="2" t="str">
        <x:v>S53-T02</x:v>
      </x:c>
      <x:c r="I587" s="2" t="str">
        <x:v>S53-MU06</x:v>
      </x:c>
      <x:c r="J587" s="2" t="str">
        <x:v>Synthetic Track Surveillance Drone artifacts</x:v>
      </x:c>
      <x:c r="K587" s="2" t="str">
        <x:v>Gemini 2.5 Flash</x:v>
      </x:c>
      <x:c r="L587" s="2" t="str">
        <x:v>NA</x:v>
      </x:c>
      <x:c r="M587" s="2" t="str">
        <x:v>Correctness</x:v>
      </x:c>
      <x:c r="N587" s="6" t="str">
        <x:v>0.5</x:v>
      </x:c>
      <x:c r="O587" s="2" t="n">
        <x:v>0.5</x:v>
      </x:c>
      <x:c r="P587" s="2" t="str">
        <x:v>score (0, 0.5, or 1)</x:v>
      </x:c>
      <x:c r="Q587" s="6" t="str">
        <x:v>NA</x:v>
      </x:c>
      <x:c r="R587" s="2"/>
      <x:c r="S587" s="2" t="str">
        <x:v>NR</x:v>
      </x:c>
      <x:c r="T587" s="2" t="str">
        <x:v>NA</x:v>
      </x:c>
      <x:c r="U587" s="2" t="str">
        <x:v>Not tested</x:v>
      </x:c>
      <x:c r="V587" s="2" t="str">
        <x:v>NR</x:v>
      </x:c>
      <x:c r="W587" s="2" t="str">
        <x:v>NR</x:v>
      </x:c>
      <x:c r="X587" s="2" t="str">
        <x:v>NR</x:v>
      </x:c>
      <x:c r="Y587" s="2" t="str">
        <x:v>See narrative error analysis</x:v>
      </x:c>
      <x:c r="Z587" s="2" t="str">
        <x:v>No</x:v>
      </x:c>
      <x:c r="AA587" s="6" t="str">
        <x:v>p. 5; Table II</x:v>
      </x:c>
      <x:c r="AB587" s="6" t="str">
        <x:v>Table II reports Gemini Correctness=0.5 for task 2.</x:v>
      </x:c>
      <x:c r="AC587" s="6" t="str">
        <x:v>Direct transcription of the task-level score from Table II.</x:v>
      </x:c>
      <x:c r="AD587" s="2" t="str">
        <x:v>Accepted</x:v>
      </x:c>
      <x:c r="AE587" s="6" t="str">
        <x:v>NR</x:v>
      </x:c>
    </x:row>
    <x:row r="588" ht="76" customHeight="1">
      <x:c r="A588" s="2" t="str">
        <x:v>S53-RESULT-R041</x:v>
      </x:c>
      <x:c r="B588" s="2" t="str">
        <x:v>S53</x:v>
      </x:c>
      <x:c r="C588" s="2" t="str">
        <x:v>merged_1229</x:v>
      </x:c>
      <x:c r="D588" s="2" t="str">
        <x:v>Reviewer_A</x:v>
      </x:c>
      <x:c r="E588" s="2" t="str">
        <x:v>Reviewer_A</x:v>
      </x:c>
      <x:c r="F588" s="2" t="str">
        <x:v>S53-R041</x:v>
      </x:c>
      <x:c r="G588" s="2" t="str">
        <x:v>S53-EV03</x:v>
      </x:c>
      <x:c r="H588" s="2" t="str">
        <x:v>S53-T03</x:v>
      </x:c>
      <x:c r="I588" s="2" t="str">
        <x:v>S53-MU09</x:v>
      </x:c>
      <x:c r="J588" s="2" t="str">
        <x:v>Synthetic Track Surveillance Drone artifacts</x:v>
      </x:c>
      <x:c r="K588" s="2" t="str">
        <x:v>Gemini 2.5 Flash</x:v>
      </x:c>
      <x:c r="L588" s="2" t="str">
        <x:v>NA</x:v>
      </x:c>
      <x:c r="M588" s="2" t="str">
        <x:v>Correctness</x:v>
      </x:c>
      <x:c r="N588" s="6" t="str">
        <x:v>0</x:v>
      </x:c>
      <x:c r="O588" s="2" t="n">
        <x:v>0</x:v>
      </x:c>
      <x:c r="P588" s="2" t="str">
        <x:v>score (0, 0.5, or 1)</x:v>
      </x:c>
      <x:c r="Q588" s="6" t="str">
        <x:v>NA</x:v>
      </x:c>
      <x:c r="R588" s="2"/>
      <x:c r="S588" s="2" t="str">
        <x:v>NR</x:v>
      </x:c>
      <x:c r="T588" s="2" t="str">
        <x:v>NA</x:v>
      </x:c>
      <x:c r="U588" s="2" t="str">
        <x:v>Not tested</x:v>
      </x:c>
      <x:c r="V588" s="2" t="str">
        <x:v>NR</x:v>
      </x:c>
      <x:c r="W588" s="2" t="str">
        <x:v>NR</x:v>
      </x:c>
      <x:c r="X588" s="2" t="str">
        <x:v>NR</x:v>
      </x:c>
      <x:c r="Y588" s="2" t="str">
        <x:v>See narrative error analysis</x:v>
      </x:c>
      <x:c r="Z588" s="2" t="str">
        <x:v>Yes</x:v>
      </x:c>
      <x:c r="AA588" s="6" t="str">
        <x:v>p. 5; Table II</x:v>
      </x:c>
      <x:c r="AB588" s="6" t="str">
        <x:v>Table II reports Gemini Correctness=0 for task 3.</x:v>
      </x:c>
      <x:c r="AC588" s="6" t="str">
        <x:v>Direct transcription of the task-level score from Table II.</x:v>
      </x:c>
      <x:c r="AD588" s="2" t="str">
        <x:v>Accepted</x:v>
      </x:c>
      <x:c r="AE588" s="6" t="str">
        <x:v>NR</x:v>
      </x:c>
    </x:row>
    <x:row r="589" ht="76" customHeight="1">
      <x:c r="A589" s="2" t="str">
        <x:v>S53-RESULT-R042</x:v>
      </x:c>
      <x:c r="B589" s="2" t="str">
        <x:v>S53</x:v>
      </x:c>
      <x:c r="C589" s="2" t="str">
        <x:v>merged_1229</x:v>
      </x:c>
      <x:c r="D589" s="2" t="str">
        <x:v>Reviewer_A</x:v>
      </x:c>
      <x:c r="E589" s="2" t="str">
        <x:v>Reviewer_A</x:v>
      </x:c>
      <x:c r="F589" s="2" t="str">
        <x:v>S53-R042</x:v>
      </x:c>
      <x:c r="G589" s="2" t="str">
        <x:v>S53-EV04</x:v>
      </x:c>
      <x:c r="H589" s="2" t="str">
        <x:v>S53-T04</x:v>
      </x:c>
      <x:c r="I589" s="2" t="str">
        <x:v>S53-MU12</x:v>
      </x:c>
      <x:c r="J589" s="2" t="str">
        <x:v>Synthetic Track Surveillance Drone artifacts</x:v>
      </x:c>
      <x:c r="K589" s="2" t="str">
        <x:v>Gemini 2.5 Flash</x:v>
      </x:c>
      <x:c r="L589" s="2" t="str">
        <x:v>NA</x:v>
      </x:c>
      <x:c r="M589" s="2" t="str">
        <x:v>Correctness</x:v>
      </x:c>
      <x:c r="N589" s="6" t="str">
        <x:v>0</x:v>
      </x:c>
      <x:c r="O589" s="2" t="n">
        <x:v>0</x:v>
      </x:c>
      <x:c r="P589" s="2" t="str">
        <x:v>score (0, 0.5, or 1)</x:v>
      </x:c>
      <x:c r="Q589" s="6" t="str">
        <x:v>NA</x:v>
      </x:c>
      <x:c r="R589" s="2"/>
      <x:c r="S589" s="2" t="str">
        <x:v>NR</x:v>
      </x:c>
      <x:c r="T589" s="2" t="str">
        <x:v>NA</x:v>
      </x:c>
      <x:c r="U589" s="2" t="str">
        <x:v>Not tested</x:v>
      </x:c>
      <x:c r="V589" s="2" t="str">
        <x:v>NR</x:v>
      </x:c>
      <x:c r="W589" s="2" t="str">
        <x:v>NR</x:v>
      </x:c>
      <x:c r="X589" s="2" t="str">
        <x:v>NR</x:v>
      </x:c>
      <x:c r="Y589" s="2" t="str">
        <x:v>See narrative error analysis</x:v>
      </x:c>
      <x:c r="Z589" s="2" t="str">
        <x:v>Yes</x:v>
      </x:c>
      <x:c r="AA589" s="6" t="str">
        <x:v>p. 5; Table II</x:v>
      </x:c>
      <x:c r="AB589" s="6" t="str">
        <x:v>Table II reports Gemini Correctness=0 for task 4.</x:v>
      </x:c>
      <x:c r="AC589" s="6" t="str">
        <x:v>Direct transcription of the task-level score from Table II.</x:v>
      </x:c>
      <x:c r="AD589" s="2" t="str">
        <x:v>Accepted</x:v>
      </x:c>
      <x:c r="AE589" s="6" t="str">
        <x:v>NR</x:v>
      </x:c>
    </x:row>
    <x:row r="590" ht="76" customHeight="1">
      <x:c r="A590" s="2" t="str">
        <x:v>S53-RESULT-R043</x:v>
      </x:c>
      <x:c r="B590" s="2" t="str">
        <x:v>S53</x:v>
      </x:c>
      <x:c r="C590" s="2" t="str">
        <x:v>merged_1229</x:v>
      </x:c>
      <x:c r="D590" s="2" t="str">
        <x:v>Reviewer_A</x:v>
      </x:c>
      <x:c r="E590" s="2" t="str">
        <x:v>Reviewer_A</x:v>
      </x:c>
      <x:c r="F590" s="2" t="str">
        <x:v>S53-R043</x:v>
      </x:c>
      <x:c r="G590" s="2" t="str">
        <x:v>S53-EV01</x:v>
      </x:c>
      <x:c r="H590" s="2" t="str">
        <x:v>S53-T01</x:v>
      </x:c>
      <x:c r="I590" s="2" t="str">
        <x:v>S53-MU03</x:v>
      </x:c>
      <x:c r="J590" s="2" t="str">
        <x:v>Synthetic Track Surveillance Drone artifacts</x:v>
      </x:c>
      <x:c r="K590" s="2" t="str">
        <x:v>Gemini 2.5 Flash</x:v>
      </x:c>
      <x:c r="L590" s="2" t="str">
        <x:v>NA</x:v>
      </x:c>
      <x:c r="M590" s="2" t="str">
        <x:v>Consistency</x:v>
      </x:c>
      <x:c r="N590" s="6" t="str">
        <x:v>0.5</x:v>
      </x:c>
      <x:c r="O590" s="2" t="n">
        <x:v>0.5</x:v>
      </x:c>
      <x:c r="P590" s="2" t="str">
        <x:v>score (0, 0.5, or 1)</x:v>
      </x:c>
      <x:c r="Q590" s="6" t="str">
        <x:v>NA</x:v>
      </x:c>
      <x:c r="R590" s="2"/>
      <x:c r="S590" s="2" t="str">
        <x:v>NR</x:v>
      </x:c>
      <x:c r="T590" s="2" t="str">
        <x:v>NA</x:v>
      </x:c>
      <x:c r="U590" s="2" t="str">
        <x:v>Not tested</x:v>
      </x:c>
      <x:c r="V590" s="2" t="str">
        <x:v>NR</x:v>
      </x:c>
      <x:c r="W590" s="2" t="str">
        <x:v>NR</x:v>
      </x:c>
      <x:c r="X590" s="2" t="str">
        <x:v>NR</x:v>
      </x:c>
      <x:c r="Y590" s="2" t="str">
        <x:v>See narrative error analysis</x:v>
      </x:c>
      <x:c r="Z590" s="2" t="str">
        <x:v>No</x:v>
      </x:c>
      <x:c r="AA590" s="6" t="str">
        <x:v>p. 5; Table II</x:v>
      </x:c>
      <x:c r="AB590" s="6" t="str">
        <x:v>Table II reports Gemini Consistency=0.5 for task 1.</x:v>
      </x:c>
      <x:c r="AC590" s="6" t="str">
        <x:v>Direct transcription of the task-level score from Table II.</x:v>
      </x:c>
      <x:c r="AD590" s="2" t="str">
        <x:v>Accepted</x:v>
      </x:c>
      <x:c r="AE590" s="6" t="str">
        <x:v>NR</x:v>
      </x:c>
    </x:row>
    <x:row r="591" ht="76" customHeight="1">
      <x:c r="A591" s="2" t="str">
        <x:v>S53-RESULT-R044</x:v>
      </x:c>
      <x:c r="B591" s="2" t="str">
        <x:v>S53</x:v>
      </x:c>
      <x:c r="C591" s="2" t="str">
        <x:v>merged_1229</x:v>
      </x:c>
      <x:c r="D591" s="2" t="str">
        <x:v>Reviewer_A</x:v>
      </x:c>
      <x:c r="E591" s="2" t="str">
        <x:v>Reviewer_A</x:v>
      </x:c>
      <x:c r="F591" s="2" t="str">
        <x:v>S53-R044</x:v>
      </x:c>
      <x:c r="G591" s="2" t="str">
        <x:v>S53-EV02</x:v>
      </x:c>
      <x:c r="H591" s="2" t="str">
        <x:v>S53-T02</x:v>
      </x:c>
      <x:c r="I591" s="2" t="str">
        <x:v>S53-MU06</x:v>
      </x:c>
      <x:c r="J591" s="2" t="str">
        <x:v>Synthetic Track Surveillance Drone artifacts</x:v>
      </x:c>
      <x:c r="K591" s="2" t="str">
        <x:v>Gemini 2.5 Flash</x:v>
      </x:c>
      <x:c r="L591" s="2" t="str">
        <x:v>NA</x:v>
      </x:c>
      <x:c r="M591" s="2" t="str">
        <x:v>Consistency</x:v>
      </x:c>
      <x:c r="N591" s="6" t="str">
        <x:v>1</x:v>
      </x:c>
      <x:c r="O591" s="2" t="n">
        <x:v>1</x:v>
      </x:c>
      <x:c r="P591" s="2" t="str">
        <x:v>score (0, 0.5, or 1)</x:v>
      </x:c>
      <x:c r="Q591" s="6" t="str">
        <x:v>NA</x:v>
      </x:c>
      <x:c r="R591" s="2"/>
      <x:c r="S591" s="2" t="str">
        <x:v>NR</x:v>
      </x:c>
      <x:c r="T591" s="2" t="str">
        <x:v>NA</x:v>
      </x:c>
      <x:c r="U591" s="2" t="str">
        <x:v>Not tested</x:v>
      </x:c>
      <x:c r="V591" s="2" t="str">
        <x:v>NR</x:v>
      </x:c>
      <x:c r="W591" s="2" t="str">
        <x:v>NR</x:v>
      </x:c>
      <x:c r="X591" s="2" t="str">
        <x:v>NR</x:v>
      </x:c>
      <x:c r="Y591" s="2" t="str">
        <x:v>See narrative error analysis</x:v>
      </x:c>
      <x:c r="Z591" s="2" t="str">
        <x:v>No</x:v>
      </x:c>
      <x:c r="AA591" s="6" t="str">
        <x:v>p. 5; Table II</x:v>
      </x:c>
      <x:c r="AB591" s="6" t="str">
        <x:v>Table II reports Gemini Consistency=1 for task 2.</x:v>
      </x:c>
      <x:c r="AC591" s="6" t="str">
        <x:v>Direct transcription of the task-level score from Table II.</x:v>
      </x:c>
      <x:c r="AD591" s="2" t="str">
        <x:v>Accepted</x:v>
      </x:c>
      <x:c r="AE591" s="6" t="str">
        <x:v>NR</x:v>
      </x:c>
    </x:row>
    <x:row r="592" ht="76" customHeight="1">
      <x:c r="A592" s="2" t="str">
        <x:v>S53-RESULT-R045</x:v>
      </x:c>
      <x:c r="B592" s="2" t="str">
        <x:v>S53</x:v>
      </x:c>
      <x:c r="C592" s="2" t="str">
        <x:v>merged_1229</x:v>
      </x:c>
      <x:c r="D592" s="2" t="str">
        <x:v>Reviewer_A</x:v>
      </x:c>
      <x:c r="E592" s="2" t="str">
        <x:v>Reviewer_A</x:v>
      </x:c>
      <x:c r="F592" s="2" t="str">
        <x:v>S53-R045</x:v>
      </x:c>
      <x:c r="G592" s="2" t="str">
        <x:v>S53-EV03</x:v>
      </x:c>
      <x:c r="H592" s="2" t="str">
        <x:v>S53-T03</x:v>
      </x:c>
      <x:c r="I592" s="2" t="str">
        <x:v>S53-MU09</x:v>
      </x:c>
      <x:c r="J592" s="2" t="str">
        <x:v>Synthetic Track Surveillance Drone artifacts</x:v>
      </x:c>
      <x:c r="K592" s="2" t="str">
        <x:v>Gemini 2.5 Flash</x:v>
      </x:c>
      <x:c r="L592" s="2" t="str">
        <x:v>NA</x:v>
      </x:c>
      <x:c r="M592" s="2" t="str">
        <x:v>Consistency</x:v>
      </x:c>
      <x:c r="N592" s="6" t="str">
        <x:v>0.5</x:v>
      </x:c>
      <x:c r="O592" s="2" t="n">
        <x:v>0.5</x:v>
      </x:c>
      <x:c r="P592" s="2" t="str">
        <x:v>score (0, 0.5, or 1)</x:v>
      </x:c>
      <x:c r="Q592" s="6" t="str">
        <x:v>NA</x:v>
      </x:c>
      <x:c r="R592" s="2"/>
      <x:c r="S592" s="2" t="str">
        <x:v>NR</x:v>
      </x:c>
      <x:c r="T592" s="2" t="str">
        <x:v>NA</x:v>
      </x:c>
      <x:c r="U592" s="2" t="str">
        <x:v>Not tested</x:v>
      </x:c>
      <x:c r="V592" s="2" t="str">
        <x:v>NR</x:v>
      </x:c>
      <x:c r="W592" s="2" t="str">
        <x:v>NR</x:v>
      </x:c>
      <x:c r="X592" s="2" t="str">
        <x:v>NR</x:v>
      </x:c>
      <x:c r="Y592" s="2" t="str">
        <x:v>See narrative error analysis</x:v>
      </x:c>
      <x:c r="Z592" s="2" t="str">
        <x:v>No</x:v>
      </x:c>
      <x:c r="AA592" s="6" t="str">
        <x:v>p. 5; Table II</x:v>
      </x:c>
      <x:c r="AB592" s="6" t="str">
        <x:v>Table II reports Gemini Consistency=0.5 for task 3.</x:v>
      </x:c>
      <x:c r="AC592" s="6" t="str">
        <x:v>Direct transcription of the task-level score from Table II.</x:v>
      </x:c>
      <x:c r="AD592" s="2" t="str">
        <x:v>Accepted</x:v>
      </x:c>
      <x:c r="AE592" s="6" t="str">
        <x:v>NR</x:v>
      </x:c>
    </x:row>
    <x:row r="593" ht="76" customHeight="1">
      <x:c r="A593" s="2" t="str">
        <x:v>S53-RESULT-R046</x:v>
      </x:c>
      <x:c r="B593" s="2" t="str">
        <x:v>S53</x:v>
      </x:c>
      <x:c r="C593" s="2" t="str">
        <x:v>merged_1229</x:v>
      </x:c>
      <x:c r="D593" s="2" t="str">
        <x:v>Reviewer_A</x:v>
      </x:c>
      <x:c r="E593" s="2" t="str">
        <x:v>Reviewer_A</x:v>
      </x:c>
      <x:c r="F593" s="2" t="str">
        <x:v>S53-R046</x:v>
      </x:c>
      <x:c r="G593" s="2" t="str">
        <x:v>S53-EV04</x:v>
      </x:c>
      <x:c r="H593" s="2" t="str">
        <x:v>S53-T04</x:v>
      </x:c>
      <x:c r="I593" s="2" t="str">
        <x:v>S53-MU12</x:v>
      </x:c>
      <x:c r="J593" s="2" t="str">
        <x:v>Synthetic Track Surveillance Drone artifacts</x:v>
      </x:c>
      <x:c r="K593" s="2" t="str">
        <x:v>Gemini 2.5 Flash</x:v>
      </x:c>
      <x:c r="L593" s="2" t="str">
        <x:v>NA</x:v>
      </x:c>
      <x:c r="M593" s="2" t="str">
        <x:v>Consistency</x:v>
      </x:c>
      <x:c r="N593" s="6" t="str">
        <x:v>0.5</x:v>
      </x:c>
      <x:c r="O593" s="2" t="n">
        <x:v>0.5</x:v>
      </x:c>
      <x:c r="P593" s="2" t="str">
        <x:v>score (0, 0.5, or 1)</x:v>
      </x:c>
      <x:c r="Q593" s="6" t="str">
        <x:v>NA</x:v>
      </x:c>
      <x:c r="R593" s="2"/>
      <x:c r="S593" s="2" t="str">
        <x:v>NR</x:v>
      </x:c>
      <x:c r="T593" s="2" t="str">
        <x:v>NA</x:v>
      </x:c>
      <x:c r="U593" s="2" t="str">
        <x:v>Not tested</x:v>
      </x:c>
      <x:c r="V593" s="2" t="str">
        <x:v>NR</x:v>
      </x:c>
      <x:c r="W593" s="2" t="str">
        <x:v>NR</x:v>
      </x:c>
      <x:c r="X593" s="2" t="str">
        <x:v>NR</x:v>
      </x:c>
      <x:c r="Y593" s="2" t="str">
        <x:v>See narrative error analysis</x:v>
      </x:c>
      <x:c r="Z593" s="2" t="str">
        <x:v>No</x:v>
      </x:c>
      <x:c r="AA593" s="6" t="str">
        <x:v>p. 5; Table II</x:v>
      </x:c>
      <x:c r="AB593" s="6" t="str">
        <x:v>Table II reports Gemini Consistency=0.5 for task 4.</x:v>
      </x:c>
      <x:c r="AC593" s="6" t="str">
        <x:v>Direct transcription of the task-level score from Table II.</x:v>
      </x:c>
      <x:c r="AD593" s="2" t="str">
        <x:v>Accepted</x:v>
      </x:c>
      <x:c r="AE593" s="6" t="str">
        <x:v>NR</x:v>
      </x:c>
    </x:row>
    <x:row r="594" ht="76" customHeight="1">
      <x:c r="A594" s="2" t="str">
        <x:v>S53-RESULT-R047</x:v>
      </x:c>
      <x:c r="B594" s="2" t="str">
        <x:v>S53</x:v>
      </x:c>
      <x:c r="C594" s="2" t="str">
        <x:v>merged_1229</x:v>
      </x:c>
      <x:c r="D594" s="2" t="str">
        <x:v>Reviewer_A</x:v>
      </x:c>
      <x:c r="E594" s="2" t="str">
        <x:v>Reviewer_A</x:v>
      </x:c>
      <x:c r="F594" s="2" t="str">
        <x:v>S53-R047</x:v>
      </x:c>
      <x:c r="G594" s="2" t="str">
        <x:v>S53-EV01</x:v>
      </x:c>
      <x:c r="H594" s="2" t="str">
        <x:v>S53-T01</x:v>
      </x:c>
      <x:c r="I594" s="2" t="str">
        <x:v>S53-MU03</x:v>
      </x:c>
      <x:c r="J594" s="2" t="str">
        <x:v>Synthetic Track Surveillance Drone artifacts</x:v>
      </x:c>
      <x:c r="K594" s="2" t="str">
        <x:v>Gemini 2.5 Flash</x:v>
      </x:c>
      <x:c r="L594" s="2" t="str">
        <x:v>NA</x:v>
      </x:c>
      <x:c r="M594" s="2" t="str">
        <x:v>Traceability</x:v>
      </x:c>
      <x:c r="N594" s="6" t="str">
        <x:v>1</x:v>
      </x:c>
      <x:c r="O594" s="2" t="n">
        <x:v>1</x:v>
      </x:c>
      <x:c r="P594" s="2" t="str">
        <x:v>score (0, 0.5, or 1)</x:v>
      </x:c>
      <x:c r="Q594" s="6" t="str">
        <x:v>NA</x:v>
      </x:c>
      <x:c r="R594" s="2"/>
      <x:c r="S594" s="2" t="str">
        <x:v>NR</x:v>
      </x:c>
      <x:c r="T594" s="2" t="str">
        <x:v>NA</x:v>
      </x:c>
      <x:c r="U594" s="2" t="str">
        <x:v>Not tested</x:v>
      </x:c>
      <x:c r="V594" s="2" t="str">
        <x:v>NR</x:v>
      </x:c>
      <x:c r="W594" s="2" t="str">
        <x:v>NR</x:v>
      </x:c>
      <x:c r="X594" s="2" t="str">
        <x:v>NR</x:v>
      </x:c>
      <x:c r="Y594" s="2" t="str">
        <x:v>See narrative error analysis</x:v>
      </x:c>
      <x:c r="Z594" s="2" t="str">
        <x:v>No</x:v>
      </x:c>
      <x:c r="AA594" s="6" t="str">
        <x:v>p. 5; Table II</x:v>
      </x:c>
      <x:c r="AB594" s="6" t="str">
        <x:v>Table II reports Gemini Traceability=1 for task 1.</x:v>
      </x:c>
      <x:c r="AC594" s="6" t="str">
        <x:v>Direct transcription of the task-level score from Table II.</x:v>
      </x:c>
      <x:c r="AD594" s="2" t="str">
        <x:v>Accepted</x:v>
      </x:c>
      <x:c r="AE594" s="6" t="str">
        <x:v>NR</x:v>
      </x:c>
    </x:row>
    <x:row r="595" ht="76" customHeight="1">
      <x:c r="A595" s="2" t="str">
        <x:v>S53-RESULT-R048</x:v>
      </x:c>
      <x:c r="B595" s="2" t="str">
        <x:v>S53</x:v>
      </x:c>
      <x:c r="C595" s="2" t="str">
        <x:v>merged_1229</x:v>
      </x:c>
      <x:c r="D595" s="2" t="str">
        <x:v>Reviewer_A</x:v>
      </x:c>
      <x:c r="E595" s="2" t="str">
        <x:v>Reviewer_A</x:v>
      </x:c>
      <x:c r="F595" s="2" t="str">
        <x:v>S53-R048</x:v>
      </x:c>
      <x:c r="G595" s="2" t="str">
        <x:v>S53-EV02</x:v>
      </x:c>
      <x:c r="H595" s="2" t="str">
        <x:v>S53-T02</x:v>
      </x:c>
      <x:c r="I595" s="2" t="str">
        <x:v>S53-MU06</x:v>
      </x:c>
      <x:c r="J595" s="2" t="str">
        <x:v>Synthetic Track Surveillance Drone artifacts</x:v>
      </x:c>
      <x:c r="K595" s="2" t="str">
        <x:v>Gemini 2.5 Flash</x:v>
      </x:c>
      <x:c r="L595" s="2" t="str">
        <x:v>NA</x:v>
      </x:c>
      <x:c r="M595" s="2" t="str">
        <x:v>Traceability</x:v>
      </x:c>
      <x:c r="N595" s="6" t="str">
        <x:v>1</x:v>
      </x:c>
      <x:c r="O595" s="2" t="n">
        <x:v>1</x:v>
      </x:c>
      <x:c r="P595" s="2" t="str">
        <x:v>score (0, 0.5, or 1)</x:v>
      </x:c>
      <x:c r="Q595" s="6" t="str">
        <x:v>NA</x:v>
      </x:c>
      <x:c r="R595" s="2"/>
      <x:c r="S595" s="2" t="str">
        <x:v>NR</x:v>
      </x:c>
      <x:c r="T595" s="2" t="str">
        <x:v>NA</x:v>
      </x:c>
      <x:c r="U595" s="2" t="str">
        <x:v>Not tested</x:v>
      </x:c>
      <x:c r="V595" s="2" t="str">
        <x:v>NR</x:v>
      </x:c>
      <x:c r="W595" s="2" t="str">
        <x:v>NR</x:v>
      </x:c>
      <x:c r="X595" s="2" t="str">
        <x:v>NR</x:v>
      </x:c>
      <x:c r="Y595" s="2" t="str">
        <x:v>See narrative error analysis</x:v>
      </x:c>
      <x:c r="Z595" s="2" t="str">
        <x:v>No</x:v>
      </x:c>
      <x:c r="AA595" s="6" t="str">
        <x:v>p. 5; Table II</x:v>
      </x:c>
      <x:c r="AB595" s="6" t="str">
        <x:v>Table II reports Gemini Traceability=1 for task 2.</x:v>
      </x:c>
      <x:c r="AC595" s="6" t="str">
        <x:v>Direct transcription of the task-level score from Table II.</x:v>
      </x:c>
      <x:c r="AD595" s="2" t="str">
        <x:v>Accepted</x:v>
      </x:c>
      <x:c r="AE595" s="6" t="str">
        <x:v>NR</x:v>
      </x:c>
    </x:row>
    <x:row r="596" ht="76" customHeight="1">
      <x:c r="A596" s="2" t="str">
        <x:v>S53-RESULT-R049</x:v>
      </x:c>
      <x:c r="B596" s="2" t="str">
        <x:v>S53</x:v>
      </x:c>
      <x:c r="C596" s="2" t="str">
        <x:v>merged_1229</x:v>
      </x:c>
      <x:c r="D596" s="2" t="str">
        <x:v>Reviewer_A</x:v>
      </x:c>
      <x:c r="E596" s="2" t="str">
        <x:v>Reviewer_A</x:v>
      </x:c>
      <x:c r="F596" s="2" t="str">
        <x:v>S53-R049</x:v>
      </x:c>
      <x:c r="G596" s="2" t="str">
        <x:v>S53-EV03</x:v>
      </x:c>
      <x:c r="H596" s="2" t="str">
        <x:v>S53-T03</x:v>
      </x:c>
      <x:c r="I596" s="2" t="str">
        <x:v>S53-MU09</x:v>
      </x:c>
      <x:c r="J596" s="2" t="str">
        <x:v>Synthetic Track Surveillance Drone artifacts</x:v>
      </x:c>
      <x:c r="K596" s="2" t="str">
        <x:v>Gemini 2.5 Flash</x:v>
      </x:c>
      <x:c r="L596" s="2" t="str">
        <x:v>NA</x:v>
      </x:c>
      <x:c r="M596" s="2" t="str">
        <x:v>Traceability</x:v>
      </x:c>
      <x:c r="N596" s="6" t="str">
        <x:v>1</x:v>
      </x:c>
      <x:c r="O596" s="2" t="n">
        <x:v>1</x:v>
      </x:c>
      <x:c r="P596" s="2" t="str">
        <x:v>score (0, 0.5, or 1)</x:v>
      </x:c>
      <x:c r="Q596" s="6" t="str">
        <x:v>NA</x:v>
      </x:c>
      <x:c r="R596" s="2"/>
      <x:c r="S596" s="2" t="str">
        <x:v>NR</x:v>
      </x:c>
      <x:c r="T596" s="2" t="str">
        <x:v>NA</x:v>
      </x:c>
      <x:c r="U596" s="2" t="str">
        <x:v>Not tested</x:v>
      </x:c>
      <x:c r="V596" s="2" t="str">
        <x:v>NR</x:v>
      </x:c>
      <x:c r="W596" s="2" t="str">
        <x:v>NR</x:v>
      </x:c>
      <x:c r="X596" s="2" t="str">
        <x:v>NR</x:v>
      </x:c>
      <x:c r="Y596" s="2" t="str">
        <x:v>See narrative error analysis</x:v>
      </x:c>
      <x:c r="Z596" s="2" t="str">
        <x:v>No</x:v>
      </x:c>
      <x:c r="AA596" s="6" t="str">
        <x:v>p. 5; Table II</x:v>
      </x:c>
      <x:c r="AB596" s="6" t="str">
        <x:v>Table II reports Gemini Traceability=1 for task 3.</x:v>
      </x:c>
      <x:c r="AC596" s="6" t="str">
        <x:v>Direct transcription of the task-level score from Table II.</x:v>
      </x:c>
      <x:c r="AD596" s="2" t="str">
        <x:v>Accepted</x:v>
      </x:c>
      <x:c r="AE596" s="6" t="str">
        <x:v>NR</x:v>
      </x:c>
    </x:row>
    <x:row r="597" ht="76" customHeight="1">
      <x:c r="A597" s="2" t="str">
        <x:v>S53-RESULT-R050</x:v>
      </x:c>
      <x:c r="B597" s="2" t="str">
        <x:v>S53</x:v>
      </x:c>
      <x:c r="C597" s="2" t="str">
        <x:v>merged_1229</x:v>
      </x:c>
      <x:c r="D597" s="2" t="str">
        <x:v>Reviewer_A</x:v>
      </x:c>
      <x:c r="E597" s="2" t="str">
        <x:v>Reviewer_A</x:v>
      </x:c>
      <x:c r="F597" s="2" t="str">
        <x:v>S53-R050</x:v>
      </x:c>
      <x:c r="G597" s="2" t="str">
        <x:v>S53-EV04</x:v>
      </x:c>
      <x:c r="H597" s="2" t="str">
        <x:v>S53-T04</x:v>
      </x:c>
      <x:c r="I597" s="2" t="str">
        <x:v>S53-MU12</x:v>
      </x:c>
      <x:c r="J597" s="2" t="str">
        <x:v>Synthetic Track Surveillance Drone artifacts</x:v>
      </x:c>
      <x:c r="K597" s="2" t="str">
        <x:v>Gemini 2.5 Flash</x:v>
      </x:c>
      <x:c r="L597" s="2" t="str">
        <x:v>NA</x:v>
      </x:c>
      <x:c r="M597" s="2" t="str">
        <x:v>Traceability</x:v>
      </x:c>
      <x:c r="N597" s="6" t="str">
        <x:v>1</x:v>
      </x:c>
      <x:c r="O597" s="2" t="n">
        <x:v>1</x:v>
      </x:c>
      <x:c r="P597" s="2" t="str">
        <x:v>score (0, 0.5, or 1)</x:v>
      </x:c>
      <x:c r="Q597" s="6" t="str">
        <x:v>NA</x:v>
      </x:c>
      <x:c r="R597" s="2"/>
      <x:c r="S597" s="2" t="str">
        <x:v>NR</x:v>
      </x:c>
      <x:c r="T597" s="2" t="str">
        <x:v>NA</x:v>
      </x:c>
      <x:c r="U597" s="2" t="str">
        <x:v>Not tested</x:v>
      </x:c>
      <x:c r="V597" s="2" t="str">
        <x:v>NR</x:v>
      </x:c>
      <x:c r="W597" s="2" t="str">
        <x:v>NR</x:v>
      </x:c>
      <x:c r="X597" s="2" t="str">
        <x:v>NR</x:v>
      </x:c>
      <x:c r="Y597" s="2" t="str">
        <x:v>See narrative error analysis</x:v>
      </x:c>
      <x:c r="Z597" s="2" t="str">
        <x:v>No</x:v>
      </x:c>
      <x:c r="AA597" s="6" t="str">
        <x:v>p. 5; Table II</x:v>
      </x:c>
      <x:c r="AB597" s="6" t="str">
        <x:v>Table II reports Gemini Traceability=1 for task 4.</x:v>
      </x:c>
      <x:c r="AC597" s="6" t="str">
        <x:v>Direct transcription of the task-level score from Table II.</x:v>
      </x:c>
      <x:c r="AD597" s="2" t="str">
        <x:v>Accepted</x:v>
      </x:c>
      <x:c r="AE597" s="6" t="str">
        <x:v>NR</x:v>
      </x:c>
    </x:row>
    <x:row r="598" ht="76" customHeight="1">
      <x:c r="A598" s="2" t="str">
        <x:v>S53-RESULT-R051</x:v>
      </x:c>
      <x:c r="B598" s="2" t="str">
        <x:v>S53</x:v>
      </x:c>
      <x:c r="C598" s="2" t="str">
        <x:v>merged_1229</x:v>
      </x:c>
      <x:c r="D598" s="2" t="str">
        <x:v>Reviewer_A</x:v>
      </x:c>
      <x:c r="E598" s="2" t="str">
        <x:v>Reviewer_A</x:v>
      </x:c>
      <x:c r="F598" s="2" t="str">
        <x:v>S53-R051</x:v>
      </x:c>
      <x:c r="G598" s="2" t="str">
        <x:v>S53-EV01|S53-EV02|S53-EV03|S53-EV04</x:v>
      </x:c>
      <x:c r="H598" s="2" t="str">
        <x:v>S53-T01|S53-T02|S53-T03|S53-T04</x:v>
      </x:c>
      <x:c r="I598" s="2" t="str">
        <x:v>S53-MU03</x:v>
      </x:c>
      <x:c r="J598" s="2" t="str">
        <x:v>Synthetic Track Surveillance Drone artifacts</x:v>
      </x:c>
      <x:c r="K598" s="2" t="str">
        <x:v>Gemini 2.5 Flash</x:v>
      </x:c>
      <x:c r="L598" s="2" t="str">
        <x:v>NA</x:v>
      </x:c>
      <x:c r="M598" s="2" t="str">
        <x:v>Total score</x:v>
      </x:c>
      <x:c r="N598" s="6" t="str">
        <x:v>10</x:v>
      </x:c>
      <x:c r="O598" s="2" t="n">
        <x:v>10</x:v>
      </x:c>
      <x:c r="P598" s="2" t="str">
        <x:v>points across 16 checklist cells</x:v>
      </x:c>
      <x:c r="Q598" s="6" t="str">
        <x:v>NA</x:v>
      </x:c>
      <x:c r="R598" s="2"/>
      <x:c r="S598" s="2" t="str">
        <x:v>NR</x:v>
      </x:c>
      <x:c r="T598" s="2" t="str">
        <x:v>NA</x:v>
      </x:c>
      <x:c r="U598" s="2" t="str">
        <x:v>Not tested</x:v>
      </x:c>
      <x:c r="V598" s="2" t="str">
        <x:v>NR</x:v>
      </x:c>
      <x:c r="W598" s="2" t="str">
        <x:v>NR</x:v>
      </x:c>
      <x:c r="X598" s="2" t="str">
        <x:v>NR</x:v>
      </x:c>
      <x:c r="Y598" s="2" t="str">
        <x:v>NR</x:v>
      </x:c>
      <x:c r="Z598" s="2" t="str">
        <x:v>No</x:v>
      </x:c>
      <x:c r="AA598" s="6" t="str">
        <x:v>p. 5; Table II</x:v>
      </x:c>
      <x:c r="AB598" s="6" t="str">
        <x:v>Total: 10</x:v>
      </x:c>
      <x:c r="AC598" s="6" t="str">
        <x:v>Direct transcription of the model total from Table II.</x:v>
      </x:c>
      <x:c r="AD598" s="2" t="str">
        <x:v>Accepted</x:v>
      </x:c>
      <x:c r="AE598" s="6" t="str">
        <x:v>The total aggregates all four tasks and four dimensions.</x:v>
      </x:c>
    </x:row>
    <x:row r="599" ht="76" customHeight="1">
      <x:c r="A599" s="2" t="str">
        <x:v>G1-RES-R01</x:v>
      </x:c>
      <x:c r="B599" s="2" t="str">
        <x:v>G1</x:v>
      </x:c>
      <x:c r="C599" s="2" t="str">
        <x:v>v1</x:v>
      </x:c>
      <x:c r="D599" s="2" t="str">
        <x:v>Reviewer_A</x:v>
      </x:c>
      <x:c r="E599" s="2" t="str">
        <x:v>Reviewer_A</x:v>
      </x:c>
      <x:c r="F599" s="2" t="str">
        <x:v>G1-RS01</x:v>
      </x:c>
      <x:c r="G599" s="2" t="str">
        <x:v>G1-EV01</x:v>
      </x:c>
      <x:c r="H599" s="2" t="str">
        <x:v>G1-T01</x:v>
      </x:c>
      <x:c r="I599" s="2" t="str">
        <x:v>G1-MU01</x:v>
      </x:c>
      <x:c r="J599" s="2" t="str">
        <x:v>NR</x:v>
      </x:c>
      <x:c r="K599" s="2" t="str">
        <x:v>ChatGPT 3.5 for scenario generation and ChatGPT 4 for verification</x:v>
      </x:c>
      <x:c r="L599" s="2" t="str">
        <x:v>No</x:v>
      </x:c>
      <x:c r="M599" s="2" t="str">
        <x:v>NR</x:v>
      </x:c>
      <x:c r="N599" s="6" t="str">
        <x:v>we can make use of chat gpd to perform requirement traceability matrix of our software quality test cases and automated test case ; it can also tell that this particular requirement is not really covered in the test scenario that we have got ; but it's also going to help us to identify some of the missing test cases and scenarios that you can really potentially write for that that is what this whole idea of the speaker video is</x:v>
      </x:c>
      <x:c r="O599" s="2" t="str">
        <x:v>NR</x:v>
      </x:c>
      <x:c r="P599" s="2" t="str">
        <x:v>NR</x:v>
      </x:c>
      <x:c r="Q599" s="6" t="str">
        <x:v>NA</x:v>
      </x:c>
      <x:c r="R599" s="2" t="str">
        <x:v>NA</x:v>
      </x:c>
      <x:c r="S599" s="2" t="str">
        <x:v>NR</x:v>
      </x:c>
      <x:c r="T599" s="2" t="str">
        <x:v>Not compared</x:v>
      </x:c>
      <x:c r="U599" s="2" t="str">
        <x:v>Not tested</x:v>
      </x:c>
      <x:c r="V599" s="2" t="str">
        <x:v>The material presents the matrix and the identification of uncovered requirements as the outcome of the walkthrough, without measuring how complete or correct it is.</x:v>
      </x:c>
      <x:c r="W599" s="2" t="str">
        <x:v>NR</x:v>
      </x:c>
      <x:c r="X599" s="2" t="str">
        <x:v>The material states that building the matrix is very time consuming when done by hand but reports no measurement of the saving.</x:v>
      </x:c>
      <x:c r="Y599" s="2" t="str">
        <x:v>NR</x:v>
      </x:c>
      <x:c r="Z599" s="2" t="str">
        <x:v>NR</x:v>
      </x:c>
      <x:c r="AA599" s="6" t="str">
        <x:v>[00:03] ; [01:18] ; [03:17]</x:v>
      </x:c>
      <x:c r="AB599" s="6" t="str">
        <x:v>it can also tell that this particular requirement is not really covered in the test scenario ; this rtm is a very time consuming process</x:v>
      </x:c>
      <x:c r="AC599" s="6" t="str">
        <x:v>A qualitative outcome statement about what the model produced; no numeric result is reported.</x:v>
      </x:c>
      <x:c r="AD599" s="2" t="str">
        <x:v>Accepted</x:v>
      </x:c>
      <x:c r="AE599" s="6" t="str">
        <x:v>The material reports no measured value; the outcome is described in capability terms.</x:v>
      </x:c>
    </x:row>
    <x:row r="600" ht="76" customHeight="1">
      <x:c r="A600" s="2" t="str">
        <x:v>G2-RES-R01</x:v>
      </x:c>
      <x:c r="B600" s="2" t="str">
        <x:v>G2</x:v>
      </x:c>
      <x:c r="C600" s="2" t="str">
        <x:v>v1</x:v>
      </x:c>
      <x:c r="D600" s="2" t="str">
        <x:v>Reviewer_A</x:v>
      </x:c>
      <x:c r="E600" s="2" t="str">
        <x:v>Reviewer_A</x:v>
      </x:c>
      <x:c r="F600" s="2" t="str">
        <x:v>G2-RS01</x:v>
      </x:c>
      <x:c r="G600" s="2" t="str">
        <x:v>G2-EV01</x:v>
      </x:c>
      <x:c r="H600" s="2" t="str">
        <x:v>G2-T01</x:v>
      </x:c>
      <x:c r="I600" s="2" t="str">
        <x:v>G2-MU01</x:v>
      </x:c>
      <x:c r="J600" s="2" t="str">
        <x:v>demo study (vendor-generated synthetic study) ; Pinnacle 21 reports referenced for integration</x:v>
      </x:c>
      <x:c r="K600" s="2" t="str">
        <x:v>static code analysis with retrieval augmented model answering</x:v>
      </x:c>
      <x:c r="L600" s="2" t="str">
        <x:v>No</x:v>
      </x:c>
      <x:c r="M600" s="2" t="str">
        <x:v>time saved to figure out how something was programmed in an unfamiliar study (partner estimate)</x:v>
      </x:c>
      <x:c r="N600" s="6" t="str">
        <x:v>our current best estimates coming from the people that we work with so we're not making up these numbers is that 95% of time is saved to figure out how something was programmed in a study that they're unfamiliar with</x:v>
      </x:c>
      <x:c r="O600" s="2" t="str">
        <x:v>95</x:v>
      </x:c>
      <x:c r="P600" s="2" t="str">
        <x:v>%</x:v>
      </x:c>
      <x:c r="Q600" s="6" t="str">
        <x:v>NA</x:v>
      </x:c>
      <x:c r="R600" s="2" t="str">
        <x:v>NA</x:v>
      </x:c>
      <x:c r="S600" s="2" t="str">
        <x:v>NR</x:v>
      </x:c>
      <x:c r="T600" s="2" t="str">
        <x:v>Better</x:v>
      </x:c>
      <x:c r="U600" s="2" t="str">
        <x:v>Not tested</x:v>
      </x:c>
      <x:c r="V600" s="2" t="str">
        <x:v>The presenter frames the figure as the main practical benefit and attributes it to the organisations he works with rather than to a measurement of his own.</x:v>
      </x:c>
      <x:c r="W600" s="2" t="str">
        <x:v>NR</x:v>
      </x:c>
      <x:c r="X600" s="2" t="str">
        <x:v>95% of time saved to figure out how something was programmed in an unfamiliar study, reported as a partner estimate.</x:v>
      </x:c>
      <x:c r="Y600" s="2" t="str">
        <x:v>NR</x:v>
      </x:c>
      <x:c r="Z600" s="2" t="str">
        <x:v>NR</x:v>
      </x:c>
      <x:c r="AA600" s="6" t="str">
        <x:v>[00:21:09] ; [00:12:24]</x:v>
      </x:c>
      <x:c r="AB600" s="6" t="str">
        <x:v>our current best estimates coming from the people that we work with so we're not making up these numbers is that 95% of time is saved to figure out how something was programmed in a study that they're unfamiliar with</x:v>
      </x:c>
      <x:c r="AC600" s="6" t="str">
        <x:v>The headline effect figure is a partner estimate quoted by the presenter, not a measured outcome.</x:v>
      </x:c>
      <x:c r="AD600" s="2" t="str">
        <x:v>Accepted</x:v>
      </x:c>
      <x:c r="AE600" s="6" t="str">
        <x:v>Reported as a partner estimate; no measurement procedure or sample is described.</x:v>
      </x:c>
    </x:row>
    <x:row r="601" ht="76" customHeight="1">
      <x:c r="A601" s="2" t="str">
        <x:v>G2-RES-R02</x:v>
      </x:c>
      <x:c r="B601" s="2" t="str">
        <x:v>G2</x:v>
      </x:c>
      <x:c r="C601" s="2" t="str">
        <x:v>v1</x:v>
      </x:c>
      <x:c r="D601" s="2" t="str">
        <x:v>Reviewer_A</x:v>
      </x:c>
      <x:c r="E601" s="2" t="str">
        <x:v>Reviewer_A</x:v>
      </x:c>
      <x:c r="F601" s="2" t="str">
        <x:v>G2-RS02</x:v>
      </x:c>
      <x:c r="G601" s="2" t="str">
        <x:v>G2-EV01</x:v>
      </x:c>
      <x:c r="H601" s="2" t="str">
        <x:v>G2-T03</x:v>
      </x:c>
      <x:c r="I601" s="2" t="str">
        <x:v>G2-MU02</x:v>
      </x:c>
      <x:c r="J601" s="2" t="str">
        <x:v>demo study (vendor-generated synthetic study) ; Pinnacle 21 reports referenced for integration</x:v>
      </x:c>
      <x:c r="K601" s="2" t="str">
        <x:v>static code analysis with retrieval augmented model answering</x:v>
      </x:c>
      <x:c r="L601" s="2" t="str">
        <x:v>No</x:v>
      </x:c>
      <x:c r="M601" s="2" t="str">
        <x:v>lines of code that have to be inspected to answer a variable-level question</x:v>
      </x:c>
      <x:c r="N601" s="6" t="str">
        <x:v>so we cut it down again from searching across files and maybe showing 900 lines of code down to 25</x:v>
      </x:c>
      <x:c r="O601" s="2" t="str">
        <x:v>25</x:v>
      </x:c>
      <x:c r="P601" s="2" t="str">
        <x:v>lines of code</x:v>
      </x:c>
      <x:c r="Q601" s="6" t="str">
        <x:v>searching across files and maybe showing 900 lines of code</x:v>
      </x:c>
      <x:c r="R601" s="2" t="str">
        <x:v>900</x:v>
      </x:c>
      <x:c r="S601" s="2" t="str">
        <x:v>NR</x:v>
      </x:c>
      <x:c r="T601" s="2" t="str">
        <x:v>Better</x:v>
      </x:c>
      <x:c r="U601" s="2" t="str">
        <x:v>Not tested</x:v>
      </x:c>
      <x:c r="V601" s="2" t="str">
        <x:v>The presenter presents the reduction as the reason the review scope becomes manageable variable by variable.</x:v>
      </x:c>
      <x:c r="W601" s="2" t="str">
        <x:v>NR</x:v>
      </x:c>
      <x:c r="X601" s="2" t="str">
        <x:v>NR</x:v>
      </x:c>
      <x:c r="Y601" s="2" t="str">
        <x:v>NR</x:v>
      </x:c>
      <x:c r="Z601" s="2" t="str">
        <x:v>NR</x:v>
      </x:c>
      <x:c r="AA601" s="6" t="str">
        <x:v>[00:21:09] ; [00:12:24]</x:v>
      </x:c>
      <x:c r="AB601" s="6" t="str">
        <x:v>so we cut it down again from searching across files and maybe showing 900 lines of code down to 25</x:v>
      </x:c>
      <x:c r="AC601" s="6" t="str">
        <x:v>A concrete scope-reduction figure contrasting manual searching with the variable-level trace.</x:v>
      </x:c>
      <x:c r="AD601" s="2" t="str">
        <x:v>Accepted</x:v>
      </x:c>
      <x:c r="AE601" s="6" t="str">
        <x:v>The two figures describe the review scope before and after the trace is used, not a benchmark comparison.</x:v>
      </x:c>
    </x:row>
    <x:row r="602" ht="76" customHeight="1">
      <x:c r="A602" s="2" t="str">
        <x:v>G3-RES-R01</x:v>
      </x:c>
      <x:c r="B602" s="2" t="str">
        <x:v>G3</x:v>
      </x:c>
      <x:c r="C602" s="2" t="str">
        <x:v>v1</x:v>
      </x:c>
      <x:c r="D602" s="2" t="str">
        <x:v>Reviewer_A</x:v>
      </x:c>
      <x:c r="E602" s="2" t="str">
        <x:v>Reviewer_A</x:v>
      </x:c>
      <x:c r="F602" s="2" t="str">
        <x:v>G3-RS01</x:v>
      </x:c>
      <x:c r="G602" s="2" t="str">
        <x:v>G3-EV01</x:v>
      </x:c>
      <x:c r="H602" s="2" t="str">
        <x:v>G3-T01</x:v>
      </x:c>
      <x:c r="I602" s="2" t="str">
        <x:v>NR</x:v>
      </x:c>
      <x:c r="J602" s="2" t="str">
        <x:v>NR</x:v>
      </x:c>
      <x:c r="K602" s="2" t="str">
        <x:v>ReqTrace audio-to-requirement pipeline</x:v>
      </x:c>
      <x:c r="L602" s="2" t="str">
        <x:v>No</x:v>
      </x:c>
      <x:c r="M602" s="2" t="str">
        <x:v>NR</x:v>
      </x:c>
      <x:c r="N602" s="6" t="str">
        <x:v>ReqTrace is an AI-powered traceability system designed to help software teams transform unstructured inputs-like audio notes, meeting transcripts, and documents-into structured requirements, linked code artifacts, and graph-based traceability insights. ; all extracted requirements and their interconnections are visualized dynamically using neo4j and react flow</x:v>
      </x:c>
      <x:c r="O602" s="2" t="str">
        <x:v>NR</x:v>
      </x:c>
      <x:c r="P602" s="2" t="str">
        <x:v>NR</x:v>
      </x:c>
      <x:c r="Q602" s="6" t="str">
        <x:v>NA</x:v>
      </x:c>
      <x:c r="R602" s="2" t="str">
        <x:v>NA</x:v>
      </x:c>
      <x:c r="S602" s="2" t="str">
        <x:v>NR</x:v>
      </x:c>
      <x:c r="T602" s="2" t="str">
        <x:v>Not compared</x:v>
      </x:c>
      <x:c r="U602" s="2" t="str">
        <x:v>Not tested</x:v>
      </x:c>
      <x:c r="V602" s="2" t="str">
        <x:v>The material describes what the demonstration produced but reports no accuracy, scale or performance figure.</x:v>
      </x:c>
      <x:c r="W602" s="2" t="str">
        <x:v>NR</x:v>
      </x:c>
      <x:c r="X602" s="2" t="str">
        <x:v>NR</x:v>
      </x:c>
      <x:c r="Y602" s="2" t="str">
        <x:v>NR</x:v>
      </x:c>
      <x:c r="Z602" s="2" t="str">
        <x:v>NR</x:v>
      </x:c>
      <x:c r="AA602" s="6" t="str">
        <x:v>G3_page_description.png (description text) ; [01:26]</x:v>
      </x:c>
      <x:c r="AB602" s="6" t="str">
        <x:v>ReqTrace is an AI-powered traceability system designed to help software teams transform unstructured inputs-like audio notes, meeting transcripts, and documents-into structured requirements, linked code artifacts, and graph-based traceability insights.</x:v>
      </x:c>
      <x:c r="AC602" s="6" t="str">
        <x:v>A system description and a single demonstration outcome; no value is measured.</x:v>
      </x:c>
      <x:c r="AD602" s="2" t="str">
        <x:v>Accepted</x:v>
      </x:c>
      <x:c r="AE602" s="6" t="str">
        <x:v>The extraction model is unnamed and no metric is reported.</x:v>
      </x:c>
    </x:row>
    <x:row r="603" ht="76" customHeight="1">
      <x:c r="A603" s="2" t="str">
        <x:v>G4-RES-R01</x:v>
      </x:c>
      <x:c r="B603" s="2" t="str">
        <x:v>G4</x:v>
      </x:c>
      <x:c r="C603" s="2" t="str">
        <x:v>v1</x:v>
      </x:c>
      <x:c r="D603" s="2" t="str">
        <x:v>Reviewer_A</x:v>
      </x:c>
      <x:c r="E603" s="2" t="str">
        <x:v>Reviewer_A</x:v>
      </x:c>
      <x:c r="F603" s="2" t="str">
        <x:v>G4-RS01</x:v>
      </x:c>
      <x:c r="G603" s="2" t="str">
        <x:v>NA</x:v>
      </x:c>
      <x:c r="H603" s="2" t="str">
        <x:v>G4-T01</x:v>
      </x:c>
      <x:c r="I603" s="2" t="str">
        <x:v>NR</x:v>
      </x:c>
      <x:c r="J603" s="2" t="str">
        <x:v>NA</x:v>
      </x:c>
      <x:c r="K603" s="2" t="str">
        <x:v>Reqs2x program slicing with a large language model</x:v>
      </x:c>
      <x:c r="L603" s="2" t="str">
        <x:v>No</x:v>
      </x:c>
      <x:c r="M603" s="2" t="str">
        <x:v>NA</x:v>
      </x:c>
      <x:c r="N603" s="6" t="str">
        <x:v>Reqs2x uses program slicing and large language models to map requirements to the functions that implement them, generate aligned test cases, and present both for engineer review. Requirements traceability is built in from the start, not added later.</x:v>
      </x:c>
      <x:c r="O603" s="2" t="str">
        <x:v>NR</x:v>
      </x:c>
      <x:c r="P603" s="2" t="str">
        <x:v>NR</x:v>
      </x:c>
      <x:c r="Q603" s="6" t="str">
        <x:v>NA</x:v>
      </x:c>
      <x:c r="R603" s="2" t="str">
        <x:v>NA</x:v>
      </x:c>
      <x:c r="S603" s="2" t="str">
        <x:v>NR</x:v>
      </x:c>
      <x:c r="T603" s="2" t="str">
        <x:v>Not compared</x:v>
      </x:c>
      <x:c r="U603" s="2" t="str">
        <x:v>Not tested</x:v>
      </x:c>
      <x:c r="V603" s="2" t="str">
        <x:v>The page positions the capability as effort reduction for engineers but publishes no case, benchmark or accuracy figure.</x:v>
      </x:c>
      <x:c r="W603" s="2" t="str">
        <x:v>NA</x:v>
      </x:c>
      <x:c r="X603" s="2" t="str">
        <x:v>NA</x:v>
      </x:c>
      <x:c r="Y603" s="2" t="str">
        <x:v>NA</x:v>
      </x:c>
      <x:c r="Z603" s="2" t="str">
        <x:v>NA</x:v>
      </x:c>
      <x:c r="AA603" s="6" t="str">
        <x:v>p.2 §Reqs2x opening paragraphs</x:v>
      </x:c>
      <x:c r="AB603" s="6" t="str">
        <x:v>Reqs2x uses program slicing and large language models to map requirements to the functions that implement them, generate aligned test cases, and present both for engineer review. Requirements traceability is built in from the start, not added later.</x:v>
      </x:c>
      <x:c r="AC603" s="6" t="str">
        <x:v>A capability claim from vendor documentation; nothing is measured.</x:v>
      </x:c>
      <x:c r="AD603" s="2" t="str">
        <x:v>Accepted</x:v>
      </x:c>
      <x:c r="AE603" s="6" t="str">
        <x:v>The material reports no data, case or measurement, which is why the evaluation fields are NA rather than NR.</x:v>
      </x:c>
    </x:row>
    <x:row r="604" ht="76" customHeight="1">
      <x:c r="A604" s="2" t="str">
        <x:v>G5-RES-R01</x:v>
      </x:c>
      <x:c r="B604" s="2" t="str">
        <x:v>G5</x:v>
      </x:c>
      <x:c r="C604" s="2" t="str">
        <x:v>v1</x:v>
      </x:c>
      <x:c r="D604" s="2" t="str">
        <x:v>Reviewer_A</x:v>
      </x:c>
      <x:c r="E604" s="2" t="str">
        <x:v>Reviewer_A</x:v>
      </x:c>
      <x:c r="F604" s="2" t="str">
        <x:v>G5-RS01</x:v>
      </x:c>
      <x:c r="G604" s="2" t="str">
        <x:v>NA</x:v>
      </x:c>
      <x:c r="H604" s="2" t="str">
        <x:v>G5-T01</x:v>
      </x:c>
      <x:c r="I604" s="2" t="str">
        <x:v>NR</x:v>
      </x:c>
      <x:c r="J604" s="2" t="str">
        <x:v>NR</x:v>
      </x:c>
      <x:c r="K604" s="2" t="str">
        <x:v>large language models with static analysis and tool driving</x:v>
      </x:c>
      <x:c r="L604" s="2" t="str">
        <x:v>No</x:v>
      </x:c>
      <x:c r="M604" s="2" t="str">
        <x:v>NR</x:v>
      </x:c>
      <x:c r="N604" s="6" t="str">
        <x:v>i believe in 2026 we can write good software better with llms than with with humans ; but if we emphasize engineering versus coding and asking questions and what and looking at what results we'd expect, we can pull that vnv loop into the context ; using llms to access and read your requirements</x:v>
      </x:c>
      <x:c r="O604" s="2" t="str">
        <x:v>NR</x:v>
      </x:c>
      <x:c r="P604" s="2" t="str">
        <x:v>NR</x:v>
      </x:c>
      <x:c r="Q604" s="6" t="str">
        <x:v>NA</x:v>
      </x:c>
      <x:c r="R604" s="2" t="str">
        <x:v>NA</x:v>
      </x:c>
      <x:c r="S604" s="2" t="str">
        <x:v>NR</x:v>
      </x:c>
      <x:c r="T604" s="2" t="str">
        <x:v>Not compared</x:v>
      </x:c>
      <x:c r="U604" s="2" t="str">
        <x:v>Not tested</x:v>
      </x:c>
      <x:c r="V604" s="2" t="str">
        <x:v>The talk argues for a methodology and a human verification role rather than reporting an observed effect.</x:v>
      </x:c>
      <x:c r="W604" s="2" t="str">
        <x:v>NR</x:v>
      </x:c>
      <x:c r="X604" s="2" t="str">
        <x:v>NR</x:v>
      </x:c>
      <x:c r="Y604" s="2" t="str">
        <x:v>NR</x:v>
      </x:c>
      <x:c r="Z604" s="2" t="str">
        <x:v>NR</x:v>
      </x:c>
      <x:c r="AA604" s="6" t="str">
        <x:v>[17:17] ; [04:07]</x:v>
      </x:c>
      <x:c r="AB604" s="6" t="str">
        <x:v>i believe in 2026 we can write good software better with llms than with with humans ; using llms to access and read your requirements</x:v>
      </x:c>
      <x:c r="AC604" s="6" t="str">
        <x:v>A practitioner opinion about the direction of practice; no measured result accompanies it.</x:v>
      </x:c>
      <x:c r="AD604" s="2" t="str">
        <x:v>Accepted</x:v>
      </x:c>
      <x:c r="AE604" s="6" t="str">
        <x:v>The material reports no case study, dataset or measurement.</x:v>
      </x:c>
    </x:row>
    <x:row r="605" ht="76" customHeight="1">
      <x:c r="A605" s="2" t="str">
        <x:v>G6-RES-R01</x:v>
      </x:c>
      <x:c r="B605" s="2" t="str">
        <x:v>G6</x:v>
      </x:c>
      <x:c r="C605" s="2" t="str">
        <x:v>v1</x:v>
      </x:c>
      <x:c r="D605" s="2" t="str">
        <x:v>Reviewer_A</x:v>
      </x:c>
      <x:c r="E605" s="2" t="str">
        <x:v>Reviewer_A</x:v>
      </x:c>
      <x:c r="F605" s="2" t="str">
        <x:v>G6-RS01</x:v>
      </x:c>
      <x:c r="G605" s="2" t="str">
        <x:v>NA</x:v>
      </x:c>
      <x:c r="H605" s="2" t="str">
        <x:v>G6-T01</x:v>
      </x:c>
      <x:c r="I605" s="2" t="str">
        <x:v>NR</x:v>
      </x:c>
      <x:c r="J605" s="2" t="str">
        <x:v>NR</x:v>
      </x:c>
      <x:c r="K605" s="2" t="str">
        <x:v>large language model constrained by the MC/DC truth table</x:v>
      </x:c>
      <x:c r="L605" s="2" t="str">
        <x:v>No</x:v>
      </x:c>
      <x:c r="M605" s="2" t="str">
        <x:v>NR</x:v>
      </x:c>
      <x:c r="N605" s="6" t="str">
        <x:v>they will generate a a test case file in the case of ldra. it'll it'll output a a pretty close to good you know, an 80% solution. tcf and it with with just a little bit of modification ; it did not under it it still messed it up. gave it a super easy prompt ... right in the beginning, it it gives me a keyword as a variable name</x:v>
      </x:c>
      <x:c r="O605" s="2" t="str">
        <x:v>80</x:v>
      </x:c>
      <x:c r="P605" s="2" t="str">
        <x:v>% of a usable test case file (spoken estimate)</x:v>
      </x:c>
      <x:c r="Q605" s="6" t="str">
        <x:v>NA</x:v>
      </x:c>
      <x:c r="R605" s="2" t="str">
        <x:v>NA</x:v>
      </x:c>
      <x:c r="S605" s="2" t="str">
        <x:v>NR</x:v>
      </x:c>
      <x:c r="T605" s="2" t="str">
        <x:v>Better</x:v>
      </x:c>
      <x:c r="U605" s="2" t="str">
        <x:v>Not tested</x:v>
      </x:c>
      <x:c r="V605" s="2" t="str">
        <x:v>The speaker treats the generated file as roughly four fifths usable and describes the remaining effort as small modifications plus review.</x:v>
      </x:c>
      <x:c r="W605" s="2" t="str">
        <x:v>NR</x:v>
      </x:c>
      <x:c r="X605" s="2" t="str">
        <x:v>NR</x:v>
      </x:c>
      <x:c r="Y605" s="2" t="str">
        <x:v>On an easy prompt the model used a keyword as a variable name, so the generated test case file still had to be corrected.</x:v>
      </x:c>
      <x:c r="Z605" s="2" t="str">
        <x:v>NR</x:v>
      </x:c>
      <x:c r="AA605" s="6" t="str">
        <x:v>[10:13] ; [10:31] ; [14:32] ; [14:43]</x:v>
      </x:c>
      <x:c r="AB605" s="6" t="str">
        <x:v>they will generate a a test case file in the case of ldra. it'll it'll output a a pretty close to good you know, an 80% solution. tcf ; it did not under it it still messed it up ... it gives me a keyword as a variable name</x:v>
      </x:c>
      <x:c r="AC605" s="6" t="str">
        <x:v>The 80% figure is a spoken usability estimate for the generated file, not a measured accuracy value.</x:v>
      </x:c>
      <x:c r="AD605" s="2" t="str">
        <x:v>Accepted</x:v>
      </x:c>
      <x:c r="AE605" s="6" t="str">
        <x:v>The percentage is an estimate of how usable the generated test case file is and is recorded as such.</x:v>
      </x:c>
    </x:row>
    <x:row r="606" ht="76" customHeight="1">
      <x:c r="A606" s="2" t="str">
        <x:v>G7-RES-R01</x:v>
      </x:c>
      <x:c r="B606" s="2" t="str">
        <x:v>G7</x:v>
      </x:c>
      <x:c r="C606" s="2" t="str">
        <x:v>v1</x:v>
      </x:c>
      <x:c r="D606" s="2" t="str">
        <x:v>Reviewer_A</x:v>
      </x:c>
      <x:c r="E606" s="2" t="str">
        <x:v>Reviewer_A</x:v>
      </x:c>
      <x:c r="F606" s="2" t="str">
        <x:v>G7-RS01</x:v>
      </x:c>
      <x:c r="G606" s="2" t="str">
        <x:v>G7-EV01</x:v>
      </x:c>
      <x:c r="H606" s="2" t="str">
        <x:v>G7-T04</x:v>
      </x:c>
      <x:c r="I606" s="2" t="str">
        <x:v>NR</x:v>
      </x:c>
      <x:c r="J606" s="2" t="str">
        <x:v>Eclipse S-CORE documentation ; the workshop parking-assistant example built from scratch</x:v>
      </x:c>
      <x:c r="K606" s="2" t="str">
        <x:v>Pharaoh agent over the Sphinx-Needs traceability graph</x:v>
      </x:c>
      <x:c r="L606" s="2" t="str">
        <x:v>No</x:v>
      </x:c>
      <x:c r="M606" s="2" t="str">
        <x:v>tokens consumed per framework run</x:v>
      </x:c>
      <x:c r="N606" s="6" t="str">
        <x:v>pharaoh he has used 11,000 tokens in his tests in this particular one and all the others has taken more up to nearly 70,000, so six times more. ; um with much um worse um results at the end.</x:v>
      </x:c>
      <x:c r="O606" s="2" t="str">
        <x:v>11000</x:v>
      </x:c>
      <x:c r="P606" s="2" t="str">
        <x:v>tokens</x:v>
      </x:c>
      <x:c r="Q606" s="6" t="str">
        <x:v>all the others has taken more up to nearly 70,000, so six times more</x:v>
      </x:c>
      <x:c r="R606" s="2" t="str">
        <x:v>70000</x:v>
      </x:c>
      <x:c r="S606" s="2" t="str">
        <x:v>NR</x:v>
      </x:c>
      <x:c r="T606" s="2" t="str">
        <x:v>Better</x:v>
      </x:c>
      <x:c r="U606" s="2" t="str">
        <x:v>Not tested</x:v>
      </x:c>
      <x:c r="V606" s="2" t="str">
        <x:v>The speaker uses the token difference to argue that the controlled agent framework consumes far less context than the alternatives while producing better results.</x:v>
      </x:c>
      <x:c r="W606" s="2" t="str">
        <x:v>Lower token consumption for the reported framework; no monetary cost is reported.</x:v>
      </x:c>
      <x:c r="X606" s="2" t="str">
        <x:v>NR</x:v>
      </x:c>
      <x:c r="Y606" s="2" t="str">
        <x:v>NR</x:v>
      </x:c>
      <x:c r="Z606" s="2" t="str">
        <x:v>NR</x:v>
      </x:c>
      <x:c r="AA606" s="6" t="str">
        <x:v>[20:32] ; [20:42]</x:v>
      </x:c>
      <x:c r="AB606" s="6" t="str">
        <x:v>pharaoh he has used 11,000 tokens in his tests in this particular one and all the others has taken more up to nearly 70,000 ; um with much um worse um results at the end.</x:v>
      </x:c>
      <x:c r="AC606" s="6" t="str">
        <x:v>A self-run framework comparison on one scenario; the difference is reported as roughly sixfold.</x:v>
      </x:c>
      <x:c r="AD606" s="2" t="str">
        <x:v>Accepted</x:v>
      </x:c>
      <x:c r="AE606" s="6" t="str">
        <x:v>Reported by one practitioner across frameworks on the same scenario; the baseline figure is stated as nearly 70,000 tokens.</x:v>
      </x:c>
    </x:row>
    <x:row r="607" ht="76" customHeight="1">
      <x:c r="A607" s="2" t="str">
        <x:v>G8-RES-R01</x:v>
      </x:c>
      <x:c r="B607" s="2" t="str">
        <x:v>G8</x:v>
      </x:c>
      <x:c r="C607" s="2" t="str">
        <x:v>v1</x:v>
      </x:c>
      <x:c r="D607" s="2" t="str">
        <x:v>Reviewer_A</x:v>
      </x:c>
      <x:c r="E607" s="2" t="str">
        <x:v>Reviewer_A</x:v>
      </x:c>
      <x:c r="F607" s="2" t="str">
        <x:v>G8-RS01</x:v>
      </x:c>
      <x:c r="G607" s="2" t="str">
        <x:v>G8-EV01</x:v>
      </x:c>
      <x:c r="H607" s="2" t="str">
        <x:v>G8-T01</x:v>
      </x:c>
      <x:c r="I607" s="2" t="str">
        <x:v>G8-MU01</x:v>
      </x:c>
      <x:c r="J607" s="2" t="str">
        <x:v>NR</x:v>
      </x:c>
      <x:c r="K607" s="2" t="str">
        <x:v>Claude API driven requirement-to-code and requirement-to-test agent</x:v>
      </x:c>
      <x:c r="L607" s="2" t="str">
        <x:v>No</x:v>
      </x:c>
      <x:c r="M607" s="2" t="str">
        <x:v>NR</x:v>
      </x:c>
      <x:c r="N607" s="6" t="str">
        <x:v>because right now 20 35 requirements takes 25 minutes ; since it couldn't locate the b build verification script, it made it blank</x:v>
      </x:c>
      <x:c r="O607" s="2" t="str">
        <x:v>NR</x:v>
      </x:c>
      <x:c r="P607" s="2" t="str">
        <x:v>NR</x:v>
      </x:c>
      <x:c r="Q607" s="6" t="str">
        <x:v>NA</x:v>
      </x:c>
      <x:c r="R607" s="2" t="str">
        <x:v>NA</x:v>
      </x:c>
      <x:c r="S607" s="2" t="str">
        <x:v>NR</x:v>
      </x:c>
      <x:c r="T607" s="2" t="str">
        <x:v>Not compared</x:v>
      </x:c>
      <x:c r="U607" s="2" t="str">
        <x:v>Not tested</x:v>
      </x:c>
      <x:c r="V607" s="2" t="str">
        <x:v>The runtime is presented as the problem to be solved in the next phase rather than as a satisfactory result.</x:v>
      </x:c>
      <x:c r="W607" s="2" t="str">
        <x:v>NR</x:v>
      </x:c>
      <x:c r="X607" s="2" t="str">
        <x:v>A run over 20 to 35 requirements takes about 25 minutes.</x:v>
      </x:c>
      <x:c r="Y607" s="2" t="str">
        <x:v>When the build verification script could not be located the corresponding cell was left blank.</x:v>
      </x:c>
      <x:c r="Z607" s="2" t="str">
        <x:v>Yes (the reported runtime is a shortcoming the next phase is meant to remove)</x:v>
      </x:c>
      <x:c r="AA607" s="6" t="str">
        <x:v>[05:13] ; [04:08]</x:v>
      </x:c>
      <x:c r="AB607" s="6" t="str">
        <x:v>because right now 20 35 requirements takes 25 minutes ; since it couldn't locate the b build verification script, it made it blank</x:v>
      </x:c>
      <x:c r="AC607" s="6" t="str">
        <x:v>A runtime observation over real artefacts and a failure-handling observation; no accuracy value is reported.</x:v>
      </x:c>
      <x:c r="AD607" s="2" t="str">
        <x:v>Accepted</x:v>
      </x:c>
      <x:c r="AE607" s="6" t="str">
        <x:v>The only quantitative observation in the material is the runtime; retrieval-augmented generation is presented as a phase two plan.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19" hidden="0" customWidth="1"/>
    <x:col min="8" max="8" width="20" hidden="0" customWidth="1"/>
    <x:col min="9" max="9" width="52" hidden="0" customWidth="1"/>
    <x:col min="10" max="10" width="20" hidden="0" customWidth="1"/>
    <x:col min="11" max="11" width="52" hidden="0" customWidth="1"/>
    <x:col min="12" max="12" width="20" hidden="0" customWidth="1"/>
    <x:col min="13" max="13" width="19" hidden="0" customWidth="1"/>
    <x:col min="14" max="14" width="20" hidden="0" customWidth="1"/>
    <x:col min="15" max="15" width="20" hidden="0" customWidth="1"/>
    <x:col min="16" max="16" width="20" hidden="0" customWidth="1"/>
    <x:col min="17" max="17" width="52" hidden="0" customWidth="1"/>
    <x:col min="18" max="18" width="52" hidden="0" customWidth="1"/>
    <x:col min="19" max="19" width="52" hidden="0" customWidth="1"/>
    <x:col min="20" max="20" width="52" hidden="0" customWidth="1"/>
    <x:col min="21" max="21" width="52" hidden="0" customWidth="1"/>
    <x:col min="22" max="22" width="20" hidden="0" customWidth="1"/>
    <x:col min="23" max="23" width="52" hidden="0" customWidth="1"/>
  </x:cols>
  <x:sheetData>
    <x:row r="1" ht="38" customHeight="1">
      <x:c r="A1" s="5" t="str">
        <x:v>record_id</x:v>
      </x:c>
      <x:c r="B1" s="5" t="str">
        <x:v>study_id</x:v>
      </x:c>
      <x:c r="C1" s="5" t="str">
        <x:v>version_id</x:v>
      </x:c>
      <x:c r="D1" s="5" t="str">
        <x:v>review_stage</x:v>
      </x:c>
      <x:c r="E1" s="5" t="str">
        <x:v>reviewer_id</x:v>
      </x:c>
      <x:c r="F1" s="5" t="str">
        <x:v>operation_id</x:v>
      </x:c>
      <x:c r="G1" s="5" t="str">
        <x:v>task_id</x:v>
      </x:c>
      <x:c r="H1" s="5" t="str">
        <x:v>role_name_in_paper</x:v>
      </x:c>
      <x:c r="I1" s="5" t="str">
        <x:v>llm_input</x:v>
      </x:c>
      <x:c r="J1" s="5" t="str">
        <x:v>llm_operation</x:v>
      </x:c>
      <x:c r="K1" s="5" t="str">
        <x:v>llm_output</x:v>
      </x:c>
      <x:c r="L1" s="5" t="str">
        <x:v>workflow_stage</x:v>
      </x:c>
      <x:c r="M1" s="5" t="str">
        <x:v>role_open_code</x:v>
      </x:c>
      <x:c r="N1" s="5" t="str">
        <x:v>role_candidate</x:v>
      </x:c>
      <x:c r="O1" s="5" t="str">
        <x:v>new_role_candidate</x:v>
      </x:c>
      <x:c r="P1" s="5" t="str">
        <x:v>role_priority</x:v>
      </x:c>
      <x:c r="Q1" s="5" t="str">
        <x:v>boundary_case</x:v>
      </x:c>
      <x:c r="R1" s="5" t="str">
        <x:v>coding_rationale</x:v>
      </x:c>
      <x:c r="S1" s="5" t="str">
        <x:v>evidence_location</x:v>
      </x:c>
      <x:c r="T1" s="5" t="str">
        <x:v>evidence_verbatim</x:v>
      </x:c>
      <x:c r="U1" s="5" t="str">
        <x:v>reviewer_interpretation</x:v>
      </x:c>
      <x:c r="V1" s="5" t="str">
        <x:v>record_status</x:v>
      </x:c>
      <x:c r="W1" s="5" t="str">
        <x:v>notes</x:v>
      </x:c>
    </x:row>
    <x:row r="2" ht="76" customHeight="1">
      <x:c r="A2" s="2" t="str">
        <x:v>S01-ROLE-R01</x:v>
      </x:c>
      <x:c r="B2" s="2" t="str">
        <x:v>S01</x:v>
      </x:c>
      <x:c r="C2" s="2" t="str">
        <x:v>merged_0002</x:v>
      </x:c>
      <x:c r="D2" s="2" t="str">
        <x:v>Reviewer_A</x:v>
      </x:c>
      <x:c r="E2" s="2" t="str">
        <x:v>Reviewer_A</x:v>
      </x:c>
      <x:c r="F2" s="2" t="str">
        <x:v>S01-O01</x:v>
      </x:c>
      <x:c r="G2" s="2" t="str">
        <x:v>S01-T01</x:v>
      </x:c>
      <x:c r="H2" s="2" t="str">
        <x:v>LLM</x:v>
      </x:c>
      <x:c r="I2" s="6" t="str">
        <x:v>源需求元素的文本和目标代码元素候选的文本</x:v>
      </x:c>
      <x:c r="J2" s="2" t="str">
        <x:v>LLM判断源元素与目标元素是否相关，并输出'yes'或'no'</x:v>
      </x:c>
      <x:c r="K2" s="6" t="str">
        <x:v>二分类决策（相关或不相关）</x:v>
      </x:c>
      <x:c r="L2" s="2" t="str">
        <x:v>3 Traceability inference</x:v>
      </x:c>
      <x:c r="M2" s="2" t="str">
        <x:v>pairwise_link_classification</x:v>
      </x:c>
      <x:c r="N2" s="2" t="str">
        <x:v>R3 Trace Inferencer</x:v>
      </x:c>
      <x:c r="O2" s="2" t="str">
        <x:v>NA</x:v>
      </x:c>
      <x:c r="P2" s="2" t="str">
        <x:v>Primary</x:v>
      </x:c>
      <x:c r="Q2" s="6" t="str">
        <x:v>NA</x:v>
      </x:c>
      <x:c r="R2" s="6" t="str">
        <x:v>Decides whether a trace relation exists for a supplied artifact pair, optionally with confidence or a short rationale. The output materializes a trace decision as a label, score, ranking, link set, path, matrix, source attribution, or relation-focused answer.</x:v>
      </x:c>
      <x:c r="S2" s="6" t="str">
        <x:v>p. 5; Section III-C</x:v>
      </x:c>
      <x:c r="T2" s="6" t="str">
        <x:v>The mapping takes a source element and its respective target element candidates and uses an LLM to classify which of the target element candidates belong to the source element.</x:v>
      </x:c>
      <x:c r="U2" s="6" t="str">
        <x:v>Decides whether a trace relation exists for a supplied artifact pair, optionally with confidence or a short rationale. The output materializes a trace decision as a label, score, ranking, link set, path, matrix, source attribution, or relation-focused answer.</x:v>
      </x:c>
      <x:c r="V2" s="2" t="str">
        <x:v>Accepted</x:v>
      </x:c>
      <x:c r="W2" s="6" t="str">
        <x:v>Included in the main functional-role analysis.</x:v>
      </x:c>
    </x:row>
    <x:row r="3" ht="76" customHeight="1">
      <x:c r="A3" s="2" t="str">
        <x:v>S01-ROLE-R02</x:v>
      </x:c>
      <x:c r="B3" s="2" t="str">
        <x:v>S01</x:v>
      </x:c>
      <x:c r="C3" s="2" t="str">
        <x:v>merged_0002</x:v>
      </x:c>
      <x:c r="D3" s="2" t="str">
        <x:v>Reviewer_A</x:v>
      </x:c>
      <x:c r="E3" s="2" t="str">
        <x:v>Reviewer_A</x:v>
      </x:c>
      <x:c r="F3" s="2" t="str">
        <x:v>S01-O02</x:v>
      </x:c>
      <x:c r="G3" s="2" t="str">
        <x:v>S01-T02</x:v>
      </x:c>
      <x:c r="H3" s="2" t="str">
        <x:v>LLM</x:v>
      </x:c>
      <x:c r="I3" s="6" t="str">
        <x:v>源架构文档句子的文本和目标代码元素候选的文本</x:v>
      </x:c>
      <x:c r="J3" s="2" t="str">
        <x:v>LLM判断源元素与目标元素是否相关，并输出'yes'或'no'</x:v>
      </x:c>
      <x:c r="K3" s="6" t="str">
        <x:v>二分类决策（相关或不相关）</x:v>
      </x:c>
      <x:c r="L3" s="2" t="str">
        <x:v>3 Traceability inference</x:v>
      </x:c>
      <x:c r="M3" s="2" t="str">
        <x:v>pairwise_link_classification</x:v>
      </x:c>
      <x:c r="N3" s="2" t="str">
        <x:v>R3 Trace Inferencer</x:v>
      </x:c>
      <x:c r="O3" s="2" t="str">
        <x:v>NA</x:v>
      </x:c>
      <x:c r="P3" s="2" t="str">
        <x:v>Primary</x:v>
      </x:c>
      <x:c r="Q3" s="6" t="str">
        <x:v>NA</x:v>
      </x:c>
      <x:c r="R3" s="6" t="str">
        <x:v>Decides whether a trace relation exists for a supplied artifact pair, optionally with confidence or a short rationale. The output materializes a trace decision as a label, score, ranking, link set, path, matrix, source attribution, or relation-focused answer.</x:v>
      </x:c>
      <x:c r="S3" s="6" t="str">
        <x:v>p. 5; Section III-C</x:v>
      </x:c>
      <x:c r="T3" s="6" t="str">
        <x:v>The mapping takes a source element and its respective target element candidates and uses an LLM to classify which of the target element candidates belong to the source element.</x:v>
      </x:c>
      <x:c r="U3" s="6" t="str">
        <x:v>Decides whether a trace relation exists for a supplied artifact pair, optionally with confidence or a short rationale. The output materializes a trace decision as a label, score, ranking, link set, path, matrix, source attribution, or relation-focused answer.</x:v>
      </x:c>
      <x:c r="V3" s="2" t="str">
        <x:v>Accepted</x:v>
      </x:c>
      <x:c r="W3" s="6" t="str">
        <x:v>Included in the main functional-role analysis.</x:v>
      </x:c>
    </x:row>
    <x:row r="4" ht="76" customHeight="1">
      <x:c r="A4" s="2" t="str">
        <x:v>S01-ROLE-R03</x:v>
      </x:c>
      <x:c r="B4" s="2" t="str">
        <x:v>S01</x:v>
      </x:c>
      <x:c r="C4" s="2" t="str">
        <x:v>merged_0002</x:v>
      </x:c>
      <x:c r="D4" s="2" t="str">
        <x:v>Reviewer_A</x:v>
      </x:c>
      <x:c r="E4" s="2" t="str">
        <x:v>Reviewer_A</x:v>
      </x:c>
      <x:c r="F4" s="2" t="str">
        <x:v>S01-O03</x:v>
      </x:c>
      <x:c r="G4" s="2" t="str">
        <x:v>S01-T03</x:v>
      </x:c>
      <x:c r="H4" s="2" t="str">
        <x:v>LLM</x:v>
      </x:c>
      <x:c r="I4" s="6" t="str">
        <x:v>源架构文档句子的文本和目标架构模型元素候选的文本</x:v>
      </x:c>
      <x:c r="J4" s="2" t="str">
        <x:v>LLM判断源元素与目标元素是否相关，并输出'yes'或'no'</x:v>
      </x:c>
      <x:c r="K4" s="6" t="str">
        <x:v>二分类决策（相关或不相关）</x:v>
      </x:c>
      <x:c r="L4" s="2" t="str">
        <x:v>3 Traceability inference</x:v>
      </x:c>
      <x:c r="M4" s="2" t="str">
        <x:v>pairwise_link_classification</x:v>
      </x:c>
      <x:c r="N4" s="2" t="str">
        <x:v>R3 Trace Inferencer</x:v>
      </x:c>
      <x:c r="O4" s="2" t="str">
        <x:v>NA</x:v>
      </x:c>
      <x:c r="P4" s="2" t="str">
        <x:v>Primary</x:v>
      </x:c>
      <x:c r="Q4" s="6" t="str">
        <x:v>NA</x:v>
      </x:c>
      <x:c r="R4" s="6" t="str">
        <x:v>Decides whether a trace relation exists for a supplied artifact pair, optionally with confidence or a short rationale. The output materializes a trace decision as a label, score, ranking, link set, path, matrix, source attribution, or relation-focused answer.</x:v>
      </x:c>
      <x:c r="S4" s="6" t="str">
        <x:v>p. 5; Section III-C</x:v>
      </x:c>
      <x:c r="T4" s="6" t="str">
        <x:v>The mapping takes a source element and its respective target element candidates and uses an LLM to classify which of the target element candidates belong to the source element.</x:v>
      </x:c>
      <x:c r="U4" s="6" t="str">
        <x:v>Decides whether a trace relation exists for a supplied artifact pair, optionally with confidence or a short rationale. The output materializes a trace decision as a label, score, ranking, link set, path, matrix, source attribution, or relation-focused answer.</x:v>
      </x:c>
      <x:c r="V4" s="2" t="str">
        <x:v>Accepted</x:v>
      </x:c>
      <x:c r="W4" s="6" t="str">
        <x:v>Included in the main functional-role analysis.</x:v>
      </x:c>
    </x:row>
    <x:row r="5" ht="76" customHeight="1">
      <x:c r="A5" s="2" t="str">
        <x:v>S02-ROLE-R01</x:v>
      </x:c>
      <x:c r="B5" s="2" t="str">
        <x:v>S02</x:v>
      </x:c>
      <x:c r="C5" s="2" t="str">
        <x:v>merged_0007</x:v>
      </x:c>
      <x:c r="D5" s="2" t="str">
        <x:v>Reviewer_A</x:v>
      </x:c>
      <x:c r="E5" s="2" t="str">
        <x:v>Reviewer_A</x:v>
      </x:c>
      <x:c r="F5" s="2" t="str">
        <x:v>S02-O01</x:v>
      </x:c>
      <x:c r="G5" s="2" t="str">
        <x:v>S02-T01</x:v>
      </x:c>
      <x:c r="H5" s="2" t="str">
        <x:v>Extracting Architecture Component Name Generation</x:v>
      </x:c>
      <x:c r="I5" s="6" t="str">
        <x:v>软件架构文档(SAD)文本和/或提取的源代码包名特征</x:v>
      </x:c>
      <x:c r="J5" s="2" t="str">
        <x:v>使用链式思考提示从SAD和/或源代码中提取并生成高层组件名称</x:v>
      </x:c>
      <x:c r="K5" s="6" t="str">
        <x:v>组件名称列表（简单SAM）</x:v>
      </x:c>
      <x:c r="L5" s="2" t="str">
        <x:v>2 Semantic contextualization</x:v>
      </x:c>
      <x:c r="M5" s="2" t="str">
        <x:v>artifact_element_extraction</x:v>
      </x:c>
      <x:c r="N5" s="2" t="str">
        <x:v>R1 Feature Extractor</x:v>
      </x:c>
      <x:c r="O5" s="2" t="str">
        <x:v>NA</x:v>
      </x:c>
      <x:c r="P5" s="2" t="str">
        <x:v>Primary</x:v>
      </x:c>
      <x:c r="Q5" s="6" t="str">
        <x:v>NA</x:v>
      </x:c>
      <x:c r="R5"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S5" s="6" t="str">
        <x:v>p. 6; Section 3</x:v>
      </x:c>
      <x:c r="T5" s="6" t="str">
        <x:v>prompting strategies to extract and generate component names for the intermediate SAM. Using these SAMs, we apply</x:v>
      </x:c>
      <x:c r="U5"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V5" s="2" t="str">
        <x:v>Accepted</x:v>
      </x:c>
      <x:c r="W5" s="6" t="str">
        <x:v>NR Included in the main functional-role analysis.</x:v>
      </x:c>
    </x:row>
    <x:row r="6" ht="76" customHeight="1">
      <x:c r="A6" s="2" t="str">
        <x:v>S02-ROLE-R02</x:v>
      </x:c>
      <x:c r="B6" s="2" t="str">
        <x:v>S02</x:v>
      </x:c>
      <x:c r="C6" s="2" t="str">
        <x:v>merged_0007</x:v>
      </x:c>
      <x:c r="D6" s="2" t="str">
        <x:v>Reviewer_A</x:v>
      </x:c>
      <x:c r="E6" s="2" t="str">
        <x:v>Reviewer_A</x:v>
      </x:c>
      <x:c r="F6" s="2" t="str">
        <x:v>S02-O02</x:v>
      </x:c>
      <x:c r="G6" s="2" t="str">
        <x:v>S02-T02</x:v>
      </x:c>
      <x:c r="H6" s="2" t="str">
        <x:v>ArTEMiS Architecture Entity Recognition</x:v>
      </x:c>
      <x:c r="I6" s="6" t="str">
        <x:v>软件架构文档(SAD)文本及SAM实体名称列表（作为正例）</x:v>
      </x:c>
      <x:c r="J6" s="2" t="str">
        <x:v>使用两步提示策略识别SAD中架构相关实体，提取主名称、替代名和出现位置</x:v>
      </x:c>
      <x:c r="K6" s="6" t="str">
        <x:v>结构化的JSON格式组件信息（名称、替代名、出现位置）</x:v>
      </x:c>
      <x:c r="L6" s="2" t="str">
        <x:v>2 Semantic contextualization</x:v>
      </x:c>
      <x:c r="M6" s="2" t="str">
        <x:v>artifact_element_extraction</x:v>
      </x:c>
      <x:c r="N6" s="2" t="str">
        <x:v>R1 Feature Extractor</x:v>
      </x:c>
      <x:c r="O6" s="2" t="str">
        <x:v>NA</x:v>
      </x:c>
      <x:c r="P6" s="2" t="str">
        <x:v>Primary</x:v>
      </x:c>
      <x:c r="Q6" s="6" t="str">
        <x:v>NA</x:v>
      </x:c>
      <x:c r="R6"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S6" s="6" t="str">
        <x:v>p. 8; Section 4</x:v>
      </x:c>
      <x:c r="T6" s="6" t="str">
        <x:v>It first uses LLMs to detect architecturally relevant entities in SADs through a specialized Named Entity Recognition (NER) approach.</x:v>
      </x:c>
      <x:c r="U6"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V6" s="2" t="str">
        <x:v>Accepted</x:v>
      </x:c>
      <x:c r="W6" s="6" t="str">
        <x:v>NR Included in the main functional-role analysis.</x:v>
      </x:c>
    </x:row>
    <x:row r="7" ht="76" customHeight="1">
      <x:c r="A7" s="2" t="str">
        <x:v>S02-ROLE-R03</x:v>
      </x:c>
      <x:c r="B7" s="2" t="str">
        <x:v>S02</x:v>
      </x:c>
      <x:c r="C7" s="2" t="str">
        <x:v>merged_0007</x:v>
      </x:c>
      <x:c r="D7" s="2" t="str">
        <x:v>Reviewer_A</x:v>
      </x:c>
      <x:c r="E7" s="2" t="str">
        <x:v>Reviewer_A</x:v>
      </x:c>
      <x:c r="F7" s="2" t="str">
        <x:v>S02-O03</x:v>
      </x:c>
      <x:c r="G7" s="2" t="str">
        <x:v>S02-T03</x:v>
      </x:c>
      <x:c r="H7" s="2" t="str">
        <x:v>ArTEMiS Architecture Entity Recognition (within TransArC combination)</x:v>
      </x:c>
      <x:c r="I7" s="6" t="str">
        <x:v>软件架构文档(SAD)文本及ExArch生成的SAM实体名称列表</x:v>
      </x:c>
      <x:c r="J7" s="2" t="str">
        <x:v>使用两步提示策略识别SAD中架构相关实体，为后续SAD-SAM匹配提供信息</x:v>
      </x:c>
      <x:c r="K7" s="6" t="str">
        <x:v>结构化的JSON格式组件信息</x:v>
      </x:c>
      <x:c r="L7" s="2" t="str">
        <x:v>2 Semantic contextualization</x:v>
      </x:c>
      <x:c r="M7" s="2" t="str">
        <x:v>artifact_element_extraction</x:v>
      </x:c>
      <x:c r="N7" s="2" t="str">
        <x:v>R1 Feature Extractor</x:v>
      </x:c>
      <x:c r="O7" s="2" t="str">
        <x:v>NA</x:v>
      </x:c>
      <x:c r="P7" s="2" t="str">
        <x:v>Primary</x:v>
      </x:c>
      <x:c r="Q7" s="6" t="str">
        <x:v>NA</x:v>
      </x:c>
      <x:c r="R7"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S7" s="6" t="str">
        <x:v>p. 9; Section 4 (last paragraph)</x:v>
      </x:c>
      <x:c r="T7" s="6" t="str">
        <x:v>ArTEMiS can be combined with ExArch (using the extracted component names as SAM) and used within TransArC.</x:v>
      </x:c>
      <x:c r="U7"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V7" s="2" t="str">
        <x:v>Accepted</x:v>
      </x:c>
      <x:c r="W7" s="6" t="str">
        <x:v>NR Included in the main functional-role analysis.</x:v>
      </x:c>
    </x:row>
    <x:row r="8" ht="76" customHeight="1">
      <x:c r="A8" s="2" t="str">
        <x:v>S03-ROLE-R01</x:v>
      </x:c>
      <x:c r="B8" s="2" t="str">
        <x:v>S03</x:v>
      </x:c>
      <x:c r="C8" s="2" t="str">
        <x:v>merged_0014</x:v>
      </x:c>
      <x:c r="D8" s="2" t="str">
        <x:v>Reviewer_A</x:v>
      </x:c>
      <x:c r="E8" s="2" t="str">
        <x:v>Reviewer_A</x:v>
      </x:c>
      <x:c r="F8" s="2" t="str">
        <x:v>S03-O01</x:v>
      </x:c>
      <x:c r="G8" s="2" t="str">
        <x:v>S03-T01</x:v>
      </x:c>
      <x:c r="H8" s="2" t="str">
        <x:v>generating domain intents</x:v>
      </x:c>
      <x:c r="I8" s="6" t="str">
        <x:v>包含应用类（包括注释）和领域服务描述的LLM输入</x:v>
      </x:c>
      <x:c r="J8" s="2" t="str">
        <x:v>生成领域意图（domain intents），即用领域词汇描述应用类的功能</x:v>
      </x:c>
      <x:c r="K8" s="6" t="str">
        <x:v>应用类的文本领域意图描述</x:v>
      </x:c>
      <x:c r="L8" s="2" t="str">
        <x:v>2 Semantic contextualization</x:v>
      </x:c>
      <x:c r="M8" s="2" t="str">
        <x:v>semantic_description_generation</x:v>
      </x:c>
      <x:c r="N8" s="2" t="str">
        <x:v>R2 Information Enhancer</x:v>
      </x:c>
      <x:c r="O8" s="2" t="str">
        <x:v>NA</x:v>
      </x:c>
      <x:c r="P8" s="2" t="str">
        <x:v>Primary</x:v>
      </x:c>
      <x:c r="Q8" s="6" t="str">
        <x:v>NA</x:v>
      </x:c>
      <x:c r="R8" s="6" t="str">
        <x:v>Generates a natural-language description that enriches or reframes the meaning of an artifact. The output is derivative or enriched content based on one or more artifacts; it does not itself decide, verify, or persist a trace relation.</x:v>
      </x:c>
      <x:c r="S8" s="6" t="str">
        <x:v>p. 2; Section 3.1 C</x:v>
      </x:c>
      <x:c r="T8" s="6" t="str">
        <x:v>The domain intent is generated by systematically prompting the LLMs using a zero-shot prompting technique with the domain services from the domain model as a context. The prompt contains class body including comments.</x:v>
      </x:c>
      <x:c r="U8" s="6" t="str">
        <x:v>Generates a natural-language description that enriches or reframes the meaning of an artifact. The output is derivative or enriched content based on one or more artifacts; it does not itself decide, verify, or persist a trace relation.</x:v>
      </x:c>
      <x:c r="V8" s="2" t="str">
        <x:v>Accepted</x:v>
      </x:c>
      <x:c r="W8" s="6" t="str">
        <x:v>Included in the main functional-role analysis.</x:v>
      </x:c>
    </x:row>
    <x:row r="9" ht="76" customHeight="1">
      <x:c r="A9" s="2" t="str">
        <x:v>S04-ROLE-R01</x:v>
      </x:c>
      <x:c r="B9" s="2" t="str">
        <x:v>S04</x:v>
      </x:c>
      <x:c r="C9" s="2" t="str">
        <x:v>merged_0075</x:v>
      </x:c>
      <x:c r="D9" s="2" t="str">
        <x:v>Reviewer_A</x:v>
      </x:c>
      <x:c r="E9" s="2" t="str">
        <x:v>Reviewer_A</x:v>
      </x:c>
      <x:c r="F9" s="2" t="str">
        <x:v>S04-O01</x:v>
      </x:c>
      <x:c r="G9" s="2" t="str">
        <x:v>S04-T01</x:v>
      </x:c>
      <x:c r="H9" s="2" t="str">
        <x:v>security-related traceability link generation</x:v>
      </x:c>
      <x:c r="I9" s="6" t="str">
        <x:v>自然语言需求与GRL目标模型中的意向元素（目标、软目标、任务）</x:v>
      </x:c>
      <x:c r="J9" s="2" t="str">
        <x:v>接收需求和安全目标，生成两者之间的安全相关追溯链接，并为每个链接提供理由</x:v>
      </x:c>
      <x:c r="K9" s="6" t="str">
        <x:v>带有理由的安全相关追溯链接列表（如图7所示）</x:v>
      </x:c>
      <x:c r="L9" s="2" t="str">
        <x:v>3 Traceability inference</x:v>
      </x:c>
      <x:c r="M9" s="2" t="str">
        <x:v>link_set_generation_with_rationale</x:v>
      </x:c>
      <x:c r="N9" s="2" t="str">
        <x:v>R3 Trace Inferencer</x:v>
      </x:c>
      <x:c r="O9" s="2" t="str">
        <x:v>NA</x:v>
      </x:c>
      <x:c r="P9" s="2" t="str">
        <x:v>Primary</x:v>
      </x:c>
      <x:c r="Q9" s="6" t="str">
        <x:v>NA</x:v>
      </x:c>
      <x:c r="R9" s="6" t="str">
        <x:v>Generates trace links together with reasons supporting each inferred relation. The output materializes a trace decision as a label, score, ranking, link set, path, matrix, source attribution, or relation-focused answer.</x:v>
      </x:c>
      <x:c r="S9" s="6" t="str">
        <x:v>p. 5; Figure 5</x:v>
      </x:c>
      <x:c r="T9" s="6" t="str">
        <x:v>f"The task consists of linking the security-related requirements within Requirements " f"to the security-related goals from goals. "</x:v>
      </x:c>
      <x:c r="U9" s="6" t="str">
        <x:v>Generates trace links together with reasons supporting each inferred relation. The output materializes a trace decision as a label, score, ranking, link set, path, matrix, source attribution, or relation-focused answer.</x:v>
      </x:c>
      <x:c r="V9" s="2" t="str">
        <x:v>Accepted</x:v>
      </x:c>
      <x:c r="W9" s="6" t="str">
        <x:v>Included in the main functional-role analysis.</x:v>
      </x:c>
    </x:row>
    <x:row r="10" ht="76" customHeight="1">
      <x:c r="A10" s="2" t="str">
        <x:v>S05-ROLE-R01</x:v>
      </x:c>
      <x:c r="B10" s="2" t="str">
        <x:v>S05</x:v>
      </x:c>
      <x:c r="C10" s="2" t="str">
        <x:v>merged_0077</x:v>
      </x:c>
      <x:c r="D10" s="2" t="str">
        <x:v>Reviewer_A</x:v>
      </x:c>
      <x:c r="E10" s="2" t="str">
        <x:v>Reviewer_A</x:v>
      </x:c>
      <x:c r="F10" s="2" t="str">
        <x:v>S05-O01</x:v>
      </x:c>
      <x:c r="G10" s="2" t="str">
        <x:v>S05-T01</x:v>
      </x:c>
      <x:c r="H10" s="2" t="str">
        <x:v>Trace Link Identification</x:v>
      </x:c>
      <x:c r="I10" s="6" t="str">
        <x:v>文档片段文本、所有候选代码构件列表、目录树结构</x:v>
      </x:c>
      <x:c r="J10" s="2" t="str">
        <x:v>分析文档片段，识别与该文档相关的代码构件，建立追溯链接</x:v>
      </x:c>
      <x:c r="K10" s="6" t="str">
        <x:v>预测的追溯链接列表</x:v>
      </x:c>
      <x:c r="L10" s="2" t="str">
        <x:v>3 Traceability inference</x:v>
      </x:c>
      <x:c r="M10" s="2" t="str">
        <x:v>link_set_generation</x:v>
      </x:c>
      <x:c r="N10" s="2" t="str">
        <x:v>R3 Trace Inferencer</x:v>
      </x:c>
      <x:c r="O10" s="2" t="str">
        <x:v>NA</x:v>
      </x:c>
      <x:c r="P10" s="2" t="str">
        <x:v>Primary</x:v>
      </x:c>
      <x:c r="Q10" s="6" t="str">
        <x:v>NA</x:v>
      </x:c>
      <x:c r="R10" s="6" t="str">
        <x:v>Identifies or predicts a set of target artifacts related to a source artifact. The output materializes a trace decision as a label, score, ranking, link set, path, matrix, source attribution, or relation-focused answer.</x:v>
      </x:c>
      <x:c r="S10" s="6" t="str">
        <x:v>p. 2; Section 1</x:v>
      </x:c>
      <x:c r="T10" s="6" t="str">
        <x:v>We find that the best-performing LLM achieves F1-scores of 79.4% and 80.4% on the Crawl4AI and Unity Catalog datasets, respectively, substantially outperforming our baselines</x:v>
      </x:c>
      <x:c r="U10" s="6" t="str">
        <x:v>Identifies or predicts a set of target artifacts related to a source artifact. The output materializes a trace decision as a label, score, ranking, link set, path, matrix, source attribution, or relation-focused answer.</x:v>
      </x:c>
      <x:c r="V10" s="2" t="str">
        <x:v>Accepted</x:v>
      </x:c>
      <x:c r="W10" s="6" t="str">
        <x:v>Included in the main functional-role analysis.</x:v>
      </x:c>
    </x:row>
    <x:row r="11" ht="76" customHeight="1">
      <x:c r="A11" s="2" t="str">
        <x:v>S05-ROLE-R02</x:v>
      </x:c>
      <x:c r="B11" s="2" t="str">
        <x:v>S05</x:v>
      </x:c>
      <x:c r="C11" s="2" t="str">
        <x:v>merged_0077</x:v>
      </x:c>
      <x:c r="D11" s="2" t="str">
        <x:v>Reviewer_A</x:v>
      </x:c>
      <x:c r="E11" s="2" t="str">
        <x:v>Reviewer_A</x:v>
      </x:c>
      <x:c r="F11" s="2" t="str">
        <x:v>S05-O02</x:v>
      </x:c>
      <x:c r="G11" s="2" t="str">
        <x:v>S05-T02</x:v>
      </x:c>
      <x:c r="H11" s="2" t="str">
        <x:v>Relationship Explanation</x:v>
      </x:c>
      <x:c r="I11" s="6" t="str">
        <x:v>文档片段文本、已识别的代码构件对</x:v>
      </x:c>
      <x:c r="J11" s="2" t="str">
        <x:v>为已识别的追溯链接生成关系解释，说明文档与代码之间的具体关系性质</x:v>
      </x:c>
      <x:c r="K11" s="6" t="str">
        <x:v>关系描述文本</x:v>
      </x:c>
      <x:c r="L11" s="2" t="str">
        <x:v>4 Validation and explanation</x:v>
      </x:c>
      <x:c r="M11" s="2" t="str">
        <x:v>link_explanation_generation</x:v>
      </x:c>
      <x:c r="N11" s="2" t="str">
        <x:v>R4 Verification Evaluator</x:v>
      </x:c>
      <x:c r="O11" s="2" t="str">
        <x:v>NA</x:v>
      </x:c>
      <x:c r="P11" s="2" t="str">
        <x:v>Primary</x:v>
      </x:c>
      <x:c r="Q11" s="6" t="str">
        <x:v>NA</x:v>
      </x:c>
      <x:c r="R11" s="6" t="str">
        <x:v>Generates an explanation used to interpret or verify an already identified or scored trace link. The input contains an existing, generated, or candidate relation or coverage mapping, and the output evaluates its validity, quality, completeness, consistency, compliance, or explanatory adequacy.</x:v>
      </x:c>
      <x:c r="S11" s="6" t="str">
        <x:v>p. 1; Section 1</x:v>
      </x:c>
      <x:c r="T11" s="6" t="str">
        <x:v>while fully correct relationship explanations range from 42.9% to 71.1%, partial accuracy exceeds 97%, indicating that fundamental connections are rarely missed</x:v>
      </x:c>
      <x:c r="U11" s="6" t="str">
        <x:v>Generates an explanation used to interpret or verify an already identified or scored trace link. The input contains an existing, generated, or candidate relation or coverage mapping, and the output evaluates its validity, quality, completeness, consistency, compliance, or explanatory adequacy.</x:v>
      </x:c>
      <x:c r="V11" s="2" t="str">
        <x:v>Accepted</x:v>
      </x:c>
      <x:c r="W11" s="6" t="str">
        <x:v>Included in the main functional-role analysis.</x:v>
      </x:c>
    </x:row>
    <x:row r="12" ht="76" customHeight="1">
      <x:c r="A12" s="2" t="str">
        <x:v>S05-ROLE-R03</x:v>
      </x:c>
      <x:c r="B12" s="2" t="str">
        <x:v>S05</x:v>
      </x:c>
      <x:c r="C12" s="2" t="str">
        <x:v>merged_0077</x:v>
      </x:c>
      <x:c r="D12" s="2" t="str">
        <x:v>Reviewer_A</x:v>
      </x:c>
      <x:c r="E12" s="2" t="str">
        <x:v>Reviewer_A</x:v>
      </x:c>
      <x:c r="F12" s="2" t="str">
        <x:v>S05-O03</x:v>
      </x:c>
      <x:c r="G12" s="2" t="str">
        <x:v>S05-T03</x:v>
      </x:c>
      <x:c r="H12" s="2" t="str">
        <x:v>Trace Chain Reconstruction</x:v>
      </x:c>
      <x:c r="I12" s="6" t="str">
        <x:v>文档片段文本、代码构件列表、目录结构</x:v>
      </x:c>
      <x:c r="J12" s="2" t="str">
        <x:v>重建从文档到代码的多步追溯链，识别中间构件</x:v>
      </x:c>
      <x:c r="K12" s="6" t="str">
        <x:v>追溯链路径</x:v>
      </x:c>
      <x:c r="L12" s="2" t="str">
        <x:v>3 Traceability inference</x:v>
      </x:c>
      <x:c r="M12" s="2" t="str">
        <x:v>trace_chain_reconstruction</x:v>
      </x:c>
      <x:c r="N12" s="2" t="str">
        <x:v>R3 Trace Inferencer</x:v>
      </x:c>
      <x:c r="O12" s="2" t="str">
        <x:v>NA</x:v>
      </x:c>
      <x:c r="P12" s="2" t="str">
        <x:v>Primary</x:v>
      </x:c>
      <x:c r="Q12" s="6" t="str">
        <x:v>NA</x:v>
      </x:c>
      <x:c r="R12" s="6" t="str">
        <x:v>Recovers a multi-step trace path and its intermediate artifacts. The output materializes a trace decision as a label, score, ranking, link set, path, matrix, source attribution, or relation-focused answer.</x:v>
      </x:c>
      <x:c r="S12" s="6" t="str">
        <x:v>p. 3; Section 1</x:v>
      </x:c>
      <x:c r="T12" s="6" t="str">
        <x:v>for multi-step chains, LLMs maintain high endpoint accuracy (below 2% incorrect) but vary in capturing precise intermediate links from 13% to 80%</x:v>
      </x:c>
      <x:c r="U12" s="6" t="str">
        <x:v>Recovers a multi-step trace path and its intermediate artifacts. The output materializes a trace decision as a label, score, ranking, link set, path, matrix, source attribution, or relation-focused answer.</x:v>
      </x:c>
      <x:c r="V12" s="2" t="str">
        <x:v>Accepted</x:v>
      </x:c>
      <x:c r="W12" s="6" t="str">
        <x:v>Included in the main functional-role analysis.</x:v>
      </x:c>
    </x:row>
    <x:row r="13" ht="76" customHeight="1">
      <x:c r="A13" s="2" t="str">
        <x:v>S06-ROLE-R01</x:v>
      </x:c>
      <x:c r="B13" s="2" t="str">
        <x:v>S06</x:v>
      </x:c>
      <x:c r="C13" s="2" t="str">
        <x:v>merged_0079</x:v>
      </x:c>
      <x:c r="D13" s="2" t="str">
        <x:v>Reviewer_A</x:v>
      </x:c>
      <x:c r="E13" s="2" t="str">
        <x:v>Reviewer_A</x:v>
      </x:c>
      <x:c r="F13" s="2" t="str">
        <x:v>S06-O01</x:v>
      </x:c>
      <x:c r="G13" s="2" t="str">
        <x:v>S06-T01</x:v>
      </x:c>
      <x:c r="H13" s="2" t="str">
        <x:v>LinkAnchor LLM Agent</x:v>
      </x:c>
      <x:c r="I13" s="6" t="str">
        <x:v>问题URL和Git仓库链接</x:v>
      </x:c>
      <x:c r="J13" s="2" t="str">
        <x:v>通过迭代调用函数检索项目数据，分析并确定解决提交哈希值</x:v>
      </x:c>
      <x:c r="K13" s="6" t="str">
        <x:v>提交哈希值</x:v>
      </x:c>
      <x:c r="L13" s="2" t="str">
        <x:v>End-to-end</x:v>
      </x:c>
      <x:c r="M13" s="2" t="str">
        <x:v>agentic_link_recovery</x:v>
      </x:c>
      <x:c r="N13" s="2" t="str">
        <x:v>R3 Trace Inferencer</x:v>
      </x:c>
      <x:c r="O13" s="2" t="str">
        <x:v>NA</x:v>
      </x:c>
      <x:c r="P13" s="2" t="str">
        <x:v>Primary</x:v>
      </x:c>
      <x:c r="Q13" s="6" t="str">
        <x:v>NA</x:v>
      </x:c>
      <x:c r="R13" s="6" t="str">
        <x:v>Uses an LLM agent and tools iteratively to recover a trace target or causal source. The output materializes a trace decision as a label, score, ranking, link set, path, matrix, source attribution, or relation-focused answer.</x:v>
      </x:c>
      <x:c r="S13" s="6" t="str">
        <x:v>p. 4; Section IV-A</x:v>
      </x:c>
      <x:c r="T13" s="6" t="str">
        <x:v>LLM analyzes the provided information and takes one of the following actions: (i) invokes Finish to mark a commit as the resolution; (ii) requests additional contextual data via the available functions; (iii) requests a different batch of commits; and (iv) invokes GiveUp to terminate due to insufficient data.</x:v>
      </x:c>
      <x:c r="U13" s="6" t="str">
        <x:v>Uses an LLM agent and tools iteratively to recover a trace target or causal source. The output materializes a trace decision as a label, score, ranking, link set, path, matrix, source attribution, or relation-focused answer.</x:v>
      </x:c>
      <x:c r="V13" s="2" t="str">
        <x:v>Accepted</x:v>
      </x:c>
      <x:c r="W13" s="6" t="str">
        <x:v>Implemented and empirically evaluated in the reported study. Included in the main functional-role analysis.</x:v>
      </x:c>
    </x:row>
    <x:row r="14" ht="76" customHeight="1">
      <x:c r="A14" s="2" t="str">
        <x:v>S07-ROLE-R01</x:v>
      </x:c>
      <x:c r="B14" s="2" t="str">
        <x:v>S07</x:v>
      </x:c>
      <x:c r="C14" s="2" t="str">
        <x:v>merged_0110</x:v>
      </x:c>
      <x:c r="D14" s="2" t="str">
        <x:v>Reviewer_A</x:v>
      </x:c>
      <x:c r="E14" s="2" t="str">
        <x:v>Reviewer_A</x:v>
      </x:c>
      <x:c r="F14" s="2" t="str">
        <x:v>S07-O01</x:v>
      </x:c>
      <x:c r="G14" s="2" t="str">
        <x:v>S07-T01</x:v>
      </x:c>
      <x:c r="H14" s="2" t="str">
        <x:v>trace link identification</x:v>
      </x:c>
      <x:c r="I14" s="6" t="str">
        <x:v>Requirement content (without ID) and the complete set of test case contents (without IDs)</x:v>
      </x:c>
      <x:c r="J14" s="2" t="str">
        <x:v>The LLM classifies which test cases are related to the given requirement and outputs their IDs.</x:v>
      </x:c>
      <x:c r="K14" s="6" t="str">
        <x:v>A structured list (JSON array or object) of test case IDs that trace to the requirement.</x:v>
      </x:c>
      <x:c r="L14" s="2" t="str">
        <x:v>3 Traceability inference</x:v>
      </x:c>
      <x:c r="M14" s="2" t="str">
        <x:v>link_set_generation</x:v>
      </x:c>
      <x:c r="N14" s="2" t="str">
        <x:v>R3 Trace Inferencer</x:v>
      </x:c>
      <x:c r="O14" s="2" t="str">
        <x:v>NA</x:v>
      </x:c>
      <x:c r="P14" s="2" t="str">
        <x:v>Primary</x:v>
      </x:c>
      <x:c r="Q14" s="6" t="str">
        <x:v>NA</x:v>
      </x:c>
      <x:c r="R14" s="6" t="str">
        <x:v>Identifies or predicts a set of target artifacts related to a source artifact. The output materializes a trace decision as a label, score, ranking, link set, path, matrix, source attribution, or relation-focused answer.</x:v>
      </x:c>
      <x:c r="S14" s="6" t="str">
        <x:v>p. 3; Section 3</x:v>
      </x:c>
      <x:c r="T14" s="6" t="str">
        <x:v>the tool interacts with the LLM by submitting one requirement at a time, along with the complete set of test cases. The model responds with the trace links that associate the given requirement with matching tests.</x:v>
      </x:c>
      <x:c r="U14" s="6" t="str">
        <x:v>Identifies or predicts a set of target artifacts related to a source artifact. The output materializes a trace decision as a label, score, ranking, link set, path, matrix, source attribution, or relation-focused answer.</x:v>
      </x:c>
      <x:c r="V14" s="2" t="str">
        <x:v>Accepted</x:v>
      </x:c>
      <x:c r="W14" s="6" t="str">
        <x:v>Included in the main functional-role analysis.</x:v>
      </x:c>
    </x:row>
    <x:row r="15" ht="76" customHeight="1">
      <x:c r="A15" s="2" t="str">
        <x:v>S08-ROLE-R01</x:v>
      </x:c>
      <x:c r="B15" s="2" t="str">
        <x:v>S08</x:v>
      </x:c>
      <x:c r="C15" s="2" t="str">
        <x:v>merged_0256</x:v>
      </x:c>
      <x:c r="D15" s="2" t="str">
        <x:v>Reviewer_A</x:v>
      </x:c>
      <x:c r="E15" s="2" t="str">
        <x:v>Reviewer_A</x:v>
      </x:c>
      <x:c r="F15" s="2" t="str">
        <x:v>S08-O01</x:v>
      </x:c>
      <x:c r="G15" s="2" t="str">
        <x:v>S08-T01</x:v>
      </x:c>
      <x:c r="H15" s="2" t="str">
        <x:v>zero-shot prompting (zS)</x:v>
      </x:c>
      <x:c r="I15" s="6" t="str">
        <x:v>High-level requirement text and a list of low-level requirements text</x:v>
      </x:c>
      <x:c r="J15" s="2" t="str">
        <x:v>Directly ask GPT to answer with Yes or No whether all HLR aspects are covered by LLRs, without explanation</x:v>
      </x:c>
      <x:c r="K15" s="6" t="str">
        <x:v>Yes or No</x:v>
      </x:c>
      <x:c r="L15" s="2" t="str">
        <x:v>3 Traceability inference</x:v>
      </x:c>
      <x:c r="M15" s="2" t="str">
        <x:v>coverage_completeness_assessment</x:v>
      </x:c>
      <x:c r="N15" s="2" t="str">
        <x:v>R4 Verification Evaluator</x:v>
      </x:c>
      <x:c r="O15" s="2" t="str">
        <x:v>NA</x:v>
      </x:c>
      <x:c r="P15" s="2" t="str">
        <x:v>Primary</x:v>
      </x:c>
      <x:c r="Q15" s="6" t="str">
        <x:v>The output is a completeness judgement over supplied related artifacts rather than recovery of a new trace target; R4 takes precedence over R3.</x:v>
      </x:c>
      <x:c r="R15"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S15" s="6" t="str">
        <x:v>p. 4; Figure 2</x:v>
      </x:c>
      <x:c r="T15"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x:v>
      </x:c>
      <x:c r="U15"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V15" s="2" t="str">
        <x:v>Accepted</x:v>
      </x:c>
      <x:c r="W15" s="6" t="str">
        <x:v>Representative record for the S08-F01 functional operation; other prompting variants are retained separately.</x:v>
      </x:c>
    </x:row>
    <x:row r="16" ht="76" customHeight="1">
      <x:c r="A16" s="2" t="str">
        <x:v>S08-ROLE-R02</x:v>
      </x:c>
      <x:c r="B16" s="2" t="str">
        <x:v>S08</x:v>
      </x:c>
      <x:c r="C16" s="2" t="str">
        <x:v>merged_0256</x:v>
      </x:c>
      <x:c r="D16" s="2" t="str">
        <x:v>Reviewer_A</x:v>
      </x:c>
      <x:c r="E16" s="2" t="str">
        <x:v>Reviewer_A</x:v>
      </x:c>
      <x:c r="F16" s="2" t="str">
        <x:v>S08-O02</x:v>
      </x:c>
      <x:c r="G16" s="2" t="str">
        <x:v>S08-T01</x:v>
      </x:c>
      <x:c r="H16" s="2" t="str">
        <x:v>zero-shot with explanation prompting (zS+expl.)</x:v>
      </x:c>
      <x:c r="I16" s="6" t="str">
        <x:v>High-level requirement text and a list of low-level requirements text</x:v>
      </x:c>
      <x:c r="J16" s="2" t="str">
        <x:v>Ask GPT to answer Yes/No and explain in 10 words if the answer is no</x:v>
      </x:c>
      <x:c r="K16" s="6" t="str">
        <x:v>Yes or No with explanation</x:v>
      </x:c>
      <x:c r="L16" s="2" t="str">
        <x:v>3 Traceability inference</x:v>
      </x:c>
      <x:c r="M16" s="2" t="str">
        <x:v>coverage_completeness_assessment</x:v>
      </x:c>
      <x:c r="N16" s="2" t="str">
        <x:v>R4 Verification Evaluator</x:v>
      </x:c>
      <x:c r="O16" s="2" t="str">
        <x:v>NA</x:v>
      </x:c>
      <x:c r="P16" s="2" t="str">
        <x:v>Supporting evidence</x:v>
      </x:c>
      <x:c r="Q16" s="6" t="str">
        <x:v>The output is a completeness judgement over supplied related artifacts rather than recovery of a new trace target; R4 takes precedence over R3.</x:v>
      </x:c>
      <x:c r="R16"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S16" s="6" t="str">
        <x:v>p. 4; Figure 2</x:v>
      </x:c>
      <x:c r="T16"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Explain in 10 words your answer.</x:v>
      </x:c>
      <x:c r="U16"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V16" s="2" t="str">
        <x:v>Retained outside RQ3 main analysis</x:v>
      </x:c>
      <x:c r="W16" s="6" t="str">
        <x:v>Prompting variant of S08-F01; retained as a configuration record but not counted as another functional operation.</x:v>
      </x:c>
    </x:row>
    <x:row r="17" ht="76" customHeight="1">
      <x:c r="A17" s="2" t="str">
        <x:v>S08-ROLE-R03</x:v>
      </x:c>
      <x:c r="B17" s="2" t="str">
        <x:v>S08</x:v>
      </x:c>
      <x:c r="C17" s="2" t="str">
        <x:v>merged_0256</x:v>
      </x:c>
      <x:c r="D17" s="2" t="str">
        <x:v>Reviewer_A</x:v>
      </x:c>
      <x:c r="E17" s="2" t="str">
        <x:v>Reviewer_A</x:v>
      </x:c>
      <x:c r="F17" s="2" t="str">
        <x:v>S08-O03</x:v>
      </x:c>
      <x:c r="G17" s="2" t="str">
        <x:v>S08-T01</x:v>
      </x:c>
      <x:c r="H17" s="2" t="str">
        <x:v>zero-shot with conditional explanation (zS+expl2.)</x:v>
      </x:c>
      <x:c r="I17" s="6" t="str">
        <x:v>High-level requirement text and a list of low-level requirements text</x:v>
      </x:c>
      <x:c r="J17" s="2" t="str">
        <x:v>Ask GPT to answer Yes/No, and if the answer is no, explain in 10 words</x:v>
      </x:c>
      <x:c r="K17" s="6" t="str">
        <x:v>Yes or No, with explanation only if No</x:v>
      </x:c>
      <x:c r="L17" s="2" t="str">
        <x:v>3 Traceability inference</x:v>
      </x:c>
      <x:c r="M17" s="2" t="str">
        <x:v>coverage_completeness_assessment</x:v>
      </x:c>
      <x:c r="N17" s="2" t="str">
        <x:v>R4 Verification Evaluator</x:v>
      </x:c>
      <x:c r="O17" s="2" t="str">
        <x:v>NA</x:v>
      </x:c>
      <x:c r="P17" s="2" t="str">
        <x:v>Supporting evidence</x:v>
      </x:c>
      <x:c r="Q17" s="6" t="str">
        <x:v>The output is a completeness judgement over supplied related artifacts rather than recovery of a new trace target; R4 takes precedence over R3.</x:v>
      </x:c>
      <x:c r="R17"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S17" s="6" t="str">
        <x:v>p. 4; Figure 2</x:v>
      </x:c>
      <x:c r="T17"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If the answer is no, explain in 10 words your answer.</x:v>
      </x:c>
      <x:c r="U17"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V17" s="2" t="str">
        <x:v>Retained outside RQ3 main analysis</x:v>
      </x:c>
      <x:c r="W17" s="6" t="str">
        <x:v>Prompting variant of S08-F01; retained as a configuration record but not counted as another functional operation.</x:v>
      </x:c>
    </x:row>
    <x:row r="18" ht="76" customHeight="1">
      <x:c r="A18" s="2" t="str">
        <x:v>S08-ROLE-R04</x:v>
      </x:c>
      <x:c r="B18" s="2" t="str">
        <x:v>S08</x:v>
      </x:c>
      <x:c r="C18" s="2" t="str">
        <x:v>merged_0256</x:v>
      </x:c>
      <x:c r="D18" s="2" t="str">
        <x:v>Reviewer_A</x:v>
      </x:c>
      <x:c r="E18" s="2" t="str">
        <x:v>Reviewer_A</x:v>
      </x:c>
      <x:c r="F18" s="2" t="str">
        <x:v>S08-O04</x:v>
      </x:c>
      <x:c r="G18" s="2" t="str">
        <x:v>S08-T01</x:v>
      </x:c>
      <x:c r="H18" s="2" t="str">
        <x:v>Chain-of-Thought prompting (CoT)</x:v>
      </x:c>
      <x:c r="I18" s="6" t="str">
        <x:v>High-level requirement text and a list of low-level requirements text</x:v>
      </x:c>
      <x:c r="J18" s="2" t="str">
        <x:v>Guide GPT to think step by step: identify key elements, match, highlight gaps, infer implicit coverage, conclude, then answer Yes/No with brief rationale</x:v>
      </x:c>
      <x:c r="K18" s="6" t="str">
        <x:v>Yes or No with brief rationale</x:v>
      </x:c>
      <x:c r="L18" s="2" t="str">
        <x:v>3 Traceability inference</x:v>
      </x:c>
      <x:c r="M18" s="2" t="str">
        <x:v>coverage_completeness_assessment</x:v>
      </x:c>
      <x:c r="N18" s="2" t="str">
        <x:v>R4 Verification Evaluator</x:v>
      </x:c>
      <x:c r="O18" s="2" t="str">
        <x:v>NA</x:v>
      </x:c>
      <x:c r="P18" s="2" t="str">
        <x:v>Supporting evidence</x:v>
      </x:c>
      <x:c r="Q18" s="6" t="str">
        <x:v>The output is a completeness judgement over supplied related artifacts rather than recovery of a new trace target; R4 takes precedence over R3.</x:v>
      </x:c>
      <x:c r="R18"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S18" s="6" t="str">
        <x:v>p. 4; Figure 2</x:v>
      </x:c>
      <x:c r="T18" s="6" t="str">
        <x:v>Given the high-level requirement ``high_level_text``, and the detailed low-level requirements ``low_level_text_list``, let's think step by step: identify the key elements, match them with the low-level requirements highlight any gaps, infer implicit coverage conclude with full coverage or not followed by a Yes or No with a brief rationale in about 10 words.</x:v>
      </x:c>
      <x:c r="U18"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V18" s="2" t="str">
        <x:v>Retained outside RQ3 main analysis</x:v>
      </x:c>
      <x:c r="W18" s="6" t="str">
        <x:v>Prompting variant of S08-F01; retained as a configuration record but not counted as another functional operation.</x:v>
      </x:c>
    </x:row>
    <x:row r="19" ht="76" customHeight="1">
      <x:c r="A19" s="2" t="str">
        <x:v>S09-ROLE-R01</x:v>
      </x:c>
      <x:c r="B19" s="2" t="str">
        <x:v>S09</x:v>
      </x:c>
      <x:c r="C19" s="2" t="str">
        <x:v>merged_1114-v1</x:v>
      </x:c>
      <x:c r="D19" s="2" t="str">
        <x:v>Reviewer_A</x:v>
      </x:c>
      <x:c r="E19" s="2" t="str">
        <x:v>Reviewer_A</x:v>
      </x:c>
      <x:c r="F19" s="2" t="str">
        <x:v>S09-O01</x:v>
      </x:c>
      <x:c r="G19" s="2" t="str">
        <x:v>S09-T01</x:v>
      </x:c>
      <x:c r="H19" s="2" t="str">
        <x:v>Traceability Agent</x:v>
      </x:c>
      <x:c r="I19" s="6" t="str">
        <x:v>候选工件对（r, c）的文本描述</x:v>
      </x:c>
      <x:c r="J19" s="2" t="str">
        <x:v>利用结构化提示词，指导LLM联合评估四个推理标准（需求覆盖、实现特异性、术语对齐、无矛盾）并输出链接决策和置信度</x:v>
      </x:c>
      <x:c r="K19" s="6" t="str">
        <x:v>链接决策（yrc∈{0,1}）、置信度（crc∈[0,1]）和自然语言解释（jrc）</x:v>
      </x:c>
      <x:c r="L19" s="2" t="str">
        <x:v>3 Traceability inference</x:v>
      </x:c>
      <x:c r="M19" s="2" t="str">
        <x:v>pairwise_link_classification</x:v>
      </x:c>
      <x:c r="N19" s="2" t="str">
        <x:v>R3 Trace Inferencer</x:v>
      </x:c>
      <x:c r="O19" s="2" t="str">
        <x:v>NA</x:v>
      </x:c>
      <x:c r="P19" s="2" t="str">
        <x:v>Primary</x:v>
      </x:c>
      <x:c r="Q19" s="6" t="str">
        <x:v>NA</x:v>
      </x:c>
      <x:c r="R19" s="6" t="str">
        <x:v>Decides whether a trace relation exists for a supplied artifact pair, optionally with confidence or a short rationale. The output materializes a trace decision as a label, score, ranking, link set, path, matrix, source attribution, or relation-focused answer.</x:v>
      </x:c>
      <x:c r="S19" s="6" t="str">
        <x:v>p. 3; Section III-D</x:v>
      </x:c>
      <x:c r="T19" s="6" t="str">
        <x:v>where yrc ∈ 0, 1 is the link decision, crc ∈ [0, 1] is the confidence score, and jrc is a natural language justification.</x:v>
      </x:c>
      <x:c r="U19" s="6" t="str">
        <x:v>Decides whether a trace relation exists for a supplied artifact pair, optionally with confidence or a short rationale. The output materializes a trace decision as a label, score, ranking, link set, path, matrix, source attribution, or relation-focused answer.</x:v>
      </x:c>
      <x:c r="V19" s="2" t="str">
        <x:v>Accepted</x:v>
      </x:c>
      <x:c r="W19" s="6" t="str">
        <x:v>Included in the main functional-role analysis.</x:v>
      </x:c>
    </x:row>
    <x:row r="20" ht="76" customHeight="1">
      <x:c r="A20" s="2" t="str">
        <x:v>S10-ROLE-R01</x:v>
      </x:c>
      <x:c r="B20" s="2" t="str">
        <x:v>S10</x:v>
      </x:c>
      <x:c r="C20" s="2" t="str">
        <x:v>merged_1119-v2</x:v>
      </x:c>
      <x:c r="D20" s="2" t="str">
        <x:v>Reviewer_A</x:v>
      </x:c>
      <x:c r="E20" s="2" t="str">
        <x:v>Reviewer_A</x:v>
      </x:c>
      <x:c r="F20" s="2" t="str">
        <x:v>S10-O01</x:v>
      </x:c>
      <x:c r="G20" s="2" t="str">
        <x:v>S10-T01</x:v>
      </x:c>
      <x:c r="H20" s="2" t="str">
        <x:v>LLM-based reranking</x:v>
      </x:c>
      <x:c r="I20" s="6" t="str">
        <x:v>拼接的issue标题和描述，以及候选commit的ID和消息</x:v>
      </x:c>
      <x:c r="J20" s="2" t="str">
        <x:v>根据issue与commit的相关性对候选commit进行重排序并输出排序后的commit ID列表</x:v>
      </x:c>
      <x:c r="K20" s="6" t="str">
        <x:v>排序后的commit ID列表</x:v>
      </x:c>
      <x:c r="L20" s="2" t="str">
        <x:v>3 Traceability inference</x:v>
      </x:c>
      <x:c r="M20" s="2" t="str">
        <x:v>candidate_link_ranking</x:v>
      </x:c>
      <x:c r="N20" s="2" t="str">
        <x:v>R3 Trace Inferencer</x:v>
      </x:c>
      <x:c r="O20" s="2" t="str">
        <x:v>NA</x:v>
      </x:c>
      <x:c r="P20" s="2" t="str">
        <x:v>Primary</x:v>
      </x:c>
      <x:c r="Q20" s="6" t="str">
        <x:v>NA</x:v>
      </x:c>
      <x:c r="R20" s="6" t="str">
        <x:v>Ranks candidate target artifacts according to their likelihood of forming a trace link with a source artifact. The output materializes a trace decision as a label, score, ranking, link set, path, matrix, source attribution, or relation-focused answer.</x:v>
      </x:c>
      <x:c r="S20" s="6" t="str">
        <x:v>p. 8; Section 5.3</x:v>
      </x:c>
      <x:c r="T20" s="6" t="str">
        <x:v>For our LLM-based pipeline, we use the same prompt as Huang et al. [12] containing the concatenated issue title and description, as well as the commit ids and messages. The prompt instructs the model to re-rank the commits according to their relevance to the issue, returning only a list of ordered commit ids.</x:v>
      </x:c>
      <x:c r="U20" s="6" t="str">
        <x:v>Ranks candidate target artifacts according to their likelihood of forming a trace link with a source artifact. The output materializes a trace decision as a label, score, ranking, link set, path, matrix, source attribution, or relation-focused answer.</x:v>
      </x:c>
      <x:c r="V20" s="2" t="str">
        <x:v>Accepted</x:v>
      </x:c>
      <x:c r="W20" s="6" t="str">
        <x:v>Included in the main functional-role analysis.</x:v>
      </x:c>
    </x:row>
    <x:row r="21" ht="76" customHeight="1">
      <x:c r="A21" s="2" t="str">
        <x:v>S11-ROLE-R01</x:v>
      </x:c>
      <x:c r="B21" s="2" t="str">
        <x:v>S11</x:v>
      </x:c>
      <x:c r="C21" s="2" t="str">
        <x:v>merged_1121-v1</x:v>
      </x:c>
      <x:c r="D21" s="2" t="str">
        <x:v>Reviewer_A</x:v>
      </x:c>
      <x:c r="E21" s="2" t="str">
        <x:v>Reviewer_A</x:v>
      </x:c>
      <x:c r="F21" s="2" t="str">
        <x:v>S11-O01</x:v>
      </x:c>
      <x:c r="G21" s="2" t="str">
        <x:v>S11-T01</x:v>
      </x:c>
      <x:c r="H21" s="2" t="str">
        <x:v>hierarchical requirement semantic decomposition</x:v>
      </x:c>
      <x:c r="I21" s="6" t="str">
        <x:v>需求文本 (Tr)</x:v>
      </x:c>
      <x:c r="J21" s="2" t="str">
        <x:v>将需求文本分解为意图(intent)、动作(actions)、条件(conditions)和输出(outputs)四个语义层，生成结构化JSON。</x:v>
      </x:c>
      <x:c r="K21" s="6" t="str">
        <x:v>包含四个语义层的结构化JSON对象 Sr = (Ir, Ar, Cr, Or)</x:v>
      </x:c>
      <x:c r="L21" s="2" t="str">
        <x:v>2 Semantic contextualization</x:v>
      </x:c>
      <x:c r="M21" s="2" t="str">
        <x:v>semantic_structure_extraction</x:v>
      </x:c>
      <x:c r="N21" s="2" t="str">
        <x:v>R1 Feature Extractor</x:v>
      </x:c>
      <x:c r="O21" s="2" t="str">
        <x:v>NA</x:v>
      </x:c>
      <x:c r="P21" s="2" t="str">
        <x:v>Primary</x:v>
      </x:c>
      <x:c r="Q21" s="6" t="str">
        <x:v>NA</x:v>
      </x:c>
      <x:c r="R21" s="6" t="str">
        <x:v>Decomposes an artifact into an explicit semantic schema or structured representation grounded in its content. The output makes information already grounded in an artifact explicit, structured, condensed, selected, or encoded; it does not itself decide a cross-artifact trace relation.</x:v>
      </x:c>
      <x:c r="S21" s="6" t="str">
        <x:v>p. 4; Section III-C, a) Requirement semantic decomposition</x:v>
      </x:c>
      <x:c r="T21" s="6" t="str">
        <x:v>Given requirement text Tr, we prompt the LLM to produce Sr in a structured JSON format with the corresponding fields (intent, actions, conditions, outputs).</x:v>
      </x:c>
      <x:c r="U21" s="6" t="str">
        <x:v>Decomposes an artifact into an explicit semantic schema or structured representation grounded in its content. The output makes information already grounded in an artifact explicit, structured, condensed, selected, or encoded; it does not itself decide a cross-artifact trace relation.</x:v>
      </x:c>
      <x:c r="V21" s="2" t="str">
        <x:v>Accepted</x:v>
      </x:c>
      <x:c r="W21" s="6" t="str">
        <x:v>Included in the main functional-role analysis.</x:v>
      </x:c>
    </x:row>
    <x:row r="22" ht="76" customHeight="1">
      <x:c r="A22" s="2" t="str">
        <x:v>S11-ROLE-R02</x:v>
      </x:c>
      <x:c r="B22" s="2" t="str">
        <x:v>S11</x:v>
      </x:c>
      <x:c r="C22" s="2" t="str">
        <x:v>merged_1121-v1</x:v>
      </x:c>
      <x:c r="D22" s="2" t="str">
        <x:v>Reviewer_A</x:v>
      </x:c>
      <x:c r="E22" s="2" t="str">
        <x:v>Reviewer_A</x:v>
      </x:c>
      <x:c r="F22" s="2" t="str">
        <x:v>S11-O02</x:v>
      </x:c>
      <x:c r="G22" s="2" t="str">
        <x:v>S11-T01</x:v>
      </x:c>
      <x:c r="H22" s="2" t="str">
        <x:v>hierarchical code semantic decomposition</x:v>
      </x:c>
      <x:c r="I22" s="6" t="str">
        <x:v>代码文本 (Tc)</x:v>
      </x:c>
      <x:c r="J22" s="2" t="str">
        <x:v>将代码文本分解为功能意图(Fc)、控制流(CFc)、变量效果(VEc)和返回状态(RSc)四个语义层，生成结构化JSON。</x:v>
      </x:c>
      <x:c r="K22" s="6" t="str">
        <x:v>包含四个语义层的结构化JSON对象 Sc = (Fc, CFc, VEc, RSc)</x:v>
      </x:c>
      <x:c r="L22" s="2" t="str">
        <x:v>2 Semantic contextualization</x:v>
      </x:c>
      <x:c r="M22" s="2" t="str">
        <x:v>semantic_structure_extraction</x:v>
      </x:c>
      <x:c r="N22" s="2" t="str">
        <x:v>R1 Feature Extractor</x:v>
      </x:c>
      <x:c r="O22" s="2" t="str">
        <x:v>NA</x:v>
      </x:c>
      <x:c r="P22" s="2" t="str">
        <x:v>Primary</x:v>
      </x:c>
      <x:c r="Q22" s="6" t="str">
        <x:v>NA</x:v>
      </x:c>
      <x:c r="R22" s="6" t="str">
        <x:v>Decomposes an artifact into an explicit semantic schema or structured representation grounded in its content. The output makes information already grounded in an artifact explicit, structured, condensed, selected, or encoded; it does not itself decide a cross-artifact trace relation.</x:v>
      </x:c>
      <x:c r="S22" s="6" t="str">
        <x:v>p. 4; Section III-C(b)</x:v>
      </x:c>
      <x:c r="T22" s="6" t="str">
        <x:v>For each code entity c (with textual view Tc), HSD constructs a corresponding four-layer representation Sc = (Fc, CFc, VEc, RSc), where Fc captures the function's intent, CFc represents control-flow structures, VEc denotes variable effects and state changes, and RSc encodes return values or final states.</x:v>
      </x:c>
      <x:c r="U22" s="6" t="str">
        <x:v>Decomposes an artifact into an explicit semantic schema or structured representation grounded in its content. The output makes information already grounded in an artifact explicit, structured, condensed, selected, or encoded; it does not itself decide a cross-artifact trace relation.</x:v>
      </x:c>
      <x:c r="V22" s="2" t="str">
        <x:v>Accepted</x:v>
      </x:c>
      <x:c r="W22" s="6" t="str">
        <x:v>Included in the main functional-role analysis.</x:v>
      </x:c>
    </x:row>
    <x:row r="23" ht="76" customHeight="1">
      <x:c r="A23" s="2" t="str">
        <x:v>S11-ROLE-R03</x:v>
      </x:c>
      <x:c r="B23" s="2" t="str">
        <x:v>S11</x:v>
      </x:c>
      <x:c r="C23" s="2" t="str">
        <x:v>merged_1121-v1</x:v>
      </x:c>
      <x:c r="D23" s="2" t="str">
        <x:v>Reviewer_A</x:v>
      </x:c>
      <x:c r="E23" s="2" t="str">
        <x:v>Reviewer_A</x:v>
      </x:c>
      <x:c r="F23" s="2" t="str">
        <x:v>S11-O03</x:v>
      </x:c>
      <x:c r="G23" s="2" t="str">
        <x:v>S11-T01</x:v>
      </x:c>
      <x:c r="H23" s="2" t="str">
        <x:v>bidirectional alignment scoring</x:v>
      </x:c>
      <x:c r="I23" s="6" t="str">
        <x:v>一对语义层描述（如Ir和Fc）</x:v>
      </x:c>
      <x:c r="J23" s="2" t="str">
        <x:v>通过结构化联合推理评估代码语义是否在语义上支持需求语义，并返回归一化置信度分数及覆盖范围和证据。</x:v>
      </x:c>
      <x:c r="K23" s="6" t="str">
        <x:v>JSON对象，包含score、coverage和evidence字段</x:v>
      </x:c>
      <x:c r="L23" s="2" t="str">
        <x:v>3 Traceability inference</x:v>
      </x:c>
      <x:c r="M23" s="2" t="str">
        <x:v>link_alignment_scoring</x:v>
      </x:c>
      <x:c r="N23" s="2" t="str">
        <x:v>R3 Trace Inferencer</x:v>
      </x:c>
      <x:c r="O23" s="2" t="str">
        <x:v>NA</x:v>
      </x:c>
      <x:c r="P23" s="2" t="str">
        <x:v>Primary</x:v>
      </x:c>
      <x:c r="Q23" s="6" t="str">
        <x:v>NA</x:v>
      </x:c>
      <x:c r="R23" s="6" t="str">
        <x:v>Scores semantic support or alignment between artifact endpoints as evidence for a trace decision. The output materializes a trace decision as a label, score, ranking, link set, path, matrix, source attribution, or relation-focused answer.</x:v>
      </x:c>
      <x:c r="S23" s="6" t="str">
        <x:v>p. 5; Section III-C, c) Bidirectional Alignment Network</x:v>
      </x:c>
      <x:c r="T23" s="6" t="str">
        <x:v>semantic layer pair (x, y) (e.g., (Ir , Fc ), (Ar , CFc )), the LLM performs structured joint reasoning to assess whether y semantically supports x, and returns a normalized confidence score.</x:v>
      </x:c>
      <x:c r="U23" s="6" t="str">
        <x:v>Scores semantic support or alignment between artifact endpoints as evidence for a trace decision. The output materializes a trace decision as a label, score, ranking, link set, path, matrix, source attribution, or relation-focused answer.</x:v>
      </x:c>
      <x:c r="V23" s="2" t="str">
        <x:v>Accepted</x:v>
      </x:c>
      <x:c r="W23" s="6" t="str">
        <x:v>Included in the main functional-role analysis.</x:v>
      </x:c>
    </x:row>
    <x:row r="24" ht="76" customHeight="1">
      <x:c r="A24" s="2" t="str">
        <x:v>S11-ROLE-R04</x:v>
      </x:c>
      <x:c r="B24" s="2" t="str">
        <x:v>S11</x:v>
      </x:c>
      <x:c r="C24" s="2" t="str">
        <x:v>merged_1121-v1</x:v>
      </x:c>
      <x:c r="D24" s="2" t="str">
        <x:v>Reviewer_A</x:v>
      </x:c>
      <x:c r="E24" s="2" t="str">
        <x:v>Reviewer_A</x:v>
      </x:c>
      <x:c r="F24" s="2" t="str">
        <x:v>S11-O04</x:v>
      </x:c>
      <x:c r="G24" s="2" t="str">
        <x:v>S11-T01</x:v>
      </x:c>
      <x:c r="H24" s="2" t="str">
        <x:v>explanation generation for self-reflective consistency verification</x:v>
      </x:c>
      <x:c r="I24" s="6" t="str">
        <x:v>需求r、代码c以及BAN对齐分数sBAN</x:v>
      </x:c>
      <x:c r="J24" s="2" t="str">
        <x:v>生成关于需求与代码之间语义对应关系的显式解释，以支持后续一致性验证。</x:v>
      </x:c>
      <x:c r="K24" s="6" t="str">
        <x:v>解释文本 E(r,c)</x:v>
      </x:c>
      <x:c r="L24" s="2" t="str">
        <x:v>4 Validation and explanation</x:v>
      </x:c>
      <x:c r="M24" s="2" t="str">
        <x:v>link_explanation_generation</x:v>
      </x:c>
      <x:c r="N24" s="2" t="str">
        <x:v>R4 Verification Evaluator</x:v>
      </x:c>
      <x:c r="O24" s="2" t="str">
        <x:v>NA</x:v>
      </x:c>
      <x:c r="P24" s="2" t="str">
        <x:v>Primary</x:v>
      </x:c>
      <x:c r="Q24" s="6" t="str">
        <x:v>NA</x:v>
      </x:c>
      <x:c r="R24" s="6" t="str">
        <x:v>Generates an explanation used to interpret or verify an already identified or scored trace link. The input contains an existing, generated, or candidate relation or coverage mapping, and the output evaluates its validity, quality, completeness, consistency, compliance, or explanatory adequacy.</x:v>
      </x:c>
      <x:c r="S24" s="6" t="str">
        <x:v>p. 5; Section III-D, a) Explanation Generation</x:v>
      </x:c>
      <x:c r="T24" s="6" t="str">
        <x:v>SRCV first asks the LLM to generate an explicit justification: E(r, c) = LLMgen (r, c, sBAN ),</x:v>
      </x:c>
      <x:c r="U24" s="6" t="str">
        <x:v>Generates an explanation used to interpret or verify an already identified or scored trace link. The input contains an existing, generated, or candidate relation or coverage mapping, and the output evaluates its validity, quality, completeness, consistency, compliance, or explanatory adequacy.</x:v>
      </x:c>
      <x:c r="V24" s="2" t="str">
        <x:v>Accepted</x:v>
      </x:c>
      <x:c r="W24" s="6" t="str">
        <x:v>Included in the main functional-role analysis.</x:v>
      </x:c>
    </x:row>
    <x:row r="25" ht="76" customHeight="1">
      <x:c r="A25" s="2" t="str">
        <x:v>S11-ROLE-R05</x:v>
      </x:c>
      <x:c r="B25" s="2" t="str">
        <x:v>S11</x:v>
      </x:c>
      <x:c r="C25" s="2" t="str">
        <x:v>merged_1121-v1</x:v>
      </x:c>
      <x:c r="D25" s="2" t="str">
        <x:v>Reviewer_A</x:v>
      </x:c>
      <x:c r="E25" s="2" t="str">
        <x:v>Reviewer_A</x:v>
      </x:c>
      <x:c r="F25" s="2" t="str">
        <x:v>S11-O05</x:v>
      </x:c>
      <x:c r="G25" s="2" t="str">
        <x:v>S11-T01</x:v>
      </x:c>
      <x:c r="H25" s="2" t="str">
        <x:v>consistency reflection for self-reflective consistency verification</x:v>
      </x:c>
      <x:c r="I25" s="6" t="str">
        <x:v>需求文本Tr和解释E(r,c)</x:v>
      </x:c>
      <x:c r="J25" s="2" t="str">
        <x:v>评估解释是否与原始需求文本一致，返回一致性分数及理由。</x:v>
      </x:c>
      <x:c r="K25" s="6" t="str">
        <x:v>JSON对象，包含consistent、score和reasons字段</x:v>
      </x:c>
      <x:c r="L25" s="2" t="str">
        <x:v>4 Validation and explanation</x:v>
      </x:c>
      <x:c r="M25" s="2" t="str">
        <x:v>link_consistency_validation</x:v>
      </x:c>
      <x:c r="N25" s="2" t="str">
        <x:v>R4 Verification Evaluator</x:v>
      </x:c>
      <x:c r="O25" s="2" t="str">
        <x:v>NA</x:v>
      </x:c>
      <x:c r="P25" s="2" t="str">
        <x:v>Primary</x:v>
      </x:c>
      <x:c r="Q25" s="6" t="str">
        <x:v>NA</x:v>
      </x:c>
      <x:c r="R25" s="6" t="str">
        <x:v>Checks whether linked artifacts or their explanations are mutually consistent and adequately aligned. The input contains an existing, generated, or candidate relation or coverage mapping, and the output evaluates its validity, quality, completeness, consistency, compliance, or explanatory adequacy.</x:v>
      </x:c>
      <x:c r="S25" s="6" t="str">
        <x:v>p. 5; Section III-D, b) Consistency Reflection</x:v>
      </x:c>
      <x:c r="T25" s="6" t="str">
        <x:v>verifying that the code’s logic aligns with the requirement: assess whether the generated explanation E(r, c) is consistent 1 with the original requirement text Tr . The judge must return</x:v>
      </x:c>
      <x:c r="U25" s="6" t="str">
        <x:v>Checks whether linked artifacts or their explanations are mutually consistent and adequately aligned. The input contains an existing, generated, or candidate relation or coverage mapping, and the output evaluates its validity, quality, completeness, consistency, compliance, or explanatory adequacy.</x:v>
      </x:c>
      <x:c r="V25" s="2" t="str">
        <x:v>Accepted</x:v>
      </x:c>
      <x:c r="W25" s="6" t="str">
        <x:v>Included in the main functional-role analysis.</x:v>
      </x:c>
    </x:row>
    <x:row r="26" ht="76" customHeight="1">
      <x:c r="A26" s="2" t="str">
        <x:v>S12-ROLE-R01</x:v>
      </x:c>
      <x:c r="B26" s="2" t="str">
        <x:v>S12</x:v>
      </x:c>
      <x:c r="C26" s="2" t="str">
        <x:v>merged_1133</x:v>
      </x:c>
      <x:c r="D26" s="2" t="str">
        <x:v>Reviewer_A</x:v>
      </x:c>
      <x:c r="E26" s="2" t="str">
        <x:v>Reviewer_A</x:v>
      </x:c>
      <x:c r="F26" s="2" t="str">
        <x:v>S12-O01</x:v>
      </x:c>
      <x:c r="G26" s="2" t="str">
        <x:v>S12-T01</x:v>
      </x:c>
      <x:c r="H26" s="2" t="str">
        <x:v>trace link classifier</x:v>
      </x:c>
      <x:c r="I26" s="6" t="str">
        <x:v>一对软件工件描述（源工件和目标准则），以文本形式给出。提示中包含角色、领域上下文和工件类型信息。</x:v>
      </x:c>
      <x:c r="J26" s="2" t="str">
        <x:v>判断目标工件是否直接实现了源工件的要求，并输出二元分类结果。</x:v>
      </x:c>
      <x:c r="K26" s="6" t="str">
        <x:v>‘Yes’ 或 ‘No’ 表示是否存在追溯链接。</x:v>
      </x:c>
      <x:c r="L26" s="2" t="str">
        <x:v>3 Traceability inference</x:v>
      </x:c>
      <x:c r="M26" s="2" t="str">
        <x:v>pairwise_link_classification</x:v>
      </x:c>
      <x:c r="N26" s="2" t="str">
        <x:v>R3 Trace Inferencer</x:v>
      </x:c>
      <x:c r="O26" s="2" t="str">
        <x:v>NA</x:v>
      </x:c>
      <x:c r="P26" s="2" t="str">
        <x:v>Primary</x:v>
      </x:c>
      <x:c r="Q26" s="6" t="str">
        <x:v>NA</x:v>
      </x:c>
      <x:c r="R26" s="6" t="str">
        <x:v>Decides whether a trace relation exists for a supplied artifact pair, optionally with confidence or a short rationale. The output materializes a trace decision as a label, score, ranking, link set, path, matrix, source attribution, or relation-focused answer.</x:v>
      </x:c>
      <x:c r="S26" s="6" t="str">
        <x:v>p. 26; Section 6.1.2, description of P6</x:v>
      </x:c>
      <x:c r="T26" s="6" t="str">
        <x:v>You are an expert in software traceability. You are given two artifacts from an aerospace system. (1) is a high-level requirement and (2) is a design element. Does (2) directly fulfill (1)? Answer with only ‘Yes’ or ‘No’.</x:v>
      </x:c>
      <x:c r="U26" s="6" t="str">
        <x:v>Decides whether a trace relation exists for a supplied artifact pair, optionally with confidence or a short rationale. The output materializes a trace decision as a label, score, ranking, link set, path, matrix, source attribution, or relation-focused answer.</x:v>
      </x:c>
      <x:c r="V26" s="2" t="str">
        <x:v>Accepted</x:v>
      </x:c>
      <x:c r="W26" s="6" t="str">
        <x:v>This role is applied across T1–T4 using template-based adaptations (see Table 8). Included in the main functional-role analysis.</x:v>
      </x:c>
    </x:row>
    <x:row r="27" ht="76" customHeight="1">
      <x:c r="A27" s="2" t="str">
        <x:v>S13-ROLE-R01</x:v>
      </x:c>
      <x:c r="B27" s="2" t="str">
        <x:v>S13</x:v>
      </x:c>
      <x:c r="C27" s="2" t="str">
        <x:v>merged_1140</x:v>
      </x:c>
      <x:c r="D27" s="2" t="str">
        <x:v>Reviewer_A</x:v>
      </x:c>
      <x:c r="E27" s="2" t="str">
        <x:v>Reviewer_A</x:v>
      </x:c>
      <x:c r="F27" s="2" t="str">
        <x:v>S13-O01</x:v>
      </x:c>
      <x:c r="G27" s="2" t="str">
        <x:v>S13-T01</x:v>
      </x:c>
      <x:c r="H27" s="2" t="str">
        <x:v>Requirement-to-Code (R-to-C) Synthesis</x:v>
      </x:c>
      <x:c r="I27" s="6" t="str">
        <x:v>a requirement artifact text</x:v>
      </x:c>
      <x:c r="J27" s="2" t="str">
        <x:v>generate synthetic source code that implements the given requirement</x:v>
      </x:c>
      <x:c r="K27" s="6" t="str">
        <x:v>synthetic source code artifact</x:v>
      </x:c>
      <x:c r="L27" s="2" t="str">
        <x:v>1 Artifact acquisition and scoping</x:v>
      </x:c>
      <x:c r="M27" s="2" t="str">
        <x:v>synthetic_artifact_generation</x:v>
      </x:c>
      <x:c r="N27" s="2" t="str">
        <x:v>R2 Information Enhancer</x:v>
      </x:c>
      <x:c r="O27" s="2" t="str">
        <x:v>NA</x:v>
      </x:c>
      <x:c r="P27" s="2" t="str">
        <x:v>Primary</x:v>
      </x:c>
      <x:c r="Q27" s="6" t="str">
        <x:v>NA</x:v>
      </x:c>
      <x:c r="R27" s="6" t="str">
        <x:v>Generates synthetic software artifacts to augment training or evaluation data. The output is derivative or enriched content based on one or more artifacts; it does not itself decide, verify, or persist a trace relation.</x:v>
      </x:c>
      <x:c r="S27" s="6" t="str">
        <x:v>p. 9; Section 3.1.1</x:v>
      </x:c>
      <x:c r="T27" s="6" t="str">
        <x:v>(1) Requirement-to-Code (R-to-C) Synthesis: For each pair (ri , ci ) ∈ Dorig , the requirement ri is used as a seed. A synthetic code artifact, c′i , is generated by the LLM, conditioned on the original requirement and a specific</x:v>
      </x:c>
      <x:c r="U27" s="6" t="str">
        <x:v>Generates synthetic software artifacts to augment training or evaluation data. The output is derivative or enriched content based on one or more artifacts; it does not itself decide, verify, or persist a trace relation.</x:v>
      </x:c>
      <x:c r="V27" s="2" t="str">
        <x:v>Accepted</x:v>
      </x:c>
      <x:c r="W27" s="6" t="str">
        <x:v>Included in the main functional-role analysis.</x:v>
      </x:c>
    </x:row>
    <x:row r="28" ht="76" customHeight="1">
      <x:c r="A28" s="2" t="str">
        <x:v>S13-ROLE-R02</x:v>
      </x:c>
      <x:c r="B28" s="2" t="str">
        <x:v>S13</x:v>
      </x:c>
      <x:c r="C28" s="2" t="str">
        <x:v>merged_1140</x:v>
      </x:c>
      <x:c r="D28" s="2" t="str">
        <x:v>Reviewer_A</x:v>
      </x:c>
      <x:c r="E28" s="2" t="str">
        <x:v>Reviewer_A</x:v>
      </x:c>
      <x:c r="F28" s="2" t="str">
        <x:v>S13-O02</x:v>
      </x:c>
      <x:c r="G28" s="2" t="str">
        <x:v>S13-T01</x:v>
      </x:c>
      <x:c r="H28" s="2" t="str">
        <x:v>Code-to-Requirement (C-to-R) Synthesis</x:v>
      </x:c>
      <x:c r="I28" s="6" t="str">
        <x:v>a source code artifact</x:v>
      </x:c>
      <x:c r="J28" s="2" t="str">
        <x:v>generate a synthetic natural language requirement that describes the code's functionality</x:v>
      </x:c>
      <x:c r="K28" s="6" t="str">
        <x:v>synthetic requirement text</x:v>
      </x:c>
      <x:c r="L28" s="2" t="str">
        <x:v>1 Artifact acquisition and scoping</x:v>
      </x:c>
      <x:c r="M28" s="2" t="str">
        <x:v>synthetic_artifact_generation</x:v>
      </x:c>
      <x:c r="N28" s="2" t="str">
        <x:v>R2 Information Enhancer</x:v>
      </x:c>
      <x:c r="O28" s="2" t="str">
        <x:v>NA</x:v>
      </x:c>
      <x:c r="P28" s="2" t="str">
        <x:v>Primary</x:v>
      </x:c>
      <x:c r="Q28" s="6" t="str">
        <x:v>NA</x:v>
      </x:c>
      <x:c r="R28" s="6" t="str">
        <x:v>Generates synthetic software artifacts to augment training or evaluation data. The output is derivative or enriched content based on one or more artifacts; it does not itself decide, verify, or persist a trace relation.</x:v>
      </x:c>
      <x:c r="S28" s="6" t="str">
        <x:v>p. 9; Section 3.1.1</x:v>
      </x:c>
      <x:c r="T28" s="6" t="str">
        <x:v>(2) Code-to-Requirement (C-to-R) Synthesis: Conversely, for each pair (ri,ci) ∈ Dorig, the code artifact ci serves as the seed. The LLM is guided by a prompt template Pc→r to generate a synthetic natural language requirement,</x:v>
      </x:c>
      <x:c r="U28" s="6" t="str">
        <x:v>Generates synthetic software artifacts to augment training or evaluation data. The output is derivative or enriched content based on one or more artifacts; it does not itself decide, verify, or persist a trace relation.</x:v>
      </x:c>
      <x:c r="V28" s="2" t="str">
        <x:v>Accepted</x:v>
      </x:c>
      <x:c r="W28" s="6" t="str">
        <x:v>Included in the main functional-role analysis.</x:v>
      </x:c>
    </x:row>
    <x:row r="29" ht="76" customHeight="1">
      <x:c r="A29" s="2" t="str">
        <x:v>S14-ROLE-R01</x:v>
      </x:c>
      <x:c r="B29" s="2" t="str">
        <x:v>S14</x:v>
      </x:c>
      <x:c r="C29" s="2" t="str">
        <x:v>merged_1142-v1</x:v>
      </x:c>
      <x:c r="D29" s="2" t="str">
        <x:v>Reviewer_A</x:v>
      </x:c>
      <x:c r="E29" s="2" t="str">
        <x:v>Reviewer_A</x:v>
      </x:c>
      <x:c r="F29" s="2" t="str">
        <x:v>S14-O01</x:v>
      </x:c>
      <x:c r="G29" s="2" t="str">
        <x:v>S14-T01</x:v>
      </x:c>
      <x:c r="H29" s="2" t="str">
        <x:v>Judge</x:v>
      </x:c>
      <x:c r="I29" s="6" t="str">
        <x:v>需求文本、代码文本以及根据策略生成的附加信息。</x:v>
      </x:c>
      <x:c r="J29" s="2" t="str">
        <x:v>判断输入的需求与代码之间是否存在追溯链接。</x:v>
      </x:c>
      <x:c r="K29" s="6" t="str">
        <x:v>Yes 或 No。</x:v>
      </x:c>
      <x:c r="L29" s="2" t="str">
        <x:v>3 Traceability inference</x:v>
      </x:c>
      <x:c r="M29" s="2" t="str">
        <x:v>pairwise_link_classification</x:v>
      </x:c>
      <x:c r="N29" s="2" t="str">
        <x:v>R3 Trace Inferencer</x:v>
      </x:c>
      <x:c r="O29" s="2" t="str">
        <x:v>NA</x:v>
      </x:c>
      <x:c r="P29" s="2" t="str">
        <x:v>Primary</x:v>
      </x:c>
      <x:c r="Q29" s="6" t="str">
        <x:v>NA</x:v>
      </x:c>
      <x:c r="R29" s="6" t="str">
        <x:v>Decides whether a trace relation exists for a supplied artifact pair, optionally with confidence or a short rationale. The output materializes a trace decision as a label, score, ranking, link set, path, matrix, source attribution, or relation-focused answer.</x:v>
      </x:c>
      <x:c r="S29" s="6" t="str">
        <x:v>p. 24; Section 4.3.2 Gemini-All</x:v>
      </x:c>
      <x:c r="T29" s="6" t="str">
        <x:v>Determine if the following Requirements and Code are related. Answer only “Yes” or “No”.</x:v>
      </x:c>
      <x:c r="U29" s="6" t="str">
        <x:v>Decides whether a trace relation exists for a supplied artifact pair, optionally with confidence or a short rationale. The output materializes a trace decision as a label, score, ranking, link set, path, matrix, source attribution, or relation-focused answer.</x:v>
      </x:c>
      <x:c r="V29" s="2" t="str">
        <x:v>Accepted</x:v>
      </x:c>
      <x:c r="W29" s="6" t="str">
        <x:v>Included in the main functional-role analysis.</x:v>
      </x:c>
    </x:row>
    <x:row r="30" ht="76" customHeight="1">
      <x:c r="A30" s="2" t="str">
        <x:v>S15-ROLE-R01</x:v>
      </x:c>
      <x:c r="B30" s="2" t="str">
        <x:v>S15</x:v>
      </x:c>
      <x:c r="C30" s="2" t="str">
        <x:v>merged_1143</x:v>
      </x:c>
      <x:c r="D30" s="2" t="str">
        <x:v>Reviewer_A</x:v>
      </x:c>
      <x:c r="E30" s="2" t="str">
        <x:v>Reviewer_A</x:v>
      </x:c>
      <x:c r="F30" s="2" t="str">
        <x:v>S15-O01</x:v>
      </x:c>
      <x:c r="G30" s="2" t="str">
        <x:v>S15-T01</x:v>
      </x:c>
      <x:c r="H30" s="2" t="str">
        <x:v>goal extraction</x:v>
      </x:c>
      <x:c r="I30" s="6" t="str">
        <x:v>访谈记录片段</x:v>
      </x:c>
      <x:c r="J30" s="2" t="str">
        <x:v>从访谈记录片段中提取目标陈述</x:v>
      </x:c>
      <x:c r="K30" s="6" t="str">
        <x:v>目标列表（JSON字符串数组）</x:v>
      </x:c>
      <x:c r="L30" s="2" t="str">
        <x:v>2 Semantic contextualization</x:v>
      </x:c>
      <x:c r="M30" s="2" t="str">
        <x:v>artifact_element_extraction</x:v>
      </x:c>
      <x:c r="N30" s="2" t="str">
        <x:v>R1 Feature Extractor</x:v>
      </x:c>
      <x:c r="O30" s="2" t="str">
        <x:v>NA</x:v>
      </x:c>
      <x:c r="P30" s="2" t="str">
        <x:v>Primary</x:v>
      </x:c>
      <x:c r="Q30" s="6" t="str">
        <x:v>NA</x:v>
      </x:c>
      <x:c r="R30"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S30" s="6" t="str">
        <x:v>p. 4; Figure 3</x:v>
      </x:c>
      <x:c r="T30" s="6" t="str">
        <x:v>Read the following interview transcript excerpt and respond with any goals that the speaker expresses.</x:v>
      </x:c>
      <x:c r="U30"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V30" s="2" t="str">
        <x:v>Accepted</x:v>
      </x:c>
      <x:c r="W30" s="6" t="str">
        <x:v>Included in the main functional-role analysis.</x:v>
      </x:c>
    </x:row>
    <x:row r="31" ht="76" customHeight="1">
      <x:c r="A31" s="2" t="str">
        <x:v>S15-ROLE-R02</x:v>
      </x:c>
      <x:c r="B31" s="2" t="str">
        <x:v>S15</x:v>
      </x:c>
      <x:c r="C31" s="2" t="str">
        <x:v>merged_1143</x:v>
      </x:c>
      <x:c r="D31" s="2" t="str">
        <x:v>Reviewer_A</x:v>
      </x:c>
      <x:c r="E31" s="2" t="str">
        <x:v>Reviewer_A</x:v>
      </x:c>
      <x:c r="F31" s="2" t="str">
        <x:v>S15-O02</x:v>
      </x:c>
      <x:c r="G31" s="2" t="str">
        <x:v>S15-T01</x:v>
      </x:c>
      <x:c r="H31" s="2" t="str">
        <x:v>tracing goals to source text</x:v>
      </x:c>
      <x:c r="I31" s="6" t="str">
        <x:v>访谈记录片段及已提取的目标列表</x:v>
      </x:c>
      <x:c r="J31" s="2" t="str">
        <x:v>识别支持每个目标的源文本片段</x:v>
      </x:c>
      <x:c r="K31" s="6" t="str">
        <x:v>目标与其源短语的映射（JSON结构）</x:v>
      </x:c>
      <x:c r="L31" s="2" t="str">
        <x:v>3 Traceability inference</x:v>
      </x:c>
      <x:c r="M31" s="2" t="str">
        <x:v>source_span_attribution</x:v>
      </x:c>
      <x:c r="N31" s="2" t="str">
        <x:v>R3 Trace Inferencer</x:v>
      </x:c>
      <x:c r="O31" s="2" t="str">
        <x:v>NA</x:v>
      </x:c>
      <x:c r="P31" s="2" t="str">
        <x:v>Primary</x:v>
      </x:c>
      <x:c r="Q31" s="6" t="str">
        <x:v>NA</x:v>
      </x:c>
      <x:c r="R31" s="6" t="str">
        <x:v>Maps a generated or extracted artifact element back to the source text span that supports it. The output materializes a trace decision as a label, score, ranking, link set, path, matrix, source attribution, or relation-focused answer.</x:v>
      </x:c>
      <x:c r="S31" s="6" t="str">
        <x:v>p. 3; Section III-B</x:v>
      </x:c>
      <x:c r="T31" s="6" t="str">
        <x:v>we combine the transcript excerpt with the extracted goals in a second prompt (see Figure 4) to extract the candidate source text from which the goals were plausibly generated.</x:v>
      </x:c>
      <x:c r="U31" s="6" t="str">
        <x:v>Maps a generated or extracted artifact element back to the source text span that supports it. The output materializes a trace decision as a label, score, ranking, link set, path, matrix, source attribution, or relation-focused answer.</x:v>
      </x:c>
      <x:c r="V31" s="2" t="str">
        <x:v>Accepted</x:v>
      </x:c>
      <x:c r="W31" s="6" t="str">
        <x:v>Included in the main functional-role analysis.</x:v>
      </x:c>
    </x:row>
    <x:row r="32" ht="76" customHeight="1">
      <x:c r="A32" s="2" t="str">
        <x:v>S15-ROLE-R03</x:v>
      </x:c>
      <x:c r="B32" s="2" t="str">
        <x:v>S15</x:v>
      </x:c>
      <x:c r="C32" s="2" t="str">
        <x:v>merged_1143</x:v>
      </x:c>
      <x:c r="D32" s="2" t="str">
        <x:v>Reviewer_A</x:v>
      </x:c>
      <x:c r="E32" s="2" t="str">
        <x:v>Reviewer_A</x:v>
      </x:c>
      <x:c r="F32" s="2" t="str">
        <x:v>S15-O03</x:v>
      </x:c>
      <x:c r="G32" s="2" t="str">
        <x:v>S15-T02</x:v>
      </x:c>
      <x:c r="H32" s="2" t="str">
        <x:v>goal model generation</x:v>
      </x:c>
      <x:c r="I32" s="6" t="str">
        <x:v>目标列表（含唯一标识符）</x:v>
      </x:c>
      <x:c r="J32" s="2" t="str">
        <x:v>推断目标间的精化关系并生成目标模型代码</x:v>
      </x:c>
      <x:c r="K32" s="6" t="str">
        <x:v>包含目标节点和精化边的Python代码（隐含目标和显式关系）</x:v>
      </x:c>
      <x:c r="L32" s="2" t="str">
        <x:v>3 Traceability inference</x:v>
      </x:c>
      <x:c r="M32" s="2" t="str">
        <x:v>relation_structure_generation</x:v>
      </x:c>
      <x:c r="N32" s="2" t="str">
        <x:v>R3 Trace Inferencer</x:v>
      </x:c>
      <x:c r="O32" s="2" t="str">
        <x:v>NA</x:v>
      </x:c>
      <x:c r="P32" s="2" t="str">
        <x:v>Primary</x:v>
      </x:c>
      <x:c r="Q32" s="6" t="str">
        <x:v>NA</x:v>
      </x:c>
      <x:c r="R32" s="6" t="str">
        <x:v>Infers and materializes explicit relations among artifact elements as a graph or model structure. The output materializes a trace decision as a label, score, ranking, link set, path, matrix, source attribution, or relation-focused answer.</x:v>
      </x:c>
      <x:c r="S32" s="6" t="str">
        <x:v>p. 6; Figure 6</x:v>
      </x:c>
      <x:c r="T32" s="6" t="str">
        <x:v>complete the code by reviewing all of the goals and deciding which goals are refined by other goals.</x:v>
      </x:c>
      <x:c r="U32" s="6" t="str">
        <x:v>Infers and materializes explicit relations among artifact elements as a graph or model structure. The output materializes a trace decision as a label, score, ranking, link set, path, matrix, source attribution, or relation-focused answer.</x:v>
      </x:c>
      <x:c r="V32" s="2" t="str">
        <x:v>Accepted</x:v>
      </x:c>
      <x:c r="W32" s="6" t="str">
        <x:v>Included in the main functional-role analysis.</x:v>
      </x:c>
    </x:row>
    <x:row r="33" ht="76" customHeight="1">
      <x:c r="A33" s="2" t="str">
        <x:v>S16-ROLE-R01</x:v>
      </x:c>
      <x:c r="B33" s="2" t="str">
        <x:v>S16</x:v>
      </x:c>
      <x:c r="C33" s="2" t="str">
        <x:v>merged_1144</x:v>
      </x:c>
      <x:c r="D33" s="2" t="str">
        <x:v>Reviewer_A</x:v>
      </x:c>
      <x:c r="E33" s="2" t="str">
        <x:v>Reviewer_A</x:v>
      </x:c>
      <x:c r="F33" s="2" t="str">
        <x:v>S16-O01</x:v>
      </x:c>
      <x:c r="G33" s="2" t="str">
        <x:v>S16-T01</x:v>
      </x:c>
      <x:c r="H33" s="2" t="str">
        <x:v>LLM-Assisted Reranking</x:v>
      </x:c>
      <x:c r="I33" s="6" t="str">
        <x:v>issue text (summary and description) and top-k commits (commit IDs and messages)</x:v>
      </x:c>
      <x:c r="J33" s="2" t="str">
        <x:v>rerank the provided commits based on their relevance to the issue</x:v>
      </x:c>
      <x:c r="K33" s="6" t="str">
        <x:v>reranked list of commit IDs in descending order of relevance</x:v>
      </x:c>
      <x:c r="L33" s="2" t="str">
        <x:v>3 Traceability inference</x:v>
      </x:c>
      <x:c r="M33" s="2" t="str">
        <x:v>candidate_link_ranking</x:v>
      </x:c>
      <x:c r="N33" s="2" t="str">
        <x:v>R3 Trace Inferencer</x:v>
      </x:c>
      <x:c r="O33" s="2" t="str">
        <x:v>NA</x:v>
      </x:c>
      <x:c r="P33" s="2" t="str">
        <x:v>Primary</x:v>
      </x:c>
      <x:c r="Q33" s="6" t="str">
        <x:v>NA</x:v>
      </x:c>
      <x:c r="R33" s="6" t="str">
        <x:v>Ranks candidate target artifacts according to their likelihood of forming a trace link with a source artifact. The output materializes a trace decision as a label, score, ranking, link set, path, matrix, source attribution, or relation-focused answer.</x:v>
      </x:c>
      <x:c r="S33" s="6" t="str">
        <x:v>p. 6; Section 4.2 LLM-Assisted Reranking</x:v>
      </x:c>
      <x:c r="T33" s="6" t="str">
        <x:v>we rerank the retrieved commits using a large language model (LLM).</x:v>
      </x:c>
      <x:c r="U33" s="6" t="str">
        <x:v>Ranks candidate target artifacts according to their likelihood of forming a trace link with a source artifact. The output materializes a trace decision as a label, score, ranking, link set, path, matrix, source attribution, or relation-focused answer.</x:v>
      </x:c>
      <x:c r="V33" s="2" t="str">
        <x:v>Accepted</x:v>
      </x:c>
      <x:c r="W33" s="6" t="str">
        <x:v>Included in the main functional-role analysis.</x:v>
      </x:c>
    </x:row>
    <x:row r="34" ht="76" customHeight="1">
      <x:c r="A34" s="2" t="str">
        <x:v>S17-ROLE-R01</x:v>
      </x:c>
      <x:c r="B34" s="2" t="str">
        <x:v>S17</x:v>
      </x:c>
      <x:c r="C34" s="2" t="str">
        <x:v>merged_1148-v1</x:v>
      </x:c>
      <x:c r="D34" s="2" t="str">
        <x:v>Reviewer_A</x:v>
      </x:c>
      <x:c r="E34" s="2" t="str">
        <x:v>Reviewer_A</x:v>
      </x:c>
      <x:c r="F34" s="2" t="str">
        <x:v>S17-O01</x:v>
      </x:c>
      <x:c r="G34" s="2" t="str">
        <x:v>S17-T01</x:v>
      </x:c>
      <x:c r="H34" s="2" t="str">
        <x:v>UCA Generator</x:v>
      </x:c>
      <x:c r="I34" s="6" t="str">
        <x:v>损失、危害、控制结构图图像</x:v>
      </x:c>
      <x:c r="J34" s="2" t="str">
        <x:v>根据输入生成带有危害链接的不安全控制动作 (UCAs)</x:v>
      </x:c>
      <x:c r="K34" s="6" t="str">
        <x:v>带有危害链接的UCAs列表</x:v>
      </x:c>
      <x:c r="L34" s="2" t="str">
        <x:v>3 Traceability inference</x:v>
      </x:c>
      <x:c r="M34" s="2" t="str">
        <x:v>trace_annotated_artifact_generation</x:v>
      </x:c>
      <x:c r="N34" s="2" t="str">
        <x:v>R5 Information Embedder</x:v>
      </x:c>
      <x:c r="O34" s="2" t="str">
        <x:v>NA</x:v>
      </x:c>
      <x:c r="P34" s="2" t="str">
        <x:v>Primary</x:v>
      </x:c>
      <x:c r="Q34" s="6" t="str">
        <x:v>NA</x:v>
      </x:c>
      <x:c r="R34" s="6" t="str">
        <x:v>The generated artifact explicitly contains trace identifiers, annotations, or relations; under rule B3, R5 applies directly rather than as an R2/R5 boundary case.</x:v>
      </x:c>
      <x:c r="S34" s="6" t="str">
        <x:v>p. 9; Figure 9</x:v>
      </x:c>
      <x:c r="T34" s="6" t="str">
        <x:v>Generate {Number of UCAs to generate} unsafe control actions of the system shown in the control structure diagram. An unsafe control action is linked to a single (sub)hazard. An unsafe control action must contain the following five parts: &lt;Source&gt; &lt;Type&gt; &lt;Control Action&gt; &lt;Context&gt; &lt;Link to Hazards&gt;.</x:v>
      </x:c>
      <x:c r="U34" s="6" t="str">
        <x:v>The generated artifact explicitly contains trace identifiers, annotations, or relations; under rule B3, R5 applies directly rather than as an R2/R5 boundary case.</x:v>
      </x:c>
      <x:c r="V34" s="2" t="str">
        <x:v>Accepted</x:v>
      </x:c>
      <x:c r="W34" s="6" t="str">
        <x:v>Included in the main functional-role analysis.</x:v>
      </x:c>
    </x:row>
    <x:row r="35" ht="76" customHeight="1">
      <x:c r="A35" s="2" t="str">
        <x:v>S17-ROLE-R02</x:v>
      </x:c>
      <x:c r="B35" s="2" t="str">
        <x:v>S17</x:v>
      </x:c>
      <x:c r="C35" s="2" t="str">
        <x:v>merged_1148-v1</x:v>
      </x:c>
      <x:c r="D35" s="2" t="str">
        <x:v>Reviewer_A</x:v>
      </x:c>
      <x:c r="E35" s="2" t="str">
        <x:v>Reviewer_A</x:v>
      </x:c>
      <x:c r="F35" s="2" t="str">
        <x:v>S17-O02</x:v>
      </x:c>
      <x:c r="G35" s="2" t="str">
        <x:v>S17-T02</x:v>
      </x:c>
      <x:c r="H35" s="2" t="str">
        <x:v>Loss Scenario Generator</x:v>
      </x:c>
      <x:c r="I35" s="6" t="str">
        <x:v>损失、危害、UCAs、控制结构图图像</x:v>
      </x:c>
      <x:c r="J35" s="2" t="str">
        <x:v>根据输入生成带有危害链接和可选UCA链接的损失场景</x:v>
      </x:c>
      <x:c r="K35" s="6" t="str">
        <x:v>带有链接的损失场景列表</x:v>
      </x:c>
      <x:c r="L35" s="2" t="str">
        <x:v>3 Traceability inference</x:v>
      </x:c>
      <x:c r="M35" s="2" t="str">
        <x:v>trace_annotated_artifact_generation</x:v>
      </x:c>
      <x:c r="N35" s="2" t="str">
        <x:v>R5 Information Embedder</x:v>
      </x:c>
      <x:c r="O35" s="2" t="str">
        <x:v>NA</x:v>
      </x:c>
      <x:c r="P35" s="2" t="str">
        <x:v>Primary</x:v>
      </x:c>
      <x:c r="Q35" s="6" t="str">
        <x:v>NA</x:v>
      </x:c>
      <x:c r="R35" s="6" t="str">
        <x:v>The generated artifact explicitly contains trace identifiers, annotations, or relations; under rule B3, R5 applies directly rather than as an R2/R5 boundary case.</x:v>
      </x:c>
      <x:c r="S35" s="6" t="str">
        <x:v>p. 9; Figure 10</x:v>
      </x:c>
      <x:c r="T35" s="6" t="str">
        <x:v>Generate {Number of loss scenarios to generate} loss scenarios of the system shown in the control structure diagram. A scenario must link to a single hazard. It may optionally also link to an unsafe control action.</x:v>
      </x:c>
      <x:c r="U35" s="6" t="str">
        <x:v>The generated artifact explicitly contains trace identifiers, annotations, or relations; under rule B3, R5 applies directly rather than as an R2/R5 boundary case.</x:v>
      </x:c>
      <x:c r="V35" s="2" t="str">
        <x:v>Accepted</x:v>
      </x:c>
      <x:c r="W35" s="6" t="str">
        <x:v>Included in the main functional-role analysis.</x:v>
      </x:c>
    </x:row>
    <x:row r="36" ht="76" customHeight="1">
      <x:c r="A36" s="2" t="str">
        <x:v>S17-ROLE-R03</x:v>
      </x:c>
      <x:c r="B36" s="2" t="str">
        <x:v>S17</x:v>
      </x:c>
      <x:c r="C36" s="2" t="str">
        <x:v>merged_1148-v1</x:v>
      </x:c>
      <x:c r="D36" s="2" t="str">
        <x:v>Reviewer_A</x:v>
      </x:c>
      <x:c r="E36" s="2" t="str">
        <x:v>Reviewer_A</x:v>
      </x:c>
      <x:c r="F36" s="2" t="str">
        <x:v>S17-O03</x:v>
      </x:c>
      <x:c r="G36" s="2" t="str">
        <x:v>S17-T03</x:v>
      </x:c>
      <x:c r="H36" s="2" t="str">
        <x:v>Automated Link Recommender</x:v>
      </x:c>
      <x:c r="I36" s="6" t="str">
        <x:v>危害-损失对</x:v>
      </x:c>
      <x:c r="J36" s="2" t="str">
        <x:v>判断每对危害与损失是否应建立链接，给出推荐</x:v>
      </x:c>
      <x:c r="K36" s="6" t="str">
        <x:v>链接推荐 (yes/no)</x:v>
      </x:c>
      <x:c r="L36" s="2" t="str">
        <x:v>3 Traceability inference</x:v>
      </x:c>
      <x:c r="M36" s="2" t="str">
        <x:v>pairwise_link_classification</x:v>
      </x:c>
      <x:c r="N36" s="2" t="str">
        <x:v>R3 Trace Inferencer</x:v>
      </x:c>
      <x:c r="O36" s="2" t="str">
        <x:v>NA</x:v>
      </x:c>
      <x:c r="P36" s="2" t="str">
        <x:v>Primary</x:v>
      </x:c>
      <x:c r="Q36" s="6" t="str">
        <x:v>NA</x:v>
      </x:c>
      <x:c r="R36" s="6" t="str">
        <x:v>Decides whether a trace relation exists for a supplied artifact pair, optionally with confidence or a short rationale. The output materializes a trace decision as a label, score, ranking, link set, path, matrix, source attribution, or relation-focused answer.</x:v>
      </x:c>
      <x:c r="S36" s="6" t="str">
        <x:v>p. 6; Section IV-B</x:v>
      </x:c>
      <x:c r="T36" s="6" t="str">
        <x:v>we prompt an LLM to check if the two should be recommended for linkages.</x:v>
      </x:c>
      <x:c r="U36" s="6" t="str">
        <x:v>Decides whether a trace relation exists for a supplied artifact pair, optionally with confidence or a short rationale. The output materializes a trace decision as a label, score, ranking, link set, path, matrix, source attribution, or relation-focused answer.</x:v>
      </x:c>
      <x:c r="V36" s="2" t="str">
        <x:v>Accepted</x:v>
      </x:c>
      <x:c r="W36" s="6" t="str">
        <x:v>Included in the main functional-role analysis.</x:v>
      </x:c>
    </x:row>
    <x:row r="37" ht="76" customHeight="1">
      <x:c r="A37" s="2" t="str">
        <x:v>S18-ROLE-R01</x:v>
      </x:c>
      <x:c r="B37" s="2" t="str">
        <x:v>S18</x:v>
      </x:c>
      <x:c r="C37" s="2" t="str">
        <x:v>merged_1149</x:v>
      </x:c>
      <x:c r="D37" s="2" t="str">
        <x:v>Reviewer_A</x:v>
      </x:c>
      <x:c r="E37" s="2" t="str">
        <x:v>Reviewer_A</x:v>
      </x:c>
      <x:c r="F37" s="2" t="str">
        <x:v>S18-O01</x:v>
      </x:c>
      <x:c r="G37" s="2" t="str">
        <x:v>S18-T01</x:v>
      </x:c>
      <x:c r="H37" s="2" t="str">
        <x:v>Rice LRT</x:v>
      </x:c>
      <x:c r="I37" s="6" t="str">
        <x:v>需求文本和所有法规条款描述的格式化提示</x:v>
      </x:c>
      <x:c r="J37" s="2" t="str">
        <x:v>根据少量示例和指令分析需求文本，预测其与法规条款的追溯链接，并生成选择理由</x:v>
      </x:c>
      <x:c r="K37" s="6" t="str">
        <x:v>预测的追溯链接列表（含法规代码）及每个链接的理由说明</x:v>
      </x:c>
      <x:c r="L37" s="2" t="str">
        <x:v>3 Traceability inference</x:v>
      </x:c>
      <x:c r="M37" s="2" t="str">
        <x:v>link_set_generation_with_rationale</x:v>
      </x:c>
      <x:c r="N37" s="2" t="str">
        <x:v>R3 Trace Inferencer</x:v>
      </x:c>
      <x:c r="O37" s="2" t="str">
        <x:v>NA</x:v>
      </x:c>
      <x:c r="P37" s="2" t="str">
        <x:v>Primary</x:v>
      </x:c>
      <x:c r="Q37" s="6" t="str">
        <x:v>NA</x:v>
      </x:c>
      <x:c r="R37" s="6" t="str">
        <x:v>Generates trace links together with reasons supporting each inferred relation. The output materializes a trace decision as a label, score, ranking, link set, path, matrix, source attribution, or relation-focused answer.</x:v>
      </x:c>
      <x:c r="S37" s="6" t="str">
        <x:v>p. 7; Section 3.3 Rice LRT</x:v>
      </x:c>
      <x:c r="T37" s="6" t="str">
        <x:v>The second step then applies the prompt to instruct an LLM to predict trace links.</x:v>
      </x:c>
      <x:c r="U37" s="6" t="str">
        <x:v>Generates trace links together with reasons supporting each inferred relation. The output materializes a trace decision as a label, score, ranking, link set, path, matrix, source attribution, or relation-focused answer.</x:v>
      </x:c>
      <x:c r="V37" s="2" t="str">
        <x:v>Accepted</x:v>
      </x:c>
      <x:c r="W37" s="6" t="str">
        <x:v>Included in the main functional-role analysis.</x:v>
      </x:c>
    </x:row>
    <x:row r="38" ht="76" customHeight="1">
      <x:c r="A38" s="2" t="str">
        <x:v>S19-ROLE-R01</x:v>
      </x:c>
      <x:c r="B38" s="2" t="str">
        <x:v>S19</x:v>
      </x:c>
      <x:c r="C38" s="2" t="str">
        <x:v>merged_1150</x:v>
      </x:c>
      <x:c r="D38" s="2" t="str">
        <x:v>Reviewer_A</x:v>
      </x:c>
      <x:c r="E38" s="2" t="str">
        <x:v>Reviewer_A</x:v>
      </x:c>
      <x:c r="F38" s="2" t="str">
        <x:v>S19-O01</x:v>
      </x:c>
      <x:c r="G38" s="2" t="str">
        <x:v>S19-T01</x:v>
      </x:c>
      <x:c r="H38" s="2" t="str">
        <x:v>automated trace link generation</x:v>
      </x:c>
      <x:c r="I38" s="6" t="str">
        <x:v>需求文本和源代码</x:v>
      </x:c>
      <x:c r="J38" s="2" t="str">
        <x:v>判断需求是否在代码中实现，并识别具体实现行</x:v>
      </x:c>
      <x:c r="K38" s="6" t="str">
        <x:v>JSON对象，包含需求ID、是否实现标志和代码行列表</x:v>
      </x:c>
      <x:c r="L38" s="2" t="str">
        <x:v>3 Traceability inference</x:v>
      </x:c>
      <x:c r="M38" s="2" t="str">
        <x:v>link_set_generation_with_location</x:v>
      </x:c>
      <x:c r="N38" s="2" t="str">
        <x:v>R3 Trace Inferencer</x:v>
      </x:c>
      <x:c r="O38" s="2" t="str">
        <x:v>NA</x:v>
      </x:c>
      <x:c r="P38" s="2" t="str">
        <x:v>Primary</x:v>
      </x:c>
      <x:c r="Q38" s="6" t="str">
        <x:v>NA</x:v>
      </x:c>
      <x:c r="R38" s="6" t="str">
        <x:v>Generates trace decisions together with concrete implementation locations or identifiers. The output materializes a trace decision as a label, score, ranking, link set, path, matrix, source attribution, or relation-focused answer.</x:v>
      </x:c>
      <x:c r="S38" s="6" t="str">
        <x:v>p. 3; Section III-C</x:v>
      </x:c>
      <x:c r="T38" s="6" t="str">
        <x:v>After executing the prompt, the LLM outputs a JSON object containing the requirement ID, a yes/no field indicating whether the model thinks the requirement is implemented, and a list of numbers indicating the LOCs the model associates the requirements with.</x:v>
      </x:c>
      <x:c r="U38" s="6" t="str">
        <x:v>Generates trace decisions together with concrete implementation locations or identifiers. The output materializes a trace decision as a label, score, ranking, link set, path, matrix, source attribution, or relation-focused answer.</x:v>
      </x:c>
      <x:c r="V38" s="2" t="str">
        <x:v>Accepted</x:v>
      </x:c>
      <x:c r="W38" s="6" t="str">
        <x:v>Included in the main functional-role analysis.</x:v>
      </x:c>
    </x:row>
    <x:row r="39" ht="76" customHeight="1">
      <x:c r="A39" s="2" t="str">
        <x:v>S20-ROLE-R01</x:v>
      </x:c>
      <x:c r="B39" s="2" t="str">
        <x:v>S20</x:v>
      </x:c>
      <x:c r="C39" s="2" t="str">
        <x:v>merged_1151-v1</x:v>
      </x:c>
      <x:c r="D39" s="2" t="str">
        <x:v>Reviewer_A</x:v>
      </x:c>
      <x:c r="E39" s="2" t="str">
        <x:v>Reviewer_A</x:v>
      </x:c>
      <x:c r="F39" s="2" t="str">
        <x:v>S20-O01</x:v>
      </x:c>
      <x:c r="G39" s="2" t="str">
        <x:v>S20-T01</x:v>
      </x:c>
      <x:c r="H39" s="2" t="str">
        <x:v>Entity Extraction</x:v>
      </x:c>
      <x:c r="I39" s="6" t="str">
        <x:v>文本块、预定义实体类型（article, standard, requirement）和关系提取指令</x:v>
      </x:c>
      <x:c r="J39" s="2" t="str">
        <x:v>从文本块中识别和提取实体及关系，输出结构化列表</x:v>
      </x:c>
      <x:c r="K39" s="6" t="str">
        <x:v>实体列表（名称、类型、描述）和关系列表（源、目标、描述、权重）</x:v>
      </x:c>
      <x:c r="L39" s="2" t="str">
        <x:v>2 Semantic contextualization</x:v>
      </x:c>
      <x:c r="M39" s="2" t="str">
        <x:v>artifact_element_extraction</x:v>
      </x:c>
      <x:c r="N39" s="2" t="str">
        <x:v>R1 Feature Extractor</x:v>
      </x:c>
      <x:c r="O39" s="2" t="str">
        <x:v>NA</x:v>
      </x:c>
      <x:c r="P39" s="2" t="str">
        <x:v>Primary</x:v>
      </x:c>
      <x:c r="Q39" s="6" t="str">
        <x:v>NA</x:v>
      </x:c>
      <x:c r="R39"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S39" s="6" t="str">
        <x:v>p. 11; Section 4.3.1 Element Extraction and Summarization</x:v>
      </x:c>
      <x:c r="T39" s="6" t="str">
        <x:v>The first step in this process involves identifying and extracting entities (nodes) and relationships (edges) from each text chunk. This is accomplished using domain-specific prompts tailored for the LLM to recognize relevant elements within the text.</x:v>
      </x:c>
      <x:c r="U39"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V39" s="2" t="str">
        <x:v>Accepted</x:v>
      </x:c>
      <x:c r="W39" s="6" t="str">
        <x:v>Included in the main functional-role analysis.</x:v>
      </x:c>
    </x:row>
    <x:row r="40" ht="76" customHeight="1">
      <x:c r="A40" s="2" t="str">
        <x:v>S20-ROLE-R02</x:v>
      </x:c>
      <x:c r="B40" s="2" t="str">
        <x:v>S20</x:v>
      </x:c>
      <x:c r="C40" s="2" t="str">
        <x:v>merged_1151-v1</x:v>
      </x:c>
      <x:c r="D40" s="2" t="str">
        <x:v>Reviewer_A</x:v>
      </x:c>
      <x:c r="E40" s="2" t="str">
        <x:v>Reviewer_A</x:v>
      </x:c>
      <x:c r="F40" s="2" t="str">
        <x:v>S20-O02</x:v>
      </x:c>
      <x:c r="G40" s="2" t="str">
        <x:v>S20-T01</x:v>
      </x:c>
      <x:c r="H40" s="2" t="str">
        <x:v>Abstractive Summarization</x:v>
      </x:c>
      <x:c r="I40" s="6" t="str">
        <x:v>提取出的实体和关系描述</x:v>
      </x:c>
      <x:c r="J40" s="2" t="str">
        <x:v>为每个图元素生成简洁、描述性的文本摘要</x:v>
      </x:c>
      <x:c r="K40" s="6" t="str">
        <x:v>语义丰富的摘要文本块</x:v>
      </x:c>
      <x:c r="L40" s="2" t="str">
        <x:v>2 Semantic contextualization</x:v>
      </x:c>
      <x:c r="M40" s="2" t="str">
        <x:v>artifact_summarization</x:v>
      </x:c>
      <x:c r="N40" s="2" t="str">
        <x:v>R1 Feature Extractor</x:v>
      </x:c>
      <x:c r="O40" s="2" t="str">
        <x:v>NA</x:v>
      </x:c>
      <x:c r="P40" s="2" t="str">
        <x:v>Primary</x:v>
      </x:c>
      <x:c r="Q40" s="6" t="str">
        <x:v>NA</x:v>
      </x:c>
      <x:c r="R40"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S40" s="6" t="str">
        <x:v>p. 12; Section 4.3.1</x:v>
      </x:c>
      <x:c r="T40" s="6" t="str">
        <x:v>Once the entities and relationships are extracted, they are summarized into concise, descriptive blocks of text for each graph element. This summarization step leverages LLM-generated abstractive summaries to provide semantically rich and consistent representations</x:v>
      </x:c>
      <x:c r="U40"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V40" s="2" t="str">
        <x:v>Accepted</x:v>
      </x:c>
      <x:c r="W40" s="6" t="str">
        <x:v>Included in the main functional-role analysis.</x:v>
      </x:c>
    </x:row>
    <x:row r="41" ht="76" customHeight="1">
      <x:c r="A41" s="2" t="str">
        <x:v>S20-ROLE-R03</x:v>
      </x:c>
      <x:c r="B41" s="2" t="str">
        <x:v>S20</x:v>
      </x:c>
      <x:c r="C41" s="2" t="str">
        <x:v>merged_1151-v1</x:v>
      </x:c>
      <x:c r="D41" s="2" t="str">
        <x:v>Reviewer_A</x:v>
      </x:c>
      <x:c r="E41" s="2" t="str">
        <x:v>Reviewer_A</x:v>
      </x:c>
      <x:c r="F41" s="2" t="str">
        <x:v>S20-O03</x:v>
      </x:c>
      <x:c r="G41" s="2" t="str">
        <x:v>S20-T01</x:v>
      </x:c>
      <x:c r="H41" s="2" t="str">
        <x:v>Community Summarization</x:v>
      </x:c>
      <x:c r="I41" s="6" t="str">
        <x:v>社区内的实体和关系集合</x:v>
      </x:c>
      <x:c r="J41" s="2" t="str">
        <x:v>生成关于软件需求社区的报告，总结关键实体、关系、合规影响等</x:v>
      </x:c>
      <x:c r="K41" s="6" t="str">
        <x:v>社区报告（标题、摘要、影响评分、详细发现）</x:v>
      </x:c>
      <x:c r="L41" s="2" t="str">
        <x:v>2 Semantic contextualization</x:v>
      </x:c>
      <x:c r="M41" s="2" t="str">
        <x:v>aggregate_report_generation</x:v>
      </x:c>
      <x:c r="N41" s="2" t="str">
        <x:v>R2 Information Enhancer</x:v>
      </x:c>
      <x:c r="O41" s="2" t="str">
        <x:v>NA</x:v>
      </x:c>
      <x:c r="P41" s="2" t="str">
        <x:v>Primary</x:v>
      </x:c>
      <x:c r="Q41" s="6" t="str">
        <x:v>NA</x:v>
      </x:c>
      <x:c r="R41" s="6" t="str">
        <x:v>Synthesizes multiple extracted elements or relations into a structured report that enriches traceability context. The output is derivative or enriched content based on one or more artifacts; it does not itself decide, verify, or persist a trace relation.</x:v>
      </x:c>
      <x:c r="S41" s="6" t="str">
        <x:v>p. 12; Section 4.3.3 Community Summarization</x:v>
      </x:c>
      <x:c r="T41" s="6" t="str">
        <x:v>Community summarization is a critical step in the Graph-RAG framework as it provides a concise and structured understanding of the entities and relationships within each cluster.</x:v>
      </x:c>
      <x:c r="U41" s="6" t="str">
        <x:v>Synthesizes multiple extracted elements or relations into a structured report that enriches traceability context. The output is derivative or enriched content based on one or more artifacts; it does not itself decide, verify, or persist a trace relation.</x:v>
      </x:c>
      <x:c r="V41" s="2" t="str">
        <x:v>Accepted</x:v>
      </x:c>
      <x:c r="W41" s="6" t="str">
        <x:v>Included in the main functional-role analysis.</x:v>
      </x:c>
    </x:row>
    <x:row r="42" ht="76" customHeight="1">
      <x:c r="A42" s="2" t="str">
        <x:v>S20-ROLE-R04</x:v>
      </x:c>
      <x:c r="B42" s="2" t="str">
        <x:v>S20</x:v>
      </x:c>
      <x:c r="C42" s="2" t="str">
        <x:v>merged_1151-v1</x:v>
      </x:c>
      <x:c r="D42" s="2" t="str">
        <x:v>Reviewer_A</x:v>
      </x:c>
      <x:c r="E42" s="2" t="str">
        <x:v>Reviewer_A</x:v>
      </x:c>
      <x:c r="F42" s="2" t="str">
        <x:v>S20-O04</x:v>
      </x:c>
      <x:c r="G42" s="2" t="str">
        <x:v>S20-T02</x:v>
      </x:c>
      <x:c r="H42" s="2" t="str">
        <x:v>Compliance Check</x:v>
      </x:c>
      <x:c r="I42" s="6" t="str">
        <x:v>需求文本和检索到的参考文本</x:v>
      </x:c>
      <x:c r="J42" s="2" t="str">
        <x:v>通过提示工程（IO、CoT、ToT）评估需求是否与参考文本一致，输出合规判定及解释</x:v>
      </x:c>
      <x:c r="K42" s="6" t="str">
        <x:v>评估结论（Conforms/Violates）及推理</x:v>
      </x:c>
      <x:c r="L42" s="2" t="str">
        <x:v>3 Traceability inference</x:v>
      </x:c>
      <x:c r="M42" s="2" t="str">
        <x:v>compliance_assessment</x:v>
      </x:c>
      <x:c r="N42" s="2" t="str">
        <x:v>R4 Verification Evaluator</x:v>
      </x:c>
      <x:c r="O42" s="2" t="str">
        <x:v>NA</x:v>
      </x:c>
      <x:c r="P42" s="2" t="str">
        <x:v>Primary</x:v>
      </x:c>
      <x:c r="Q42" s="6" t="str">
        <x:v>The requirement-to-reference context is supplied and the LLM audits conformity; this is validation (R4), not initial relation recovery (R3).</x:v>
      </x:c>
      <x:c r="R42" s="6" t="str">
        <x:v>Audits whether an artifact conforms to retrieved regulatory or normative reference material. The input contains an existing, generated, or candidate relation or coverage mapping, and the output evaluates its validity, quality, completeness, consistency, compliance, or explanatory adequacy.</x:v>
      </x:c>
      <x:c r="S42" s="6" t="str">
        <x:v>p. 15; Section 4.5 Designing Prompts</x:v>
      </x:c>
      <x:c r="T42" s="6" t="str">
        <x:v>As illustrated in Figure 2, following the search step, the reference context is retrieved to assess whether the requirement aligns with it. The effectiveness of this evaluation depends significantly on the design of the prompts, which play a critical role in guiding the reasoning process.</x:v>
      </x:c>
      <x:c r="U42" s="6" t="str">
        <x:v>Audits whether an artifact conforms to retrieved regulatory or normative reference material. The input contains an existing, generated, or candidate relation or coverage mapping, and the output evaluates its validity, quality, completeness, consistency, compliance, or explanatory adequacy.</x:v>
      </x:c>
      <x:c r="V42" s="2" t="str">
        <x:v>Accepted</x:v>
      </x:c>
      <x:c r="W42" s="6" t="str">
        <x:v>Included in the main functional-role analysis.</x:v>
      </x:c>
    </x:row>
    <x:row r="43" ht="76" customHeight="1">
      <x:c r="A43" s="2" t="str">
        <x:v>S21-ROLE-R01</x:v>
      </x:c>
      <x:c r="B43" s="2" t="str">
        <x:v>S21</x:v>
      </x:c>
      <x:c r="C43" s="2" t="str">
        <x:v>merged_1152</x:v>
      </x:c>
      <x:c r="D43" s="2" t="str">
        <x:v>Reviewer_A</x:v>
      </x:c>
      <x:c r="E43" s="2" t="str">
        <x:v>Reviewer_A</x:v>
      </x:c>
      <x:c r="F43" s="2" t="str">
        <x:v>S21-O01</x:v>
      </x:c>
      <x:c r="G43" s="2" t="str">
        <x:v>S21-T01</x:v>
      </x:c>
      <x:c r="H43" s="2" t="str">
        <x:v>classification</x:v>
      </x:c>
      <x:c r="I43" s="6" t="str">
        <x:v>源工件和目标工件的内容，以及提示词</x:v>
      </x:c>
      <x:c r="J43" s="2" t="str">
        <x:v>判断源工件与目标工件之间是否存在可追溯性链接（是/否）</x:v>
      </x:c>
      <x:c r="K43" s="6" t="str">
        <x:v>yes or no</x:v>
      </x:c>
      <x:c r="L43" s="2" t="str">
        <x:v>3 Traceability inference</x:v>
      </x:c>
      <x:c r="M43" s="2" t="str">
        <x:v>pairwise_link_classification</x:v>
      </x:c>
      <x:c r="N43" s="2" t="str">
        <x:v>R3 Trace Inferencer</x:v>
      </x:c>
      <x:c r="O43" s="2" t="str">
        <x:v>NA</x:v>
      </x:c>
      <x:c r="P43" s="2" t="str">
        <x:v>Primary</x:v>
      </x:c>
      <x:c r="Q43" s="6" t="str">
        <x:v>NA</x:v>
      </x:c>
      <x:c r="R43" s="6" t="str">
        <x:v>Decides whether a trace relation exists for a supplied artifact pair, optionally with confidence or a short rationale. The output materializes a trace decision as a label, score, ranking, link set, path, matrix, source attribution, or relation-focused answer.</x:v>
      </x:c>
      <x:c r="S43" s="6" t="str">
        <x:v>p. 3; Section III</x:v>
      </x:c>
      <x:c r="T43" s="6" t="str">
        <x:v>For our first approach, we prompted the model to classify every source and target artifact pair.</x:v>
      </x:c>
      <x:c r="U43" s="6" t="str">
        <x:v>Decides whether a trace relation exists for a supplied artifact pair, optionally with confidence or a short rationale. The output materializes a trace decision as a label, score, ranking, link set, path, matrix, source attribution, or relation-focused answer.</x:v>
      </x:c>
      <x:c r="V43" s="2" t="str">
        <x:v>Accepted</x:v>
      </x:c>
      <x:c r="W43" s="6" t="str">
        <x:v>Included in the main functional-role analysis.</x:v>
      </x:c>
    </x:row>
    <x:row r="44" ht="76" customHeight="1">
      <x:c r="A44" s="2" t="str">
        <x:v>S21-ROLE-R02</x:v>
      </x:c>
      <x:c r="B44" s="2" t="str">
        <x:v>S21</x:v>
      </x:c>
      <x:c r="C44" s="2" t="str">
        <x:v>merged_1152</x:v>
      </x:c>
      <x:c r="D44" s="2" t="str">
        <x:v>Reviewer_A</x:v>
      </x:c>
      <x:c r="E44" s="2" t="str">
        <x:v>Reviewer_A</x:v>
      </x:c>
      <x:c r="F44" s="2" t="str">
        <x:v>S21-O02</x:v>
      </x:c>
      <x:c r="G44" s="2" t="str">
        <x:v>S21-T02</x:v>
      </x:c>
      <x:c r="H44" s="2" t="str">
        <x:v>ranking</x:v>
      </x:c>
      <x:c r="I44" s="6" t="str">
        <x:v>源工件内容和一组目标工件（ID和内容）</x:v>
      </x:c>
      <x:c r="J44" s="2" t="str">
        <x:v>将目标工件按与源工件的相关性从高到低排序</x:v>
      </x:c>
      <x:c r="K44" s="6" t="str">
        <x:v>排序后的工件ID列表</x:v>
      </x:c>
      <x:c r="L44" s="2" t="str">
        <x:v>3 Traceability inference</x:v>
      </x:c>
      <x:c r="M44" s="2" t="str">
        <x:v>candidate_link_ranking</x:v>
      </x:c>
      <x:c r="N44" s="2" t="str">
        <x:v>R3 Trace Inferencer</x:v>
      </x:c>
      <x:c r="O44" s="2" t="str">
        <x:v>NA</x:v>
      </x:c>
      <x:c r="P44" s="2" t="str">
        <x:v>Primary</x:v>
      </x:c>
      <x:c r="Q44" s="6" t="str">
        <x:v>NA</x:v>
      </x:c>
      <x:c r="R44" s="6" t="str">
        <x:v>Ranks candidate target artifacts according to their likelihood of forming a trace link with a source artifact. The output materializes a trace decision as a label, score, ranking, link set, path, matrix, source attribution, or relation-focused answer.</x:v>
      </x:c>
      <x:c r="S44" s="6" t="str">
        <x:v>p. 3; Section III</x:v>
      </x:c>
      <x:c r="T44" s="6" t="str">
        <x:v>we prompted the model to rank all targets for each source artifact.</x:v>
      </x:c>
      <x:c r="U44" s="6" t="str">
        <x:v>Ranks candidate target artifacts according to their likelihood of forming a trace link with a source artifact. The output materializes a trace decision as a label, score, ranking, link set, path, matrix, source attribution, or relation-focused answer.</x:v>
      </x:c>
      <x:c r="V44" s="2" t="str">
        <x:v>Accepted</x:v>
      </x:c>
      <x:c r="W44" s="6" t="str">
        <x:v>Included in the main functional-role analysis.</x:v>
      </x:c>
    </x:row>
    <x:row r="45" ht="76" customHeight="1">
      <x:c r="A45" s="2" t="str">
        <x:v>S21-ROLE-R03</x:v>
      </x:c>
      <x:c r="B45" s="2" t="str">
        <x:v>S21</x:v>
      </x:c>
      <x:c r="C45" s="2" t="str">
        <x:v>merged_1152</x:v>
      </x:c>
      <x:c r="D45" s="2" t="str">
        <x:v>Reviewer_A</x:v>
      </x:c>
      <x:c r="E45" s="2" t="str">
        <x:v>Reviewer_A</x:v>
      </x:c>
      <x:c r="F45" s="2" t="str">
        <x:v>S21-O03</x:v>
      </x:c>
      <x:c r="G45" s="2" t="str">
        <x:v>S21-T01</x:v>
      </x:c>
      <x:c r="H45" s="2" t="str">
        <x:v>code summarization</x:v>
      </x:c>
      <x:c r="I45" s="6" t="str">
        <x:v>代码工件</x:v>
      </x:c>
      <x:c r="J45" s="2" t="str">
        <x:v>生成代码工件的高层功能摘要</x:v>
      </x:c>
      <x:c r="K45" s="6" t="str">
        <x:v>几句话说清单码高层功能的文本摘要</x:v>
      </x:c>
      <x:c r="L45" s="2" t="str">
        <x:v>2 Semantic contextualization</x:v>
      </x:c>
      <x:c r="M45" s="2" t="str">
        <x:v>artifact_summarization</x:v>
      </x:c>
      <x:c r="N45" s="2" t="str">
        <x:v>R1 Feature Extractor</x:v>
      </x:c>
      <x:c r="O45" s="2" t="str">
        <x:v>NA</x:v>
      </x:c>
      <x:c r="P45" s="2" t="str">
        <x:v>Primary</x:v>
      </x:c>
      <x:c r="Q45" s="6" t="str">
        <x:v>NA</x:v>
      </x:c>
      <x:c r="R45"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S45" s="6" t="str">
        <x:v>p. 3; Section III</x:v>
      </x:c>
      <x:c r="T45" s="6" t="str">
        <x:v>use in our experiments. We accomplished this by prompting the model to provide a several sentences focusing on the highlevel functionality of the code. Although this removed some</x:v>
      </x:c>
      <x:c r="U45"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V45" s="2" t="str">
        <x:v>Accepted</x:v>
      </x:c>
      <x:c r="W45" s="6" t="str">
        <x:v>Included in the main functional-role analysis.</x:v>
      </x:c>
    </x:row>
    <x:row r="46" ht="76" customHeight="1">
      <x:c r="A46" s="2" t="str">
        <x:v>S21-ROLE-R04</x:v>
      </x:c>
      <x:c r="B46" s="2" t="str">
        <x:v>S21</x:v>
      </x:c>
      <x:c r="C46" s="2" t="str">
        <x:v>merged_1152</x:v>
      </x:c>
      <x:c r="D46" s="2" t="str">
        <x:v>Reviewer_A</x:v>
      </x:c>
      <x:c r="E46" s="2" t="str">
        <x:v>Reviewer_A</x:v>
      </x:c>
      <x:c r="F46" s="2" t="str">
        <x:v>S21-O04</x:v>
      </x:c>
      <x:c r="G46" s="2" t="str">
        <x:v>S21-T02</x:v>
      </x:c>
      <x:c r="H46" s="2" t="str">
        <x:v>code summarization</x:v>
      </x:c>
      <x:c r="I46" s="6" t="str">
        <x:v>代码工件</x:v>
      </x:c>
      <x:c r="J46" s="2" t="str">
        <x:v>生成代码工件的高层功能摘要</x:v>
      </x:c>
      <x:c r="K46" s="6" t="str">
        <x:v>几句话说清单码高层功能的文本摘要</x:v>
      </x:c>
      <x:c r="L46" s="2" t="str">
        <x:v>2 Semantic contextualization</x:v>
      </x:c>
      <x:c r="M46" s="2" t="str">
        <x:v>artifact_summarization</x:v>
      </x:c>
      <x:c r="N46" s="2" t="str">
        <x:v>R1 Feature Extractor</x:v>
      </x:c>
      <x:c r="O46" s="2" t="str">
        <x:v>NA</x:v>
      </x:c>
      <x:c r="P46" s="2" t="str">
        <x:v>Primary</x:v>
      </x:c>
      <x:c r="Q46" s="6" t="str">
        <x:v>NA</x:v>
      </x:c>
      <x:c r="R46"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S46" s="6" t="str">
        <x:v>p. 3; Section III</x:v>
      </x:c>
      <x:c r="T46" s="6" t="str">
        <x:v>use in our experiments. We accomplished this by prompting the model to provide a several sentences focusing on the highlevel functionality of the code. Although this removed some</x:v>
      </x:c>
      <x:c r="U46"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V46" s="2" t="str">
        <x:v>Accepted</x:v>
      </x:c>
      <x:c r="W46" s="6" t="str">
        <x:v>The same summarization applied to both classification and ranking; split by task for clarity. Included in the main functional-role analysis.</x:v>
      </x:c>
    </x:row>
    <x:row r="47" ht="76" customHeight="1">
      <x:c r="A47" s="2" t="str">
        <x:v>S22-ROLE-R01</x:v>
      </x:c>
      <x:c r="B47" s="2" t="str">
        <x:v>S22</x:v>
      </x:c>
      <x:c r="C47" s="2" t="str">
        <x:v>merged_1154-v1</x:v>
      </x:c>
      <x:c r="D47" s="2" t="str">
        <x:v>Reviewer_A</x:v>
      </x:c>
      <x:c r="E47" s="2" t="str">
        <x:v>Reviewer_A</x:v>
      </x:c>
      <x:c r="F47" s="2" t="str">
        <x:v>S22-O01</x:v>
      </x:c>
      <x:c r="G47" s="2" t="str">
        <x:v>S22-T01</x:v>
      </x:c>
      <x:c r="H47" s="2" t="str">
        <x:v>LLM-based security-model generation pipeline</x:v>
      </x:c>
      <x:c r="I47" s="6" t="str">
        <x:v>结构化的系统上下文（参与者、信任区域、组件、数据流等）</x:v>
      </x:c>
      <x:c r="J47" s="2" t="str">
        <x:v>推导出多层安全模型，包括威胁、风险、需求、控制、测试和可追溯性链接</x:v>
      </x:c>
      <x:c r="K47" s="6" t="str">
        <x:v>多层规范安全模型（Multilayer Specification Security Model）</x:v>
      </x:c>
      <x:c r="L47" s="2" t="str">
        <x:v>3 Traceability inference</x:v>
      </x:c>
      <x:c r="M47" s="2" t="str">
        <x:v>trace_annotated_artifact_generation</x:v>
      </x:c>
      <x:c r="N47" s="2" t="str">
        <x:v>R5 Information Embedder</x:v>
      </x:c>
      <x:c r="O47" s="2" t="str">
        <x:v>NA</x:v>
      </x:c>
      <x:c r="P47" s="2" t="str">
        <x:v>Primary</x:v>
      </x:c>
      <x:c r="Q47" s="6" t="str">
        <x:v>NA</x:v>
      </x:c>
      <x:c r="R47" s="6" t="str">
        <x:v>The generated artifact explicitly contains trace identifiers, annotations, or relations; under rule B3, R5 applies directly rather than as an R2/R5 boundary case.</x:v>
      </x:c>
      <x:c r="S47" s="6" t="str">
        <x:v>pp. 4, 6; Sections IV and VII</x:v>
      </x:c>
      <x:c r="T47" s="6" t="str">
        <x:v>The proposed Multilayer Specification Security Model represents security knowledge as a traceable structure rather than a flat checklist. The model is based on the following traceability chain: System entity -&gt; Threat/Risk -&gt; Security requirement -&gt; Implementation rule -&gt; Code element -&gt; Verification scenario -&gt; Evidence. The first study evaluates whether an LLM-based security-model generation pipeline can derive a structured Multilayer Specification Security Model from system context when the original threat and risk model is hidden.</x:v>
      </x:c>
      <x:c r="U47" s="6" t="str">
        <x:v>The generated artifact explicitly contains trace identifiers, annotations, or relations; under rule B3, R5 applies directly rather than as an R2/R5 boundary case.</x:v>
      </x:c>
      <x:c r="V47" s="2" t="str">
        <x:v>Accepted</x:v>
      </x:c>
      <x:c r="W47" s="6" t="str">
        <x:v>NR Included in the main functional-role analysis.</x:v>
      </x:c>
    </x:row>
    <x:row r="48" ht="76" customHeight="1">
      <x:c r="A48" s="2" t="str">
        <x:v>S23-ROLE-R01</x:v>
      </x:c>
      <x:c r="B48" s="2" t="str">
        <x:v>S23</x:v>
      </x:c>
      <x:c r="C48" s="2" t="str">
        <x:v>merged_1156</x:v>
      </x:c>
      <x:c r="D48" s="2" t="str">
        <x:v>Reviewer_A</x:v>
      </x:c>
      <x:c r="E48" s="2" t="str">
        <x:v>Reviewer_A</x:v>
      </x:c>
      <x:c r="F48" s="2" t="str">
        <x:v>S23-O01</x:v>
      </x:c>
      <x:c r="G48" s="2" t="str">
        <x:v>S23-T01</x:v>
      </x:c>
      <x:c r="H48" s="2" t="str">
        <x:v>code generation</x:v>
      </x:c>
      <x:c r="I48" s="6" t="str">
        <x:v>自然语言需求描述</x:v>
      </x:c>
      <x:c r="J48" s="2" t="str">
        <x:v>根据需求生成代码</x:v>
      </x:c>
      <x:c r="K48" s="6" t="str">
        <x:v>LLM生成的代码</x:v>
      </x:c>
      <x:c r="L48" s="2" t="str">
        <x:v>3 Traceability inference</x:v>
      </x:c>
      <x:c r="M48" s="2" t="str">
        <x:v>related_artifact_generation</x:v>
      </x:c>
      <x:c r="N48" s="2" t="str">
        <x:v>R2 Information Enhancer</x:v>
      </x:c>
      <x:c r="O48" s="2" t="str">
        <x:v>NA</x:v>
      </x:c>
      <x:c r="P48" s="2" t="str">
        <x:v>Primary</x:v>
      </x:c>
      <x:c r="Q48" s="6" t="str">
        <x:v>The LLM directly outputs ordinary code. Trace attribution is computed by gradient analysis outside the LLM output, so R2 takes precedence because the generated code contains no explicit trace metadata and is not yet revised by trace feedback.</x:v>
      </x:c>
      <x:c r="R48" s="6" t="str">
        <x:v>Generates a downstream artifact from an upstream requirement without directly deciding, verifying, or persisting a trace relation.</x:v>
      </x:c>
      <x:c r="S48" s="6" t="str">
        <x:v>p. 4; Section III-A, step 2</x:v>
      </x:c>
      <x:c r="T48" s="6" t="str">
        <x:v>Instruct the model to generate code that meets the requirements.</x:v>
      </x:c>
      <x:c r="U48" s="6" t="str">
        <x:v>Generates a downstream artifact from an upstream requirement without directly deciding, verifying, or persisting a trace relation.</x:v>
      </x:c>
      <x:c r="V48" s="2" t="str">
        <x:v>Accepted</x:v>
      </x:c>
      <x:c r="W48" s="6" t="str">
        <x:v>Included in the main functional-role analysis.</x:v>
      </x:c>
    </x:row>
    <x:row r="49" ht="76" customHeight="1">
      <x:c r="A49" s="2" t="str">
        <x:v>S23-ROLE-R02</x:v>
      </x:c>
      <x:c r="B49" s="2" t="str">
        <x:v>S23</x:v>
      </x:c>
      <x:c r="C49" s="2" t="str">
        <x:v>merged_1156</x:v>
      </x:c>
      <x:c r="D49" s="2" t="str">
        <x:v>Reviewer_A</x:v>
      </x:c>
      <x:c r="E49" s="2" t="str">
        <x:v>Reviewer_A</x:v>
      </x:c>
      <x:c r="F49" s="2" t="str">
        <x:v>S23-O02</x:v>
      </x:c>
      <x:c r="G49" s="2" t="str">
        <x:v>S23-T02</x:v>
      </x:c>
      <x:c r="H49" s="2" t="str">
        <x:v>code rewriting</x:v>
      </x:c>
      <x:c r="I49" s="6" t="str">
        <x:v>原始需求及被忽略需求段提示</x:v>
      </x:c>
      <x:c r="J49" s="2" t="str">
        <x:v>根据特定需求重新生成代码</x:v>
      </x:c>
      <x:c r="K49" s="6" t="str">
        <x:v>重写的代码</x:v>
      </x:c>
      <x:c r="L49" s="2" t="str">
        <x:v>5 Evolution and embedding</x:v>
      </x:c>
      <x:c r="M49" s="2" t="str">
        <x:v>trace_guided_artifact_revision</x:v>
      </x:c>
      <x:c r="N49" s="2" t="str">
        <x:v>R5 Information Embedder</x:v>
      </x:c>
      <x:c r="O49" s="2" t="str">
        <x:v>NA</x:v>
      </x:c>
      <x:c r="P49" s="2" t="str">
        <x:v>Primary</x:v>
      </x:c>
      <x:c r="Q49" s="6" t="str">
        <x:v>The output is revised code, but the revision is explicitly driven by trace evidence identifying an ignored requirement segment; R5 takes precedence over generic rewriting.</x:v>
      </x:c>
      <x:c r="R49" s="6" t="str">
        <x:v>Revises an artifact in response to traceability evidence indicating an ignored, missing, or weakly covered source segment. The output artifact contains explicit trace identifiers, annotations, or relations, or its content is generated or revised under explicit traceability evidence or feedback.</x:v>
      </x:c>
      <x:c r="S49" s="6" t="str">
        <x:v>p. 4; Section III-A, step 6</x:v>
      </x:c>
      <x:c r="T49" s="6" t="str">
        <x:v>instruct the model to rewrite the code, but pay closer attention to the ignored segment.</x:v>
      </x:c>
      <x:c r="U49" s="6" t="str">
        <x:v>Revises an artifact in response to traceability evidence indicating an ignored, missing, or weakly covered source segment. The output artifact contains explicit trace identifiers, annotations, or relations, or its content is generated or revised under explicit traceability evidence or feedback.</x:v>
      </x:c>
      <x:c r="V49" s="2" t="str">
        <x:v>Accepted</x:v>
      </x:c>
      <x:c r="W49" s="6" t="str">
        <x:v>Included in the main functional-role analysis.</x:v>
      </x:c>
    </x:row>
    <x:row r="50" ht="76" customHeight="1">
      <x:c r="A50" s="2" t="str">
        <x:v>S24-ROLE-R01</x:v>
      </x:c>
      <x:c r="B50" s="2" t="str">
        <x:v>S24</x:v>
      </x:c>
      <x:c r="C50" s="2" t="str">
        <x:v>merged_1172</x:v>
      </x:c>
      <x:c r="D50" s="2" t="str">
        <x:v>Reviewer_A</x:v>
      </x:c>
      <x:c r="E50" s="2" t="str">
        <x:v>Reviewer_A</x:v>
      </x:c>
      <x:c r="F50" s="2" t="str">
        <x:v>S24-O01</x:v>
      </x:c>
      <x:c r="G50" s="2" t="str">
        <x:v>S24-T01</x:v>
      </x:c>
      <x:c r="H50" s="2" t="str">
        <x:v>LLM-driven rule induction</x:v>
      </x:c>
      <x:c r="I50" s="6" t="str">
        <x:v>文档片段peek JSON（含目录、样本页、信号token）</x:v>
      </x:c>
      <x:c r="J50" s="2" t="str">
        <x:v>根据样本生成用于解析需求文档的正则表达式规则配置文件</x:v>
      </x:c>
      <x:c r="K50" s="6" t="str">
        <x:v>Regex profile JSON，指定需求ID模式、字段标签、语句检测器等</x:v>
      </x:c>
      <x:c r="L50" s="2" t="str">
        <x:v>1 Artifact acquisition and scoping</x:v>
      </x:c>
      <x:c r="M50" s="2" t="str">
        <x:v>extraction_rule_induction</x:v>
      </x:c>
      <x:c r="N50" s="2" t="str">
        <x:v>R1 Feature Extractor</x:v>
      </x:c>
      <x:c r="O50" s="2" t="str">
        <x:v>NA</x:v>
      </x:c>
      <x:c r="P50" s="2" t="str">
        <x:v>Primary</x:v>
      </x:c>
      <x:c r="Q50" s="6" t="str">
        <x:v>The LLM outputs parsing rules rather than extracted requirements directly; it is coded R1 because the rules operationalize extraction of trace-relevant identifiers and fields.</x:v>
      </x:c>
      <x:c r="R50" s="6" t="str">
        <x:v>Infers reusable parsing rules that operationalize extraction of trace-relevant elements from artifacts. The output makes information already grounded in an artifact explicit, structured, condensed, selected, or encoded; it does not itself decide a cross-artifact trace relation.</x:v>
      </x:c>
      <x:c r="S50" s="6" t="str">
        <x:v>p. 1; abstract</x:v>
      </x:c>
      <x:c r="T50" s="6" t="str">
        <x:v>a document-agnostic, Large Language Model (LLM)-assisted parser induces regex-based rules to extract requirement blocks into a normalized database</x:v>
      </x:c>
      <x:c r="U50" s="6" t="str">
        <x:v>Infers reusable parsing rules that operationalize extraction of trace-relevant elements from artifacts. The output makes information already grounded in an artifact explicit, structured, condensed, selected, or encoded; it does not itself decide a cross-artifact trace relation.</x:v>
      </x:c>
      <x:c r="V50" s="2" t="str">
        <x:v>Accepted</x:v>
      </x:c>
      <x:c r="W50" s="6" t="str">
        <x:v>LLM不直接提取特征，而是创建规则，归类为New candidate Included in the main functional-role analysis.</x:v>
      </x:c>
    </x:row>
    <x:row r="51" ht="76" customHeight="1">
      <x:c r="A51" s="2" t="str">
        <x:v>S25-ROLE-R01</x:v>
      </x:c>
      <x:c r="B51" s="2" t="str">
        <x:v>S25</x:v>
      </x:c>
      <x:c r="C51" s="2" t="str">
        <x:v>merged_1185</x:v>
      </x:c>
      <x:c r="D51" s="2" t="str">
        <x:v>Reviewer_A</x:v>
      </x:c>
      <x:c r="E51" s="2" t="str">
        <x:v>Reviewer_A</x:v>
      </x:c>
      <x:c r="F51" s="2" t="str">
        <x:v>S25-O01</x:v>
      </x:c>
      <x:c r="G51" s="2" t="str">
        <x:v>S25-T01</x:v>
      </x:c>
      <x:c r="H51" s="2" t="str">
        <x:v>Simple test case generation</x:v>
      </x:c>
      <x:c r="I51" s="6" t="str">
        <x:v>Requirements and related context</x:v>
      </x:c>
      <x:c r="J51" s="2" t="str">
        <x:v>Generate test cases from requirements</x:v>
      </x:c>
      <x:c r="K51" s="6" t="str">
        <x:v>Test cases with implicit traceability to requirements</x:v>
      </x:c>
      <x:c r="L51" s="2" t="str">
        <x:v>3 Traceability inference</x:v>
      </x:c>
      <x:c r="M51" s="2" t="str">
        <x:v>related_artifact_generation</x:v>
      </x:c>
      <x:c r="N51" s="2" t="str">
        <x:v>R2 Information Enhancer</x:v>
      </x:c>
      <x:c r="O51" s="2" t="str">
        <x:v>NA</x:v>
      </x:c>
      <x:c r="P51" s="2" t="str">
        <x:v>Primary</x:v>
      </x:c>
      <x:c r="Q51" s="6" t="str">
        <x:v>NA</x:v>
      </x:c>
      <x:c r="R51"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51" s="6" t="str">
        <x:v>p. 5; Section III.C Model Selection Strategy</x:v>
      </x:c>
      <x:c r="T51" s="6" t="str">
        <x:v>Simple test case generation utilizes Mistral 7B for efficiency</x:v>
      </x:c>
      <x:c r="U51"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51" s="2" t="str">
        <x:v>Accepted</x:v>
      </x:c>
      <x:c r="W51" s="6" t="str">
        <x:v>Included in the main functional-role analysis.</x:v>
      </x:c>
    </x:row>
    <x:row r="52" ht="76" customHeight="1">
      <x:c r="A52" s="2" t="str">
        <x:v>S25-ROLE-R02</x:v>
      </x:c>
      <x:c r="B52" s="2" t="str">
        <x:v>S25</x:v>
      </x:c>
      <x:c r="C52" s="2" t="str">
        <x:v>merged_1185</x:v>
      </x:c>
      <x:c r="D52" s="2" t="str">
        <x:v>Reviewer_A</x:v>
      </x:c>
      <x:c r="E52" s="2" t="str">
        <x:v>Reviewer_A</x:v>
      </x:c>
      <x:c r="F52" s="2" t="str">
        <x:v>S25-O02</x:v>
      </x:c>
      <x:c r="G52" s="2" t="str">
        <x:v>S25-T01</x:v>
      </x:c>
      <x:c r="H52" s="2" t="str">
        <x:v>Complex business logic analysis (routing configuration)</x:v>
      </x:c>
      <x:c r="I52" s="6" t="str">
        <x:v>Requirements and complex business logic</x:v>
      </x:c>
      <x:c r="J52" s="2" t="str">
        <x:v>Route complex business logic analysis to Gemini Pro</x:v>
      </x:c>
      <x:c r="K52" s="6" t="str">
        <x:v>NR</x:v>
      </x:c>
      <x:c r="L52" s="2" t="str">
        <x:v>Other</x:v>
      </x:c>
      <x:c r="M52" s="2" t="str">
        <x:v>model_routing_configuration</x:v>
      </x:c>
      <x:c r="N52" s="2" t="str">
        <x:v>NA</x:v>
      </x:c>
      <x:c r="O52" s="2" t="str">
        <x:v>NA</x:v>
      </x:c>
      <x:c r="P52" s="2" t="str">
        <x:v>Supporting evidence</x:v>
      </x:c>
      <x:c r="Q52" s="6" t="str">
        <x:v>NA</x:v>
      </x:c>
      <x:c r="R52" s="6" t="str">
        <x:v>The passage specifies model selection but does not report a distinguishable input-operation-output transformation; no RQ3 functional role is assigned.</x:v>
      </x:c>
      <x:c r="S52" s="6" t="str">
        <x:v>p. 5; Section III-C, Model Selection Strategy</x:v>
      </x:c>
      <x:c r="T52" s="6" t="str">
        <x:v>Dynamic model routing based on task complexity, context requirements, and performance optimization. Simple test case generation utilizes Mistral 7B for efficiency, while complex business logic analysis leverages Gemini Pro for superior reasoning capabilities and enhanced context understanding.</x:v>
      </x:c>
      <x:c r="U52" s="6" t="str">
        <x:v>The passage specifies model selection but does not report a distinguishable input-operation-output transformation; no RQ3 functional role is assigned.</x:v>
      </x:c>
      <x:c r="V52" s="2" t="str">
        <x:v>Retained outside RQ3 main analysis</x:v>
      </x:c>
      <x:c r="W52" s="6" t="str">
        <x:v>Dynamic model-routing configuration; no independently reported functional output. Retained as model-routing configuration evidence for RQ4; the paper does not report a distinguishable output for this route, so it is excluded from RQ3 functional-role frequencies. | workflow_stage原值Configuration(动态路由配置),归入Other</x:v>
      </x:c>
    </x:row>
    <x:row r="53" ht="76" customHeight="1">
      <x:c r="A53" s="2" t="str">
        <x:v>S26-ROLE-R01</x:v>
      </x:c>
      <x:c r="B53" s="2" t="str">
        <x:v>S26</x:v>
      </x:c>
      <x:c r="C53" s="2" t="str">
        <x:v>merged_1212</x:v>
      </x:c>
      <x:c r="D53" s="2" t="str">
        <x:v>Reviewer_A</x:v>
      </x:c>
      <x:c r="E53" s="2" t="str">
        <x:v>Reviewer_A</x:v>
      </x:c>
      <x:c r="F53" s="2" t="str">
        <x:v>S26-O01</x:v>
      </x:c>
      <x:c r="G53" s="2" t="str">
        <x:v>S26-T01</x:v>
      </x:c>
      <x:c r="H53" s="2" t="str">
        <x:v>trace link prediction</x:v>
      </x:c>
      <x:c r="I53" s="6" t="str">
        <x:v>软件制品对（源制品和目标制品）</x:v>
      </x:c>
      <x:c r="J53" s="2" t="str">
        <x:v>利用提示工程策略（如思维链、任务分解）对制品间的关系进行推理，生成追溯链接预测</x:v>
      </x:c>
      <x:c r="K53" s="6" t="str">
        <x:v>追溯链接预测（链接/无链接或排序）</x:v>
      </x:c>
      <x:c r="L53" s="2" t="str">
        <x:v>3 Traceability inference</x:v>
      </x:c>
      <x:c r="M53" s="2" t="str">
        <x:v>link_set_generation</x:v>
      </x:c>
      <x:c r="N53" s="2" t="str">
        <x:v>R3 Trace Inferencer</x:v>
      </x:c>
      <x:c r="O53" s="2" t="str">
        <x:v>NA</x:v>
      </x:c>
      <x:c r="P53" s="2" t="str">
        <x:v>Primary</x:v>
      </x:c>
      <x:c r="Q53" s="6" t="str">
        <x:v>NA</x:v>
      </x:c>
      <x:c r="R53" s="6" t="str">
        <x:v>Identifies or predicts a set of target artifacts related to a source artifact. The output materializes a trace decision as a label, score, ranking, link set, path, matrix, source attribution, or relation-focused answer.</x:v>
      </x:c>
      <x:c r="S53" s="6" t="str">
        <x:v>p. 3; Section III-A</x:v>
      </x:c>
      <x:c r="T53" s="6" t="str">
        <x:v>enhance LLMs’ ability to generate trace link predictions—even without training examples</x:v>
      </x:c>
      <x:c r="U53" s="6" t="str">
        <x:v>Identifies or predicts a set of target artifacts related to a source artifact. The output materializes a trace decision as a label, score, ranking, link set, path, matrix, source attribution, or relation-focused answer.</x:v>
      </x:c>
      <x:c r="V53" s="2" t="str">
        <x:v>Accepted</x:v>
      </x:c>
      <x:c r="W53" s="6" t="str">
        <x:v>NR Included in the main functional-role analysis.</x:v>
      </x:c>
    </x:row>
    <x:row r="54" ht="76" customHeight="1">
      <x:c r="A54" s="2" t="str">
        <x:v>S26-ROLE-R02</x:v>
      </x:c>
      <x:c r="B54" s="2" t="str">
        <x:v>S26</x:v>
      </x:c>
      <x:c r="C54" s="2" t="str">
        <x:v>merged_1212</x:v>
      </x:c>
      <x:c r="D54" s="2" t="str">
        <x:v>Reviewer_A</x:v>
      </x:c>
      <x:c r="E54" s="2" t="str">
        <x:v>Reviewer_A</x:v>
      </x:c>
      <x:c r="F54" s="2" t="str">
        <x:v>S26-O02</x:v>
      </x:c>
      <x:c r="G54" s="2" t="str">
        <x:v>S26-T01</x:v>
      </x:c>
      <x:c r="H54" s="2" t="str">
        <x:v>refinement of VSM predictions</x:v>
      </x:c>
      <x:c r="I54" s="6" t="str">
        <x:v>制品对和 VSM 生成的初选预测集</x:v>
      </x:c>
      <x:c r="J54" s="2" t="str">
        <x:v>结合初选预测和自身知识对预测进行精炼、重排序或过滤</x:v>
      </x:c>
      <x:c r="K54" s="6" t="str">
        <x:v>精炼后的追溯链接预测</x:v>
      </x:c>
      <x:c r="L54" s="2" t="str">
        <x:v>3 Traceability inference</x:v>
      </x:c>
      <x:c r="M54" s="2" t="str">
        <x:v>candidate_link_ranking</x:v>
      </x:c>
      <x:c r="N54" s="2" t="str">
        <x:v>R3 Trace Inferencer</x:v>
      </x:c>
      <x:c r="O54" s="2" t="str">
        <x:v>NA</x:v>
      </x:c>
      <x:c r="P54" s="2" t="str">
        <x:v>Primary</x:v>
      </x:c>
      <x:c r="Q54" s="6" t="str">
        <x:v>NA</x:v>
      </x:c>
      <x:c r="R54" s="6" t="str">
        <x:v>Ranks candidate target artifacts according to their likelihood of forming a trace link with a source artifact. The output materializes a trace decision as a label, score, ranking, link set, path, matrix, source attribution, or relation-focused answer.</x:v>
      </x:c>
      <x:c r="S54" s="6" t="str">
        <x:v>p. 3; Section III-A</x:v>
      </x:c>
      <x:c r="T54" s="6" t="str">
        <x:v>We also introduced a ranking-based approach using Vector Space Models, an established technique in traceability, to generate an initial set of predictions that the LLM could then refine.</x:v>
      </x:c>
      <x:c r="U54" s="6" t="str">
        <x:v>Ranks candidate target artifacts according to their likelihood of forming a trace link with a source artifact. The output materializes a trace decision as a label, score, ranking, link set, path, matrix, source attribution, or relation-focused answer.</x:v>
      </x:c>
      <x:c r="V54" s="2" t="str">
        <x:v>Accepted</x:v>
      </x:c>
      <x:c r="W54" s="6" t="str">
        <x:v>NR Included in the main functional-role analysis.</x:v>
      </x:c>
    </x:row>
    <x:row r="55" ht="76" customHeight="1">
      <x:c r="A55" s="2" t="str">
        <x:v>S26-ROLE-R03</x:v>
      </x:c>
      <x:c r="B55" s="2" t="str">
        <x:v>S26</x:v>
      </x:c>
      <x:c r="C55" s="2" t="str">
        <x:v>merged_1212</x:v>
      </x:c>
      <x:c r="D55" s="2" t="str">
        <x:v>Reviewer_A</x:v>
      </x:c>
      <x:c r="E55" s="2" t="str">
        <x:v>Reviewer_A</x:v>
      </x:c>
      <x:c r="F55" s="2" t="str">
        <x:v>S26-O03</x:v>
      </x:c>
      <x:c r="G55" s="2" t="str">
        <x:v>S26-T02</x:v>
      </x:c>
      <x:c r="H55" s="2" t="str">
        <x:v>artifact generation from code</x:v>
      </x:c>
      <x:c r="I55" s="6" t="str">
        <x:v>聚类后的低层制品（如代码片段摘要）</x:v>
      </x:c>
      <x:c r="J55" s="2" t="str">
        <x:v>基于低层制品合成更高抽象层次的文档（如需求、设计说明）</x:v>
      </x:c>
      <x:c r="K55" s="6" t="str">
        <x:v>高层文档制品</x:v>
      </x:c>
      <x:c r="L55" s="2" t="str">
        <x:v>2 Semantic contextualization</x:v>
      </x:c>
      <x:c r="M55" s="2" t="str">
        <x:v>related_artifact_generation</x:v>
      </x:c>
      <x:c r="N55" s="2" t="str">
        <x:v>R2 Information Enhancer</x:v>
      </x:c>
      <x:c r="O55" s="2" t="str">
        <x:v>NA</x:v>
      </x:c>
      <x:c r="P55" s="2" t="str">
        <x:v>Primary</x:v>
      </x:c>
      <x:c r="Q55" s="6" t="str">
        <x:v>NA</x:v>
      </x:c>
      <x:c r="R55"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55" s="6" t="str">
        <x:v>p. 3; Section III-B</x:v>
      </x:c>
      <x:c r="T55" s="6" t="str">
        <x:v>Each cluster is then presented to the LLM, narrowing the context to help the model better comprehend and leverage the input for artifact generation.</x:v>
      </x:c>
      <x:c r="U55"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55" s="2" t="str">
        <x:v>Accepted</x:v>
      </x:c>
      <x:c r="W55" s="6" t="str">
        <x:v>NR Included in the main functional-role analysis.</x:v>
      </x:c>
    </x:row>
    <x:row r="56" ht="76" customHeight="1">
      <x:c r="A56" s="2" t="str">
        <x:v>S26-ROLE-R04</x:v>
      </x:c>
      <x:c r="B56" s="2" t="str">
        <x:v>S26</x:v>
      </x:c>
      <x:c r="C56" s="2" t="str">
        <x:v>merged_1212</x:v>
      </x:c>
      <x:c r="D56" s="2" t="str">
        <x:v>Reviewer_A</x:v>
      </x:c>
      <x:c r="E56" s="2" t="str">
        <x:v>Reviewer_A</x:v>
      </x:c>
      <x:c r="F56" s="2" t="str">
        <x:v>S26-O04</x:v>
      </x:c>
      <x:c r="G56" s="2" t="str">
        <x:v>S26-T03</x:v>
      </x:c>
      <x:c r="H56" s="2" t="str">
        <x:v>traceable requirement generation</x:v>
      </x:c>
      <x:c r="I56" s="6" t="str">
        <x:v>经框架引导的设计决策（工程师对针对性问题的回答）</x:v>
      </x:c>
      <x:c r="J56" s="2" t="str">
        <x:v>将设计决策自动转换为带有追溯信息的安全需求</x:v>
      </x:c>
      <x:c r="K56" s="6" t="str">
        <x:v>可追溯的安全需求</x:v>
      </x:c>
      <x:c r="L56" s="2" t="str">
        <x:v>5 Evolution and embedding</x:v>
      </x:c>
      <x:c r="M56" s="2" t="str">
        <x:v>trace_annotated_artifact_generation</x:v>
      </x:c>
      <x:c r="N56" s="2" t="str">
        <x:v>R5 Information Embedder</x:v>
      </x:c>
      <x:c r="O56" s="2" t="str">
        <x:v>NA</x:v>
      </x:c>
      <x:c r="P56" s="2" t="str">
        <x:v>Primary</x:v>
      </x:c>
      <x:c r="Q56" s="6" t="str">
        <x:v>The operation also generates new artifact content, but explicit trace relations or annotations are part of the output; R5 takes precedence over ordinary generation (R2).</x:v>
      </x:c>
      <x:c r="R56" s="6" t="str">
        <x:v>Generates an artifact while explicitly inserting trace identifiers, annotations, or relations into it. The output artifact contains explicit trace identifiers, annotations, or relations, or its content is generated or revised under explicit traceability evidence or feedback.</x:v>
      </x:c>
      <x:c r="S56" s="6" t="str">
        <x:v>p. 4; Section III-C</x:v>
      </x:c>
      <x:c r="T56" s="6" t="str">
        <x:v>These decisions are then automatically transformed into traceable, safety-focused requirements</x:v>
      </x:c>
      <x:c r="U56" s="6" t="str">
        <x:v>Generates an artifact while explicitly inserting trace identifiers, annotations, or relations into it. The output artifact contains explicit trace identifiers, annotations, or relations, or its content is generated or revised under explicit traceability evidence or feedback.</x:v>
      </x:c>
      <x:c r="V56" s="2" t="str">
        <x:v>Accepted</x:v>
      </x:c>
      <x:c r="W56" s="6" t="str">
        <x:v>NR Included in the main functional-role analysis.</x:v>
      </x:c>
    </x:row>
    <x:row r="57" ht="76" customHeight="1">
      <x:c r="A57" s="2" t="str">
        <x:v>S26-ROLE-R05</x:v>
      </x:c>
      <x:c r="B57" s="2" t="str">
        <x:v>S26</x:v>
      </x:c>
      <x:c r="C57" s="2" t="str">
        <x:v>merged_1212</x:v>
      </x:c>
      <x:c r="D57" s="2" t="str">
        <x:v>Reviewer_A</x:v>
      </x:c>
      <x:c r="E57" s="2" t="str">
        <x:v>Reviewer_A</x:v>
      </x:c>
      <x:c r="F57" s="2" t="str">
        <x:v>S26-O05</x:v>
      </x:c>
      <x:c r="G57" s="2" t="str">
        <x:v>S26-T04</x:v>
      </x:c>
      <x:c r="H57" s="2" t="str">
        <x:v>root cause tracing</x:v>
      </x:c>
      <x:c r="I57" s="6" t="str">
        <x:v>差分测试结果及工具检索的代码、文档上下文</x:v>
      </x:c>
      <x:c r="J57" s="2" t="str">
        <x:v>协调多种工具（Graph-RAG、代码搜索），推理观察到的差异与可能的根本原因之间的追溯关系</x:v>
      </x:c>
      <x:c r="K57" s="6" t="str">
        <x:v>指向提交、代码、文档的根本原因追溯链接</x:v>
      </x:c>
      <x:c r="L57" s="2" t="str">
        <x:v>3 Traceability inference</x:v>
      </x:c>
      <x:c r="M57" s="2" t="str">
        <x:v>agentic_link_recovery</x:v>
      </x:c>
      <x:c r="N57" s="2" t="str">
        <x:v>R3 Trace Inferencer</x:v>
      </x:c>
      <x:c r="O57" s="2" t="str">
        <x:v>NA</x:v>
      </x:c>
      <x:c r="P57" s="2" t="str">
        <x:v>Supporting evidence</x:v>
      </x:c>
      <x:c r="Q57" s="6" t="str">
        <x:v>NA</x:v>
      </x:c>
      <x:c r="R57" s="6" t="str">
        <x:v>Uses an LLM agent and tools iteratively to recover a trace target or causal source. The output materializes a trace decision as a label, score, ranking, link set, path, matrix, source attribution, or relation-focused answer.</x:v>
      </x:c>
      <x:c r="S57" s="6" t="str">
        <x:v>p. 4; Section III-D</x:v>
      </x:c>
      <x:c r="T57" s="6" t="str">
        <x:v>provide traceability from observed differences in environments to possible root causes in commits, code, and documentation</x:v>
      </x:c>
      <x:c r="U57" s="6" t="str">
        <x:v>Uses an LLM agent and tools iteratively to recover a trace target or causal source. The output materializes a trace decision as a label, score, ranking, link set, path, matrix, source attribution, or relation-focused answer.</x:v>
      </x:c>
      <x:c r="V57" s="2" t="str">
        <x:v>Retained outside RQ3 main analysis</x:v>
      </x:c>
      <x:c r="W57" s="6" t="str">
        <x:v>计划阶段，未实际执行 Conceptual operation reported as planned but not executed.</x:v>
      </x:c>
    </x:row>
    <x:row r="58" ht="76" customHeight="1">
      <x:c r="A58" s="2" t="str">
        <x:v>S27-ROLE-R01</x:v>
      </x:c>
      <x:c r="B58" s="2" t="str">
        <x:v>S27</x:v>
      </x:c>
      <x:c r="C58" s="2" t="str">
        <x:v>merged_1213</x:v>
      </x:c>
      <x:c r="D58" s="2" t="str">
        <x:v>Reviewer_A</x:v>
      </x:c>
      <x:c r="E58" s="2" t="str">
        <x:v>Reviewer_A</x:v>
      </x:c>
      <x:c r="F58" s="2" t="str">
        <x:v>S27-O01</x:v>
      </x:c>
      <x:c r="G58" s="2" t="str">
        <x:v>S27-T01</x:v>
      </x:c>
      <x:c r="H58" s="2" t="str">
        <x:v>pre-filter</x:v>
      </x:c>
      <x:c r="I58" s="6" t="str">
        <x:v>一组候选需求对（高层需求与低层需求）及分类提示。</x:v>
      </x:c>
      <x:c r="J58" s="2" t="str">
        <x:v>LLM对每一对需求进行二元分类，判断是否存在可追溯性链接，输出yes/no以筛选候选对。</x:v>
      </x:c>
      <x:c r="K58" s="6" t="str">
        <x:v>过滤后的候选需求对集合（仅保留模型预测为链接的对）。</x:v>
      </x:c>
      <x:c r="L58" s="2" t="str">
        <x:v>3 Traceability inference</x:v>
      </x:c>
      <x:c r="M58" s="2" t="str">
        <x:v>pairwise_link_classification</x:v>
      </x:c>
      <x:c r="N58" s="2" t="str">
        <x:v>R3 Trace Inferencer</x:v>
      </x:c>
      <x:c r="O58" s="2" t="str">
        <x:v>NA</x:v>
      </x:c>
      <x:c r="P58" s="2" t="str">
        <x:v>Primary</x:v>
      </x:c>
      <x:c r="Q58" s="6" t="str">
        <x:v>NA</x:v>
      </x:c>
      <x:c r="R58" s="6" t="str">
        <x:v>Decides whether a trace relation exists for a supplied artifact pair, optionally with confidence or a short rationale. The output materializes a trace decision as a label, score, ranking, link set, path, matrix, source attribution, or relation-focused answer.</x:v>
      </x:c>
      <x:c r="S58" s="6" t="str">
        <x:v>p. 1; Section I</x:v>
      </x:c>
      <x:c r="T58" s="6" t="str">
        <x:v>The core idea is to use smaller, faster LLMs to pre-filter candidate pairs of high-level requirements (HLRs) and lowlevel requirements (LLRs), eliminating those unlikely to be</x:v>
      </x:c>
      <x:c r="U58" s="6" t="str">
        <x:v>Decides whether a trace relation exists for a supplied artifact pair, optionally with confidence or a short rationale. The output materializes a trace decision as a label, score, ranking, link set, path, matrix, source attribution, or relation-focused answer.</x:v>
      </x:c>
      <x:c r="V58" s="2" t="str">
        <x:v>Accepted</x:v>
      </x:c>
      <x:c r="W58" s="6" t="str">
        <x:v>Included in the main functional-role analysis.</x:v>
      </x:c>
    </x:row>
    <x:row r="59" ht="76" customHeight="1">
      <x:c r="A59" s="2" t="str">
        <x:v>S27-ROLE-R02</x:v>
      </x:c>
      <x:c r="B59" s="2" t="str">
        <x:v>S27</x:v>
      </x:c>
      <x:c r="C59" s="2" t="str">
        <x:v>merged_1213</x:v>
      </x:c>
      <x:c r="D59" s="2" t="str">
        <x:v>Reviewer_A</x:v>
      </x:c>
      <x:c r="E59" s="2" t="str">
        <x:v>Reviewer_A</x:v>
      </x:c>
      <x:c r="F59" s="2" t="str">
        <x:v>S27-O02</x:v>
      </x:c>
      <x:c r="G59" s="2" t="str">
        <x:v>S27-T01</x:v>
      </x:c>
      <x:c r="H59" s="2" t="str">
        <x:v>mapping</x:v>
      </x:c>
      <x:c r="I59" s="6" t="str">
        <x:v>过滤后的候选需求对及链式思维提示。</x:v>
      </x:c>
      <x:c r="J59" s="2" t="str">
        <x:v>LLM对候选对进行推理和分类，给出是/否的链接判定及推理过程。</x:v>
      </x:c>
      <x:c r="K59" s="6" t="str">
        <x:v>最终的可追溯性链接判定（yes/no）及推理。</x:v>
      </x:c>
      <x:c r="L59" s="2" t="str">
        <x:v>3 Traceability inference</x:v>
      </x:c>
      <x:c r="M59" s="2" t="str">
        <x:v>pairwise_link_classification</x:v>
      </x:c>
      <x:c r="N59" s="2" t="str">
        <x:v>R3 Trace Inferencer</x:v>
      </x:c>
      <x:c r="O59" s="2" t="str">
        <x:v>NA</x:v>
      </x:c>
      <x:c r="P59" s="2" t="str">
        <x:v>Primary</x:v>
      </x:c>
      <x:c r="Q59" s="6" t="str">
        <x:v>NA</x:v>
      </x:c>
      <x:c r="R59" s="6" t="str">
        <x:v>Decides whether a trace relation exists for a supplied artifact pair, optionally with confidence or a short rationale. The output materializes a trace decision as a label, score, ranking, link set, path, matrix, source attribution, or relation-focused answer.</x:v>
      </x:c>
      <x:c r="S59" s="6" t="str">
        <x:v>p. 2; Section III-A</x:v>
      </x:c>
      <x:c r="T59" s="6" t="str">
        <x:v>In the mapping step, LiSSA uses an LLM to classify the candidate pairs as linked or not linked.</x:v>
      </x:c>
      <x:c r="U59" s="6" t="str">
        <x:v>Decides whether a trace relation exists for a supplied artifact pair, optionally with confidence or a short rationale. The output materializes a trace decision as a label, score, ranking, link set, path, matrix, source attribution, or relation-focused answer.</x:v>
      </x:c>
      <x:c r="V59" s="2" t="str">
        <x:v>Accepted</x:v>
      </x:c>
      <x:c r="W59" s="6" t="str">
        <x:v>Included in the main functional-role analysis.</x:v>
      </x:c>
    </x:row>
    <x:row r="60" ht="76" customHeight="1">
      <x:c r="A60" s="2" t="str">
        <x:v>S28-ROLE-R01</x:v>
      </x:c>
      <x:c r="B60" s="2" t="str">
        <x:v>S28</x:v>
      </x:c>
      <x:c r="C60" s="2" t="str">
        <x:v>merged_1214</x:v>
      </x:c>
      <x:c r="D60" s="2" t="str">
        <x:v>Reviewer_A</x:v>
      </x:c>
      <x:c r="E60" s="2" t="str">
        <x:v>Reviewer_A</x:v>
      </x:c>
      <x:c r="F60" s="2" t="str">
        <x:v>S28-O01</x:v>
      </x:c>
      <x:c r="G60" s="2" t="str">
        <x:v>S28-T02</x:v>
      </x:c>
      <x:c r="H60" s="2" t="str">
        <x:v>Code Summary Generation</x:v>
      </x:c>
      <x:c r="I60" s="6" t="str">
        <x:v>整个类的源代码</x:v>
      </x:c>
      <x:c r="J60" s="2" t="str">
        <x:v>生成包含类目的、属性和方法的类摘要</x:v>
      </x:c>
      <x:c r="K60" s="6" t="str">
        <x:v>结构化摘要（类名、类摘要、方法摘要）</x:v>
      </x:c>
      <x:c r="L60" s="2" t="str">
        <x:v>2 Semantic contextualization</x:v>
      </x:c>
      <x:c r="M60" s="2" t="str">
        <x:v>artifact_summarization</x:v>
      </x:c>
      <x:c r="N60" s="2" t="str">
        <x:v>R1 Feature Extractor</x:v>
      </x:c>
      <x:c r="O60" s="2" t="str">
        <x:v>NA</x:v>
      </x:c>
      <x:c r="P60" s="2" t="str">
        <x:v>Primary</x:v>
      </x:c>
      <x:c r="Q60" s="6" t="str">
        <x:v>NA</x:v>
      </x:c>
      <x:c r="R60"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S60" s="6" t="str">
        <x:v>p. 8; Section 4.1 Code Summary Generation</x:v>
      </x:c>
      <x:c r="T60" s="6" t="str">
        <x:v>we use an LLM to generate the class docstring using the source code of the whole class.</x:v>
      </x:c>
      <x:c r="U60"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V60" s="2" t="str">
        <x:v>Accepted</x:v>
      </x:c>
      <x:c r="W60" s="6" t="str">
        <x:v>NR Included in the main functional-role analysis.</x:v>
      </x:c>
    </x:row>
    <x:row r="61" ht="76" customHeight="1">
      <x:c r="A61" s="2" t="str">
        <x:v>S28-ROLE-R02</x:v>
      </x:c>
      <x:c r="B61" s="2" t="str">
        <x:v>S28</x:v>
      </x:c>
      <x:c r="C61" s="2" t="str">
        <x:v>merged_1214</x:v>
      </x:c>
      <x:c r="D61" s="2" t="str">
        <x:v>Reviewer_A</x:v>
      </x:c>
      <x:c r="E61" s="2" t="str">
        <x:v>Reviewer_A</x:v>
      </x:c>
      <x:c r="F61" s="2" t="str">
        <x:v>S28-O02</x:v>
      </x:c>
      <x:c r="G61" s="2" t="str">
        <x:v>S28-T01</x:v>
      </x:c>
      <x:c r="H61" s="2" t="str">
        <x:v>Query Expansion</x:v>
      </x:c>
      <x:c r="I61" s="6" t="str">
        <x:v>原始需求</x:v>
      </x:c>
      <x:c r="J61" s="2" t="str">
        <x:v>生成语义相似的需求</x:v>
      </x:c>
      <x:c r="K61" s="6" t="str">
        <x:v>扩展后的需求文本</x:v>
      </x:c>
      <x:c r="L61" s="2" t="str">
        <x:v>2 Semantic contextualization</x:v>
      </x:c>
      <x:c r="M61" s="2" t="str">
        <x:v>query_expansion</x:v>
      </x:c>
      <x:c r="N61" s="2" t="str">
        <x:v>R2 Information Enhancer</x:v>
      </x:c>
      <x:c r="O61" s="2" t="str">
        <x:v>NA</x:v>
      </x:c>
      <x:c r="P61" s="2" t="str">
        <x:v>Primary</x:v>
      </x:c>
      <x:c r="Q61" s="6" t="str">
        <x:v>NA</x:v>
      </x:c>
      <x:c r="R61" s="6" t="str">
        <x:v>Produces semantically related formulations that enrich a traceability search query. The output is derivative or enriched content based on one or more artifacts; it does not itself decide, verify, or persist a trace relation.</x:v>
      </x:c>
      <x:c r="S61" s="6" t="str">
        <x:v>p. 10; Section 4.2 second paragraph</x:v>
      </x:c>
      <x:c r="T61" s="6" t="str">
        <x:v>we employ query expansion by generating semantically similar requirements. We use LLM to generate these similar requirements</x:v>
      </x:c>
      <x:c r="U61" s="6" t="str">
        <x:v>Produces semantically related formulations that enrich a traceability search query. The output is derivative or enriched content based on one or more artifacts; it does not itself decide, verify, or persist a trace relation.</x:v>
      </x:c>
      <x:c r="V61" s="2" t="str">
        <x:v>Accepted</x:v>
      </x:c>
      <x:c r="W61" s="6" t="str">
        <x:v>NR Included in the main functional-role analysis.</x:v>
      </x:c>
    </x:row>
    <x:row r="62" ht="76" customHeight="1">
      <x:c r="A62" s="2" t="str">
        <x:v>S28-ROLE-R03</x:v>
      </x:c>
      <x:c r="B62" s="2" t="str">
        <x:v>S28</x:v>
      </x:c>
      <x:c r="C62" s="2" t="str">
        <x:v>merged_1214</x:v>
      </x:c>
      <x:c r="D62" s="2" t="str">
        <x:v>Reviewer_A</x:v>
      </x:c>
      <x:c r="E62" s="2" t="str">
        <x:v>Reviewer_A</x:v>
      </x:c>
      <x:c r="F62" s="2" t="str">
        <x:v>S28-O03</x:v>
      </x:c>
      <x:c r="G62" s="2" t="str">
        <x:v>S28-T01</x:v>
      </x:c>
      <x:c r="H62" s="2" t="str">
        <x:v>Response Generation</x:v>
      </x:c>
      <x:c r="I62" s="6" t="str">
        <x:v>包含需求和检索文档的上下文提示</x:v>
      </x:c>
      <x:c r="J62" s="2" t="str">
        <x:v>预测与需求相关的类名</x:v>
      </x:c>
      <x:c r="K62" s="6" t="str">
        <x:v>类名列表（JSON格式）</x:v>
      </x:c>
      <x:c r="L62" s="2" t="str">
        <x:v>3 Traceability inference</x:v>
      </x:c>
      <x:c r="M62" s="2" t="str">
        <x:v>link_set_generation</x:v>
      </x:c>
      <x:c r="N62" s="2" t="str">
        <x:v>R3 Trace Inferencer</x:v>
      </x:c>
      <x:c r="O62" s="2" t="str">
        <x:v>NA</x:v>
      </x:c>
      <x:c r="P62" s="2" t="str">
        <x:v>Primary</x:v>
      </x:c>
      <x:c r="Q62" s="6" t="str">
        <x:v>NA</x:v>
      </x:c>
      <x:c r="R62" s="6" t="str">
        <x:v>Identifies or predicts a set of target artifacts related to a source artifact. The output materializes a trace decision as a label, score, ranking, link set, path, matrix, source attribution, or relation-focused answer.</x:v>
      </x:c>
      <x:c r="S62" s="6" t="str">
        <x:v>p. 11; Section 4.2 Response Generation</x:v>
      </x:c>
      <x:c r="T62" s="6" t="str">
        <x:v>the LLM receives the contextualized prompt, which includes the query, i.e., the natural language requirement and the relevant code elements and documentation. The LLM utilizes this enriched context to formulate a response</x:v>
      </x:c>
      <x:c r="U62" s="6" t="str">
        <x:v>Identifies or predicts a set of target artifacts related to a source artifact. The output materializes a trace decision as a label, score, ranking, link set, path, matrix, source attribution, or relation-focused answer.</x:v>
      </x:c>
      <x:c r="V62" s="2" t="str">
        <x:v>Accepted</x:v>
      </x:c>
      <x:c r="W62" s="6" t="str">
        <x:v>NR Included in the main functional-role analysis.</x:v>
      </x:c>
    </x:row>
    <x:row r="63" ht="76" customHeight="1">
      <x:c r="A63" s="2" t="str">
        <x:v>S29-ROLE-R01</x:v>
      </x:c>
      <x:c r="B63" s="2" t="str">
        <x:v>S29</x:v>
      </x:c>
      <x:c r="C63" s="2" t="str">
        <x:v>merged_1215-v4</x:v>
      </x:c>
      <x:c r="D63" s="2" t="str">
        <x:v>Reviewer_A</x:v>
      </x:c>
      <x:c r="E63" s="2" t="str">
        <x:v>Reviewer_A</x:v>
      </x:c>
      <x:c r="F63" s="2" t="str">
        <x:v>S29-O01</x:v>
      </x:c>
      <x:c r="G63" s="2" t="str">
        <x:v>S29-T01</x:v>
      </x:c>
      <x:c r="H63" s="2" t="str">
        <x:v>generator</x:v>
      </x:c>
      <x:c r="I63" s="6" t="str">
        <x:v>包含检索到的k个正例和k个负例作为上下文示例的提示，以及要验证的&lt;stakeholder requirement, system requirement&gt;对</x:v>
      </x:c>
      <x:c r="J63" s="2" t="str">
        <x:v>根据指令和示例，判断系统需求是否覆盖了利益相关者需求中的消息或信号，从而决定追溯链接有效或无效</x:v>
      </x:c>
      <x:c r="K63" s="6" t="str">
        <x:v>仅输出'Yes'或'No'，表示追溯链接有效或无效</x:v>
      </x:c>
      <x:c r="L63" s="2" t="str">
        <x:v>3 Traceability inference</x:v>
      </x:c>
      <x:c r="M63" s="2" t="str">
        <x:v>link_validity_assessment</x:v>
      </x:c>
      <x:c r="N63" s="2" t="str">
        <x:v>R4 Verification Evaluator</x:v>
      </x:c>
      <x:c r="O63" s="2" t="str">
        <x:v>NA</x:v>
      </x:c>
      <x:c r="P63" s="2" t="str">
        <x:v>Primary</x:v>
      </x:c>
      <x:c r="Q63" s="6" t="str">
        <x:v>The LLM is invoked in an explicit validation stage over a supplied or structurally supported candidate relation; R4 takes precedence over initial link classification.</x:v>
      </x:c>
      <x:c r="R63" s="6" t="str">
        <x:v>Validates the correctness of an existing, generated, or structurally supported candidate trace link. The input contains an existing, generated, or candidate relation or coverage mapping, and the output evaluates its validity, quality, completeness, consistency, compliance, or explanatory adequacy.</x:v>
      </x:c>
      <x:c r="S63" s="6" t="str">
        <x:v>p. 9; Section 3.2</x:v>
      </x:c>
      <x:c r="T63" s="6" t="str">
        <x:v>Using this augmented prompt, the generator analyzes the relationship between the stakeholder requirement (stakeReqtest) and the system requirement (sysReqtest). It generates a response indicating whether their traceability link is valid.</x:v>
      </x:c>
      <x:c r="U63" s="6" t="str">
        <x:v>Validates the correctness of an existing, generated, or structurally supported candidate trace link. The input contains an existing, generated, or candidate relation or coverage mapping, and the output evaluates its validity, quality, completeness, consistency, compliance, or explanatory adequacy.</x:v>
      </x:c>
      <x:c r="V63" s="2" t="str">
        <x:v>Accepted</x:v>
      </x:c>
      <x:c r="W63" s="6" t="str">
        <x:v>Included in the main functional-role analysis.</x:v>
      </x:c>
    </x:row>
    <x:row r="64" ht="76" customHeight="1">
      <x:c r="A64" s="2" t="str">
        <x:v>S29-ROLE-R02</x:v>
      </x:c>
      <x:c r="B64" s="2" t="str">
        <x:v>S29</x:v>
      </x:c>
      <x:c r="C64" s="2" t="str">
        <x:v>merged_1215-v4</x:v>
      </x:c>
      <x:c r="D64" s="2" t="str">
        <x:v>Reviewer_A</x:v>
      </x:c>
      <x:c r="E64" s="2" t="str">
        <x:v>Reviewer_A</x:v>
      </x:c>
      <x:c r="F64" s="2" t="str">
        <x:v>S29-O02</x:v>
      </x:c>
      <x:c r="G64" s="2" t="str">
        <x:v>S29-T02</x:v>
      </x:c>
      <x:c r="H64" s="2" t="str">
        <x:v>generator</x:v>
      </x:c>
      <x:c r="I64" s="6" t="str">
        <x:v>经过预处理过滤后的未链接需求对，以及同样的RAG提示，包括检索到的示例</x:v>
      </x:c>
      <x:c r="J64" s="2" t="str">
        <x:v>与验证任务相同：判断系统需求是否覆盖了利益相关者需求中的消息或信号，从而确认是否存在缺失的追溯链接</x:v>
      </x:c>
      <x:c r="K64" s="6" t="str">
        <x:v>仅输出'Yes'或'No'，'Yes'表示存在缺失的追溯链接</x:v>
      </x:c>
      <x:c r="L64" s="2" t="str">
        <x:v>3 Traceability inference</x:v>
      </x:c>
      <x:c r="M64" s="2" t="str">
        <x:v>missing_link_identification</x:v>
      </x:c>
      <x:c r="N64" s="2" t="str">
        <x:v>R3 Trace Inferencer</x:v>
      </x:c>
      <x:c r="O64" s="2" t="str">
        <x:v>NA</x:v>
      </x:c>
      <x:c r="P64" s="2" t="str">
        <x:v>Primary</x:v>
      </x:c>
      <x:c r="Q64" s="6" t="str">
        <x:v>NA</x:v>
      </x:c>
      <x:c r="R64" s="6" t="str">
        <x:v>Determines that a required trace relation is absent and identifies the missing link. The output materializes a trace decision as a label, score, ranking, link set, path, matrix, source attribution, or relation-focused answer.</x:v>
      </x:c>
      <x:c r="S64" s="6" t="str">
        <x:v>p. 11; Section 3.3</x:v>
      </x:c>
      <x:c r="T64" s="6" t="str">
        <x:v>We use TVR to validate this hypothesis. If H is confirmed for a pair, it implies that the traceLink is missing and should be added to the dataset.</x:v>
      </x:c>
      <x:c r="U64" s="6" t="str">
        <x:v>Determines that a required trace relation is absent and identifies the missing link. The output materializes a trace decision as a label, score, ranking, link set, path, matrix, source attribution, or relation-focused answer.</x:v>
      </x:c>
      <x:c r="V64" s="2" t="str">
        <x:v>Accepted</x:v>
      </x:c>
      <x:c r="W64" s="6" t="str">
        <x:v>Included in the main functional-role analysis.</x:v>
      </x:c>
    </x:row>
    <x:row r="65" ht="76" customHeight="1">
      <x:c r="A65" s="2" t="str">
        <x:v>S30-ROLE-R01</x:v>
      </x:c>
      <x:c r="B65" s="2" t="str">
        <x:v>S30</x:v>
      </x:c>
      <x:c r="C65" s="2" t="str">
        <x:v>merged_1218</x:v>
      </x:c>
      <x:c r="D65" s="2" t="str">
        <x:v>Reviewer_A</x:v>
      </x:c>
      <x:c r="E65" s="2" t="str">
        <x:v>Reviewer_A</x:v>
      </x:c>
      <x:c r="F65" s="2" t="str">
        <x:v>S30-O01</x:v>
      </x:c>
      <x:c r="G65" s="2" t="str">
        <x:v>S30-T01</x:v>
      </x:c>
      <x:c r="H65" s="2" t="str">
        <x:v>query generation</x:v>
      </x:c>
      <x:c r="I65" s="6" t="str">
        <x:v>用户自然语言问题与知识图谱schema</x:v>
      </x:c>
      <x:c r="J65" s="2" t="str">
        <x:v>根据输入生成知识图谱查询语言（Cypher）查询</x:v>
      </x:c>
      <x:c r="K65" s="6" t="str">
        <x:v>Cypher查询语句</x:v>
      </x:c>
      <x:c r="L65" s="2" t="str">
        <x:v>2 Semantic contextualization</x:v>
      </x:c>
      <x:c r="M65" s="2" t="str">
        <x:v>trace_query_generation</x:v>
      </x:c>
      <x:c r="N65" s="2" t="str">
        <x:v>R2 Information Enhancer</x:v>
      </x:c>
      <x:c r="O65" s="2" t="str">
        <x:v>NA</x:v>
      </x:c>
      <x:c r="P65" s="2" t="str">
        <x:v>Primary</x:v>
      </x:c>
      <x:c r="Q65" s="6" t="str">
        <x:v>NA</x:v>
      </x:c>
      <x:c r="R65" s="6" t="str">
        <x:v>Transforms a natural-language traceability question into an executable structured query. The output is derivative or enriched content based on one or more artifacts; it does not itself decide, verify, or persist a trace relation.</x:v>
      </x:c>
      <x:c r="S65" s="6" t="str">
        <x:v>p. 3; Section III-B</x:v>
      </x:c>
      <x:c r="T65" s="6" t="str">
        <x:v>The first template is used to create the query generation prompt, which incorporates the schema of the knowledge graph and the user’s question.</x:v>
      </x:c>
      <x:c r="U65" s="6" t="str">
        <x:v>Transforms a natural-language traceability question into an executable structured query. The output is derivative or enriched content based on one or more artifacts; it does not itself decide, verify, or persist a trace relation.</x:v>
      </x:c>
      <x:c r="V65" s="2" t="str">
        <x:v>Accepted</x:v>
      </x:c>
      <x:c r="W65" s="6" t="str">
        <x:v>Included in the main functional-role analysis.</x:v>
      </x:c>
    </x:row>
    <x:row r="66" ht="76" customHeight="1">
      <x:c r="A66" s="2" t="str">
        <x:v>S30-ROLE-R02</x:v>
      </x:c>
      <x:c r="B66" s="2" t="str">
        <x:v>S30</x:v>
      </x:c>
      <x:c r="C66" s="2" t="str">
        <x:v>merged_1218</x:v>
      </x:c>
      <x:c r="D66" s="2" t="str">
        <x:v>Reviewer_A</x:v>
      </x:c>
      <x:c r="E66" s="2" t="str">
        <x:v>Reviewer_A</x:v>
      </x:c>
      <x:c r="F66" s="2" t="str">
        <x:v>S30-O02</x:v>
      </x:c>
      <x:c r="G66" s="2" t="str">
        <x:v>S30-T01</x:v>
      </x:c>
      <x:c r="H66" s="2" t="str">
        <x:v>NL response generation</x:v>
      </x:c>
      <x:c r="I66" s="6" t="str">
        <x:v>检索到的上下文、用户问题、选定的用户persona</x:v>
      </x:c>
      <x:c r="J66" s="2" t="str">
        <x:v>基于上下文、问题与persona生成自然语言回答</x:v>
      </x:c>
      <x:c r="K66" s="6" t="str">
        <x:v>自然语言回答</x:v>
      </x:c>
      <x:c r="L66" s="2" t="str">
        <x:v>3 Traceability inference</x:v>
      </x:c>
      <x:c r="M66" s="2" t="str">
        <x:v>trace_query_answering</x:v>
      </x:c>
      <x:c r="N66" s="2" t="str">
        <x:v>R3 Trace Inferencer</x:v>
      </x:c>
      <x:c r="O66" s="2" t="str">
        <x:v>NA</x:v>
      </x:c>
      <x:c r="P66" s="2" t="str">
        <x:v>Primary</x:v>
      </x:c>
      <x:c r="Q66" s="6" t="str">
        <x:v>NA</x:v>
      </x:c>
      <x:c r="R66" s="6" t="str">
        <x:v>Answers a natural-language question whose substantive output is a trace relation retrieved or inferred from project artifacts. The output materializes a trace decision as a label, score, ranking, link set, path, matrix, source attribution, or relation-focused answer.</x:v>
      </x:c>
      <x:c r="S66" s="6" t="str">
        <x:v>p. 3; Section III-B</x:v>
      </x:c>
      <x:c r="T66" s="6" t="str">
        <x:v>The second template is used to create the NL response prompt and includes the selected user persona, the user’s question, and the context retrieved from the knowledge graph.</x:v>
      </x:c>
      <x:c r="U66" s="6" t="str">
        <x:v>Answers a natural-language question whose substantive output is a trace relation retrieved or inferred from project artifacts. The output materializes a trace decision as a label, score, ranking, link set, path, matrix, source attribution, or relation-focused answer.</x:v>
      </x:c>
      <x:c r="V66" s="2" t="str">
        <x:v>Accepted</x:v>
      </x:c>
      <x:c r="W66" s="6" t="str">
        <x:v>Included in the main functional-role analysis.</x:v>
      </x:c>
    </x:row>
    <x:row r="67" ht="76" customHeight="1">
      <x:c r="A67" s="2" t="str">
        <x:v>S30-ROLE-R03</x:v>
      </x:c>
      <x:c r="B67" s="2" t="str">
        <x:v>S30</x:v>
      </x:c>
      <x:c r="C67" s="2" t="str">
        <x:v>merged_1218</x:v>
      </x:c>
      <x:c r="D67" s="2" t="str">
        <x:v>Reviewer_A</x:v>
      </x:c>
      <x:c r="E67" s="2" t="str">
        <x:v>Reviewer_A</x:v>
      </x:c>
      <x:c r="F67" s="2" t="str">
        <x:v>S30-O03</x:v>
      </x:c>
      <x:c r="G67" s="2" t="str">
        <x:v>S30-T02</x:v>
      </x:c>
      <x:c r="H67" s="2" t="str">
        <x:v>query generation</x:v>
      </x:c>
      <x:c r="I67" s="6" t="str">
        <x:v>用户自然语言问题与知识图谱schema</x:v>
      </x:c>
      <x:c r="J67" s="2" t="str">
        <x:v>根据输入生成知识图谱查询语言（Cypher）查询</x:v>
      </x:c>
      <x:c r="K67" s="6" t="str">
        <x:v>Cypher查询语句</x:v>
      </x:c>
      <x:c r="L67" s="2" t="str">
        <x:v>2 Semantic contextualization</x:v>
      </x:c>
      <x:c r="M67" s="2" t="str">
        <x:v>trace_query_generation</x:v>
      </x:c>
      <x:c r="N67" s="2" t="str">
        <x:v>R2 Information Enhancer</x:v>
      </x:c>
      <x:c r="O67" s="2" t="str">
        <x:v>NA</x:v>
      </x:c>
      <x:c r="P67" s="2" t="str">
        <x:v>Primary</x:v>
      </x:c>
      <x:c r="Q67" s="6" t="str">
        <x:v>NA</x:v>
      </x:c>
      <x:c r="R67" s="6" t="str">
        <x:v>Transforms a natural-language traceability question into an executable structured query. The output is derivative or enriched content based on one or more artifacts; it does not itself decide, verify, or persist a trace relation.</x:v>
      </x:c>
      <x:c r="S67" s="6" t="str">
        <x:v>p. 3; Section III-B</x:v>
      </x:c>
      <x:c r="T67" s="6" t="str">
        <x:v>The first template is used to create the query generation prompt, which incorporates the schema of the knowledge graph and the user’s question.</x:v>
      </x:c>
      <x:c r="U67" s="6" t="str">
        <x:v>Transforms a natural-language traceability question into an executable structured query. The output is derivative or enriched content based on one or more artifacts; it does not itself decide, verify, or persist a trace relation.</x:v>
      </x:c>
      <x:c r="V67" s="2" t="str">
        <x:v>Accepted</x:v>
      </x:c>
      <x:c r="W67" s="6" t="str">
        <x:v>Included in the main functional-role analysis.</x:v>
      </x:c>
    </x:row>
    <x:row r="68" ht="76" customHeight="1">
      <x:c r="A68" s="2" t="str">
        <x:v>S30-ROLE-R04</x:v>
      </x:c>
      <x:c r="B68" s="2" t="str">
        <x:v>S30</x:v>
      </x:c>
      <x:c r="C68" s="2" t="str">
        <x:v>merged_1218</x:v>
      </x:c>
      <x:c r="D68" s="2" t="str">
        <x:v>Reviewer_A</x:v>
      </x:c>
      <x:c r="E68" s="2" t="str">
        <x:v>Reviewer_A</x:v>
      </x:c>
      <x:c r="F68" s="2" t="str">
        <x:v>S30-O04</x:v>
      </x:c>
      <x:c r="G68" s="2" t="str">
        <x:v>S30-T02</x:v>
      </x:c>
      <x:c r="H68" s="2" t="str">
        <x:v>NL response generation</x:v>
      </x:c>
      <x:c r="I68" s="6" t="str">
        <x:v>检索到的上下文、用户问题、选定的用户persona</x:v>
      </x:c>
      <x:c r="J68" s="2" t="str">
        <x:v>基于上下文、问题与persona生成自然语言回答</x:v>
      </x:c>
      <x:c r="K68" s="6" t="str">
        <x:v>自然语言回答</x:v>
      </x:c>
      <x:c r="L68" s="2" t="str">
        <x:v>3 Traceability inference</x:v>
      </x:c>
      <x:c r="M68" s="2" t="str">
        <x:v>trace_query_answering</x:v>
      </x:c>
      <x:c r="N68" s="2" t="str">
        <x:v>R3 Trace Inferencer</x:v>
      </x:c>
      <x:c r="O68" s="2" t="str">
        <x:v>NA</x:v>
      </x:c>
      <x:c r="P68" s="2" t="str">
        <x:v>Primary</x:v>
      </x:c>
      <x:c r="Q68" s="6" t="str">
        <x:v>NA</x:v>
      </x:c>
      <x:c r="R68" s="6" t="str">
        <x:v>Answers a natural-language question whose substantive output is a trace relation retrieved or inferred from project artifacts. The output materializes a trace decision as a label, score, ranking, link set, path, matrix, source attribution, or relation-focused answer.</x:v>
      </x:c>
      <x:c r="S68" s="6" t="str">
        <x:v>p. 3; Section III-B</x:v>
      </x:c>
      <x:c r="T68" s="6" t="str">
        <x:v>The second template is used to create the NL response prompt and includes the selected user persona, the user’s question, and the context retrieved from the knowledge graph.</x:v>
      </x:c>
      <x:c r="U68" s="6" t="str">
        <x:v>Answers a natural-language question whose substantive output is a trace relation retrieved or inferred from project artifacts. The output materializes a trace decision as a label, score, ranking, link set, path, matrix, source attribution, or relation-focused answer.</x:v>
      </x:c>
      <x:c r="V68" s="2" t="str">
        <x:v>Accepted</x:v>
      </x:c>
      <x:c r="W68" s="6" t="str">
        <x:v>Included in the main functional-role analysis.</x:v>
      </x:c>
    </x:row>
    <x:row r="69" ht="76" customHeight="1">
      <x:c r="A69" s="2" t="str">
        <x:v>S31-ROLE-R01</x:v>
      </x:c>
      <x:c r="B69" s="2" t="str">
        <x:v>S31</x:v>
      </x:c>
      <x:c r="C69" s="2" t="str">
        <x:v>merged_1219</x:v>
      </x:c>
      <x:c r="D69" s="2" t="str">
        <x:v>Reviewer_A</x:v>
      </x:c>
      <x:c r="E69" s="2" t="str">
        <x:v>Reviewer_A</x:v>
      </x:c>
      <x:c r="F69" s="2" t="str">
        <x:v>S31-O01</x:v>
      </x:c>
      <x:c r="G69" s="2" t="str">
        <x:v>S31-T01</x:v>
      </x:c>
      <x:c r="H69" s="2" t="str">
        <x:v>Researcher</x:v>
      </x:c>
      <x:c r="I69" s="6" t="str">
        <x:v>trace link, natural language description, optional programming languages</x:v>
      </x:c>
      <x:c r="J69" s="2" t="str">
        <x:v>扩展问题描述为丰富领域框架，映射追溯链接到相关标准，提取权威指导</x:v>
      </x:c>
      <x:c r="K69" s="6" t="str">
        <x:v>领域知识的enriched frame与权威指导</x:v>
      </x:c>
      <x:c r="L69" s="2" t="str">
        <x:v>2 Semantic contextualization</x:v>
      </x:c>
      <x:c r="M69" s="2" t="str">
        <x:v>context_enrichment</x:v>
      </x:c>
      <x:c r="N69" s="2" t="str">
        <x:v>R2 Information Enhancer</x:v>
      </x:c>
      <x:c r="O69" s="2" t="str">
        <x:v>NA</x:v>
      </x:c>
      <x:c r="P69" s="2" t="str">
        <x:v>Primary</x:v>
      </x:c>
      <x:c r="Q69" s="6" t="str">
        <x:v>NA</x:v>
      </x:c>
      <x:c r="R69" s="6" t="str">
        <x:v>Expands, refines, translates into domain context, or supplements an artifact for later traceability reasoning. The output is derivative or enriched content based on one or more artifacts; it does not itself decide, verify, or persist a trace relation.</x:v>
      </x:c>
      <x:c r="S69" s="6" t="str">
        <x:v>p. 3; Section III-B</x:v>
      </x:c>
      <x:c r="T69" s="6" t="str">
        <x:v>The Researcher agent first expands vague problem statements into a rich domain frame by searching out detailed</x:v>
      </x:c>
      <x:c r="U69" s="6" t="str">
        <x:v>Expands, refines, translates into domain context, or supplements an artifact for later traceability reasoning. The output is derivative or enriched content based on one or more artifacts; it does not itself decide, verify, or persist a trace relation.</x:v>
      </x:c>
      <x:c r="V69" s="2" t="str">
        <x:v>Accepted</x:v>
      </x:c>
      <x:c r="W69" s="6" t="str">
        <x:v>Included in the main functional-role analysis.</x:v>
      </x:c>
    </x:row>
    <x:row r="70" ht="76" customHeight="1">
      <x:c r="A70" s="2" t="str">
        <x:v>S31-ROLE-R02</x:v>
      </x:c>
      <x:c r="B70" s="2" t="str">
        <x:v>S31</x:v>
      </x:c>
      <x:c r="C70" s="2" t="str">
        <x:v>merged_1219</x:v>
      </x:c>
      <x:c r="D70" s="2" t="str">
        <x:v>Reviewer_A</x:v>
      </x:c>
      <x:c r="E70" s="2" t="str">
        <x:v>Reviewer_A</x:v>
      </x:c>
      <x:c r="F70" s="2" t="str">
        <x:v>S31-O02</x:v>
      </x:c>
      <x:c r="G70" s="2" t="str">
        <x:v>S31-T01</x:v>
      </x:c>
      <x:c r="H70" s="2" t="str">
        <x:v>Coding Specialist</x:v>
      </x:c>
      <x:c r="I70" s="6" t="str">
        <x:v>前序代理的中间输出（包括领域框架和mitigation信息）</x:v>
      </x:c>
      <x:c r="J70" s="2" t="str">
        <x:v>生成嵌入安全编码模式的代码示例，说明每种缓解措施</x:v>
      </x:c>
      <x:c r="K70" s="6" t="str">
        <x:v>安全编码模式与代码示例</x:v>
      </x:c>
      <x:c r="L70" s="2" t="str">
        <x:v>2 Semantic contextualization</x:v>
      </x:c>
      <x:c r="M70" s="2" t="str">
        <x:v>related_artifact_generation</x:v>
      </x:c>
      <x:c r="N70" s="2" t="str">
        <x:v>R2 Information Enhancer</x:v>
      </x:c>
      <x:c r="O70" s="2" t="str">
        <x:v>NA</x:v>
      </x:c>
      <x:c r="P70" s="2" t="str">
        <x:v>Primary</x:v>
      </x:c>
      <x:c r="Q70" s="6" t="str">
        <x:v>NA</x:v>
      </x:c>
      <x:c r="R70"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70" s="6" t="str">
        <x:v>p. 3; Section III-B</x:v>
      </x:c>
      <x:c r="T70" s="6" t="str">
        <x:v>the Coding Specialist embeds secure-coding patterns that illustrate each mitigation</x:v>
      </x:c>
      <x:c r="U70"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70" s="2" t="str">
        <x:v>Accepted</x:v>
      </x:c>
      <x:c r="W70" s="6" t="str">
        <x:v>Included in the main functional-role analysis.</x:v>
      </x:c>
    </x:row>
    <x:row r="71" ht="76" customHeight="1">
      <x:c r="A71" s="2" t="str">
        <x:v>S31-ROLE-R03</x:v>
      </x:c>
      <x:c r="B71" s="2" t="str">
        <x:v>S31</x:v>
      </x:c>
      <x:c r="C71" s="2" t="str">
        <x:v>merged_1219</x:v>
      </x:c>
      <x:c r="D71" s="2" t="str">
        <x:v>Reviewer_A</x:v>
      </x:c>
      <x:c r="E71" s="2" t="str">
        <x:v>Reviewer_A</x:v>
      </x:c>
      <x:c r="F71" s="2" t="str">
        <x:v>S31-O03</x:v>
      </x:c>
      <x:c r="G71" s="2" t="str">
        <x:v>S31-T01</x:v>
      </x:c>
      <x:c r="H71" s="2" t="str">
        <x:v>Media Fetcher</x:v>
      </x:c>
      <x:c r="I71" s="6" t="str">
        <x:v>领域框架、教学报告草稿</x:v>
      </x:c>
      <x:c r="J71" s="2" t="str">
        <x:v>定位并获取支撑报告的多媒体素材（图片、视频）</x:v>
      </x:c>
      <x:c r="K71" s="6" t="str">
        <x:v>多媒体素材（图片、视频链接）</x:v>
      </x:c>
      <x:c r="L71" s="2" t="str">
        <x:v>2 Semantic contextualization</x:v>
      </x:c>
      <x:c r="M71" s="2" t="str">
        <x:v>context_enrichment</x:v>
      </x:c>
      <x:c r="N71" s="2" t="str">
        <x:v>R2 Information Enhancer</x:v>
      </x:c>
      <x:c r="O71" s="2" t="str">
        <x:v>NA</x:v>
      </x:c>
      <x:c r="P71" s="2" t="str">
        <x:v>Primary</x:v>
      </x:c>
      <x:c r="Q71" s="6" t="str">
        <x:v>NA</x:v>
      </x:c>
      <x:c r="R71" s="6" t="str">
        <x:v>Expands, refines, translates into domain context, or supplements an artifact for later traceability reasoning. The output is derivative or enriched content based on one or more artifacts; it does not itself decide, verify, or persist a trace relation.</x:v>
      </x:c>
      <x:c r="S71" s="6" t="str">
        <x:v>p. 3; Section III-B</x:v>
      </x:c>
      <x:c r="T71" s="6" t="str">
        <x:v>the Media Fetcher locates supporting images and supporting videos, which are embedded to enrich the report</x:v>
      </x:c>
      <x:c r="U71" s="6" t="str">
        <x:v>Expands, refines, translates into domain context, or supplements an artifact for later traceability reasoning. The output is derivative or enriched content based on one or more artifacts; it does not itself decide, verify, or persist a trace relation.</x:v>
      </x:c>
      <x:c r="V71" s="2" t="str">
        <x:v>Accepted</x:v>
      </x:c>
      <x:c r="W71" s="6" t="str">
        <x:v>Included in the main functional-role analysis.</x:v>
      </x:c>
    </x:row>
    <x:row r="72" ht="76" customHeight="1">
      <x:c r="A72" s="2" t="str">
        <x:v>S31-ROLE-R04</x:v>
      </x:c>
      <x:c r="B72" s="2" t="str">
        <x:v>S31</x:v>
      </x:c>
      <x:c r="C72" s="2" t="str">
        <x:v>merged_1219</x:v>
      </x:c>
      <x:c r="D72" s="2" t="str">
        <x:v>Reviewer_A</x:v>
      </x:c>
      <x:c r="E72" s="2" t="str">
        <x:v>Reviewer_A</x:v>
      </x:c>
      <x:c r="F72" s="2" t="str">
        <x:v>S31-O04</x:v>
      </x:c>
      <x:c r="G72" s="2" t="str">
        <x:v>S31-T01</x:v>
      </x:c>
      <x:c r="H72" s="2" t="str">
        <x:v>Writer</x:v>
      </x:c>
      <x:c r="I72" s="6" t="str">
        <x:v>所有前序代理的中间输出（研究结果、代码模式、多媒体素材）</x:v>
      </x:c>
      <x:c r="J72" s="2" t="str">
        <x:v>将前序输出组装为完整的教学报告PDF</x:v>
      </x:c>
      <x:c r="K72" s="6" t="str">
        <x:v>教学报告PDF</x:v>
      </x:c>
      <x:c r="L72" s="2" t="str">
        <x:v>5 Evolution and embedding</x:v>
      </x:c>
      <x:c r="M72" s="2" t="str">
        <x:v>trace_information_integration</x:v>
      </x:c>
      <x:c r="N72" s="2" t="str">
        <x:v>R5 Information Embedder</x:v>
      </x:c>
      <x:c r="O72" s="2" t="str">
        <x:v>NA</x:v>
      </x:c>
      <x:c r="P72" s="2" t="str">
        <x:v>Primary</x:v>
      </x:c>
      <x:c r="Q72" s="6" t="str">
        <x:v>The writer also synthesizes a report, but the report is assembled from trace-link-derived material for audit use; R5 is retained as the primary role.</x:v>
      </x:c>
      <x:c r="R72" s="6" t="str">
        <x:v>Assembles a downstream artifact that explicitly carries trace-derived information for audit, onboarding, or operational use. The output artifact contains explicit trace identifiers, annotations, or relations, or its content is generated or revised under explicit traceability evidence or feedback.</x:v>
      </x:c>
      <x:c r="S72" s="6" t="str">
        <x:v>pp. 3, 5; Sections III-A and IV-A</x:v>
      </x:c>
      <x:c r="T72" s="6" t="str">
        <x:v>The goal of this paper is to implement and evaluate a prototype for automated generation of learning material that converts safety and security oriented trace-links into concise teaching reports. The report that was generated contained specific subsections, structured using the trace-links.</x:v>
      </x:c>
      <x:c r="U72" s="6" t="str">
        <x:v>Assembles a downstream artifact that explicitly carries trace-derived information for audit, onboarding, or operational use. The output artifact contains explicit trace identifiers, annotations, or relations, or its content is generated or revised under explicit traceability evidence or feedback.</x:v>
      </x:c>
      <x:c r="V72" s="2" t="str">
        <x:v>Accepted</x:v>
      </x:c>
      <x:c r="W72" s="6" t="str">
        <x:v>Included in the main functional-role analysis.</x:v>
      </x:c>
    </x:row>
    <x:row r="73" ht="76" customHeight="1">
      <x:c r="A73" s="2" t="str">
        <x:v>S31-ROLE-R05</x:v>
      </x:c>
      <x:c r="B73" s="2" t="str">
        <x:v>S31</x:v>
      </x:c>
      <x:c r="C73" s="2" t="str">
        <x:v>merged_1219</x:v>
      </x:c>
      <x:c r="D73" s="2" t="str">
        <x:v>Reviewer_A</x:v>
      </x:c>
      <x:c r="E73" s="2" t="str">
        <x:v>Reviewer_A</x:v>
      </x:c>
      <x:c r="F73" s="2" t="str">
        <x:v>S31-O05</x:v>
      </x:c>
      <x:c r="G73" s="2" t="str">
        <x:v>S31-T01</x:v>
      </x:c>
      <x:c r="H73" s="2" t="str">
        <x:v>Independent question generator</x:v>
      </x:c>
      <x:c r="I73" s="6" t="str">
        <x:v>trace link及相关描述</x:v>
      </x:c>
      <x:c r="J73" s="2" t="str">
        <x:v>基于trace link生成测评用的选择题</x:v>
      </x:c>
      <x:c r="K73" s="6" t="str">
        <x:v>10道选择题的测验</x:v>
      </x:c>
      <x:c r="L73" s="2" t="str">
        <x:v>Other</x:v>
      </x:c>
      <x:c r="M73" s="2" t="str">
        <x:v>assessment_material_generation</x:v>
      </x:c>
      <x:c r="N73" s="2" t="str">
        <x:v>R2 Information Enhancer</x:v>
      </x:c>
      <x:c r="O73" s="2" t="str">
        <x:v>NA</x:v>
      </x:c>
      <x:c r="P73" s="2" t="str">
        <x:v>Supporting evidence</x:v>
      </x:c>
      <x:c r="Q73" s="6" t="str">
        <x:v>This operation is peripheral to the ST workflow and creates an evaluation instrument from a trace link; it is retained for transparency but should not be interpreted as link inference or validation.</x:v>
      </x:c>
      <x:c r="R73" s="6" t="str">
        <x:v>Generates derivative evaluation or learning material from traceability information. The output is derivative or enriched content based on one or more artifacts; it does not itself decide, verify, or persist a trace relation.</x:v>
      </x:c>
      <x:c r="S73" s="6" t="str">
        <x:v>p. 3; Section III-C</x:v>
      </x:c>
      <x:c r="T73" s="6" t="str">
        <x:v>the independent question generator which is used to create the developer quiz for the survey. Both the prototype (1)</x:v>
      </x:c>
      <x:c r="U73" s="6" t="str">
        <x:v>Generates derivative evaluation or learning material from traceability information. The output is derivative or enriched content based on one or more artifacts; it does not itself decide, verify, or persist a trace relation.</x:v>
      </x:c>
      <x:c r="V73" s="2" t="str">
        <x:v>Retained outside RQ3 main analysis</x:v>
      </x:c>
      <x:c r="W73" s="6" t="str">
        <x:v>仅用于评估，非教学材料生成流水线的一部分 Peripheral quiz generation outside the five-step traceability process.</x:v>
      </x:c>
    </x:row>
    <x:row r="74" ht="76" customHeight="1">
      <x:c r="A74" s="2" t="str">
        <x:v>S32-ROLE-R01</x:v>
      </x:c>
      <x:c r="B74" s="2" t="str">
        <x:v>S32</x:v>
      </x:c>
      <x:c r="C74" s="2" t="str">
        <x:v>merged_1220</x:v>
      </x:c>
      <x:c r="D74" s="2" t="str">
        <x:v>Reviewer_A</x:v>
      </x:c>
      <x:c r="E74" s="2" t="str">
        <x:v>Reviewer_A</x:v>
      </x:c>
      <x:c r="F74" s="2" t="str">
        <x:v>S32-O01</x:v>
      </x:c>
      <x:c r="G74" s="2" t="str">
        <x:v>S32-T01</x:v>
      </x:c>
      <x:c r="H74" s="2" t="str">
        <x:v>requirements analyst</x:v>
      </x:c>
      <x:c r="I74" s="6" t="str">
        <x:v>自然语言需求文本及元模型定义（通过提示嵌入）</x:v>
      </x:c>
      <x:c r="J74" s="2" t="str">
        <x:v>根据元模型定义，从非结构化文本中提取语义元素（功能名、I/O信号、伪代码逻辑、条件、事件），并映射为JSON/XML格式的结构化表示</x:v>
      </x:c>
      <x:c r="K74" s="6" t="str">
        <x:v>符合元模型的结构化需求表示（JSON/XML）</x:v>
      </x:c>
      <x:c r="L74" s="2" t="str">
        <x:v>2 Semantic contextualization</x:v>
      </x:c>
      <x:c r="M74" s="2" t="str">
        <x:v>artifact_element_extraction</x:v>
      </x:c>
      <x:c r="N74" s="2" t="str">
        <x:v>R1 Feature Extractor</x:v>
      </x:c>
      <x:c r="O74" s="2" t="str">
        <x:v>NA</x:v>
      </x:c>
      <x:c r="P74" s="2" t="str">
        <x:v>Primary</x:v>
      </x:c>
      <x:c r="Q74" s="6" t="str">
        <x:v>NA</x:v>
      </x:c>
      <x:c r="R74"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S74" s="6" t="str">
        <x:v>p. 4; section IV.A</x:v>
      </x:c>
      <x:c r="T74" s="6" t="str">
        <x:v>We use a domain-specific metamodel and prompt engineering to guide LLMs in extracting semantic elements—function names, I/O signals, pseudocode logic, conditions, and events—from unstructured texts. These are mapped into JSON/XML format that conforms to the metamodel semantics.</x:v>
      </x:c>
      <x:c r="U74"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V74" s="2" t="str">
        <x:v>Accepted</x:v>
      </x:c>
      <x:c r="W74" s="6" t="str">
        <x:v>Included in the main functional-role analysis.</x:v>
      </x:c>
    </x:row>
    <x:row r="75" ht="76" customHeight="1">
      <x:c r="A75" s="2" t="str">
        <x:v>S33-ROLE-R01</x:v>
      </x:c>
      <x:c r="B75" s="2" t="str">
        <x:v>S33</x:v>
      </x:c>
      <x:c r="C75" s="2" t="str">
        <x:v>merged_1222</x:v>
      </x:c>
      <x:c r="D75" s="2" t="str">
        <x:v>Reviewer_A</x:v>
      </x:c>
      <x:c r="E75" s="2" t="str">
        <x:v>Reviewer_A</x:v>
      </x:c>
      <x:c r="F75" s="2" t="str">
        <x:v>S33-O01</x:v>
      </x:c>
      <x:c r="G75" s="2" t="str">
        <x:v>S33-T01</x:v>
      </x:c>
      <x:c r="H75" s="2" t="str">
        <x:v>LLM evaluation of requirement-code alignment</x:v>
      </x:c>
      <x:c r="I75" s="6" t="str">
        <x:v>System prompt containing instructions, followed by a user prompt with a requirement description and a function code snippet</x:v>
      </x:c>
      <x:c r="J75" s="2" t="str">
        <x:v>评估需求描述与源代码函数之间的语义对齐程度，并输出0到10的得分</x:v>
      </x:c>
      <x:c r="K75" s="6" t="str">
        <x:v>一个0到10的分数，以及解释理由的注释文本</x:v>
      </x:c>
      <x:c r="L75" s="2" t="str">
        <x:v>3 Traceability inference</x:v>
      </x:c>
      <x:c r="M75" s="2" t="str">
        <x:v>link_alignment_scoring</x:v>
      </x:c>
      <x:c r="N75" s="2" t="str">
        <x:v>R3 Trace Inferencer</x:v>
      </x:c>
      <x:c r="O75" s="2" t="str">
        <x:v>NA</x:v>
      </x:c>
      <x:c r="P75" s="2" t="str">
        <x:v>Primary</x:v>
      </x:c>
      <x:c r="Q75" s="6" t="str">
        <x:v>NA</x:v>
      </x:c>
      <x:c r="R75" s="6" t="str">
        <x:v>Scores semantic support or alignment between artifact endpoints as evidence for a trace decision. The output materializes a trace decision as a label, score, ranking, link set, path, matrix, source attribution, or relation-focused answer.</x:v>
      </x:c>
      <x:c r="S75" s="6" t="str">
        <x:v>p. 3; Section III.A</x:v>
      </x:c>
      <x:c r="T75" s="6" t="str">
        <x:v>The LLM's task is to evaluate how well the requirement aligns with the provided code. This evaluation is represented by a score ranging from 0 to 10</x:v>
      </x:c>
      <x:c r="U75" s="6" t="str">
        <x:v>Scores semantic support or alignment between artifact endpoints as evidence for a trace decision. The output materializes a trace decision as a label, score, ranking, link set, path, matrix, source attribution, or relation-focused answer.</x:v>
      </x:c>
      <x:c r="V75" s="2" t="str">
        <x:v>Accepted</x:v>
      </x:c>
      <x:c r="W75" s="6" t="str">
        <x:v>插件中得分&gt;=1被视为候选链接，但阈值决策由后处理规则完成，LLM本身不执行阈值分割。 Included in the main functional-role analysis.</x:v>
      </x:c>
    </x:row>
    <x:row r="76" ht="76" customHeight="1">
      <x:c r="A76" s="2" t="str">
        <x:v>S33-ROLE-R02</x:v>
      </x:c>
      <x:c r="B76" s="2" t="str">
        <x:v>S33</x:v>
      </x:c>
      <x:c r="C76" s="2" t="str">
        <x:v>merged_1222</x:v>
      </x:c>
      <x:c r="D76" s="2" t="str">
        <x:v>Reviewer_A</x:v>
      </x:c>
      <x:c r="E76" s="2" t="str">
        <x:v>Reviewer_A</x:v>
      </x:c>
      <x:c r="F76" s="2" t="str">
        <x:v>S33-O02</x:v>
      </x:c>
      <x:c r="G76" s="2" t="str">
        <x:v>S33-T01</x:v>
      </x:c>
      <x:c r="H76" s="2" t="str">
        <x:v>Trace link binary decision</x:v>
      </x:c>
      <x:c r="I76" s="6" t="str">
        <x:v>系统提示与用户提示，包含一个或多个需求与一个或多个代码实现的配对</x:v>
      </x:c>
      <x:c r="J76" s="2" t="str">
        <x:v>判断给定的需求-实现对是否相关，输出布尔值</x:v>
      </x:c>
      <x:c r="K76" s="6" t="str">
        <x:v>布尔值true或false，指示追踪链接是否存在</x:v>
      </x:c>
      <x:c r="L76" s="2" t="str">
        <x:v>3 Traceability inference</x:v>
      </x:c>
      <x:c r="M76" s="2" t="str">
        <x:v>pairwise_link_classification</x:v>
      </x:c>
      <x:c r="N76" s="2" t="str">
        <x:v>R3 Trace Inferencer</x:v>
      </x:c>
      <x:c r="O76" s="2" t="str">
        <x:v>NA</x:v>
      </x:c>
      <x:c r="P76" s="2" t="str">
        <x:v>Primary</x:v>
      </x:c>
      <x:c r="Q76" s="6" t="str">
        <x:v>NA</x:v>
      </x:c>
      <x:c r="R76" s="6" t="str">
        <x:v>Decides whether a trace relation exists for a supplied artifact pair, optionally with confidence or a short rationale. The output materializes a trace decision as a label, score, ranking, link set, path, matrix, source attribution, or relation-focused answer.</x:v>
      </x:c>
      <x:c r="S76" s="6" t="str">
        <x:v>p. 6; Section IV.C</x:v>
      </x:c>
      <x:c r="T76" s="6" t="str">
        <x:v>the choice (true or false) were compared with the expected result</x:v>
      </x:c>
      <x:c r="U76" s="6" t="str">
        <x:v>Decides whether a trace relation exists for a supplied artifact pair, optionally with confidence or a short rationale. The output materializes a trace decision as a label, score, ranking, link set, path, matrix, source attribution, or relation-focused answer.</x:v>
      </x:c>
      <x:c r="V76" s="2" t="str">
        <x:v>Accepted</x:v>
      </x:c>
      <x:c r="W76" s="6" t="str">
        <x:v>因输出长度问题，注释被移除，仅保留布尔决策。 Included in the main functional-role analysis.</x:v>
      </x:c>
    </x:row>
    <x:row r="77" ht="76" customHeight="1">
      <x:c r="A77" s="2" t="str">
        <x:v>S34-ROLE-R01</x:v>
      </x:c>
      <x:c r="B77" s="2" t="str">
        <x:v>S34</x:v>
      </x:c>
      <x:c r="C77" s="2" t="str">
        <x:v>merged_1224-v1</x:v>
      </x:c>
      <x:c r="D77" s="2" t="str">
        <x:v>Reviewer_A</x:v>
      </x:c>
      <x:c r="E77" s="2" t="str">
        <x:v>Reviewer_A</x:v>
      </x:c>
      <x:c r="F77" s="2" t="str">
        <x:v>S34-O01</x:v>
      </x:c>
      <x:c r="G77" s="2" t="str">
        <x:v>S34-T01</x:v>
      </x:c>
      <x:c r="H77" s="2" t="str">
        <x:v>Method generation with traceability annotations</x:v>
      </x:c>
      <x:c r="I77" s="6" t="str">
        <x:v>结构化用例描述和无方法的UML类图（PlantUML格式）</x:v>
      </x:c>
      <x:c r="J77" s="2" t="str">
        <x:v>LLM根据输入生成包含方法和内联注释（//UCXX和//action:）的完整PlantUML类图，实现从方法到用例动作的追溯</x:v>
      </x:c>
      <x:c r="K77" s="6" t="str">
        <x:v>带有方法定义和溯源注释的PlantUML类图</x:v>
      </x:c>
      <x:c r="L77" s="2" t="str">
        <x:v>3 Traceability inference</x:v>
      </x:c>
      <x:c r="M77" s="2" t="str">
        <x:v>trace_annotated_artifact_generation</x:v>
      </x:c>
      <x:c r="N77" s="2" t="str">
        <x:v>R5 Information Embedder</x:v>
      </x:c>
      <x:c r="O77" s="2" t="str">
        <x:v>NA</x:v>
      </x:c>
      <x:c r="P77" s="2" t="str">
        <x:v>Primary</x:v>
      </x:c>
      <x:c r="Q77" s="6" t="str">
        <x:v>NA</x:v>
      </x:c>
      <x:c r="R77" s="6" t="str">
        <x:v>The generated artifact explicitly contains trace identifiers, annotations, or relations; under rule B3, R5 applies directly rather than as an R2/R5 boundary case.</x:v>
      </x:c>
      <x:c r="S77" s="6" t="str">
        <x:v>p. 7; Section 3.2, Primary Instruction Prompt</x:v>
      </x:c>
      <x:c r="T77" s="6" t="str">
        <x:v>The LLM was instructed to produce a complete, syntactically valid PlantUML diagram with inline annotations linking each method to its source use case and specific scenario action.</x:v>
      </x:c>
      <x:c r="U77" s="6" t="str">
        <x:v>The generated artifact explicitly contains trace identifiers, annotations, or relations; under rule B3, R5 applies directly rather than as an R2/R5 boundary case.</x:v>
      </x:c>
      <x:c r="V77" s="2" t="str">
        <x:v>Accepted</x:v>
      </x:c>
      <x:c r="W77" s="6" t="str">
        <x:v>The generated PlantUML artifact explicitly contains source use-case and scenario-action annotations. Included in the main functional-role analysis.</x:v>
      </x:c>
    </x:row>
    <x:row r="78" ht="76" customHeight="1">
      <x:c r="A78" s="2" t="str">
        <x:v>S35-ROLE-R01</x:v>
      </x:c>
      <x:c r="B78" s="2" t="str">
        <x:v>S35</x:v>
      </x:c>
      <x:c r="C78" s="2" t="str">
        <x:v>merged_1225</x:v>
      </x:c>
      <x:c r="D78" s="2" t="str">
        <x:v>Reviewer_A</x:v>
      </x:c>
      <x:c r="E78" s="2" t="str">
        <x:v>Reviewer_A</x:v>
      </x:c>
      <x:c r="F78" s="2" t="str">
        <x:v>S35-O01</x:v>
      </x:c>
      <x:c r="G78" s="2" t="str">
        <x:v>S35-T02</x:v>
      </x:c>
      <x:c r="H78" s="2" t="str">
        <x:v>Generator of feature description</x:v>
      </x:c>
      <x:c r="I78" s="6" t="str">
        <x:v>feature test code (.rb file content)</x:v>
      </x:c>
      <x:c r="J78" s="2" t="str">
        <x:v>基于提供的测试代码，生成一个自然语言功能描述</x:v>
      </x:c>
      <x:c r="K78" s="6" t="str">
        <x:v>generated feature description (text)</x:v>
      </x:c>
      <x:c r="L78" s="2" t="str">
        <x:v>2 Semantic contextualization</x:v>
      </x:c>
      <x:c r="M78" s="2" t="str">
        <x:v>semantic_description_generation</x:v>
      </x:c>
      <x:c r="N78" s="2" t="str">
        <x:v>R2 Information Enhancer</x:v>
      </x:c>
      <x:c r="O78" s="2" t="str">
        <x:v>NA</x:v>
      </x:c>
      <x:c r="P78" s="2" t="str">
        <x:v>Primary</x:v>
      </x:c>
      <x:c r="Q78" s="6" t="str">
        <x:v>NA</x:v>
      </x:c>
      <x:c r="R78" s="6" t="str">
        <x:v>Generates a natural-language description that enriches or reframes the meaning of an artifact. The output is derivative or enriched content based on one or more artifacts; it does not itself decide, verify, or persist a trace relation.</x:v>
      </x:c>
      <x:c r="S78" s="6" t="str">
        <x:v>p. 3; Section II (RQ2)</x:v>
      </x:c>
      <x:c r="T78" s="6" t="str">
        <x:v>we investigate the potential of OpenAI’s ChatGPT—a prominent large language model—in generating the textual description of the feature tested by an .rb file.</x:v>
      </x:c>
      <x:c r="U78" s="6" t="str">
        <x:v>Generates a natural-language description that enriches or reframes the meaning of an artifact. The output is derivative or enriched content based on one or more artifacts; it does not itself decide, verify, or persist a trace relation.</x:v>
      </x:c>
      <x:c r="V78" s="2" t="str">
        <x:v>Accepted</x:v>
      </x:c>
      <x:c r="W78" s="6" t="str">
        <x:v>Included in the main functional-role analysis.</x:v>
      </x:c>
    </x:row>
    <x:row r="79" ht="76" customHeight="1">
      <x:c r="A79" s="2" t="str">
        <x:v>S36-ROLE-R01</x:v>
      </x:c>
      <x:c r="B79" s="2" t="str">
        <x:v>S36</x:v>
      </x:c>
      <x:c r="C79" s="2" t="str">
        <x:v>merged_1236</x:v>
      </x:c>
      <x:c r="D79" s="2" t="str">
        <x:v>Reviewer_A</x:v>
      </x:c>
      <x:c r="E79" s="2" t="str">
        <x:v>Reviewer_A</x:v>
      </x:c>
      <x:c r="F79" s="2" t="str">
        <x:v>S36-O01</x:v>
      </x:c>
      <x:c r="G79" s="2" t="str">
        <x:v>S36-T01</x:v>
      </x:c>
      <x:c r="H79" s="2" t="str">
        <x:v>four-stage domain model generation</x:v>
      </x:c>
      <x:c r="I79" s="6" t="str">
        <x:v>SRS相关文档片段</x:v>
      </x:c>
      <x:c r="J79" s="2" t="str">
        <x:v>提取和整合领域实体、规则、工作流及上下文关系</x:v>
      </x:c>
      <x:c r="K79" s="6" t="str">
        <x:v>经过Pydantic校验的DomainModel JSON</x:v>
      </x:c>
      <x:c r="L79" s="2" t="str">
        <x:v>2 Semantic contextualization</x:v>
      </x:c>
      <x:c r="M79" s="2" t="str">
        <x:v>semantic_structure_extraction</x:v>
      </x:c>
      <x:c r="N79" s="2" t="str">
        <x:v>R1 Feature Extractor</x:v>
      </x:c>
      <x:c r="O79" s="2" t="str">
        <x:v>NA</x:v>
      </x:c>
      <x:c r="P79" s="2" t="str">
        <x:v>Primary</x:v>
      </x:c>
      <x:c r="Q79" s="6" t="str">
        <x:v>NA</x:v>
      </x:c>
      <x:c r="R79" s="6" t="str">
        <x:v>Decomposes an artifact into an explicit semantic schema or structured representation grounded in its content. The output makes information already grounded in an artifact explicit, structured, condensed, selected, or encoded; it does not itself decide a cross-artifact trace relation.</x:v>
      </x:c>
      <x:c r="S79" s="6" t="str">
        <x:v>p. 1; Contributions</x:v>
      </x:c>
      <x:c r="T79" s="6" t="str">
        <x:v>A four-stage multi-agent architecture (Scout, Architect, Specialist, Synthesizer) for automatic domain model extraction from SRS-related documents using Google Gemini</x:v>
      </x:c>
      <x:c r="U79" s="6" t="str">
        <x:v>Decomposes an artifact into an explicit semantic schema or structured representation grounded in its content. The output makes information already grounded in an artifact explicit, structured, condensed, selected, or encoded; it does not itself decide a cross-artifact trace relation.</x:v>
      </x:c>
      <x:c r="V79" s="2" t="str">
        <x:v>Accepted</x:v>
      </x:c>
      <x:c r="W79" s="6" t="str">
        <x:v>NR Included in the main functional-role analysis.</x:v>
      </x:c>
    </x:row>
    <x:row r="80" ht="76" customHeight="1">
      <x:c r="A80" s="2" t="str">
        <x:v>S36-ROLE-R02</x:v>
      </x:c>
      <x:c r="B80" s="2" t="str">
        <x:v>S36</x:v>
      </x:c>
      <x:c r="C80" s="2" t="str">
        <x:v>merged_1236</x:v>
      </x:c>
      <x:c r="D80" s="2" t="str">
        <x:v>Reviewer_A</x:v>
      </x:c>
      <x:c r="E80" s="2" t="str">
        <x:v>Reviewer_A</x:v>
      </x:c>
      <x:c r="F80" s="2" t="str">
        <x:v>S36-O02</x:v>
      </x:c>
      <x:c r="G80" s="2" t="str">
        <x:v>S36-T01</x:v>
      </x:c>
      <x:c r="H80" s="2" t="str">
        <x:v>LLM-Powered Violation Detection</x:v>
      </x:c>
      <x:c r="I80" s="6" t="str">
        <x:v>AST结构数据与model.json中的领域规则</x:v>
      </x:c>
      <x:c r="J80" s="2" t="str">
        <x:v>对代码执行语义违规检测并生成结构化违规描述</x:v>
      </x:c>
      <x:c r="K80" s="6" t="str">
        <x:v>包含is_violation和violations的Pydantic响应；违规描述随后构造RAG查询</x:v>
      </x:c>
      <x:c r="L80" s="2" t="str">
        <x:v>2 Semantic contextualization</x:v>
      </x:c>
      <x:c r="M80" s="2" t="str">
        <x:v>artifact_quality_issue_detection</x:v>
      </x:c>
      <x:c r="N80" s="2" t="str">
        <x:v>R1 Feature Extractor</x:v>
      </x:c>
      <x:c r="O80" s="2" t="str">
        <x:v>NA</x:v>
      </x:c>
      <x:c r="P80" s="2" t="str">
        <x:v>Primary</x:v>
      </x:c>
      <x:c r="Q80" s="6" t="str">
        <x:v>NA</x:v>
      </x:c>
      <x:c r="R80" s="6" t="str">
        <x:v>Detects ambiguity, inconsistency, incompleteness, violations, or other quality properties within an artifact. The output makes information already grounded in an artifact explicit, structured, condensed, selected, or encoded; it does not itself decide a cross-artifact trace relation.</x:v>
      </x:c>
      <x:c r="S80" s="6" t="str">
        <x:v>p. 3; Section III.D</x:v>
      </x:c>
      <x:c r="T80" s="6" t="str">
        <x:v>The structural AST data, combined with domain rules from model.json, is transmitted to Google Gemini for semantic analysis.</x:v>
      </x:c>
      <x:c r="U80" s="6" t="str">
        <x:v>Detects ambiguity, inconsistency, incompleteness, violations, or other quality properties within an artifact. The output makes information already grounded in an artifact explicit, structured, condensed, selected, or encoded; it does not itself decide a cross-artifact trace relation.</x:v>
      </x:c>
      <x:c r="V80" s="2" t="str">
        <x:v>Accepted</x:v>
      </x:c>
      <x:c r="W80" s="6" t="str">
        <x:v>NR Included in the main functional-role analysis.</x:v>
      </x:c>
    </x:row>
    <x:row r="81" ht="76" customHeight="1">
      <x:c r="A81" s="2" t="str">
        <x:v>S37-ROLE-R01</x:v>
      </x:c>
      <x:c r="B81" s="2" t="str">
        <x:v>S37</x:v>
      </x:c>
      <x:c r="C81" s="2" t="str">
        <x:v>merged_1238</x:v>
      </x:c>
      <x:c r="D81" s="2" t="str">
        <x:v>Reviewer_A</x:v>
      </x:c>
      <x:c r="E81" s="2" t="str">
        <x:v>Reviewer_A</x:v>
      </x:c>
      <x:c r="F81" s="2" t="str">
        <x:v>S37-O01</x:v>
      </x:c>
      <x:c r="G81" s="2" t="str">
        <x:v>S37-T01</x:v>
      </x:c>
      <x:c r="H81" s="2" t="str">
        <x:v>Requirement provider communicator</x:v>
      </x:c>
      <x:c r="I81" s="6" t="str">
        <x:v>用户对话消息</x:v>
      </x:c>
      <x:c r="J81" s="2" t="str">
        <x:v>与需求提供者对话，提取并分类需求信息片段</x:v>
      </x:c>
      <x:c r="K81" s="6" t="str">
        <x:v>需求描述短语集</x:v>
      </x:c>
      <x:c r="L81" s="2" t="str">
        <x:v>1 Artifact acquisition and scoping</x:v>
      </x:c>
      <x:c r="M81" s="2" t="str">
        <x:v>artifact_element_extraction</x:v>
      </x:c>
      <x:c r="N81" s="2" t="str">
        <x:v>R1 Feature Extractor</x:v>
      </x:c>
      <x:c r="O81" s="2" t="str">
        <x:v>NA</x:v>
      </x:c>
      <x:c r="P81" s="2" t="str">
        <x:v>Primary</x:v>
      </x:c>
      <x:c r="Q81" s="6" t="str">
        <x:v>NA</x:v>
      </x:c>
      <x:c r="R81"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S81" s="6" t="str">
        <x:v>p. 12; Table 2</x:v>
      </x:c>
      <x:c r="T81" s="6" t="str">
        <x:v>You are a chatbot; your responsibility is to communicate with the requirement provider and arrange the received messages as the requirement description.</x:v>
      </x:c>
      <x:c r="U81"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V81" s="2" t="str">
        <x:v>Accepted</x:v>
      </x:c>
      <x:c r="W81" s="6" t="str">
        <x:v>Included in the main functional-role analysis.</x:v>
      </x:c>
    </x:row>
    <x:row r="82" ht="76" customHeight="1">
      <x:c r="A82" s="2" t="str">
        <x:v>S37-ROLE-R02</x:v>
      </x:c>
      <x:c r="B82" s="2" t="str">
        <x:v>S37</x:v>
      </x:c>
      <x:c r="C82" s="2" t="str">
        <x:v>merged_1238</x:v>
      </x:c>
      <x:c r="D82" s="2" t="str">
        <x:v>Reviewer_A</x:v>
      </x:c>
      <x:c r="E82" s="2" t="str">
        <x:v>Reviewer_A</x:v>
      </x:c>
      <x:c r="F82" s="2" t="str">
        <x:v>S37-O02</x:v>
      </x:c>
      <x:c r="G82" s="2" t="str">
        <x:v>S37-T01</x:v>
      </x:c>
      <x:c r="H82" s="2" t="str">
        <x:v>PFM paradigm modeler</x:v>
      </x:c>
      <x:c r="I82" s="6" t="str">
        <x:v>处理后的短语和检索到的相关段落</x:v>
      </x:c>
      <x:c r="J82" s="2" t="str">
        <x:v>根据提示推理生成PFM需求模型</x:v>
      </x:c>
      <x:c r="K82" s="6" t="str">
        <x:v>PFM模型JSON</x:v>
      </x:c>
      <x:c r="L82" s="2" t="str">
        <x:v>2 Semantic contextualization</x:v>
      </x:c>
      <x:c r="M82" s="2" t="str">
        <x:v>related_artifact_generation</x:v>
      </x:c>
      <x:c r="N82" s="2" t="str">
        <x:v>R2 Information Enhancer</x:v>
      </x:c>
      <x:c r="O82" s="2" t="str">
        <x:v>NA</x:v>
      </x:c>
      <x:c r="P82" s="2" t="str">
        <x:v>Primary</x:v>
      </x:c>
      <x:c r="Q82" s="6" t="str">
        <x:v>NA</x:v>
      </x:c>
      <x:c r="R82"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82" s="6" t="str">
        <x:v>p. 13; Table 4</x:v>
      </x:c>
      <x:c r="T82" s="6" t="str">
        <x:v>Your target is to build the &lt;PFM&gt; model, containing the elements in every layer and the relations among the layers and within layers.</x:v>
      </x:c>
      <x:c r="U82"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82" s="2" t="str">
        <x:v>Accepted</x:v>
      </x:c>
      <x:c r="W82" s="6" t="str">
        <x:v>Included in the main functional-role analysis.</x:v>
      </x:c>
    </x:row>
    <x:row r="83" ht="76" customHeight="1">
      <x:c r="A83" s="2" t="str">
        <x:v>S37-ROLE-R03</x:v>
      </x:c>
      <x:c r="B83" s="2" t="str">
        <x:v>S37</x:v>
      </x:c>
      <x:c r="C83" s="2" t="str">
        <x:v>merged_1238</x:v>
      </x:c>
      <x:c r="D83" s="2" t="str">
        <x:v>Reviewer_A</x:v>
      </x:c>
      <x:c r="E83" s="2" t="str">
        <x:v>Reviewer_A</x:v>
      </x:c>
      <x:c r="F83" s="2" t="str">
        <x:v>S37-O03</x:v>
      </x:c>
      <x:c r="G83" s="2" t="str">
        <x:v>S37-T01</x:v>
      </x:c>
      <x:c r="H83" s="2" t="str">
        <x:v>model trimmer</x:v>
      </x:c>
      <x:c r="I83" s="6" t="str">
        <x:v>PFM模型元素集</x:v>
      </x:c>
      <x:c r="J83" s="2" t="str">
        <x:v>验证PFM模型的层集并安排编号，将错误发回模型器</x:v>
      </x:c>
      <x:c r="K83" s="6" t="str">
        <x:v>修正后的PFM模型</x:v>
      </x:c>
      <x:c r="L83" s="2" t="str">
        <x:v>4 Validation and explanation</x:v>
      </x:c>
      <x:c r="M83" s="2" t="str">
        <x:v>model_relation_validation</x:v>
      </x:c>
      <x:c r="N83" s="2" t="str">
        <x:v>R4 Verification Evaluator</x:v>
      </x:c>
      <x:c r="O83" s="2" t="str">
        <x:v>NA</x:v>
      </x:c>
      <x:c r="P83" s="2" t="str">
        <x:v>Primary</x:v>
      </x:c>
      <x:c r="Q83" s="6" t="str">
        <x:v>The operation validates and repairs the internal layer relations of a trace-relevant generated model; it is a boundary case because the evaluated object is a model relation structure rather than a conventional trace-link set.</x:v>
      </x:c>
      <x:c r="R83" s="6" t="str">
        <x:v>Checks and repairs the organization or internal relation structure of a trace-relevant generated model. The input contains an existing, generated, or candidate relation or coverage mapping, and the output evaluates its validity, quality, completeness, consistency, compliance, or explanatory adequacy.</x:v>
      </x:c>
      <x:c r="S83" s="6" t="str">
        <x:v>p. 13; Table 3</x:v>
      </x:c>
      <x:c r="T83" s="6" t="str">
        <x:v>Your responsibility is to verify and arrange all the layer sets of &lt;PFM&gt; model under construction as a numbered PFM model.</x:v>
      </x:c>
      <x:c r="U83" s="6" t="str">
        <x:v>Checks and repairs the organization or internal relation structure of a trace-relevant generated model. The input contains an existing, generated, or candidate relation or coverage mapping, and the output evaluates its validity, quality, completeness, consistency, compliance, or explanatory adequacy.</x:v>
      </x:c>
      <x:c r="V83" s="2" t="str">
        <x:v>Accepted</x:v>
      </x:c>
      <x:c r="W83" s="6" t="str">
        <x:v>Included in the main functional-role analysis.</x:v>
      </x:c>
    </x:row>
    <x:row r="84" ht="76" customHeight="1">
      <x:c r="A84" s="2" t="str">
        <x:v>S38-ROLE-R01</x:v>
      </x:c>
      <x:c r="B84" s="2" t="str">
        <x:v>S38</x:v>
      </x:c>
      <x:c r="C84" s="2" t="str">
        <x:v>merged_1241</x:v>
      </x:c>
      <x:c r="D84" s="2" t="str">
        <x:v>Reviewer_A</x:v>
      </x:c>
      <x:c r="E84" s="2" t="str">
        <x:v>Reviewer_A</x:v>
      </x:c>
      <x:c r="F84" s="2" t="str">
        <x:v>S38-O01</x:v>
      </x:c>
      <x:c r="G84" s="2" t="str">
        <x:v>S38-T01</x:v>
      </x:c>
      <x:c r="H84" s="2" t="str">
        <x:v>LLM-based Requirements Traceability Generation</x:v>
      </x:c>
      <x:c r="I84" s="6" t="str">
        <x:v>Formalized requirements and Lustre model with unique IDs</x:v>
      </x:c>
      <x:c r="J84" s="2" t="str">
        <x:v>Generate requirements-design traceability matrix using a domain-specific prompt</x:v>
      </x:c>
      <x:c r="K84" s="6" t="str">
        <x:v>Traceability matrix indicating requirement IDs and corresponding Lustre line numbers</x:v>
      </x:c>
      <x:c r="L84" s="2" t="str">
        <x:v>3 Traceability inference</x:v>
      </x:c>
      <x:c r="M84" s="2" t="str">
        <x:v>trace_matrix_generation</x:v>
      </x:c>
      <x:c r="N84" s="2" t="str">
        <x:v>R3 Trace Inferencer</x:v>
      </x:c>
      <x:c r="O84" s="2" t="str">
        <x:v>NA</x:v>
      </x:c>
      <x:c r="P84" s="2" t="str">
        <x:v>Primary</x:v>
      </x:c>
      <x:c r="Q84" s="6" t="str">
        <x:v>NA</x:v>
      </x:c>
      <x:c r="R84" s="6" t="str">
        <x:v>Produces an explicit matrix of relations between two artifact sets. The output materializes a trace decision as a label, score, ranking, link set, path, matrix, source attribution, or relation-focused answer.</x:v>
      </x:c>
      <x:c r="S84" s="6" t="str">
        <x:v>p. 11; Section 3.4</x:v>
      </x:c>
      <x:c r="T84" s="6" t="str">
        <x:v>We employ LLMs to automate fine-grained requirement-to-design traceability, aligning with safety-critical standards like DO-178C. To enhance accuracy, we assign unique IDs to each requirement and line of Lustre model, essential for correct mapping, as unstructured inputs often lead to trace errors. Generated trace matrices are manually reviewed for completeness and correctness.</x:v>
      </x:c>
      <x:c r="U84" s="6" t="str">
        <x:v>Produces an explicit matrix of relations between two artifact sets. The output materializes a trace decision as a label, score, ranking, link set, path, matrix, source attribution, or relation-focused answer.</x:v>
      </x:c>
      <x:c r="V84" s="2" t="str">
        <x:v>Accepted</x:v>
      </x:c>
      <x:c r="W84" s="6" t="str">
        <x:v>Included in the main functional-role analysis.</x:v>
      </x:c>
    </x:row>
    <x:row r="85" ht="76" customHeight="1">
      <x:c r="A85" s="2" t="str">
        <x:v>S39-ROLE-R01</x:v>
      </x:c>
      <x:c r="B85" s="2" t="str">
        <x:v>S39</x:v>
      </x:c>
      <x:c r="C85" s="2" t="str">
        <x:v>merged_1245</x:v>
      </x:c>
      <x:c r="D85" s="2" t="str">
        <x:v>Reviewer_A</x:v>
      </x:c>
      <x:c r="E85" s="2" t="str">
        <x:v>Reviewer_A</x:v>
      </x:c>
      <x:c r="F85" s="2" t="str">
        <x:v>S39-O01</x:v>
      </x:c>
      <x:c r="G85" s="2" t="str">
        <x:v>S39-T01</x:v>
      </x:c>
      <x:c r="H85" s="2" t="str">
        <x:v>tracing requirements to code</x:v>
      </x:c>
      <x:c r="I85" s="6" t="str">
        <x:v>包含需求及对应源代码的提示</x:v>
      </x:c>
      <x:c r="J85" s="2" t="str">
        <x:v>执行需求到源代码的追踪链接建立</x:v>
      </x:c>
      <x:c r="K85" s="6" t="str">
        <x:v>二元实现判断及具体代码行定位</x:v>
      </x:c>
      <x:c r="L85" s="2" t="str">
        <x:v>3 Traceability inference</x:v>
      </x:c>
      <x:c r="M85" s="2" t="str">
        <x:v>link_set_generation_with_location</x:v>
      </x:c>
      <x:c r="N85" s="2" t="str">
        <x:v>R3 Trace Inferencer</x:v>
      </x:c>
      <x:c r="O85" s="2" t="str">
        <x:v>NA</x:v>
      </x:c>
      <x:c r="P85" s="2" t="str">
        <x:v>Primary</x:v>
      </x:c>
      <x:c r="Q85" s="6" t="str">
        <x:v>NA</x:v>
      </x:c>
      <x:c r="R85" s="6" t="str">
        <x:v>Generates trace decisions together with concrete implementation locations or identifiers. The output materializes a trace decision as a label, score, ranking, link set, path, matrix, source attribution, or relation-focused answer.</x:v>
      </x:c>
      <x:c r="S85" s="6" t="str">
        <x:v>p. 3; Section V</x:v>
      </x:c>
      <x:c r="T85" s="6" t="str">
        <x:v>The more capable of the tested models, GPT-4o, achieved an accuracy of 96% in determining whether a given requirement was implemented. For tracing the exact lines of code, the model achieved an F1-score of 0.68.</x:v>
      </x:c>
      <x:c r="U85" s="6" t="str">
        <x:v>Generates trace decisions together with concrete implementation locations or identifiers. The output materializes a trace decision as a label, score, ranking, link set, path, matrix, source attribution, or relation-focused answer.</x:v>
      </x:c>
      <x:c r="V85" s="2" t="str">
        <x:v>Accepted</x:v>
      </x:c>
      <x:c r="W85" s="6" t="str">
        <x:v>NR Included in the main functional-role analysis.</x:v>
      </x:c>
    </x:row>
    <x:row r="86" ht="76" customHeight="1">
      <x:c r="A86" s="2" t="str">
        <x:v>S40-ROLE-R01</x:v>
      </x:c>
      <x:c r="B86" s="2" t="str">
        <x:v>S40</x:v>
      </x:c>
      <x:c r="C86" s="2" t="str">
        <x:v>merged_1263</x:v>
      </x:c>
      <x:c r="D86" s="2" t="str">
        <x:v>Reviewer_A</x:v>
      </x:c>
      <x:c r="E86" s="2" t="str">
        <x:v>Reviewer_A</x:v>
      </x:c>
      <x:c r="F86" s="2" t="str">
        <x:v>S40-O01</x:v>
      </x:c>
      <x:c r="G86" s="2" t="str">
        <x:v>S40-T01</x:v>
      </x:c>
      <x:c r="H86" s="2" t="str">
        <x:v>LLM-based structural validation</x:v>
      </x:c>
      <x:c r="I86" s="6" t="str">
        <x:v>需求文本、候选代码类及从扩散状态提取的结构化证据路径</x:v>
      </x:c>
      <x:c r="J86" s="2" t="str">
        <x:v>基于提供的需求、代码和结构证据，逐步推理并输出“yes”或“no”以确定是否存在可追溯性链接</x:v>
      </x:c>
      <x:c r="K86" s="6" t="str">
        <x:v>二分类标签（yes/no），指示是否建立链接</x:v>
      </x:c>
      <x:c r="L86" s="2" t="str">
        <x:v>4 Validation and explanation</x:v>
      </x:c>
      <x:c r="M86" s="2" t="str">
        <x:v>link_validity_assessment</x:v>
      </x:c>
      <x:c r="N86" s="2" t="str">
        <x:v>R4 Verification Evaluator</x:v>
      </x:c>
      <x:c r="O86" s="2" t="str">
        <x:v>NA</x:v>
      </x:c>
      <x:c r="P86" s="2" t="str">
        <x:v>Primary</x:v>
      </x:c>
      <x:c r="Q86" s="6" t="str">
        <x:v>The LLM is invoked in an explicit validation stage over a supplied or structurally supported candidate relation; R4 takes precedence over initial link classification.</x:v>
      </x:c>
      <x:c r="R86" s="6" t="str">
        <x:v>Validates the correctness of an existing, generated, or structurally supported candidate trace link. The input contains an existing, generated, or candidate relation or coverage mapping, and the output evaluates its validity, quality, completeness, consistency, compliance, or explanatory adequacy.</x:v>
      </x:c>
      <x:c r="S86" s="6" t="str">
        <x:v>p. 11; Section 3.3</x:v>
      </x:c>
      <x:c r="T86" s="6" t="str">
        <x:v>The validation prompt uses the extracted evidence paths. When valid paths exist, i.e., Prc ̸= ∅, the three highest-scoring paths are inserted into the evidence field of the prompt.</x:v>
      </x:c>
      <x:c r="U86" s="6" t="str">
        <x:v>Validates the correctness of an existing, generated, or structurally supported candidate trace link. The input contains an existing, generated, or candidate relation or coverage mapping, and the output evaluates its validity, quality, completeness, consistency, compliance, or explanatory adequacy.</x:v>
      </x:c>
      <x:c r="V86" s="2" t="str">
        <x:v>Accepted</x:v>
      </x:c>
      <x:c r="W86" s="6" t="str">
        <x:v>NR Included in the main functional-role analysis.</x:v>
      </x:c>
    </x:row>
    <x:row r="87" ht="76" customHeight="1">
      <x:c r="A87" s="2" t="str">
        <x:v>S41-ROLE-R01</x:v>
      </x:c>
      <x:c r="B87" s="2" t="str">
        <x:v>S41</x:v>
      </x:c>
      <x:c r="C87" s="2" t="str">
        <x:v>merged_1264</x:v>
      </x:c>
      <x:c r="D87" s="2" t="str">
        <x:v>Reviewer_A</x:v>
      </x:c>
      <x:c r="E87" s="2" t="str">
        <x:v>Reviewer_A</x:v>
      </x:c>
      <x:c r="F87" s="2" t="str">
        <x:v>S41-O01</x:v>
      </x:c>
      <x:c r="G87" s="2" t="str">
        <x:v>S41-T01</x:v>
      </x:c>
      <x:c r="H87" s="2" t="str">
        <x:v>semantic summarization module</x:v>
      </x:c>
      <x:c r="I87" s="6" t="str">
        <x:v>原始问题报告和提交文本（issue title, description, commit message）</x:v>
      </x:c>
      <x:c r="J87" s="2" t="str">
        <x:v>使用LLM生成保留核心语义的简洁摘要</x:v>
      </x:c>
      <x:c r="K87" s="6" t="str">
        <x:v>压缩后的问题和提交文本摘要</x:v>
      </x:c>
      <x:c r="L87" s="2" t="str">
        <x:v>2 Semantic contextualization</x:v>
      </x:c>
      <x:c r="M87" s="2" t="str">
        <x:v>artifact_summarization</x:v>
      </x:c>
      <x:c r="N87" s="2" t="str">
        <x:v>R1 Feature Extractor</x:v>
      </x:c>
      <x:c r="O87" s="2" t="str">
        <x:v>NA</x:v>
      </x:c>
      <x:c r="P87" s="2" t="str">
        <x:v>Primary</x:v>
      </x:c>
      <x:c r="Q87" s="6" t="str">
        <x:v>NA</x:v>
      </x:c>
      <x:c r="R87"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S87" s="6" t="str">
        <x:v>p. 6; Section 3.2</x:v>
      </x:c>
      <x:c r="T87" s="6" t="str">
        <x:v>This module leverages the natural language understanding and generation capabilities of large language models to condense both issue and commit descriptions into concise, semantically faithful summaries.</x:v>
      </x:c>
      <x:c r="U87"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V87" s="2" t="str">
        <x:v>Accepted</x:v>
      </x:c>
      <x:c r="W87" s="6" t="str">
        <x:v>Included in the main functional-role analysis.</x:v>
      </x:c>
    </x:row>
    <x:row r="88" ht="76" customHeight="1">
      <x:c r="A88" s="2" t="str">
        <x:v>S41-ROLE-R02</x:v>
      </x:c>
      <x:c r="B88" s="2" t="str">
        <x:v>S41</x:v>
      </x:c>
      <x:c r="C88" s="2" t="str">
        <x:v>merged_1264</x:v>
      </x:c>
      <x:c r="D88" s="2" t="str">
        <x:v>Reviewer_A</x:v>
      </x:c>
      <x:c r="E88" s="2" t="str">
        <x:v>Reviewer_A</x:v>
      </x:c>
      <x:c r="F88" s="2" t="str">
        <x:v>S41-O02</x:v>
      </x:c>
      <x:c r="G88" s="2" t="str">
        <x:v>S41-T01</x:v>
      </x:c>
      <x:c r="H88" s="2" t="str">
        <x:v>semantic re-ranking module</x:v>
      </x:c>
      <x:c r="I88" s="6" t="str">
        <x:v>一个问题及其top-K候选提交列表（包含提交消息）</x:v>
      </x:c>
      <x:c r="J88" s="2" t="str">
        <x:v>LLM重新评估问题与每个候选提交的相关性，并精炼排序</x:v>
      </x:c>
      <x:c r="K88" s="6" t="str">
        <x:v>按相关性降序排列的提交ID列表</x:v>
      </x:c>
      <x:c r="L88" s="2" t="str">
        <x:v>3 Traceability inference</x:v>
      </x:c>
      <x:c r="M88" s="2" t="str">
        <x:v>candidate_link_ranking</x:v>
      </x:c>
      <x:c r="N88" s="2" t="str">
        <x:v>R3 Trace Inferencer</x:v>
      </x:c>
      <x:c r="O88" s="2" t="str">
        <x:v>NA</x:v>
      </x:c>
      <x:c r="P88" s="2" t="str">
        <x:v>Primary</x:v>
      </x:c>
      <x:c r="Q88" s="6" t="str">
        <x:v>NA</x:v>
      </x:c>
      <x:c r="R88" s="6" t="str">
        <x:v>Ranks candidate target artifacts according to their likelihood of forming a trace link with a source artifact. The output materializes a trace decision as a label, score, ranking, link set, path, matrix, source attribution, or relation-focused answer.</x:v>
      </x:c>
      <x:c r="S88" s="6" t="str">
        <x:v>p. 8; Section 3.4</x:v>
      </x:c>
      <x:c r="T88" s="6" t="str">
        <x:v>To address this issue, SELink introduces a semantic reranking module, designed to refine the final ranking through deep language understanding and reasoning. This module</x:v>
      </x:c>
      <x:c r="U88" s="6" t="str">
        <x:v>Ranks candidate target artifacts according to their likelihood of forming a trace link with a source artifact. The output materializes a trace decision as a label, score, ranking, link set, path, matrix, source attribution, or relation-focused answer.</x:v>
      </x:c>
      <x:c r="V88" s="2" t="str">
        <x:v>Accepted</x:v>
      </x:c>
      <x:c r="W88" s="6" t="str">
        <x:v>Included in the main functional-role analysis.</x:v>
      </x:c>
    </x:row>
    <x:row r="89" ht="76" customHeight="1">
      <x:c r="A89" s="2" t="str">
        <x:v>S42-ROLE-R01</x:v>
      </x:c>
      <x:c r="B89" s="2" t="str">
        <x:v>S42</x:v>
      </x:c>
      <x:c r="C89" s="2" t="str">
        <x:v>merged_1266</x:v>
      </x:c>
      <x:c r="D89" s="2" t="str">
        <x:v>Reviewer_A</x:v>
      </x:c>
      <x:c r="E89" s="2" t="str">
        <x:v>Reviewer_A</x:v>
      </x:c>
      <x:c r="F89" s="2" t="str">
        <x:v>S42-O01</x:v>
      </x:c>
      <x:c r="G89" s="2" t="str">
        <x:v>S42-T01</x:v>
      </x:c>
      <x:c r="H89" s="2" t="str">
        <x:v>prompting step</x:v>
      </x:c>
      <x:c r="I89" s="6" t="str">
        <x:v>源需求工件与一个候选目标需求工件，以及来自检索步骤的上下文</x:v>
      </x:c>
      <x:c r="J89" s="2" t="str">
        <x:v>判断源需求与候选目标需求之间是否存在可追溯链接，输出yes/no</x:v>
      </x:c>
      <x:c r="K89" s="6" t="str">
        <x:v>二值分类结果(yes/no)，对于CoT提示还包含推理过程</x:v>
      </x:c>
      <x:c r="L89" s="2" t="str">
        <x:v>3 Traceability inference</x:v>
      </x:c>
      <x:c r="M89" s="2" t="str">
        <x:v>pairwise_link_classification</x:v>
      </x:c>
      <x:c r="N89" s="2" t="str">
        <x:v>R3 Trace Inferencer</x:v>
      </x:c>
      <x:c r="O89" s="2" t="str">
        <x:v>NA</x:v>
      </x:c>
      <x:c r="P89" s="2" t="str">
        <x:v>Primary</x:v>
      </x:c>
      <x:c r="Q89" s="6" t="str">
        <x:v>NA</x:v>
      </x:c>
      <x:c r="R89" s="6" t="str">
        <x:v>Decides whether a trace relation exists for a supplied artifact pair, optionally with confidence or a short rationale. The output materializes a trace decision as a label, score, ranking, link set, path, matrix, source attribution, or relation-focused answer.</x:v>
      </x:c>
      <x:c r="S89" s="6" t="str">
        <x:v>p. 4; Section 3.2</x:v>
      </x:c>
      <x:c r="T89" s="6" t="str">
        <x:v>the approach decides if it should create a trace link between the source requirement and the candidate target requirement.</x:v>
      </x:c>
      <x:c r="U89" s="6" t="str">
        <x:v>Decides whether a trace relation exists for a supplied artifact pair, optionally with confidence or a short rationale. The output materializes a trace decision as a label, score, ranking, link set, path, matrix, source attribution, or relation-focused answer.</x:v>
      </x:c>
      <x:c r="V89" s="2" t="str">
        <x:v>Accepted</x:v>
      </x:c>
      <x:c r="W89" s="6" t="str">
        <x:v>Included in the main functional-role analysis.</x:v>
      </x:c>
    </x:row>
    <x:row r="90" ht="76" customHeight="1">
      <x:c r="A90" s="2" t="str">
        <x:v>S43-ROLE-R01</x:v>
      </x:c>
      <x:c r="B90" s="2" t="str">
        <x:v>S43</x:v>
      </x:c>
      <x:c r="C90" s="2" t="str">
        <x:v>merged_1270</x:v>
      </x:c>
      <x:c r="D90" s="2" t="str">
        <x:v>Reviewer_A</x:v>
      </x:c>
      <x:c r="E90" s="2" t="str">
        <x:v>Reviewer_A</x:v>
      </x:c>
      <x:c r="F90" s="2" t="str">
        <x:v>S43-O01</x:v>
      </x:c>
      <x:c r="G90" s="2" t="str">
        <x:v>S43-T01</x:v>
      </x:c>
      <x:c r="H90" s="2" t="str">
        <x:v>Attribution Analysis</x:v>
      </x:c>
      <x:c r="I90" s="6" t="str">
        <x:v>需求文本、代码文本及关联标签（相关/不相关）</x:v>
      </x:c>
      <x:c r="J90" s="2" t="str">
        <x:v>基于需求与代码内容生成归因推理文本（Reason），解释为何二者相关或不相关</x:v>
      </x:c>
      <x:c r="K90" s="6" t="str">
        <x:v>技术解释文本（Reason节点）</x:v>
      </x:c>
      <x:c r="L90" s="2" t="str">
        <x:v>2 Semantic contextualization</x:v>
      </x:c>
      <x:c r="M90" s="2" t="str">
        <x:v>link_rationale_enrichment</x:v>
      </x:c>
      <x:c r="N90" s="2" t="str">
        <x:v>R2 Information Enhancer</x:v>
      </x:c>
      <x:c r="O90" s="2" t="str">
        <x:v>NA</x:v>
      </x:c>
      <x:c r="P90" s="2" t="str">
        <x:v>Primary</x:v>
      </x:c>
      <x:c r="Q90" s="6" t="str">
        <x:v>The relation label is supplied to the LLM and the explanation becomes a downstream graph feature; because the LLM does not assess link correctness, R2 takes precedence over R4.</x:v>
      </x:c>
      <x:c r="R90" s="6" t="str">
        <x:v>Generates explanatory text for an externally supplied relation label to enrich a downstream representation. The output is derivative or enriched content based on one or more artifacts; it does not itself decide, verify, or persist a trace relation.</x:v>
      </x:c>
      <x:c r="S90" s="6" t="str">
        <x:v>p. 3; Section III-A</x:v>
      </x:c>
      <x:c r="T90" s="6" t="str">
        <x:v>a LLM is used to generate a technical explanation—no more than 60 words—describing why the pair is related or unrelated. This generated explanation is added to a new column named “Reason”.</x:v>
      </x:c>
      <x:c r="U90" s="6" t="str">
        <x:v>Generates explanatory text for an externally supplied relation label to enrich a downstream representation. The output is derivative or enriched content based on one or more artifacts; it does not itself decide, verify, or persist a trace relation.</x:v>
      </x:c>
      <x:c r="V90" s="2" t="str">
        <x:v>Accepted</x:v>
      </x:c>
      <x:c r="W90" s="6" t="str">
        <x:v>Included in the main functional-role analysis.</x:v>
      </x:c>
    </x:row>
    <x:row r="91" ht="76" customHeight="1">
      <x:c r="A91" s="2" t="str">
        <x:v>S44-ROLE-R01</x:v>
      </x:c>
      <x:c r="B91" s="2" t="str">
        <x:v>S44</x:v>
      </x:c>
      <x:c r="C91" s="2" t="str">
        <x:v>merged_1274</x:v>
      </x:c>
      <x:c r="D91" s="2" t="str">
        <x:v>Reviewer_A</x:v>
      </x:c>
      <x:c r="E91" s="2" t="str">
        <x:v>Reviewer_A</x:v>
      </x:c>
      <x:c r="F91" s="2" t="str">
        <x:v>S44-O01</x:v>
      </x:c>
      <x:c r="G91" s="2" t="str">
        <x:v>S44-T01</x:v>
      </x:c>
      <x:c r="H91" s="2" t="str">
        <x:v>Preprocessing translation</x:v>
      </x:c>
      <x:c r="I91" s="6" t="str">
        <x:v>非英文需求文本</x:v>
      </x:c>
      <x:c r="J91" s="2" t="str">
        <x:v>将输入的非英文需求翻译为英文</x:v>
      </x:c>
      <x:c r="K91" s="6" t="str">
        <x:v>英文需求文本</x:v>
      </x:c>
      <x:c r="L91" s="2" t="str">
        <x:v>1 Artifact acquisition and scoping</x:v>
      </x:c>
      <x:c r="M91" s="2" t="str">
        <x:v>artifact_translation</x:v>
      </x:c>
      <x:c r="N91" s="2" t="str">
        <x:v>R2 Information Enhancer</x:v>
      </x:c>
      <x:c r="O91" s="2" t="str">
        <x:v>NA</x:v>
      </x:c>
      <x:c r="P91" s="2" t="str">
        <x:v>Primary</x:v>
      </x:c>
      <x:c r="Q91" s="6" t="str">
        <x:v>NA</x:v>
      </x:c>
      <x:c r="R91" s="6" t="str">
        <x:v>Translates artifact text into another language to normalize inputs for downstream traceability processing. The output is derivative or enriched content based on one or more artifacts; it does not itself decide, verify, or persist a trace relation.</x:v>
      </x:c>
      <x:c r="S91" s="6" t="str">
        <x:v>p. 2; B. Preprocessing</x:v>
      </x:c>
      <x:c r="T91" s="6" t="str">
        <x:v>non-English requirements were translated into English using GPT-3.5 to preserve semantic integrity.</x:v>
      </x:c>
      <x:c r="U91" s="6" t="str">
        <x:v>Translates artifact text into another language to normalize inputs for downstream traceability processing. The output is derivative or enriched content based on one or more artifacts; it does not itself decide, verify, or persist a trace relation.</x:v>
      </x:c>
      <x:c r="V91" s="2" t="str">
        <x:v>Accepted</x:v>
      </x:c>
      <x:c r="W91" s="6" t="str">
        <x:v>NR Included in the main functional-role analysis.</x:v>
      </x:c>
    </x:row>
    <x:row r="92" ht="76" customHeight="1">
      <x:c r="A92" s="2" t="str">
        <x:v>S44-ROLE-R02</x:v>
      </x:c>
      <x:c r="B92" s="2" t="str">
        <x:v>S44</x:v>
      </x:c>
      <x:c r="C92" s="2" t="str">
        <x:v>merged_1274</x:v>
      </x:c>
      <x:c r="D92" s="2" t="str">
        <x:v>Reviewer_A</x:v>
      </x:c>
      <x:c r="E92" s="2" t="str">
        <x:v>Reviewer_A</x:v>
      </x:c>
      <x:c r="F92" s="2" t="str">
        <x:v>S44-O02</x:v>
      </x:c>
      <x:c r="G92" s="2" t="str">
        <x:v>S44-T01</x:v>
      </x:c>
      <x:c r="H92" s="2" t="str">
        <x:v>Prompt design (CoT summarization)</x:v>
      </x:c>
      <x:c r="I92" s="6" t="str">
        <x:v>源代码</x:v>
      </x:c>
      <x:c r="J92" s="2" t="str">
        <x:v>通过链式思维（CoT）提示，逐步分析代码并生成其业务需求描述</x:v>
      </x:c>
      <x:c r="K92" s="6" t="str">
        <x:v>代码的业务需求描述文本</x:v>
      </x:c>
      <x:c r="L92" s="2" t="str">
        <x:v>2 Semantic contextualization</x:v>
      </x:c>
      <x:c r="M92" s="2" t="str">
        <x:v>semantic_description_generation</x:v>
      </x:c>
      <x:c r="N92" s="2" t="str">
        <x:v>R2 Information Enhancer</x:v>
      </x:c>
      <x:c r="O92" s="2" t="str">
        <x:v>NA</x:v>
      </x:c>
      <x:c r="P92" s="2" t="str">
        <x:v>Primary</x:v>
      </x:c>
      <x:c r="Q92" s="6" t="str">
        <x:v>NA</x:v>
      </x:c>
      <x:c r="R92" s="6" t="str">
        <x:v>Generates a natural-language description that enriches or reframes the meaning of an artifact. The output is derivative or enriched content based on one or more artifacts; it does not itself decide, verify, or persist a trace relation.</x:v>
      </x:c>
      <x:c r="S92" s="6" t="str">
        <x:v>p. 2; Section C, Prompt Design</x:v>
      </x:c>
      <x:c r="T92" s="6" t="str">
        <x:v>First, the prompt is constructed to guide the LLM in analyzing the code to derive its business requirement description. The LLM integrates insights from names and comments to interpret the code logic and its overall purpose. Finally, the model synthesizes all information to summarize the underlying business requirements represented by the code.</x:v>
      </x:c>
      <x:c r="U92" s="6" t="str">
        <x:v>Generates a natural-language description that enriches or reframes the meaning of an artifact. The output is derivative or enriched content based on one or more artifacts; it does not itself decide, verify, or persist a trace relation.</x:v>
      </x:c>
      <x:c r="V92" s="2" t="str">
        <x:v>Accepted</x:v>
      </x:c>
      <x:c r="W92" s="6" t="str">
        <x:v>生成的需求描述随后由SimCSE计算相似度，LLM本身不直接进行链接分类。 Included in the main functional-role analysis.</x:v>
      </x:c>
    </x:row>
    <x:row r="93" ht="76" customHeight="1">
      <x:c r="A93" s="2" t="str">
        <x:v>S45-ROLE-R01</x:v>
      </x:c>
      <x:c r="B93" s="2" t="str">
        <x:v>S45</x:v>
      </x:c>
      <x:c r="C93" s="2" t="str">
        <x:v>merged_1275</x:v>
      </x:c>
      <x:c r="D93" s="2" t="str">
        <x:v>Reviewer_A</x:v>
      </x:c>
      <x:c r="E93" s="2" t="str">
        <x:v>Reviewer_A</x:v>
      </x:c>
      <x:c r="F93" s="2" t="str">
        <x:v>S45-O01</x:v>
      </x:c>
      <x:c r="G93" s="2" t="str">
        <x:v>S45-T01</x:v>
      </x:c>
      <x:c r="H93" s="2" t="str">
        <x:v>assess trace link quality</x:v>
      </x:c>
      <x:c r="I93" s="6" t="str">
        <x:v>系统需求及其链接的软件需求对</x:v>
      </x:c>
      <x:c r="J93" s="2" t="str">
        <x:v>评估追溯链接的质量（有意义性和完整性）并给出评论</x:v>
      </x:c>
      <x:c r="K93" s="6" t="str">
        <x:v>关于链接质量的评估意见，包括指出有意义性和完整性问题</x:v>
      </x:c>
      <x:c r="L93" s="2" t="str">
        <x:v>4 Validation and explanation</x:v>
      </x:c>
      <x:c r="M93" s="2" t="str">
        <x:v>link_quality_assessment</x:v>
      </x:c>
      <x:c r="N93" s="2" t="str">
        <x:v>R4 Verification Evaluator</x:v>
      </x:c>
      <x:c r="O93" s="2" t="str">
        <x:v>NA</x:v>
      </x:c>
      <x:c r="P93" s="2" t="str">
        <x:v>Primary</x:v>
      </x:c>
      <x:c r="Q93" s="6" t="str">
        <x:v>NA</x:v>
      </x:c>
      <x:c r="R93" s="6" t="str">
        <x:v>Evaluates qualitative properties such as meaningfulness and completeness of an existing trace link. The input contains an existing, generated, or candidate relation or coverage mapping, and the output evaluates its validity, quality, completeness, consistency, compliance, or explanatory adequacy.</x:v>
      </x:c>
      <x:c r="S93" s="6" t="str">
        <x:v>p. 2; Study 1 section</x:v>
      </x:c>
      <x:c r="T93" s="6" t="str">
        <x:v>ChatGPT-4o was prompted to assess and comment on the quality of the trace link with regards to two</x:v>
      </x:c>
      <x:c r="U93" s="6" t="str">
        <x:v>Evaluates qualitative properties such as meaningfulness and completeness of an existing trace link. The input contains an existing, generated, or candidate relation or coverage mapping, and the output evaluates its validity, quality, completeness, consistency, compliance, or explanatory adequacy.</x:v>
      </x:c>
      <x:c r="V93" s="2" t="str">
        <x:v>Accepted</x:v>
      </x:c>
      <x:c r="W93" s="6" t="str">
        <x:v>Included in the main functional-role analysis.</x:v>
      </x:c>
    </x:row>
    <x:row r="94" ht="76" customHeight="1">
      <x:c r="A94" s="2" t="str">
        <x:v>S45-ROLE-R02</x:v>
      </x:c>
      <x:c r="B94" s="2" t="str">
        <x:v>S45</x:v>
      </x:c>
      <x:c r="C94" s="2" t="str">
        <x:v>merged_1275</x:v>
      </x:c>
      <x:c r="D94" s="2" t="str">
        <x:v>Reviewer_A</x:v>
      </x:c>
      <x:c r="E94" s="2" t="str">
        <x:v>Reviewer_A</x:v>
      </x:c>
      <x:c r="F94" s="2" t="str">
        <x:v>S45-O02</x:v>
      </x:c>
      <x:c r="G94" s="2" t="str">
        <x:v>S45-T02</x:v>
      </x:c>
      <x:c r="H94" s="2" t="str">
        <x:v>assess test case coverage</x:v>
      </x:c>
      <x:c r="I94" s="6" t="str">
        <x:v>软件需求及其相关的测试用例</x:v>
      </x:c>
      <x:c r="J94" s="2" t="str">
        <x:v>评估测试用例是否完全覆盖了链接的软件需求，并建议缺失的测试用例</x:v>
      </x:c>
      <x:c r="K94" s="6" t="str">
        <x:v>关于测试用例覆盖度的评估，以及建议的缺失测试用例</x:v>
      </x:c>
      <x:c r="L94" s="2" t="str">
        <x:v>4 Validation and explanation</x:v>
      </x:c>
      <x:c r="M94" s="2" t="str">
        <x:v>coverage_completeness_assessment</x:v>
      </x:c>
      <x:c r="N94" s="2" t="str">
        <x:v>R4 Verification Evaluator</x:v>
      </x:c>
      <x:c r="O94" s="2" t="str">
        <x:v>NA</x:v>
      </x:c>
      <x:c r="P94" s="2" t="str">
        <x:v>Primary</x:v>
      </x:c>
      <x:c r="Q94" s="6" t="str">
        <x:v>The output is a completeness judgement over supplied related artifacts rather than recovery of a new trace target; R4 takes precedence over R3.</x:v>
      </x:c>
      <x:c r="R94"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S94" s="6" t="str">
        <x:v>p. 3; Study 2 section</x:v>
      </x:c>
      <x:c r="T94" s="6" t="str">
        <x:v>prompted to assess whether or not the test cases entirely covered its linked software requirement and also suggest any missing cases</x:v>
      </x:c>
      <x:c r="U94"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V94" s="2" t="str">
        <x:v>Accepted</x:v>
      </x:c>
      <x:c r="W94" s="6" t="str">
        <x:v>Included in the main functional-role analysis.</x:v>
      </x:c>
    </x:row>
    <x:row r="95" ht="76" customHeight="1">
      <x:c r="A95" s="2" t="str">
        <x:v>S45-ROLE-R03</x:v>
      </x:c>
      <x:c r="B95" s="2" t="str">
        <x:v>S45</x:v>
      </x:c>
      <x:c r="C95" s="2" t="str">
        <x:v>merged_1275</x:v>
      </x:c>
      <x:c r="D95" s="2" t="str">
        <x:v>Reviewer_A</x:v>
      </x:c>
      <x:c r="E95" s="2" t="str">
        <x:v>Reviewer_A</x:v>
      </x:c>
      <x:c r="F95" s="2" t="str">
        <x:v>S45-O03</x:v>
      </x:c>
      <x:c r="G95" s="2" t="str">
        <x:v>S45-T03</x:v>
      </x:c>
      <x:c r="H95" s="2" t="str">
        <x:v>trace link prediction</x:v>
      </x:c>
      <x:c r="I95" s="6" t="str">
        <x:v>系统需求列表和软件需求列表（顺序随机）</x:v>
      </x:c>
      <x:c r="J95" s="2" t="str">
        <x:v>在系统需求和软件需求之间预测潜在的追溯链接</x:v>
      </x:c>
      <x:c r="K95" s="6" t="str">
        <x:v>预测的系统需求与软件需求之间的链接集合</x:v>
      </x:c>
      <x:c r="L95" s="2" t="str">
        <x:v>3 Traceability inference</x:v>
      </x:c>
      <x:c r="M95" s="2" t="str">
        <x:v>link_set_generation</x:v>
      </x:c>
      <x:c r="N95" s="2" t="str">
        <x:v>R3 Trace Inferencer</x:v>
      </x:c>
      <x:c r="O95" s="2" t="str">
        <x:v>NA</x:v>
      </x:c>
      <x:c r="P95" s="2" t="str">
        <x:v>Primary</x:v>
      </x:c>
      <x:c r="Q95" s="6" t="str">
        <x:v>NA</x:v>
      </x:c>
      <x:c r="R95" s="6" t="str">
        <x:v>Identifies or predicts a set of target artifacts related to a source artifact. The output materializes a trace decision as a label, score, ranking, link set, path, matrix, source attribution, or relation-focused answer.</x:v>
      </x:c>
      <x:c r="S95" s="6" t="str">
        <x:v>p. 4; Study 3 section</x:v>
      </x:c>
      <x:c r="T95" s="6" t="str">
        <x:v>evaluates ChatGPT-4o’s performance in predicting trace links between system requirements (SYSRS) and software requirements (SWRS)</x:v>
      </x:c>
      <x:c r="U95" s="6" t="str">
        <x:v>Identifies or predicts a set of target artifacts related to a source artifact. The output materializes a trace decision as a label, score, ranking, link set, path, matrix, source attribution, or relation-focused answer.</x:v>
      </x:c>
      <x:c r="V95" s="2" t="str">
        <x:v>Accepted</x:v>
      </x:c>
      <x:c r="W95" s="6" t="str">
        <x:v>Included in the main functional-role analysis.</x:v>
      </x:c>
    </x:row>
    <x:row r="96" ht="76" customHeight="1">
      <x:c r="A96" s="2" t="str">
        <x:v>S45-ROLE-R04</x:v>
      </x:c>
      <x:c r="B96" s="2" t="str">
        <x:v>S45</x:v>
      </x:c>
      <x:c r="C96" s="2" t="str">
        <x:v>merged_1275</x:v>
      </x:c>
      <x:c r="D96" s="2" t="str">
        <x:v>Reviewer_A</x:v>
      </x:c>
      <x:c r="E96" s="2" t="str">
        <x:v>Reviewer_A</x:v>
      </x:c>
      <x:c r="F96" s="2" t="str">
        <x:v>S45-O04</x:v>
      </x:c>
      <x:c r="G96" s="2" t="str">
        <x:v>S45-T04</x:v>
      </x:c>
      <x:c r="H96" s="2" t="str">
        <x:v>anomaly detection</x:v>
      </x:c>
      <x:c r="I96" s="6" t="str">
        <x:v>单个系统需求或软件需求文本</x:v>
      </x:c>
      <x:c r="J96" s="2" t="str">
        <x:v>识别需求中的语言歧义或内容歧义</x:v>
      </x:c>
      <x:c r="K96" s="6" t="str">
        <x:v>被标记的歧义点及其描述</x:v>
      </x:c>
      <x:c r="L96" s="2" t="str">
        <x:v>2 Semantic contextualization</x:v>
      </x:c>
      <x:c r="M96" s="2" t="str">
        <x:v>artifact_quality_issue_detection</x:v>
      </x:c>
      <x:c r="N96" s="2" t="str">
        <x:v>R1 Feature Extractor</x:v>
      </x:c>
      <x:c r="O96" s="2" t="str">
        <x:v>NA</x:v>
      </x:c>
      <x:c r="P96" s="2" t="str">
        <x:v>Primary</x:v>
      </x:c>
      <x:c r="Q96" s="6" t="str">
        <x:v>NA</x:v>
      </x:c>
      <x:c r="R96" s="6" t="str">
        <x:v>Detects ambiguity, inconsistency, incompleteness, violations, or other quality properties within an artifact. The output makes information already grounded in an artifact explicit, structured, condensed, selected, or encoded; it does not itself decide a cross-artifact trace relation.</x:v>
      </x:c>
      <x:c r="S96" s="6" t="str">
        <x:v>p. 4; Study 4 section</x:v>
      </x:c>
      <x:c r="T96" s="6" t="str">
        <x:v>ChatGPT-4o was instructed to flag any linguistic or content-based ambiguities that may exist within the requirements.</x:v>
      </x:c>
      <x:c r="U96" s="6" t="str">
        <x:v>Detects ambiguity, inconsistency, incompleteness, violations, or other quality properties within an artifact. The output makes information already grounded in an artifact explicit, structured, condensed, selected, or encoded; it does not itself decide a cross-artifact trace relation.</x:v>
      </x:c>
      <x:c r="V96" s="2" t="str">
        <x:v>Accepted</x:v>
      </x:c>
      <x:c r="W96" s="6" t="str">
        <x:v>Included in the main functional-role analysis.</x:v>
      </x:c>
    </x:row>
    <x:row r="97" ht="76" customHeight="1">
      <x:c r="A97" s="2" t="str">
        <x:v>S45-ROLE-R05</x:v>
      </x:c>
      <x:c r="B97" s="2" t="str">
        <x:v>S45</x:v>
      </x:c>
      <x:c r="C97" s="2" t="str">
        <x:v>merged_1275</x:v>
      </x:c>
      <x:c r="D97" s="2" t="str">
        <x:v>Reviewer_A</x:v>
      </x:c>
      <x:c r="E97" s="2" t="str">
        <x:v>Reviewer_A</x:v>
      </x:c>
      <x:c r="F97" s="2" t="str">
        <x:v>S45-O05</x:v>
      </x:c>
      <x:c r="G97" s="2" t="str">
        <x:v>S45-T05</x:v>
      </x:c>
      <x:c r="H97" s="2" t="str">
        <x:v>identify inconsistencies</x:v>
      </x:c>
      <x:c r="I97" s="6" t="str">
        <x:v>一个系统需求及其链接的软件需求对</x:v>
      </x:c>
      <x:c r="J97" s="2" t="str">
        <x:v>检查软件需求是否充分详细地描述了系统需求，识别不一致，并提出修订建议</x:v>
      </x:c>
      <x:c r="K97" s="6" t="str">
        <x:v>对不一致性的解释以及修订建议</x:v>
      </x:c>
      <x:c r="L97" s="2" t="str">
        <x:v>4 Validation and explanation</x:v>
      </x:c>
      <x:c r="M97" s="2" t="str">
        <x:v>link_consistency_validation</x:v>
      </x:c>
      <x:c r="N97" s="2" t="str">
        <x:v>R4 Verification Evaluator</x:v>
      </x:c>
      <x:c r="O97" s="2" t="str">
        <x:v>NA</x:v>
      </x:c>
      <x:c r="P97" s="2" t="str">
        <x:v>Primary</x:v>
      </x:c>
      <x:c r="Q97" s="6" t="str">
        <x:v>NA</x:v>
      </x:c>
      <x:c r="R97" s="6" t="str">
        <x:v>Checks whether linked artifacts or their explanations are mutually consistent and adequately aligned. The input contains an existing, generated, or candidate relation or coverage mapping, and the output evaluates its validity, quality, completeness, consistency, compliance, or explanatory adequacy.</x:v>
      </x:c>
      <x:c r="S97" s="6" t="str">
        <x:v>p. 5; Study 5 section</x:v>
      </x:c>
      <x:c r="T97" s="6" t="str">
        <x:v>tested with ChatGPT-4o, to see if it was able to spot the issue</x:v>
      </x:c>
      <x:c r="U97" s="6" t="str">
        <x:v>Checks whether linked artifacts or their explanations are mutually consistent and adequately aligned. The input contains an existing, generated, or candidate relation or coverage mapping, and the output evaluates its validity, quality, completeness, consistency, compliance, or explanatory adequacy.</x:v>
      </x:c>
      <x:c r="V97" s="2" t="str">
        <x:v>Accepted</x:v>
      </x:c>
      <x:c r="W97" s="6" t="str">
        <x:v>Included in the main functional-role analysis.</x:v>
      </x:c>
    </x:row>
    <x:row r="98" ht="76" customHeight="1">
      <x:c r="A98" s="2" t="str">
        <x:v>S46-ROLE-R01</x:v>
      </x:c>
      <x:c r="B98" s="2" t="str">
        <x:v>S46</x:v>
      </x:c>
      <x:c r="C98" s="2" t="str">
        <x:v>merged_1293</x:v>
      </x:c>
      <x:c r="D98" s="2" t="str">
        <x:v>Reviewer_A</x:v>
      </x:c>
      <x:c r="E98" s="2" t="str">
        <x:v>Reviewer_A</x:v>
      </x:c>
      <x:c r="F98" s="2" t="str">
        <x:v>S46-O01</x:v>
      </x:c>
      <x:c r="G98" s="2" t="str">
        <x:v>S46-T01</x:v>
      </x:c>
      <x:c r="H98" s="2" t="str">
        <x:v>artifact generation via structured prompting</x:v>
      </x:c>
      <x:c r="I98" s="6" t="str">
        <x:v>包含系统描述、上下文和输入数据的结构化提示（SHS01）</x:v>
      </x:c>
      <x:c r="J98" s="2" t="str">
        <x:v>根据上下文和输入数据生成检测到的歧义、不完整和矛盾之处</x:v>
      </x:c>
      <x:c r="K98" s="6" t="str">
        <x:v>检测到的歧义、不完整和矛盾之处</x:v>
      </x:c>
      <x:c r="L98" s="2" t="str">
        <x:v>2 Semantic contextualization</x:v>
      </x:c>
      <x:c r="M98" s="2" t="str">
        <x:v>artifact_quality_issue_detection</x:v>
      </x:c>
      <x:c r="N98" s="2" t="str">
        <x:v>R1 Feature Extractor</x:v>
      </x:c>
      <x:c r="O98" s="2" t="str">
        <x:v>NA</x:v>
      </x:c>
      <x:c r="P98" s="2" t="str">
        <x:v>Primary</x:v>
      </x:c>
      <x:c r="Q98" s="6" t="str">
        <x:v>NA</x:v>
      </x:c>
      <x:c r="R98" s="6" t="str">
        <x:v>Detects ambiguity, inconsistency, incompleteness, violations, or other quality properties within an artifact. The output makes information already grounded in an artifact explicit, structured, condensed, selected, or encoded; it does not itself decide a cross-artifact trace relation.</x:v>
      </x:c>
      <x:c r="S98" s="6" t="str">
        <x:v>p. 20; Appendix, Figure 19(a)</x:v>
      </x:c>
      <x:c r="T98" s="6" t="str">
        <x:v>Based on the context and input data, analyze the system description for ambiguities, incompleteness, and contradictions.</x:v>
      </x:c>
      <x:c r="U98" s="6" t="str">
        <x:v>Detects ambiguity, inconsistency, incompleteness, violations, or other quality properties within an artifact. The output makes information already grounded in an artifact explicit, structured, condensed, selected, or encoded; it does not itself decide a cross-artifact trace relation.</x:v>
      </x:c>
      <x:c r="V98" s="2" t="str">
        <x:v>Accepted</x:v>
      </x:c>
      <x:c r="W98" s="6" t="str">
        <x:v>Included in the main functional-role analysis.</x:v>
      </x:c>
    </x:row>
    <x:row r="99" ht="76" customHeight="1">
      <x:c r="A99" s="2" t="str">
        <x:v>S46-ROLE-R02</x:v>
      </x:c>
      <x:c r="B99" s="2" t="str">
        <x:v>S46</x:v>
      </x:c>
      <x:c r="C99" s="2" t="str">
        <x:v>merged_1293</x:v>
      </x:c>
      <x:c r="D99" s="2" t="str">
        <x:v>Reviewer_A</x:v>
      </x:c>
      <x:c r="E99" s="2" t="str">
        <x:v>Reviewer_A</x:v>
      </x:c>
      <x:c r="F99" s="2" t="str">
        <x:v>S46-O02</x:v>
      </x:c>
      <x:c r="G99" s="2" t="str">
        <x:v>S46-T02</x:v>
      </x:c>
      <x:c r="H99" s="2" t="str">
        <x:v>artifact generation via structured prompting</x:v>
      </x:c>
      <x:c r="I99" s="6" t="str">
        <x:v>包含P1发现、上下文和输入数据的结构化提示（SHS02）</x:v>
      </x:c>
      <x:c r="J99" s="2" t="str">
        <x:v>根据上下文和输入数据识别并分类功能和非功能需求</x:v>
      </x:c>
      <x:c r="K99" s="6" t="str">
        <x:v>功能性和非功能性需求</x:v>
      </x:c>
      <x:c r="L99" s="2" t="str">
        <x:v>2 Semantic contextualization</x:v>
      </x:c>
      <x:c r="M99" s="2" t="str">
        <x:v>artifact_element_extraction</x:v>
      </x:c>
      <x:c r="N99" s="2" t="str">
        <x:v>R1 Feature Extractor</x:v>
      </x:c>
      <x:c r="O99" s="2" t="str">
        <x:v>NA</x:v>
      </x:c>
      <x:c r="P99" s="2" t="str">
        <x:v>Primary</x:v>
      </x:c>
      <x:c r="Q99" s="6" t="str">
        <x:v>NA</x:v>
      </x:c>
      <x:c r="R99"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S99" s="6" t="str">
        <x:v>p. 20; Appendix, Figure 19(b)</x:v>
      </x:c>
      <x:c r="T99" s="6" t="str">
        <x:v>Based on the context and input data, identify and categorize the functional and non-functional requirements of the system description.</x:v>
      </x:c>
      <x:c r="U99"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V99" s="2" t="str">
        <x:v>Accepted</x:v>
      </x:c>
      <x:c r="W99" s="6" t="str">
        <x:v>Included in the main functional-role analysis.</x:v>
      </x:c>
    </x:row>
    <x:row r="100" ht="76" customHeight="1">
      <x:c r="A100" s="2" t="str">
        <x:v>S46-ROLE-R03</x:v>
      </x:c>
      <x:c r="B100" s="2" t="str">
        <x:v>S46</x:v>
      </x:c>
      <x:c r="C100" s="2" t="str">
        <x:v>merged_1293</x:v>
      </x:c>
      <x:c r="D100" s="2" t="str">
        <x:v>Reviewer_A</x:v>
      </x:c>
      <x:c r="E100" s="2" t="str">
        <x:v>Reviewer_A</x:v>
      </x:c>
      <x:c r="F100" s="2" t="str">
        <x:v>S46-O03</x:v>
      </x:c>
      <x:c r="G100" s="2" t="str">
        <x:v>S46-T03</x:v>
      </x:c>
      <x:c r="H100" s="2" t="str">
        <x:v>artifact generation via structured prompting</x:v>
      </x:c>
      <x:c r="I100" s="6" t="str">
        <x:v>包含P2输出、上下文和输入数据的结构化提示（SHS03）</x:v>
      </x:c>
      <x:c r="J100" s="2" t="str">
        <x:v>根据上下文和需求生成用例模型</x:v>
      </x:c>
      <x:c r="K100" s="6" t="str">
        <x:v>用例模型</x:v>
      </x:c>
      <x:c r="L100" s="2" t="str">
        <x:v>2 Semantic contextualization</x:v>
      </x:c>
      <x:c r="M100" s="2" t="str">
        <x:v>related_artifact_generation</x:v>
      </x:c>
      <x:c r="N100" s="2" t="str">
        <x:v>R2 Information Enhancer</x:v>
      </x:c>
      <x:c r="O100" s="2" t="str">
        <x:v>NA</x:v>
      </x:c>
      <x:c r="P100" s="2" t="str">
        <x:v>Primary</x:v>
      </x:c>
      <x:c r="Q100" s="6" t="str">
        <x:v>NA</x:v>
      </x:c>
      <x:c r="R100"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100" s="6" t="str">
        <x:v>p. 20; Appendix, Figure 19(c)</x:v>
      </x:c>
      <x:c r="T100" s="6" t="str">
        <x:v>Based on the context and input data, create a use case model for the smart home system.</x:v>
      </x:c>
      <x:c r="U100"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100" s="2" t="str">
        <x:v>Accepted</x:v>
      </x:c>
      <x:c r="W100" s="6" t="str">
        <x:v>Included in the main functional-role analysis.</x:v>
      </x:c>
    </x:row>
    <x:row r="101" ht="76" customHeight="1">
      <x:c r="A101" s="2" t="str">
        <x:v>S46-ROLE-R04</x:v>
      </x:c>
      <x:c r="B101" s="2" t="str">
        <x:v>S46</x:v>
      </x:c>
      <x:c r="C101" s="2" t="str">
        <x:v>merged_1293</x:v>
      </x:c>
      <x:c r="D101" s="2" t="str">
        <x:v>Reviewer_A</x:v>
      </x:c>
      <x:c r="E101" s="2" t="str">
        <x:v>Reviewer_A</x:v>
      </x:c>
      <x:c r="F101" s="2" t="str">
        <x:v>S46-O04</x:v>
      </x:c>
      <x:c r="G101" s="2" t="str">
        <x:v>S46-T04</x:v>
      </x:c>
      <x:c r="H101" s="2" t="str">
        <x:v>artifact generation via structured prompting</x:v>
      </x:c>
      <x:c r="I101" s="6" t="str">
        <x:v>包含P3输出、上下文和输入数据的结构化提示（SHS04）</x:v>
      </x:c>
      <x:c r="J101" s="2" t="str">
        <x:v>根据用例模型和需求生成用例规格说明</x:v>
      </x:c>
      <x:c r="K101" s="6" t="str">
        <x:v>用例规格说明</x:v>
      </x:c>
      <x:c r="L101" s="2" t="str">
        <x:v>2 Semantic contextualization</x:v>
      </x:c>
      <x:c r="M101" s="2" t="str">
        <x:v>related_artifact_generation</x:v>
      </x:c>
      <x:c r="N101" s="2" t="str">
        <x:v>R2 Information Enhancer</x:v>
      </x:c>
      <x:c r="O101" s="2" t="str">
        <x:v>NA</x:v>
      </x:c>
      <x:c r="P101" s="2" t="str">
        <x:v>Primary</x:v>
      </x:c>
      <x:c r="Q101" s="6" t="str">
        <x:v>NA</x:v>
      </x:c>
      <x:c r="R101"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101" s="6" t="str">
        <x:v>p. 20; Appendix, Figure 19(d)</x:v>
      </x:c>
      <x:c r="T101" s="6" t="str">
        <x:v>Based on the context and input data, develop use case specifications for every use case.</x:v>
      </x:c>
      <x:c r="U101"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101" s="2" t="str">
        <x:v>Accepted</x:v>
      </x:c>
      <x:c r="W101" s="6" t="str">
        <x:v>Included in the main functional-role analysis.</x:v>
      </x:c>
    </x:row>
    <x:row r="102" ht="76" customHeight="1">
      <x:c r="A102" s="2" t="str">
        <x:v>S46-ROLE-R05</x:v>
      </x:c>
      <x:c r="B102" s="2" t="str">
        <x:v>S46</x:v>
      </x:c>
      <x:c r="C102" s="2" t="str">
        <x:v>merged_1293</x:v>
      </x:c>
      <x:c r="D102" s="2" t="str">
        <x:v>Reviewer_A</x:v>
      </x:c>
      <x:c r="E102" s="2" t="str">
        <x:v>Reviewer_A</x:v>
      </x:c>
      <x:c r="F102" s="2" t="str">
        <x:v>S46-O05</x:v>
      </x:c>
      <x:c r="G102" s="2" t="str">
        <x:v>S46-T05</x:v>
      </x:c>
      <x:c r="H102" s="2" t="str">
        <x:v>artifact generation via structured prompting</x:v>
      </x:c>
      <x:c r="I102" s="6" t="str">
        <x:v>包含P4输出、上下文和输入数据的结构化提示（SHS05）</x:v>
      </x:c>
      <x:c r="J102" s="2" t="str">
        <x:v>根据用例规格说明构建领域模型</x:v>
      </x:c>
      <x:c r="K102" s="6" t="str">
        <x:v>领域模型</x:v>
      </x:c>
      <x:c r="L102" s="2" t="str">
        <x:v>2 Semantic contextualization</x:v>
      </x:c>
      <x:c r="M102" s="2" t="str">
        <x:v>related_artifact_generation</x:v>
      </x:c>
      <x:c r="N102" s="2" t="str">
        <x:v>R2 Information Enhancer</x:v>
      </x:c>
      <x:c r="O102" s="2" t="str">
        <x:v>NA</x:v>
      </x:c>
      <x:c r="P102" s="2" t="str">
        <x:v>Primary</x:v>
      </x:c>
      <x:c r="Q102" s="6" t="str">
        <x:v>NA</x:v>
      </x:c>
      <x:c r="R102"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102" s="6" t="str">
        <x:v>p. 20; Appendix, Figure 19(e)</x:v>
      </x:c>
      <x:c r="T102" s="6" t="str">
        <x:v>Based on the context and input data, create a domain model for the smart home system based on use case specifications.</x:v>
      </x:c>
      <x:c r="U102"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102" s="2" t="str">
        <x:v>Accepted</x:v>
      </x:c>
      <x:c r="W102" s="6" t="str">
        <x:v>Included in the main functional-role analysis.</x:v>
      </x:c>
    </x:row>
    <x:row r="103" ht="76" customHeight="1">
      <x:c r="A103" s="2" t="str">
        <x:v>S46-ROLE-R06</x:v>
      </x:c>
      <x:c r="B103" s="2" t="str">
        <x:v>S46</x:v>
      </x:c>
      <x:c r="C103" s="2" t="str">
        <x:v>merged_1293</x:v>
      </x:c>
      <x:c r="D103" s="2" t="str">
        <x:v>Reviewer_A</x:v>
      </x:c>
      <x:c r="E103" s="2" t="str">
        <x:v>Reviewer_A</x:v>
      </x:c>
      <x:c r="F103" s="2" t="str">
        <x:v>S46-O06</x:v>
      </x:c>
      <x:c r="G103" s="2" t="str">
        <x:v>S46-T06</x:v>
      </x:c>
      <x:c r="H103" s="2" t="str">
        <x:v>artifact generation via structured prompting</x:v>
      </x:c>
      <x:c r="I103" s="6" t="str">
        <x:v>包含P4输出、上下文和输入数据的结构化提示（SHS06）</x:v>
      </x:c>
      <x:c r="J103" s="2" t="str">
        <x:v>从用例规格说明中识别系统操作</x:v>
      </x:c>
      <x:c r="K103" s="6" t="str">
        <x:v>系统操作</x:v>
      </x:c>
      <x:c r="L103" s="2" t="str">
        <x:v>2 Semantic contextualization</x:v>
      </x:c>
      <x:c r="M103" s="2" t="str">
        <x:v>artifact_element_extraction</x:v>
      </x:c>
      <x:c r="N103" s="2" t="str">
        <x:v>R1 Feature Extractor</x:v>
      </x:c>
      <x:c r="O103" s="2" t="str">
        <x:v>NA</x:v>
      </x:c>
      <x:c r="P103" s="2" t="str">
        <x:v>Primary</x:v>
      </x:c>
      <x:c r="Q103" s="6" t="str">
        <x:v>NA</x:v>
      </x:c>
      <x:c r="R103"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S103" s="6" t="str">
        <x:v>p. 20; Appendix, Figure 19(f)</x:v>
      </x:c>
      <x:c r="T103" s="6" t="str">
        <x:v>Based on the context and input data, identify system operations from use case specifications of the smart home system.</x:v>
      </x:c>
      <x:c r="U103" s="6" t="str">
        <x:v>Identifies and structures explicit elements, attributes, entities, relations, requirements, goals, or operations already present in an input artifact. The output makes information already grounded in an artifact explicit, structured, condensed, selected, or encoded; it does not itself decide a cross-artifact trace relation.</x:v>
      </x:c>
      <x:c r="V103" s="2" t="str">
        <x:v>Accepted</x:v>
      </x:c>
      <x:c r="W103" s="6" t="str">
        <x:v>Included in the main functional-role analysis.</x:v>
      </x:c>
    </x:row>
    <x:row r="104" ht="76" customHeight="1">
      <x:c r="A104" s="2" t="str">
        <x:v>S46-ROLE-R07</x:v>
      </x:c>
      <x:c r="B104" s="2" t="str">
        <x:v>S46</x:v>
      </x:c>
      <x:c r="C104" s="2" t="str">
        <x:v>merged_1293</x:v>
      </x:c>
      <x:c r="D104" s="2" t="str">
        <x:v>Reviewer_A</x:v>
      </x:c>
      <x:c r="E104" s="2" t="str">
        <x:v>Reviewer_A</x:v>
      </x:c>
      <x:c r="F104" s="2" t="str">
        <x:v>S46-O07</x:v>
      </x:c>
      <x:c r="G104" s="2" t="str">
        <x:v>S46-T07</x:v>
      </x:c>
      <x:c r="H104" s="2" t="str">
        <x:v>artifact generation via structured prompting</x:v>
      </x:c>
      <x:c r="I104" s="6" t="str">
        <x:v>包含P6输出、上下文和输入数据的结构化提示（SHS07）</x:v>
      </x:c>
      <x:c r="J104" s="2" t="str">
        <x:v>根据系统操作创建设计序列图</x:v>
      </x:c>
      <x:c r="K104" s="6" t="str">
        <x:v>设计序列图</x:v>
      </x:c>
      <x:c r="L104" s="2" t="str">
        <x:v>2 Semantic contextualization</x:v>
      </x:c>
      <x:c r="M104" s="2" t="str">
        <x:v>related_artifact_generation</x:v>
      </x:c>
      <x:c r="N104" s="2" t="str">
        <x:v>R2 Information Enhancer</x:v>
      </x:c>
      <x:c r="O104" s="2" t="str">
        <x:v>NA</x:v>
      </x:c>
      <x:c r="P104" s="2" t="str">
        <x:v>Primary</x:v>
      </x:c>
      <x:c r="Q104" s="6" t="str">
        <x:v>NA</x:v>
      </x:c>
      <x:c r="R104"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104" s="6" t="str">
        <x:v>p. 21; Appendix, Figure 20(g)</x:v>
      </x:c>
      <x:c r="T104" s="6" t="str">
        <x:v>Based on the context and input data, create design sequence diagrams for system operation of the smart home system.</x:v>
      </x:c>
      <x:c r="U104"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104" s="2" t="str">
        <x:v>Accepted</x:v>
      </x:c>
      <x:c r="W104" s="6" t="str">
        <x:v>Included in the main functional-role analysis.</x:v>
      </x:c>
    </x:row>
    <x:row r="105" ht="76" customHeight="1">
      <x:c r="A105" s="2" t="str">
        <x:v>S46-ROLE-R08</x:v>
      </x:c>
      <x:c r="B105" s="2" t="str">
        <x:v>S46</x:v>
      </x:c>
      <x:c r="C105" s="2" t="str">
        <x:v>merged_1293</x:v>
      </x:c>
      <x:c r="D105" s="2" t="str">
        <x:v>Reviewer_A</x:v>
      </x:c>
      <x:c r="E105" s="2" t="str">
        <x:v>Reviewer_A</x:v>
      </x:c>
      <x:c r="F105" s="2" t="str">
        <x:v>S46-O08</x:v>
      </x:c>
      <x:c r="G105" s="2" t="str">
        <x:v>S46-T08</x:v>
      </x:c>
      <x:c r="H105" s="2" t="str">
        <x:v>artifact generation via structured prompting</x:v>
      </x:c>
      <x:c r="I105" s="6" t="str">
        <x:v>包含P5和P7输出、上下文和输入数据的结构化提示（SHS08）</x:v>
      </x:c>
      <x:c r="J105" s="2" t="str">
        <x:v>基于领域模型和序列图创建设计类图</x:v>
      </x:c>
      <x:c r="K105" s="6" t="str">
        <x:v>设计类图</x:v>
      </x:c>
      <x:c r="L105" s="2" t="str">
        <x:v>2 Semantic contextualization</x:v>
      </x:c>
      <x:c r="M105" s="2" t="str">
        <x:v>related_artifact_generation</x:v>
      </x:c>
      <x:c r="N105" s="2" t="str">
        <x:v>R2 Information Enhancer</x:v>
      </x:c>
      <x:c r="O105" s="2" t="str">
        <x:v>NA</x:v>
      </x:c>
      <x:c r="P105" s="2" t="str">
        <x:v>Primary</x:v>
      </x:c>
      <x:c r="Q105" s="6" t="str">
        <x:v>NA</x:v>
      </x:c>
      <x:c r="R105"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105" s="6" t="str">
        <x:v>p. 21; Appendix, Figure 20(h)</x:v>
      </x:c>
      <x:c r="T105" s="6" t="str">
        <x:v>Based on the context and input data, create design class diagrams of the smart home system.</x:v>
      </x:c>
      <x:c r="U105"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105" s="2" t="str">
        <x:v>Accepted</x:v>
      </x:c>
      <x:c r="W105" s="6" t="str">
        <x:v>Included in the main functional-role analysis.</x:v>
      </x:c>
    </x:row>
    <x:row r="106" ht="76" customHeight="1">
      <x:c r="A106" s="2" t="str">
        <x:v>S46-ROLE-R09</x:v>
      </x:c>
      <x:c r="B106" s="2" t="str">
        <x:v>S46</x:v>
      </x:c>
      <x:c r="C106" s="2" t="str">
        <x:v>merged_1293</x:v>
      </x:c>
      <x:c r="D106" s="2" t="str">
        <x:v>Reviewer_A</x:v>
      </x:c>
      <x:c r="E106" s="2" t="str">
        <x:v>Reviewer_A</x:v>
      </x:c>
      <x:c r="F106" s="2" t="str">
        <x:v>S46-O09</x:v>
      </x:c>
      <x:c r="G106" s="2" t="str">
        <x:v>S46-T09</x:v>
      </x:c>
      <x:c r="H106" s="2" t="str">
        <x:v>artifact generation via structured prompting</x:v>
      </x:c>
      <x:c r="I106" s="6" t="str">
        <x:v>包含P8输出、上下文和输入数据的结构化提示（SHS09）</x:v>
      </x:c>
      <x:c r="J106" s="2" t="str">
        <x:v>根据设计类图生成Java实现</x:v>
      </x:c>
      <x:c r="K106" s="6" t="str">
        <x:v>Java实现</x:v>
      </x:c>
      <x:c r="L106" s="2" t="str">
        <x:v>2 Semantic contextualization</x:v>
      </x:c>
      <x:c r="M106" s="2" t="str">
        <x:v>related_artifact_generation</x:v>
      </x:c>
      <x:c r="N106" s="2" t="str">
        <x:v>R2 Information Enhancer</x:v>
      </x:c>
      <x:c r="O106" s="2" t="str">
        <x:v>NA</x:v>
      </x:c>
      <x:c r="P106" s="2" t="str">
        <x:v>Primary</x:v>
      </x:c>
      <x:c r="Q106" s="6" t="str">
        <x:v>NA</x:v>
      </x:c>
      <x:c r="R106"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106" s="6" t="str">
        <x:v>p. 21; Appendix, Figure 20(i)</x:v>
      </x:c>
      <x:c r="T106" s="6" t="str">
        <x:v>Based on the context and input data, develop a Java implementation for the system as specified in the class diagram and sequence diagrams.</x:v>
      </x:c>
      <x:c r="U106"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106" s="2" t="str">
        <x:v>Accepted</x:v>
      </x:c>
      <x:c r="W106" s="6" t="str">
        <x:v>Included in the main functional-role analysis.</x:v>
      </x:c>
    </x:row>
    <x:row r="107" ht="76" customHeight="1">
      <x:c r="A107" s="2" t="str">
        <x:v>S46-ROLE-R10</x:v>
      </x:c>
      <x:c r="B107" s="2" t="str">
        <x:v>S46</x:v>
      </x:c>
      <x:c r="C107" s="2" t="str">
        <x:v>merged_1293</x:v>
      </x:c>
      <x:c r="D107" s="2" t="str">
        <x:v>Reviewer_A</x:v>
      </x:c>
      <x:c r="E107" s="2" t="str">
        <x:v>Reviewer_A</x:v>
      </x:c>
      <x:c r="F107" s="2" t="str">
        <x:v>S46-O10</x:v>
      </x:c>
      <x:c r="G107" s="2" t="str">
        <x:v>S46-T10</x:v>
      </x:c>
      <x:c r="H107" s="2" t="str">
        <x:v>artifact generation via structured prompting</x:v>
      </x:c>
      <x:c r="I107" s="6" t="str">
        <x:v>包含P9输出、上下文和输入数据的结构化提示（SHS10）</x:v>
      </x:c>
      <x:c r="J107" s="2" t="str">
        <x:v>根据实现生成测试用例</x:v>
      </x:c>
      <x:c r="K107" s="6" t="str">
        <x:v>测试用例</x:v>
      </x:c>
      <x:c r="L107" s="2" t="str">
        <x:v>2 Semantic contextualization</x:v>
      </x:c>
      <x:c r="M107" s="2" t="str">
        <x:v>related_artifact_generation</x:v>
      </x:c>
      <x:c r="N107" s="2" t="str">
        <x:v>R2 Information Enhancer</x:v>
      </x:c>
      <x:c r="O107" s="2" t="str">
        <x:v>NA</x:v>
      </x:c>
      <x:c r="P107" s="2" t="str">
        <x:v>Primary</x:v>
      </x:c>
      <x:c r="Q107" s="6" t="str">
        <x:v>NA</x:v>
      </x:c>
      <x:c r="R107"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107" s="6" t="str">
        <x:v>p. 21; Appendix, Figure 20(j)</x:v>
      </x:c>
      <x:c r="T107" s="6" t="str">
        <x:v>Based on the context and input data, develop tests including unit tests, integration tests, and system tests for the implementation of the smart home system.</x:v>
      </x:c>
      <x:c r="U107"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107" s="2" t="str">
        <x:v>Accepted</x:v>
      </x:c>
      <x:c r="W107" s="6" t="str">
        <x:v>Included in the main functional-role analysis.</x:v>
      </x:c>
    </x:row>
    <x:row r="108" ht="76" customHeight="1">
      <x:c r="A108" s="2" t="str">
        <x:v>S47-ROLE-R01</x:v>
      </x:c>
      <x:c r="B108" s="2" t="str">
        <x:v>S47</x:v>
      </x:c>
      <x:c r="C108" s="2" t="str">
        <x:v>merged_1302-v1</x:v>
      </x:c>
      <x:c r="D108" s="2" t="str">
        <x:v>Reviewer_A</x:v>
      </x:c>
      <x:c r="E108" s="2" t="str">
        <x:v>Reviewer_A</x:v>
      </x:c>
      <x:c r="F108" s="2" t="str">
        <x:v>S47-O01</x:v>
      </x:c>
      <x:c r="G108" s="2" t="str">
        <x:v>S47-T01</x:v>
      </x:c>
      <x:c r="H108" s="2" t="str">
        <x:v>LLM-based analysis generates folder_structure.md</x:v>
      </x:c>
      <x:c r="I108" s="6" t="str">
        <x:v>特定文件夹中的文件列表及其名称、可能的简要内容</x:v>
      </x:c>
      <x:c r="J108" s="2" t="str">
        <x:v>分析文件夹内容，为每个文件生成目的和功能的详细描述</x:v>
      </x:c>
      <x:c r="K108" s="6" t="str">
        <x:v>一个 folder_structure.md 文件，其中包含该文件夹下每个文件的用途描述</x:v>
      </x:c>
      <x:c r="L108" s="2" t="str">
        <x:v>2 Semantic contextualization</x:v>
      </x:c>
      <x:c r="M108" s="2" t="str">
        <x:v>semantic_description_generation</x:v>
      </x:c>
      <x:c r="N108" s="2" t="str">
        <x:v>R2 Information Enhancer</x:v>
      </x:c>
      <x:c r="O108" s="2" t="str">
        <x:v>NA</x:v>
      </x:c>
      <x:c r="P108" s="2" t="str">
        <x:v>Primary</x:v>
      </x:c>
      <x:c r="Q108" s="6" t="str">
        <x:v>NA</x:v>
      </x:c>
      <x:c r="R108" s="6" t="str">
        <x:v>Generates a natural-language description that enriches or reframes the meaning of an artifact. The output is derivative or enriched content based on one or more artifacts; it does not itself decide, verify, or persist a trace relation.</x:v>
      </x:c>
      <x:c r="S108" s="6" t="str">
        <x:v>p. 8; Section 4.3 File Discovery</x:v>
      </x:c>
      <x:c r="T108" s="6" t="str">
        <x:v>LLM-based analysis using models such as Gemini 2.5 Flash [15] generates folder_structure.md files containing detailed descriptions of each file’s purpose and functionality.</x:v>
      </x:c>
      <x:c r="U108" s="6" t="str">
        <x:v>Generates a natural-language description that enriches or reframes the meaning of an artifact. The output is derivative or enriched content based on one or more artifacts; it does not itself decide, verify, or persist a trace relation.</x:v>
      </x:c>
      <x:c r="V108" s="2" t="str">
        <x:v>Accepted</x:v>
      </x:c>
      <x:c r="W108" s="6" t="str">
        <x:v>NR Included in the main functional-role analysis.</x:v>
      </x:c>
    </x:row>
    <x:row r="109" ht="76" customHeight="1">
      <x:c r="A109" s="2" t="str">
        <x:v>S47-ROLE-R02</x:v>
      </x:c>
      <x:c r="B109" s="2" t="str">
        <x:v>S47</x:v>
      </x:c>
      <x:c r="C109" s="2" t="str">
        <x:v>merged_1302-v1</x:v>
      </x:c>
      <x:c r="D109" s="2" t="str">
        <x:v>Reviewer_A</x:v>
      </x:c>
      <x:c r="E109" s="2" t="str">
        <x:v>Reviewer_A</x:v>
      </x:c>
      <x:c r="F109" s="2" t="str">
        <x:v>S47-O02</x:v>
      </x:c>
      <x:c r="G109" s="2" t="str">
        <x:v>S47-T01</x:v>
      </x:c>
      <x:c r="H109" s="2" t="str">
        <x:v>Folder Discovery</x:v>
      </x:c>
      <x:c r="I109" s="6" t="str">
        <x:v>数据手册章节文本，以及仓库结构描述 DR（可能包含文件夹的文本描述）</x:v>
      </x:c>
      <x:c r="J109" s="2" t="str">
        <x:v>通过语义分析，将章节文本与文件夹描述进行匹配，确定相关的文件夹</x:v>
      </x:c>
      <x:c r="K109" s="6" t="str">
        <x:v>与该章节相关的文件夹列表</x:v>
      </x:c>
      <x:c r="L109" s="2" t="str">
        <x:v>3 Traceability inference</x:v>
      </x:c>
      <x:c r="M109" s="2" t="str">
        <x:v>hierarchical_link_identification</x:v>
      </x:c>
      <x:c r="N109" s="2" t="str">
        <x:v>R3 Trace Inferencer</x:v>
      </x:c>
      <x:c r="O109" s="2" t="str">
        <x:v>NA</x:v>
      </x:c>
      <x:c r="P109" s="2" t="str">
        <x:v>Primary</x:v>
      </x:c>
      <x:c r="Q109" s="6" t="str">
        <x:v>NA</x:v>
      </x:c>
      <x:c r="R109" s="6" t="str">
        <x:v>Recovers trace targets successively across repository abstraction levels. The output materializes a trace decision as a label, score, ranking, link set, path, matrix, source attribution, or relation-focused answer.</x:v>
      </x:c>
      <x:c r="S109" s="6" t="str">
        <x:v>pp. 1, 8; Abstract and Section 4.2</x:v>
      </x:c>
      <x:c r="T109" s="6" t="str">
        <x:v>We present a hierarchical datasheet-to-code mapping methodology that employs large language models (LLMs) for semantic analysis while explicitly structuring the traceability process across multiple abstraction levels. Objective: Identify which folders in the repository are likely to contain implementations relevant to each specification section.</x:v>
      </x:c>
      <x:c r="U109" s="6" t="str">
        <x:v>Recovers trace targets successively across repository abstraction levels. The output materializes a trace decision as a label, score, ranking, link set, path, matrix, source attribution, or relation-focused answer.</x:v>
      </x:c>
      <x:c r="V109" s="2" t="str">
        <x:v>Accepted</x:v>
      </x:c>
      <x:c r="W109" s="6" t="str">
        <x:v>NR Included in the main functional-role analysis.</x:v>
      </x:c>
    </x:row>
    <x:row r="110" ht="76" customHeight="1">
      <x:c r="A110" s="2" t="str">
        <x:v>S47-ROLE-R03</x:v>
      </x:c>
      <x:c r="B110" s="2" t="str">
        <x:v>S47</x:v>
      </x:c>
      <x:c r="C110" s="2" t="str">
        <x:v>merged_1302-v1</x:v>
      </x:c>
      <x:c r="D110" s="2" t="str">
        <x:v>Reviewer_A</x:v>
      </x:c>
      <x:c r="E110" s="2" t="str">
        <x:v>Reviewer_A</x:v>
      </x:c>
      <x:c r="F110" s="2" t="str">
        <x:v>S47-O03</x:v>
      </x:c>
      <x:c r="G110" s="2" t="str">
        <x:v>S47-T01</x:v>
      </x:c>
      <x:c r="H110" s="2" t="str">
        <x:v>File Discovery</x:v>
      </x:c>
      <x:c r="I110" s="6" t="str">
        <x:v>数据手册章节文本，先前确定的文件夹列表，以及这些文件夹对应的 folder_structure.md（文件描述）</x:v>
      </x:c>
      <x:c r="J110" s="2" t="str">
        <x:v>通过语义匹配，从候选文件夹中识别出与该章节相关的具体文件</x:v>
      </x:c>
      <x:c r="K110" s="6" t="str">
        <x:v>相关文件（如 .c/.h 文件）的列表</x:v>
      </x:c>
      <x:c r="L110" s="2" t="str">
        <x:v>3 Traceability inference</x:v>
      </x:c>
      <x:c r="M110" s="2" t="str">
        <x:v>hierarchical_link_identification</x:v>
      </x:c>
      <x:c r="N110" s="2" t="str">
        <x:v>R3 Trace Inferencer</x:v>
      </x:c>
      <x:c r="O110" s="2" t="str">
        <x:v>NA</x:v>
      </x:c>
      <x:c r="P110" s="2" t="str">
        <x:v>Primary</x:v>
      </x:c>
      <x:c r="Q110" s="6" t="str">
        <x:v>NA</x:v>
      </x:c>
      <x:c r="R110" s="6" t="str">
        <x:v>Recovers trace targets successively across repository abstraction levels. The output materializes a trace decision as a label, score, ranking, link set, path, matrix, source attribution, or relation-focused answer.</x:v>
      </x:c>
      <x:c r="S110" s="6" t="str">
        <x:v>pp. 1, 8; Abstract and Section 4.3</x:v>
      </x:c>
      <x:c r="T110" s="6" t="str">
        <x:v>We present a hierarchical datasheet-to-code mapping methodology that employs large language models (LLMs) for semantic analysis while explicitly structuring the traceability process across multiple abstraction levels. Objective: Within identified folders, determine which specific files contain relevant implementations.</x:v>
      </x:c>
      <x:c r="U110" s="6" t="str">
        <x:v>Recovers trace targets successively across repository abstraction levels. The output materializes a trace decision as a label, score, ranking, link set, path, matrix, source attribution, or relation-focused answer.</x:v>
      </x:c>
      <x:c r="V110" s="2" t="str">
        <x:v>Accepted</x:v>
      </x:c>
      <x:c r="W110" s="6" t="str">
        <x:v>NR Included in the main functional-role analysis.</x:v>
      </x:c>
    </x:row>
    <x:row r="111" ht="76" customHeight="1">
      <x:c r="A111" s="2" t="str">
        <x:v>S47-ROLE-R04</x:v>
      </x:c>
      <x:c r="B111" s="2" t="str">
        <x:v>S47</x:v>
      </x:c>
      <x:c r="C111" s="2" t="str">
        <x:v>merged_1302-v1</x:v>
      </x:c>
      <x:c r="D111" s="2" t="str">
        <x:v>Reviewer_A</x:v>
      </x:c>
      <x:c r="E111" s="2" t="str">
        <x:v>Reviewer_A</x:v>
      </x:c>
      <x:c r="F111" s="2" t="str">
        <x:v>S47-O04</x:v>
      </x:c>
      <x:c r="G111" s="2" t="str">
        <x:v>S47-T01</x:v>
      </x:c>
      <x:c r="H111" s="2" t="str">
        <x:v>Code Symbol Discovery</x:v>
      </x:c>
      <x:c r="I111" s="6" t="str">
        <x:v>数据手册章节文本，先前确定的文件列表，以及代码符号的紧凑表示（如通过 Ctags 提取并可能由 LLM 摘要的结构化信息）</x:v>
      </x:c>
      <x:c r="J111" s="2" t="str">
        <x:v>语义匹配以确定哪些具体的代码符号（函数、宏等）实现了该章节的规范要求</x:v>
      </x:c>
      <x:c r="K111" s="6" t="str">
        <x:v>实现的代码符号集合（可能包含函数名、宏名等）</x:v>
      </x:c>
      <x:c r="L111" s="2" t="str">
        <x:v>3 Traceability inference</x:v>
      </x:c>
      <x:c r="M111" s="2" t="str">
        <x:v>hierarchical_link_identification</x:v>
      </x:c>
      <x:c r="N111" s="2" t="str">
        <x:v>R3 Trace Inferencer</x:v>
      </x:c>
      <x:c r="O111" s="2" t="str">
        <x:v>NA</x:v>
      </x:c>
      <x:c r="P111" s="2" t="str">
        <x:v>Primary</x:v>
      </x:c>
      <x:c r="Q111" s="6" t="str">
        <x:v>NA</x:v>
      </x:c>
      <x:c r="R111" s="6" t="str">
        <x:v>Recovers trace targets successively across repository abstraction levels. The output materializes a trace decision as a label, score, ranking, link set, path, matrix, source attribution, or relation-focused answer.</x:v>
      </x:c>
      <x:c r="S111" s="6" t="str">
        <x:v>p. 9; Section 4.4</x:v>
      </x:c>
      <x:c r="T111" s="6" t="str">
        <x:v>Objective: Within relevant files, identify specific code symbols (functions, macros, structs, constants) that implement specification requirements. Automated code summarization generates compact representations preserving key elements while significantly reducing token usage.</x:v>
      </x:c>
      <x:c r="U111" s="6" t="str">
        <x:v>Recovers trace targets successively across repository abstraction levels. The output materializes a trace decision as a label, score, ranking, link set, path, matrix, source attribution, or relation-focused answer.</x:v>
      </x:c>
      <x:c r="V111" s="2" t="str">
        <x:v>Accepted</x:v>
      </x:c>
      <x:c r="W111" s="6" t="str">
        <x:v>NR Included in the main functional-role analysis.</x:v>
      </x:c>
    </x:row>
    <x:row r="112" ht="76" customHeight="1">
      <x:c r="A112" s="2" t="str">
        <x:v>S47-ROLE-R05</x:v>
      </x:c>
      <x:c r="B112" s="2" t="str">
        <x:v>S47</x:v>
      </x:c>
      <x:c r="C112" s="2" t="str">
        <x:v>merged_1302-v1</x:v>
      </x:c>
      <x:c r="D112" s="2" t="str">
        <x:v>Reviewer_A</x:v>
      </x:c>
      <x:c r="E112" s="2" t="str">
        <x:v>Reviewer_A</x:v>
      </x:c>
      <x:c r="F112" s="2" t="str">
        <x:v>S47-O05</x:v>
      </x:c>
      <x:c r="G112" s="2" t="str">
        <x:v>S47-T01</x:v>
      </x:c>
      <x:c r="H112" s="2" t="str">
        <x:v>Validation &amp; Gap Analysis</x:v>
      </x:c>
      <x:c r="I112" s="6" t="str">
        <x:v>数据手册章节文本，前一步映射得到的代码符号集合，以及之前章节的上下文信息</x:v>
      </x:c>
      <x:c r="J112" s="2" t="str">
        <x:v>验证映射的正确性，对其进行精炼，并确定实现状态（完全实现、部分实现等）</x:v>
      </x:c>
      <x:c r="K112" s="6" t="str">
        <x:v>经过验证的代码符号集合，以及一个状态标签（Implemented, Partially_Implemented, Not_Implemented, Not_Applicable）</x:v>
      </x:c>
      <x:c r="L112" s="2" t="str">
        <x:v>4 Validation and explanation</x:v>
      </x:c>
      <x:c r="M112" s="2" t="str">
        <x:v>link_validity_assessment</x:v>
      </x:c>
      <x:c r="N112" s="2" t="str">
        <x:v>R4 Verification Evaluator</x:v>
      </x:c>
      <x:c r="O112" s="2" t="str">
        <x:v>NA</x:v>
      </x:c>
      <x:c r="P112" s="2" t="str">
        <x:v>Primary</x:v>
      </x:c>
      <x:c r="Q112" s="6" t="str">
        <x:v>The LLM is invoked in an explicit validation stage over a supplied or structurally supported candidate relation; R4 takes precedence over initial link classification.</x:v>
      </x:c>
      <x:c r="R112" s="6" t="str">
        <x:v>Validates the correctness of an existing, generated, or structurally supported candidate trace link. The input contains an existing, generated, or candidate relation or coverage mapping, and the output evaluates its validity, quality, completeness, consistency, compliance, or explanatory adequacy.</x:v>
      </x:c>
      <x:c r="S112" s="6" t="str">
        <x:v>p. 9; Section 4.5</x:v>
      </x:c>
      <x:c r="T112" s="6" t="str">
        <x:v>Objective: Validate the complete mapping, determine implementation status, and identify gaps. The validation function processes mapping sequentially to maintain context, where the refined set of code symbols is returned with an implementation status.</x:v>
      </x:c>
      <x:c r="U112" s="6" t="str">
        <x:v>Validates the correctness of an existing, generated, or structurally supported candidate trace link. The input contains an existing, generated, or candidate relation or coverage mapping, and the output evaluates its validity, quality, completeness, consistency, compliance, or explanatory adequacy.</x:v>
      </x:c>
      <x:c r="V112" s="2" t="str">
        <x:v>Accepted</x:v>
      </x:c>
      <x:c r="W112" s="6" t="str">
        <x:v>NR Included in the main functional-role analysis.</x:v>
      </x:c>
    </x:row>
    <x:row r="113" ht="76" customHeight="1">
      <x:c r="A113" s="2" t="str">
        <x:v>S48-ROLE-R01</x:v>
      </x:c>
      <x:c r="B113" s="2" t="str">
        <x:v>S48</x:v>
      </x:c>
      <x:c r="C113" s="2" t="str">
        <x:v>merged_1441</x:v>
      </x:c>
      <x:c r="D113" s="2" t="str">
        <x:v>Reviewer_A</x:v>
      </x:c>
      <x:c r="E113" s="2" t="str">
        <x:v>Reviewer_A</x:v>
      </x:c>
      <x:c r="F113" s="2" t="str">
        <x:v>S48-O01</x:v>
      </x:c>
      <x:c r="G113" s="2" t="str">
        <x:v>S48-T01</x:v>
      </x:c>
      <x:c r="H113" s="2" t="str">
        <x:v>Text Enhancement</x:v>
      </x:c>
      <x:c r="I113" s="6" t="str">
        <x:v>原始问题文本（摘要和描述）</x:v>
      </x:c>
      <x:c r="J113" s="2" t="str">
        <x:v>利用LLM对问题文本进行结构化提炼，包括总结、关键信息提取、语义扩展和用户意图分析，并限制输出在250词以内。</x:v>
      </x:c>
      <x:c r="K113" s="6" t="str">
        <x:v>增强后的一致、语义丰富的问题文本。</x:v>
      </x:c>
      <x:c r="L113" s="2" t="str">
        <x:v>2 Semantic contextualization</x:v>
      </x:c>
      <x:c r="M113" s="2" t="str">
        <x:v>context_enrichment</x:v>
      </x:c>
      <x:c r="N113" s="2" t="str">
        <x:v>R2 Information Enhancer</x:v>
      </x:c>
      <x:c r="O113" s="2" t="str">
        <x:v>NA</x:v>
      </x:c>
      <x:c r="P113" s="2" t="str">
        <x:v>Primary</x:v>
      </x:c>
      <x:c r="Q113" s="6" t="str">
        <x:v>NA</x:v>
      </x:c>
      <x:c r="R113" s="6" t="str">
        <x:v>Expands, refines, translates into domain context, or supplements an artifact for later traceability reasoning. The output is derivative or enriched content based on one or more artifacts; it does not itself decide, verify, or persist a trace relation.</x:v>
      </x:c>
      <x:c r="S113" s="6" t="str">
        <x:v>p. 3; Section III-A</x:v>
      </x:c>
      <x:c r="T113" s="6" t="str">
        <x:v>that is applied exclusively to issue texts. This module aims to refine raw issue descriptions and generate expressive initial</x:v>
      </x:c>
      <x:c r="U113" s="6" t="str">
        <x:v>Expands, refines, translates into domain context, or supplements an artifact for later traceability reasoning. The output is derivative or enriched content based on one or more artifacts; it does not itself decide, verify, or persist a trace relation.</x:v>
      </x:c>
      <x:c r="V113" s="2" t="str">
        <x:v>Accepted</x:v>
      </x:c>
      <x:c r="W113" s="6" t="str">
        <x:v>NR Included in the main functional-role analysis.</x:v>
      </x:c>
    </x:row>
    <x:row r="114" ht="76" customHeight="1">
      <x:c r="A114" s="2" t="str">
        <x:v>S48-ROLE-R02</x:v>
      </x:c>
      <x:c r="B114" s="2" t="str">
        <x:v>S48</x:v>
      </x:c>
      <x:c r="C114" s="2" t="str">
        <x:v>merged_1441</x:v>
      </x:c>
      <x:c r="D114" s="2" t="str">
        <x:v>Reviewer_A</x:v>
      </x:c>
      <x:c r="E114" s="2" t="str">
        <x:v>Reviewer_A</x:v>
      </x:c>
      <x:c r="F114" s="2" t="str">
        <x:v>S48-O02</x:v>
      </x:c>
      <x:c r="G114" s="2" t="str">
        <x:v>S48-T01</x:v>
      </x:c>
      <x:c r="H114" s="2" t="str">
        <x:v>Feature Extraction</x:v>
      </x:c>
      <x:c r="I114" s="6" t="str">
        <x:v>增强后的问题文本</x:v>
      </x:c>
      <x:c r="J114" s="2" t="str">
        <x:v>使用本地部署的LLaMA3-8B模型，将增强文本编码，并提取中间隐藏层的表示作为初始问题嵌入。</x:v>
      </x:c>
      <x:c r="K114" s="6" t="str">
        <x:v>问题的初始语义向量（128维）。</x:v>
      </x:c>
      <x:c r="L114" s="2" t="str">
        <x:v>2 Semantic contextualization</x:v>
      </x:c>
      <x:c r="M114" s="2" t="str">
        <x:v>semantic_embedding_extraction</x:v>
      </x:c>
      <x:c r="N114" s="2" t="str">
        <x:v>R1 Feature Extractor</x:v>
      </x:c>
      <x:c r="O114" s="2" t="str">
        <x:v>NA</x:v>
      </x:c>
      <x:c r="P114" s="2" t="str">
        <x:v>Primary</x:v>
      </x:c>
      <x:c r="Q114" s="6" t="str">
        <x:v>NA</x:v>
      </x:c>
      <x:c r="R114" s="6" t="str">
        <x:v>Encodes artifact content into a latent vector representation used by downstream traceability processing. The output makes information already grounded in an artifact explicit, structured, condensed, selected, or encoded; it does not itself decide a cross-artifact trace relation.</x:v>
      </x:c>
      <x:c r="S114" s="6" t="str">
        <x:v>p. 4; Section III-A.2</x:v>
      </x:c>
      <x:c r="T114" s="6" t="str">
        <x:v>we adopt a lightweight LLaMA-based model as the feature encoder. The enhanced text is fed into the model, and representations from an intermediate hidden layer are extracted as the semantic embedding of each issue.</x:v>
      </x:c>
      <x:c r="U114" s="6" t="str">
        <x:v>Encodes artifact content into a latent vector representation used by downstream traceability processing. The output makes information already grounded in an artifact explicit, structured, condensed, selected, or encoded; it does not itself decide a cross-artifact trace relation.</x:v>
      </x:c>
      <x:c r="V114" s="2" t="str">
        <x:v>Accepted</x:v>
      </x:c>
      <x:c r="W114" s="6" t="str">
        <x:v>NR Included in the main functional-role analysis.</x:v>
      </x:c>
    </x:row>
    <x:row r="115" ht="76" customHeight="1">
      <x:c r="A115" s="2" t="str">
        <x:v>S49-ROLE-R01</x:v>
      </x:c>
      <x:c r="B115" s="2" t="str">
        <x:v>S49</x:v>
      </x:c>
      <x:c r="C115" s="2" t="str">
        <x:v>merged_1486</x:v>
      </x:c>
      <x:c r="D115" s="2" t="str">
        <x:v>Reviewer_A</x:v>
      </x:c>
      <x:c r="E115" s="2" t="str">
        <x:v>Reviewer_A</x:v>
      </x:c>
      <x:c r="F115" s="2" t="str">
        <x:v>S49-O01</x:v>
      </x:c>
      <x:c r="G115" s="2" t="str">
        <x:v>S49-T01</x:v>
      </x:c>
      <x:c r="H115" s="2" t="str">
        <x:v>identify all related or dependent requirements</x:v>
      </x:c>
      <x:c r="I115" s="6" t="str">
        <x:v>經過清理的系統需求規格文件（移除追溯鏈接）和一個隨機選取的需求識別</x:v>
      </x:c>
      <x:c r="J115" s="2" t="str">
        <x:v>根據給定的需求，從文件中找出所有相關或依賴的其他需求</x:v>
      </x:c>
      <x:c r="K115" s="6" t="str">
        <x:v>符合指定格式的相關需求ID列表（如 X.X.X.X; X.X.X; ...）</x:v>
      </x:c>
      <x:c r="L115" s="2" t="str">
        <x:v>3 Traceability inference</x:v>
      </x:c>
      <x:c r="M115" s="2" t="str">
        <x:v>link_set_generation</x:v>
      </x:c>
      <x:c r="N115" s="2" t="str">
        <x:v>R3 Trace Inferencer</x:v>
      </x:c>
      <x:c r="O115" s="2" t="str">
        <x:v>NA</x:v>
      </x:c>
      <x:c r="P115" s="2" t="str">
        <x:v>Primary</x:v>
      </x:c>
      <x:c r="Q115" s="6" t="str">
        <x:v>NA</x:v>
      </x:c>
      <x:c r="R115" s="6" t="str">
        <x:v>Identifies or predicts a set of target artifacts related to a source artifact. The output materializes a trace decision as a label, score, ranking, link set, path, matrix, source attribution, or relation-focused answer.</x:v>
      </x:c>
      <x:c r="S115" s="6" t="str">
        <x:v>p. 8; section 3.3 Tasks</x:v>
      </x:c>
      <x:c r="T115" s="6" t="str">
        <x:v>The model was given a requirement (randomly selected from the input documents) and asked to identify all related or dependent requirements.</x:v>
      </x:c>
      <x:c r="U115" s="6" t="str">
        <x:v>Identifies or predicts a set of target artifacts related to a source artifact. The output materializes a trace decision as a label, score, ranking, link set, path, matrix, source attribution, or relation-focused answer.</x:v>
      </x:c>
      <x:c r="V115" s="2" t="str">
        <x:v>Accepted</x:v>
      </x:c>
      <x:c r="W115" s="6" t="str">
        <x:v>Included in the main functional-role analysis.</x:v>
      </x:c>
    </x:row>
    <x:row r="116" ht="76" customHeight="1">
      <x:c r="A116" s="2" t="str">
        <x:v>S50-ROLE-R01</x:v>
      </x:c>
      <x:c r="B116" s="2" t="str">
        <x:v>S50</x:v>
      </x:c>
      <x:c r="C116" s="2" t="str">
        <x:v>snowball_00068</x:v>
      </x:c>
      <x:c r="D116" s="2" t="str">
        <x:v>Reviewer_A</x:v>
      </x:c>
      <x:c r="E116" s="2" t="str">
        <x:v>Reviewer_A</x:v>
      </x:c>
      <x:c r="F116" s="2" t="str">
        <x:v>S50-O01</x:v>
      </x:c>
      <x:c r="G116" s="2" t="str">
        <x:v>S50-T01</x:v>
      </x:c>
      <x:c r="H116" s="2" t="str">
        <x:v>zero-shot prompting to select top relevant classes</x:v>
      </x:c>
      <x:c r="I116" s="6" t="str">
        <x:v>用户自然语言问题与本体类列表的组合提示</x:v>
      </x:c>
      <x:c r="J116" s="2" t="str">
        <x:v>零样本提示选择与问题最相关的本体类</x:v>
      </x:c>
      <x:c r="K116" s="6" t="str">
        <x:v>相关类的子集（Cm）</x:v>
      </x:c>
      <x:c r="L116" s="2" t="str">
        <x:v>2 Semantic contextualization</x:v>
      </x:c>
      <x:c r="M116" s="2" t="str">
        <x:v>candidate_context_selection</x:v>
      </x:c>
      <x:c r="N116" s="2" t="str">
        <x:v>R1 Feature Extractor</x:v>
      </x:c>
      <x:c r="O116" s="2" t="str">
        <x:v>NA</x:v>
      </x:c>
      <x:c r="P116" s="2" t="str">
        <x:v>Primary</x:v>
      </x:c>
      <x:c r="Q116" s="6" t="str">
        <x:v>NA</x:v>
      </x:c>
      <x:c r="R116" s="6" t="str">
        <x:v>Selects the artifact elements or ontology segments relevant to a traceability query. The output makes information already grounded in an artifact explicit, structured, condensed, selected, or encoded; it does not itself decide a cross-artifact trace relation.</x:v>
      </x:c>
      <x:c r="S116" s="6" t="str">
        <x:v>p. 6; Section IV-A</x:v>
      </x:c>
      <x:c r="T116" s="6" t="str">
        <x:v>Zero-shot prompting (when an LLM answers a question without any specific training examples or prior demonstrations of that task, it is called zero-shot prompt- ing) is utilized to identify which segments of the knowledge graph are relevant to the question.</x:v>
      </x:c>
      <x:c r="U116" s="6" t="str">
        <x:v>Selects the artifact elements or ontology segments relevant to a traceability query. The output makes information already grounded in an artifact explicit, structured, condensed, selected, or encoded; it does not itself decide a cross-artifact trace relation.</x:v>
      </x:c>
      <x:c r="V116" s="2" t="str">
        <x:v>Accepted</x:v>
      </x:c>
      <x:c r="W116" s="6" t="str">
        <x:v>Included in the main functional-role analysis.</x:v>
      </x:c>
    </x:row>
    <x:row r="117" ht="76" customHeight="1">
      <x:c r="A117" s="2" t="str">
        <x:v>S50-ROLE-R02</x:v>
      </x:c>
      <x:c r="B117" s="2" t="str">
        <x:v>S50</x:v>
      </x:c>
      <x:c r="C117" s="2" t="str">
        <x:v>snowball_00068</x:v>
      </x:c>
      <x:c r="D117" s="2" t="str">
        <x:v>Reviewer_A</x:v>
      </x:c>
      <x:c r="E117" s="2" t="str">
        <x:v>Reviewer_A</x:v>
      </x:c>
      <x:c r="F117" s="2" t="str">
        <x:v>S50-O02</x:v>
      </x:c>
      <x:c r="G117" s="2" t="str">
        <x:v>S50-T01</x:v>
      </x:c>
      <x:c r="H117" s="2" t="str">
        <x:v>generate response</x:v>
      </x:c>
      <x:c r="I117" s="6" t="str">
        <x:v>包含用户查询、知识图谱自然语言句子和IEC 62443-3-3术语定义的最终提示</x:v>
      </x:c>
      <x:c r="J117" s="2" t="str">
        <x:v>基于增强提示生成自然语言回答，验证安全要求的适用性</x:v>
      </x:c>
      <x:c r="K117" s="6" t="str">
        <x:v>关于安全要求是否适用于系统架构的自然语言回答</x:v>
      </x:c>
      <x:c r="L117" s="2" t="str">
        <x:v>3 Traceability inference</x:v>
      </x:c>
      <x:c r="M117" s="2" t="str">
        <x:v>applicability_link_assessment</x:v>
      </x:c>
      <x:c r="N117" s="2" t="str">
        <x:v>R3 Trace Inferencer</x:v>
      </x:c>
      <x:c r="O117" s="2" t="str">
        <x:v>NA</x:v>
      </x:c>
      <x:c r="P117" s="2" t="str">
        <x:v>Primary</x:v>
      </x:c>
      <x:c r="Q117" s="6" t="str">
        <x:v>NA</x:v>
      </x:c>
      <x:c r="R117" s="6" t="str">
        <x:v>Determines whether a standard, requirement, or rule applies to a target system artifact. The output materializes a trace decision as a label, score, ranking, link set, path, matrix, source attribution, or relation-focused answer.</x:v>
      </x:c>
      <x:c r="S117" s="6" t="str">
        <x:v>Appendix A, Open-ended Questions 4 and 8</x:v>
      </x:c>
      <x:c r="T117" s="6" t="str">
        <x:v>Is the Least Functionality requirement (SR7_7) fulfilled in Control Network Zone? The USB port on the Teach Pendant has a status of true, meaning it is active. However, it has not been used by any necessary services, such as communication channels. Therefore, SR7_7 is not fulfilled. Is security requirement SR1.1 needed to be addressed in the Control Network zone? Yes, this requirement is about the identification and authentication of human users.</x:v>
      </x:c>
      <x:c r="U117" s="6" t="str">
        <x:v>Determines whether a standard, requirement, or rule applies to a target system artifact. The output materializes a trace decision as a label, score, ranking, link set, path, matrix, source attribution, or relation-focused answer.</x:v>
      </x:c>
      <x:c r="V117" s="2" t="str">
        <x:v>Accepted</x:v>
      </x:c>
      <x:c r="W117" s="6" t="str">
        <x:v>Included in the main functional-role analysis.</x:v>
      </x:c>
    </x:row>
    <x:row r="118" ht="76" customHeight="1">
      <x:c r="A118" s="2" t="str">
        <x:v>S51-ROLE-R01</x:v>
      </x:c>
      <x:c r="B118" s="2" t="str">
        <x:v>S51</x:v>
      </x:c>
      <x:c r="C118" s="2" t="str">
        <x:v>snowball_00085</x:v>
      </x:c>
      <x:c r="D118" s="2" t="str">
        <x:v>Reviewer_A</x:v>
      </x:c>
      <x:c r="E118" s="2" t="str">
        <x:v>Reviewer_A</x:v>
      </x:c>
      <x:c r="F118" s="2" t="str">
        <x:v>S51-O01</x:v>
      </x:c>
      <x:c r="G118" s="2" t="str">
        <x:v>S51-T01</x:v>
      </x:c>
      <x:c r="H118" s="2" t="str">
        <x:v>assessing fulfillment of requirements</x:v>
      </x:c>
      <x:c r="I118" s="6" t="str">
        <x:v>系统规格说明书和一组需求</x:v>
      </x:c>
      <x:c r="J118" s="2" t="str">
        <x:v>判断系统规格是否满足每条需求，区分不适用需求</x:v>
      </x:c>
      <x:c r="K118" s="6" t="str">
        <x:v>每条需求是否满足（满足/不满足/不适用）的分类结果</x:v>
      </x:c>
      <x:c r="L118" s="2" t="str">
        <x:v>3 Traceability inference</x:v>
      </x:c>
      <x:c r="M118" s="2" t="str">
        <x:v>coverage_completeness_assessment</x:v>
      </x:c>
      <x:c r="N118" s="2" t="str">
        <x:v>R4 Verification Evaluator</x:v>
      </x:c>
      <x:c r="O118" s="2" t="str">
        <x:v>NA</x:v>
      </x:c>
      <x:c r="P118" s="2" t="str">
        <x:v>Primary</x:v>
      </x:c>
      <x:c r="Q118" s="6" t="str">
        <x:v>The output is a completeness judgement over supplied related artifacts rather than recovery of a new trace target; R4 takes precedence over R3.</x:v>
      </x:c>
      <x:c r="R118"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S118" s="6" t="str">
        <x:v>p. 3; Section III. Design of Experiments</x:v>
      </x:c>
      <x:c r="T118" s="6" t="str">
        <x:v>In one prompt, an LLM is provided with the context of the problem to be solved, a set of requirements, a system specification and an instruction to determine whether the system specification fulfills the requirements and, if not, which requirements are not fulfilled.</x:v>
      </x:c>
      <x:c r="U118" s="6" t="str">
        <x:v>Evaluates whether an existing or supplied set of lower-level artifacts fully covers a higher-level artifact. The input contains an existing, generated, or candidate relation or coverage mapping, and the output evaluates its validity, quality, completeness, consistency, compliance, or explanatory adequacy.</x:v>
      </x:c>
      <x:c r="V118" s="2" t="str">
        <x:v>Accepted</x:v>
      </x:c>
      <x:c r="W118" s="6" t="str">
        <x:v>Included in the main functional-role analysis.</x:v>
      </x:c>
    </x:row>
    <x:row r="119" ht="76" customHeight="1">
      <x:c r="A119" s="2" t="str">
        <x:v>S52-ROLE-R01</x:v>
      </x:c>
      <x:c r="B119" s="2" t="str">
        <x:v>S52</x:v>
      </x:c>
      <x:c r="C119" s="2" t="str">
        <x:v>snowball_00095</x:v>
      </x:c>
      <x:c r="D119" s="2" t="str">
        <x:v>Reviewer_A</x:v>
      </x:c>
      <x:c r="E119" s="2" t="str">
        <x:v>Reviewer_A</x:v>
      </x:c>
      <x:c r="F119" s="2" t="str">
        <x:v>S52-O01</x:v>
      </x:c>
      <x:c r="G119" s="2" t="str">
        <x:v>S52-T01</x:v>
      </x:c>
      <x:c r="H119" s="2" t="str">
        <x:v>Code Summarization</x:v>
      </x:c>
      <x:c r="I119" s="6" t="str">
        <x:v>源代码</x:v>
      </x:c>
      <x:c r="J119" s="2" t="str">
        <x:v>将源代码总结为自然语言描述</x:v>
      </x:c>
      <x:c r="K119" s="6" t="str">
        <x:v>自然语言摘要</x:v>
      </x:c>
      <x:c r="L119" s="2" t="str">
        <x:v>2 Semantic contextualization</x:v>
      </x:c>
      <x:c r="M119" s="2" t="str">
        <x:v>artifact_summarization</x:v>
      </x:c>
      <x:c r="N119" s="2" t="str">
        <x:v>R1 Feature Extractor</x:v>
      </x:c>
      <x:c r="O119" s="2" t="str">
        <x:v>NA</x:v>
      </x:c>
      <x:c r="P119" s="2" t="str">
        <x:v>Primary</x:v>
      </x:c>
      <x:c r="Q119" s="6" t="str">
        <x:v>NA</x:v>
      </x:c>
      <x:c r="R119"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S119" s="6" t="str">
        <x:v>p. 3; Section II-A, Stage 0: Code Summarization</x:v>
      </x:c>
      <x:c r="T119" s="6" t="str">
        <x:v>We prompted Claude to summarize the source code by (i) initially outlining the functionality provided to the user by the code, and (ii) then creating a polished summary that explains how the code supports the described user behavior.</x:v>
      </x:c>
      <x:c r="U119" s="6" t="str">
        <x:v>Condenses an artifact or extracted element while preserving information already grounded in it. The output makes information already grounded in an artifact explicit, structured, condensed, selected, or encoded; it does not itself decide a cross-artifact trace relation.</x:v>
      </x:c>
      <x:c r="V119" s="2" t="str">
        <x:v>Accepted</x:v>
      </x:c>
      <x:c r="W119" s="6" t="str">
        <x:v>Included in the main functional-role analysis.</x:v>
      </x:c>
    </x:row>
    <x:row r="120" ht="76" customHeight="1">
      <x:c r="A120" s="2" t="str">
        <x:v>S52-ROLE-R02</x:v>
      </x:c>
      <x:c r="B120" s="2" t="str">
        <x:v>S52</x:v>
      </x:c>
      <x:c r="C120" s="2" t="str">
        <x:v>snowball_00095</x:v>
      </x:c>
      <x:c r="D120" s="2" t="str">
        <x:v>Reviewer_A</x:v>
      </x:c>
      <x:c r="E120" s="2" t="str">
        <x:v>Reviewer_A</x:v>
      </x:c>
      <x:c r="F120" s="2" t="str">
        <x:v>S52-O02</x:v>
      </x:c>
      <x:c r="G120" s="2" t="str">
        <x:v>S52-T01</x:v>
      </x:c>
      <x:c r="H120" s="2" t="str">
        <x:v>Generate Documentation Content</x:v>
      </x:c>
      <x:c r="I120" s="6" t="str">
        <x:v>低层工件聚类（自然语言摘要）以及指定的工件类型、格式和目标数量</x:v>
      </x:c>
      <x:c r="J120" s="2" t="str">
        <x:v>根据聚类内容生成符合指定格式的高层文档工件</x:v>
      </x:c>
      <x:c r="K120" s="6" t="str">
        <x:v>高层文档工件（如用户故事）</x:v>
      </x:c>
      <x:c r="L120" s="2" t="str">
        <x:v>3 Traceability inference</x:v>
      </x:c>
      <x:c r="M120" s="2" t="str">
        <x:v>related_artifact_generation</x:v>
      </x:c>
      <x:c r="N120" s="2" t="str">
        <x:v>R2 Information Enhancer</x:v>
      </x:c>
      <x:c r="O120" s="2" t="str">
        <x:v>NA</x:v>
      </x:c>
      <x:c r="P120" s="2" t="str">
        <x:v>Primary</x:v>
      </x:c>
      <x:c r="Q120" s="6" t="str">
        <x:v>NA</x:v>
      </x:c>
      <x:c r="R120"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S120" s="6" t="str">
        <x:v>p. 4; Section II-C, Stage 2: Generate Documentation Content</x:v>
      </x:c>
      <x:c r="T120" s="6" t="str">
        <x:v>In this stage we prompt the LLM to format the output of the desired artifacts by specifying (i) the output artifact type, (ii) the desired format of the artifact, and (iii) the targeted number of document artifacts to be generated from the current cluster.</x:v>
      </x:c>
      <x:c r="U120" s="6" t="str">
        <x:v>Generates a downstream or higher-level artifact from related upstream artifacts without explicitly encoding a trace relation in the output. The output is derivative or enriched content based on one or more artifacts; it does not itself decide, verify, or persist a trace relation.</x:v>
      </x:c>
      <x:c r="V120" s="2" t="str">
        <x:v>Accepted</x:v>
      </x:c>
      <x:c r="W120" s="6" t="str">
        <x:v>Included in the main functional-role analysis.</x:v>
      </x:c>
    </x:row>
    <x:row r="121" ht="76" customHeight="1">
      <x:c r="A121" s="2" t="str">
        <x:v>S53-ROLE-R01</x:v>
      </x:c>
      <x:c r="B121" s="2" t="str">
        <x:v>S53</x:v>
      </x:c>
      <x:c r="C121" s="2" t="str">
        <x:v>merged_1229</x:v>
      </x:c>
      <x:c r="D121" s="2" t="str">
        <x:v>Reviewer_A</x:v>
      </x:c>
      <x:c r="E121" s="2" t="str">
        <x:v>Reviewer_A</x:v>
      </x:c>
      <x:c r="F121" s="2" t="str">
        <x:v>S53-O01</x:v>
      </x:c>
      <x:c r="G121" s="2" t="str">
        <x:v>S53-T01</x:v>
      </x:c>
      <x:c r="H121" s="2" t="str">
        <x:v>railway company representative</x:v>
      </x:c>
      <x:c r="I121" s="6" t="str">
        <x:v>Initial sketch, document outline, and CENELEC-oriented prompt</x:v>
      </x:c>
      <x:c r="J121" s="2" t="str">
        <x:v>Generate a user requirements document</x:v>
      </x:c>
      <x:c r="K121" s="6" t="str">
        <x:v>User Requirements Document</x:v>
      </x:c>
      <x:c r="L121" s="2" t="str">
        <x:v>2 Semantic contextualization</x:v>
      </x:c>
      <x:c r="M121" s="2" t="str">
        <x:v>related_artifact_generation</x:v>
      </x:c>
      <x:c r="N121" s="2" t="str">
        <x:v>R2 Information Enhancer</x:v>
      </x:c>
      <x:c r="O121" s="2" t="str">
        <x:v>NA</x:v>
      </x:c>
      <x:c r="P121" s="2" t="str">
        <x:v>Primary</x:v>
      </x:c>
      <x:c r="Q121" s="6" t="str">
        <x:v>NA</x:v>
      </x:c>
      <x:c r="R121" s="6" t="str">
        <x:v>The output is derived from the sketch, but no explicit trace relation to the sketch is reported; R2 applies rather than R5.</x:v>
      </x:c>
      <x:c r="S121" s="6" t="str">
        <x:v>p. 3; Section III-A</x:v>
      </x:c>
      <x:c r="T121" s="6" t="str">
        <x:v>I am the representative of a railway company and we are in the context of CENELEC regulations. I want to create a User Requirements Document for a Track Surveillance Drone starting from the attached sketch.</x:v>
      </x:c>
      <x:c r="U121" s="6" t="str">
        <x:v>The output is derived from the sketch, but no explicit trace relation to the sketch is reported; R2 applies rather than R5.</x:v>
      </x:c>
      <x:c r="V121" s="2" t="str">
        <x:v>Accepted</x:v>
      </x:c>
      <x:c r="W121" s="6" t="str">
        <x:v>R1 manual full-text reassessment and coding confirmed on 2026-07-29 Included in the main functional-role analysis.</x:v>
      </x:c>
    </x:row>
    <x:row r="122" ht="76" customHeight="1">
      <x:c r="A122" s="2" t="str">
        <x:v>S53-ROLE-R02</x:v>
      </x:c>
      <x:c r="B122" s="2" t="str">
        <x:v>S53</x:v>
      </x:c>
      <x:c r="C122" s="2" t="str">
        <x:v>merged_1229</x:v>
      </x:c>
      <x:c r="D122" s="2" t="str">
        <x:v>Reviewer_A</x:v>
      </x:c>
      <x:c r="E122" s="2" t="str">
        <x:v>Reviewer_A</x:v>
      </x:c>
      <x:c r="F122" s="2" t="str">
        <x:v>S53-O02</x:v>
      </x:c>
      <x:c r="G122" s="2" t="str">
        <x:v>S53-T02</x:v>
      </x:c>
      <x:c r="H122" s="2" t="str">
        <x:v>system architect</x:v>
      </x:c>
      <x:c r="I122" s="6" t="str">
        <x:v>User Requirements Document and derivation prompt</x:v>
      </x:c>
      <x:c r="J122" s="2" t="str">
        <x:v>Generate technical system requirements with source links</x:v>
      </x:c>
      <x:c r="K122" s="6" t="str">
        <x:v>System Requirements Document with explicit user-requirement links</x:v>
      </x:c>
      <x:c r="L122" s="2" t="str">
        <x:v>3 Traceability inference</x:v>
      </x:c>
      <x:c r="M122" s="2" t="str">
        <x:v>trace_annotated_artifact_generation</x:v>
      </x:c>
      <x:c r="N122" s="2" t="str">
        <x:v>R5 Information Embedder</x:v>
      </x:c>
      <x:c r="O122" s="2" t="str">
        <x:v>NA</x:v>
      </x:c>
      <x:c r="P122" s="2" t="str">
        <x:v>Primary</x:v>
      </x:c>
      <x:c r="Q122" s="6" t="str">
        <x:v>NA</x:v>
      </x:c>
      <x:c r="R122" s="6" t="str">
        <x:v>Explicit links to user requirements are part of the generated artifact, so R5 applies.</x:v>
      </x:c>
      <x:c r="S122" s="6" t="str">
        <x:v>p. 4; Section III-B</x:v>
      </x:c>
      <x:c r="T122" s="6" t="str">
        <x:v>I would like to generate the derived system requirements that are less generic and that can be technical. More system requirements can and is expected to be linked to one user requirement.</x:v>
      </x:c>
      <x:c r="U122" s="6" t="str">
        <x:v>Explicit links to user requirements are part of the generated artifact, so R5 applies.</x:v>
      </x:c>
      <x:c r="V122" s="2" t="str">
        <x:v>Accepted</x:v>
      </x:c>
      <x:c r="W122" s="6" t="str">
        <x:v>R1 manual full-text reassessment and coding confirmed on 2026-07-29 Included in the main functional-role analysis.</x:v>
      </x:c>
    </x:row>
    <x:row r="123" ht="76" customHeight="1">
      <x:c r="A123" s="2" t="str">
        <x:v>S53-ROLE-R03</x:v>
      </x:c>
      <x:c r="B123" s="2" t="str">
        <x:v>S53</x:v>
      </x:c>
      <x:c r="C123" s="2" t="str">
        <x:v>merged_1229</x:v>
      </x:c>
      <x:c r="D123" s="2" t="str">
        <x:v>Reviewer_A</x:v>
      </x:c>
      <x:c r="E123" s="2" t="str">
        <x:v>Reviewer_A</x:v>
      </x:c>
      <x:c r="F123" s="2" t="str">
        <x:v>S53-O03</x:v>
      </x:c>
      <x:c r="G123" s="2" t="str">
        <x:v>S53-T03</x:v>
      </x:c>
      <x:c r="H123" s="2" t="str">
        <x:v>system architect</x:v>
      </x:c>
      <x:c r="I123" s="6" t="str">
        <x:v>System requirements containing injected defects</x:v>
      </x:c>
      <x:c r="J123" s="2" t="str">
        <x:v>Detect quality issues in system requirements</x:v>
      </x:c>
      <x:c r="K123" s="6" t="str">
        <x:v>Detected requirement defects and inconsistencies</x:v>
      </x:c>
      <x:c r="L123" s="2" t="str">
        <x:v>2 Semantic contextualization</x:v>
      </x:c>
      <x:c r="M123" s="2" t="str">
        <x:v>artifact_quality_issue_detection</x:v>
      </x:c>
      <x:c r="N123" s="2" t="str">
        <x:v>R1 Feature Extractor</x:v>
      </x:c>
      <x:c r="O123" s="2" t="str">
        <x:v>NA</x:v>
      </x:c>
      <x:c r="P123" s="2" t="str">
        <x:v>Primary</x:v>
      </x:c>
      <x:c r="Q123" s="6" t="str">
        <x:v>NA</x:v>
      </x:c>
      <x:c r="R123" s="6" t="str">
        <x:v>Detects ambiguity, inconsistency, incompleteness, violations, or other quality properties within an artifact. The output makes information already grounded in an artifact explicit and does not assess an existing cross-artifact trace relation.</x:v>
      </x:c>
      <x:c r="S123" s="6" t="str">
        <x:v>p. 4; Section III-C</x:v>
      </x:c>
      <x:c r="T123" s="6" t="str">
        <x:v>Starting from the system requirements available so far, we tried to create a document with partially altered system requirements in order to observe the capacity of the models to detect human errors that can appear into documents of this kind. Claude identified all the errors introduced by us, but even identified inconsistencies in the requirements.</x:v>
      </x:c>
      <x:c r="U123" s="6" t="str">
        <x:v>Detects ambiguity, inconsistency, incompleteness, violations, or other quality properties within an artifact. The output makes information already grounded in an artifact explicit and does not assess an existing cross-artifact trace relation.</x:v>
      </x:c>
      <x:c r="V123" s="2" t="str">
        <x:v>Accepted</x:v>
      </x:c>
      <x:c r="W123" s="6" t="str">
        <x:v>R1 manual full-text reassessment and coding confirmed on 2026-07-29 Included in the main functional-role analysis.</x:v>
      </x:c>
    </x:row>
    <x:row r="124" ht="76" customHeight="1">
      <x:c r="A124" s="2" t="str">
        <x:v>S53-ROLE-R04</x:v>
      </x:c>
      <x:c r="B124" s="2" t="str">
        <x:v>S53</x:v>
      </x:c>
      <x:c r="C124" s="2" t="str">
        <x:v>merged_1229</x:v>
      </x:c>
      <x:c r="D124" s="2" t="str">
        <x:v>Reviewer_A</x:v>
      </x:c>
      <x:c r="E124" s="2" t="str">
        <x:v>Reviewer_A</x:v>
      </x:c>
      <x:c r="F124" s="2" t="str">
        <x:v>S53-O04</x:v>
      </x:c>
      <x:c r="G124" s="2" t="str">
        <x:v>S53-T04</x:v>
      </x:c>
      <x:c r="H124" s="2" t="str">
        <x:v>tester</x:v>
      </x:c>
      <x:c r="I124" s="6" t="str">
        <x:v>System Requirements Document and test-generation prompt</x:v>
      </x:c>
      <x:c r="J124" s="2" t="str">
        <x:v>Generate requirement-linked test cases</x:v>
      </x:c>
      <x:c r="K124" s="6" t="str">
        <x:v>Product Test Cases Specification with explicit requirement links</x:v>
      </x:c>
      <x:c r="L124" s="2" t="str">
        <x:v>3 Traceability inference</x:v>
      </x:c>
      <x:c r="M124" s="2" t="str">
        <x:v>trace_annotated_artifact_generation</x:v>
      </x:c>
      <x:c r="N124" s="2" t="str">
        <x:v>R5 Information Embedder</x:v>
      </x:c>
      <x:c r="O124" s="2" t="str">
        <x:v>NA</x:v>
      </x:c>
      <x:c r="P124" s="2" t="str">
        <x:v>Primary</x:v>
      </x:c>
      <x:c r="Q124" s="6" t="str">
        <x:v>NA</x:v>
      </x:c>
      <x:c r="R124" s="6" t="str">
        <x:v>Explicit requirement links are part of the generated test artifact, so R5 applies.</x:v>
      </x:c>
      <x:c r="S124" s="6" t="str">
        <x:v>pp. 4-5; Section III-D</x:v>
      </x:c>
      <x:c r="T124" s="6" t="str">
        <x:v>All 3 models managed to create tests linked to one or more system requirements and presented the preconditions, action steps and evaluation steps, as well as whether the test is manual or automatic.</x:v>
      </x:c>
      <x:c r="U124" s="6" t="str">
        <x:v>Explicit requirement links are part of the generated test artifact, so R5 applies.</x:v>
      </x:c>
      <x:c r="V124" s="2" t="str">
        <x:v>Accepted</x:v>
      </x:c>
      <x:c r="W124" s="6" t="str">
        <x:v>R1 manual full-text reassessment and coding confirmed on 2026-07-29 Included in the main functional-role analysis.</x:v>
      </x:c>
    </x:row>
    <x:row r="125" ht="76" customHeight="1">
      <x:c r="A125" s="2" t="str">
        <x:v>S53-ROLE-R05</x:v>
      </x:c>
      <x:c r="B125" s="2" t="str">
        <x:v>S53</x:v>
      </x:c>
      <x:c r="C125" s="2" t="str">
        <x:v>merged_1229</x:v>
      </x:c>
      <x:c r="D125" s="2" t="str">
        <x:v>Reviewer_A</x:v>
      </x:c>
      <x:c r="E125" s="2" t="str">
        <x:v>Reviewer_A</x:v>
      </x:c>
      <x:c r="F125" s="2" t="str">
        <x:v>S53-O05</x:v>
      </x:c>
      <x:c r="G125" s="2" t="str">
        <x:v>S53-T03</x:v>
      </x:c>
      <x:c r="H125" s="2" t="str">
        <x:v>system architect</x:v>
      </x:c>
      <x:c r="I125" s="6" t="str">
        <x:v>System requirements containing injected defects and the identified issues</x:v>
      </x:c>
      <x:c r="J125" s="2" t="str">
        <x:v>Revise system requirements to correct identified defects</x:v>
      </x:c>
      <x:c r="K125" s="6" t="str">
        <x:v>Corrected system requirements</x:v>
      </x:c>
      <x:c r="L125" s="2" t="str">
        <x:v>2 Semantic contextualization</x:v>
      </x:c>
      <x:c r="M125" s="2" t="str">
        <x:v>related_artifact_generation</x:v>
      </x:c>
      <x:c r="N125" s="2" t="str">
        <x:v>R2 Information Enhancer</x:v>
      </x:c>
      <x:c r="O125" s="2" t="str">
        <x:v>NA</x:v>
      </x:c>
      <x:c r="P125" s="2" t="str">
        <x:v>Primary</x:v>
      </x:c>
      <x:c r="Q125" s="6" t="str">
        <x:v>NA</x:v>
      </x:c>
      <x:c r="R125" s="6" t="str">
        <x:v>Produces revised artifact content from the source requirements and identified defects without deciding, validating, or embedding a cross-artifact trace relation.</x:v>
      </x:c>
      <x:c r="S125" s="6" t="str">
        <x:v>p. 4; Section III-C</x:v>
      </x:c>
      <x:c r="T125" s="6" t="str">
        <x:v>Gemini found the 2 duplicated requirements proposing to modify one of them and corrected more IDs, but did not identify editorial errors or the fact that a 195% humidity cannot exist.</x:v>
      </x:c>
      <x:c r="U125" s="6" t="str">
        <x:v>Produces revised artifact content from the source requirements and identified defects without deciding, validating, or embedding a cross-artifact trace relation.</x:v>
      </x:c>
      <x:c r="V125" s="2" t="str">
        <x:v>Accepted</x:v>
      </x:c>
      <x:c r="W125" s="6" t="str">
        <x:v>Manual full-text reassessment and coding confirmed on 2026-08-09. Included in the main functional-role analysis.</x:v>
      </x:c>
    </x:row>
    <x:row r="126" ht="76" customHeight="1">
      <x:c r="A126" s="2" t="str">
        <x:v>G1-ROLE-R01</x:v>
      </x:c>
      <x:c r="B126" s="2" t="str">
        <x:v>G1</x:v>
      </x:c>
      <x:c r="C126" s="2" t="str">
        <x:v>v1</x:v>
      </x:c>
      <x:c r="D126" s="2" t="str">
        <x:v>Reviewer_A</x:v>
      </x:c>
      <x:c r="E126" s="2" t="str">
        <x:v>Reviewer_A</x:v>
      </x:c>
      <x:c r="F126" s="2" t="str">
        <x:v>G1-O01</x:v>
      </x:c>
      <x:c r="G126" s="2" t="str">
        <x:v>G1-T01</x:v>
      </x:c>
      <x:c r="H126" s="2" t="str">
        <x:v>chat gpd (version 3.5)</x:v>
      </x:c>
      <x:c r="I126" s="6" t="str">
        <x:v>the requirement text</x:v>
      </x:c>
      <x:c r="J126" s="2" t="str">
        <x:v>write manual test scenarios for the requirement in version 3.5</x:v>
      </x:c>
      <x:c r="K126" s="6" t="str">
        <x:v>test scenarios for the requirement</x:v>
      </x:c>
      <x:c r="L126" s="2" t="str">
        <x:v>2 Semantic contextualization</x:v>
      </x:c>
      <x:c r="M126" s="2" t="str">
        <x:v>test_scenario_generator</x:v>
      </x:c>
      <x:c r="N126" s="2" t="str">
        <x:v>R2 Information Enhancer</x:v>
      </x:c>
      <x:c r="O126" s="2" t="str">
        <x:v>NA</x:v>
      </x:c>
      <x:c r="P126" s="2" t="str">
        <x:v>Primary</x:v>
      </x:c>
      <x:c r="Q126" s="6" t="str">
        <x:v>NA</x:v>
      </x:c>
      <x:c r="R126" s="6" t="str">
        <x:v>The model produces derivative test scenarios from one requirement; it does not decide a trace relation, which places the operation with the enhancer role rather than the inferencer role.</x:v>
      </x:c>
      <x:c r="S126" s="6" t="str">
        <x:v>G1_video_page.png (upload date field, title, view count, likes) ; G1_page_description.png (view count, description text, hashtags, Udemy course links and coupon code) ; [00:00] ; [00:33] ; [00:37] ; [00:50] ; [01:18] ; [02:27] ; [02:33] ; [02:55] ; [03:17] ; [03:41] ; [03:52] ; [04:27] ; [05:04] ; [06:46] </x:v>
      </x:c>
      <x:c r="T126"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c r="U126" s="6" t="str">
        <x:v>The model produces derivative test scenarios from one requirement; it does not decide a trace relation, which places the operation with the enhancer role rather than the inferencer role.</x:v>
      </x:c>
      <x:c r="V126" s="2" t="str">
        <x:v>Accepted</x:v>
      </x:c>
      <x:c r="W126" s="6" t="str">
        <x:v>NR</x:v>
      </x:c>
    </x:row>
    <x:row r="127" ht="76" customHeight="1">
      <x:c r="A127" s="2" t="str">
        <x:v>G1-ROLE-R02</x:v>
      </x:c>
      <x:c r="B127" s="2" t="str">
        <x:v>G1</x:v>
      </x:c>
      <x:c r="C127" s="2" t="str">
        <x:v>v1</x:v>
      </x:c>
      <x:c r="D127" s="2" t="str">
        <x:v>Reviewer_A</x:v>
      </x:c>
      <x:c r="E127" s="2" t="str">
        <x:v>Reviewer_A</x:v>
      </x:c>
      <x:c r="F127" s="2" t="str">
        <x:v>G1-O02</x:v>
      </x:c>
      <x:c r="G127" s="2" t="str">
        <x:v>G1-T02</x:v>
      </x:c>
      <x:c r="H127" s="2" t="str">
        <x:v>chat gpd4</x:v>
      </x:c>
      <x:c r="I127" s="6" t="str">
        <x:v>the requirement text and the list of generated test scenarios</x:v>
      </x:c>
      <x:c r="J127" s="2" t="str">
        <x:v>verify whether the scenarios match the requirement traceability matrix</x:v>
      </x:c>
      <x:c r="K127" s="6" t="str">
        <x:v>a requirement traceability matrix with per-requirement coverage indications</x:v>
      </x:c>
      <x:c r="L127" s="2" t="str">
        <x:v>4 Validation and explanation</x:v>
      </x:c>
      <x:c r="M127" s="2" t="str">
        <x:v>traceability_checker</x:v>
      </x:c>
      <x:c r="N127" s="2" t="str">
        <x:v>R4 Verification Evaluator</x:v>
      </x:c>
      <x:c r="O127" s="2" t="str">
        <x:v>NA</x:v>
      </x:c>
      <x:c r="P127" s="2" t="str">
        <x:v>Primary</x:v>
      </x:c>
      <x:c r="Q127" s="6" t="str">
        <x:v>The input is an already produced requirement-to-scenario mapping and the output assesses its coverage.</x:v>
      </x:c>
      <x:c r="R127" s="6" t="str">
        <x:v>The operation evaluates an existing mapping, which is the boundary the verification role is defined on.</x:v>
      </x:c>
      <x:c r="S127" s="6" t="str">
        <x:v>G1_video_page.png (upload date field, title, view count, likes) ; G1_page_description.png (view count, description text, hashtags, Udemy course links and coupon code) ; [00:00] ; [00:33] ; [00:37] ; [00:50] ; [01:18] ; [02:27] ; [02:33] ; [02:55] ; [03:17] ; [03:41] ; [03:52] ; [04:27] ; [05:04] ; [06:46] </x:v>
      </x:c>
      <x:c r="T127"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c r="U127" s="6" t="str">
        <x:v>The operation evaluates an existing mapping, which is the boundary the verification role is defined on.</x:v>
      </x:c>
      <x:c r="V127" s="2" t="str">
        <x:v>Accepted</x:v>
      </x:c>
      <x:c r="W127" s="6" t="str">
        <x:v>NR</x:v>
      </x:c>
    </x:row>
    <x:row r="128" ht="76" customHeight="1">
      <x:c r="A128" s="2" t="str">
        <x:v>G1-ROLE-R03</x:v>
      </x:c>
      <x:c r="B128" s="2" t="str">
        <x:v>G1</x:v>
      </x:c>
      <x:c r="C128" s="2" t="str">
        <x:v>v1</x:v>
      </x:c>
      <x:c r="D128" s="2" t="str">
        <x:v>Reviewer_A</x:v>
      </x:c>
      <x:c r="E128" s="2" t="str">
        <x:v>Reviewer_A</x:v>
      </x:c>
      <x:c r="F128" s="2" t="str">
        <x:v>G1-O03</x:v>
      </x:c>
      <x:c r="G128" s="2" t="str">
        <x:v>G1-T02</x:v>
      </x:c>
      <x:c r="H128" s="2" t="str">
        <x:v>chat gpd4</x:v>
      </x:c>
      <x:c r="I128" s="6" t="str">
        <x:v>the requirement and the coverage verdict</x:v>
      </x:c>
      <x:c r="J128" s="2" t="str">
        <x:v>identify the requirement that is not covered by the test scenario</x:v>
      </x:c>
      <x:c r="K128" s="6" t="str">
        <x:v>a list of missing scenarios and uncovered requirements</x:v>
      </x:c>
      <x:c r="L128" s="2" t="str">
        <x:v>3 Traceability inference</x:v>
      </x:c>
      <x:c r="M128" s="2" t="str">
        <x:v>missing_coverage_identifier</x:v>
      </x:c>
      <x:c r="N128" s="2" t="str">
        <x:v>R3 Trace Inferencer</x:v>
      </x:c>
      <x:c r="O128" s="2" t="str">
        <x:v>NA</x:v>
      </x:c>
      <x:c r="P128" s="2" t="str">
        <x:v>Primary</x:v>
      </x:c>
      <x:c r="Q128" s="6" t="str">
        <x:v>The output names links that are missing rather than evaluating links that exist, which is why it is separated from the coverage check.</x:v>
      </x:c>
      <x:c r="R128" s="6" t="str">
        <x:v>Naming a missing link materialises a trace relation, which matches the inferencer role.</x:v>
      </x:c>
      <x:c r="S128" s="6" t="str">
        <x:v>G1_video_page.png (upload date field, title, view count, likes) ; G1_page_description.png (view count, description text, hashtags, Udemy course links and coupon code) ; [00:00] ; [00:33] ; [00:37] ; [00:50] ; [01:18] ; [02:27] ; [02:33] ; [02:55] ; [03:17] ; [03:41] ; [03:52] ; [04:27] ; [05:04] ; [06:46] </x:v>
      </x:c>
      <x:c r="T128"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c r="U128" s="6" t="str">
        <x:v>Naming a missing link materialises a trace relation, which matches the inferencer role.</x:v>
      </x:c>
      <x:c r="V128" s="2" t="str">
        <x:v>Accepted</x:v>
      </x:c>
      <x:c r="W128" s="6" t="str">
        <x:v>NR</x:v>
      </x:c>
    </x:row>
    <x:row r="129" ht="76" customHeight="1">
      <x:c r="A129" s="2" t="str">
        <x:v>G2-ROLE-R01</x:v>
      </x:c>
      <x:c r="B129" s="2" t="str">
        <x:v>G2</x:v>
      </x:c>
      <x:c r="C129" s="2" t="str">
        <x:v>v1</x:v>
      </x:c>
      <x:c r="D129" s="2" t="str">
        <x:v>Reviewer_A</x:v>
      </x:c>
      <x:c r="E129" s="2" t="str">
        <x:v>Reviewer_A</x:v>
      </x:c>
      <x:c r="F129" s="2" t="str">
        <x:v>G2-O01</x:v>
      </x:c>
      <x:c r="G129" s="2" t="str">
        <x:v>G2-T01</x:v>
      </x:c>
      <x:c r="H129" s="2" t="str">
        <x:v>our ai</x:v>
      </x:c>
      <x:c r="I129" s="6" t="str">
        <x:v>the user question plus the traceability information for the relevant variables and data sets</x:v>
      </x:c>
      <x:c r="J129" s="2" t="str">
        <x:v>extract the clinical concepts from the question and map them to the variables and data sets that contain them</x:v>
      </x:c>
      <x:c r="K129" s="6" t="str">
        <x:v>a natural-language answer with a confidence indication and the browsable evidence behind it</x:v>
      </x:c>
      <x:c r="L129" s="2" t="str">
        <x:v>3 Traceability inference</x:v>
      </x:c>
      <x:c r="M129" s="2" t="str">
        <x:v>clinical_concept_extractor</x:v>
      </x:c>
      <x:c r="N129" s="2" t="str">
        <x:v>R3 Trace Inferencer</x:v>
      </x:c>
      <x:c r="O129" s="2" t="str">
        <x:v>NA</x:v>
      </x:c>
      <x:c r="P129" s="2" t="str">
        <x:v>Primary</x:v>
      </x:c>
      <x:c r="Q129" s="6" t="str">
        <x:v>NA</x:v>
      </x:c>
      <x:c r="R129" s="6" t="str">
        <x:v>Mapping question concepts onto variables and data sets materialises which artefact answers the question, which is the inferencer boundary.</x:v>
      </x:c>
      <x:c r="S129" s="6" t="str">
        <x:v>G2_video_page.png (title, speaker and affiliation slide, channel, view count, likes) ; G2_page_description.png (page date, speaker attribution, description text, links) ; [00:59] ; [07:19] ; [07:32] ; [09:38] ; [10:14] ; [12:17] ; [12:24] ; [14:08] ; [17:39] ; [21:09] ; [26:46] ; [32:49] ; [37:01] ; [38:58] ; [39:01] ; [39:17] ; [40:47] </x:v>
      </x:c>
      <x:c r="T129"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c r="U129" s="6" t="str">
        <x:v>Mapping question concepts onto variables and data sets materialises which artefact answers the question, which is the inferencer boundary.</x:v>
      </x:c>
      <x:c r="V129" s="2" t="str">
        <x:v>Accepted</x:v>
      </x:c>
      <x:c r="W129" s="6" t="str">
        <x:v>NR</x:v>
      </x:c>
    </x:row>
    <x:row r="130" ht="76" customHeight="1">
      <x:c r="A130" s="2" t="str">
        <x:v>G2-ROLE-R02</x:v>
      </x:c>
      <x:c r="B130" s="2" t="str">
        <x:v>G2</x:v>
      </x:c>
      <x:c r="C130" s="2" t="str">
        <x:v>v1</x:v>
      </x:c>
      <x:c r="D130" s="2" t="str">
        <x:v>Reviewer_A</x:v>
      </x:c>
      <x:c r="E130" s="2" t="str">
        <x:v>Reviewer_A</x:v>
      </x:c>
      <x:c r="F130" s="2" t="str">
        <x:v>G2-O02</x:v>
      </x:c>
      <x:c r="G130" s="2" t="str">
        <x:v>G2-T01</x:v>
      </x:c>
      <x:c r="H130" s="2" t="str">
        <x:v>our ai</x:v>
      </x:c>
      <x:c r="I130" s="6" t="str">
        <x:v>the traceability information for the relevant variables and data sets</x:v>
      </x:c>
      <x:c r="J130" s="2" t="str">
        <x:v>translate code language into natural language instead of reasoning over the raw code</x:v>
      </x:c>
      <x:c r="K130" s="6" t="str">
        <x:v>the natural-language reading of the code that the answer is built on</x:v>
      </x:c>
      <x:c r="L130" s="2" t="str">
        <x:v>2 Semantic contextualization</x:v>
      </x:c>
      <x:c r="M130" s="2" t="str">
        <x:v>code_to_natural_language_translator</x:v>
      </x:c>
      <x:c r="N130" s="2" t="str">
        <x:v>R2 Information Enhancer</x:v>
      </x:c>
      <x:c r="O130" s="2" t="str">
        <x:v>NA</x:v>
      </x:c>
      <x:c r="P130" s="2" t="str">
        <x:v>Primary</x:v>
      </x:c>
      <x:c r="Q130" s="6" t="str">
        <x:v>The output is a derivative description of already statically derived code evidence; no cross-artefact relation is decided.</x:v>
      </x:c>
      <x:c r="R130" s="6" t="str">
        <x:v>The operation enriches the semantics of one artefact class before the relation is answered, which matches the enhancer role.</x:v>
      </x:c>
      <x:c r="S130" s="6" t="str">
        <x:v>G2_video_page.png (title, speaker and affiliation slide, channel, view count, likes) ; G2_page_description.png (page date, speaker attribution, description text, links) ; [00:59] ; [07:19] ; [07:32] ; [09:38] ; [10:14] ; [12:17] ; [12:24] ; [14:08] ; [17:39] ; [21:09] ; [26:46] ; [32:49] ; [37:01] ; [38:58] ; [39:01] ; [39:17] ; [40:47] </x:v>
      </x:c>
      <x:c r="T130"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c r="U130" s="6" t="str">
        <x:v>The operation enriches the semantics of one artefact class before the relation is answered, which matches the enhancer role.</x:v>
      </x:c>
      <x:c r="V130" s="2" t="str">
        <x:v>Accepted</x:v>
      </x:c>
      <x:c r="W130" s="6" t="str">
        <x:v>NR</x:v>
      </x:c>
    </x:row>
    <x:row r="131" ht="76" customHeight="1">
      <x:c r="A131" s="2" t="str">
        <x:v>G2-ROLE-R03</x:v>
      </x:c>
      <x:c r="B131" s="2" t="str">
        <x:v>G2</x:v>
      </x:c>
      <x:c r="C131" s="2" t="str">
        <x:v>v1</x:v>
      </x:c>
      <x:c r="D131" s="2" t="str">
        <x:v>Reviewer_A</x:v>
      </x:c>
      <x:c r="E131" s="2" t="str">
        <x:v>Reviewer_A</x:v>
      </x:c>
      <x:c r="F131" s="2" t="str">
        <x:v>G2-O03</x:v>
      </x:c>
      <x:c r="G131" s="2" t="str">
        <x:v>G2-T01</x:v>
      </x:c>
      <x:c r="H131" s="2" t="str">
        <x:v>our ai</x:v>
      </x:c>
      <x:c r="I131" s="6" t="str">
        <x:v>the description text together with the code</x:v>
      </x:c>
      <x:c r="J131" s="2" t="str">
        <x:v>compare the description against the code and report match, mismatch or unsure</x:v>
      </x:c>
      <x:c r="K131" s="6" t="str">
        <x:v>specification-conformance comments</x:v>
      </x:c>
      <x:c r="L131" s="2" t="str">
        <x:v>4 Validation and explanation</x:v>
      </x:c>
      <x:c r="M131" s="2" t="str">
        <x:v>specification_conformance_checker</x:v>
      </x:c>
      <x:c r="N131" s="2" t="str">
        <x:v>R4 Verification Evaluator</x:v>
      </x:c>
      <x:c r="O131" s="2" t="str">
        <x:v>NA</x:v>
      </x:c>
      <x:c r="P131" s="2" t="str">
        <x:v>Primary</x:v>
      </x:c>
      <x:c r="Q131" s="6" t="str">
        <x:v>NA</x:v>
      </x:c>
      <x:c r="R131" s="6" t="str">
        <x:v>The input is an existing specification-to-code relation claim and the output assesses its validity, including an explicit unsure verdict.</x:v>
      </x:c>
      <x:c r="S131" s="6" t="str">
        <x:v>G2_video_page.png (title, speaker and affiliation slide, channel, view count, likes) ; G2_page_description.png (page date, speaker attribution, description text, links) ; [00:59] ; [07:19] ; [07:32] ; [09:38] ; [10:14] ; [12:17] ; [12:24] ; [14:08] ; [17:39] ; [21:09] ; [26:46] ; [32:49] ; [37:01] ; [38:58] ; [39:01] ; [39:17] ; [40:47] </x:v>
      </x:c>
      <x:c r="T131"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c r="U131" s="6" t="str">
        <x:v>The input is an existing specification-to-code relation claim and the output assesses its validity, including an explicit unsure verdict.</x:v>
      </x:c>
      <x:c r="V131" s="2" t="str">
        <x:v>Accepted</x:v>
      </x:c>
      <x:c r="W131" s="6" t="str">
        <x:v>NR</x:v>
      </x:c>
    </x:row>
    <x:row r="132" ht="76" customHeight="1">
      <x:c r="A132" s="2" t="str">
        <x:v>G3-ROLE-R02</x:v>
      </x:c>
      <x:c r="B132" s="2" t="str">
        <x:v>G3</x:v>
      </x:c>
      <x:c r="C132" s="2" t="str">
        <x:v>v1</x:v>
      </x:c>
      <x:c r="D132" s="2" t="str">
        <x:v>Reviewer_A</x:v>
      </x:c>
      <x:c r="E132" s="2" t="str">
        <x:v>Reviewer_A</x:v>
      </x:c>
      <x:c r="F132" s="2" t="str">
        <x:v>G3-O02</x:v>
      </x:c>
      <x:c r="G132" s="2" t="str">
        <x:v>G3-T01</x:v>
      </x:c>
      <x:c r="H132" s="2" t="str">
        <x:v>modern AI (LLMs + embeddings)</x:v>
      </x:c>
      <x:c r="I132" s="6" t="str">
        <x:v>the transcript text</x:v>
      </x:c>
      <x:c r="J132" s="2" t="str">
        <x:v>extract requirement statements and entities from the transcript</x:v>
      </x:c>
      <x:c r="K132" s="6" t="str">
        <x:v>structured requirement statements and the entities and relationships around them</x:v>
      </x:c>
      <x:c r="L132" s="2" t="str">
        <x:v>2 Semantic contextualization</x:v>
      </x:c>
      <x:c r="M132" s="2" t="str">
        <x:v>requirement_statement_extractor</x:v>
      </x:c>
      <x:c r="N132" s="2" t="str">
        <x:v>R1 Feature Extractor</x:v>
      </x:c>
      <x:c r="O132" s="2" t="str">
        <x:v>NA</x:v>
      </x:c>
      <x:c r="P132" s="2" t="str">
        <x:v>Primary</x:v>
      </x:c>
      <x:c r="Q132" s="6" t="str">
        <x:v>The description claims that large language models plus embeddings automate the mapping to implementation, while the demonstrated pipeline is vectorisation plus named entity recognition, so the operation is coded on what is demonstrated.</x:v>
      </x:c>
      <x:c r="R132" s="6" t="str">
        <x:v>Extracting structured elements from one artefact is the extractor boundary; the material does not show a cross-artefact decision at this step.</x:v>
      </x:c>
      <x:c r="S132" s="6" t="str">
        <x:v>G3_video_page.png (title, channel, view count, likes) ; G3_page_description.png (page date, description text, feature list, uploading account) ; [00:01] ; [00:10] ; [00:30] ; [00:45] ; [00:54] ; [01:04] ; [01:14] ; [01:26] ; [01:32] ; [01:39] ; [02:05] ; [02:15] ; [02:56] ; [03:13] </x:v>
      </x:c>
      <x:c r="T132" s="6" t="str">
        <x:v>a graph-based requirements traceability platform built using fast api, fast api, neo4j, neo4j, and react, react ; converts it to text using open ai whisper ; each node represents a requirement, stakeholder, test case, feature, constraint, team or entity ; edges represent traceability links ; 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U132" s="6" t="str">
        <x:v>Extracting structured elements from one artefact is the extractor boundary; the material does not show a cross-artefact decision at this step.</x:v>
      </x:c>
      <x:c r="V132" s="2" t="str">
        <x:v>Accepted</x:v>
      </x:c>
      <x:c r="W132" s="6" t="str">
        <x:v>NR</x:v>
      </x:c>
    </x:row>
    <x:row r="133" ht="76" customHeight="1">
      <x:c r="A133" s="2" t="str">
        <x:v>G4-ROLE-R01</x:v>
      </x:c>
      <x:c r="B133" s="2" t="str">
        <x:v>G4</x:v>
      </x:c>
      <x:c r="C133" s="2" t="str">
        <x:v>v1</x:v>
      </x:c>
      <x:c r="D133" s="2" t="str">
        <x:v>Reviewer_A</x:v>
      </x:c>
      <x:c r="E133" s="2" t="str">
        <x:v>Reviewer_A</x:v>
      </x:c>
      <x:c r="F133" s="2" t="str">
        <x:v>G4-O01</x:v>
      </x:c>
      <x:c r="G133" s="2" t="str">
        <x:v>G4-T01</x:v>
      </x:c>
      <x:c r="H133" s="2" t="str">
        <x:v>large language model</x:v>
      </x:c>
      <x:c r="I133" s="6" t="str">
        <x:v>the requirements together with the program slices that identify the implementing functions</x:v>
      </x:c>
      <x:c r="J133" s="2" t="str">
        <x:v>map requirements to implementing functions</x:v>
      </x:c>
      <x:c r="K133" s="6" t="str">
        <x:v>the requirement-to-function mapping, presented for engineer review</x:v>
      </x:c>
      <x:c r="L133" s="2" t="str">
        <x:v>3 Traceability inference</x:v>
      </x:c>
      <x:c r="M133" s="2" t="str">
        <x:v>requirement_to_code_mapper</x:v>
      </x:c>
      <x:c r="N133" s="2" t="str">
        <x:v>R3 Trace Inferencer</x:v>
      </x:c>
      <x:c r="O133" s="2" t="str">
        <x:v>NA</x:v>
      </x:c>
      <x:c r="P133" s="2" t="str">
        <x:v>Primary</x:v>
      </x:c>
      <x:c r="Q133" s="6" t="str">
        <x:v>NA</x:v>
      </x:c>
      <x:c r="R133" s="6" t="str">
        <x:v>The output is a link set between two artefact classes, which is the inferencer boundary; the engineering review follows rather than replaces it.</x:v>
      </x:c>
      <x:c r="S133"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T133" s="6" t="str">
        <x:v>Writing unit tests from requirements is necessary. It is also time-consuming, repetitive, and easy to get wrong. ; Reqs2x uses program slicing and large language models to map requirements to the functions that implement them, generate aligned test cases, and present both for engineer review. Requirements traceability is built in from the start, not added later. ; Import from DOORS, Polarion, or CSV via the Requirements Gateway ; Program slicing identifies which functions implement each requirement ; Nothing is accepted automatically. ; Vector's approach is based on modular, task-specific micro-agents designed for precisely defined use cases within controlled contexts.</x:v>
      </x:c>
      <x:c r="U133" s="6" t="str">
        <x:v>The output is a link set between two artefact classes, which is the inferencer boundary; the engineering review follows rather than replaces it.</x:v>
      </x:c>
      <x:c r="V133" s="2" t="str">
        <x:v>Accepted</x:v>
      </x:c>
      <x:c r="W133" s="6" t="str">
        <x:v>NR</x:v>
      </x:c>
    </x:row>
    <x:row r="134" ht="76" customHeight="1">
      <x:c r="A134" s="2" t="str">
        <x:v>G4-ROLE-R02</x:v>
      </x:c>
      <x:c r="B134" s="2" t="str">
        <x:v>G4</x:v>
      </x:c>
      <x:c r="C134" s="2" t="str">
        <x:v>v1</x:v>
      </x:c>
      <x:c r="D134" s="2" t="str">
        <x:v>Reviewer_A</x:v>
      </x:c>
      <x:c r="E134" s="2" t="str">
        <x:v>Reviewer_A</x:v>
      </x:c>
      <x:c r="F134" s="2" t="str">
        <x:v>G4-O02</x:v>
      </x:c>
      <x:c r="G134" s="2" t="str">
        <x:v>G4-T02</x:v>
      </x:c>
      <x:c r="H134" s="2" t="str">
        <x:v>large language models</x:v>
      </x:c>
      <x:c r="I134" s="6" t="str">
        <x:v>the requirements and the program slices that identify the implementing functions</x:v>
      </x:c>
      <x:c r="J134" s="2" t="str">
        <x:v>generate executable test cases aligned with the requirement specifications</x:v>
      </x:c>
      <x:c r="K134" s="6" t="str">
        <x:v>executable test cases presented for engineer review</x:v>
      </x:c>
      <x:c r="L134" s="2" t="str">
        <x:v>3 Traceability inference</x:v>
      </x:c>
      <x:c r="M134" s="2" t="str">
        <x:v>test_case_generator</x:v>
      </x:c>
      <x:c r="N134" s="2" t="str">
        <x:v>R2 Information Enhancer</x:v>
      </x:c>
      <x:c r="O134" s="2" t="str">
        <x:v>NA</x:v>
      </x:c>
      <x:c r="P134" s="2" t="str">
        <x:v>Primary</x:v>
      </x:c>
      <x:c r="Q134" s="6" t="str">
        <x:v>Test cases are generated under the requirement mapping, so the operation sits on the boundary between derivative generation and trace-guided generation.</x:v>
      </x:c>
      <x:c r="R134" s="6" t="str">
        <x:v>The material describes the generated cases as traceable but does not show explicit trace identifiers inside them, so the operation is coded as derivative generation rather than as trace embedding.</x:v>
      </x:c>
      <x:c r="S134"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T134" s="6" t="str">
        <x:v>Writing unit tests from requirements is necessary. It is also time-consuming, repetitive, and easy to get wrong. ; Reqs2x uses program slicing and large language models to map requirements to the functions that implement them, generate aligned test cases, and present both for engineer review. Requirements traceability is built in from the start, not added later. ; Import from DOORS, Polarion, or CSV via the Requirements Gateway ; Program slicing identifies which functions implement each requirement ; Nothing is accepted automatically. ; Vector's approach is based on modular, task-specific micro-agents designed for precisely defined use cases within controlled contexts.</x:v>
      </x:c>
      <x:c r="U134" s="6" t="str">
        <x:v>The material describes the generated cases as traceable but does not show explicit trace identifiers inside them, so the operation is coded as derivative generation rather than as trace embedding.</x:v>
      </x:c>
      <x:c r="V134" s="2" t="str">
        <x:v>Accepted</x:v>
      </x:c>
      <x:c r="W134" s="6" t="str">
        <x:v>NR</x:v>
      </x:c>
    </x:row>
    <x:row r="135" ht="76" customHeight="1">
      <x:c r="A135" s="2" t="str">
        <x:v>G5-ROLE-R01</x:v>
      </x:c>
      <x:c r="B135" s="2" t="str">
        <x:v>G5</x:v>
      </x:c>
      <x:c r="C135" s="2" t="str">
        <x:v>v1</x:v>
      </x:c>
      <x:c r="D135" s="2" t="str">
        <x:v>Reviewer_A</x:v>
      </x:c>
      <x:c r="E135" s="2" t="str">
        <x:v>Reviewer_A</x:v>
      </x:c>
      <x:c r="F135" s="2" t="str">
        <x:v>G5-O01</x:v>
      </x:c>
      <x:c r="G135" s="2" t="str">
        <x:v>G5-T01</x:v>
      </x:c>
      <x:c r="H135" s="2" t="str">
        <x:v>llms</x:v>
      </x:c>
      <x:c r="I135" s="6" t="str">
        <x:v>requirement information from DOORS, Visure, Polarion or Jama</x:v>
      </x:c>
      <x:c r="J135" s="2" t="str">
        <x:v>read and understand the requirements and combine requirement-scope with code-scope information</x:v>
      </x:c>
      <x:c r="K135" s="6" t="str">
        <x:v>requirement and code scope information held in the model context</x:v>
      </x:c>
      <x:c r="L135" s="2" t="str">
        <x:v>2 Semantic contextualization</x:v>
      </x:c>
      <x:c r="M135" s="2" t="str">
        <x:v>requirement_reader</x:v>
      </x:c>
      <x:c r="N135" s="2" t="str">
        <x:v>R1 Feature Extractor</x:v>
      </x:c>
      <x:c r="O135" s="2" t="str">
        <x:v>NA</x:v>
      </x:c>
      <x:c r="P135" s="2" t="str">
        <x:v>Primary</x:v>
      </x:c>
      <x:c r="Q135" s="6" t="str">
        <x:v>Combining two scopes comes close to inference, but the output is a scope view rather than a link set, so the operation is coded as extraction.</x:v>
      </x:c>
      <x:c r="R135" s="6" t="str">
        <x:v>The operation makes requirement content usable for the following reasoning step without deciding a relation.</x:v>
      </x:c>
      <x:c r="S13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T135"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c r="U135" s="6" t="str">
        <x:v>The operation makes requirement content usable for the following reasoning step without deciding a relation.</x:v>
      </x:c>
      <x:c r="V135" s="2" t="str">
        <x:v>Accepted</x:v>
      </x:c>
      <x:c r="W135" s="6" t="str">
        <x:v>NR</x:v>
      </x:c>
    </x:row>
    <x:row r="136" ht="76" customHeight="1">
      <x:c r="A136" s="2" t="str">
        <x:v>G5-ROLE-R02</x:v>
      </x:c>
      <x:c r="B136" s="2" t="str">
        <x:v>G5</x:v>
      </x:c>
      <x:c r="C136" s="2" t="str">
        <x:v>v1</x:v>
      </x:c>
      <x:c r="D136" s="2" t="str">
        <x:v>Reviewer_A</x:v>
      </x:c>
      <x:c r="E136" s="2" t="str">
        <x:v>Reviewer_A</x:v>
      </x:c>
      <x:c r="F136" s="2" t="str">
        <x:v>G5-O02</x:v>
      </x:c>
      <x:c r="G136" s="2" t="str">
        <x:v>G5-T02</x:v>
      </x:c>
      <x:c r="H136" s="2" t="str">
        <x:v>llms</x:v>
      </x:c>
      <x:c r="I136" s="6" t="str">
        <x:v>the requirement-scope and code-scope information</x:v>
      </x:c>
      <x:c r="J136" s="2" t="str">
        <x:v>generate test cases and connect them to the requirements</x:v>
      </x:c>
      <x:c r="K136" s="6" t="str">
        <x:v>test cases passed to the test tools as JSON and the resulting requirement-to-test traceability</x:v>
      </x:c>
      <x:c r="L136" s="2" t="str">
        <x:v>3 Traceability inference</x:v>
      </x:c>
      <x:c r="M136" s="2" t="str">
        <x:v>test_case_generator</x:v>
      </x:c>
      <x:c r="N136" s="2" t="str">
        <x:v>R3 Trace Inferencer</x:v>
      </x:c>
      <x:c r="O136" s="2" t="str">
        <x:v>NA</x:v>
      </x:c>
      <x:c r="P136" s="2" t="str">
        <x:v>Primary</x:v>
      </x:c>
      <x:c r="Q136" s="6" t="str">
        <x:v>The operation both generates artefacts and states the requirement-to-test relation, and the relation is what the extraction records.</x:v>
      </x:c>
      <x:c r="R136" s="6" t="str">
        <x:v>The requirement-to-test connection is the traceability output of this step, which places it with the inferencer role.</x:v>
      </x:c>
      <x:c r="S136"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T136"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c r="U136" s="6" t="str">
        <x:v>The requirement-to-test connection is the traceability output of this step, which places it with the inferencer role.</x:v>
      </x:c>
      <x:c r="V136" s="2" t="str">
        <x:v>Accepted</x:v>
      </x:c>
      <x:c r="W136" s="6" t="str">
        <x:v>NR</x:v>
      </x:c>
    </x:row>
    <x:row r="137" ht="76" customHeight="1">
      <x:c r="A137" s="2" t="str">
        <x:v>G5-ROLE-R03</x:v>
      </x:c>
      <x:c r="B137" s="2" t="str">
        <x:v>G5</x:v>
      </x:c>
      <x:c r="C137" s="2" t="str">
        <x:v>v1</x:v>
      </x:c>
      <x:c r="D137" s="2" t="str">
        <x:v>Reviewer_A</x:v>
      </x:c>
      <x:c r="E137" s="2" t="str">
        <x:v>Reviewer_A</x:v>
      </x:c>
      <x:c r="F137" s="2" t="str">
        <x:v>G5-O03</x:v>
      </x:c>
      <x:c r="G137" s="2" t="str">
        <x:v>G5-T02</x:v>
      </x:c>
      <x:c r="H137" s="2" t="str">
        <x:v>llms</x:v>
      </x:c>
      <x:c r="I137" s="6" t="str">
        <x:v>the command-line and MCP interfaces to the local tools and the target</x:v>
      </x:c>
      <x:c r="J137" s="2" t="str">
        <x:v>drive the deterministic test tools through MCP or a command line to execute the generated tests on the target</x:v>
      </x:c>
      <x:c r="K137" s="6" t="str">
        <x:v>tool invocations and the execution results they return</x:v>
      </x:c>
      <x:c r="L137" s="2" t="str">
        <x:v>Other</x:v>
      </x:c>
      <x:c r="M137" s="2" t="str">
        <x:v>tool_driver</x:v>
      </x:c>
      <x:c r="N137" s="2" t="str">
        <x:v>Unclear</x:v>
      </x:c>
      <x:c r="O137" s="2" t="str">
        <x:v>NA</x:v>
      </x:c>
      <x:c r="P137" s="2" t="str">
        <x:v>Primary</x:v>
      </x:c>
      <x:c r="Q137" s="6" t="str">
        <x:v>Calling and orchestrating tools is not covered by the five functional roles, because the output is an execution result rather than extracted information, a relation or an evaluation of one.</x:v>
      </x:c>
      <x:c r="R137" s="6" t="str">
        <x:v>Recorded as a separate operation so that orchestration is not counted as trace inference; no existing role is claimed for it.</x:v>
      </x:c>
      <x:c r="S137"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T137"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c r="U137" s="6" t="str">
        <x:v>Recorded as a separate operation so that orchestration is not counted as trace inference; no existing role is claimed for it.</x:v>
      </x:c>
      <x:c r="V137" s="2" t="str">
        <x:v>Accepted</x:v>
      </x:c>
      <x:c r="W137" s="6" t="str">
        <x:v>NR</x:v>
      </x:c>
    </x:row>
    <x:row r="138" ht="76" customHeight="1">
      <x:c r="A138" s="2" t="str">
        <x:v>G6-ROLE-R01</x:v>
      </x:c>
      <x:c r="B138" s="2" t="str">
        <x:v>G6</x:v>
      </x:c>
      <x:c r="C138" s="2" t="str">
        <x:v>v1</x:v>
      </x:c>
      <x:c r="D138" s="2" t="str">
        <x:v>Reviewer_A</x:v>
      </x:c>
      <x:c r="E138" s="2" t="str">
        <x:v>Reviewer_A</x:v>
      </x:c>
      <x:c r="F138" s="2" t="str">
        <x:v>G6-O01</x:v>
      </x:c>
      <x:c r="G138" s="2" t="str">
        <x:v>G6-T01</x:v>
      </x:c>
      <x:c r="H138" s="2" t="str">
        <x:v>llms</x:v>
      </x:c>
      <x:c r="I138" s="6" t="str">
        <x:v>the requirements exported from the requirement management tool</x:v>
      </x:c>
      <x:c r="J138" s="2" t="str">
        <x:v>read the requirements and understand what they ask for</x:v>
      </x:c>
      <x:c r="K138" s="6" t="str">
        <x:v>the requirement information the model works from</x:v>
      </x:c>
      <x:c r="L138" s="2" t="str">
        <x:v>2 Semantic contextualization</x:v>
      </x:c>
      <x:c r="M138" s="2" t="str">
        <x:v>requirement_reader</x:v>
      </x:c>
      <x:c r="N138" s="2" t="str">
        <x:v>R1 Feature Extractor</x:v>
      </x:c>
      <x:c r="O138" s="2" t="str">
        <x:v>NA</x:v>
      </x:c>
      <x:c r="P138" s="2" t="str">
        <x:v>Primary</x:v>
      </x:c>
      <x:c r="Q138" s="6" t="str">
        <x:v>NA</x:v>
      </x:c>
      <x:c r="R138" s="6" t="str">
        <x:v>Reading the requirement set is the extraction step that precedes test generation in this material.</x:v>
      </x:c>
      <x:c r="S138"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T138"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c r="U138" s="6" t="str">
        <x:v>Reading the requirement set is the extraction step that precedes test generation in this material.</x:v>
      </x:c>
      <x:c r="V138" s="2" t="str">
        <x:v>Accepted</x:v>
      </x:c>
      <x:c r="W138" s="6" t="str">
        <x:v>NR</x:v>
      </x:c>
    </x:row>
    <x:row r="139" ht="76" customHeight="1">
      <x:c r="A139" s="2" t="str">
        <x:v>G6-ROLE-R02</x:v>
      </x:c>
      <x:c r="B139" s="2" t="str">
        <x:v>G6</x:v>
      </x:c>
      <x:c r="C139" s="2" t="str">
        <x:v>v1</x:v>
      </x:c>
      <x:c r="D139" s="2" t="str">
        <x:v>Reviewer_A</x:v>
      </x:c>
      <x:c r="E139" s="2" t="str">
        <x:v>Reviewer_A</x:v>
      </x:c>
      <x:c r="F139" s="2" t="str">
        <x:v>G6-O02</x:v>
      </x:c>
      <x:c r="G139" s="2" t="str">
        <x:v>G6-T01</x:v>
      </x:c>
      <x:c r="H139" s="2" t="str">
        <x:v>llms</x:v>
      </x:c>
      <x:c r="I139" s="6" t="str">
        <x:v>the MC/DC truth table and test case template from the tool, the code and previously written test cases</x:v>
      </x:c>
      <x:c r="J139" s="2" t="str">
        <x:v>generate MC/DC test cases constrained by the truth table and the test case template</x:v>
      </x:c>
      <x:c r="K139" s="6" t="str">
        <x:v>a test case file that is close to an 80% solution and still requires review</x:v>
      </x:c>
      <x:c r="L139" s="2" t="str">
        <x:v>3 Traceability inference</x:v>
      </x:c>
      <x:c r="M139" s="2" t="str">
        <x:v>test_case_generator</x:v>
      </x:c>
      <x:c r="N139" s="2" t="str">
        <x:v>R2 Information Enhancer</x:v>
      </x:c>
      <x:c r="O139" s="2" t="str">
        <x:v>NA</x:v>
      </x:c>
      <x:c r="P139" s="2" t="str">
        <x:v>Primary</x:v>
      </x:c>
      <x:c r="Q139" s="6" t="str">
        <x:v>The generated file is constrained by a deterministic truth table, so the operation is derivative generation bound to requirement evidence rather than link inference.</x:v>
      </x:c>
      <x:c r="R139" s="6" t="str">
        <x:v>The generation is placed with the enhancer role because the output is a derivative artefact; the trace relation is checked separately in the coverage view.</x:v>
      </x:c>
      <x:c r="S139"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T139"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c r="U139" s="6" t="str">
        <x:v>The generation is placed with the enhancer role because the output is a derivative artefact; the trace relation is checked separately in the coverage view.</x:v>
      </x:c>
      <x:c r="V139" s="2" t="str">
        <x:v>Accepted</x:v>
      </x:c>
      <x:c r="W139" s="6" t="str">
        <x:v>NR</x:v>
      </x:c>
    </x:row>
    <x:row r="140" ht="76" customHeight="1">
      <x:c r="A140" s="2" t="str">
        <x:v>G6-ROLE-R03</x:v>
      </x:c>
      <x:c r="B140" s="2" t="str">
        <x:v>G6</x:v>
      </x:c>
      <x:c r="C140" s="2" t="str">
        <x:v>v1</x:v>
      </x:c>
      <x:c r="D140" s="2" t="str">
        <x:v>Reviewer_A</x:v>
      </x:c>
      <x:c r="E140" s="2" t="str">
        <x:v>Reviewer_A</x:v>
      </x:c>
      <x:c r="F140" s="2" t="str">
        <x:v>G6-O03</x:v>
      </x:c>
      <x:c r="G140" s="2" t="str">
        <x:v>G6-T01</x:v>
      </x:c>
      <x:c r="H140" s="2" t="str">
        <x:v>llms</x:v>
      </x:c>
      <x:c r="I140" s="6" t="str">
        <x:v>the code under review and the generated test case file</x:v>
      </x:c>
      <x:c r="J140" s="2" t="str">
        <x:v>act as a debugging aid that keeps the engineer from getting turned around when reading the code</x:v>
      </x:c>
      <x:c r="K140" s="6" t="str">
        <x:v>a second reading of the code and of the generated artefacts</x:v>
      </x:c>
      <x:c r="L140" s="2" t="str">
        <x:v>4 Validation and explanation</x:v>
      </x:c>
      <x:c r="M140" s="2" t="str">
        <x:v>debugging_aid</x:v>
      </x:c>
      <x:c r="N140" s="2" t="str">
        <x:v>Unclear</x:v>
      </x:c>
      <x:c r="O140" s="2" t="str">
        <x:v>NA</x:v>
      </x:c>
      <x:c r="P140" s="2" t="str">
        <x:v>Primary</x:v>
      </x:c>
      <x:c r="Q140" s="6" t="str">
        <x:v>The speaker describes a conversational aid rather than an artefact-producing operation, so the output cannot be placed on the five role boundaries.</x:v>
      </x:c>
      <x:c r="R140" s="6" t="str">
        <x:v>Recorded as a distinct operation because the speaker gives it a separate purpose; no existing role is claimed for it.</x:v>
      </x:c>
      <x:c r="S140"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T140"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c r="U140" s="6" t="str">
        <x:v>Recorded as a distinct operation because the speaker gives it a separate purpose; no existing role is claimed for it.</x:v>
      </x:c>
      <x:c r="V140" s="2" t="str">
        <x:v>Accepted</x:v>
      </x:c>
      <x:c r="W140" s="6" t="str">
        <x:v>NR</x:v>
      </x:c>
    </x:row>
    <x:row r="141" ht="76" customHeight="1">
      <x:c r="A141" s="2" t="str">
        <x:v>G7-ROLE-R01</x:v>
      </x:c>
      <x:c r="B141" s="2" t="str">
        <x:v>G7</x:v>
      </x:c>
      <x:c r="C141" s="2" t="str">
        <x:v>v1</x:v>
      </x:c>
      <x:c r="D141" s="2" t="str">
        <x:v>Reviewer_A</x:v>
      </x:c>
      <x:c r="E141" s="2" t="str">
        <x:v>Reviewer_A</x:v>
      </x:c>
      <x:c r="F141" s="2" t="str">
        <x:v>G7-O01</x:v>
      </x:c>
      <x:c r="G141" s="2" t="str">
        <x:v>G7-T02</x:v>
      </x:c>
      <x:c r="H141" s="2" t="str">
        <x:v>pharaoh</x:v>
      </x:c>
      <x:c r="I141" s="6" t="str">
        <x:v>the user prompt plus the instructions, skills and need elements returned by the MCP server for that specific agent</x:v>
      </x:c>
      <x:c r="J141" s="2" t="str">
        <x:v>query the traceability graph for a specific need and its links and check the fields and link status</x:v>
      </x:c>
      <x:c r="K141" s="6" t="str">
        <x:v>validation findings on the completeness and validity of the links</x:v>
      </x:c>
      <x:c r="L141" s="2" t="str">
        <x:v>4 Validation and explanation</x:v>
      </x:c>
      <x:c r="M141" s="2" t="str">
        <x:v>traceability_validator</x:v>
      </x:c>
      <x:c r="N141" s="2" t="str">
        <x:v>R4 Verification Evaluator</x:v>
      </x:c>
      <x:c r="O141" s="2" t="str">
        <x:v>NA</x:v>
      </x:c>
      <x:c r="P141" s="2" t="str">
        <x:v>Primary</x:v>
      </x:c>
      <x:c r="Q141" s="6" t="str">
        <x:v>NA</x:v>
      </x:c>
      <x:c r="R141" s="6" t="str">
        <x:v>The input is an existing link set and the output evaluates its completeness and validity, which is the verification boundary.</x:v>
      </x:c>
      <x:c r="S141"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T141"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U141" s="6" t="str">
        <x:v>The input is an existing link set and the output evaluates its completeness and validity, which is the verification boundary.</x:v>
      </x:c>
      <x:c r="V141" s="2" t="str">
        <x:v>Accepted</x:v>
      </x:c>
      <x:c r="W141" s="6" t="str">
        <x:v>NR</x:v>
      </x:c>
    </x:row>
    <x:row r="142" ht="76" customHeight="1">
      <x:c r="A142" s="2" t="str">
        <x:v>G7-ROLE-R02</x:v>
      </x:c>
      <x:c r="B142" s="2" t="str">
        <x:v>G7</x:v>
      </x:c>
      <x:c r="C142" s="2" t="str">
        <x:v>v1</x:v>
      </x:c>
      <x:c r="D142" s="2" t="str">
        <x:v>Reviewer_A</x:v>
      </x:c>
      <x:c r="E142" s="2" t="str">
        <x:v>Reviewer_A</x:v>
      </x:c>
      <x:c r="F142" s="2" t="str">
        <x:v>G7-O02</x:v>
      </x:c>
      <x:c r="G142" s="2" t="str">
        <x:v>G7-T03</x:v>
      </x:c>
      <x:c r="H142" s="2" t="str">
        <x:v>pharaoh</x:v>
      </x:c>
      <x:c r="I142" s="6" t="str">
        <x:v>the need and its links returned from the graph</x:v>
      </x:c>
      <x:c r="J142" s="2" t="str">
        <x:v>answer change-impact questions over the traced needs</x:v>
      </x:c>
      <x:c r="K142" s="6" t="str">
        <x:v>change reports</x:v>
      </x:c>
      <x:c r="L142" s="2" t="str">
        <x:v>5 Evolution and embedding</x:v>
      </x:c>
      <x:c r="M142" s="2" t="str">
        <x:v>impact_analyzer</x:v>
      </x:c>
      <x:c r="N142" s="2" t="str">
        <x:v>R3 Trace Inferencer</x:v>
      </x:c>
      <x:c r="O142" s="2" t="str">
        <x:v>NA</x:v>
      </x:c>
      <x:c r="P142" s="2" t="str">
        <x:v>Primary</x:v>
      </x:c>
      <x:c r="Q142" s="6" t="str">
        <x:v>Answering an impact question produces a relation-focused answer over existing links, which is close to both inference and evaluation.</x:v>
      </x:c>
      <x:c r="R142" s="6" t="str">
        <x:v>The answer materialises which artefacts a change touches, so it is coded as trace inference and the change context is kept in the workflow stage.</x:v>
      </x:c>
      <x:c r="S142"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T142"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U142" s="6" t="str">
        <x:v>The answer materialises which artefacts a change touches, so it is coded as trace inference and the change context is kept in the workflow stage.</x:v>
      </x:c>
      <x:c r="V142" s="2" t="str">
        <x:v>Accepted</x:v>
      </x:c>
      <x:c r="W142" s="6" t="str">
        <x:v>NR</x:v>
      </x:c>
    </x:row>
    <x:row r="143" ht="76" customHeight="1">
      <x:c r="A143" s="2" t="str">
        <x:v>G7-ROLE-R03</x:v>
      </x:c>
      <x:c r="B143" s="2" t="str">
        <x:v>G7</x:v>
      </x:c>
      <x:c r="C143" s="2" t="str">
        <x:v>v1</x:v>
      </x:c>
      <x:c r="D143" s="2" t="str">
        <x:v>Reviewer_A</x:v>
      </x:c>
      <x:c r="E143" s="2" t="str">
        <x:v>Reviewer_A</x:v>
      </x:c>
      <x:c r="F143" s="2" t="str">
        <x:v>G7-O03</x:v>
      </x:c>
      <x:c r="G143" s="2" t="str">
        <x:v>G7-T04</x:v>
      </x:c>
      <x:c r="H143" s="2" t="str">
        <x:v>pharaoh</x:v>
      </x:c>
      <x:c r="I143" s="6" t="str">
        <x:v>the traced needs and their links</x:v>
      </x:c>
      <x:c r="J143" s="2" t="str">
        <x:v>generate or update requirements and documentation</x:v>
      </x:c>
      <x:c r="K143" s="6" t="str">
        <x:v>generated or updated artefacts</x:v>
      </x:c>
      <x:c r="L143" s="2" t="str">
        <x:v>Other</x:v>
      </x:c>
      <x:c r="M143" s="2" t="str">
        <x:v>artifact_generator</x:v>
      </x:c>
      <x:c r="N143" s="2" t="str">
        <x:v>R2 Information Enhancer</x:v>
      </x:c>
      <x:c r="O143" s="2" t="str">
        <x:v>NA</x:v>
      </x:c>
      <x:c r="P143" s="2" t="str">
        <x:v>Primary</x:v>
      </x:c>
      <x:c r="Q143" s="6" t="str">
        <x:v>The output is derivative documentation content and the operation produces no link itself; the workflow stage is recorded as Other because artefact production is not one of the five workflow stages.</x:v>
      </x:c>
      <x:c r="R143" s="6" t="str">
        <x:v>Coded with the enhancer role because the output is enriched content based on the traced needs.</x:v>
      </x:c>
      <x:c r="S143"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T143"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U143" s="6" t="str">
        <x:v>Coded with the enhancer role because the output is enriched content based on the traced needs.</x:v>
      </x:c>
      <x:c r="V143" s="2" t="str">
        <x:v>Accepted</x:v>
      </x:c>
      <x:c r="W143" s="6" t="str">
        <x:v>NR</x:v>
      </x:c>
    </x:row>
    <x:row r="144" ht="76" customHeight="1">
      <x:c r="A144" s="2" t="str">
        <x:v>G7-ROLE-R04</x:v>
      </x:c>
      <x:c r="B144" s="2" t="str">
        <x:v>G7</x:v>
      </x:c>
      <x:c r="C144" s="2" t="str">
        <x:v>v1</x:v>
      </x:c>
      <x:c r="D144" s="2" t="str">
        <x:v>Reviewer_A</x:v>
      </x:c>
      <x:c r="E144" s="2" t="str">
        <x:v>Reviewer_A</x:v>
      </x:c>
      <x:c r="F144" s="2" t="str">
        <x:v>G7-O04</x:v>
      </x:c>
      <x:c r="G144" s="2" t="str">
        <x:v>G7-T04</x:v>
      </x:c>
      <x:c r="H144" s="2" t="str">
        <x:v>the ai</x:v>
      </x:c>
      <x:c r="I144" s="6" t="str">
        <x:v>only the input scope exposed through the controlled interface</x:v>
      </x:c>
      <x:c r="J144" s="2" t="str">
        <x:v>generate output while respecting the input scope defined by the instructions and skills</x:v>
      </x:c>
      <x:c r="K144" s="6" t="str">
        <x:v>reasoning that references the instructions and skills used, plus evidence that the input scope was respected</x:v>
      </x:c>
      <x:c r="L144" s="2" t="str">
        <x:v>Other</x:v>
      </x:c>
      <x:c r="M144" s="2" t="str">
        <x:v>scope_controlled_generator</x:v>
      </x:c>
      <x:c r="N144" s="2" t="str">
        <x:v>R2 Information Enhancer</x:v>
      </x:c>
      <x:c r="O144" s="2" t="str">
        <x:v>NA</x:v>
      </x:c>
      <x:c r="P144" s="2" t="str">
        <x:v>Primary</x:v>
      </x:c>
      <x:c r="Q144" s="6" t="str">
        <x:v>The operation is defined by its scope control rather than by a different functional purpose, so it overlaps with artefact generation and is recorded separately only because the material separates the two.</x:v>
      </x:c>
      <x:c r="R144" s="6" t="str">
        <x:v>Recorded separately so that the governance aspect of generation is visible; the role assignment follows the output type.</x:v>
      </x:c>
      <x:c r="S144"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T144"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U144" s="6" t="str">
        <x:v>Recorded separately so that the governance aspect of generation is visible; the role assignment follows the output type.</x:v>
      </x:c>
      <x:c r="V144" s="2" t="str">
        <x:v>Accepted</x:v>
      </x:c>
      <x:c r="W144" s="6" t="str">
        <x:v>NR</x:v>
      </x:c>
    </x:row>
    <x:row r="145" ht="76" customHeight="1">
      <x:c r="A145" s="2" t="str">
        <x:v>G8-ROLE-R01</x:v>
      </x:c>
      <x:c r="B145" s="2" t="str">
        <x:v>G8</x:v>
      </x:c>
      <x:c r="C145" s="2" t="str">
        <x:v>v1</x:v>
      </x:c>
      <x:c r="D145" s="2" t="str">
        <x:v>Reviewer_A</x:v>
      </x:c>
      <x:c r="E145" s="2" t="str">
        <x:v>Reviewer_A</x:v>
      </x:c>
      <x:c r="F145" s="2" t="str">
        <x:v>G8-O01</x:v>
      </x:c>
      <x:c r="G145" s="2" t="str">
        <x:v>G8-T01</x:v>
      </x:c>
      <x:c r="H145" s="2" t="str">
        <x:v>claude</x:v>
      </x:c>
      <x:c r="I145" s="6" t="str">
        <x:v>each requirement together with the selected relevant c file</x:v>
      </x:c>
      <x:c r="J145" s="2" t="str">
        <x:v>map the requirement to the implementing function</x:v>
      </x:c>
      <x:c r="K145" s="6" t="str">
        <x:v>the requirement-to-code mapping</x:v>
      </x:c>
      <x:c r="L145" s="2" t="str">
        <x:v>3 Traceability inference</x:v>
      </x:c>
      <x:c r="M145" s="2" t="str">
        <x:v>requirement_to_code_mapper</x:v>
      </x:c>
      <x:c r="N145" s="2" t="str">
        <x:v>R3 Trace Inferencer</x:v>
      </x:c>
      <x:c r="O145" s="2" t="str">
        <x:v>NA</x:v>
      </x:c>
      <x:c r="P145" s="2" t="str">
        <x:v>Primary</x:v>
      </x:c>
      <x:c r="Q145" s="6" t="str">
        <x:v>NA</x:v>
      </x:c>
      <x:c r="R145" s="6" t="str">
        <x:v>The output is a link between a requirement and the function that implements it, which is the inferencer boundary.</x:v>
      </x:c>
      <x:c r="S145"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T145" s="6" t="str">
        <x:v>automate the mapping between requirements, source code, unit tests, and build verification artifacts ; for each requirement um it selects the relevant c file and calls claude and maps the requirement to code ; it will display the traceability for each requirement source code and the function ; since it couldn't locate the b build verification script, it made it blank ; right now 20 35 requirements takes 25 minutes so we are going to include rag to have no delays ; Built with: Python + Claude API + cFS heritage codebase ; leaving gaps blank instead of hallucinating missing information</x:v>
      </x:c>
      <x:c r="U145" s="6" t="str">
        <x:v>The output is a link between a requirement and the function that implements it, which is the inferencer boundary.</x:v>
      </x:c>
      <x:c r="V145" s="2" t="str">
        <x:v>Accepted</x:v>
      </x:c>
      <x:c r="W145" s="6" t="str">
        <x:v>NR</x:v>
      </x:c>
    </x:row>
    <x:row r="146" ht="76" customHeight="1">
      <x:c r="A146" s="2" t="str">
        <x:v>G8-ROLE-R02</x:v>
      </x:c>
      <x:c r="B146" s="2" t="str">
        <x:v>G8</x:v>
      </x:c>
      <x:c r="C146" s="2" t="str">
        <x:v>v1</x:v>
      </x:c>
      <x:c r="D146" s="2" t="str">
        <x:v>Reviewer_A</x:v>
      </x:c>
      <x:c r="E146" s="2" t="str">
        <x:v>Reviewer_A</x:v>
      </x:c>
      <x:c r="F146" s="2" t="str">
        <x:v>G8-O02</x:v>
      </x:c>
      <x:c r="G146" s="2" t="str">
        <x:v>G8-T02</x:v>
      </x:c>
      <x:c r="H146" s="2" t="str">
        <x:v>claude</x:v>
      </x:c>
      <x:c r="I146" s="6" t="str">
        <x:v>the requirement, the selected source file and the unit test file</x:v>
      </x:c>
      <x:c r="J146" s="2" t="str">
        <x:v>decide which unit test covers the requirement and flag the cases it is not certain about</x:v>
      </x:c>
      <x:c r="K146" s="6" t="str">
        <x:v>the requirement-to-test mapping, with uncertain mappings flagged</x:v>
      </x:c>
      <x:c r="L146" s="2" t="str">
        <x:v>3 Traceability inference</x:v>
      </x:c>
      <x:c r="M146" s="2" t="str">
        <x:v>test_mapping_identifier</x:v>
      </x:c>
      <x:c r="N146" s="2" t="str">
        <x:v>R3 Trace Inferencer</x:v>
      </x:c>
      <x:c r="O146" s="2" t="str">
        <x:v>NA</x:v>
      </x:c>
      <x:c r="P146" s="2" t="str">
        <x:v>Primary</x:v>
      </x:c>
      <x:c r="Q146" s="6" t="str">
        <x:v>The operation decides a relation and also reports its own uncertainty, which touches the verification boundary.</x:v>
      </x:c>
      <x:c r="R146" s="6" t="str">
        <x:v>The primary output is still a link decision, so the operation is coded as inference and the uncertainty flag is recorded as part of its output.</x:v>
      </x:c>
      <x:c r="S146"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T146" s="6" t="str">
        <x:v>automate the mapping between requirements, source code, unit tests, and build verification artifacts ; for each requirement um it selects the relevant c file and calls claude and maps the requirement to code ; it will display the traceability for each requirement source code and the function ; since it couldn't locate the b build verification script, it made it blank ; right now 20 35 requirements takes 25 minutes so we are going to include rag to have no delays ; Built with: Python + Claude API + cFS heritage codebase ; leaving gaps blank instead of hallucinating missing information</x:v>
      </x:c>
      <x:c r="U146" s="6" t="str">
        <x:v>The primary output is still a link decision, so the operation is coded as inference and the uncertainty flag is recorded as part of its output.</x:v>
      </x:c>
      <x:c r="V146" s="2" t="str">
        <x:v>Accepted</x:v>
      </x:c>
      <x:c r="W146" s="6" t="str">
        <x:v>NR</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19" hidden="0" customWidth="1"/>
    <x:col min="8" max="8" width="19"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52" hidden="0" customWidth="1"/>
    <x:col min="26" max="26" width="52" hidden="0" customWidth="1"/>
    <x:col min="27" max="27" width="52" hidden="0" customWidth="1"/>
    <x:col min="28" max="28" width="20" hidden="0" customWidth="1"/>
    <x:col min="29" max="29" width="52" hidden="0" customWidth="1"/>
  </x:cols>
  <x:sheetData>
    <x:row r="1" ht="38" customHeight="1">
      <x:c r="A1" s="5" t="str">
        <x:v>record_id</x:v>
      </x:c>
      <x:c r="B1" s="5" t="str">
        <x:v>study_id</x:v>
      </x:c>
      <x:c r="C1" s="5" t="str">
        <x:v>version_id</x:v>
      </x:c>
      <x:c r="D1" s="5" t="str">
        <x:v>review_stage</x:v>
      </x:c>
      <x:c r="E1" s="5" t="str">
        <x:v>reviewer_id</x:v>
      </x:c>
      <x:c r="F1" s="5" t="str">
        <x:v>model_use_id</x:v>
      </x:c>
      <x:c r="G1" s="5" t="str">
        <x:v>operation_id</x:v>
      </x:c>
      <x:c r="H1" s="5" t="str">
        <x:v>task_id</x:v>
      </x:c>
      <x:c r="I1" s="5" t="str">
        <x:v>model_name_in_paper</x:v>
      </x:c>
      <x:c r="J1" s="5" t="str">
        <x:v>canonical_model_name</x:v>
      </x:c>
      <x:c r="K1" s="5" t="str">
        <x:v>model_family</x:v>
      </x:c>
      <x:c r="L1" s="5" t="str">
        <x:v>model_version</x:v>
      </x:c>
      <x:c r="M1" s="5" t="str">
        <x:v>model_size</x:v>
      </x:c>
      <x:c r="N1" s="5" t="str">
        <x:v>model_access_date</x:v>
      </x:c>
      <x:c r="O1" s="5" t="str">
        <x:v>open_weight_closed</x:v>
      </x:c>
      <x:c r="P1" s="5" t="str">
        <x:v>api_local</x:v>
      </x:c>
      <x:c r="Q1" s="5" t="str">
        <x:v>temperature</x:v>
      </x:c>
      <x:c r="R1" s="5" t="str">
        <x:v>random_seed</x:v>
      </x:c>
      <x:c r="S1" s="5" t="str">
        <x:v>repeat_count</x:v>
      </x:c>
      <x:c r="T1" s="5" t="str">
        <x:v>context_window</x:v>
      </x:c>
      <x:c r="U1" s="5" t="str">
        <x:v>deployment_mode</x:v>
      </x:c>
      <x:c r="V1" s="5" t="str">
        <x:v>privacy_control</x:v>
      </x:c>
      <x:c r="W1" s="5" t="str">
        <x:v>cost_reported</x:v>
      </x:c>
      <x:c r="X1" s="5" t="str">
        <x:v>latency_reported</x:v>
      </x:c>
      <x:c r="Y1" s="5" t="str">
        <x:v>evidence_location</x:v>
      </x:c>
      <x:c r="Z1" s="5" t="str">
        <x:v>evidence_verbatim</x:v>
      </x:c>
      <x:c r="AA1" s="5" t="str">
        <x:v>reviewer_interpretation</x:v>
      </x:c>
      <x:c r="AB1" s="5" t="str">
        <x:v>record_status</x:v>
      </x:c>
      <x:c r="AC1" s="5" t="str">
        <x:v>notes</x:v>
      </x:c>
    </x:row>
    <x:row r="2" ht="76" customHeight="1">
      <x:c r="A2" s="2" t="str">
        <x:v>S01-MODEL-R01</x:v>
      </x:c>
      <x:c r="B2" s="2" t="str">
        <x:v>S01</x:v>
      </x:c>
      <x:c r="C2" s="2" t="str">
        <x:v>merged_0002</x:v>
      </x:c>
      <x:c r="D2" s="2" t="str">
        <x:v>Reviewer_A</x:v>
      </x:c>
      <x:c r="E2" s="2" t="str">
        <x:v>Reviewer_A</x:v>
      </x:c>
      <x:c r="F2" s="2" t="str">
        <x:v>S01-MU01</x:v>
      </x:c>
      <x:c r="G2" s="2" t="str">
        <x:v>S01-O03</x:v>
      </x:c>
      <x:c r="H2" s="2" t="str">
        <x:v>S01-T01</x:v>
      </x:c>
      <x:c r="I2" s="2" t="str">
        <x:v>GPT-4o (gpt-4o-2024-05-13)</x:v>
      </x:c>
      <x:c r="J2" s="2" t="str">
        <x:v>gpt-4o-2024-05-13</x:v>
      </x:c>
      <x:c r="K2" s="2" t="str">
        <x:v>GPT</x:v>
      </x:c>
      <x:c r="L2" s="2" t="str">
        <x:v>2024-05-13</x:v>
      </x:c>
      <x:c r="M2" s="2" t="str">
        <x:v>NR</x:v>
      </x:c>
      <x:c r="N2" s="2" t="str">
        <x:v>NR</x:v>
      </x:c>
      <x:c r="O2" s="2" t="str">
        <x:v>Closed</x:v>
      </x:c>
      <x:c r="P2" s="2" t="str">
        <x:v>API</x:v>
      </x:c>
      <x:c r="Q2" s="2" t="n">
        <x:v>0</x:v>
      </x:c>
      <x:c r="R2" s="2" t="str">
        <x:v>NR</x:v>
      </x:c>
      <x:c r="S2" s="2" t="str">
        <x:v>NR</x:v>
      </x:c>
      <x:c r="T2" s="2" t="str">
        <x:v>NR</x:v>
      </x:c>
      <x:c r="U2" s="2" t="str">
        <x:v>API</x:v>
      </x:c>
      <x:c r="V2" s="2" t="str">
        <x:v>NR</x:v>
      </x:c>
      <x:c r="W2" s="2" t="str">
        <x:v>Yes</x:v>
      </x:c>
      <x:c r="X2" s="2" t="str">
        <x:v>No</x:v>
      </x:c>
      <x:c r="Y2" s="6" t="str">
        <x:v>p. 7; Section IV-D</x:v>
      </x:c>
      <x:c r="Z2" s="6" t="str">
        <x:v>For the Large Language Model for classification, we use GPT-4o (gpt-4o-2024-05-13) and GPT-4o mini (gpt-4o-mini-</x:v>
      </x:c>
      <x:c r="AA2" s="6" t="str">
        <x:v>GPT-4o用于T1任务中的可追溯链接分类，温度设为0以减少随机性，成本约850美元。</x:v>
      </x:c>
      <x:c r="AB2" s="2" t="str">
        <x:v>Accepted</x:v>
      </x:c>
      <x:c r="AC2" s="6" t="str">
        <x:v>温度证据来自 p.10, Section IV-G: 'we set the temperature of the LLMs to 0'; 成本证据 p.9: 'we’ve spent approx. $850 for the evaluation of this task with GPT-4o'</x:v>
      </x:c>
    </x:row>
    <x:row r="3" ht="76" customHeight="1">
      <x:c r="A3" s="2" t="str">
        <x:v>S01-MODEL-R02</x:v>
      </x:c>
      <x:c r="B3" s="2" t="str">
        <x:v>S01</x:v>
      </x:c>
      <x:c r="C3" s="2" t="str">
        <x:v>merged_0002</x:v>
      </x:c>
      <x:c r="D3" s="2" t="str">
        <x:v>Reviewer_A</x:v>
      </x:c>
      <x:c r="E3" s="2" t="str">
        <x:v>Reviewer_A</x:v>
      </x:c>
      <x:c r="F3" s="2" t="str">
        <x:v>S01-MU02</x:v>
      </x:c>
      <x:c r="G3" s="2" t="str">
        <x:v>S01-O03</x:v>
      </x:c>
      <x:c r="H3" s="2" t="str">
        <x:v>S01-T01</x:v>
      </x:c>
      <x:c r="I3" s="2" t="str">
        <x:v>GPT-4o mini (gpt-4o-mini-2024-07-18)</x:v>
      </x:c>
      <x:c r="J3" s="2" t="str">
        <x:v>gpt-4o-mini-2024-07-18</x:v>
      </x:c>
      <x:c r="K3" s="2" t="str">
        <x:v>GPT</x:v>
      </x:c>
      <x:c r="L3" s="2" t="str">
        <x:v>2024-07-18</x:v>
      </x:c>
      <x:c r="M3" s="2" t="str">
        <x:v>NR</x:v>
      </x:c>
      <x:c r="N3" s="2" t="str">
        <x:v>NR</x:v>
      </x:c>
      <x:c r="O3" s="2" t="str">
        <x:v>Closed</x:v>
      </x:c>
      <x:c r="P3" s="2" t="str">
        <x:v>API</x:v>
      </x:c>
      <x:c r="Q3" s="2" t="n">
        <x:v>0</x:v>
      </x:c>
      <x:c r="R3" s="2" t="str">
        <x:v>NR</x:v>
      </x:c>
      <x:c r="S3" s="2" t="str">
        <x:v>NR</x:v>
      </x:c>
      <x:c r="T3" s="2" t="str">
        <x:v>NR</x:v>
      </x:c>
      <x:c r="U3" s="2" t="str">
        <x:v>API</x:v>
      </x:c>
      <x:c r="V3" s="2" t="str">
        <x:v>NR</x:v>
      </x:c>
      <x:c r="W3" s="2" t="str">
        <x:v>Yes</x:v>
      </x:c>
      <x:c r="X3" s="2" t="str">
        <x:v>No</x:v>
      </x:c>
      <x:c r="Y3" s="6" t="str">
        <x:v>p. 8; Section IV-D</x:v>
      </x:c>
      <x:c r="Z3" s="6" t="str">
        <x:v>Approach GPT-4o GPT-4o mini GPT-4o GPT-4o mini</x:v>
      </x:c>
      <x:c r="AA3" s="6" t="str">
        <x:v>GPT-4o mini用于T1任务中的可追溯链接分类，温度设为0，成本约30美元。</x:v>
      </x:c>
      <x:c r="AB3" s="2" t="str">
        <x:v>Accepted</x:v>
      </x:c>
      <x:c r="AC3" s="6" t="str">
        <x:v>成本证据 p.9: 'GPT-4o mini only cost us approx. $30'</x:v>
      </x:c>
    </x:row>
    <x:row r="4" ht="76" customHeight="1">
      <x:c r="A4" s="2" t="str">
        <x:v>S01-MODEL-R03</x:v>
      </x:c>
      <x:c r="B4" s="2" t="str">
        <x:v>S01</x:v>
      </x:c>
      <x:c r="C4" s="2" t="str">
        <x:v>merged_0002</x:v>
      </x:c>
      <x:c r="D4" s="2" t="str">
        <x:v>Reviewer_A</x:v>
      </x:c>
      <x:c r="E4" s="2" t="str">
        <x:v>Reviewer_A</x:v>
      </x:c>
      <x:c r="F4" s="2" t="str">
        <x:v>S01-MU03</x:v>
      </x:c>
      <x:c r="G4" s="2" t="str">
        <x:v>S01-O03</x:v>
      </x:c>
      <x:c r="H4" s="2" t="str">
        <x:v>S01-T02</x:v>
      </x:c>
      <x:c r="I4" s="2" t="str">
        <x:v>GPT-4o mini (gpt-4o-mini-2024-07-18)</x:v>
      </x:c>
      <x:c r="J4" s="2" t="str">
        <x:v>gpt-4o-mini-2024-07-18</x:v>
      </x:c>
      <x:c r="K4" s="2" t="str">
        <x:v>GPT</x:v>
      </x:c>
      <x:c r="L4" s="2" t="str">
        <x:v>2024-07-18</x:v>
      </x:c>
      <x:c r="M4" s="2" t="str">
        <x:v>NR</x:v>
      </x:c>
      <x:c r="N4" s="2" t="str">
        <x:v>NR</x:v>
      </x:c>
      <x:c r="O4" s="2" t="str">
        <x:v>Closed</x:v>
      </x:c>
      <x:c r="P4" s="2" t="str">
        <x:v>API</x:v>
      </x:c>
      <x:c r="Q4" s="2" t="n">
        <x:v>0</x:v>
      </x:c>
      <x:c r="R4" s="2" t="str">
        <x:v>NR</x:v>
      </x:c>
      <x:c r="S4" s="2" t="str">
        <x:v>NR</x:v>
      </x:c>
      <x:c r="T4" s="2" t="str">
        <x:v>NR</x:v>
      </x:c>
      <x:c r="U4" s="2" t="str">
        <x:v>API</x:v>
      </x:c>
      <x:c r="V4" s="2" t="str">
        <x:v>NR</x:v>
      </x:c>
      <x:c r="W4" s="2" t="str">
        <x:v>No</x:v>
      </x:c>
      <x:c r="X4" s="2" t="str">
        <x:v>No</x:v>
      </x:c>
      <x:c r="Y4" s="6" t="str">
        <x:v>p. 8; Section IV-D</x:v>
      </x:c>
      <x:c r="Z4" s="6" t="str">
        <x:v>Approach GPT-4o GPT-4o mini GPT-4o GPT-4o mini</x:v>
      </x:c>
      <x:c r="AA4" s="6" t="str">
        <x:v>GPT-4o mini用于T2任务中的可追溯链接分类，温度设为0，未单独报告成本。</x:v>
      </x:c>
      <x:c r="AB4" s="2" t="str">
        <x:v>Accepted</x:v>
      </x:c>
      <x:c r="AC4" s="6" t="str">
        <x:v>使用证据来自 Table VI 标题 'USING GPT-4O MINI' (p.9)</x:v>
      </x:c>
    </x:row>
    <x:row r="5" ht="76" customHeight="1">
      <x:c r="A5" s="2" t="str">
        <x:v>S01-MODEL-R04</x:v>
      </x:c>
      <x:c r="B5" s="2" t="str">
        <x:v>S01</x:v>
      </x:c>
      <x:c r="C5" s="2" t="str">
        <x:v>merged_0002</x:v>
      </x:c>
      <x:c r="D5" s="2" t="str">
        <x:v>Reviewer_A</x:v>
      </x:c>
      <x:c r="E5" s="2" t="str">
        <x:v>Reviewer_A</x:v>
      </x:c>
      <x:c r="F5" s="2" t="str">
        <x:v>S01-MU04</x:v>
      </x:c>
      <x:c r="G5" s="2" t="str">
        <x:v>S01-O03</x:v>
      </x:c>
      <x:c r="H5" s="2" t="str">
        <x:v>S01-T03</x:v>
      </x:c>
      <x:c r="I5" s="2" t="str">
        <x:v>GPT-4o mini (gpt-4o-mini-2024-07-18)</x:v>
      </x:c>
      <x:c r="J5" s="2" t="str">
        <x:v>gpt-4o-mini-2024-07-18</x:v>
      </x:c>
      <x:c r="K5" s="2" t="str">
        <x:v>GPT</x:v>
      </x:c>
      <x:c r="L5" s="2" t="str">
        <x:v>2024-07-18</x:v>
      </x:c>
      <x:c r="M5" s="2" t="str">
        <x:v>NR</x:v>
      </x:c>
      <x:c r="N5" s="2" t="str">
        <x:v>NR</x:v>
      </x:c>
      <x:c r="O5" s="2" t="str">
        <x:v>Closed</x:v>
      </x:c>
      <x:c r="P5" s="2" t="str">
        <x:v>API</x:v>
      </x:c>
      <x:c r="Q5" s="2" t="n">
        <x:v>0</x:v>
      </x:c>
      <x:c r="R5" s="2" t="str">
        <x:v>NR</x:v>
      </x:c>
      <x:c r="S5" s="2" t="str">
        <x:v>NR</x:v>
      </x:c>
      <x:c r="T5" s="2" t="str">
        <x:v>NR</x:v>
      </x:c>
      <x:c r="U5" s="2" t="str">
        <x:v>API</x:v>
      </x:c>
      <x:c r="V5" s="2" t="str">
        <x:v>NR</x:v>
      </x:c>
      <x:c r="W5" s="2" t="str">
        <x:v>No</x:v>
      </x:c>
      <x:c r="X5" s="2" t="str">
        <x:v>No</x:v>
      </x:c>
      <x:c r="Y5" s="6" t="str">
        <x:v>p. 8; Section IV-D</x:v>
      </x:c>
      <x:c r="Z5" s="6" t="str">
        <x:v>Approach GPT-4o GPT-4o mini GPT-4o GPT-4o mini</x:v>
      </x:c>
      <x:c r="AA5" s="6" t="str">
        <x:v>GPT-4o mini用于T3任务中的可追溯链接分类，温度设为0，未单独报告成本。</x:v>
      </x:c>
      <x:c r="AB5" s="2" t="str">
        <x:v>Accepted</x:v>
      </x:c>
      <x:c r="AC5" s="6" t="str">
        <x:v>使用证据来自 Table VII 标题 'USING GPT-4O MINI' (p.10)</x:v>
      </x:c>
    </x:row>
    <x:row r="6" ht="76" customHeight="1">
      <x:c r="A6" s="2" t="str">
        <x:v>S02-MODEL-R01</x:v>
      </x:c>
      <x:c r="B6" s="2" t="str">
        <x:v>S02</x:v>
      </x:c>
      <x:c r="C6" s="2" t="str">
        <x:v>merged_0007</x:v>
      </x:c>
      <x:c r="D6" s="2" t="str">
        <x:v>Reviewer_A</x:v>
      </x:c>
      <x:c r="E6" s="2" t="str">
        <x:v>Reviewer_A</x:v>
      </x:c>
      <x:c r="F6" s="2" t="str">
        <x:v>S02-MU01</x:v>
      </x:c>
      <x:c r="G6" s="2" t="str">
        <x:v>S02-O01</x:v>
      </x:c>
      <x:c r="H6" s="2" t="str">
        <x:v>S02-T01</x:v>
      </x:c>
      <x:c r="I6" s="2" t="str">
        <x:v>GPT-4o mini</x:v>
      </x:c>
      <x:c r="J6" s="2" t="str">
        <x:v>GPT-4o mini</x:v>
      </x:c>
      <x:c r="K6" s="2" t="str">
        <x:v>GPT</x:v>
      </x:c>
      <x:c r="L6" s="2" t="str">
        <x:v>NR</x:v>
      </x:c>
      <x:c r="M6" s="2" t="str">
        <x:v>NR</x:v>
      </x:c>
      <x:c r="N6" s="2" t="str">
        <x:v>NR</x:v>
      </x:c>
      <x:c r="O6" s="2" t="str">
        <x:v>Closed</x:v>
      </x:c>
      <x:c r="P6" s="2" t="str">
        <x:v>API</x:v>
      </x:c>
      <x:c r="Q6" s="2" t="n">
        <x:v>0</x:v>
      </x:c>
      <x:c r="R6" s="2" t="str">
        <x:v>NR</x:v>
      </x:c>
      <x:c r="S6" s="2" t="n">
        <x:v>1</x:v>
      </x:c>
      <x:c r="T6" s="2" t="str">
        <x:v>NR</x:v>
      </x:c>
      <x:c r="U6" s="2" t="str">
        <x:v>NR</x:v>
      </x:c>
      <x:c r="V6" s="2" t="str">
        <x:v>NR</x:v>
      </x:c>
      <x:c r="W6" s="2" t="str">
        <x:v>No</x:v>
      </x:c>
      <x:c r="X6" s="2" t="str">
        <x:v>No</x:v>
      </x:c>
      <x:c r="Y6" s="6" t="str">
        <x:v>p. 10; Section 5.1; Section 5.5</x:v>
      </x:c>
      <x:c r="Z6" s="6" t="str">
        <x:v>mini, GPT-4o, GPT-4 Turbo, GPT-4, and GPT-3.5 Turbo. As local models, we use Codellama 13b, Meta AI Llama 3.1 8b, and Meta AI Llama 3.1 70b.</x:v>
      </x:c>
      <x:c r="AA6" s="6" t="str">
        <x:v>GPT-4o mini是OpenAI封闭权重模型，通过API调用，温度设为0</x:v>
      </x:c>
      <x:c r="AB6" s="2" t="str">
        <x:v>Accepted</x:v>
      </x:c>
      <x:c r="AC6" s="6" t="str">
        <x:v>NR</x:v>
      </x:c>
    </x:row>
    <x:row r="7" ht="76" customHeight="1">
      <x:c r="A7" s="2" t="str">
        <x:v>S02-MODEL-R02</x:v>
      </x:c>
      <x:c r="B7" s="2" t="str">
        <x:v>S02</x:v>
      </x:c>
      <x:c r="C7" s="2" t="str">
        <x:v>merged_0007</x:v>
      </x:c>
      <x:c r="D7" s="2" t="str">
        <x:v>Reviewer_A</x:v>
      </x:c>
      <x:c r="E7" s="2" t="str">
        <x:v>Reviewer_A</x:v>
      </x:c>
      <x:c r="F7" s="2" t="str">
        <x:v>S02-MU02</x:v>
      </x:c>
      <x:c r="G7" s="2" t="str">
        <x:v>S02-O01</x:v>
      </x:c>
      <x:c r="H7" s="2" t="str">
        <x:v>S02-T01</x:v>
      </x:c>
      <x:c r="I7" s="2" t="str">
        <x:v>GPT-4o</x:v>
      </x:c>
      <x:c r="J7" s="2" t="str">
        <x:v>GPT-4o</x:v>
      </x:c>
      <x:c r="K7" s="2" t="str">
        <x:v>GPT</x:v>
      </x:c>
      <x:c r="L7" s="2" t="str">
        <x:v>NR</x:v>
      </x:c>
      <x:c r="M7" s="2" t="str">
        <x:v>NR</x:v>
      </x:c>
      <x:c r="N7" s="2" t="str">
        <x:v>NR</x:v>
      </x:c>
      <x:c r="O7" s="2" t="str">
        <x:v>Closed</x:v>
      </x:c>
      <x:c r="P7" s="2" t="str">
        <x:v>API</x:v>
      </x:c>
      <x:c r="Q7" s="2" t="n">
        <x:v>0</x:v>
      </x:c>
      <x:c r="R7" s="2" t="str">
        <x:v>NR</x:v>
      </x:c>
      <x:c r="S7" s="2" t="n">
        <x:v>1</x:v>
      </x:c>
      <x:c r="T7" s="2" t="str">
        <x:v>NR</x:v>
      </x:c>
      <x:c r="U7" s="2" t="str">
        <x:v>NR</x:v>
      </x:c>
      <x:c r="V7" s="2" t="str">
        <x:v>NR</x:v>
      </x:c>
      <x:c r="W7" s="2" t="str">
        <x:v>No</x:v>
      </x:c>
      <x:c r="X7" s="2" t="str">
        <x:v>No</x:v>
      </x:c>
      <x:c r="Y7" s="6" t="str">
        <x:v>p. 10; Section 5.1; Section 5.5</x:v>
      </x:c>
      <x:c r="Z7" s="6" t="str">
        <x:v>mini, GPT-4o, GPT-4 Turbo, GPT-4, and GPT-3.5 Turbo. As local models, we use Codellama 13b, Meta AI Llama 3.1 8b, and Meta AI Llama 3.1 70b.</x:v>
      </x:c>
      <x:c r="AA7" s="6" t="str">
        <x:v>GPT-4o是OpenAI封闭权重模型，通过API调用，温度设为0</x:v>
      </x:c>
      <x:c r="AB7" s="2" t="str">
        <x:v>Accepted</x:v>
      </x:c>
      <x:c r="AC7" s="6" t="str">
        <x:v>NR</x:v>
      </x:c>
    </x:row>
    <x:row r="8" ht="76" customHeight="1">
      <x:c r="A8" s="2" t="str">
        <x:v>S02-MODEL-R03</x:v>
      </x:c>
      <x:c r="B8" s="2" t="str">
        <x:v>S02</x:v>
      </x:c>
      <x:c r="C8" s="2" t="str">
        <x:v>merged_0007</x:v>
      </x:c>
      <x:c r="D8" s="2" t="str">
        <x:v>Reviewer_A</x:v>
      </x:c>
      <x:c r="E8" s="2" t="str">
        <x:v>Reviewer_A</x:v>
      </x:c>
      <x:c r="F8" s="2" t="str">
        <x:v>S02-MU03</x:v>
      </x:c>
      <x:c r="G8" s="2" t="str">
        <x:v>S02-O01</x:v>
      </x:c>
      <x:c r="H8" s="2" t="str">
        <x:v>S02-T01</x:v>
      </x:c>
      <x:c r="I8" s="2" t="str">
        <x:v>GPT-4 Turbo</x:v>
      </x:c>
      <x:c r="J8" s="2" t="str">
        <x:v>GPT-4 Turbo</x:v>
      </x:c>
      <x:c r="K8" s="2" t="str">
        <x:v>GPT</x:v>
      </x:c>
      <x:c r="L8" s="2" t="str">
        <x:v>NR</x:v>
      </x:c>
      <x:c r="M8" s="2" t="str">
        <x:v>NR</x:v>
      </x:c>
      <x:c r="N8" s="2" t="str">
        <x:v>NR</x:v>
      </x:c>
      <x:c r="O8" s="2" t="str">
        <x:v>Closed</x:v>
      </x:c>
      <x:c r="P8" s="2" t="str">
        <x:v>API</x:v>
      </x:c>
      <x:c r="Q8" s="2" t="n">
        <x:v>0</x:v>
      </x:c>
      <x:c r="R8" s="2" t="str">
        <x:v>NR</x:v>
      </x:c>
      <x:c r="S8" s="2" t="n">
        <x:v>1</x:v>
      </x:c>
      <x:c r="T8" s="2" t="str">
        <x:v>NR</x:v>
      </x:c>
      <x:c r="U8" s="2" t="str">
        <x:v>NR</x:v>
      </x:c>
      <x:c r="V8" s="2" t="str">
        <x:v>NR</x:v>
      </x:c>
      <x:c r="W8" s="2" t="str">
        <x:v>No</x:v>
      </x:c>
      <x:c r="X8" s="2" t="str">
        <x:v>No</x:v>
      </x:c>
      <x:c r="Y8" s="6" t="str">
        <x:v>p. 10; Section 5.1; Section 5.5</x:v>
      </x:c>
      <x:c r="Z8" s="6" t="str">
        <x:v>mini, GPT-4o, GPT-4 Turbo, GPT-4, and GPT-3.5 Turbo. As local models, we use Codellama 13b, Meta AI Llama 3.1 8b, and Meta AI Llama 3.1 70b.</x:v>
      </x:c>
      <x:c r="AA8" s="6" t="str">
        <x:v>GPT-4 Turbo是OpenAI封闭权重模型，通过API调用，温度设为0</x:v>
      </x:c>
      <x:c r="AB8" s="2" t="str">
        <x:v>Accepted</x:v>
      </x:c>
      <x:c r="AC8" s="6" t="str">
        <x:v>NR</x:v>
      </x:c>
    </x:row>
    <x:row r="9" ht="76" customHeight="1">
      <x:c r="A9" s="2" t="str">
        <x:v>S02-MODEL-R04</x:v>
      </x:c>
      <x:c r="B9" s="2" t="str">
        <x:v>S02</x:v>
      </x:c>
      <x:c r="C9" s="2" t="str">
        <x:v>merged_0007</x:v>
      </x:c>
      <x:c r="D9" s="2" t="str">
        <x:v>Reviewer_A</x:v>
      </x:c>
      <x:c r="E9" s="2" t="str">
        <x:v>Reviewer_A</x:v>
      </x:c>
      <x:c r="F9" s="2" t="str">
        <x:v>S02-MU04</x:v>
      </x:c>
      <x:c r="G9" s="2" t="str">
        <x:v>S02-O01</x:v>
      </x:c>
      <x:c r="H9" s="2" t="str">
        <x:v>S02-T01</x:v>
      </x:c>
      <x:c r="I9" s="2" t="str">
        <x:v>GPT-4</x:v>
      </x:c>
      <x:c r="J9" s="2" t="str">
        <x:v>GPT-4</x:v>
      </x:c>
      <x:c r="K9" s="2" t="str">
        <x:v>GPT</x:v>
      </x:c>
      <x:c r="L9" s="2" t="str">
        <x:v>NR</x:v>
      </x:c>
      <x:c r="M9" s="2" t="str">
        <x:v>NR</x:v>
      </x:c>
      <x:c r="N9" s="2" t="str">
        <x:v>NR</x:v>
      </x:c>
      <x:c r="O9" s="2" t="str">
        <x:v>Closed</x:v>
      </x:c>
      <x:c r="P9" s="2" t="str">
        <x:v>API</x:v>
      </x:c>
      <x:c r="Q9" s="2" t="n">
        <x:v>0</x:v>
      </x:c>
      <x:c r="R9" s="2" t="str">
        <x:v>NR</x:v>
      </x:c>
      <x:c r="S9" s="2" t="n">
        <x:v>1</x:v>
      </x:c>
      <x:c r="T9" s="2" t="str">
        <x:v>NR</x:v>
      </x:c>
      <x:c r="U9" s="2" t="str">
        <x:v>NR</x:v>
      </x:c>
      <x:c r="V9" s="2" t="str">
        <x:v>NR</x:v>
      </x:c>
      <x:c r="W9" s="2" t="str">
        <x:v>No</x:v>
      </x:c>
      <x:c r="X9" s="2" t="str">
        <x:v>No</x:v>
      </x:c>
      <x:c r="Y9" s="6" t="str">
        <x:v>p. 10; Section 5.1; Section 5.5</x:v>
      </x:c>
      <x:c r="Z9" s="6" t="str">
        <x:v>mini, GPT-4o, GPT-4 Turbo, GPT-4, and GPT-3.5 Turbo. As local models, we use Codellama 13b, Meta AI Llama 3.1 8b, and Meta AI Llama 3.1 70b.</x:v>
      </x:c>
      <x:c r="AA9" s="6" t="str">
        <x:v>GPT-4是OpenAI封闭权重模型，通过API调用，温度设为0</x:v>
      </x:c>
      <x:c r="AB9" s="2" t="str">
        <x:v>Accepted</x:v>
      </x:c>
      <x:c r="AC9" s="6" t="str">
        <x:v>NR</x:v>
      </x:c>
    </x:row>
    <x:row r="10" ht="76" customHeight="1">
      <x:c r="A10" s="2" t="str">
        <x:v>S02-MODEL-R05</x:v>
      </x:c>
      <x:c r="B10" s="2" t="str">
        <x:v>S02</x:v>
      </x:c>
      <x:c r="C10" s="2" t="str">
        <x:v>merged_0007</x:v>
      </x:c>
      <x:c r="D10" s="2" t="str">
        <x:v>Reviewer_A</x:v>
      </x:c>
      <x:c r="E10" s="2" t="str">
        <x:v>Reviewer_A</x:v>
      </x:c>
      <x:c r="F10" s="2" t="str">
        <x:v>S02-MU05</x:v>
      </x:c>
      <x:c r="G10" s="2" t="str">
        <x:v>S02-O01</x:v>
      </x:c>
      <x:c r="H10" s="2" t="str">
        <x:v>S02-T01</x:v>
      </x:c>
      <x:c r="I10" s="2" t="str">
        <x:v>GPT-3.5 Turbo</x:v>
      </x:c>
      <x:c r="J10" s="2" t="str">
        <x:v>GPT-3.5 Turbo</x:v>
      </x:c>
      <x:c r="K10" s="2" t="str">
        <x:v>GPT</x:v>
      </x:c>
      <x:c r="L10" s="2" t="str">
        <x:v>NR</x:v>
      </x:c>
      <x:c r="M10" s="2" t="str">
        <x:v>NR</x:v>
      </x:c>
      <x:c r="N10" s="2" t="str">
        <x:v>NR</x:v>
      </x:c>
      <x:c r="O10" s="2" t="str">
        <x:v>Closed</x:v>
      </x:c>
      <x:c r="P10" s="2" t="str">
        <x:v>API</x:v>
      </x:c>
      <x:c r="Q10" s="2" t="n">
        <x:v>0</x:v>
      </x:c>
      <x:c r="R10" s="2" t="str">
        <x:v>NR</x:v>
      </x:c>
      <x:c r="S10" s="2" t="n">
        <x:v>1</x:v>
      </x:c>
      <x:c r="T10" s="2" t="str">
        <x:v>NR</x:v>
      </x:c>
      <x:c r="U10" s="2" t="str">
        <x:v>NR</x:v>
      </x:c>
      <x:c r="V10" s="2" t="str">
        <x:v>NR</x:v>
      </x:c>
      <x:c r="W10" s="2" t="str">
        <x:v>No</x:v>
      </x:c>
      <x:c r="X10" s="2" t="str">
        <x:v>No</x:v>
      </x:c>
      <x:c r="Y10" s="6" t="str">
        <x:v>p. 10; Section 5.1; Section 5.5</x:v>
      </x:c>
      <x:c r="Z10" s="6" t="str">
        <x:v>mini, GPT-4o, GPT-4 Turbo, GPT-4, and GPT-3.5 Turbo. As local models, we use Codellama 13b, Meta AI Llama 3.1 8b, and Meta AI Llama 3.1 70b.</x:v>
      </x:c>
      <x:c r="AA10" s="6" t="str">
        <x:v>GPT-3.5 Turbo是OpenAI封闭权重模型，通过API调用，温度设为0</x:v>
      </x:c>
      <x:c r="AB10" s="2" t="str">
        <x:v>Accepted</x:v>
      </x:c>
      <x:c r="AC10" s="6" t="str">
        <x:v>NR</x:v>
      </x:c>
    </x:row>
    <x:row r="11" ht="76" customHeight="1">
      <x:c r="A11" s="2" t="str">
        <x:v>S02-MODEL-R06</x:v>
      </x:c>
      <x:c r="B11" s="2" t="str">
        <x:v>S02</x:v>
      </x:c>
      <x:c r="C11" s="2" t="str">
        <x:v>merged_0007</x:v>
      </x:c>
      <x:c r="D11" s="2" t="str">
        <x:v>Reviewer_A</x:v>
      </x:c>
      <x:c r="E11" s="2" t="str">
        <x:v>Reviewer_A</x:v>
      </x:c>
      <x:c r="F11" s="2" t="str">
        <x:v>S02-MU06</x:v>
      </x:c>
      <x:c r="G11" s="2" t="str">
        <x:v>S02-O01</x:v>
      </x:c>
      <x:c r="H11" s="2" t="str">
        <x:v>S02-T01</x:v>
      </x:c>
      <x:c r="I11" s="2" t="str">
        <x:v>Codellama 13b</x:v>
      </x:c>
      <x:c r="J11" s="2" t="str">
        <x:v>Codellama 13b</x:v>
      </x:c>
      <x:c r="K11" s="2" t="str">
        <x:v>Llama</x:v>
      </x:c>
      <x:c r="L11" s="2" t="str">
        <x:v>NR</x:v>
      </x:c>
      <x:c r="M11" s="2" t="str">
        <x:v>13b</x:v>
      </x:c>
      <x:c r="N11" s="2" t="str">
        <x:v>NR</x:v>
      </x:c>
      <x:c r="O11" s="2" t="str">
        <x:v>Open weights</x:v>
      </x:c>
      <x:c r="P11" s="2" t="str">
        <x:v>Local</x:v>
      </x:c>
      <x:c r="Q11" s="2" t="n">
        <x:v>0</x:v>
      </x:c>
      <x:c r="R11" s="2" t="str">
        <x:v>NR</x:v>
      </x:c>
      <x:c r="S11" s="2" t="n">
        <x:v>1</x:v>
      </x:c>
      <x:c r="T11" s="2" t="str">
        <x:v>NR</x:v>
      </x:c>
      <x:c r="U11" s="2" t="str">
        <x:v>NR</x:v>
      </x:c>
      <x:c r="V11" s="2" t="str">
        <x:v>NR</x:v>
      </x:c>
      <x:c r="W11" s="2" t="str">
        <x:v>No</x:v>
      </x:c>
      <x:c r="X11" s="2" t="str">
        <x:v>No</x:v>
      </x:c>
      <x:c r="Y11" s="6" t="str">
        <x:v>p. 10; Section 5.1; Section 5.5</x:v>
      </x:c>
      <x:c r="Z11" s="6" t="str">
        <x:v>mini, GPT-4o, GPT-4 Turbo, GPT-4, and GPT-3.5 Turbo. As local models, we use Codellama 13b, Meta AI Llama 3.1 8b, and Meta AI Llama 3.1 70b.</x:v>
      </x:c>
      <x:c r="AA11" s="6" t="str">
        <x:v>Codellama 13b是本地部署的开源权重模型，基于Llama，温度设为0</x:v>
      </x:c>
      <x:c r="AB11" s="2" t="str">
        <x:v>Accepted</x:v>
      </x:c>
      <x:c r="AC11" s="6" t="str">
        <x:v>NR</x:v>
      </x:c>
    </x:row>
    <x:row r="12" ht="76" customHeight="1">
      <x:c r="A12" s="2" t="str">
        <x:v>S02-MODEL-R07</x:v>
      </x:c>
      <x:c r="B12" s="2" t="str">
        <x:v>S02</x:v>
      </x:c>
      <x:c r="C12" s="2" t="str">
        <x:v>merged_0007</x:v>
      </x:c>
      <x:c r="D12" s="2" t="str">
        <x:v>Reviewer_A</x:v>
      </x:c>
      <x:c r="E12" s="2" t="str">
        <x:v>Reviewer_A</x:v>
      </x:c>
      <x:c r="F12" s="2" t="str">
        <x:v>S02-MU07</x:v>
      </x:c>
      <x:c r="G12" s="2" t="str">
        <x:v>S02-O01</x:v>
      </x:c>
      <x:c r="H12" s="2" t="str">
        <x:v>S02-T01</x:v>
      </x:c>
      <x:c r="I12" s="2" t="str">
        <x:v>Meta AI Llama 3.1 8b</x:v>
      </x:c>
      <x:c r="J12" s="2" t="str">
        <x:v>Llama 3.1 8b</x:v>
      </x:c>
      <x:c r="K12" s="2" t="str">
        <x:v>Llama</x:v>
      </x:c>
      <x:c r="L12" s="2" t="str">
        <x:v>NR</x:v>
      </x:c>
      <x:c r="M12" s="2" t="str">
        <x:v>8b</x:v>
      </x:c>
      <x:c r="N12" s="2" t="str">
        <x:v>NR</x:v>
      </x:c>
      <x:c r="O12" s="2" t="str">
        <x:v>Open weights</x:v>
      </x:c>
      <x:c r="P12" s="2" t="str">
        <x:v>Local</x:v>
      </x:c>
      <x:c r="Q12" s="2" t="n">
        <x:v>0</x:v>
      </x:c>
      <x:c r="R12" s="2" t="str">
        <x:v>NR</x:v>
      </x:c>
      <x:c r="S12" s="2" t="n">
        <x:v>1</x:v>
      </x:c>
      <x:c r="T12" s="2" t="str">
        <x:v>NR</x:v>
      </x:c>
      <x:c r="U12" s="2" t="str">
        <x:v>NR</x:v>
      </x:c>
      <x:c r="V12" s="2" t="str">
        <x:v>NR</x:v>
      </x:c>
      <x:c r="W12" s="2" t="str">
        <x:v>No</x:v>
      </x:c>
      <x:c r="X12" s="2" t="str">
        <x:v>No</x:v>
      </x:c>
      <x:c r="Y12" s="6" t="str">
        <x:v>p. 10; Section 5.1; Section 5.5</x:v>
      </x:c>
      <x:c r="Z12" s="6" t="str">
        <x:v>mini, GPT-4o, GPT-4 Turbo, GPT-4, and GPT-3.5 Turbo. As local models, we use Codellama 13b, Meta AI Llama 3.1 8b, and Meta AI Llama 3.1 70b.</x:v>
      </x:c>
      <x:c r="AA12" s="6" t="str">
        <x:v>Llama 3.1 8b是本地部署的开源权重模型，温度设为0</x:v>
      </x:c>
      <x:c r="AB12" s="2" t="str">
        <x:v>Accepted</x:v>
      </x:c>
      <x:c r="AC12" s="6" t="str">
        <x:v>NR</x:v>
      </x:c>
    </x:row>
    <x:row r="13" ht="76" customHeight="1">
      <x:c r="A13" s="2" t="str">
        <x:v>S02-MODEL-R08</x:v>
      </x:c>
      <x:c r="B13" s="2" t="str">
        <x:v>S02</x:v>
      </x:c>
      <x:c r="C13" s="2" t="str">
        <x:v>merged_0007</x:v>
      </x:c>
      <x:c r="D13" s="2" t="str">
        <x:v>Reviewer_A</x:v>
      </x:c>
      <x:c r="E13" s="2" t="str">
        <x:v>Reviewer_A</x:v>
      </x:c>
      <x:c r="F13" s="2" t="str">
        <x:v>S02-MU08</x:v>
      </x:c>
      <x:c r="G13" s="2" t="str">
        <x:v>S02-O01</x:v>
      </x:c>
      <x:c r="H13" s="2" t="str">
        <x:v>S02-T01</x:v>
      </x:c>
      <x:c r="I13" s="2" t="str">
        <x:v>Meta AI Llama 3.1 70b</x:v>
      </x:c>
      <x:c r="J13" s="2" t="str">
        <x:v>Llama 3.1 70b</x:v>
      </x:c>
      <x:c r="K13" s="2" t="str">
        <x:v>Llama</x:v>
      </x:c>
      <x:c r="L13" s="2" t="str">
        <x:v>NR</x:v>
      </x:c>
      <x:c r="M13" s="2" t="str">
        <x:v>70b</x:v>
      </x:c>
      <x:c r="N13" s="2" t="str">
        <x:v>NR</x:v>
      </x:c>
      <x:c r="O13" s="2" t="str">
        <x:v>Open weights</x:v>
      </x:c>
      <x:c r="P13" s="2" t="str">
        <x:v>Local</x:v>
      </x:c>
      <x:c r="Q13" s="2" t="n">
        <x:v>0</x:v>
      </x:c>
      <x:c r="R13" s="2" t="str">
        <x:v>NR</x:v>
      </x:c>
      <x:c r="S13" s="2" t="n">
        <x:v>1</x:v>
      </x:c>
      <x:c r="T13" s="2" t="str">
        <x:v>NR</x:v>
      </x:c>
      <x:c r="U13" s="2" t="str">
        <x:v>NR</x:v>
      </x:c>
      <x:c r="V13" s="2" t="str">
        <x:v>NR</x:v>
      </x:c>
      <x:c r="W13" s="2" t="str">
        <x:v>No</x:v>
      </x:c>
      <x:c r="X13" s="2" t="str">
        <x:v>No</x:v>
      </x:c>
      <x:c r="Y13" s="6" t="str">
        <x:v>p. 10; Section 5.1; Section 5.5</x:v>
      </x:c>
      <x:c r="Z13" s="6" t="str">
        <x:v>mini, GPT-4o, GPT-4 Turbo, GPT-4, and GPT-3.5 Turbo. As local models, we use Codellama 13b, Meta AI Llama 3.1 8b, and Meta AI Llama 3.1 70b.</x:v>
      </x:c>
      <x:c r="AA13" s="6" t="str">
        <x:v>Llama 3.1 70b是本地部署的开源权重模型，温度设为0</x:v>
      </x:c>
      <x:c r="AB13" s="2" t="str">
        <x:v>Accepted</x:v>
      </x:c>
      <x:c r="AC13" s="6" t="str">
        <x:v>NR</x:v>
      </x:c>
    </x:row>
    <x:row r="14" ht="76" customHeight="1">
      <x:c r="A14" s="2" t="str">
        <x:v>S02-MODEL-R09</x:v>
      </x:c>
      <x:c r="B14" s="2" t="str">
        <x:v>S02</x:v>
      </x:c>
      <x:c r="C14" s="2" t="str">
        <x:v>merged_0007</x:v>
      </x:c>
      <x:c r="D14" s="2" t="str">
        <x:v>Reviewer_A</x:v>
      </x:c>
      <x:c r="E14" s="2" t="str">
        <x:v>Reviewer_A</x:v>
      </x:c>
      <x:c r="F14" s="2" t="str">
        <x:v>S02-MU09</x:v>
      </x:c>
      <x:c r="G14" s="2" t="str">
        <x:v>S02-O03</x:v>
      </x:c>
      <x:c r="H14" s="2" t="str">
        <x:v>S02-T02</x:v>
      </x:c>
      <x:c r="I14" s="2" t="str">
        <x:v>GPT-4o</x:v>
      </x:c>
      <x:c r="J14" s="2" t="str">
        <x:v>GPT-4o</x:v>
      </x:c>
      <x:c r="K14" s="2" t="str">
        <x:v>GPT</x:v>
      </x:c>
      <x:c r="L14" s="2" t="str">
        <x:v>NR</x:v>
      </x:c>
      <x:c r="M14" s="2" t="str">
        <x:v>NR</x:v>
      </x:c>
      <x:c r="N14" s="2" t="str">
        <x:v>NR</x:v>
      </x:c>
      <x:c r="O14" s="2" t="str">
        <x:v>Closed</x:v>
      </x:c>
      <x:c r="P14" s="2" t="str">
        <x:v>API</x:v>
      </x:c>
      <x:c r="Q14" s="2" t="n">
        <x:v>0</x:v>
      </x:c>
      <x:c r="R14" s="2" t="str">
        <x:v>NR</x:v>
      </x:c>
      <x:c r="S14" s="2" t="n">
        <x:v>5</x:v>
      </x:c>
      <x:c r="T14" s="2" t="str">
        <x:v>NR</x:v>
      </x:c>
      <x:c r="U14" s="2" t="str">
        <x:v>NR</x:v>
      </x:c>
      <x:c r="V14" s="2" t="str">
        <x:v>NR</x:v>
      </x:c>
      <x:c r="W14" s="2" t="str">
        <x:v>No</x:v>
      </x:c>
      <x:c r="X14" s="2" t="str">
        <x:v>No</x:v>
      </x:c>
      <x:c r="Y14" s="6" t="str">
        <x:v>p. 18; Section 5.4.2; Section 5.5</x:v>
      </x:c>
      <x:c r="Z14" s="6" t="str">
        <x:v>LLMs: GPT-4o, GPT-4.1, and GPT-5. Since ArTEMiS does not produce deterministic results, we run each configuration five times and report average results with standard deviation. Table 8 shows the results of our evaluation. The best ArTEMiS</x:v>
      </x:c>
      <x:c r="AA14" s="6" t="str">
        <x:v>GPT-4o在ArTEMiS实验中运行5次，温度为0</x:v>
      </x:c>
      <x:c r="AB14" s="2" t="str">
        <x:v>Accepted</x:v>
      </x:c>
      <x:c r="AC14" s="6" t="str">
        <x:v>NR</x:v>
      </x:c>
    </x:row>
    <x:row r="15" ht="76" customHeight="1">
      <x:c r="A15" s="2" t="str">
        <x:v>S02-MODEL-R10</x:v>
      </x:c>
      <x:c r="B15" s="2" t="str">
        <x:v>S02</x:v>
      </x:c>
      <x:c r="C15" s="2" t="str">
        <x:v>merged_0007</x:v>
      </x:c>
      <x:c r="D15" s="2" t="str">
        <x:v>Reviewer_A</x:v>
      </x:c>
      <x:c r="E15" s="2" t="str">
        <x:v>Reviewer_A</x:v>
      </x:c>
      <x:c r="F15" s="2" t="str">
        <x:v>S02-MU10</x:v>
      </x:c>
      <x:c r="G15" s="2" t="str">
        <x:v>S02-O03</x:v>
      </x:c>
      <x:c r="H15" s="2" t="str">
        <x:v>S02-T02</x:v>
      </x:c>
      <x:c r="I15" s="2" t="str">
        <x:v>GPT-4.1</x:v>
      </x:c>
      <x:c r="J15" s="2" t="str">
        <x:v>GPT-4.1</x:v>
      </x:c>
      <x:c r="K15" s="2" t="str">
        <x:v>GPT</x:v>
      </x:c>
      <x:c r="L15" s="2" t="str">
        <x:v>NR</x:v>
      </x:c>
      <x:c r="M15" s="2" t="str">
        <x:v>NR</x:v>
      </x:c>
      <x:c r="N15" s="2" t="str">
        <x:v>NR</x:v>
      </x:c>
      <x:c r="O15" s="2" t="str">
        <x:v>Closed</x:v>
      </x:c>
      <x:c r="P15" s="2" t="str">
        <x:v>API</x:v>
      </x:c>
      <x:c r="Q15" s="2" t="n">
        <x:v>0</x:v>
      </x:c>
      <x:c r="R15" s="2" t="str">
        <x:v>NR</x:v>
      </x:c>
      <x:c r="S15" s="2" t="n">
        <x:v>5</x:v>
      </x:c>
      <x:c r="T15" s="2" t="str">
        <x:v>NR</x:v>
      </x:c>
      <x:c r="U15" s="2" t="str">
        <x:v>NR</x:v>
      </x:c>
      <x:c r="V15" s="2" t="str">
        <x:v>NR</x:v>
      </x:c>
      <x:c r="W15" s="2" t="str">
        <x:v>No</x:v>
      </x:c>
      <x:c r="X15" s="2" t="str">
        <x:v>No</x:v>
      </x:c>
      <x:c r="Y15" s="6" t="str">
        <x:v>p. 18; Section 5.4.2; Section 5.5</x:v>
      </x:c>
      <x:c r="Z15" s="6" t="str">
        <x:v>LLMs: GPT-4o, GPT-4.1, and GPT-5. Since ArTEMiS does not produce deterministic results, we run each configuration five times and report average results with standard deviation. Table 8 shows the results of our evaluation. The best ArTEMiS</x:v>
      </x:c>
      <x:c r="AA15" s="6" t="str">
        <x:v>GPT-4.1在ArTEMiS实验中运行5次，温度为0</x:v>
      </x:c>
      <x:c r="AB15" s="2" t="str">
        <x:v>Accepted</x:v>
      </x:c>
      <x:c r="AC15" s="6" t="str">
        <x:v>NR</x:v>
      </x:c>
    </x:row>
    <x:row r="16" ht="76" customHeight="1">
      <x:c r="A16" s="2" t="str">
        <x:v>S02-MODEL-R11</x:v>
      </x:c>
      <x:c r="B16" s="2" t="str">
        <x:v>S02</x:v>
      </x:c>
      <x:c r="C16" s="2" t="str">
        <x:v>merged_0007</x:v>
      </x:c>
      <x:c r="D16" s="2" t="str">
        <x:v>Reviewer_A</x:v>
      </x:c>
      <x:c r="E16" s="2" t="str">
        <x:v>Reviewer_A</x:v>
      </x:c>
      <x:c r="F16" s="2" t="str">
        <x:v>S02-MU11</x:v>
      </x:c>
      <x:c r="G16" s="2" t="str">
        <x:v>S02-O03</x:v>
      </x:c>
      <x:c r="H16" s="2" t="str">
        <x:v>S02-T02</x:v>
      </x:c>
      <x:c r="I16" s="2" t="str">
        <x:v>GPT-5</x:v>
      </x:c>
      <x:c r="J16" s="2" t="str">
        <x:v>GPT-5</x:v>
      </x:c>
      <x:c r="K16" s="2" t="str">
        <x:v>GPT</x:v>
      </x:c>
      <x:c r="L16" s="2" t="str">
        <x:v>NR</x:v>
      </x:c>
      <x:c r="M16" s="2" t="str">
        <x:v>NR</x:v>
      </x:c>
      <x:c r="N16" s="2" t="str">
        <x:v>NR</x:v>
      </x:c>
      <x:c r="O16" s="2" t="str">
        <x:v>Closed</x:v>
      </x:c>
      <x:c r="P16" s="2" t="str">
        <x:v>API</x:v>
      </x:c>
      <x:c r="Q16" s="2" t="n">
        <x:v>0</x:v>
      </x:c>
      <x:c r="R16" s="2" t="str">
        <x:v>NR</x:v>
      </x:c>
      <x:c r="S16" s="2" t="n">
        <x:v>5</x:v>
      </x:c>
      <x:c r="T16" s="2" t="str">
        <x:v>NR</x:v>
      </x:c>
      <x:c r="U16" s="2" t="str">
        <x:v>NR</x:v>
      </x:c>
      <x:c r="V16" s="2" t="str">
        <x:v>NR</x:v>
      </x:c>
      <x:c r="W16" s="2" t="str">
        <x:v>No</x:v>
      </x:c>
      <x:c r="X16" s="2" t="str">
        <x:v>No</x:v>
      </x:c>
      <x:c r="Y16" s="6" t="str">
        <x:v>p. 18; Section 5.4.2; Section 5.5</x:v>
      </x:c>
      <x:c r="Z16" s="6" t="str">
        <x:v>LLMs: GPT-4o, GPT-4.1, and GPT-5. Since ArTEMiS does not produce deterministic results, we run each configuration five times and report average results with standard deviation. Table 8 shows the results of our evaluation. The best ArTEMiS</x:v>
      </x:c>
      <x:c r="AA16" s="6" t="str">
        <x:v>GPT-5在ArTEMiS实验中运行5次，温度为0</x:v>
      </x:c>
      <x:c r="AB16" s="2" t="str">
        <x:v>Accepted</x:v>
      </x:c>
      <x:c r="AC16" s="6" t="str">
        <x:v>NR</x:v>
      </x:c>
    </x:row>
    <x:row r="17" ht="76" customHeight="1">
      <x:c r="A17" s="2" t="str">
        <x:v>S02-MODEL-R12</x:v>
      </x:c>
      <x:c r="B17" s="2" t="str">
        <x:v>S02</x:v>
      </x:c>
      <x:c r="C17" s="2" t="str">
        <x:v>merged_0007</x:v>
      </x:c>
      <x:c r="D17" s="2" t="str">
        <x:v>Reviewer_A</x:v>
      </x:c>
      <x:c r="E17" s="2" t="str">
        <x:v>Reviewer_A</x:v>
      </x:c>
      <x:c r="F17" s="2" t="str">
        <x:v>S02-MU12</x:v>
      </x:c>
      <x:c r="G17" s="2" t="str">
        <x:v>S02-O03</x:v>
      </x:c>
      <x:c r="H17" s="2" t="str">
        <x:v>S02-T03</x:v>
      </x:c>
      <x:c r="I17" s="2" t="str">
        <x:v>GPT-4o</x:v>
      </x:c>
      <x:c r="J17" s="2" t="str">
        <x:v>GPT-4o</x:v>
      </x:c>
      <x:c r="K17" s="2" t="str">
        <x:v>GPT</x:v>
      </x:c>
      <x:c r="L17" s="2" t="str">
        <x:v>NR</x:v>
      </x:c>
      <x:c r="M17" s="2" t="str">
        <x:v>NR</x:v>
      </x:c>
      <x:c r="N17" s="2" t="str">
        <x:v>NR</x:v>
      </x:c>
      <x:c r="O17" s="2" t="str">
        <x:v>Closed</x:v>
      </x:c>
      <x:c r="P17" s="2" t="str">
        <x:v>API</x:v>
      </x:c>
      <x:c r="Q17" s="2" t="n">
        <x:v>0</x:v>
      </x:c>
      <x:c r="R17" s="2" t="str">
        <x:v>NR</x:v>
      </x:c>
      <x:c r="S17" s="2" t="n">
        <x:v>5</x:v>
      </x:c>
      <x:c r="T17" s="2" t="str">
        <x:v>NR</x:v>
      </x:c>
      <x:c r="U17" s="2" t="str">
        <x:v>NR</x:v>
      </x:c>
      <x:c r="V17" s="2" t="str">
        <x:v>NR</x:v>
      </x:c>
      <x:c r="W17" s="2" t="str">
        <x:v>No</x:v>
      </x:c>
      <x:c r="X17" s="2" t="str">
        <x:v>No</x:v>
      </x:c>
      <x:c r="Y17" s="6" t="str">
        <x:v>p. 18; Section 5.4.2; Section 5.5</x:v>
      </x:c>
      <x:c r="Z17" s="6" t="str">
        <x:v>LLMs: GPT-4o, GPT-4.1, and GPT-5. Since ArTEMiS does not produce deterministic results, we run each configuration five times and report average results with standard deviation. Table 8 shows the results of our evaluation. The best ArTEMiS</x:v>
      </x:c>
      <x:c r="AA17" s="6" t="str">
        <x:v>GPT-4o在TransArC+ArTEMiS组合中运行5次</x:v>
      </x:c>
      <x:c r="AB17" s="2" t="str">
        <x:v>Accepted</x:v>
      </x:c>
      <x:c r="AC17" s="6" t="str">
        <x:v>NR</x:v>
      </x:c>
    </x:row>
    <x:row r="18" ht="76" customHeight="1">
      <x:c r="A18" s="2" t="str">
        <x:v>S02-MODEL-R13</x:v>
      </x:c>
      <x:c r="B18" s="2" t="str">
        <x:v>S02</x:v>
      </x:c>
      <x:c r="C18" s="2" t="str">
        <x:v>merged_0007</x:v>
      </x:c>
      <x:c r="D18" s="2" t="str">
        <x:v>Reviewer_A</x:v>
      </x:c>
      <x:c r="E18" s="2" t="str">
        <x:v>Reviewer_A</x:v>
      </x:c>
      <x:c r="F18" s="2" t="str">
        <x:v>S02-MU13</x:v>
      </x:c>
      <x:c r="G18" s="2" t="str">
        <x:v>S02-O03</x:v>
      </x:c>
      <x:c r="H18" s="2" t="str">
        <x:v>S02-T03</x:v>
      </x:c>
      <x:c r="I18" s="2" t="str">
        <x:v>GPT-4.1</x:v>
      </x:c>
      <x:c r="J18" s="2" t="str">
        <x:v>GPT-4.1</x:v>
      </x:c>
      <x:c r="K18" s="2" t="str">
        <x:v>GPT</x:v>
      </x:c>
      <x:c r="L18" s="2" t="str">
        <x:v>NR</x:v>
      </x:c>
      <x:c r="M18" s="2" t="str">
        <x:v>NR</x:v>
      </x:c>
      <x:c r="N18" s="2" t="str">
        <x:v>NR</x:v>
      </x:c>
      <x:c r="O18" s="2" t="str">
        <x:v>Closed</x:v>
      </x:c>
      <x:c r="P18" s="2" t="str">
        <x:v>API</x:v>
      </x:c>
      <x:c r="Q18" s="2" t="n">
        <x:v>0</x:v>
      </x:c>
      <x:c r="R18" s="2" t="str">
        <x:v>NR</x:v>
      </x:c>
      <x:c r="S18" s="2" t="n">
        <x:v>5</x:v>
      </x:c>
      <x:c r="T18" s="2" t="str">
        <x:v>NR</x:v>
      </x:c>
      <x:c r="U18" s="2" t="str">
        <x:v>NR</x:v>
      </x:c>
      <x:c r="V18" s="2" t="str">
        <x:v>NR</x:v>
      </x:c>
      <x:c r="W18" s="2" t="str">
        <x:v>No</x:v>
      </x:c>
      <x:c r="X18" s="2" t="str">
        <x:v>No</x:v>
      </x:c>
      <x:c r="Y18" s="6" t="str">
        <x:v>p. 18; Section 5.4.2; Section 5.5</x:v>
      </x:c>
      <x:c r="Z18" s="6" t="str">
        <x:v>LLMs: GPT-4o, GPT-4.1, and GPT-5. Since ArTEMiS does not produce deterministic results, we run each configuration five times and report average results with standard deviation. Table 8 shows the results of our evaluation. The best ArTEMiS</x:v>
      </x:c>
      <x:c r="AA18" s="6" t="str">
        <x:v>GPT-4.1在TransArC+ArTEMiS组合中运行5次</x:v>
      </x:c>
      <x:c r="AB18" s="2" t="str">
        <x:v>Accepted</x:v>
      </x:c>
      <x:c r="AC18" s="6" t="str">
        <x:v>NR</x:v>
      </x:c>
    </x:row>
    <x:row r="19" ht="76" customHeight="1">
      <x:c r="A19" s="2" t="str">
        <x:v>S02-MODEL-R14</x:v>
      </x:c>
      <x:c r="B19" s="2" t="str">
        <x:v>S02</x:v>
      </x:c>
      <x:c r="C19" s="2" t="str">
        <x:v>merged_0007</x:v>
      </x:c>
      <x:c r="D19" s="2" t="str">
        <x:v>Reviewer_A</x:v>
      </x:c>
      <x:c r="E19" s="2" t="str">
        <x:v>Reviewer_A</x:v>
      </x:c>
      <x:c r="F19" s="2" t="str">
        <x:v>S02-MU14</x:v>
      </x:c>
      <x:c r="G19" s="2" t="str">
        <x:v>S02-O03</x:v>
      </x:c>
      <x:c r="H19" s="2" t="str">
        <x:v>S02-T03</x:v>
      </x:c>
      <x:c r="I19" s="2" t="str">
        <x:v>GPT-5</x:v>
      </x:c>
      <x:c r="J19" s="2" t="str">
        <x:v>GPT-5</x:v>
      </x:c>
      <x:c r="K19" s="2" t="str">
        <x:v>GPT</x:v>
      </x:c>
      <x:c r="L19" s="2" t="str">
        <x:v>NR</x:v>
      </x:c>
      <x:c r="M19" s="2" t="str">
        <x:v>NR</x:v>
      </x:c>
      <x:c r="N19" s="2" t="str">
        <x:v>NR</x:v>
      </x:c>
      <x:c r="O19" s="2" t="str">
        <x:v>Closed</x:v>
      </x:c>
      <x:c r="P19" s="2" t="str">
        <x:v>API</x:v>
      </x:c>
      <x:c r="Q19" s="2" t="n">
        <x:v>0</x:v>
      </x:c>
      <x:c r="R19" s="2" t="str">
        <x:v>NR</x:v>
      </x:c>
      <x:c r="S19" s="2" t="n">
        <x:v>5</x:v>
      </x:c>
      <x:c r="T19" s="2" t="str">
        <x:v>NR</x:v>
      </x:c>
      <x:c r="U19" s="2" t="str">
        <x:v>NR</x:v>
      </x:c>
      <x:c r="V19" s="2" t="str">
        <x:v>NR</x:v>
      </x:c>
      <x:c r="W19" s="2" t="str">
        <x:v>No</x:v>
      </x:c>
      <x:c r="X19" s="2" t="str">
        <x:v>No</x:v>
      </x:c>
      <x:c r="Y19" s="6" t="str">
        <x:v>p. 18; Section 5.4.2; Section 5.5</x:v>
      </x:c>
      <x:c r="Z19" s="6" t="str">
        <x:v>LLMs: GPT-4o, GPT-4.1, and GPT-5. Since ArTEMiS does not produce deterministic results, we run each configuration five times and report average results with standard deviation. Table 8 shows the results of our evaluation. The best ArTEMiS</x:v>
      </x:c>
      <x:c r="AA19" s="6" t="str">
        <x:v>GPT-5在TransArC+ArTEMiS组合中运行5次</x:v>
      </x:c>
      <x:c r="AB19" s="2" t="str">
        <x:v>Accepted</x:v>
      </x:c>
      <x:c r="AC19" s="6" t="str">
        <x:v>NR</x:v>
      </x:c>
    </x:row>
    <x:row r="20" ht="76" customHeight="1">
      <x:c r="A20" s="2" t="str">
        <x:v>S03-MODEL-R01</x:v>
      </x:c>
      <x:c r="B20" s="2" t="str">
        <x:v>S03</x:v>
      </x:c>
      <x:c r="C20" s="2" t="str">
        <x:v>merged_0014</x:v>
      </x:c>
      <x:c r="D20" s="2" t="str">
        <x:v>Reviewer_A</x:v>
      </x:c>
      <x:c r="E20" s="2" t="str">
        <x:v>Reviewer_A</x:v>
      </x:c>
      <x:c r="F20" s="2" t="str">
        <x:v>S03-MU01</x:v>
      </x:c>
      <x:c r="G20" s="2" t="str">
        <x:v>S03-O01</x:v>
      </x:c>
      <x:c r="H20" s="2" t="str">
        <x:v>S03-T01</x:v>
      </x:c>
      <x:c r="I20" s="2" t="str">
        <x:v>OpenAI GPT-5 Nano</x:v>
      </x:c>
      <x:c r="J20" s="2" t="str">
        <x:v>GPT-5 Nano</x:v>
      </x:c>
      <x:c r="K20" s="2" t="str">
        <x:v>GPT</x:v>
      </x:c>
      <x:c r="L20" s="2" t="str">
        <x:v>gpt-5-nano</x:v>
      </x:c>
      <x:c r="M20" s="2" t="str">
        <x:v>NR</x:v>
      </x:c>
      <x:c r="N20" s="2" t="str">
        <x:v>NR</x:v>
      </x:c>
      <x:c r="O20" s="2" t="str">
        <x:v>Closed</x:v>
      </x:c>
      <x:c r="P20" s="2" t="str">
        <x:v>API</x:v>
      </x:c>
      <x:c r="Q20" s="2" t="n">
        <x:v>1</x:v>
      </x:c>
      <x:c r="R20" s="2" t="str">
        <x:v>NR</x:v>
      </x:c>
      <x:c r="S20" s="2" t="str">
        <x:v>NR</x:v>
      </x:c>
      <x:c r="T20" s="2" t="str">
        <x:v>NR</x:v>
      </x:c>
      <x:c r="U20" s="2" t="str">
        <x:v>Azure OpenAI API</x:v>
      </x:c>
      <x:c r="V20" s="2" t="str">
        <x:v>NR</x:v>
      </x:c>
      <x:c r="W20" s="2" t="str">
        <x:v>No</x:v>
      </x:c>
      <x:c r="X20" s="2" t="str">
        <x:v>No</x:v>
      </x:c>
      <x:c r="Y20" s="6" t="str">
        <x:v>p. 4; Section 5.2</x:v>
      </x:c>
      <x:c r="Z20" s="6" t="str">
        <x:v>We used default temperature setting (1.0) and accessed OpenAI gpt-5-nano model via Azure OpenAI API version 2025-01-01-preview.</x:v>
      </x:c>
      <x:c r="AA20" s="6" t="str">
        <x:v>使用的语言模型为OpenAI GPT-5 Nano，通过Azure API访问，温度参数设为1.0</x:v>
      </x:c>
      <x:c r="AB20" s="2" t="str">
        <x:v>Accepted</x:v>
      </x:c>
      <x:c r="AC20" s="6" t="str">
        <x:v>NA</x:v>
      </x:c>
    </x:row>
    <x:row r="21" ht="76" customHeight="1">
      <x:c r="A21" s="2" t="str">
        <x:v>S04-MODEL-R01</x:v>
      </x:c>
      <x:c r="B21" s="2" t="str">
        <x:v>S04</x:v>
      </x:c>
      <x:c r="C21" s="2" t="str">
        <x:v>merged_0075</x:v>
      </x:c>
      <x:c r="D21" s="2" t="str">
        <x:v>Reviewer_A</x:v>
      </x:c>
      <x:c r="E21" s="2" t="str">
        <x:v>Reviewer_A</x:v>
      </x:c>
      <x:c r="F21" s="2" t="str">
        <x:v>S04-MU01</x:v>
      </x:c>
      <x:c r="G21" s="2" t="str">
        <x:v>S04-O01</x:v>
      </x:c>
      <x:c r="H21" s="2" t="str">
        <x:v>S04-T01</x:v>
      </x:c>
      <x:c r="I21" s="2" t="str">
        <x:v>GPT-3.5-turbo</x:v>
      </x:c>
      <x:c r="J21" s="2" t="str">
        <x:v>gpt-3.5-turbo</x:v>
      </x:c>
      <x:c r="K21" s="2" t="str">
        <x:v>GPT</x:v>
      </x:c>
      <x:c r="L21" s="2" t="str">
        <x:v>NR</x:v>
      </x:c>
      <x:c r="M21" s="2" t="str">
        <x:v>NR</x:v>
      </x:c>
      <x:c r="N21" s="2" t="str">
        <x:v>Unclear</x:v>
      </x:c>
      <x:c r="O21" s="2" t="str">
        <x:v>Closed</x:v>
      </x:c>
      <x:c r="P21" s="2" t="str">
        <x:v>API</x:v>
      </x:c>
      <x:c r="Q21" s="2" t="n">
        <x:v>0.2</x:v>
      </x:c>
      <x:c r="R21" s="2" t="str">
        <x:v>NR</x:v>
      </x:c>
      <x:c r="S21" s="2" t="str">
        <x:v>NR</x:v>
      </x:c>
      <x:c r="T21" s="2" t="str">
        <x:v>NR</x:v>
      </x:c>
      <x:c r="U21" s="2" t="str">
        <x:v>NR</x:v>
      </x:c>
      <x:c r="V21" s="2" t="str">
        <x:v>NR</x:v>
      </x:c>
      <x:c r="W21" s="2" t="str">
        <x:v>No</x:v>
      </x:c>
      <x:c r="X21" s="2" t="str">
        <x:v>No</x:v>
      </x:c>
      <x:c r="Y21" s="6" t="str">
        <x:v>p. 5; Section 4</x:v>
      </x:c>
      <x:c r="Z21" s="6" t="str">
        <x:v>We have used a temperature value of 0.2 to ensure that GPT-3.5- turbo responses are highly conservative and closely adhere to the</x:v>
      </x:c>
      <x:c r="AA21" s="6" t="str">
        <x:v>使用GPT-3.5-turbo API，温度设为0.2，其余模型配置未报告</x:v>
      </x:c>
      <x:c r="AB21" s="2" t="str">
        <x:v>Accepted</x:v>
      </x:c>
      <x:c r="AC21" s="6" t="str">
        <x:v>NR</x:v>
      </x:c>
    </x:row>
    <x:row r="22" ht="76" customHeight="1">
      <x:c r="A22" s="2" t="str">
        <x:v>S05-MODEL-R01</x:v>
      </x:c>
      <x:c r="B22" s="2" t="str">
        <x:v>S05</x:v>
      </x:c>
      <x:c r="C22" s="2" t="str">
        <x:v>merged_0077</x:v>
      </x:c>
      <x:c r="D22" s="2" t="str">
        <x:v>Reviewer_A</x:v>
      </x:c>
      <x:c r="E22" s="2" t="str">
        <x:v>Reviewer_A</x:v>
      </x:c>
      <x:c r="F22" s="2" t="str">
        <x:v>S05-MU01</x:v>
      </x:c>
      <x:c r="G22" s="2" t="str">
        <x:v>S05-O03</x:v>
      </x:c>
      <x:c r="H22" s="2" t="str">
        <x:v>S05-T01</x:v>
      </x:c>
      <x:c r="I22" s="2" t="str">
        <x:v>Claude 3.5 Sonnet</x:v>
      </x:c>
      <x:c r="J22" s="2" t="str">
        <x:v>claude-3-5-sonnet-20240620</x:v>
      </x:c>
      <x:c r="K22" s="2" t="str">
        <x:v>Claude</x:v>
      </x:c>
      <x:c r="L22" s="2" t="str">
        <x:v>claude-3-5-sonnet-20240620</x:v>
      </x:c>
      <x:c r="M22" s="2" t="str">
        <x:v>NR</x:v>
      </x:c>
      <x:c r="N22" s="2" t="str">
        <x:v>NR</x:v>
      </x:c>
      <x:c r="O22" s="2" t="str">
        <x:v>Closed</x:v>
      </x:c>
      <x:c r="P22" s="2" t="str">
        <x:v>API</x:v>
      </x:c>
      <x:c r="Q22" s="2" t="str">
        <x:v>NR</x:v>
      </x:c>
      <x:c r="R22" s="2" t="str">
        <x:v>NR</x:v>
      </x:c>
      <x:c r="S22" s="2" t="n">
        <x:v>5</x:v>
      </x:c>
      <x:c r="T22" s="2" t="str">
        <x:v>200k</x:v>
      </x:c>
      <x:c r="U22" s="2" t="str">
        <x:v>Cloud API</x:v>
      </x:c>
      <x:c r="V22" s="2" t="str">
        <x:v>NR</x:v>
      </x:c>
      <x:c r="W22" s="2" t="str">
        <x:v>No</x:v>
      </x:c>
      <x:c r="X22" s="2" t="str">
        <x:v>No</x:v>
      </x:c>
      <x:c r="Y22" s="6" t="str">
        <x:v>p. 6; Section 3.1</x:v>
      </x:c>
      <x:c r="Z22" s="6" t="str">
        <x:v>• Claude 3.5 Sonnet (claude-3-5-sonnet-20240620): Chosen for its state-of-the-art performance at the time of evaluation, particularly its reported strengths in reasoning and coding tasks [7], combined with a large 200k token context window. It has an April 2024 knowledge</x:v>
      </x:c>
      <x:c r="AA22" s="6" t="str">
        <x:v>Claude 3.5 Sonnet 用于所有三个任务，通过API调用，使用默认参数。</x:v>
      </x:c>
      <x:c r="AB22" s="2" t="str">
        <x:v>Accepted</x:v>
      </x:c>
      <x:c r="AC22" s="6" t="str">
        <x:v>Default parameters were employed per p.14; repeat_count=5 per p.13.</x:v>
      </x:c>
    </x:row>
    <x:row r="23" ht="76" customHeight="1">
      <x:c r="A23" s="2" t="str">
        <x:v>S05-MODEL-R02</x:v>
      </x:c>
      <x:c r="B23" s="2" t="str">
        <x:v>S05</x:v>
      </x:c>
      <x:c r="C23" s="2" t="str">
        <x:v>merged_0077</x:v>
      </x:c>
      <x:c r="D23" s="2" t="str">
        <x:v>Reviewer_A</x:v>
      </x:c>
      <x:c r="E23" s="2" t="str">
        <x:v>Reviewer_A</x:v>
      </x:c>
      <x:c r="F23" s="2" t="str">
        <x:v>S05-MU02</x:v>
      </x:c>
      <x:c r="G23" s="2" t="str">
        <x:v>S05-O03</x:v>
      </x:c>
      <x:c r="H23" s="2" t="str">
        <x:v>S05-T02</x:v>
      </x:c>
      <x:c r="I23" s="2" t="str">
        <x:v>Claude 3.5 Sonnet</x:v>
      </x:c>
      <x:c r="J23" s="2" t="str">
        <x:v>claude-3-5-sonnet-20240620</x:v>
      </x:c>
      <x:c r="K23" s="2" t="str">
        <x:v>Claude</x:v>
      </x:c>
      <x:c r="L23" s="2" t="str">
        <x:v>claude-3-5-sonnet-20240620</x:v>
      </x:c>
      <x:c r="M23" s="2" t="str">
        <x:v>NR</x:v>
      </x:c>
      <x:c r="N23" s="2" t="str">
        <x:v>NR</x:v>
      </x:c>
      <x:c r="O23" s="2" t="str">
        <x:v>Closed</x:v>
      </x:c>
      <x:c r="P23" s="2" t="str">
        <x:v>API</x:v>
      </x:c>
      <x:c r="Q23" s="2" t="str">
        <x:v>NR</x:v>
      </x:c>
      <x:c r="R23" s="2" t="str">
        <x:v>NR</x:v>
      </x:c>
      <x:c r="S23" s="2" t="n">
        <x:v>5</x:v>
      </x:c>
      <x:c r="T23" s="2" t="str">
        <x:v>200k</x:v>
      </x:c>
      <x:c r="U23" s="2" t="str">
        <x:v>Cloud API</x:v>
      </x:c>
      <x:c r="V23" s="2" t="str">
        <x:v>NR</x:v>
      </x:c>
      <x:c r="W23" s="2" t="str">
        <x:v>No</x:v>
      </x:c>
      <x:c r="X23" s="2" t="str">
        <x:v>No</x:v>
      </x:c>
      <x:c r="Y23" s="6" t="str">
        <x:v>p. 6; Section 3.1</x:v>
      </x:c>
      <x:c r="Z23" s="6" t="str">
        <x:v>• Claude 3.5 Sonnet (claude-3-5-sonnet-20240620): Chosen for its state-of-the-art performance at the time of evaluation, particularly its reported strengths in reasoning and coding tasks [7], combined with a large 200k token context window. It has an April 2024 knowledge</x:v>
      </x:c>
      <x:c r="AA23" s="6" t="str">
        <x:v>Claude 3.5 Sonnet 用于解释任务，与T1使用相同配置。</x:v>
      </x:c>
      <x:c r="AB23" s="2" t="str">
        <x:v>Accepted</x:v>
      </x:c>
      <x:c r="AC23" s="6" t="str">
        <x:v>Default parameters were employed per p.14; repeat_count=5 per p.13.</x:v>
      </x:c>
    </x:row>
    <x:row r="24" ht="76" customHeight="1">
      <x:c r="A24" s="2" t="str">
        <x:v>S05-MODEL-R03</x:v>
      </x:c>
      <x:c r="B24" s="2" t="str">
        <x:v>S05</x:v>
      </x:c>
      <x:c r="C24" s="2" t="str">
        <x:v>merged_0077</x:v>
      </x:c>
      <x:c r="D24" s="2" t="str">
        <x:v>Reviewer_A</x:v>
      </x:c>
      <x:c r="E24" s="2" t="str">
        <x:v>Reviewer_A</x:v>
      </x:c>
      <x:c r="F24" s="2" t="str">
        <x:v>S05-MU03</x:v>
      </x:c>
      <x:c r="G24" s="2" t="str">
        <x:v>S05-O03</x:v>
      </x:c>
      <x:c r="H24" s="2" t="str">
        <x:v>S05-T03</x:v>
      </x:c>
      <x:c r="I24" s="2" t="str">
        <x:v>Claude 3.5 Sonnet</x:v>
      </x:c>
      <x:c r="J24" s="2" t="str">
        <x:v>claude-3-5-sonnet-20240620</x:v>
      </x:c>
      <x:c r="K24" s="2" t="str">
        <x:v>Claude</x:v>
      </x:c>
      <x:c r="L24" s="2" t="str">
        <x:v>claude-3-5-sonnet-20240620</x:v>
      </x:c>
      <x:c r="M24" s="2" t="str">
        <x:v>NR</x:v>
      </x:c>
      <x:c r="N24" s="2" t="str">
        <x:v>NR</x:v>
      </x:c>
      <x:c r="O24" s="2" t="str">
        <x:v>Closed</x:v>
      </x:c>
      <x:c r="P24" s="2" t="str">
        <x:v>API</x:v>
      </x:c>
      <x:c r="Q24" s="2" t="str">
        <x:v>NR</x:v>
      </x:c>
      <x:c r="R24" s="2" t="str">
        <x:v>NR</x:v>
      </x:c>
      <x:c r="S24" s="2" t="n">
        <x:v>5</x:v>
      </x:c>
      <x:c r="T24" s="2" t="str">
        <x:v>200k</x:v>
      </x:c>
      <x:c r="U24" s="2" t="str">
        <x:v>Cloud API</x:v>
      </x:c>
      <x:c r="V24" s="2" t="str">
        <x:v>NR</x:v>
      </x:c>
      <x:c r="W24" s="2" t="str">
        <x:v>No</x:v>
      </x:c>
      <x:c r="X24" s="2" t="str">
        <x:v>No</x:v>
      </x:c>
      <x:c r="Y24" s="6" t="str">
        <x:v>p. 6; Section 3.1</x:v>
      </x:c>
      <x:c r="Z24" s="6" t="str">
        <x:v>• Claude 3.5 Sonnet (claude-3-5-sonnet-20240620): Chosen for its state-of-the-art performance at the time of evaluation, particularly its reported strengths in reasoning and coding tasks [7], combined with a large 200k token context window. It has an April 2024 knowledge</x:v>
      </x:c>
      <x:c r="AA24" s="6" t="str">
        <x:v>Claude 3.5 Sonnet 用于链重建任务，与T1使用相同配置。</x:v>
      </x:c>
      <x:c r="AB24" s="2" t="str">
        <x:v>Accepted</x:v>
      </x:c>
      <x:c r="AC24" s="6" t="str">
        <x:v>Default parameters were employed per p.14; repeat_count=5 per p.13.</x:v>
      </x:c>
    </x:row>
    <x:row r="25" ht="76" customHeight="1">
      <x:c r="A25" s="2" t="str">
        <x:v>S05-MODEL-R04</x:v>
      </x:c>
      <x:c r="B25" s="2" t="str">
        <x:v>S05</x:v>
      </x:c>
      <x:c r="C25" s="2" t="str">
        <x:v>merged_0077</x:v>
      </x:c>
      <x:c r="D25" s="2" t="str">
        <x:v>Reviewer_A</x:v>
      </x:c>
      <x:c r="E25" s="2" t="str">
        <x:v>Reviewer_A</x:v>
      </x:c>
      <x:c r="F25" s="2" t="str">
        <x:v>S05-MU04</x:v>
      </x:c>
      <x:c r="G25" s="2" t="str">
        <x:v>S05-O03</x:v>
      </x:c>
      <x:c r="H25" s="2" t="str">
        <x:v>S05-T01</x:v>
      </x:c>
      <x:c r="I25" s="2" t="str">
        <x:v>GPT-4o</x:v>
      </x:c>
      <x:c r="J25" s="2" t="str">
        <x:v>gpt-4o-2024-08-06</x:v>
      </x:c>
      <x:c r="K25" s="2" t="str">
        <x:v>GPT</x:v>
      </x:c>
      <x:c r="L25" s="2" t="str">
        <x:v>gpt-4o-2024-08-06</x:v>
      </x:c>
      <x:c r="M25" s="2" t="str">
        <x:v>NR</x:v>
      </x:c>
      <x:c r="N25" s="2" t="str">
        <x:v>NR</x:v>
      </x:c>
      <x:c r="O25" s="2" t="str">
        <x:v>Closed</x:v>
      </x:c>
      <x:c r="P25" s="2" t="str">
        <x:v>API</x:v>
      </x:c>
      <x:c r="Q25" s="2" t="str">
        <x:v>NR</x:v>
      </x:c>
      <x:c r="R25" s="2" t="str">
        <x:v>NR</x:v>
      </x:c>
      <x:c r="S25" s="2" t="n">
        <x:v>5</x:v>
      </x:c>
      <x:c r="T25" s="2" t="str">
        <x:v>128k</x:v>
      </x:c>
      <x:c r="U25" s="2" t="str">
        <x:v>Cloud API</x:v>
      </x:c>
      <x:c r="V25" s="2" t="str">
        <x:v>NR</x:v>
      </x:c>
      <x:c r="W25" s="2" t="str">
        <x:v>No</x:v>
      </x:c>
      <x:c r="X25" s="2" t="str">
        <x:v>No</x:v>
      </x:c>
      <x:c r="Y25" s="6" t="str">
        <x:v>p. 6; Section 3.1</x:v>
      </x:c>
      <x:c r="Z25" s="6" t="str">
        <x:v>OpenAI GPT-4o (gpt-4o-2024-08-06): Selected as OpenAI’s flagship model at the time, known for its strong general performance across various tasks, including code. It offers a 128k token context window</x:v>
      </x:c>
      <x:c r="AA25" s="6" t="str">
        <x:v>GPT-4o 用于所有三个任务，通过API调用，使用默认参数。</x:v>
      </x:c>
      <x:c r="AB25" s="2" t="str">
        <x:v>Accepted</x:v>
      </x:c>
      <x:c r="AC25" s="6" t="str">
        <x:v>Default parameters were employed per p.14; repeat_count=5 per p.13.</x:v>
      </x:c>
    </x:row>
    <x:row r="26" ht="76" customHeight="1">
      <x:c r="A26" s="2" t="str">
        <x:v>S05-MODEL-R05</x:v>
      </x:c>
      <x:c r="B26" s="2" t="str">
        <x:v>S05</x:v>
      </x:c>
      <x:c r="C26" s="2" t="str">
        <x:v>merged_0077</x:v>
      </x:c>
      <x:c r="D26" s="2" t="str">
        <x:v>Reviewer_A</x:v>
      </x:c>
      <x:c r="E26" s="2" t="str">
        <x:v>Reviewer_A</x:v>
      </x:c>
      <x:c r="F26" s="2" t="str">
        <x:v>S05-MU05</x:v>
      </x:c>
      <x:c r="G26" s="2" t="str">
        <x:v>S05-O03</x:v>
      </x:c>
      <x:c r="H26" s="2" t="str">
        <x:v>S05-T02</x:v>
      </x:c>
      <x:c r="I26" s="2" t="str">
        <x:v>GPT-4o</x:v>
      </x:c>
      <x:c r="J26" s="2" t="str">
        <x:v>gpt-4o-2024-08-06</x:v>
      </x:c>
      <x:c r="K26" s="2" t="str">
        <x:v>GPT</x:v>
      </x:c>
      <x:c r="L26" s="2" t="str">
        <x:v>gpt-4o-2024-08-06</x:v>
      </x:c>
      <x:c r="M26" s="2" t="str">
        <x:v>NR</x:v>
      </x:c>
      <x:c r="N26" s="2" t="str">
        <x:v>NR</x:v>
      </x:c>
      <x:c r="O26" s="2" t="str">
        <x:v>Closed</x:v>
      </x:c>
      <x:c r="P26" s="2" t="str">
        <x:v>API</x:v>
      </x:c>
      <x:c r="Q26" s="2" t="str">
        <x:v>NR</x:v>
      </x:c>
      <x:c r="R26" s="2" t="str">
        <x:v>NR</x:v>
      </x:c>
      <x:c r="S26" s="2" t="n">
        <x:v>5</x:v>
      </x:c>
      <x:c r="T26" s="2" t="str">
        <x:v>128k</x:v>
      </x:c>
      <x:c r="U26" s="2" t="str">
        <x:v>Cloud API</x:v>
      </x:c>
      <x:c r="V26" s="2" t="str">
        <x:v>NR</x:v>
      </x:c>
      <x:c r="W26" s="2" t="str">
        <x:v>No</x:v>
      </x:c>
      <x:c r="X26" s="2" t="str">
        <x:v>No</x:v>
      </x:c>
      <x:c r="Y26" s="6" t="str">
        <x:v>p. 6; Section 3.1</x:v>
      </x:c>
      <x:c r="Z26" s="6" t="str">
        <x:v>OpenAI GPT-4o (gpt-4o-2024-08-06): Selected as OpenAI’s flagship model at the time, known for its strong general performance across various tasks, including code. It offers a 128k token context window</x:v>
      </x:c>
      <x:c r="AA26" s="6" t="str">
        <x:v>GPT-4o 用于解释任务，与T1使用相同配置。</x:v>
      </x:c>
      <x:c r="AB26" s="2" t="str">
        <x:v>Accepted</x:v>
      </x:c>
      <x:c r="AC26" s="6" t="str">
        <x:v>Default parameters were employed per p.14; repeat_count=5 per p.13.</x:v>
      </x:c>
    </x:row>
    <x:row r="27" ht="76" customHeight="1">
      <x:c r="A27" s="2" t="str">
        <x:v>S05-MODEL-R06</x:v>
      </x:c>
      <x:c r="B27" s="2" t="str">
        <x:v>S05</x:v>
      </x:c>
      <x:c r="C27" s="2" t="str">
        <x:v>merged_0077</x:v>
      </x:c>
      <x:c r="D27" s="2" t="str">
        <x:v>Reviewer_A</x:v>
      </x:c>
      <x:c r="E27" s="2" t="str">
        <x:v>Reviewer_A</x:v>
      </x:c>
      <x:c r="F27" s="2" t="str">
        <x:v>S05-MU06</x:v>
      </x:c>
      <x:c r="G27" s="2" t="str">
        <x:v>S05-O03</x:v>
      </x:c>
      <x:c r="H27" s="2" t="str">
        <x:v>S05-T03</x:v>
      </x:c>
      <x:c r="I27" s="2" t="str">
        <x:v>GPT-4o</x:v>
      </x:c>
      <x:c r="J27" s="2" t="str">
        <x:v>gpt-4o-2024-08-06</x:v>
      </x:c>
      <x:c r="K27" s="2" t="str">
        <x:v>GPT</x:v>
      </x:c>
      <x:c r="L27" s="2" t="str">
        <x:v>gpt-4o-2024-08-06</x:v>
      </x:c>
      <x:c r="M27" s="2" t="str">
        <x:v>NR</x:v>
      </x:c>
      <x:c r="N27" s="2" t="str">
        <x:v>NR</x:v>
      </x:c>
      <x:c r="O27" s="2" t="str">
        <x:v>Closed</x:v>
      </x:c>
      <x:c r="P27" s="2" t="str">
        <x:v>API</x:v>
      </x:c>
      <x:c r="Q27" s="2" t="str">
        <x:v>NR</x:v>
      </x:c>
      <x:c r="R27" s="2" t="str">
        <x:v>NR</x:v>
      </x:c>
      <x:c r="S27" s="2" t="n">
        <x:v>5</x:v>
      </x:c>
      <x:c r="T27" s="2" t="str">
        <x:v>128k</x:v>
      </x:c>
      <x:c r="U27" s="2" t="str">
        <x:v>Cloud API</x:v>
      </x:c>
      <x:c r="V27" s="2" t="str">
        <x:v>NR</x:v>
      </x:c>
      <x:c r="W27" s="2" t="str">
        <x:v>No</x:v>
      </x:c>
      <x:c r="X27" s="2" t="str">
        <x:v>No</x:v>
      </x:c>
      <x:c r="Y27" s="6" t="str">
        <x:v>p. 6; Section 3.1</x:v>
      </x:c>
      <x:c r="Z27" s="6" t="str">
        <x:v>OpenAI GPT-4o (gpt-4o-2024-08-06): Selected as OpenAI’s flagship model at the time, known for its strong general performance across various tasks, including code. It offers a 128k token context window</x:v>
      </x:c>
      <x:c r="AA27" s="6" t="str">
        <x:v>GPT-4o 用于链重建任务，与T1使用相同配置。</x:v>
      </x:c>
      <x:c r="AB27" s="2" t="str">
        <x:v>Accepted</x:v>
      </x:c>
      <x:c r="AC27" s="6" t="str">
        <x:v>Default parameters were employed per p.14; repeat_count=5 per p.13.</x:v>
      </x:c>
    </x:row>
    <x:row r="28" ht="76" customHeight="1">
      <x:c r="A28" s="2" t="str">
        <x:v>S05-MODEL-R07</x:v>
      </x:c>
      <x:c r="B28" s="2" t="str">
        <x:v>S05</x:v>
      </x:c>
      <x:c r="C28" s="2" t="str">
        <x:v>merged_0077</x:v>
      </x:c>
      <x:c r="D28" s="2" t="str">
        <x:v>Reviewer_A</x:v>
      </x:c>
      <x:c r="E28" s="2" t="str">
        <x:v>Reviewer_A</x:v>
      </x:c>
      <x:c r="F28" s="2" t="str">
        <x:v>S05-MU07</x:v>
      </x:c>
      <x:c r="G28" s="2" t="str">
        <x:v>S05-O03</x:v>
      </x:c>
      <x:c r="H28" s="2" t="str">
        <x:v>S05-T01</x:v>
      </x:c>
      <x:c r="I28" s="2" t="str">
        <x:v>o3-mini</x:v>
      </x:c>
      <x:c r="J28" s="2" t="str">
        <x:v>o3-mini-2025-01-31</x:v>
      </x:c>
      <x:c r="K28" s="2" t="str">
        <x:v>GPT</x:v>
      </x:c>
      <x:c r="L28" s="2" t="str">
        <x:v>o3-mini-2025-01-31</x:v>
      </x:c>
      <x:c r="M28" s="2" t="str">
        <x:v>NR</x:v>
      </x:c>
      <x:c r="N28" s="2" t="str">
        <x:v>NR</x:v>
      </x:c>
      <x:c r="O28" s="2" t="str">
        <x:v>Closed</x:v>
      </x:c>
      <x:c r="P28" s="2" t="str">
        <x:v>API</x:v>
      </x:c>
      <x:c r="Q28" s="2" t="str">
        <x:v>NR</x:v>
      </x:c>
      <x:c r="R28" s="2" t="str">
        <x:v>NR</x:v>
      </x:c>
      <x:c r="S28" s="2" t="n">
        <x:v>5</x:v>
      </x:c>
      <x:c r="T28" s="2" t="str">
        <x:v>200k</x:v>
      </x:c>
      <x:c r="U28" s="2" t="str">
        <x:v>Cloud API</x:v>
      </x:c>
      <x:c r="V28" s="2" t="str">
        <x:v>NR</x:v>
      </x:c>
      <x:c r="W28" s="2" t="str">
        <x:v>No</x:v>
      </x:c>
      <x:c r="X28" s="2" t="str">
        <x:v>No</x:v>
      </x:c>
      <x:c r="Y28" s="6" t="str">
        <x:v>p. 6; Section 3.1</x:v>
      </x:c>
      <x:c r="Z28" s="6" t="str">
        <x:v>• OpenAI o3-mini (o3-mini-2025-01-31): We also later included OpenAI’s o3-mini to evaluate an LLM specifically highlighted for advanced reasoning capabilities, a trait potentially beneficial for software engineering analysis, while also being designed for cost-efficiency</x:v>
      </x:c>
      <x:c r="AA28" s="6" t="str">
        <x:v>o3-mini 用于所有三个任务，通过API调用，设置reasoning_effort=high。</x:v>
      </x:c>
      <x:c r="AB28" s="2" t="str">
        <x:v>Accepted</x:v>
      </x:c>
      <x:c r="AC28" s="6" t="str">
        <x:v>Default parameters otherwise employed per p.14; repeat_count=5 per p.13.</x:v>
      </x:c>
    </x:row>
    <x:row r="29" ht="76" customHeight="1">
      <x:c r="A29" s="2" t="str">
        <x:v>S05-MODEL-R08</x:v>
      </x:c>
      <x:c r="B29" s="2" t="str">
        <x:v>S05</x:v>
      </x:c>
      <x:c r="C29" s="2" t="str">
        <x:v>merged_0077</x:v>
      </x:c>
      <x:c r="D29" s="2" t="str">
        <x:v>Reviewer_A</x:v>
      </x:c>
      <x:c r="E29" s="2" t="str">
        <x:v>Reviewer_A</x:v>
      </x:c>
      <x:c r="F29" s="2" t="str">
        <x:v>S05-MU08</x:v>
      </x:c>
      <x:c r="G29" s="2" t="str">
        <x:v>S05-O03</x:v>
      </x:c>
      <x:c r="H29" s="2" t="str">
        <x:v>S05-T02</x:v>
      </x:c>
      <x:c r="I29" s="2" t="str">
        <x:v>o3-mini</x:v>
      </x:c>
      <x:c r="J29" s="2" t="str">
        <x:v>o3-mini-2025-01-31</x:v>
      </x:c>
      <x:c r="K29" s="2" t="str">
        <x:v>GPT</x:v>
      </x:c>
      <x:c r="L29" s="2" t="str">
        <x:v>o3-mini-2025-01-31</x:v>
      </x:c>
      <x:c r="M29" s="2" t="str">
        <x:v>NR</x:v>
      </x:c>
      <x:c r="N29" s="2" t="str">
        <x:v>NR</x:v>
      </x:c>
      <x:c r="O29" s="2" t="str">
        <x:v>Closed</x:v>
      </x:c>
      <x:c r="P29" s="2" t="str">
        <x:v>API</x:v>
      </x:c>
      <x:c r="Q29" s="2" t="str">
        <x:v>NR</x:v>
      </x:c>
      <x:c r="R29" s="2" t="str">
        <x:v>NR</x:v>
      </x:c>
      <x:c r="S29" s="2" t="n">
        <x:v>5</x:v>
      </x:c>
      <x:c r="T29" s="2" t="str">
        <x:v>200k</x:v>
      </x:c>
      <x:c r="U29" s="2" t="str">
        <x:v>Cloud API</x:v>
      </x:c>
      <x:c r="V29" s="2" t="str">
        <x:v>NR</x:v>
      </x:c>
      <x:c r="W29" s="2" t="str">
        <x:v>No</x:v>
      </x:c>
      <x:c r="X29" s="2" t="str">
        <x:v>No</x:v>
      </x:c>
      <x:c r="Y29" s="6" t="str">
        <x:v>p. 6; Section 3.1</x:v>
      </x:c>
      <x:c r="Z29" s="6" t="str">
        <x:v>• OpenAI o3-mini (o3-mini-2025-01-31): We also later included OpenAI’s o3-mini to evaluate an LLM specifically highlighted for advanced reasoning capabilities, a trait potentially beneficial for software engineering analysis, while also being designed for cost-efficiency</x:v>
      </x:c>
      <x:c r="AA29" s="6" t="str">
        <x:v>o3-mini 用于解释任务，与T1使用相同配置。</x:v>
      </x:c>
      <x:c r="AB29" s="2" t="str">
        <x:v>Accepted</x:v>
      </x:c>
      <x:c r="AC29" s="6" t="str">
        <x:v>Default parameters otherwise employed per p.14; repeat_count=5 per p.13.</x:v>
      </x:c>
    </x:row>
    <x:row r="30" ht="76" customHeight="1">
      <x:c r="A30" s="2" t="str">
        <x:v>S05-MODEL-R09</x:v>
      </x:c>
      <x:c r="B30" s="2" t="str">
        <x:v>S05</x:v>
      </x:c>
      <x:c r="C30" s="2" t="str">
        <x:v>merged_0077</x:v>
      </x:c>
      <x:c r="D30" s="2" t="str">
        <x:v>Reviewer_A</x:v>
      </x:c>
      <x:c r="E30" s="2" t="str">
        <x:v>Reviewer_A</x:v>
      </x:c>
      <x:c r="F30" s="2" t="str">
        <x:v>S05-MU09</x:v>
      </x:c>
      <x:c r="G30" s="2" t="str">
        <x:v>S05-O03</x:v>
      </x:c>
      <x:c r="H30" s="2" t="str">
        <x:v>S05-T03</x:v>
      </x:c>
      <x:c r="I30" s="2" t="str">
        <x:v>o3-mini</x:v>
      </x:c>
      <x:c r="J30" s="2" t="str">
        <x:v>o3-mini-2025-01-31</x:v>
      </x:c>
      <x:c r="K30" s="2" t="str">
        <x:v>GPT</x:v>
      </x:c>
      <x:c r="L30" s="2" t="str">
        <x:v>o3-mini-2025-01-31</x:v>
      </x:c>
      <x:c r="M30" s="2" t="str">
        <x:v>NR</x:v>
      </x:c>
      <x:c r="N30" s="2" t="str">
        <x:v>NR</x:v>
      </x:c>
      <x:c r="O30" s="2" t="str">
        <x:v>Closed</x:v>
      </x:c>
      <x:c r="P30" s="2" t="str">
        <x:v>API</x:v>
      </x:c>
      <x:c r="Q30" s="2" t="str">
        <x:v>NR</x:v>
      </x:c>
      <x:c r="R30" s="2" t="str">
        <x:v>NR</x:v>
      </x:c>
      <x:c r="S30" s="2" t="n">
        <x:v>5</x:v>
      </x:c>
      <x:c r="T30" s="2" t="str">
        <x:v>200k</x:v>
      </x:c>
      <x:c r="U30" s="2" t="str">
        <x:v>Cloud API</x:v>
      </x:c>
      <x:c r="V30" s="2" t="str">
        <x:v>NR</x:v>
      </x:c>
      <x:c r="W30" s="2" t="str">
        <x:v>No</x:v>
      </x:c>
      <x:c r="X30" s="2" t="str">
        <x:v>No</x:v>
      </x:c>
      <x:c r="Y30" s="6" t="str">
        <x:v>p. 6; Section 3.1</x:v>
      </x:c>
      <x:c r="Z30" s="6" t="str">
        <x:v>• OpenAI o3-mini (o3-mini-2025-01-31): We also later included OpenAI’s o3-mini to evaluate an LLM specifically highlighted for advanced reasoning capabilities, a trait potentially beneficial for software engineering analysis, while also being designed for cost-efficiency</x:v>
      </x:c>
      <x:c r="AA30" s="6" t="str">
        <x:v>o3-mini 用于链重建任务，与T1使用相同配置。</x:v>
      </x:c>
      <x:c r="AB30" s="2" t="str">
        <x:v>Accepted</x:v>
      </x:c>
      <x:c r="AC30" s="6" t="str">
        <x:v>Default parameters otherwise employed per p.14; repeat_count=5 per p.13.</x:v>
      </x:c>
    </x:row>
    <x:row r="31" ht="76" customHeight="1">
      <x:c r="A31" s="2" t="str">
        <x:v>S06-MODEL-R01</x:v>
      </x:c>
      <x:c r="B31" s="2" t="str">
        <x:v>S06</x:v>
      </x:c>
      <x:c r="C31" s="2" t="str">
        <x:v>merged_0079</x:v>
      </x:c>
      <x:c r="D31" s="2" t="str">
        <x:v>Reviewer_A</x:v>
      </x:c>
      <x:c r="E31" s="2" t="str">
        <x:v>Reviewer_A</x:v>
      </x:c>
      <x:c r="F31" s="2" t="str">
        <x:v>S06-MU01</x:v>
      </x:c>
      <x:c r="G31" s="2" t="str">
        <x:v>S06-O01</x:v>
      </x:c>
      <x:c r="H31" s="2" t="str">
        <x:v>S06-T01</x:v>
      </x:c>
      <x:c r="I31" s="2" t="str">
        <x:v>ChatGPT-4o-nano</x:v>
      </x:c>
      <x:c r="J31" s="2" t="str">
        <x:v>chatgpt-4o-nano</x:v>
      </x:c>
      <x:c r="K31" s="2" t="str">
        <x:v>GPT</x:v>
      </x:c>
      <x:c r="L31" s="2" t="str">
        <x:v>4o-nano</x:v>
      </x:c>
      <x:c r="M31" s="2" t="str">
        <x:v>NR</x:v>
      </x:c>
      <x:c r="N31" s="2" t="str">
        <x:v>NR</x:v>
      </x:c>
      <x:c r="O31" s="2" t="str">
        <x:v>Closed</x:v>
      </x:c>
      <x:c r="P31" s="2" t="str">
        <x:v>API</x:v>
      </x:c>
      <x:c r="Q31" s="2" t="str">
        <x:v>NR</x:v>
      </x:c>
      <x:c r="R31" s="2" t="str">
        <x:v>NR</x:v>
      </x:c>
      <x:c r="S31" s="2" t="str">
        <x:v>NR</x:v>
      </x:c>
      <x:c r="T31" s="2" t="str">
        <x:v>128k</x:v>
      </x:c>
      <x:c r="U31" s="2" t="str">
        <x:v>NR</x:v>
      </x:c>
      <x:c r="V31" s="2" t="str">
        <x:v>NR</x:v>
      </x:c>
      <x:c r="W31" s="2" t="str">
        <x:v>Yes</x:v>
      </x:c>
      <x:c r="X31" s="2" t="str">
        <x:v>Yes</x:v>
      </x:c>
      <x:c r="Y31" s="6" t="str">
        <x:v>p. 7; Section V-A3 Model Configuration</x:v>
      </x:c>
      <x:c r="Z31" s="6" t="str">
        <x:v>c) Model Configuration: We used OpenAI’s ChatGPT4o-nano [59] model as the backend LLM, which offers fast performance while maintaining reasonable quality. The context</x:v>
      </x:c>
      <x:c r="AA31" s="6" t="str">
        <x:v>采用OpenAI的ChatGPT-4o-nano模型，通过API调用，上下文窗口128k tokens，成本与延迟均有报告。</x:v>
      </x:c>
      <x:c r="AB31" s="2" t="str">
        <x:v>Accepted</x:v>
      </x:c>
      <x:c r="AC31" s="6" t="str">
        <x:v>NR</x:v>
      </x:c>
    </x:row>
    <x:row r="32" ht="76" customHeight="1">
      <x:c r="A32" s="2" t="str">
        <x:v>S07-MODEL-R01</x:v>
      </x:c>
      <x:c r="B32" s="2" t="str">
        <x:v>S07</x:v>
      </x:c>
      <x:c r="C32" s="2" t="str">
        <x:v>merged_0110</x:v>
      </x:c>
      <x:c r="D32" s="2" t="str">
        <x:v>Reviewer_A</x:v>
      </x:c>
      <x:c r="E32" s="2" t="str">
        <x:v>Reviewer_A</x:v>
      </x:c>
      <x:c r="F32" s="2" t="str">
        <x:v>S07-MU01</x:v>
      </x:c>
      <x:c r="G32" s="2" t="str">
        <x:v>S07-O01</x:v>
      </x:c>
      <x:c r="H32" s="2" t="str">
        <x:v>S07-T01</x:v>
      </x:c>
      <x:c r="I32" s="2" t="str">
        <x:v>GPT-3.5</x:v>
      </x:c>
      <x:c r="J32" s="2" t="str">
        <x:v>gpt-3.5</x:v>
      </x:c>
      <x:c r="K32" s="2" t="str">
        <x:v>GPT</x:v>
      </x:c>
      <x:c r="L32" s="2" t="str">
        <x:v>Unclear</x:v>
      </x:c>
      <x:c r="M32" s="2" t="str">
        <x:v>175B</x:v>
      </x:c>
      <x:c r="N32" s="2" t="str">
        <x:v>2024-05 to 2024-07</x:v>
      </x:c>
      <x:c r="O32" s="2" t="str">
        <x:v>Closed</x:v>
      </x:c>
      <x:c r="P32" s="2" t="str">
        <x:v>API</x:v>
      </x:c>
      <x:c r="Q32" s="2" t="n">
        <x:v>0.1</x:v>
      </x:c>
      <x:c r="R32" s="2" t="str">
        <x:v>NR</x:v>
      </x:c>
      <x:c r="S32" s="2" t="n">
        <x:v>30</x:v>
      </x:c>
      <x:c r="T32" s="2" t="str">
        <x:v>NR</x:v>
      </x:c>
      <x:c r="U32" s="2" t="str">
        <x:v>API calls to OpenAI</x:v>
      </x:c>
      <x:c r="V32" s="2" t="str">
        <x:v>NR</x:v>
      </x:c>
      <x:c r="W32" s="2" t="str">
        <x:v>Yes</x:v>
      </x:c>
      <x:c r="X32" s="2" t="str">
        <x:v>No</x:v>
      </x:c>
      <x:c r="Y32" s="6" t="str">
        <x:v>p. 2; Introduction</x:v>
      </x:c>
      <x:c r="Z32" s="6" t="str">
        <x:v>GPT-3.5 (175B parameters [5])</x:v>
      </x:c>
      <x:c r="AA32" s="6" t="str">
        <x:v>使用OpenAI GPT-3.5模型通过API进行追溯链接生成，温度为0.1，重复30次。</x:v>
      </x:c>
      <x:c r="AB32" s="2" t="str">
        <x:v>Accepted</x:v>
      </x:c>
      <x:c r="AC32" s="6" t="str">
        <x:v>Exact version snapshots available in replication package.</x:v>
      </x:c>
    </x:row>
    <x:row r="33" ht="76" customHeight="1">
      <x:c r="A33" s="2" t="str">
        <x:v>S07-MODEL-R02</x:v>
      </x:c>
      <x:c r="B33" s="2" t="str">
        <x:v>S07</x:v>
      </x:c>
      <x:c r="C33" s="2" t="str">
        <x:v>merged_0110</x:v>
      </x:c>
      <x:c r="D33" s="2" t="str">
        <x:v>Reviewer_A</x:v>
      </x:c>
      <x:c r="E33" s="2" t="str">
        <x:v>Reviewer_A</x:v>
      </x:c>
      <x:c r="F33" s="2" t="str">
        <x:v>S07-MU02</x:v>
      </x:c>
      <x:c r="G33" s="2" t="str">
        <x:v>S07-O01</x:v>
      </x:c>
      <x:c r="H33" s="2" t="str">
        <x:v>S07-T01</x:v>
      </x:c>
      <x:c r="I33" s="2" t="str">
        <x:v>GPT-4</x:v>
      </x:c>
      <x:c r="J33" s="2" t="str">
        <x:v>gpt-4</x:v>
      </x:c>
      <x:c r="K33" s="2" t="str">
        <x:v>GPT</x:v>
      </x:c>
      <x:c r="L33" s="2" t="str">
        <x:v>Unclear</x:v>
      </x:c>
      <x:c r="M33" s="2" t="str">
        <x:v>Unclear</x:v>
      </x:c>
      <x:c r="N33" s="2" t="str">
        <x:v>2024-05 to 2024-07</x:v>
      </x:c>
      <x:c r="O33" s="2" t="str">
        <x:v>Closed</x:v>
      </x:c>
      <x:c r="P33" s="2" t="str">
        <x:v>API</x:v>
      </x:c>
      <x:c r="Q33" s="2" t="n">
        <x:v>0.1</x:v>
      </x:c>
      <x:c r="R33" s="2" t="str">
        <x:v>NR</x:v>
      </x:c>
      <x:c r="S33" s="2" t="n">
        <x:v>30</x:v>
      </x:c>
      <x:c r="T33" s="2" t="str">
        <x:v>NR</x:v>
      </x:c>
      <x:c r="U33" s="2" t="str">
        <x:v>API calls to OpenAI</x:v>
      </x:c>
      <x:c r="V33" s="2" t="str">
        <x:v>NR</x:v>
      </x:c>
      <x:c r="W33" s="2" t="str">
        <x:v>Yes</x:v>
      </x:c>
      <x:c r="X33" s="2" t="str">
        <x:v>No</x:v>
      </x:c>
      <x:c r="Y33" s="6" t="str">
        <x:v>p. 2; Introduction</x:v>
      </x:c>
      <x:c r="Z33" s="6" t="str">
        <x:v>4’s parameters from OpenAI.</x:v>
      </x:c>
      <x:c r="AA33" s="6" t="str">
        <x:v>使用OpenAI GPT-4模型通过API进行追溯链接生成，参数规模未披露。</x:v>
      </x:c>
      <x:c r="AB33" s="2" t="str">
        <x:v>Accepted</x:v>
      </x:c>
      <x:c r="AC33" s="6" t="str">
        <x:v>Exact version snapshots available in replication package.</x:v>
      </x:c>
    </x:row>
    <x:row r="34" ht="76" customHeight="1">
      <x:c r="A34" s="2" t="str">
        <x:v>S07-MODEL-R03</x:v>
      </x:c>
      <x:c r="B34" s="2" t="str">
        <x:v>S07</x:v>
      </x:c>
      <x:c r="C34" s="2" t="str">
        <x:v>merged_0110</x:v>
      </x:c>
      <x:c r="D34" s="2" t="str">
        <x:v>Reviewer_A</x:v>
      </x:c>
      <x:c r="E34" s="2" t="str">
        <x:v>Reviewer_A</x:v>
      </x:c>
      <x:c r="F34" s="2" t="str">
        <x:v>S07-MU03</x:v>
      </x:c>
      <x:c r="G34" s="2" t="str">
        <x:v>S07-O01</x:v>
      </x:c>
      <x:c r="H34" s="2" t="str">
        <x:v>S07-T01</x:v>
      </x:c>
      <x:c r="I34" s="2" t="str">
        <x:v>LLAMA 3 70B</x:v>
      </x:c>
      <x:c r="J34" s="2" t="str">
        <x:v>llama-3-70b</x:v>
      </x:c>
      <x:c r="K34" s="2" t="str">
        <x:v>Llama</x:v>
      </x:c>
      <x:c r="L34" s="2" t="str">
        <x:v>Unclear</x:v>
      </x:c>
      <x:c r="M34" s="2" t="str">
        <x:v>70B</x:v>
      </x:c>
      <x:c r="N34" s="2" t="str">
        <x:v>2024-05 to 2024-07</x:v>
      </x:c>
      <x:c r="O34" s="2" t="str">
        <x:v>Open weights</x:v>
      </x:c>
      <x:c r="P34" s="2" t="str">
        <x:v>Local</x:v>
      </x:c>
      <x:c r="Q34" s="2" t="n">
        <x:v>0.1</x:v>
      </x:c>
      <x:c r="R34" s="2" t="str">
        <x:v>NR</x:v>
      </x:c>
      <x:c r="S34" s="2" t="n">
        <x:v>30</x:v>
      </x:c>
      <x:c r="T34" s="2" t="str">
        <x:v>NR</x:v>
      </x:c>
      <x:c r="U34" s="2" t="str">
        <x:v>Local on C3SE cluster (requires ~150GB vRAM)</x:v>
      </x:c>
      <x:c r="V34" s="2" t="str">
        <x:v>NR</x:v>
      </x:c>
      <x:c r="W34" s="2" t="str">
        <x:v>Yes</x:v>
      </x:c>
      <x:c r="X34" s="2" t="str">
        <x:v>No</x:v>
      </x:c>
      <x:c r="Y34" s="6" t="str">
        <x:v>p. 1; Abstract</x:v>
      </x:c>
      <x:c r="Z34" s="6" t="str">
        <x:v>LLAMA 3 70B</x:v>
      </x:c>
      <x:c r="AA34" s="6" t="str">
        <x:v>使用开源权重的LLAMA 3 70B模型在本地C3SE集群运行。</x:v>
      </x:c>
      <x:c r="AB34" s="2" t="str">
        <x:v>Accepted</x:v>
      </x:c>
      <x:c r="AC34" s="6" t="str">
        <x:v>Exact model snapshot available in replication package.</x:v>
      </x:c>
    </x:row>
    <x:row r="35" ht="76" customHeight="1">
      <x:c r="A35" s="2" t="str">
        <x:v>S07-MODEL-R04</x:v>
      </x:c>
      <x:c r="B35" s="2" t="str">
        <x:v>S07</x:v>
      </x:c>
      <x:c r="C35" s="2" t="str">
        <x:v>merged_0110</x:v>
      </x:c>
      <x:c r="D35" s="2" t="str">
        <x:v>Reviewer_A</x:v>
      </x:c>
      <x:c r="E35" s="2" t="str">
        <x:v>Reviewer_A</x:v>
      </x:c>
      <x:c r="F35" s="2" t="str">
        <x:v>S07-MU04</x:v>
      </x:c>
      <x:c r="G35" s="2" t="str">
        <x:v>S07-O01</x:v>
      </x:c>
      <x:c r="H35" s="2" t="str">
        <x:v>S07-T01</x:v>
      </x:c>
      <x:c r="I35" s="2" t="str">
        <x:v>Mistral 7B</x:v>
      </x:c>
      <x:c r="J35" s="2" t="str">
        <x:v>mistral-7b</x:v>
      </x:c>
      <x:c r="K35" s="2" t="str">
        <x:v>Mistral</x:v>
      </x:c>
      <x:c r="L35" s="2" t="str">
        <x:v>Unclear</x:v>
      </x:c>
      <x:c r="M35" s="2" t="str">
        <x:v>7B</x:v>
      </x:c>
      <x:c r="N35" s="2" t="str">
        <x:v>2024-05 to 2024-07</x:v>
      </x:c>
      <x:c r="O35" s="2" t="str">
        <x:v>Open weights</x:v>
      </x:c>
      <x:c r="P35" s="2" t="str">
        <x:v>Local</x:v>
      </x:c>
      <x:c r="Q35" s="2" t="n">
        <x:v>0.1</x:v>
      </x:c>
      <x:c r="R35" s="2" t="str">
        <x:v>NR</x:v>
      </x:c>
      <x:c r="S35" s="2" t="n">
        <x:v>30</x:v>
      </x:c>
      <x:c r="T35" s="2" t="str">
        <x:v>NR</x:v>
      </x:c>
      <x:c r="U35" s="2" t="str">
        <x:v>Local on C3SE cluster (requires at least 16GB vRAM)</x:v>
      </x:c>
      <x:c r="V35" s="2" t="str">
        <x:v>NR</x:v>
      </x:c>
      <x:c r="W35" s="2" t="str">
        <x:v>Yes</x:v>
      </x:c>
      <x:c r="X35" s="2" t="str">
        <x:v>No</x:v>
      </x:c>
      <x:c r="Y35" s="6" t="str">
        <x:v>p. 2; Introduction</x:v>
      </x:c>
      <x:c r="Z35" s="6" t="str">
        <x:v>Mistral has 7 billion (B) parameters</x:v>
      </x:c>
      <x:c r="AA35" s="6" t="str">
        <x:v>使用开源权重的Mistral 7B模型在本地运行。</x:v>
      </x:c>
      <x:c r="AB35" s="2" t="str">
        <x:v>Accepted</x:v>
      </x:c>
      <x:c r="AC35" s="6" t="str">
        <x:v>Exact model snapshot available in replication package.</x:v>
      </x:c>
    </x:row>
    <x:row r="36" ht="76" customHeight="1">
      <x:c r="A36" s="2" t="str">
        <x:v>S07-MODEL-R05</x:v>
      </x:c>
      <x:c r="B36" s="2" t="str">
        <x:v>S07</x:v>
      </x:c>
      <x:c r="C36" s="2" t="str">
        <x:v>merged_0110</x:v>
      </x:c>
      <x:c r="D36" s="2" t="str">
        <x:v>Reviewer_A</x:v>
      </x:c>
      <x:c r="E36" s="2" t="str">
        <x:v>Reviewer_A</x:v>
      </x:c>
      <x:c r="F36" s="2" t="str">
        <x:v>S07-MU05</x:v>
      </x:c>
      <x:c r="G36" s="2" t="str">
        <x:v>S07-O01</x:v>
      </x:c>
      <x:c r="H36" s="2" t="str">
        <x:v>S07-T01</x:v>
      </x:c>
      <x:c r="I36" s="2" t="str">
        <x:v>Mixtral 8x7B</x:v>
      </x:c>
      <x:c r="J36" s="2" t="str">
        <x:v>mixtral-8x7b</x:v>
      </x:c>
      <x:c r="K36" s="2" t="str">
        <x:v>Mistral</x:v>
      </x:c>
      <x:c r="L36" s="2" t="str">
        <x:v>Unclear</x:v>
      </x:c>
      <x:c r="M36" s="2" t="str">
        <x:v>46.7B (13B active)</x:v>
      </x:c>
      <x:c r="N36" s="2" t="str">
        <x:v>2024-05 to 2024-07</x:v>
      </x:c>
      <x:c r="O36" s="2" t="str">
        <x:v>Open weights</x:v>
      </x:c>
      <x:c r="P36" s="2" t="str">
        <x:v>Local</x:v>
      </x:c>
      <x:c r="Q36" s="2" t="n">
        <x:v>0.1</x:v>
      </x:c>
      <x:c r="R36" s="2" t="str">
        <x:v>NR</x:v>
      </x:c>
      <x:c r="S36" s="2" t="n">
        <x:v>30</x:v>
      </x:c>
      <x:c r="T36" s="2" t="str">
        <x:v>NR</x:v>
      </x:c>
      <x:c r="U36" s="2" t="str">
        <x:v>Local on C3SE cluster (requires at least 100GB vRAM)</x:v>
      </x:c>
      <x:c r="V36" s="2" t="str">
        <x:v>NR</x:v>
      </x:c>
      <x:c r="W36" s="2" t="str">
        <x:v>Yes</x:v>
      </x:c>
      <x:c r="X36" s="2" t="str">
        <x:v>No</x:v>
      </x:c>
      <x:c r="Y36" s="6" t="str">
        <x:v>p. 2; Introduction</x:v>
      </x:c>
      <x:c r="Z36" s="6" t="str">
        <x:v>Mixtral has 46.7B parameters with 13B active</x:v>
      </x:c>
      <x:c r="AA36" s="6" t="str">
        <x:v>使用开源权重的Mixtral 8x7B模型在本地运行。</x:v>
      </x:c>
      <x:c r="AB36" s="2" t="str">
        <x:v>Accepted</x:v>
      </x:c>
      <x:c r="AC36" s="6" t="str">
        <x:v>Exact model snapshot available in replication package.</x:v>
      </x:c>
    </x:row>
    <x:row r="37" ht="76" customHeight="1">
      <x:c r="A37" s="2" t="str">
        <x:v>S08-MODEL-R01</x:v>
      </x:c>
      <x:c r="B37" s="2" t="str">
        <x:v>S08</x:v>
      </x:c>
      <x:c r="C37" s="2" t="str">
        <x:v>merged_0256</x:v>
      </x:c>
      <x:c r="D37" s="2" t="str">
        <x:v>Reviewer_A</x:v>
      </x:c>
      <x:c r="E37" s="2" t="str">
        <x:v>Reviewer_A</x:v>
      </x:c>
      <x:c r="F37" s="2" t="str">
        <x:v>S08-MU01</x:v>
      </x:c>
      <x:c r="G37" s="2" t="str">
        <x:v>S08-O01</x:v>
      </x:c>
      <x:c r="H37" s="2" t="str">
        <x:v>S08-T01</x:v>
      </x:c>
      <x:c r="I37" s="2" t="str">
        <x:v>GPT-3.5</x:v>
      </x:c>
      <x:c r="J37" s="2" t="str">
        <x:v>GPT-3.5</x:v>
      </x:c>
      <x:c r="K37" s="2" t="str">
        <x:v>GPT</x:v>
      </x:c>
      <x:c r="L37" s="2" t="str">
        <x:v>turbo-16k</x:v>
      </x:c>
      <x:c r="M37" s="2" t="str">
        <x:v>NR</x:v>
      </x:c>
      <x:c r="N37" s="2" t="str">
        <x:v>NR</x:v>
      </x:c>
      <x:c r="O37" s="2" t="str">
        <x:v>Closed</x:v>
      </x:c>
      <x:c r="P37" s="2" t="str">
        <x:v>API</x:v>
      </x:c>
      <x:c r="Q37" s="2" t="n">
        <x:v>0</x:v>
      </x:c>
      <x:c r="R37" s="2" t="str">
        <x:v>NR</x:v>
      </x:c>
      <x:c r="S37" s="2" t="str">
        <x:v>NR</x:v>
      </x:c>
      <x:c r="T37" s="2" t="str">
        <x:v>16k</x:v>
      </x:c>
      <x:c r="U37" s="2" t="str">
        <x:v>OpenAI API</x:v>
      </x:c>
      <x:c r="V37" s="2" t="str">
        <x:v>NA</x:v>
      </x:c>
      <x:c r="W37" s="2" t="str">
        <x:v>No</x:v>
      </x:c>
      <x:c r="X37" s="2" t="str">
        <x:v>No</x:v>
      </x:c>
      <x:c r="Y37" s="6" t="str">
        <x:v>p. 6; Section 5.2.5 Implementation Details</x:v>
      </x:c>
      <x:c r="Z37" s="6" t="str">
        <x:v>we utilize the OpenAI API version 0.28.0 to access both GPT-3.5 and GPT-4 models, specifying the model configuration as ’Completion’ and selecting ’gpt-3.5-turbo-16k’ and ’gpt-4’ as the model variants. We set the temperature parameter to 0</x:v>
      </x:c>
      <x:c r="AA37" s="6" t="str">
        <x:v>使用OpenAI API调用GPT-3.5-turbo-16k模型，温度设为0。</x:v>
      </x:c>
      <x:c r="AB37" s="2" t="str">
        <x:v>Accepted</x:v>
      </x:c>
      <x:c r="AC37" s="6" t="str">
        <x:v>NA</x:v>
      </x:c>
    </x:row>
    <x:row r="38" ht="76" customHeight="1">
      <x:c r="A38" s="2" t="str">
        <x:v>S08-MODEL-R02</x:v>
      </x:c>
      <x:c r="B38" s="2" t="str">
        <x:v>S08</x:v>
      </x:c>
      <x:c r="C38" s="2" t="str">
        <x:v>merged_0256</x:v>
      </x:c>
      <x:c r="D38" s="2" t="str">
        <x:v>Reviewer_A</x:v>
      </x:c>
      <x:c r="E38" s="2" t="str">
        <x:v>Reviewer_A</x:v>
      </x:c>
      <x:c r="F38" s="2" t="str">
        <x:v>S08-MU02</x:v>
      </x:c>
      <x:c r="G38" s="2" t="str">
        <x:v>S08-O02</x:v>
      </x:c>
      <x:c r="H38" s="2" t="str">
        <x:v>S08-T01</x:v>
      </x:c>
      <x:c r="I38" s="2" t="str">
        <x:v>GPT-3.5</x:v>
      </x:c>
      <x:c r="J38" s="2" t="str">
        <x:v>GPT-3.5</x:v>
      </x:c>
      <x:c r="K38" s="2" t="str">
        <x:v>GPT</x:v>
      </x:c>
      <x:c r="L38" s="2" t="str">
        <x:v>turbo-16k</x:v>
      </x:c>
      <x:c r="M38" s="2" t="str">
        <x:v>NR</x:v>
      </x:c>
      <x:c r="N38" s="2" t="str">
        <x:v>NR</x:v>
      </x:c>
      <x:c r="O38" s="2" t="str">
        <x:v>Closed</x:v>
      </x:c>
      <x:c r="P38" s="2" t="str">
        <x:v>API</x:v>
      </x:c>
      <x:c r="Q38" s="2" t="n">
        <x:v>0</x:v>
      </x:c>
      <x:c r="R38" s="2" t="str">
        <x:v>NR</x:v>
      </x:c>
      <x:c r="S38" s="2" t="str">
        <x:v>NR</x:v>
      </x:c>
      <x:c r="T38" s="2" t="str">
        <x:v>16k</x:v>
      </x:c>
      <x:c r="U38" s="2" t="str">
        <x:v>OpenAI API</x:v>
      </x:c>
      <x:c r="V38" s="2" t="str">
        <x:v>NA</x:v>
      </x:c>
      <x:c r="W38" s="2" t="str">
        <x:v>No</x:v>
      </x:c>
      <x:c r="X38" s="2" t="str">
        <x:v>No</x:v>
      </x:c>
      <x:c r="Y38" s="6" t="str">
        <x:v>p. 6; Section 5.2.5 Implementation Details</x:v>
      </x:c>
      <x:c r="Z38" s="6" t="str">
        <x:v>we utilize the OpenAI API version 0.28.0 to access both GPT-3.5 and GPT-4 models, specifying the model configuration as ’Completion’ and selecting ’gpt-3.5-turbo-16k’ and ’gpt-4’ as the model variants. We set the temperature parameter to 0</x:v>
      </x:c>
      <x:c r="AA38" s="6" t="str">
        <x:v>使用OpenAI API调用GPT-3.5-turbo-16k模型，温度设为0。</x:v>
      </x:c>
      <x:c r="AB38" s="2" t="str">
        <x:v>Accepted</x:v>
      </x:c>
      <x:c r="AC38" s="6" t="str">
        <x:v>NA</x:v>
      </x:c>
    </x:row>
    <x:row r="39" ht="76" customHeight="1">
      <x:c r="A39" s="2" t="str">
        <x:v>S08-MODEL-R03</x:v>
      </x:c>
      <x:c r="B39" s="2" t="str">
        <x:v>S08</x:v>
      </x:c>
      <x:c r="C39" s="2" t="str">
        <x:v>merged_0256</x:v>
      </x:c>
      <x:c r="D39" s="2" t="str">
        <x:v>Reviewer_A</x:v>
      </x:c>
      <x:c r="E39" s="2" t="str">
        <x:v>Reviewer_A</x:v>
      </x:c>
      <x:c r="F39" s="2" t="str">
        <x:v>S08-MU03</x:v>
      </x:c>
      <x:c r="G39" s="2" t="str">
        <x:v>S08-O04</x:v>
      </x:c>
      <x:c r="H39" s="2" t="str">
        <x:v>S08-T01</x:v>
      </x:c>
      <x:c r="I39" s="2" t="str">
        <x:v>GPT-3.5</x:v>
      </x:c>
      <x:c r="J39" s="2" t="str">
        <x:v>GPT-3.5</x:v>
      </x:c>
      <x:c r="K39" s="2" t="str">
        <x:v>GPT</x:v>
      </x:c>
      <x:c r="L39" s="2" t="str">
        <x:v>turbo-16k</x:v>
      </x:c>
      <x:c r="M39" s="2" t="str">
        <x:v>NR</x:v>
      </x:c>
      <x:c r="N39" s="2" t="str">
        <x:v>NR</x:v>
      </x:c>
      <x:c r="O39" s="2" t="str">
        <x:v>Closed</x:v>
      </x:c>
      <x:c r="P39" s="2" t="str">
        <x:v>API</x:v>
      </x:c>
      <x:c r="Q39" s="2" t="n">
        <x:v>0</x:v>
      </x:c>
      <x:c r="R39" s="2" t="str">
        <x:v>NR</x:v>
      </x:c>
      <x:c r="S39" s="2" t="str">
        <x:v>NR</x:v>
      </x:c>
      <x:c r="T39" s="2" t="str">
        <x:v>16k</x:v>
      </x:c>
      <x:c r="U39" s="2" t="str">
        <x:v>OpenAI API</x:v>
      </x:c>
      <x:c r="V39" s="2" t="str">
        <x:v>NA</x:v>
      </x:c>
      <x:c r="W39" s="2" t="str">
        <x:v>No</x:v>
      </x:c>
      <x:c r="X39" s="2" t="str">
        <x:v>No</x:v>
      </x:c>
      <x:c r="Y39" s="6" t="str">
        <x:v>p. 6; Section 5.2.5 Implementation Details</x:v>
      </x:c>
      <x:c r="Z39" s="6" t="str">
        <x:v>we utilize the OpenAI API version 0.28.0 to access both GPT-3.5 and GPT-4 models, specifying the model configuration as ’Completion’ and selecting ’gpt-3.5-turbo-16k’ and ’gpt-4’ as the model variants. We set the temperature parameter to 0</x:v>
      </x:c>
      <x:c r="AA39" s="6" t="str">
        <x:v>使用OpenAI API调用GPT-3.5-turbo-16k模型，温度设为0。</x:v>
      </x:c>
      <x:c r="AB39" s="2" t="str">
        <x:v>Accepted</x:v>
      </x:c>
      <x:c r="AC39" s="6" t="str">
        <x:v>NA</x:v>
      </x:c>
    </x:row>
    <x:row r="40" ht="76" customHeight="1">
      <x:c r="A40" s="2" t="str">
        <x:v>S08-MODEL-R04</x:v>
      </x:c>
      <x:c r="B40" s="2" t="str">
        <x:v>S08</x:v>
      </x:c>
      <x:c r="C40" s="2" t="str">
        <x:v>merged_0256</x:v>
      </x:c>
      <x:c r="D40" s="2" t="str">
        <x:v>Reviewer_A</x:v>
      </x:c>
      <x:c r="E40" s="2" t="str">
        <x:v>Reviewer_A</x:v>
      </x:c>
      <x:c r="F40" s="2" t="str">
        <x:v>S08-MU04</x:v>
      </x:c>
      <x:c r="G40" s="2" t="str">
        <x:v>S08-O01</x:v>
      </x:c>
      <x:c r="H40" s="2" t="str">
        <x:v>S08-T01</x:v>
      </x:c>
      <x:c r="I40" s="2" t="str">
        <x:v>GPT-4</x:v>
      </x:c>
      <x:c r="J40" s="2" t="str">
        <x:v>GPT-4</x:v>
      </x:c>
      <x:c r="K40" s="2" t="str">
        <x:v>GPT</x:v>
      </x:c>
      <x:c r="L40" s="2" t="str">
        <x:v>gpt-4</x:v>
      </x:c>
      <x:c r="M40" s="2" t="str">
        <x:v>NR</x:v>
      </x:c>
      <x:c r="N40" s="2" t="str">
        <x:v>NR</x:v>
      </x:c>
      <x:c r="O40" s="2" t="str">
        <x:v>Closed</x:v>
      </x:c>
      <x:c r="P40" s="2" t="str">
        <x:v>API</x:v>
      </x:c>
      <x:c r="Q40" s="2" t="n">
        <x:v>0</x:v>
      </x:c>
      <x:c r="R40" s="2" t="str">
        <x:v>NR</x:v>
      </x:c>
      <x:c r="S40" s="2" t="str">
        <x:v>NR</x:v>
      </x:c>
      <x:c r="T40" s="2" t="str">
        <x:v>NR</x:v>
      </x:c>
      <x:c r="U40" s="2" t="str">
        <x:v>OpenAI API</x:v>
      </x:c>
      <x:c r="V40" s="2" t="str">
        <x:v>NA</x:v>
      </x:c>
      <x:c r="W40" s="2" t="str">
        <x:v>No</x:v>
      </x:c>
      <x:c r="X40" s="2" t="str">
        <x:v>No</x:v>
      </x:c>
      <x:c r="Y40" s="6" t="str">
        <x:v>p. 6; Section 5.2.5 Implementation Details</x:v>
      </x:c>
      <x:c r="Z40" s="6" t="str">
        <x:v>we utilize the OpenAI API version 0.28.0 to access both GPT-3.5 and GPT-4 models, specifying the model configuration as ’Completion’ and selecting ’gpt-3.5-turbo-16k’ and ’gpt-4’ as the model variants. We set the temperature parameter to 0</x:v>
      </x:c>
      <x:c r="AA40" s="6" t="str">
        <x:v>使用OpenAI API调用GPT-4模型，温度设为0。</x:v>
      </x:c>
      <x:c r="AB40" s="2" t="str">
        <x:v>Accepted</x:v>
      </x:c>
      <x:c r="AC40" s="6" t="str">
        <x:v>NA</x:v>
      </x:c>
    </x:row>
    <x:row r="41" ht="76" customHeight="1">
      <x:c r="A41" s="2" t="str">
        <x:v>S08-MODEL-R05</x:v>
      </x:c>
      <x:c r="B41" s="2" t="str">
        <x:v>S08</x:v>
      </x:c>
      <x:c r="C41" s="2" t="str">
        <x:v>merged_0256</x:v>
      </x:c>
      <x:c r="D41" s="2" t="str">
        <x:v>Reviewer_A</x:v>
      </x:c>
      <x:c r="E41" s="2" t="str">
        <x:v>Reviewer_A</x:v>
      </x:c>
      <x:c r="F41" s="2" t="str">
        <x:v>S08-MU05</x:v>
      </x:c>
      <x:c r="G41" s="2" t="str">
        <x:v>S08-O02</x:v>
      </x:c>
      <x:c r="H41" s="2" t="str">
        <x:v>S08-T01</x:v>
      </x:c>
      <x:c r="I41" s="2" t="str">
        <x:v>GPT-4</x:v>
      </x:c>
      <x:c r="J41" s="2" t="str">
        <x:v>GPT-4</x:v>
      </x:c>
      <x:c r="K41" s="2" t="str">
        <x:v>GPT</x:v>
      </x:c>
      <x:c r="L41" s="2" t="str">
        <x:v>gpt-4</x:v>
      </x:c>
      <x:c r="M41" s="2" t="str">
        <x:v>NR</x:v>
      </x:c>
      <x:c r="N41" s="2" t="str">
        <x:v>NR</x:v>
      </x:c>
      <x:c r="O41" s="2" t="str">
        <x:v>Closed</x:v>
      </x:c>
      <x:c r="P41" s="2" t="str">
        <x:v>API</x:v>
      </x:c>
      <x:c r="Q41" s="2" t="n">
        <x:v>0</x:v>
      </x:c>
      <x:c r="R41" s="2" t="str">
        <x:v>NR</x:v>
      </x:c>
      <x:c r="S41" s="2" t="str">
        <x:v>NR</x:v>
      </x:c>
      <x:c r="T41" s="2" t="str">
        <x:v>NR</x:v>
      </x:c>
      <x:c r="U41" s="2" t="str">
        <x:v>OpenAI API</x:v>
      </x:c>
      <x:c r="V41" s="2" t="str">
        <x:v>NA</x:v>
      </x:c>
      <x:c r="W41" s="2" t="str">
        <x:v>No</x:v>
      </x:c>
      <x:c r="X41" s="2" t="str">
        <x:v>No</x:v>
      </x:c>
      <x:c r="Y41" s="6" t="str">
        <x:v>p. 6; Section 5.2.5 Implementation Details</x:v>
      </x:c>
      <x:c r="Z41" s="6" t="str">
        <x:v>we utilize the OpenAI API version 0.28.0 to access both GPT-3.5 and GPT-4 models, specifying the model configuration as ’Completion’ and selecting ’gpt-3.5-turbo-16k’ and ’gpt-4’ as the model variants. We set the temperature parameter to 0</x:v>
      </x:c>
      <x:c r="AA41" s="6" t="str">
        <x:v>使用OpenAI API调用GPT-4模型，温度设为0。</x:v>
      </x:c>
      <x:c r="AB41" s="2" t="str">
        <x:v>Accepted</x:v>
      </x:c>
      <x:c r="AC41" s="6" t="str">
        <x:v>NA</x:v>
      </x:c>
    </x:row>
    <x:row r="42" ht="76" customHeight="1">
      <x:c r="A42" s="2" t="str">
        <x:v>S08-MODEL-R06</x:v>
      </x:c>
      <x:c r="B42" s="2" t="str">
        <x:v>S08</x:v>
      </x:c>
      <x:c r="C42" s="2" t="str">
        <x:v>merged_0256</x:v>
      </x:c>
      <x:c r="D42" s="2" t="str">
        <x:v>Reviewer_A</x:v>
      </x:c>
      <x:c r="E42" s="2" t="str">
        <x:v>Reviewer_A</x:v>
      </x:c>
      <x:c r="F42" s="2" t="str">
        <x:v>S08-MU06</x:v>
      </x:c>
      <x:c r="G42" s="2" t="str">
        <x:v>S08-O03</x:v>
      </x:c>
      <x:c r="H42" s="2" t="str">
        <x:v>S08-T01</x:v>
      </x:c>
      <x:c r="I42" s="2" t="str">
        <x:v>GPT-4</x:v>
      </x:c>
      <x:c r="J42" s="2" t="str">
        <x:v>GPT-4</x:v>
      </x:c>
      <x:c r="K42" s="2" t="str">
        <x:v>GPT</x:v>
      </x:c>
      <x:c r="L42" s="2" t="str">
        <x:v>gpt-4</x:v>
      </x:c>
      <x:c r="M42" s="2" t="str">
        <x:v>NR</x:v>
      </x:c>
      <x:c r="N42" s="2" t="str">
        <x:v>NR</x:v>
      </x:c>
      <x:c r="O42" s="2" t="str">
        <x:v>Closed</x:v>
      </x:c>
      <x:c r="P42" s="2" t="str">
        <x:v>API</x:v>
      </x:c>
      <x:c r="Q42" s="2" t="n">
        <x:v>0</x:v>
      </x:c>
      <x:c r="R42" s="2" t="str">
        <x:v>NR</x:v>
      </x:c>
      <x:c r="S42" s="2" t="str">
        <x:v>NR</x:v>
      </x:c>
      <x:c r="T42" s="2" t="str">
        <x:v>NR</x:v>
      </x:c>
      <x:c r="U42" s="2" t="str">
        <x:v>OpenAI API</x:v>
      </x:c>
      <x:c r="V42" s="2" t="str">
        <x:v>NA</x:v>
      </x:c>
      <x:c r="W42" s="2" t="str">
        <x:v>No</x:v>
      </x:c>
      <x:c r="X42" s="2" t="str">
        <x:v>No</x:v>
      </x:c>
      <x:c r="Y42" s="6" t="str">
        <x:v>p. 6; Section 5.2.5 Implementation Details</x:v>
      </x:c>
      <x:c r="Z42" s="6" t="str">
        <x:v>we utilize the OpenAI API version 0.28.0 to access both GPT-3.5 and GPT-4 models, specifying the model configuration as ’Completion’ and selecting ’gpt-3.5-turbo-16k’ and ’gpt-4’ as the model variants. We set the temperature parameter to 0</x:v>
      </x:c>
      <x:c r="AA42" s="6" t="str">
        <x:v>使用OpenAI API调用GPT-4模型，温度设为0。</x:v>
      </x:c>
      <x:c r="AB42" s="2" t="str">
        <x:v>Accepted</x:v>
      </x:c>
      <x:c r="AC42" s="6" t="str">
        <x:v>NA</x:v>
      </x:c>
    </x:row>
    <x:row r="43" ht="76" customHeight="1">
      <x:c r="A43" s="2" t="str">
        <x:v>S08-MODEL-R07</x:v>
      </x:c>
      <x:c r="B43" s="2" t="str">
        <x:v>S08</x:v>
      </x:c>
      <x:c r="C43" s="2" t="str">
        <x:v>merged_0256</x:v>
      </x:c>
      <x:c r="D43" s="2" t="str">
        <x:v>Reviewer_A</x:v>
      </x:c>
      <x:c r="E43" s="2" t="str">
        <x:v>Reviewer_A</x:v>
      </x:c>
      <x:c r="F43" s="2" t="str">
        <x:v>S08-MU07</x:v>
      </x:c>
      <x:c r="G43" s="2" t="str">
        <x:v>S08-O04</x:v>
      </x:c>
      <x:c r="H43" s="2" t="str">
        <x:v>S08-T01</x:v>
      </x:c>
      <x:c r="I43" s="2" t="str">
        <x:v>GPT-4</x:v>
      </x:c>
      <x:c r="J43" s="2" t="str">
        <x:v>GPT-4</x:v>
      </x:c>
      <x:c r="K43" s="2" t="str">
        <x:v>GPT</x:v>
      </x:c>
      <x:c r="L43" s="2" t="str">
        <x:v>gpt-4</x:v>
      </x:c>
      <x:c r="M43" s="2" t="str">
        <x:v>NR</x:v>
      </x:c>
      <x:c r="N43" s="2" t="str">
        <x:v>NR</x:v>
      </x:c>
      <x:c r="O43" s="2" t="str">
        <x:v>Closed</x:v>
      </x:c>
      <x:c r="P43" s="2" t="str">
        <x:v>API</x:v>
      </x:c>
      <x:c r="Q43" s="2" t="n">
        <x:v>0</x:v>
      </x:c>
      <x:c r="R43" s="2" t="str">
        <x:v>NR</x:v>
      </x:c>
      <x:c r="S43" s="2" t="str">
        <x:v>NR</x:v>
      </x:c>
      <x:c r="T43" s="2" t="str">
        <x:v>NR</x:v>
      </x:c>
      <x:c r="U43" s="2" t="str">
        <x:v>OpenAI API</x:v>
      </x:c>
      <x:c r="V43" s="2" t="str">
        <x:v>NA</x:v>
      </x:c>
      <x:c r="W43" s="2" t="str">
        <x:v>No</x:v>
      </x:c>
      <x:c r="X43" s="2" t="str">
        <x:v>No</x:v>
      </x:c>
      <x:c r="Y43" s="6" t="str">
        <x:v>p. 6; Section 5.2.5 Implementation Details</x:v>
      </x:c>
      <x:c r="Z43" s="6" t="str">
        <x:v>we utilize the OpenAI API version 0.28.0 to access both GPT-3.5 and GPT-4 models, specifying the model configuration as ’Completion’ and selecting ’gpt-3.5-turbo-16k’ and ’gpt-4’ as the model variants. We set the temperature parameter to 0</x:v>
      </x:c>
      <x:c r="AA43" s="6" t="str">
        <x:v>使用OpenAI API调用GPT-4模型，温度设为0。</x:v>
      </x:c>
      <x:c r="AB43" s="2" t="str">
        <x:v>Accepted</x:v>
      </x:c>
      <x:c r="AC43" s="6" t="str">
        <x:v>NA</x:v>
      </x:c>
    </x:row>
    <x:row r="44" ht="76" customHeight="1">
      <x:c r="A44" s="2" t="str">
        <x:v>S09-MODEL-R01</x:v>
      </x:c>
      <x:c r="B44" s="2" t="str">
        <x:v>S09</x:v>
      </x:c>
      <x:c r="C44" s="2" t="str">
        <x:v>merged_1114-v1</x:v>
      </x:c>
      <x:c r="D44" s="2" t="str">
        <x:v>Reviewer_A</x:v>
      </x:c>
      <x:c r="E44" s="2" t="str">
        <x:v>Reviewer_A</x:v>
      </x:c>
      <x:c r="F44" s="2" t="str">
        <x:v>S09-MU01</x:v>
      </x:c>
      <x:c r="G44" s="2" t="str">
        <x:v>S09-O01</x:v>
      </x:c>
      <x:c r="H44" s="2" t="str">
        <x:v>S09-T01</x:v>
      </x:c>
      <x:c r="I44" s="2" t="str">
        <x:v>MLLM</x:v>
      </x:c>
      <x:c r="J44" s="2" t="str">
        <x:v>NR</x:v>
      </x:c>
      <x:c r="K44" s="2" t="str">
        <x:v>NR</x:v>
      </x:c>
      <x:c r="L44" s="2" t="str">
        <x:v>NR</x:v>
      </x:c>
      <x:c r="M44" s="2" t="str">
        <x:v>NR</x:v>
      </x:c>
      <x:c r="N44" s="2" t="str">
        <x:v>NR</x:v>
      </x:c>
      <x:c r="O44" s="2" t="str">
        <x:v>NR</x:v>
      </x:c>
      <x:c r="P44" s="2" t="str">
        <x:v>NR</x:v>
      </x:c>
      <x:c r="Q44" s="2" t="str">
        <x:v>NR</x:v>
      </x:c>
      <x:c r="R44" s="2" t="str">
        <x:v>NR</x:v>
      </x:c>
      <x:c r="S44" s="2" t="str">
        <x:v>NR</x:v>
      </x:c>
      <x:c r="T44" s="2" t="str">
        <x:v>NR</x:v>
      </x:c>
      <x:c r="U44" s="2" t="str">
        <x:v>NR</x:v>
      </x:c>
      <x:c r="V44" s="2" t="str">
        <x:v>NR</x:v>
      </x:c>
      <x:c r="W44" s="2" t="str">
        <x:v>No</x:v>
      </x:c>
      <x:c r="X44" s="2" t="str">
        <x:v>No</x:v>
      </x:c>
      <x:c r="Y44" s="6" t="str">
        <x:v>p. 3; Section III-D</x:v>
      </x:c>
      <x:c r="Z44" s="6" t="str">
        <x:v>MLLM (P (r, c))</x:v>
      </x:c>
      <x:c r="AA44" s="6" t="str">
        <x:v>论文未提供所使用的LLM的具体名称、版本或配置，仅以MLLM代指，无法确定模型家族、开放/封闭等属性。</x:v>
      </x:c>
      <x:c r="AB44" s="2" t="str">
        <x:v>Accepted</x:v>
      </x:c>
      <x:c r="AC44" s="6" t="str">
        <x:v>NA</x:v>
      </x:c>
    </x:row>
    <x:row r="45" ht="76" customHeight="1">
      <x:c r="A45" s="2" t="str">
        <x:v>S10-MODEL-R01</x:v>
      </x:c>
      <x:c r="B45" s="2" t="str">
        <x:v>S10</x:v>
      </x:c>
      <x:c r="C45" s="2" t="str">
        <x:v>merged_1119-v2</x:v>
      </x:c>
      <x:c r="D45" s="2" t="str">
        <x:v>Reviewer_A</x:v>
      </x:c>
      <x:c r="E45" s="2" t="str">
        <x:v>Reviewer_A</x:v>
      </x:c>
      <x:c r="F45" s="2" t="str">
        <x:v>S10-MU01</x:v>
      </x:c>
      <x:c r="G45" s="2" t="str">
        <x:v>S10-O01</x:v>
      </x:c>
      <x:c r="H45" s="2" t="str">
        <x:v>S10-T01</x:v>
      </x:c>
      <x:c r="I45" s="2" t="str">
        <x:v>GPT-5.1</x:v>
      </x:c>
      <x:c r="J45" s="2" t="str">
        <x:v>GPT-5.1</x:v>
      </x:c>
      <x:c r="K45" s="2" t="str">
        <x:v>GPT</x:v>
      </x:c>
      <x:c r="L45" s="2" t="str">
        <x:v>NR</x:v>
      </x:c>
      <x:c r="M45" s="2" t="str">
        <x:v>Unclear</x:v>
      </x:c>
      <x:c r="N45" s="2" t="str">
        <x:v>NR</x:v>
      </x:c>
      <x:c r="O45" s="2" t="str">
        <x:v>Closed</x:v>
      </x:c>
      <x:c r="P45" s="2" t="str">
        <x:v>API</x:v>
      </x:c>
      <x:c r="Q45" s="2" t="str">
        <x:v>NR</x:v>
      </x:c>
      <x:c r="R45" s="2" t="str">
        <x:v>NR</x:v>
      </x:c>
      <x:c r="S45" s="2" t="str">
        <x:v>NR</x:v>
      </x:c>
      <x:c r="T45" s="2" t="str">
        <x:v>NR</x:v>
      </x:c>
      <x:c r="U45" s="2" t="str">
        <x:v>via the OpenAI API, using batch API</x:v>
      </x:c>
      <x:c r="V45" s="2" t="str">
        <x:v>NR</x:v>
      </x:c>
      <x:c r="W45" s="2" t="str">
        <x:v>Yes</x:v>
      </x:c>
      <x:c r="X45" s="2" t="str">
        <x:v>No</x:v>
      </x:c>
      <x:c r="Y45" s="6" t="str">
        <x:v>p. 4; Section 5.3</x:v>
      </x:c>
      <x:c r="Z45" s="6" t="str">
        <x:v>We evaluated GPT-5.1 via the OpenAI API</x:v>
      </x:c>
      <x:c r="AA45" s="6" t="str">
        <x:v>GPT-5.1通过OpenAI API调用，作为重排序技术评估。</x:v>
      </x:c>
      <x:c r="AB45" s="2" t="str">
        <x:v>Accepted</x:v>
      </x:c>
      <x:c r="AC45" s="6" t="str">
        <x:v>NA</x:v>
      </x:c>
    </x:row>
    <x:row r="46" ht="76" customHeight="1">
      <x:c r="A46" s="2" t="str">
        <x:v>S10-MODEL-R02</x:v>
      </x:c>
      <x:c r="B46" s="2" t="str">
        <x:v>S10</x:v>
      </x:c>
      <x:c r="C46" s="2" t="str">
        <x:v>merged_1119-v2</x:v>
      </x:c>
      <x:c r="D46" s="2" t="str">
        <x:v>Reviewer_A</x:v>
      </x:c>
      <x:c r="E46" s="2" t="str">
        <x:v>Reviewer_A</x:v>
      </x:c>
      <x:c r="F46" s="2" t="str">
        <x:v>S10-MU02</x:v>
      </x:c>
      <x:c r="G46" s="2" t="str">
        <x:v>S10-O01</x:v>
      </x:c>
      <x:c r="H46" s="2" t="str">
        <x:v>S10-T01</x:v>
      </x:c>
      <x:c r="I46" s="2" t="str">
        <x:v>Llama-3.1-8B-Instruct</x:v>
      </x:c>
      <x:c r="J46" s="2" t="str">
        <x:v>Llama-3.1-8B-Instruct</x:v>
      </x:c>
      <x:c r="K46" s="2" t="str">
        <x:v>Llama</x:v>
      </x:c>
      <x:c r="L46" s="2" t="str">
        <x:v>3.1-8B-Instruct</x:v>
      </x:c>
      <x:c r="M46" s="2" t="str">
        <x:v>8B</x:v>
      </x:c>
      <x:c r="N46" s="2" t="str">
        <x:v>2026-04-30</x:v>
      </x:c>
      <x:c r="O46" s="2" t="str">
        <x:v>Open weights</x:v>
      </x:c>
      <x:c r="P46" s="2" t="str">
        <x:v>Local</x:v>
      </x:c>
      <x:c r="Q46" s="2" t="str">
        <x:v>NR</x:v>
      </x:c>
      <x:c r="R46" s="2" t="str">
        <x:v>NR</x:v>
      </x:c>
      <x:c r="S46" s="2" t="str">
        <x:v>NR</x:v>
      </x:c>
      <x:c r="T46" s="2" t="str">
        <x:v>NR</x:v>
      </x:c>
      <x:c r="U46" s="2" t="str">
        <x:v>locally run</x:v>
      </x:c>
      <x:c r="V46" s="2" t="str">
        <x:v>NR</x:v>
      </x:c>
      <x:c r="W46" s="2" t="str">
        <x:v>No</x:v>
      </x:c>
      <x:c r="X46" s="2" t="str">
        <x:v>No</x:v>
      </x:c>
      <x:c r="Y46" s="6" t="str">
        <x:v>p. 8; Section 5.3</x:v>
      </x:c>
      <x:c r="Z46" s="6" t="str">
        <x:v>Llama-3.1-8B-Instruct</x:v>
      </x:c>
      <x:c r="AA46" s="6" t="str">
        <x:v>Llama-3.1-8B-Instruct在本地运行，作为重排序技术评估。</x:v>
      </x:c>
      <x:c r="AB46" s="2" t="str">
        <x:v>Accepted</x:v>
      </x:c>
      <x:c r="AC46" s="6" t="str">
        <x:v>NA</x:v>
      </x:c>
    </x:row>
    <x:row r="47" ht="76" customHeight="1">
      <x:c r="A47" s="2" t="str">
        <x:v>S10-MODEL-R03</x:v>
      </x:c>
      <x:c r="B47" s="2" t="str">
        <x:v>S10</x:v>
      </x:c>
      <x:c r="C47" s="2" t="str">
        <x:v>merged_1119-v2</x:v>
      </x:c>
      <x:c r="D47" s="2" t="str">
        <x:v>Reviewer_A</x:v>
      </x:c>
      <x:c r="E47" s="2" t="str">
        <x:v>Reviewer_A</x:v>
      </x:c>
      <x:c r="F47" s="2" t="str">
        <x:v>S10-MU03</x:v>
      </x:c>
      <x:c r="G47" s="2" t="str">
        <x:v>S10-O01</x:v>
      </x:c>
      <x:c r="H47" s="2" t="str">
        <x:v>S10-T01</x:v>
      </x:c>
      <x:c r="I47" s="2" t="str">
        <x:v>Gemma-7B</x:v>
      </x:c>
      <x:c r="J47" s="2" t="str">
        <x:v>Gemma-7B</x:v>
      </x:c>
      <x:c r="K47" s="2" t="str">
        <x:v>Gemma</x:v>
      </x:c>
      <x:c r="L47" s="2" t="str">
        <x:v>7B</x:v>
      </x:c>
      <x:c r="M47" s="2" t="str">
        <x:v>7B</x:v>
      </x:c>
      <x:c r="N47" s="2" t="str">
        <x:v>2026-04-30</x:v>
      </x:c>
      <x:c r="O47" s="2" t="str">
        <x:v>Open weights</x:v>
      </x:c>
      <x:c r="P47" s="2" t="str">
        <x:v>Local</x:v>
      </x:c>
      <x:c r="Q47" s="2" t="str">
        <x:v>NR</x:v>
      </x:c>
      <x:c r="R47" s="2" t="str">
        <x:v>NR</x:v>
      </x:c>
      <x:c r="S47" s="2" t="str">
        <x:v>NR</x:v>
      </x:c>
      <x:c r="T47" s="2" t="str">
        <x:v>NR</x:v>
      </x:c>
      <x:c r="U47" s="2" t="str">
        <x:v>locally run</x:v>
      </x:c>
      <x:c r="V47" s="2" t="str">
        <x:v>NR</x:v>
      </x:c>
      <x:c r="W47" s="2" t="str">
        <x:v>No</x:v>
      </x:c>
      <x:c r="X47" s="2" t="str">
        <x:v>No</x:v>
      </x:c>
      <x:c r="Y47" s="6" t="str">
        <x:v>p. 4; Section 5.3</x:v>
      </x:c>
      <x:c r="Z47" s="6" t="str">
        <x:v>Gemma-7B</x:v>
      </x:c>
      <x:c r="AA47" s="6" t="str">
        <x:v>Gemma-7B在本地运行，作为重排序技术评估。</x:v>
      </x:c>
      <x:c r="AB47" s="2" t="str">
        <x:v>Accepted</x:v>
      </x:c>
      <x:c r="AC47" s="6" t="str">
        <x:v>NA</x:v>
      </x:c>
    </x:row>
    <x:row r="48" ht="76" customHeight="1">
      <x:c r="A48" s="2" t="str">
        <x:v>S10-MODEL-R04</x:v>
      </x:c>
      <x:c r="B48" s="2" t="str">
        <x:v>S10</x:v>
      </x:c>
      <x:c r="C48" s="2" t="str">
        <x:v>merged_1119-v2</x:v>
      </x:c>
      <x:c r="D48" s="2" t="str">
        <x:v>Reviewer_A</x:v>
      </x:c>
      <x:c r="E48" s="2" t="str">
        <x:v>Reviewer_A</x:v>
      </x:c>
      <x:c r="F48" s="2" t="str">
        <x:v>S10-MU04</x:v>
      </x:c>
      <x:c r="G48" s="2" t="str">
        <x:v>S10-O01</x:v>
      </x:c>
      <x:c r="H48" s="2" t="str">
        <x:v>S10-T01</x:v>
      </x:c>
      <x:c r="I48" s="2" t="str">
        <x:v>Qwen3-32B</x:v>
      </x:c>
      <x:c r="J48" s="2" t="str">
        <x:v>Qwen3-32B</x:v>
      </x:c>
      <x:c r="K48" s="2" t="str">
        <x:v>Qwen</x:v>
      </x:c>
      <x:c r="L48" s="2" t="str">
        <x:v>3-32B</x:v>
      </x:c>
      <x:c r="M48" s="2" t="str">
        <x:v>32B</x:v>
      </x:c>
      <x:c r="N48" s="2" t="str">
        <x:v>2026-04-30</x:v>
      </x:c>
      <x:c r="O48" s="2" t="str">
        <x:v>Open weights</x:v>
      </x:c>
      <x:c r="P48" s="2" t="str">
        <x:v>Local</x:v>
      </x:c>
      <x:c r="Q48" s="2" t="str">
        <x:v>NR</x:v>
      </x:c>
      <x:c r="R48" s="2" t="str">
        <x:v>NR</x:v>
      </x:c>
      <x:c r="S48" s="2" t="str">
        <x:v>NR</x:v>
      </x:c>
      <x:c r="T48" s="2" t="str">
        <x:v>NR</x:v>
      </x:c>
      <x:c r="U48" s="2" t="str">
        <x:v>locally run</x:v>
      </x:c>
      <x:c r="V48" s="2" t="str">
        <x:v>NR</x:v>
      </x:c>
      <x:c r="W48" s="2" t="str">
        <x:v>No</x:v>
      </x:c>
      <x:c r="X48" s="2" t="str">
        <x:v>No</x:v>
      </x:c>
      <x:c r="Y48" s="6" t="str">
        <x:v>p. 4; Section 5.3</x:v>
      </x:c>
      <x:c r="Z48" s="6" t="str">
        <x:v>Qwen3-32B</x:v>
      </x:c>
      <x:c r="AA48" s="6" t="str">
        <x:v>Qwen3-32B在本地运行，作为重排序技术评估。</x:v>
      </x:c>
      <x:c r="AB48" s="2" t="str">
        <x:v>Accepted</x:v>
      </x:c>
      <x:c r="AC48" s="6" t="str">
        <x:v>NA</x:v>
      </x:c>
    </x:row>
    <x:row r="49" ht="76" customHeight="1">
      <x:c r="A49" s="2" t="str">
        <x:v>S11-MODEL-R01</x:v>
      </x:c>
      <x:c r="B49" s="2" t="str">
        <x:v>S11</x:v>
      </x:c>
      <x:c r="C49" s="2" t="str">
        <x:v>merged_1121-v1</x:v>
      </x:c>
      <x:c r="D49" s="2" t="str">
        <x:v>Reviewer_A</x:v>
      </x:c>
      <x:c r="E49" s="2" t="str">
        <x:v>Reviewer_A</x:v>
      </x:c>
      <x:c r="F49" s="2" t="str">
        <x:v>S11-MU01</x:v>
      </x:c>
      <x:c r="G49" s="2" t="str">
        <x:v>S11-O01</x:v>
      </x:c>
      <x:c r="H49" s="2" t="str">
        <x:v>S11-T01</x:v>
      </x:c>
      <x:c r="I49" s="2" t="str">
        <x:v>DeepSeek-V3.1-Terminus</x:v>
      </x:c>
      <x:c r="J49" s="2" t="str">
        <x:v>deepseek-v3-terminus</x:v>
      </x:c>
      <x:c r="K49" s="2" t="str">
        <x:v>DeepSeek</x:v>
      </x:c>
      <x:c r="L49" s="2" t="str">
        <x:v>V3.1-Terminus</x:v>
      </x:c>
      <x:c r="M49" s="2" t="str">
        <x:v>NR</x:v>
      </x:c>
      <x:c r="N49" s="2" t="str">
        <x:v>Unclear</x:v>
      </x:c>
      <x:c r="O49" s="2" t="str">
        <x:v>Open weights</x:v>
      </x:c>
      <x:c r="P49" s="2" t="str">
        <x:v>API</x:v>
      </x:c>
      <x:c r="Q49" s="2" t="n">
        <x:v>0</x:v>
      </x:c>
      <x:c r="R49" s="2" t="n">
        <x:v>42</x:v>
      </x:c>
      <x:c r="S49" s="2" t="n">
        <x:v>1</x:v>
      </x:c>
      <x:c r="T49" s="2" t="str">
        <x:v>NR</x:v>
      </x:c>
      <x:c r="U49" s="2" t="str">
        <x:v>API</x:v>
      </x:c>
      <x:c r="V49" s="2" t="str">
        <x:v>NR</x:v>
      </x:c>
      <x:c r="W49" s="2" t="str">
        <x:v>Yes</x:v>
      </x:c>
      <x:c r="X49" s="2" t="str">
        <x:v>Yes</x:v>
      </x:c>
      <x:c r="Y49" s="6" t="str">
        <x:v>p. 6; Section IV-B</x:v>
      </x:c>
      <x:c r="Z49" s="6" t="str">
        <x:v>random seed fixed to 42.</x:v>
      </x:c>
      <x:c r="AA49" s="6" t="str">
        <x:v>所有LLM操作均使用同一个DeepSeek-V3.1-Terminus模型，并通过API调用，实验设置温度0、随机种子42。</x:v>
      </x:c>
      <x:c r="AB49" s="2" t="str">
        <x:v>Accepted</x:v>
      </x:c>
      <x:c r="AC49" s="6" t="str">
        <x:v>NR</x:v>
      </x:c>
    </x:row>
    <x:row r="50" ht="76" customHeight="1">
      <x:c r="A50" s="2" t="str">
        <x:v>S11-MODEL-R02</x:v>
      </x:c>
      <x:c r="B50" s="2" t="str">
        <x:v>S11</x:v>
      </x:c>
      <x:c r="C50" s="2" t="str">
        <x:v>merged_1121-v1</x:v>
      </x:c>
      <x:c r="D50" s="2" t="str">
        <x:v>Reviewer_A</x:v>
      </x:c>
      <x:c r="E50" s="2" t="str">
        <x:v>Reviewer_A</x:v>
      </x:c>
      <x:c r="F50" s="2" t="str">
        <x:v>S11-MU02</x:v>
      </x:c>
      <x:c r="G50" s="2" t="str">
        <x:v>S11-O02</x:v>
      </x:c>
      <x:c r="H50" s="2" t="str">
        <x:v>S11-T01</x:v>
      </x:c>
      <x:c r="I50" s="2" t="str">
        <x:v>DeepSeek-V3.1-Terminus</x:v>
      </x:c>
      <x:c r="J50" s="2" t="str">
        <x:v>deepseek-v3-terminus</x:v>
      </x:c>
      <x:c r="K50" s="2" t="str">
        <x:v>DeepSeek</x:v>
      </x:c>
      <x:c r="L50" s="2" t="str">
        <x:v>V3.1-Terminus</x:v>
      </x:c>
      <x:c r="M50" s="2" t="str">
        <x:v>NR</x:v>
      </x:c>
      <x:c r="N50" s="2" t="str">
        <x:v>Unclear</x:v>
      </x:c>
      <x:c r="O50" s="2" t="str">
        <x:v>Open weights</x:v>
      </x:c>
      <x:c r="P50" s="2" t="str">
        <x:v>API</x:v>
      </x:c>
      <x:c r="Q50" s="2" t="n">
        <x:v>0</x:v>
      </x:c>
      <x:c r="R50" s="2" t="n">
        <x:v>42</x:v>
      </x:c>
      <x:c r="S50" s="2" t="n">
        <x:v>1</x:v>
      </x:c>
      <x:c r="T50" s="2" t="str">
        <x:v>NR</x:v>
      </x:c>
      <x:c r="U50" s="2" t="str">
        <x:v>API</x:v>
      </x:c>
      <x:c r="V50" s="2" t="str">
        <x:v>NR</x:v>
      </x:c>
      <x:c r="W50" s="2" t="str">
        <x:v>Yes</x:v>
      </x:c>
      <x:c r="X50" s="2" t="str">
        <x:v>Yes</x:v>
      </x:c>
      <x:c r="Y50" s="6" t="str">
        <x:v>p. 6; Section IV-B</x:v>
      </x:c>
      <x:c r="Z50" s="6" t="str">
        <x:v>random seed fixed to 42.</x:v>
      </x:c>
      <x:c r="AA50" s="6" t="str">
        <x:v>与M1相同模型，复用于代码分解操作。</x:v>
      </x:c>
      <x:c r="AB50" s="2" t="str">
        <x:v>Accepted</x:v>
      </x:c>
      <x:c r="AC50" s="6" t="str">
        <x:v>NR</x:v>
      </x:c>
    </x:row>
    <x:row r="51" ht="76" customHeight="1">
      <x:c r="A51" s="2" t="str">
        <x:v>S11-MODEL-R03</x:v>
      </x:c>
      <x:c r="B51" s="2" t="str">
        <x:v>S11</x:v>
      </x:c>
      <x:c r="C51" s="2" t="str">
        <x:v>merged_1121-v1</x:v>
      </x:c>
      <x:c r="D51" s="2" t="str">
        <x:v>Reviewer_A</x:v>
      </x:c>
      <x:c r="E51" s="2" t="str">
        <x:v>Reviewer_A</x:v>
      </x:c>
      <x:c r="F51" s="2" t="str">
        <x:v>S11-MU03</x:v>
      </x:c>
      <x:c r="G51" s="2" t="str">
        <x:v>S11-O03</x:v>
      </x:c>
      <x:c r="H51" s="2" t="str">
        <x:v>S11-T01</x:v>
      </x:c>
      <x:c r="I51" s="2" t="str">
        <x:v>DeepSeek-V3.1-Terminus</x:v>
      </x:c>
      <x:c r="J51" s="2" t="str">
        <x:v>deepseek-v3-terminus</x:v>
      </x:c>
      <x:c r="K51" s="2" t="str">
        <x:v>DeepSeek</x:v>
      </x:c>
      <x:c r="L51" s="2" t="str">
        <x:v>V3.1-Terminus</x:v>
      </x:c>
      <x:c r="M51" s="2" t="str">
        <x:v>NR</x:v>
      </x:c>
      <x:c r="N51" s="2" t="str">
        <x:v>Unclear</x:v>
      </x:c>
      <x:c r="O51" s="2" t="str">
        <x:v>Open weights</x:v>
      </x:c>
      <x:c r="P51" s="2" t="str">
        <x:v>API</x:v>
      </x:c>
      <x:c r="Q51" s="2" t="n">
        <x:v>0</x:v>
      </x:c>
      <x:c r="R51" s="2" t="n">
        <x:v>42</x:v>
      </x:c>
      <x:c r="S51" s="2" t="n">
        <x:v>1</x:v>
      </x:c>
      <x:c r="T51" s="2" t="str">
        <x:v>NR</x:v>
      </x:c>
      <x:c r="U51" s="2" t="str">
        <x:v>API</x:v>
      </x:c>
      <x:c r="V51" s="2" t="str">
        <x:v>NR</x:v>
      </x:c>
      <x:c r="W51" s="2" t="str">
        <x:v>Yes</x:v>
      </x:c>
      <x:c r="X51" s="2" t="str">
        <x:v>Yes</x:v>
      </x:c>
      <x:c r="Y51" s="6" t="str">
        <x:v>p. 6; Section IV-B</x:v>
      </x:c>
      <x:c r="Z51" s="6" t="str">
        <x:v>random seed fixed to 42.</x:v>
      </x:c>
      <x:c r="AA51" s="6" t="str">
        <x:v>相同模型用于双向对齐评分。</x:v>
      </x:c>
      <x:c r="AB51" s="2" t="str">
        <x:v>Accepted</x:v>
      </x:c>
      <x:c r="AC51" s="6" t="str">
        <x:v>NR</x:v>
      </x:c>
    </x:row>
    <x:row r="52" ht="76" customHeight="1">
      <x:c r="A52" s="2" t="str">
        <x:v>S11-MODEL-R04</x:v>
      </x:c>
      <x:c r="B52" s="2" t="str">
        <x:v>S11</x:v>
      </x:c>
      <x:c r="C52" s="2" t="str">
        <x:v>merged_1121-v1</x:v>
      </x:c>
      <x:c r="D52" s="2" t="str">
        <x:v>Reviewer_A</x:v>
      </x:c>
      <x:c r="E52" s="2" t="str">
        <x:v>Reviewer_A</x:v>
      </x:c>
      <x:c r="F52" s="2" t="str">
        <x:v>S11-MU04</x:v>
      </x:c>
      <x:c r="G52" s="2" t="str">
        <x:v>S11-O04</x:v>
      </x:c>
      <x:c r="H52" s="2" t="str">
        <x:v>S11-T01</x:v>
      </x:c>
      <x:c r="I52" s="2" t="str">
        <x:v>DeepSeek-V3.1-Terminus</x:v>
      </x:c>
      <x:c r="J52" s="2" t="str">
        <x:v>deepseek-v3-terminus</x:v>
      </x:c>
      <x:c r="K52" s="2" t="str">
        <x:v>DeepSeek</x:v>
      </x:c>
      <x:c r="L52" s="2" t="str">
        <x:v>V3.1-Terminus</x:v>
      </x:c>
      <x:c r="M52" s="2" t="str">
        <x:v>NR</x:v>
      </x:c>
      <x:c r="N52" s="2" t="str">
        <x:v>Unclear</x:v>
      </x:c>
      <x:c r="O52" s="2" t="str">
        <x:v>Open weights</x:v>
      </x:c>
      <x:c r="P52" s="2" t="str">
        <x:v>API</x:v>
      </x:c>
      <x:c r="Q52" s="2" t="n">
        <x:v>0</x:v>
      </x:c>
      <x:c r="R52" s="2" t="n">
        <x:v>42</x:v>
      </x:c>
      <x:c r="S52" s="2" t="n">
        <x:v>1</x:v>
      </x:c>
      <x:c r="T52" s="2" t="str">
        <x:v>NR</x:v>
      </x:c>
      <x:c r="U52" s="2" t="str">
        <x:v>API</x:v>
      </x:c>
      <x:c r="V52" s="2" t="str">
        <x:v>NR</x:v>
      </x:c>
      <x:c r="W52" s="2" t="str">
        <x:v>Yes</x:v>
      </x:c>
      <x:c r="X52" s="2" t="str">
        <x:v>Yes</x:v>
      </x:c>
      <x:c r="Y52" s="6" t="str">
        <x:v>p. 6; Section IV-B</x:v>
      </x:c>
      <x:c r="Z52" s="6" t="str">
        <x:v>random seed fixed to 42.</x:v>
      </x:c>
      <x:c r="AA52" s="6" t="str">
        <x:v>相同模型用于解释生成。</x:v>
      </x:c>
      <x:c r="AB52" s="2" t="str">
        <x:v>Accepted</x:v>
      </x:c>
      <x:c r="AC52" s="6" t="str">
        <x:v>NR</x:v>
      </x:c>
    </x:row>
    <x:row r="53" ht="76" customHeight="1">
      <x:c r="A53" s="2" t="str">
        <x:v>S11-MODEL-R05</x:v>
      </x:c>
      <x:c r="B53" s="2" t="str">
        <x:v>S11</x:v>
      </x:c>
      <x:c r="C53" s="2" t="str">
        <x:v>merged_1121-v1</x:v>
      </x:c>
      <x:c r="D53" s="2" t="str">
        <x:v>Reviewer_A</x:v>
      </x:c>
      <x:c r="E53" s="2" t="str">
        <x:v>Reviewer_A</x:v>
      </x:c>
      <x:c r="F53" s="2" t="str">
        <x:v>S11-MU05</x:v>
      </x:c>
      <x:c r="G53" s="2" t="str">
        <x:v>S11-O05</x:v>
      </x:c>
      <x:c r="H53" s="2" t="str">
        <x:v>S11-T01</x:v>
      </x:c>
      <x:c r="I53" s="2" t="str">
        <x:v>DeepSeek-V3.1-Terminus</x:v>
      </x:c>
      <x:c r="J53" s="2" t="str">
        <x:v>deepseek-v3-terminus</x:v>
      </x:c>
      <x:c r="K53" s="2" t="str">
        <x:v>DeepSeek</x:v>
      </x:c>
      <x:c r="L53" s="2" t="str">
        <x:v>V3.1-Terminus</x:v>
      </x:c>
      <x:c r="M53" s="2" t="str">
        <x:v>NR</x:v>
      </x:c>
      <x:c r="N53" s="2" t="str">
        <x:v>Unclear</x:v>
      </x:c>
      <x:c r="O53" s="2" t="str">
        <x:v>Open weights</x:v>
      </x:c>
      <x:c r="P53" s="2" t="str">
        <x:v>API</x:v>
      </x:c>
      <x:c r="Q53" s="2" t="n">
        <x:v>0</x:v>
      </x:c>
      <x:c r="R53" s="2" t="n">
        <x:v>42</x:v>
      </x:c>
      <x:c r="S53" s="2" t="n">
        <x:v>1</x:v>
      </x:c>
      <x:c r="T53" s="2" t="str">
        <x:v>NR</x:v>
      </x:c>
      <x:c r="U53" s="2" t="str">
        <x:v>API</x:v>
      </x:c>
      <x:c r="V53" s="2" t="str">
        <x:v>NR</x:v>
      </x:c>
      <x:c r="W53" s="2" t="str">
        <x:v>Yes</x:v>
      </x:c>
      <x:c r="X53" s="2" t="str">
        <x:v>Yes</x:v>
      </x:c>
      <x:c r="Y53" s="6" t="str">
        <x:v>p. 6; Section IV-B</x:v>
      </x:c>
      <x:c r="Z53" s="6" t="str">
        <x:v>random seed fixed to 42.</x:v>
      </x:c>
      <x:c r="AA53" s="6" t="str">
        <x:v>相同模型用于一致性判断。</x:v>
      </x:c>
      <x:c r="AB53" s="2" t="str">
        <x:v>Accepted</x:v>
      </x:c>
      <x:c r="AC53" s="6" t="str">
        <x:v>NR</x:v>
      </x:c>
    </x:row>
    <x:row r="54" ht="76" customHeight="1">
      <x:c r="A54" s="2" t="str">
        <x:v>S12-MODEL-R01</x:v>
      </x:c>
      <x:c r="B54" s="2" t="str">
        <x:v>S12</x:v>
      </x:c>
      <x:c r="C54" s="2" t="str">
        <x:v>merged_1133</x:v>
      </x:c>
      <x:c r="D54" s="2" t="str">
        <x:v>Reviewer_A</x:v>
      </x:c>
      <x:c r="E54" s="2" t="str">
        <x:v>Reviewer_A</x:v>
      </x:c>
      <x:c r="F54" s="2" t="str">
        <x:v>S12-MU01</x:v>
      </x:c>
      <x:c r="G54" s="2" t="str">
        <x:v>S12-O01</x:v>
      </x:c>
      <x:c r="H54" s="2" t="str">
        <x:v>S12-T01</x:v>
      </x:c>
      <x:c r="I54" s="2" t="str">
        <x:v>gpt-4o-mini</x:v>
      </x:c>
      <x:c r="J54" s="2" t="str">
        <x:v>GPT-4o mini</x:v>
      </x:c>
      <x:c r="K54" s="2" t="str">
        <x:v>GPT</x:v>
      </x:c>
      <x:c r="L54" s="2" t="str">
        <x:v>gpt-4o-mini</x:v>
      </x:c>
      <x:c r="M54" s="2" t="str">
        <x:v>NR</x:v>
      </x:c>
      <x:c r="N54" s="2" t="str">
        <x:v>NR</x:v>
      </x:c>
      <x:c r="O54" s="2" t="str">
        <x:v>Closed</x:v>
      </x:c>
      <x:c r="P54" s="2" t="str">
        <x:v>API</x:v>
      </x:c>
      <x:c r="Q54" s="2" t="n">
        <x:v>0</x:v>
      </x:c>
      <x:c r="R54" s="2" t="str">
        <x:v>NR</x:v>
      </x:c>
      <x:c r="S54" s="2" t="str">
        <x:v>NR</x:v>
      </x:c>
      <x:c r="T54" s="2" t="str">
        <x:v>NR</x:v>
      </x:c>
      <x:c r="U54" s="2" t="str">
        <x:v>OpenRouter</x:v>
      </x:c>
      <x:c r="V54" s="2" t="str">
        <x:v>NR</x:v>
      </x:c>
      <x:c r="W54" s="2" t="str">
        <x:v>Yes</x:v>
      </x:c>
      <x:c r="X54" s="2" t="str">
        <x:v>No</x:v>
      </x:c>
      <x:c r="Y54" s="6" t="str">
        <x:v>p. 19; Section 5.4</x:v>
      </x:c>
      <x:c r="Z54"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c r="AA54" s="6" t="str">
        <x:v>GPT-4o mini 是 OpenAI 的轻量级模型，通过 OpenRouter API 调用。</x:v>
      </x:c>
      <x:c r="AB54" s="2" t="str">
        <x:v>Accepted</x:v>
      </x:c>
      <x:c r="AC54" s="6" t="str">
        <x:v>NA</x:v>
      </x:c>
    </x:row>
    <x:row r="55" ht="76" customHeight="1">
      <x:c r="A55" s="2" t="str">
        <x:v>S12-MODEL-R02</x:v>
      </x:c>
      <x:c r="B55" s="2" t="str">
        <x:v>S12</x:v>
      </x:c>
      <x:c r="C55" s="2" t="str">
        <x:v>merged_1133</x:v>
      </x:c>
      <x:c r="D55" s="2" t="str">
        <x:v>Reviewer_A</x:v>
      </x:c>
      <x:c r="E55" s="2" t="str">
        <x:v>Reviewer_A</x:v>
      </x:c>
      <x:c r="F55" s="2" t="str">
        <x:v>S12-MU02</x:v>
      </x:c>
      <x:c r="G55" s="2" t="str">
        <x:v>S12-O01</x:v>
      </x:c>
      <x:c r="H55" s="2" t="str">
        <x:v>S12-T01</x:v>
      </x:c>
      <x:c r="I55" s="2" t="str">
        <x:v>gpt-4o</x:v>
      </x:c>
      <x:c r="J55" s="2" t="str">
        <x:v>GPT-4o</x:v>
      </x:c>
      <x:c r="K55" s="2" t="str">
        <x:v>GPT</x:v>
      </x:c>
      <x:c r="L55" s="2" t="str">
        <x:v>gpt-4o</x:v>
      </x:c>
      <x:c r="M55" s="2" t="str">
        <x:v>NR</x:v>
      </x:c>
      <x:c r="N55" s="2" t="str">
        <x:v>NR</x:v>
      </x:c>
      <x:c r="O55" s="2" t="str">
        <x:v>Closed</x:v>
      </x:c>
      <x:c r="P55" s="2" t="str">
        <x:v>API</x:v>
      </x:c>
      <x:c r="Q55" s="2" t="n">
        <x:v>0</x:v>
      </x:c>
      <x:c r="R55" s="2" t="str">
        <x:v>NR</x:v>
      </x:c>
      <x:c r="S55" s="2" t="str">
        <x:v>NR</x:v>
      </x:c>
      <x:c r="T55" s="2" t="str">
        <x:v>NR</x:v>
      </x:c>
      <x:c r="U55" s="2" t="str">
        <x:v>OpenRouter</x:v>
      </x:c>
      <x:c r="V55" s="2" t="str">
        <x:v>NR</x:v>
      </x:c>
      <x:c r="W55" s="2" t="str">
        <x:v>Yes</x:v>
      </x:c>
      <x:c r="X55" s="2" t="str">
        <x:v>No</x:v>
      </x:c>
      <x:c r="Y55" s="6" t="str">
        <x:v>p. 19; Section 5.4</x:v>
      </x:c>
      <x:c r="Z55"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c r="AA55" s="6" t="str">
        <x:v>GPT-4o 是 OpenAI 的全功能模型，通过 OpenRouter API 调用。</x:v>
      </x:c>
      <x:c r="AB55" s="2" t="str">
        <x:v>Accepted</x:v>
      </x:c>
      <x:c r="AC55" s="6" t="str">
        <x:v>NA</x:v>
      </x:c>
    </x:row>
    <x:row r="56" ht="76" customHeight="1">
      <x:c r="A56" s="2" t="str">
        <x:v>S12-MODEL-R03</x:v>
      </x:c>
      <x:c r="B56" s="2" t="str">
        <x:v>S12</x:v>
      </x:c>
      <x:c r="C56" s="2" t="str">
        <x:v>merged_1133</x:v>
      </x:c>
      <x:c r="D56" s="2" t="str">
        <x:v>Reviewer_A</x:v>
      </x:c>
      <x:c r="E56" s="2" t="str">
        <x:v>Reviewer_A</x:v>
      </x:c>
      <x:c r="F56" s="2" t="str">
        <x:v>S12-MU03</x:v>
      </x:c>
      <x:c r="G56" s="2" t="str">
        <x:v>S12-O01</x:v>
      </x:c>
      <x:c r="H56" s="2" t="str">
        <x:v>S12-T01</x:v>
      </x:c>
      <x:c r="I56" s="2" t="str">
        <x:v>claude-3-5-haiku-20241022</x:v>
      </x:c>
      <x:c r="J56" s="2" t="str">
        <x:v>Claude 3.5 Haiku</x:v>
      </x:c>
      <x:c r="K56" s="2" t="str">
        <x:v>Claude</x:v>
      </x:c>
      <x:c r="L56" s="2" t="str">
        <x:v>claude-3-5-haiku-20241022</x:v>
      </x:c>
      <x:c r="M56" s="2" t="str">
        <x:v>NR</x:v>
      </x:c>
      <x:c r="N56" s="2" t="str">
        <x:v>NR</x:v>
      </x:c>
      <x:c r="O56" s="2" t="str">
        <x:v>Closed</x:v>
      </x:c>
      <x:c r="P56" s="2" t="str">
        <x:v>API</x:v>
      </x:c>
      <x:c r="Q56" s="2" t="n">
        <x:v>0</x:v>
      </x:c>
      <x:c r="R56" s="2" t="str">
        <x:v>NR</x:v>
      </x:c>
      <x:c r="S56" s="2" t="str">
        <x:v>NR</x:v>
      </x:c>
      <x:c r="T56" s="2" t="str">
        <x:v>NR</x:v>
      </x:c>
      <x:c r="U56" s="2" t="str">
        <x:v>OpenRouter</x:v>
      </x:c>
      <x:c r="V56" s="2" t="str">
        <x:v>NR</x:v>
      </x:c>
      <x:c r="W56" s="2" t="str">
        <x:v>Yes</x:v>
      </x:c>
      <x:c r="X56" s="2" t="str">
        <x:v>No</x:v>
      </x:c>
      <x:c r="Y56" s="6" t="str">
        <x:v>p. 19; Section 5.4</x:v>
      </x:c>
      <x:c r="Z56"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c r="AA56" s="6" t="str">
        <x:v>Claude 3.5 Haiku 是 Anthropic 的轻量级模型，通过 OpenRouter API 调用。</x:v>
      </x:c>
      <x:c r="AB56" s="2" t="str">
        <x:v>Accepted</x:v>
      </x:c>
      <x:c r="AC56" s="6" t="str">
        <x:v>NA</x:v>
      </x:c>
    </x:row>
    <x:row r="57" ht="76" customHeight="1">
      <x:c r="A57" s="2" t="str">
        <x:v>S12-MODEL-R04</x:v>
      </x:c>
      <x:c r="B57" s="2" t="str">
        <x:v>S12</x:v>
      </x:c>
      <x:c r="C57" s="2" t="str">
        <x:v>merged_1133</x:v>
      </x:c>
      <x:c r="D57" s="2" t="str">
        <x:v>Reviewer_A</x:v>
      </x:c>
      <x:c r="E57" s="2" t="str">
        <x:v>Reviewer_A</x:v>
      </x:c>
      <x:c r="F57" s="2" t="str">
        <x:v>S12-MU04</x:v>
      </x:c>
      <x:c r="G57" s="2" t="str">
        <x:v>S12-O01</x:v>
      </x:c>
      <x:c r="H57" s="2" t="str">
        <x:v>S12-T01</x:v>
      </x:c>
      <x:c r="I57" s="2" t="str">
        <x:v>claude-3-5-sonnet-20241022</x:v>
      </x:c>
      <x:c r="J57" s="2" t="str">
        <x:v>Claude 3.5 Sonnet</x:v>
      </x:c>
      <x:c r="K57" s="2" t="str">
        <x:v>Claude</x:v>
      </x:c>
      <x:c r="L57" s="2" t="str">
        <x:v>claude-3-5-sonnet-20241022</x:v>
      </x:c>
      <x:c r="M57" s="2" t="str">
        <x:v>NR</x:v>
      </x:c>
      <x:c r="N57" s="2" t="str">
        <x:v>NR</x:v>
      </x:c>
      <x:c r="O57" s="2" t="str">
        <x:v>Closed</x:v>
      </x:c>
      <x:c r="P57" s="2" t="str">
        <x:v>API</x:v>
      </x:c>
      <x:c r="Q57" s="2" t="n">
        <x:v>0</x:v>
      </x:c>
      <x:c r="R57" s="2" t="str">
        <x:v>NR</x:v>
      </x:c>
      <x:c r="S57" s="2" t="str">
        <x:v>NR</x:v>
      </x:c>
      <x:c r="T57" s="2" t="str">
        <x:v>NR</x:v>
      </x:c>
      <x:c r="U57" s="2" t="str">
        <x:v>OpenRouter</x:v>
      </x:c>
      <x:c r="V57" s="2" t="str">
        <x:v>NR</x:v>
      </x:c>
      <x:c r="W57" s="2" t="str">
        <x:v>Yes</x:v>
      </x:c>
      <x:c r="X57" s="2" t="str">
        <x:v>No</x:v>
      </x:c>
      <x:c r="Y57" s="6" t="str">
        <x:v>p. 19; Section 5.4</x:v>
      </x:c>
      <x:c r="Z57"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c r="AA57" s="6" t="str">
        <x:v>Claude 3.5 Sonnet 是 Anthropic 的全功能模型，通过 OpenRouter API 调用。</x:v>
      </x:c>
      <x:c r="AB57" s="2" t="str">
        <x:v>Accepted</x:v>
      </x:c>
      <x:c r="AC57" s="6" t="str">
        <x:v>NA</x:v>
      </x:c>
    </x:row>
    <x:row r="58" ht="76" customHeight="1">
      <x:c r="A58" s="2" t="str">
        <x:v>S12-MODEL-R05</x:v>
      </x:c>
      <x:c r="B58" s="2" t="str">
        <x:v>S12</x:v>
      </x:c>
      <x:c r="C58" s="2" t="str">
        <x:v>merged_1133</x:v>
      </x:c>
      <x:c r="D58" s="2" t="str">
        <x:v>Reviewer_A</x:v>
      </x:c>
      <x:c r="E58" s="2" t="str">
        <x:v>Reviewer_A</x:v>
      </x:c>
      <x:c r="F58" s="2" t="str">
        <x:v>S12-MU05</x:v>
      </x:c>
      <x:c r="G58" s="2" t="str">
        <x:v>S12-O01</x:v>
      </x:c>
      <x:c r="H58" s="2" t="str">
        <x:v>S12-T01</x:v>
      </x:c>
      <x:c r="I58" s="2" t="str">
        <x:v>gemini-1.5-flash</x:v>
      </x:c>
      <x:c r="J58" s="2" t="str">
        <x:v>Gemini 1.5 Flash</x:v>
      </x:c>
      <x:c r="K58" s="2" t="str">
        <x:v>Gemini</x:v>
      </x:c>
      <x:c r="L58" s="2" t="str">
        <x:v>gemini-1.5-flash</x:v>
      </x:c>
      <x:c r="M58" s="2" t="str">
        <x:v>NR</x:v>
      </x:c>
      <x:c r="N58" s="2" t="str">
        <x:v>NR</x:v>
      </x:c>
      <x:c r="O58" s="2" t="str">
        <x:v>Closed</x:v>
      </x:c>
      <x:c r="P58" s="2" t="str">
        <x:v>API</x:v>
      </x:c>
      <x:c r="Q58" s="2" t="n">
        <x:v>0</x:v>
      </x:c>
      <x:c r="R58" s="2" t="str">
        <x:v>NR</x:v>
      </x:c>
      <x:c r="S58" s="2" t="str">
        <x:v>NR</x:v>
      </x:c>
      <x:c r="T58" s="2" t="str">
        <x:v>NR</x:v>
      </x:c>
      <x:c r="U58" s="2" t="str">
        <x:v>OpenRouter</x:v>
      </x:c>
      <x:c r="V58" s="2" t="str">
        <x:v>NR</x:v>
      </x:c>
      <x:c r="W58" s="2" t="str">
        <x:v>Yes</x:v>
      </x:c>
      <x:c r="X58" s="2" t="str">
        <x:v>No</x:v>
      </x:c>
      <x:c r="Y58" s="6" t="str">
        <x:v>p. 19; Section 5.4</x:v>
      </x:c>
      <x:c r="Z58"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c r="AA58" s="6" t="str">
        <x:v>Gemini 1.5 Flash 是 Google 的轻量级模型，通过 OpenRouter API 调用。</x:v>
      </x:c>
      <x:c r="AB58" s="2" t="str">
        <x:v>Accepted</x:v>
      </x:c>
      <x:c r="AC58" s="6" t="str">
        <x:v>NA</x:v>
      </x:c>
    </x:row>
    <x:row r="59" ht="76" customHeight="1">
      <x:c r="A59" s="2" t="str">
        <x:v>S12-MODEL-R06</x:v>
      </x:c>
      <x:c r="B59" s="2" t="str">
        <x:v>S12</x:v>
      </x:c>
      <x:c r="C59" s="2" t="str">
        <x:v>merged_1133</x:v>
      </x:c>
      <x:c r="D59" s="2" t="str">
        <x:v>Reviewer_A</x:v>
      </x:c>
      <x:c r="E59" s="2" t="str">
        <x:v>Reviewer_A</x:v>
      </x:c>
      <x:c r="F59" s="2" t="str">
        <x:v>S12-MU06</x:v>
      </x:c>
      <x:c r="G59" s="2" t="str">
        <x:v>S12-O01</x:v>
      </x:c>
      <x:c r="H59" s="2" t="str">
        <x:v>S12-T01</x:v>
      </x:c>
      <x:c r="I59" s="2" t="str">
        <x:v>gemini-1.5-pro</x:v>
      </x:c>
      <x:c r="J59" s="2" t="str">
        <x:v>Gemini 1.5 Pro</x:v>
      </x:c>
      <x:c r="K59" s="2" t="str">
        <x:v>Gemini</x:v>
      </x:c>
      <x:c r="L59" s="2" t="str">
        <x:v>gemini-1.5-pro</x:v>
      </x:c>
      <x:c r="M59" s="2" t="str">
        <x:v>NR</x:v>
      </x:c>
      <x:c r="N59" s="2" t="str">
        <x:v>NR</x:v>
      </x:c>
      <x:c r="O59" s="2" t="str">
        <x:v>Closed</x:v>
      </x:c>
      <x:c r="P59" s="2" t="str">
        <x:v>API</x:v>
      </x:c>
      <x:c r="Q59" s="2" t="n">
        <x:v>0</x:v>
      </x:c>
      <x:c r="R59" s="2" t="str">
        <x:v>NR</x:v>
      </x:c>
      <x:c r="S59" s="2" t="str">
        <x:v>NR</x:v>
      </x:c>
      <x:c r="T59" s="2" t="str">
        <x:v>NR</x:v>
      </x:c>
      <x:c r="U59" s="2" t="str">
        <x:v>OpenRouter</x:v>
      </x:c>
      <x:c r="V59" s="2" t="str">
        <x:v>NR</x:v>
      </x:c>
      <x:c r="W59" s="2" t="str">
        <x:v>Yes</x:v>
      </x:c>
      <x:c r="X59" s="2" t="str">
        <x:v>No</x:v>
      </x:c>
      <x:c r="Y59" s="6" t="str">
        <x:v>p. 19; Section 5.4</x:v>
      </x:c>
      <x:c r="Z59"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c r="AA59" s="6" t="str">
        <x:v>Gemini 1.5 Pro 是 Google 的全功能模型，通过 OpenRouter API 调用。</x:v>
      </x:c>
      <x:c r="AB59" s="2" t="str">
        <x:v>Accepted</x:v>
      </x:c>
      <x:c r="AC59" s="6" t="str">
        <x:v>NA</x:v>
      </x:c>
    </x:row>
    <x:row r="60" ht="76" customHeight="1">
      <x:c r="A60" s="2" t="str">
        <x:v>S12-MODEL-R07</x:v>
      </x:c>
      <x:c r="B60" s="2" t="str">
        <x:v>S12</x:v>
      </x:c>
      <x:c r="C60" s="2" t="str">
        <x:v>merged_1133</x:v>
      </x:c>
      <x:c r="D60" s="2" t="str">
        <x:v>Reviewer_A</x:v>
      </x:c>
      <x:c r="E60" s="2" t="str">
        <x:v>Reviewer_A</x:v>
      </x:c>
      <x:c r="F60" s="2" t="str">
        <x:v>S12-MU07</x:v>
      </x:c>
      <x:c r="G60" s="2" t="str">
        <x:v>S12-O01</x:v>
      </x:c>
      <x:c r="H60" s="2" t="str">
        <x:v>S12-T01</x:v>
      </x:c>
      <x:c r="I60" s="2" t="str">
        <x:v>Llama-3.1-8B-Instruct-Turbo</x:v>
      </x:c>
      <x:c r="J60" s="2" t="str">
        <x:v>Llama 3.1 8B Instruct Turbo</x:v>
      </x:c>
      <x:c r="K60" s="2" t="str">
        <x:v>Llama</x:v>
      </x:c>
      <x:c r="L60" s="2" t="str">
        <x:v>Llama-3.1-8B-Instruct-Turbo</x:v>
      </x:c>
      <x:c r="M60" s="2" t="str">
        <x:v>8B</x:v>
      </x:c>
      <x:c r="N60" s="2" t="str">
        <x:v>NR</x:v>
      </x:c>
      <x:c r="O60" s="2" t="str">
        <x:v>Open weights</x:v>
      </x:c>
      <x:c r="P60" s="2" t="str">
        <x:v>API</x:v>
      </x:c>
      <x:c r="Q60" s="2" t="n">
        <x:v>0</x:v>
      </x:c>
      <x:c r="R60" s="2" t="str">
        <x:v>NR</x:v>
      </x:c>
      <x:c r="S60" s="2" t="str">
        <x:v>NR</x:v>
      </x:c>
      <x:c r="T60" s="2" t="str">
        <x:v>NR</x:v>
      </x:c>
      <x:c r="U60" s="2" t="str">
        <x:v>OpenRouter</x:v>
      </x:c>
      <x:c r="V60" s="2" t="str">
        <x:v>NR</x:v>
      </x:c>
      <x:c r="W60" s="2" t="str">
        <x:v>Yes</x:v>
      </x:c>
      <x:c r="X60" s="2" t="str">
        <x:v>No</x:v>
      </x:c>
      <x:c r="Y60" s="6" t="str">
        <x:v>p. 19; Section 5.4</x:v>
      </x:c>
      <x:c r="Z60"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c r="AA60" s="6" t="str">
        <x:v>Llama 3.1 8B 是 Meta 的开源模型，通过 OpenRouter API 访问。</x:v>
      </x:c>
      <x:c r="AB60" s="2" t="str">
        <x:v>Accepted</x:v>
      </x:c>
      <x:c r="AC60" s="6" t="str">
        <x:v>NA</x:v>
      </x:c>
    </x:row>
    <x:row r="61" ht="76" customHeight="1">
      <x:c r="A61" s="2" t="str">
        <x:v>S12-MODEL-R08</x:v>
      </x:c>
      <x:c r="B61" s="2" t="str">
        <x:v>S12</x:v>
      </x:c>
      <x:c r="C61" s="2" t="str">
        <x:v>merged_1133</x:v>
      </x:c>
      <x:c r="D61" s="2" t="str">
        <x:v>Reviewer_A</x:v>
      </x:c>
      <x:c r="E61" s="2" t="str">
        <x:v>Reviewer_A</x:v>
      </x:c>
      <x:c r="F61" s="2" t="str">
        <x:v>S12-MU08</x:v>
      </x:c>
      <x:c r="G61" s="2" t="str">
        <x:v>S12-O01</x:v>
      </x:c>
      <x:c r="H61" s="2" t="str">
        <x:v>S12-T01</x:v>
      </x:c>
      <x:c r="I61" s="2" t="str">
        <x:v>Llama-3.1-70B-Instruct-Turbo</x:v>
      </x:c>
      <x:c r="J61" s="2" t="str">
        <x:v>Llama 3.1 70B Instruct Turbo</x:v>
      </x:c>
      <x:c r="K61" s="2" t="str">
        <x:v>Llama</x:v>
      </x:c>
      <x:c r="L61" s="2" t="str">
        <x:v>Llama-3.1-70B-Instruct-Turbo</x:v>
      </x:c>
      <x:c r="M61" s="2" t="str">
        <x:v>70B</x:v>
      </x:c>
      <x:c r="N61" s="2" t="str">
        <x:v>NR</x:v>
      </x:c>
      <x:c r="O61" s="2" t="str">
        <x:v>Open weights</x:v>
      </x:c>
      <x:c r="P61" s="2" t="str">
        <x:v>API</x:v>
      </x:c>
      <x:c r="Q61" s="2" t="n">
        <x:v>0</x:v>
      </x:c>
      <x:c r="R61" s="2" t="str">
        <x:v>NR</x:v>
      </x:c>
      <x:c r="S61" s="2" t="str">
        <x:v>NR</x:v>
      </x:c>
      <x:c r="T61" s="2" t="str">
        <x:v>NR</x:v>
      </x:c>
      <x:c r="U61" s="2" t="str">
        <x:v>OpenRouter</x:v>
      </x:c>
      <x:c r="V61" s="2" t="str">
        <x:v>NR</x:v>
      </x:c>
      <x:c r="W61" s="2" t="str">
        <x:v>Yes</x:v>
      </x:c>
      <x:c r="X61" s="2" t="str">
        <x:v>No</x:v>
      </x:c>
      <x:c r="Y61" s="6" t="str">
        <x:v>p. 19; Section 5.4</x:v>
      </x:c>
      <x:c r="Z61" s="6" t="str">
        <x:v>All experiments were conducted using the following models versions: gpt-4o-mini, gpt4o, claude-3-5-haiku-20241022, claude-3-5-sonnet-20241022, gemini-1.5-flash, gemini1.5-pro, Llama-3.1-8B-Instruct-Turbo, Llama-3.1-70B-Instruct-Turbo, and all-mpnetbase-v2. All models were accessed through OpenRouter provider [65] and evaluated</x:v>
      </x:c>
      <x:c r="AA61" s="6" t="str">
        <x:v>Llama 3.1 70B 是 Meta 的大型开源模型，通过 OpenRouter API 访问。</x:v>
      </x:c>
      <x:c r="AB61" s="2" t="str">
        <x:v>Accepted</x:v>
      </x:c>
      <x:c r="AC61" s="6" t="str">
        <x:v>NA</x:v>
      </x:c>
    </x:row>
    <x:row r="62" ht="76" customHeight="1">
      <x:c r="A62" s="2" t="str">
        <x:v>S13-MODEL-R01</x:v>
      </x:c>
      <x:c r="B62" s="2" t="str">
        <x:v>S13</x:v>
      </x:c>
      <x:c r="C62" s="2" t="str">
        <x:v>merged_1140</x:v>
      </x:c>
      <x:c r="D62" s="2" t="str">
        <x:v>Reviewer_A</x:v>
      </x:c>
      <x:c r="E62" s="2" t="str">
        <x:v>Reviewer_A</x:v>
      </x:c>
      <x:c r="F62" s="2" t="str">
        <x:v>S13-MU01</x:v>
      </x:c>
      <x:c r="G62" s="2" t="str">
        <x:v>S13-O01</x:v>
      </x:c>
      <x:c r="H62" s="2" t="str">
        <x:v>S13-T01</x:v>
      </x:c>
      <x:c r="I62" s="2" t="str">
        <x:v>Gemini 1.5 Pro</x:v>
      </x:c>
      <x:c r="J62" s="2" t="str">
        <x:v>Gemini 1.5 Pro</x:v>
      </x:c>
      <x:c r="K62" s="2" t="str">
        <x:v>Gemini</x:v>
      </x:c>
      <x:c r="L62" s="2" t="str">
        <x:v>1.5 Pro</x:v>
      </x:c>
      <x:c r="M62" s="2" t="str">
        <x:v>NR</x:v>
      </x:c>
      <x:c r="N62" s="2" t="str">
        <x:v>NR</x:v>
      </x:c>
      <x:c r="O62" s="2" t="str">
        <x:v>Closed</x:v>
      </x:c>
      <x:c r="P62" s="2" t="str">
        <x:v>API</x:v>
      </x:c>
      <x:c r="Q62" s="2" t="str">
        <x:v>NR</x:v>
      </x:c>
      <x:c r="R62" s="2" t="str">
        <x:v>NR</x:v>
      </x:c>
      <x:c r="S62" s="2" t="str">
        <x:v>NR</x:v>
      </x:c>
      <x:c r="T62" s="2" t="str">
        <x:v>NR</x:v>
      </x:c>
      <x:c r="U62" s="2" t="str">
        <x:v>NR</x:v>
      </x:c>
      <x:c r="V62" s="2" t="str">
        <x:v>NR</x:v>
      </x:c>
      <x:c r="W62" s="2" t="str">
        <x:v>No</x:v>
      </x:c>
      <x:c r="X62" s="2" t="str">
        <x:v>No</x:v>
      </x:c>
      <x:c r="Y62" s="6" t="str">
        <x:v>p. 18; Section 4.2</x:v>
      </x:c>
      <x:c r="Z62" s="6" t="str">
        <x:v>For the data augmentation task, we utilized a panel of four leading, closed-source LLMs</x:v>
      </x:c>
      <x:c r="AA62" s="6" t="str">
        <x:v>Gemini 1.5 Pro通过API调用用于生成合成代码（R-to-C方向）。</x:v>
      </x:c>
      <x:c r="AB62" s="2" t="str">
        <x:v>Accepted</x:v>
      </x:c>
      <x:c r="AC62" s="6" t="str">
        <x:v>NA</x:v>
      </x:c>
    </x:row>
    <x:row r="63" ht="76" customHeight="1">
      <x:c r="A63" s="2" t="str">
        <x:v>S13-MODEL-R02</x:v>
      </x:c>
      <x:c r="B63" s="2" t="str">
        <x:v>S13</x:v>
      </x:c>
      <x:c r="C63" s="2" t="str">
        <x:v>merged_1140</x:v>
      </x:c>
      <x:c r="D63" s="2" t="str">
        <x:v>Reviewer_A</x:v>
      </x:c>
      <x:c r="E63" s="2" t="str">
        <x:v>Reviewer_A</x:v>
      </x:c>
      <x:c r="F63" s="2" t="str">
        <x:v>S13-MU02</x:v>
      </x:c>
      <x:c r="G63" s="2" t="str">
        <x:v>S13-O01</x:v>
      </x:c>
      <x:c r="H63" s="2" t="str">
        <x:v>S13-T01</x:v>
      </x:c>
      <x:c r="I63" s="2" t="str">
        <x:v>Claude 3 Opus</x:v>
      </x:c>
      <x:c r="J63" s="2" t="str">
        <x:v>Claude 3 Opus</x:v>
      </x:c>
      <x:c r="K63" s="2" t="str">
        <x:v>Claude</x:v>
      </x:c>
      <x:c r="L63" s="2" t="str">
        <x:v>3 Opus</x:v>
      </x:c>
      <x:c r="M63" s="2" t="str">
        <x:v>NR</x:v>
      </x:c>
      <x:c r="N63" s="2" t="str">
        <x:v>NR</x:v>
      </x:c>
      <x:c r="O63" s="2" t="str">
        <x:v>Closed</x:v>
      </x:c>
      <x:c r="P63" s="2" t="str">
        <x:v>API</x:v>
      </x:c>
      <x:c r="Q63" s="2" t="str">
        <x:v>NR</x:v>
      </x:c>
      <x:c r="R63" s="2" t="str">
        <x:v>NR</x:v>
      </x:c>
      <x:c r="S63" s="2" t="str">
        <x:v>NR</x:v>
      </x:c>
      <x:c r="T63" s="2" t="str">
        <x:v>NR</x:v>
      </x:c>
      <x:c r="U63" s="2" t="str">
        <x:v>NR</x:v>
      </x:c>
      <x:c r="V63" s="2" t="str">
        <x:v>NR</x:v>
      </x:c>
      <x:c r="W63" s="2" t="str">
        <x:v>No</x:v>
      </x:c>
      <x:c r="X63" s="2" t="str">
        <x:v>No</x:v>
      </x:c>
      <x:c r="Y63" s="6" t="str">
        <x:v>p. 18; Section 4.2</x:v>
      </x:c>
      <x:c r="Z63" s="6" t="str">
        <x:v>For the data augmentation task, we utilized a panel of four leading, closed-source LLMs</x:v>
      </x:c>
      <x:c r="AA63" s="6" t="str">
        <x:v>Claude 3 Opus通过API调用用于生成合成代码（R-to-C方向）。</x:v>
      </x:c>
      <x:c r="AB63" s="2" t="str">
        <x:v>Accepted</x:v>
      </x:c>
      <x:c r="AC63" s="6" t="str">
        <x:v>NA</x:v>
      </x:c>
    </x:row>
    <x:row r="64" ht="76" customHeight="1">
      <x:c r="A64" s="2" t="str">
        <x:v>S13-MODEL-R03</x:v>
      </x:c>
      <x:c r="B64" s="2" t="str">
        <x:v>S13</x:v>
      </x:c>
      <x:c r="C64" s="2" t="str">
        <x:v>merged_1140</x:v>
      </x:c>
      <x:c r="D64" s="2" t="str">
        <x:v>Reviewer_A</x:v>
      </x:c>
      <x:c r="E64" s="2" t="str">
        <x:v>Reviewer_A</x:v>
      </x:c>
      <x:c r="F64" s="2" t="str">
        <x:v>S13-MU03</x:v>
      </x:c>
      <x:c r="G64" s="2" t="str">
        <x:v>S13-O01</x:v>
      </x:c>
      <x:c r="H64" s="2" t="str">
        <x:v>S13-T01</x:v>
      </x:c>
      <x:c r="I64" s="2" t="str">
        <x:v>GPT-3.5 Turbo</x:v>
      </x:c>
      <x:c r="J64" s="2" t="str">
        <x:v>GPT-3.5 Turbo</x:v>
      </x:c>
      <x:c r="K64" s="2" t="str">
        <x:v>GPT</x:v>
      </x:c>
      <x:c r="L64" s="2" t="str">
        <x:v>Turbo</x:v>
      </x:c>
      <x:c r="M64" s="2" t="str">
        <x:v>NR</x:v>
      </x:c>
      <x:c r="N64" s="2" t="str">
        <x:v>NR</x:v>
      </x:c>
      <x:c r="O64" s="2" t="str">
        <x:v>Closed</x:v>
      </x:c>
      <x:c r="P64" s="2" t="str">
        <x:v>API</x:v>
      </x:c>
      <x:c r="Q64" s="2" t="str">
        <x:v>NR</x:v>
      </x:c>
      <x:c r="R64" s="2" t="str">
        <x:v>NR</x:v>
      </x:c>
      <x:c r="S64" s="2" t="str">
        <x:v>NR</x:v>
      </x:c>
      <x:c r="T64" s="2" t="str">
        <x:v>NR</x:v>
      </x:c>
      <x:c r="U64" s="2" t="str">
        <x:v>NR</x:v>
      </x:c>
      <x:c r="V64" s="2" t="str">
        <x:v>NR</x:v>
      </x:c>
      <x:c r="W64" s="2" t="str">
        <x:v>No</x:v>
      </x:c>
      <x:c r="X64" s="2" t="str">
        <x:v>No</x:v>
      </x:c>
      <x:c r="Y64" s="6" t="str">
        <x:v>p. 18; Section 4.2</x:v>
      </x:c>
      <x:c r="Z64" s="6" t="str">
        <x:v>For the data augmentation task, we utilized a panel of four leading, closed-source LLMs</x:v>
      </x:c>
      <x:c r="AA64" s="6" t="str">
        <x:v>GPT-3.5 Turbo通过API调用用于生成合成代码（R-to-C方向）。</x:v>
      </x:c>
      <x:c r="AB64" s="2" t="str">
        <x:v>Accepted</x:v>
      </x:c>
      <x:c r="AC64" s="6" t="str">
        <x:v>NA</x:v>
      </x:c>
    </x:row>
    <x:row r="65" ht="76" customHeight="1">
      <x:c r="A65" s="2" t="str">
        <x:v>S13-MODEL-R04</x:v>
      </x:c>
      <x:c r="B65" s="2" t="str">
        <x:v>S13</x:v>
      </x:c>
      <x:c r="C65" s="2" t="str">
        <x:v>merged_1140</x:v>
      </x:c>
      <x:c r="D65" s="2" t="str">
        <x:v>Reviewer_A</x:v>
      </x:c>
      <x:c r="E65" s="2" t="str">
        <x:v>Reviewer_A</x:v>
      </x:c>
      <x:c r="F65" s="2" t="str">
        <x:v>S13-MU04</x:v>
      </x:c>
      <x:c r="G65" s="2" t="str">
        <x:v>S13-O01</x:v>
      </x:c>
      <x:c r="H65" s="2" t="str">
        <x:v>S13-T01</x:v>
      </x:c>
      <x:c r="I65" s="2" t="str">
        <x:v>GPT-4o</x:v>
      </x:c>
      <x:c r="J65" s="2" t="str">
        <x:v>GPT-4o</x:v>
      </x:c>
      <x:c r="K65" s="2" t="str">
        <x:v>GPT</x:v>
      </x:c>
      <x:c r="L65" s="2" t="str">
        <x:v>4o</x:v>
      </x:c>
      <x:c r="M65" s="2" t="str">
        <x:v>NR</x:v>
      </x:c>
      <x:c r="N65" s="2" t="str">
        <x:v>NR</x:v>
      </x:c>
      <x:c r="O65" s="2" t="str">
        <x:v>Closed</x:v>
      </x:c>
      <x:c r="P65" s="2" t="str">
        <x:v>API</x:v>
      </x:c>
      <x:c r="Q65" s="2" t="str">
        <x:v>NR</x:v>
      </x:c>
      <x:c r="R65" s="2" t="str">
        <x:v>NR</x:v>
      </x:c>
      <x:c r="S65" s="2" t="str">
        <x:v>NR</x:v>
      </x:c>
      <x:c r="T65" s="2" t="str">
        <x:v>NR</x:v>
      </x:c>
      <x:c r="U65" s="2" t="str">
        <x:v>NR</x:v>
      </x:c>
      <x:c r="V65" s="2" t="str">
        <x:v>NR</x:v>
      </x:c>
      <x:c r="W65" s="2" t="str">
        <x:v>No</x:v>
      </x:c>
      <x:c r="X65" s="2" t="str">
        <x:v>No</x:v>
      </x:c>
      <x:c r="Y65" s="6" t="str">
        <x:v>p. 18; Section 4.2</x:v>
      </x:c>
      <x:c r="Z65" s="6" t="str">
        <x:v>For the data augmentation task, we utilized a panel of four leading, closed-source LLMs</x:v>
      </x:c>
      <x:c r="AA65" s="6" t="str">
        <x:v>GPT-4o通过API调用用于生成合成代码（R-to-C方向）。</x:v>
      </x:c>
      <x:c r="AB65" s="2" t="str">
        <x:v>Accepted</x:v>
      </x:c>
      <x:c r="AC65" s="6" t="str">
        <x:v>NA</x:v>
      </x:c>
    </x:row>
    <x:row r="66" ht="76" customHeight="1">
      <x:c r="A66" s="2" t="str">
        <x:v>S13-MODEL-R05</x:v>
      </x:c>
      <x:c r="B66" s="2" t="str">
        <x:v>S13</x:v>
      </x:c>
      <x:c r="C66" s="2" t="str">
        <x:v>merged_1140</x:v>
      </x:c>
      <x:c r="D66" s="2" t="str">
        <x:v>Reviewer_A</x:v>
      </x:c>
      <x:c r="E66" s="2" t="str">
        <x:v>Reviewer_A</x:v>
      </x:c>
      <x:c r="F66" s="2" t="str">
        <x:v>S13-MU05</x:v>
      </x:c>
      <x:c r="G66" s="2" t="str">
        <x:v>S13-O02</x:v>
      </x:c>
      <x:c r="H66" s="2" t="str">
        <x:v>S13-T01</x:v>
      </x:c>
      <x:c r="I66" s="2" t="str">
        <x:v>Gemini 1.5 Pro</x:v>
      </x:c>
      <x:c r="J66" s="2" t="str">
        <x:v>Gemini 1.5 Pro</x:v>
      </x:c>
      <x:c r="K66" s="2" t="str">
        <x:v>Gemini</x:v>
      </x:c>
      <x:c r="L66" s="2" t="str">
        <x:v>1.5 Pro</x:v>
      </x:c>
      <x:c r="M66" s="2" t="str">
        <x:v>NR</x:v>
      </x:c>
      <x:c r="N66" s="2" t="str">
        <x:v>NR</x:v>
      </x:c>
      <x:c r="O66" s="2" t="str">
        <x:v>Closed</x:v>
      </x:c>
      <x:c r="P66" s="2" t="str">
        <x:v>API</x:v>
      </x:c>
      <x:c r="Q66" s="2" t="str">
        <x:v>NR</x:v>
      </x:c>
      <x:c r="R66" s="2" t="str">
        <x:v>NR</x:v>
      </x:c>
      <x:c r="S66" s="2" t="str">
        <x:v>NR</x:v>
      </x:c>
      <x:c r="T66" s="2" t="str">
        <x:v>NR</x:v>
      </x:c>
      <x:c r="U66" s="2" t="str">
        <x:v>NR</x:v>
      </x:c>
      <x:c r="V66" s="2" t="str">
        <x:v>NR</x:v>
      </x:c>
      <x:c r="W66" s="2" t="str">
        <x:v>No</x:v>
      </x:c>
      <x:c r="X66" s="2" t="str">
        <x:v>No</x:v>
      </x:c>
      <x:c r="Y66" s="6" t="str">
        <x:v>p. 18; Section 4.2</x:v>
      </x:c>
      <x:c r="Z66" s="6" t="str">
        <x:v>For the data augmentation task, we utilized a panel of four leading, closed-source LLMs</x:v>
      </x:c>
      <x:c r="AA66" s="6" t="str">
        <x:v>Gemini 1.5 Pro通过API调用用于生成合成需求（C-to-R方向）。</x:v>
      </x:c>
      <x:c r="AB66" s="2" t="str">
        <x:v>Accepted</x:v>
      </x:c>
      <x:c r="AC66" s="6" t="str">
        <x:v>NA</x:v>
      </x:c>
    </x:row>
    <x:row r="67" ht="76" customHeight="1">
      <x:c r="A67" s="2" t="str">
        <x:v>S13-MODEL-R06</x:v>
      </x:c>
      <x:c r="B67" s="2" t="str">
        <x:v>S13</x:v>
      </x:c>
      <x:c r="C67" s="2" t="str">
        <x:v>merged_1140</x:v>
      </x:c>
      <x:c r="D67" s="2" t="str">
        <x:v>Reviewer_A</x:v>
      </x:c>
      <x:c r="E67" s="2" t="str">
        <x:v>Reviewer_A</x:v>
      </x:c>
      <x:c r="F67" s="2" t="str">
        <x:v>S13-MU06</x:v>
      </x:c>
      <x:c r="G67" s="2" t="str">
        <x:v>S13-O02</x:v>
      </x:c>
      <x:c r="H67" s="2" t="str">
        <x:v>S13-T01</x:v>
      </x:c>
      <x:c r="I67" s="2" t="str">
        <x:v>Claude 3 Opus</x:v>
      </x:c>
      <x:c r="J67" s="2" t="str">
        <x:v>Claude 3 Opus</x:v>
      </x:c>
      <x:c r="K67" s="2" t="str">
        <x:v>Claude</x:v>
      </x:c>
      <x:c r="L67" s="2" t="str">
        <x:v>3 Opus</x:v>
      </x:c>
      <x:c r="M67" s="2" t="str">
        <x:v>NR</x:v>
      </x:c>
      <x:c r="N67" s="2" t="str">
        <x:v>NR</x:v>
      </x:c>
      <x:c r="O67" s="2" t="str">
        <x:v>Closed</x:v>
      </x:c>
      <x:c r="P67" s="2" t="str">
        <x:v>API</x:v>
      </x:c>
      <x:c r="Q67" s="2" t="str">
        <x:v>NR</x:v>
      </x:c>
      <x:c r="R67" s="2" t="str">
        <x:v>NR</x:v>
      </x:c>
      <x:c r="S67" s="2" t="str">
        <x:v>NR</x:v>
      </x:c>
      <x:c r="T67" s="2" t="str">
        <x:v>NR</x:v>
      </x:c>
      <x:c r="U67" s="2" t="str">
        <x:v>NR</x:v>
      </x:c>
      <x:c r="V67" s="2" t="str">
        <x:v>NR</x:v>
      </x:c>
      <x:c r="W67" s="2" t="str">
        <x:v>No</x:v>
      </x:c>
      <x:c r="X67" s="2" t="str">
        <x:v>No</x:v>
      </x:c>
      <x:c r="Y67" s="6" t="str">
        <x:v>p. 18; Section 4.2</x:v>
      </x:c>
      <x:c r="Z67" s="6" t="str">
        <x:v>For the data augmentation task, we utilized a panel of four leading, closed-source LLMs</x:v>
      </x:c>
      <x:c r="AA67" s="6" t="str">
        <x:v>Claude 3 Opus通过API调用用于生成合成需求（C-to-R方向）。</x:v>
      </x:c>
      <x:c r="AB67" s="2" t="str">
        <x:v>Accepted</x:v>
      </x:c>
      <x:c r="AC67" s="6" t="str">
        <x:v>NA</x:v>
      </x:c>
    </x:row>
    <x:row r="68" ht="76" customHeight="1">
      <x:c r="A68" s="2" t="str">
        <x:v>S13-MODEL-R07</x:v>
      </x:c>
      <x:c r="B68" s="2" t="str">
        <x:v>S13</x:v>
      </x:c>
      <x:c r="C68" s="2" t="str">
        <x:v>merged_1140</x:v>
      </x:c>
      <x:c r="D68" s="2" t="str">
        <x:v>Reviewer_A</x:v>
      </x:c>
      <x:c r="E68" s="2" t="str">
        <x:v>Reviewer_A</x:v>
      </x:c>
      <x:c r="F68" s="2" t="str">
        <x:v>S13-MU07</x:v>
      </x:c>
      <x:c r="G68" s="2" t="str">
        <x:v>S13-O02</x:v>
      </x:c>
      <x:c r="H68" s="2" t="str">
        <x:v>S13-T01</x:v>
      </x:c>
      <x:c r="I68" s="2" t="str">
        <x:v>GPT-3.5 Turbo</x:v>
      </x:c>
      <x:c r="J68" s="2" t="str">
        <x:v>GPT-3.5 Turbo</x:v>
      </x:c>
      <x:c r="K68" s="2" t="str">
        <x:v>GPT</x:v>
      </x:c>
      <x:c r="L68" s="2" t="str">
        <x:v>Turbo</x:v>
      </x:c>
      <x:c r="M68" s="2" t="str">
        <x:v>NR</x:v>
      </x:c>
      <x:c r="N68" s="2" t="str">
        <x:v>NR</x:v>
      </x:c>
      <x:c r="O68" s="2" t="str">
        <x:v>Closed</x:v>
      </x:c>
      <x:c r="P68" s="2" t="str">
        <x:v>API</x:v>
      </x:c>
      <x:c r="Q68" s="2" t="str">
        <x:v>NR</x:v>
      </x:c>
      <x:c r="R68" s="2" t="str">
        <x:v>NR</x:v>
      </x:c>
      <x:c r="S68" s="2" t="str">
        <x:v>NR</x:v>
      </x:c>
      <x:c r="T68" s="2" t="str">
        <x:v>NR</x:v>
      </x:c>
      <x:c r="U68" s="2" t="str">
        <x:v>NR</x:v>
      </x:c>
      <x:c r="V68" s="2" t="str">
        <x:v>NR</x:v>
      </x:c>
      <x:c r="W68" s="2" t="str">
        <x:v>No</x:v>
      </x:c>
      <x:c r="X68" s="2" t="str">
        <x:v>No</x:v>
      </x:c>
      <x:c r="Y68" s="6" t="str">
        <x:v>p. 18; Section 4.2</x:v>
      </x:c>
      <x:c r="Z68" s="6" t="str">
        <x:v>For the data augmentation task, we utilized a panel of four leading, closed-source LLMs</x:v>
      </x:c>
      <x:c r="AA68" s="6" t="str">
        <x:v>GPT-3.5 Turbo通过API调用用于生成合成需求（C-to-R方向）。</x:v>
      </x:c>
      <x:c r="AB68" s="2" t="str">
        <x:v>Accepted</x:v>
      </x:c>
      <x:c r="AC68" s="6" t="str">
        <x:v>NA</x:v>
      </x:c>
    </x:row>
    <x:row r="69" ht="76" customHeight="1">
      <x:c r="A69" s="2" t="str">
        <x:v>S13-MODEL-R08</x:v>
      </x:c>
      <x:c r="B69" s="2" t="str">
        <x:v>S13</x:v>
      </x:c>
      <x:c r="C69" s="2" t="str">
        <x:v>merged_1140</x:v>
      </x:c>
      <x:c r="D69" s="2" t="str">
        <x:v>Reviewer_A</x:v>
      </x:c>
      <x:c r="E69" s="2" t="str">
        <x:v>Reviewer_A</x:v>
      </x:c>
      <x:c r="F69" s="2" t="str">
        <x:v>S13-MU08</x:v>
      </x:c>
      <x:c r="G69" s="2" t="str">
        <x:v>S13-O02</x:v>
      </x:c>
      <x:c r="H69" s="2" t="str">
        <x:v>S13-T01</x:v>
      </x:c>
      <x:c r="I69" s="2" t="str">
        <x:v>GPT-4o</x:v>
      </x:c>
      <x:c r="J69" s="2" t="str">
        <x:v>GPT-4o</x:v>
      </x:c>
      <x:c r="K69" s="2" t="str">
        <x:v>GPT</x:v>
      </x:c>
      <x:c r="L69" s="2" t="str">
        <x:v>4o</x:v>
      </x:c>
      <x:c r="M69" s="2" t="str">
        <x:v>NR</x:v>
      </x:c>
      <x:c r="N69" s="2" t="str">
        <x:v>NR</x:v>
      </x:c>
      <x:c r="O69" s="2" t="str">
        <x:v>Closed</x:v>
      </x:c>
      <x:c r="P69" s="2" t="str">
        <x:v>API</x:v>
      </x:c>
      <x:c r="Q69" s="2" t="str">
        <x:v>NR</x:v>
      </x:c>
      <x:c r="R69" s="2" t="str">
        <x:v>NR</x:v>
      </x:c>
      <x:c r="S69" s="2" t="str">
        <x:v>NR</x:v>
      </x:c>
      <x:c r="T69" s="2" t="str">
        <x:v>NR</x:v>
      </x:c>
      <x:c r="U69" s="2" t="str">
        <x:v>NR</x:v>
      </x:c>
      <x:c r="V69" s="2" t="str">
        <x:v>NR</x:v>
      </x:c>
      <x:c r="W69" s="2" t="str">
        <x:v>No</x:v>
      </x:c>
      <x:c r="X69" s="2" t="str">
        <x:v>No</x:v>
      </x:c>
      <x:c r="Y69" s="6" t="str">
        <x:v>p. 18; Section 4.2</x:v>
      </x:c>
      <x:c r="Z69" s="6" t="str">
        <x:v>For the data augmentation task, we utilized a panel of four leading, closed-source LLMs</x:v>
      </x:c>
      <x:c r="AA69" s="6" t="str">
        <x:v>GPT-4o通过API调用用于生成合成需求（C-to-R方向）。</x:v>
      </x:c>
      <x:c r="AB69" s="2" t="str">
        <x:v>Accepted</x:v>
      </x:c>
      <x:c r="AC69" s="6" t="str">
        <x:v>NA</x:v>
      </x:c>
    </x:row>
    <x:row r="70" ht="76" customHeight="1">
      <x:c r="A70" s="2" t="str">
        <x:v>S14-MODEL-R01</x:v>
      </x:c>
      <x:c r="B70" s="2" t="str">
        <x:v>S14</x:v>
      </x:c>
      <x:c r="C70" s="2" t="str">
        <x:v>merged_1142-v1</x:v>
      </x:c>
      <x:c r="D70" s="2" t="str">
        <x:v>Reviewer_A</x:v>
      </x:c>
      <x:c r="E70" s="2" t="str">
        <x:v>Reviewer_A</x:v>
      </x:c>
      <x:c r="F70" s="2" t="str">
        <x:v>S14-MU01</x:v>
      </x:c>
      <x:c r="G70" s="2" t="str">
        <x:v>S14-O01</x:v>
      </x:c>
      <x:c r="H70" s="2" t="str">
        <x:v>S14-T01</x:v>
      </x:c>
      <x:c r="I70" s="2" t="str">
        <x:v>Gemini 2.5 Pro</x:v>
      </x:c>
      <x:c r="J70" s="2" t="str">
        <x:v>Gemini 2.5 Pro</x:v>
      </x:c>
      <x:c r="K70" s="2" t="str">
        <x:v>Gemini</x:v>
      </x:c>
      <x:c r="L70" s="2" t="str">
        <x:v>Preview 06-05</x:v>
      </x:c>
      <x:c r="M70" s="2" t="str">
        <x:v>NR</x:v>
      </x:c>
      <x:c r="N70" s="2" t="str">
        <x:v>NR</x:v>
      </x:c>
      <x:c r="O70" s="2" t="str">
        <x:v>Closed</x:v>
      </x:c>
      <x:c r="P70" s="2" t="str">
        <x:v>API</x:v>
      </x:c>
      <x:c r="Q70" s="2" t="n">
        <x:v>1</x:v>
      </x:c>
      <x:c r="R70" s="2" t="str">
        <x:v>NR</x:v>
      </x:c>
      <x:c r="S70" s="2" t="str">
        <x:v>NR</x:v>
      </x:c>
      <x:c r="T70" s="2" t="str">
        <x:v>NR</x:v>
      </x:c>
      <x:c r="U70" s="2" t="str">
        <x:v>API</x:v>
      </x:c>
      <x:c r="V70" s="2" t="str">
        <x:v>NR</x:v>
      </x:c>
      <x:c r="W70" s="2" t="str">
        <x:v>No</x:v>
      </x:c>
      <x:c r="X70" s="2" t="str">
        <x:v>No</x:v>
      </x:c>
      <x:c r="Y70" s="6" t="str">
        <x:v>p. 25; Section 4.3.2 Gemini-All</x:v>
      </x:c>
      <x:c r="Z70" s="6" t="str">
        <x:v>we set the temperature parameter to the recommended value of 1.0</x:v>
      </x:c>
      <x:c r="AA70" s="6" t="str">
        <x:v>Gemini 2.5 Pro通过API调用，温度设为1.0，用于需求-代码链接分类。</x:v>
      </x:c>
      <x:c r="AB70" s="2" t="str">
        <x:v>Accepted</x:v>
      </x:c>
      <x:c r="AC70" s="6" t="str">
        <x:v>表6注释指出 Gemini 2.5 Pro 指代 Google: Gemini 2.5 Pro Preview 06-05。</x:v>
      </x:c>
    </x:row>
    <x:row r="71" ht="76" customHeight="1">
      <x:c r="A71" s="2" t="str">
        <x:v>S15-MODEL-R01</x:v>
      </x:c>
      <x:c r="B71" s="2" t="str">
        <x:v>S15</x:v>
      </x:c>
      <x:c r="C71" s="2" t="str">
        <x:v>merged_1143</x:v>
      </x:c>
      <x:c r="D71" s="2" t="str">
        <x:v>Reviewer_A</x:v>
      </x:c>
      <x:c r="E71" s="2" t="str">
        <x:v>Reviewer_A</x:v>
      </x:c>
      <x:c r="F71" s="2" t="str">
        <x:v>S15-MU01</x:v>
      </x:c>
      <x:c r="G71" s="2" t="str">
        <x:v>S15-O01</x:v>
      </x:c>
      <x:c r="H71" s="2" t="str">
        <x:v>S15-T01</x:v>
      </x:c>
      <x:c r="I71" s="2" t="str">
        <x:v>gpt-4o-2024-08-06</x:v>
      </x:c>
      <x:c r="J71" s="2" t="str">
        <x:v>gpt-4o</x:v>
      </x:c>
      <x:c r="K71" s="2" t="str">
        <x:v>GPT</x:v>
      </x:c>
      <x:c r="L71" s="2" t="str">
        <x:v>2024-08-06</x:v>
      </x:c>
      <x:c r="M71" s="2" t="str">
        <x:v>NR</x:v>
      </x:c>
      <x:c r="N71" s="2" t="str">
        <x:v>NR</x:v>
      </x:c>
      <x:c r="O71" s="2" t="str">
        <x:v>Closed</x:v>
      </x:c>
      <x:c r="P71" s="2" t="str">
        <x:v>API</x:v>
      </x:c>
      <x:c r="Q71" s="2" t="n">
        <x:v>1</x:v>
      </x:c>
      <x:c r="R71" s="2" t="str">
        <x:v>NR</x:v>
      </x:c>
      <x:c r="S71" s="2" t="str">
        <x:v>NA</x:v>
      </x:c>
      <x:c r="T71" s="2" t="str">
        <x:v>NR</x:v>
      </x:c>
      <x:c r="U71" s="2" t="str">
        <x:v>API</x:v>
      </x:c>
      <x:c r="V71" s="2" t="str">
        <x:v>NR</x:v>
      </x:c>
      <x:c r="W71" s="2" t="str">
        <x:v>No</x:v>
      </x:c>
      <x:c r="X71" s="2" t="str">
        <x:v>No</x:v>
      </x:c>
      <x:c r="Y71" s="6" t="str">
        <x:v>p. 2; Section III</x:v>
      </x:c>
      <x:c r="Z71" s="6" t="str">
        <x:v>code representations of goal models. For the experiments reported in this paper, we use the OpenAI model gpt-4o-202408-06 with temperature = 1.0, unless otherwise noted.</x:v>
      </x:c>
      <x:c r="AA71" s="6" t="str">
        <x:v>所有操作均使用同一个GPT-4o模型版本，通过OpenAI API调用，未报告推理成本或延迟。</x:v>
      </x:c>
      <x:c r="AB71" s="2" t="str">
        <x:v>Accepted</x:v>
      </x:c>
      <x:c r="AC71" s="6" t="str">
        <x:v>NR</x:v>
      </x:c>
    </x:row>
    <x:row r="72" ht="76" customHeight="1">
      <x:c r="A72" s="2" t="str">
        <x:v>S15-MODEL-R02</x:v>
      </x:c>
      <x:c r="B72" s="2" t="str">
        <x:v>S15</x:v>
      </x:c>
      <x:c r="C72" s="2" t="str">
        <x:v>merged_1143</x:v>
      </x:c>
      <x:c r="D72" s="2" t="str">
        <x:v>Reviewer_A</x:v>
      </x:c>
      <x:c r="E72" s="2" t="str">
        <x:v>Reviewer_A</x:v>
      </x:c>
      <x:c r="F72" s="2" t="str">
        <x:v>S15-MU02</x:v>
      </x:c>
      <x:c r="G72" s="2" t="str">
        <x:v>S15-O02</x:v>
      </x:c>
      <x:c r="H72" s="2" t="str">
        <x:v>S15-T01</x:v>
      </x:c>
      <x:c r="I72" s="2" t="str">
        <x:v>gpt-4o-2024-08-06</x:v>
      </x:c>
      <x:c r="J72" s="2" t="str">
        <x:v>gpt-4o</x:v>
      </x:c>
      <x:c r="K72" s="2" t="str">
        <x:v>GPT</x:v>
      </x:c>
      <x:c r="L72" s="2" t="str">
        <x:v>2024-08-06</x:v>
      </x:c>
      <x:c r="M72" s="2" t="str">
        <x:v>NR</x:v>
      </x:c>
      <x:c r="N72" s="2" t="str">
        <x:v>NR</x:v>
      </x:c>
      <x:c r="O72" s="2" t="str">
        <x:v>Closed</x:v>
      </x:c>
      <x:c r="P72" s="2" t="str">
        <x:v>API</x:v>
      </x:c>
      <x:c r="Q72" s="2" t="n">
        <x:v>1</x:v>
      </x:c>
      <x:c r="R72" s="2" t="str">
        <x:v>NR</x:v>
      </x:c>
      <x:c r="S72" s="2" t="str">
        <x:v>NA</x:v>
      </x:c>
      <x:c r="T72" s="2" t="str">
        <x:v>NR</x:v>
      </x:c>
      <x:c r="U72" s="2" t="str">
        <x:v>API</x:v>
      </x:c>
      <x:c r="V72" s="2" t="str">
        <x:v>NR</x:v>
      </x:c>
      <x:c r="W72" s="2" t="str">
        <x:v>No</x:v>
      </x:c>
      <x:c r="X72" s="2" t="str">
        <x:v>No</x:v>
      </x:c>
      <x:c r="Y72" s="6" t="str">
        <x:v>p. 2; Section III</x:v>
      </x:c>
      <x:c r="Z72" s="6" t="str">
        <x:v>code representations of goal models. For the experiments reported in this paper, we use the OpenAI model gpt-4o-202408-06 with temperature = 1.0, unless otherwise noted.</x:v>
      </x:c>
      <x:c r="AA72" s="6" t="str">
        <x:v>同O1，使用相同模型配置进行目标溯源。</x:v>
      </x:c>
      <x:c r="AB72" s="2" t="str">
        <x:v>Accepted</x:v>
      </x:c>
      <x:c r="AC72" s="6" t="str">
        <x:v>NR</x:v>
      </x:c>
    </x:row>
    <x:row r="73" ht="76" customHeight="1">
      <x:c r="A73" s="2" t="str">
        <x:v>S15-MODEL-R03</x:v>
      </x:c>
      <x:c r="B73" s="2" t="str">
        <x:v>S15</x:v>
      </x:c>
      <x:c r="C73" s="2" t="str">
        <x:v>merged_1143</x:v>
      </x:c>
      <x:c r="D73" s="2" t="str">
        <x:v>Reviewer_A</x:v>
      </x:c>
      <x:c r="E73" s="2" t="str">
        <x:v>Reviewer_A</x:v>
      </x:c>
      <x:c r="F73" s="2" t="str">
        <x:v>S15-MU03</x:v>
      </x:c>
      <x:c r="G73" s="2" t="str">
        <x:v>S15-O03</x:v>
      </x:c>
      <x:c r="H73" s="2" t="str">
        <x:v>S15-T02</x:v>
      </x:c>
      <x:c r="I73" s="2" t="str">
        <x:v>gpt-4o-2024-08-06</x:v>
      </x:c>
      <x:c r="J73" s="2" t="str">
        <x:v>gpt-4o</x:v>
      </x:c>
      <x:c r="K73" s="2" t="str">
        <x:v>GPT</x:v>
      </x:c>
      <x:c r="L73" s="2" t="str">
        <x:v>2024-08-06</x:v>
      </x:c>
      <x:c r="M73" s="2" t="str">
        <x:v>NR</x:v>
      </x:c>
      <x:c r="N73" s="2" t="str">
        <x:v>NR</x:v>
      </x:c>
      <x:c r="O73" s="2" t="str">
        <x:v>Closed</x:v>
      </x:c>
      <x:c r="P73" s="2" t="str">
        <x:v>API</x:v>
      </x:c>
      <x:c r="Q73" s="2" t="n">
        <x:v>1</x:v>
      </x:c>
      <x:c r="R73" s="2" t="str">
        <x:v>NR</x:v>
      </x:c>
      <x:c r="S73" s="2" t="str">
        <x:v>NA</x:v>
      </x:c>
      <x:c r="T73" s="2" t="str">
        <x:v>NR</x:v>
      </x:c>
      <x:c r="U73" s="2" t="str">
        <x:v>API</x:v>
      </x:c>
      <x:c r="V73" s="2" t="str">
        <x:v>NR</x:v>
      </x:c>
      <x:c r="W73" s="2" t="str">
        <x:v>No</x:v>
      </x:c>
      <x:c r="X73" s="2" t="str">
        <x:v>No</x:v>
      </x:c>
      <x:c r="Y73" s="6" t="str">
        <x:v>p. 2; Section III</x:v>
      </x:c>
      <x:c r="Z73" s="6" t="str">
        <x:v>code representations of goal models. For the experiments reported in this paper, we use the OpenAI model gpt-4o-202408-06 with temperature = 1.0, unless otherwise noted.</x:v>
      </x:c>
      <x:c r="AA73" s="6" t="str">
        <x:v>使用与O1和O2相同的模型，通过代码生成方式完成目标建模。</x:v>
      </x:c>
      <x:c r="AB73" s="2" t="str">
        <x:v>Accepted</x:v>
      </x:c>
      <x:c r="AC73" s="6" t="str">
        <x:v>NR</x:v>
      </x:c>
    </x:row>
    <x:row r="74" ht="76" customHeight="1">
      <x:c r="A74" s="2" t="str">
        <x:v>S16-MODEL-R01</x:v>
      </x:c>
      <x:c r="B74" s="2" t="str">
        <x:v>S16</x:v>
      </x:c>
      <x:c r="C74" s="2" t="str">
        <x:v>merged_1144</x:v>
      </x:c>
      <x:c r="D74" s="2" t="str">
        <x:v>Reviewer_A</x:v>
      </x:c>
      <x:c r="E74" s="2" t="str">
        <x:v>Reviewer_A</x:v>
      </x:c>
      <x:c r="F74" s="2" t="str">
        <x:v>S16-MU01</x:v>
      </x:c>
      <x:c r="G74" s="2" t="str">
        <x:v>S16-O01</x:v>
      </x:c>
      <x:c r="H74" s="2" t="str">
        <x:v>S16-T01</x:v>
      </x:c>
      <x:c r="I74" s="2" t="str">
        <x:v>gpt-4o-2024-11-20</x:v>
      </x:c>
      <x:c r="J74" s="2" t="str">
        <x:v>GPT-4o</x:v>
      </x:c>
      <x:c r="K74" s="2" t="str">
        <x:v>GPT</x:v>
      </x:c>
      <x:c r="L74" s="2" t="str">
        <x:v>2024-11-20</x:v>
      </x:c>
      <x:c r="M74" s="2" t="str">
        <x:v>NR</x:v>
      </x:c>
      <x:c r="N74" s="2" t="str">
        <x:v>Unclear</x:v>
      </x:c>
      <x:c r="O74" s="2" t="str">
        <x:v>Closed</x:v>
      </x:c>
      <x:c r="P74" s="2" t="str">
        <x:v>API</x:v>
      </x:c>
      <x:c r="Q74" s="2" t="n">
        <x:v>1</x:v>
      </x:c>
      <x:c r="R74" s="2" t="str">
        <x:v>NR</x:v>
      </x:c>
      <x:c r="S74" s="2" t="n">
        <x:v>1</x:v>
      </x:c>
      <x:c r="T74" s="2" t="str">
        <x:v>128k</x:v>
      </x:c>
      <x:c r="U74" s="2" t="str">
        <x:v>API</x:v>
      </x:c>
      <x:c r="V74" s="2" t="str">
        <x:v>NR</x:v>
      </x:c>
      <x:c r="W74" s="2" t="str">
        <x:v>No</x:v>
      </x:c>
      <x:c r="X74" s="2" t="str">
        <x:v>No</x:v>
      </x:c>
      <x:c r="Y74" s="6" t="str">
        <x:v>p. 7; Section 5.2.2 LLM Setup</x:v>
      </x:c>
      <x:c r="Z74" s="6" t="str">
        <x:v>We utilized the ChatGPT model GPT-4o provided by OpenAI, specifically the gpt-4o-2024-11-20 version, with its default configuration.</x:v>
      </x:c>
      <x:c r="AA74" s="6" t="str">
        <x:v>使用的模型是OpenAI的GPT-4o，通过API调用，温度设为1.0，每次查询采样一次，上下文窗口128k tokens。</x:v>
      </x:c>
      <x:c r="AB74" s="2" t="str">
        <x:v>Accepted</x:v>
      </x:c>
      <x:c r="AC74" s="6" t="str">
        <x:v>NA</x:v>
      </x:c>
    </x:row>
    <x:row r="75" ht="76" customHeight="1">
      <x:c r="A75" s="2" t="str">
        <x:v>S17-MODEL-R01</x:v>
      </x:c>
      <x:c r="B75" s="2" t="str">
        <x:v>S17</x:v>
      </x:c>
      <x:c r="C75" s="2" t="str">
        <x:v>merged_1148-v1</x:v>
      </x:c>
      <x:c r="D75" s="2" t="str">
        <x:v>Reviewer_A</x:v>
      </x:c>
      <x:c r="E75" s="2" t="str">
        <x:v>Reviewer_A</x:v>
      </x:c>
      <x:c r="F75" s="2" t="str">
        <x:v>S17-MU01</x:v>
      </x:c>
      <x:c r="G75" s="2" t="str">
        <x:v>S17-O01</x:v>
      </x:c>
      <x:c r="H75" s="2" t="str">
        <x:v>S17-T01</x:v>
      </x:c>
      <x:c r="I75" s="2" t="str">
        <x:v>GPT-4o</x:v>
      </x:c>
      <x:c r="J75" s="2" t="str">
        <x:v>gpt-4o</x:v>
      </x:c>
      <x:c r="K75" s="2" t="str">
        <x:v>GPT</x:v>
      </x:c>
      <x:c r="L75" s="2" t="str">
        <x:v>NR</x:v>
      </x:c>
      <x:c r="M75" s="2" t="str">
        <x:v>NR</x:v>
      </x:c>
      <x:c r="N75" s="2" t="str">
        <x:v>NR</x:v>
      </x:c>
      <x:c r="O75" s="2" t="str">
        <x:v>Closed</x:v>
      </x:c>
      <x:c r="P75" s="2" t="str">
        <x:v>API</x:v>
      </x:c>
      <x:c r="Q75" s="2" t="str">
        <x:v>NR</x:v>
      </x:c>
      <x:c r="R75" s="2" t="str">
        <x:v>NR</x:v>
      </x:c>
      <x:c r="S75" s="2" t="str">
        <x:v>NR</x:v>
      </x:c>
      <x:c r="T75" s="2" t="str">
        <x:v>NR</x:v>
      </x:c>
      <x:c r="U75" s="2" t="str">
        <x:v>NR</x:v>
      </x:c>
      <x:c r="V75" s="2" t="str">
        <x:v>NR</x:v>
      </x:c>
      <x:c r="W75" s="2" t="str">
        <x:v>No</x:v>
      </x:c>
      <x:c r="X75" s="2" t="str">
        <x:v>No</x:v>
      </x:c>
      <x:c r="Y75" s="6" t="str">
        <x:v>p. 4; Section IV-A</x:v>
      </x:c>
      <x:c r="Z75" s="6" t="str">
        <x:v>making full use of OpenAI’s latest vision model: GPT-4o</x:v>
      </x:c>
      <x:c r="AA75" s="6" t="str">
        <x:v>论文明确说明使用OpenAI的GPT-4o模型。</x:v>
      </x:c>
      <x:c r="AB75" s="2" t="str">
        <x:v>Accepted</x:v>
      </x:c>
      <x:c r="AC75" s="6" t="str">
        <x:v>NA</x:v>
      </x:c>
    </x:row>
    <x:row r="76" ht="76" customHeight="1">
      <x:c r="A76" s="2" t="str">
        <x:v>S17-MODEL-R02</x:v>
      </x:c>
      <x:c r="B76" s="2" t="str">
        <x:v>S17</x:v>
      </x:c>
      <x:c r="C76" s="2" t="str">
        <x:v>merged_1148-v1</x:v>
      </x:c>
      <x:c r="D76" s="2" t="str">
        <x:v>Reviewer_A</x:v>
      </x:c>
      <x:c r="E76" s="2" t="str">
        <x:v>Reviewer_A</x:v>
      </x:c>
      <x:c r="F76" s="2" t="str">
        <x:v>S17-MU02</x:v>
      </x:c>
      <x:c r="G76" s="2" t="str">
        <x:v>S17-O02</x:v>
      </x:c>
      <x:c r="H76" s="2" t="str">
        <x:v>S17-T02</x:v>
      </x:c>
      <x:c r="I76" s="2" t="str">
        <x:v>GPT-4o</x:v>
      </x:c>
      <x:c r="J76" s="2" t="str">
        <x:v>gpt-4o</x:v>
      </x:c>
      <x:c r="K76" s="2" t="str">
        <x:v>GPT</x:v>
      </x:c>
      <x:c r="L76" s="2" t="str">
        <x:v>NR</x:v>
      </x:c>
      <x:c r="M76" s="2" t="str">
        <x:v>NR</x:v>
      </x:c>
      <x:c r="N76" s="2" t="str">
        <x:v>NR</x:v>
      </x:c>
      <x:c r="O76" s="2" t="str">
        <x:v>Closed</x:v>
      </x:c>
      <x:c r="P76" s="2" t="str">
        <x:v>API</x:v>
      </x:c>
      <x:c r="Q76" s="2" t="str">
        <x:v>NR</x:v>
      </x:c>
      <x:c r="R76" s="2" t="str">
        <x:v>NR</x:v>
      </x:c>
      <x:c r="S76" s="2" t="str">
        <x:v>NR</x:v>
      </x:c>
      <x:c r="T76" s="2" t="str">
        <x:v>NR</x:v>
      </x:c>
      <x:c r="U76" s="2" t="str">
        <x:v>NR</x:v>
      </x:c>
      <x:c r="V76" s="2" t="str">
        <x:v>NR</x:v>
      </x:c>
      <x:c r="W76" s="2" t="str">
        <x:v>No</x:v>
      </x:c>
      <x:c r="X76" s="2" t="str">
        <x:v>No</x:v>
      </x:c>
      <x:c r="Y76" s="6" t="str">
        <x:v>p. 4; Section IV-A</x:v>
      </x:c>
      <x:c r="Z76" s="6" t="str">
        <x:v>making full use of OpenAI’s latest vision model: GPT-4o</x:v>
      </x:c>
      <x:c r="AA76" s="6" t="str">
        <x:v>与UCA生成使用同一模型。</x:v>
      </x:c>
      <x:c r="AB76" s="2" t="str">
        <x:v>Accepted</x:v>
      </x:c>
      <x:c r="AC76" s="6" t="str">
        <x:v>NA</x:v>
      </x:c>
    </x:row>
    <x:row r="77" ht="76" customHeight="1">
      <x:c r="A77" s="2" t="str">
        <x:v>S17-MODEL-R03</x:v>
      </x:c>
      <x:c r="B77" s="2" t="str">
        <x:v>S17</x:v>
      </x:c>
      <x:c r="C77" s="2" t="str">
        <x:v>merged_1148-v1</x:v>
      </x:c>
      <x:c r="D77" s="2" t="str">
        <x:v>Reviewer_A</x:v>
      </x:c>
      <x:c r="E77" s="2" t="str">
        <x:v>Reviewer_A</x:v>
      </x:c>
      <x:c r="F77" s="2" t="str">
        <x:v>S17-MU03</x:v>
      </x:c>
      <x:c r="G77" s="2" t="str">
        <x:v>S17-O03</x:v>
      </x:c>
      <x:c r="H77" s="2" t="str">
        <x:v>S17-T03</x:v>
      </x:c>
      <x:c r="I77" s="2" t="str">
        <x:v>GPT-4o</x:v>
      </x:c>
      <x:c r="J77" s="2" t="str">
        <x:v>gpt-4o</x:v>
      </x:c>
      <x:c r="K77" s="2" t="str">
        <x:v>GPT</x:v>
      </x:c>
      <x:c r="L77" s="2" t="str">
        <x:v>NR</x:v>
      </x:c>
      <x:c r="M77" s="2" t="str">
        <x:v>NR</x:v>
      </x:c>
      <x:c r="N77" s="2" t="str">
        <x:v>NR</x:v>
      </x:c>
      <x:c r="O77" s="2" t="str">
        <x:v>Closed</x:v>
      </x:c>
      <x:c r="P77" s="2" t="str">
        <x:v>API</x:v>
      </x:c>
      <x:c r="Q77" s="2" t="str">
        <x:v>NR</x:v>
      </x:c>
      <x:c r="R77" s="2" t="str">
        <x:v>NR</x:v>
      </x:c>
      <x:c r="S77" s="2" t="str">
        <x:v>NR</x:v>
      </x:c>
      <x:c r="T77" s="2" t="str">
        <x:v>NR</x:v>
      </x:c>
      <x:c r="U77" s="2" t="str">
        <x:v>NR</x:v>
      </x:c>
      <x:c r="V77" s="2" t="str">
        <x:v>NR</x:v>
      </x:c>
      <x:c r="W77" s="2" t="str">
        <x:v>No</x:v>
      </x:c>
      <x:c r="X77" s="2" t="str">
        <x:v>No</x:v>
      </x:c>
      <x:c r="Y77" s="6" t="str">
        <x:v>p. 4; Section IV-A</x:v>
      </x:c>
      <x:c r="Z77" s="6" t="str">
        <x:v>making full use of OpenAI’s latest vision model: GPT-4o</x:v>
      </x:c>
      <x:c r="AA77" s="6" t="str">
        <x:v>自动链接操作也使用同一GPT-4o模型。</x:v>
      </x:c>
      <x:c r="AB77" s="2" t="str">
        <x:v>Accepted</x:v>
      </x:c>
      <x:c r="AC77" s="6" t="str">
        <x:v>NA</x:v>
      </x:c>
    </x:row>
    <x:row r="78" ht="76" customHeight="1">
      <x:c r="A78" s="2" t="str">
        <x:v>S18-MODEL-R01</x:v>
      </x:c>
      <x:c r="B78" s="2" t="str">
        <x:v>S18</x:v>
      </x:c>
      <x:c r="C78" s="2" t="str">
        <x:v>merged_1149</x:v>
      </x:c>
      <x:c r="D78" s="2" t="str">
        <x:v>Reviewer_A</x:v>
      </x:c>
      <x:c r="E78" s="2" t="str">
        <x:v>Reviewer_A</x:v>
      </x:c>
      <x:c r="F78" s="2" t="str">
        <x:v>S18-MU01</x:v>
      </x:c>
      <x:c r="G78" s="2" t="str">
        <x:v>S18-O01</x:v>
      </x:c>
      <x:c r="H78" s="2" t="str">
        <x:v>S18-T01</x:v>
      </x:c>
      <x:c r="I78" s="2" t="str">
        <x:v>GPT-4o</x:v>
      </x:c>
      <x:c r="J78" s="2" t="str">
        <x:v>gpt-4o</x:v>
      </x:c>
      <x:c r="K78" s="2" t="str">
        <x:v>GPT</x:v>
      </x:c>
      <x:c r="L78" s="2" t="str">
        <x:v>Unclear</x:v>
      </x:c>
      <x:c r="M78" s="2" t="str">
        <x:v>NR</x:v>
      </x:c>
      <x:c r="N78" s="2" t="str">
        <x:v>NR</x:v>
      </x:c>
      <x:c r="O78" s="2" t="str">
        <x:v>Closed</x:v>
      </x:c>
      <x:c r="P78" s="2" t="str">
        <x:v>API</x:v>
      </x:c>
      <x:c r="Q78" s="2" t="n">
        <x:v>0</x:v>
      </x:c>
      <x:c r="R78" s="2" t="n">
        <x:v>16</x:v>
      </x:c>
      <x:c r="S78" s="2" t="str">
        <x:v>NR</x:v>
      </x:c>
      <x:c r="T78" s="2" t="str">
        <x:v>NR</x:v>
      </x:c>
      <x:c r="U78" s="2" t="str">
        <x:v>NR</x:v>
      </x:c>
      <x:c r="V78" s="2" t="str">
        <x:v>NR</x:v>
      </x:c>
      <x:c r="W78" s="2" t="str">
        <x:v>No</x:v>
      </x:c>
      <x:c r="X78" s="2" t="str">
        <x:v>No</x:v>
      </x:c>
      <x:c r="Y78" s="6" t="str">
        <x:v>p. 14; Section 4.4 Implementation</x:v>
      </x:c>
      <x:c r="Z78" s="6" t="str">
        <x:v>with the following settings: a temperature of 0, a max-token of 2,000, a frequency penalty of 0, a presence penalty of 0, top p = 1, and a random seed of 16.</x:v>
      </x:c>
      <x:c r="AA78" s="6" t="str">
        <x:v>论文明确说明了调用GPT-4o的API参数，包括温度、随机种子等。</x:v>
      </x:c>
      <x:c r="AB78" s="2" t="str">
        <x:v>Accepted</x:v>
      </x:c>
      <x:c r="AC78" s="6" t="str">
        <x:v>NA</x:v>
      </x:c>
    </x:row>
    <x:row r="79" ht="76" customHeight="1">
      <x:c r="A79" s="2" t="str">
        <x:v>S19-MODEL-R01</x:v>
      </x:c>
      <x:c r="B79" s="2" t="str">
        <x:v>S19</x:v>
      </x:c>
      <x:c r="C79" s="2" t="str">
        <x:v>merged_1150</x:v>
      </x:c>
      <x:c r="D79" s="2" t="str">
        <x:v>Reviewer_A</x:v>
      </x:c>
      <x:c r="E79" s="2" t="str">
        <x:v>Reviewer_A</x:v>
      </x:c>
      <x:c r="F79" s="2" t="str">
        <x:v>S19-MU01</x:v>
      </x:c>
      <x:c r="G79" s="2" t="str">
        <x:v>S19-O01</x:v>
      </x:c>
      <x:c r="H79" s="2" t="str">
        <x:v>S19-T01</x:v>
      </x:c>
      <x:c r="I79" s="2" t="str">
        <x:v>GPT-4o</x:v>
      </x:c>
      <x:c r="J79" s="2" t="str">
        <x:v>gpt-4o</x:v>
      </x:c>
      <x:c r="K79" s="2" t="str">
        <x:v>GPT</x:v>
      </x:c>
      <x:c r="L79" s="2" t="str">
        <x:v>gpt-4o-2024-08-06</x:v>
      </x:c>
      <x:c r="M79" s="2" t="str">
        <x:v>NR</x:v>
      </x:c>
      <x:c r="N79" s="2" t="str">
        <x:v>Unclear</x:v>
      </x:c>
      <x:c r="O79" s="2" t="str">
        <x:v>Closed</x:v>
      </x:c>
      <x:c r="P79" s="2" t="str">
        <x:v>Unclear</x:v>
      </x:c>
      <x:c r="Q79" s="2" t="n">
        <x:v>0</x:v>
      </x:c>
      <x:c r="R79" s="2" t="str">
        <x:v>NR</x:v>
      </x:c>
      <x:c r="S79" s="2" t="n">
        <x:v>5</x:v>
      </x:c>
      <x:c r="T79" s="2" t="str">
        <x:v>128k</x:v>
      </x:c>
      <x:c r="U79" s="2" t="str">
        <x:v>NR</x:v>
      </x:c>
      <x:c r="V79" s="2" t="str">
        <x:v>NR</x:v>
      </x:c>
      <x:c r="W79" s="2" t="str">
        <x:v>No</x:v>
      </x:c>
      <x:c r="X79" s="2" t="str">
        <x:v>No</x:v>
      </x:c>
      <x:c r="Y79" s="6" t="str">
        <x:v>p. 2; Section III.A</x:v>
      </x:c>
      <x:c r="Z79" s="6" t="str">
        <x:v>GPT-4o (gpt-4o-2024-08-06)</x:v>
      </x:c>
      <x:c r="AA79" s="6" t="str">
        <x:v>使用GPT-4o闭源模型，具体版本号为gpt-4o-2024-08-06，温度设为0，重复5次取多数投票</x:v>
      </x:c>
      <x:c r="AB79" s="2" t="str">
        <x:v>Accepted</x:v>
      </x:c>
      <x:c r="AC79" s="6" t="str">
        <x:v>NR</x:v>
      </x:c>
    </x:row>
    <x:row r="80" ht="76" customHeight="1">
      <x:c r="A80" s="2" t="str">
        <x:v>S19-MODEL-R02</x:v>
      </x:c>
      <x:c r="B80" s="2" t="str">
        <x:v>S19</x:v>
      </x:c>
      <x:c r="C80" s="2" t="str">
        <x:v>merged_1150</x:v>
      </x:c>
      <x:c r="D80" s="2" t="str">
        <x:v>Reviewer_A</x:v>
      </x:c>
      <x:c r="E80" s="2" t="str">
        <x:v>Reviewer_A</x:v>
      </x:c>
      <x:c r="F80" s="2" t="str">
        <x:v>S19-MU02</x:v>
      </x:c>
      <x:c r="G80" s="2" t="str">
        <x:v>S19-O01</x:v>
      </x:c>
      <x:c r="H80" s="2" t="str">
        <x:v>S19-T01</x:v>
      </x:c>
      <x:c r="I80" s="2" t="str">
        <x:v>Llama 3.1</x:v>
      </x:c>
      <x:c r="J80" s="2" t="str">
        <x:v>Llama 3.1</x:v>
      </x:c>
      <x:c r="K80" s="2" t="str">
        <x:v>Llama</x:v>
      </x:c>
      <x:c r="L80" s="2" t="str">
        <x:v>70B</x:v>
      </x:c>
      <x:c r="M80" s="2" t="str">
        <x:v>70B</x:v>
      </x:c>
      <x:c r="N80" s="2" t="str">
        <x:v>Unclear</x:v>
      </x:c>
      <x:c r="O80" s="2" t="str">
        <x:v>Open weights</x:v>
      </x:c>
      <x:c r="P80" s="2" t="str">
        <x:v>Unclear</x:v>
      </x:c>
      <x:c r="Q80" s="2" t="n">
        <x:v>0</x:v>
      </x:c>
      <x:c r="R80" s="2" t="str">
        <x:v>NR</x:v>
      </x:c>
      <x:c r="S80" s="2" t="n">
        <x:v>5</x:v>
      </x:c>
      <x:c r="T80" s="2" t="str">
        <x:v>128k</x:v>
      </x:c>
      <x:c r="U80" s="2" t="str">
        <x:v>NR</x:v>
      </x:c>
      <x:c r="V80" s="2" t="str">
        <x:v>NR</x:v>
      </x:c>
      <x:c r="W80" s="2" t="str">
        <x:v>No</x:v>
      </x:c>
      <x:c r="X80" s="2" t="str">
        <x:v>No</x:v>
      </x:c>
      <x:c r="Y80" s="6" t="str">
        <x:v>p. 2; Section III.A</x:v>
      </x:c>
      <x:c r="Z80" s="6" t="str">
        <x:v>Llama 3.1 (70B)</x:v>
      </x:c>
      <x:c r="AA80" s="6" t="str">
        <x:v>使用Llama 3.1开源模型，大小70B，温度设为0，重复5次取多数投票</x:v>
      </x:c>
      <x:c r="AB80" s="2" t="str">
        <x:v>Accepted</x:v>
      </x:c>
      <x:c r="AC80" s="6" t="str">
        <x:v>NR</x:v>
      </x:c>
    </x:row>
    <x:row r="81" ht="76" customHeight="1">
      <x:c r="A81" s="2" t="str">
        <x:v>S20-MODEL-R01</x:v>
      </x:c>
      <x:c r="B81" s="2" t="str">
        <x:v>S20</x:v>
      </x:c>
      <x:c r="C81" s="2" t="str">
        <x:v>merged_1151-v1</x:v>
      </x:c>
      <x:c r="D81" s="2" t="str">
        <x:v>Reviewer_A</x:v>
      </x:c>
      <x:c r="E81" s="2" t="str">
        <x:v>Reviewer_A</x:v>
      </x:c>
      <x:c r="F81" s="2" t="str">
        <x:v>S20-MU01</x:v>
      </x:c>
      <x:c r="G81" s="2" t="str">
        <x:v>S20-O01</x:v>
      </x:c>
      <x:c r="H81" s="2" t="str">
        <x:v>S20-T01</x:v>
      </x:c>
      <x:c r="I81" s="2" t="str">
        <x:v>GPT-4o</x:v>
      </x:c>
      <x:c r="J81" s="2" t="str">
        <x:v>gpt-4o</x:v>
      </x:c>
      <x:c r="K81" s="2" t="str">
        <x:v>GPT</x:v>
      </x:c>
      <x:c r="L81" s="2" t="str">
        <x:v>NR</x:v>
      </x:c>
      <x:c r="M81" s="2" t="str">
        <x:v>NR</x:v>
      </x:c>
      <x:c r="N81" s="2" t="str">
        <x:v>NR</x:v>
      </x:c>
      <x:c r="O81" s="2" t="str">
        <x:v>Closed</x:v>
      </x:c>
      <x:c r="P81" s="2" t="str">
        <x:v>API</x:v>
      </x:c>
      <x:c r="Q81" s="2" t="str">
        <x:v>NR</x:v>
      </x:c>
      <x:c r="R81" s="2" t="str">
        <x:v>NR</x:v>
      </x:c>
      <x:c r="S81" s="2" t="str">
        <x:v>NR</x:v>
      </x:c>
      <x:c r="T81" s="2" t="str">
        <x:v>NR</x:v>
      </x:c>
      <x:c r="U81" s="2" t="str">
        <x:v>NR</x:v>
      </x:c>
      <x:c r="V81" s="2" t="str">
        <x:v>NR</x:v>
      </x:c>
      <x:c r="W81" s="2" t="str">
        <x:v>No</x:v>
      </x:c>
      <x:c r="X81" s="2" t="str">
        <x:v>No</x:v>
      </x:c>
      <x:c r="Y81" s="6" t="str">
        <x:v>p. 3; Introduction</x:v>
      </x:c>
      <x:c r="Z81" s="6" t="str">
        <x:v>Finally, the LLM (GPT-4o) evaluates the prompt to determine if the requirement violates the retrieved regulations.</x:v>
      </x:c>
      <x:c r="AA81" s="6" t="str">
        <x:v>GPT-4o被用作主要模型执行实体提取。</x:v>
      </x:c>
      <x:c r="AB81" s="2" t="str">
        <x:v>Accepted</x:v>
      </x:c>
      <x:c r="AC81" s="6" t="str">
        <x:v>NA</x:v>
      </x:c>
    </x:row>
    <x:row r="82" ht="76" customHeight="1">
      <x:c r="A82" s="2" t="str">
        <x:v>S20-MODEL-R02</x:v>
      </x:c>
      <x:c r="B82" s="2" t="str">
        <x:v>S20</x:v>
      </x:c>
      <x:c r="C82" s="2" t="str">
        <x:v>merged_1151-v1</x:v>
      </x:c>
      <x:c r="D82" s="2" t="str">
        <x:v>Reviewer_A</x:v>
      </x:c>
      <x:c r="E82" s="2" t="str">
        <x:v>Reviewer_A</x:v>
      </x:c>
      <x:c r="F82" s="2" t="str">
        <x:v>S20-MU02</x:v>
      </x:c>
      <x:c r="G82" s="2" t="str">
        <x:v>S20-O01</x:v>
      </x:c>
      <x:c r="H82" s="2" t="str">
        <x:v>S20-T01</x:v>
      </x:c>
      <x:c r="I82" s="2" t="str">
        <x:v>GPT-4o-mini</x:v>
      </x:c>
      <x:c r="J82" s="2" t="str">
        <x:v>gpt-4o-mini</x:v>
      </x:c>
      <x:c r="K82" s="2" t="str">
        <x:v>GPT</x:v>
      </x:c>
      <x:c r="L82" s="2" t="str">
        <x:v>NR</x:v>
      </x:c>
      <x:c r="M82" s="2" t="str">
        <x:v>NR</x:v>
      </x:c>
      <x:c r="N82" s="2" t="str">
        <x:v>NR</x:v>
      </x:c>
      <x:c r="O82" s="2" t="str">
        <x:v>Closed</x:v>
      </x:c>
      <x:c r="P82" s="2" t="str">
        <x:v>API</x:v>
      </x:c>
      <x:c r="Q82" s="2" t="str">
        <x:v>NR</x:v>
      </x:c>
      <x:c r="R82" s="2" t="str">
        <x:v>NR</x:v>
      </x:c>
      <x:c r="S82" s="2" t="str">
        <x:v>NR</x:v>
      </x:c>
      <x:c r="T82" s="2" t="str">
        <x:v>NR</x:v>
      </x:c>
      <x:c r="U82" s="2" t="str">
        <x:v>NR</x:v>
      </x:c>
      <x:c r="V82" s="2" t="str">
        <x:v>NR</x:v>
      </x:c>
      <x:c r="W82" s="2" t="str">
        <x:v>No</x:v>
      </x:c>
      <x:c r="X82" s="2" t="str">
        <x:v>No</x:v>
      </x:c>
      <x:c r="Y82" s="6" t="str">
        <x:v>p. 18; Section 5.1</x:v>
      </x:c>
      <x:c r="Z82" s="6" t="str">
        <x:v>we compare four models: RAG and Graph-RAG, each implemented with both GPT-4o and GPT-4o-mini</x:v>
      </x:c>
      <x:c r="AA82" s="6" t="str">
        <x:v>GPT-4o-mini也被用于Graph-RAG的实体提取。</x:v>
      </x:c>
      <x:c r="AB82" s="2" t="str">
        <x:v>Accepted</x:v>
      </x:c>
      <x:c r="AC82" s="6" t="str">
        <x:v>NA</x:v>
      </x:c>
    </x:row>
    <x:row r="83" ht="76" customHeight="1">
      <x:c r="A83" s="2" t="str">
        <x:v>S20-MODEL-R03</x:v>
      </x:c>
      <x:c r="B83" s="2" t="str">
        <x:v>S20</x:v>
      </x:c>
      <x:c r="C83" s="2" t="str">
        <x:v>merged_1151-v1</x:v>
      </x:c>
      <x:c r="D83" s="2" t="str">
        <x:v>Reviewer_A</x:v>
      </x:c>
      <x:c r="E83" s="2" t="str">
        <x:v>Reviewer_A</x:v>
      </x:c>
      <x:c r="F83" s="2" t="str">
        <x:v>S20-MU03</x:v>
      </x:c>
      <x:c r="G83" s="2" t="str">
        <x:v>S20-O02</x:v>
      </x:c>
      <x:c r="H83" s="2" t="str">
        <x:v>S20-T01</x:v>
      </x:c>
      <x:c r="I83" s="2" t="str">
        <x:v>GPT-4o</x:v>
      </x:c>
      <x:c r="J83" s="2" t="str">
        <x:v>gpt-4o</x:v>
      </x:c>
      <x:c r="K83" s="2" t="str">
        <x:v>GPT</x:v>
      </x:c>
      <x:c r="L83" s="2" t="str">
        <x:v>NR</x:v>
      </x:c>
      <x:c r="M83" s="2" t="str">
        <x:v>NR</x:v>
      </x:c>
      <x:c r="N83" s="2" t="str">
        <x:v>NR</x:v>
      </x:c>
      <x:c r="O83" s="2" t="str">
        <x:v>Closed</x:v>
      </x:c>
      <x:c r="P83" s="2" t="str">
        <x:v>API</x:v>
      </x:c>
      <x:c r="Q83" s="2" t="str">
        <x:v>NR</x:v>
      </x:c>
      <x:c r="R83" s="2" t="str">
        <x:v>NR</x:v>
      </x:c>
      <x:c r="S83" s="2" t="str">
        <x:v>NR</x:v>
      </x:c>
      <x:c r="T83" s="2" t="str">
        <x:v>NR</x:v>
      </x:c>
      <x:c r="U83" s="2" t="str">
        <x:v>NR</x:v>
      </x:c>
      <x:c r="V83" s="2" t="str">
        <x:v>NR</x:v>
      </x:c>
      <x:c r="W83" s="2" t="str">
        <x:v>No</x:v>
      </x:c>
      <x:c r="X83" s="2" t="str">
        <x:v>No</x:v>
      </x:c>
      <x:c r="Y83" s="6" t="str">
        <x:v>p. 3; Introduction</x:v>
      </x:c>
      <x:c r="Z83" s="6" t="str">
        <x:v>Finally, the LLM (GPT-4o) evaluates the prompt to determine if the requirement violates the retrieved regulations.</x:v>
      </x:c>
      <x:c r="AA83" s="6" t="str">
        <x:v>GPT-4o用于摘要生成步骤。</x:v>
      </x:c>
      <x:c r="AB83" s="2" t="str">
        <x:v>Accepted</x:v>
      </x:c>
      <x:c r="AC83" s="6" t="str">
        <x:v>NA</x:v>
      </x:c>
    </x:row>
    <x:row r="84" ht="76" customHeight="1">
      <x:c r="A84" s="2" t="str">
        <x:v>S20-MODEL-R04</x:v>
      </x:c>
      <x:c r="B84" s="2" t="str">
        <x:v>S20</x:v>
      </x:c>
      <x:c r="C84" s="2" t="str">
        <x:v>merged_1151-v1</x:v>
      </x:c>
      <x:c r="D84" s="2" t="str">
        <x:v>Reviewer_A</x:v>
      </x:c>
      <x:c r="E84" s="2" t="str">
        <x:v>Reviewer_A</x:v>
      </x:c>
      <x:c r="F84" s="2" t="str">
        <x:v>S20-MU04</x:v>
      </x:c>
      <x:c r="G84" s="2" t="str">
        <x:v>S20-O02</x:v>
      </x:c>
      <x:c r="H84" s="2" t="str">
        <x:v>S20-T01</x:v>
      </x:c>
      <x:c r="I84" s="2" t="str">
        <x:v>GPT-4o-mini</x:v>
      </x:c>
      <x:c r="J84" s="2" t="str">
        <x:v>gpt-4o-mini</x:v>
      </x:c>
      <x:c r="K84" s="2" t="str">
        <x:v>GPT</x:v>
      </x:c>
      <x:c r="L84" s="2" t="str">
        <x:v>NR</x:v>
      </x:c>
      <x:c r="M84" s="2" t="str">
        <x:v>NR</x:v>
      </x:c>
      <x:c r="N84" s="2" t="str">
        <x:v>NR</x:v>
      </x:c>
      <x:c r="O84" s="2" t="str">
        <x:v>Closed</x:v>
      </x:c>
      <x:c r="P84" s="2" t="str">
        <x:v>API</x:v>
      </x:c>
      <x:c r="Q84" s="2" t="str">
        <x:v>NR</x:v>
      </x:c>
      <x:c r="R84" s="2" t="str">
        <x:v>NR</x:v>
      </x:c>
      <x:c r="S84" s="2" t="str">
        <x:v>NR</x:v>
      </x:c>
      <x:c r="T84" s="2" t="str">
        <x:v>NR</x:v>
      </x:c>
      <x:c r="U84" s="2" t="str">
        <x:v>NR</x:v>
      </x:c>
      <x:c r="V84" s="2" t="str">
        <x:v>NR</x:v>
      </x:c>
      <x:c r="W84" s="2" t="str">
        <x:v>No</x:v>
      </x:c>
      <x:c r="X84" s="2" t="str">
        <x:v>No</x:v>
      </x:c>
      <x:c r="Y84" s="6" t="str">
        <x:v>p. 18; Section 5.1</x:v>
      </x:c>
      <x:c r="Z84" s="6" t="str">
        <x:v>we compare four models: RAG and Graph-RAG, each implemented with both GPT-4o and GPT-4o-mini</x:v>
      </x:c>
      <x:c r="AA84" s="6" t="str">
        <x:v>GPT-4o-mini也可用于摘要生成步骤。</x:v>
      </x:c>
      <x:c r="AB84" s="2" t="str">
        <x:v>Accepted</x:v>
      </x:c>
      <x:c r="AC84" s="6" t="str">
        <x:v>NA</x:v>
      </x:c>
    </x:row>
    <x:row r="85" ht="76" customHeight="1">
      <x:c r="A85" s="2" t="str">
        <x:v>S20-MODEL-R05</x:v>
      </x:c>
      <x:c r="B85" s="2" t="str">
        <x:v>S20</x:v>
      </x:c>
      <x:c r="C85" s="2" t="str">
        <x:v>merged_1151-v1</x:v>
      </x:c>
      <x:c r="D85" s="2" t="str">
        <x:v>Reviewer_A</x:v>
      </x:c>
      <x:c r="E85" s="2" t="str">
        <x:v>Reviewer_A</x:v>
      </x:c>
      <x:c r="F85" s="2" t="str">
        <x:v>S20-MU05</x:v>
      </x:c>
      <x:c r="G85" s="2" t="str">
        <x:v>S20-O03</x:v>
      </x:c>
      <x:c r="H85" s="2" t="str">
        <x:v>S20-T01</x:v>
      </x:c>
      <x:c r="I85" s="2" t="str">
        <x:v>GPT-4o</x:v>
      </x:c>
      <x:c r="J85" s="2" t="str">
        <x:v>gpt-4o</x:v>
      </x:c>
      <x:c r="K85" s="2" t="str">
        <x:v>GPT</x:v>
      </x:c>
      <x:c r="L85" s="2" t="str">
        <x:v>NR</x:v>
      </x:c>
      <x:c r="M85" s="2" t="str">
        <x:v>NR</x:v>
      </x:c>
      <x:c r="N85" s="2" t="str">
        <x:v>NR</x:v>
      </x:c>
      <x:c r="O85" s="2" t="str">
        <x:v>Closed</x:v>
      </x:c>
      <x:c r="P85" s="2" t="str">
        <x:v>API</x:v>
      </x:c>
      <x:c r="Q85" s="2" t="str">
        <x:v>NR</x:v>
      </x:c>
      <x:c r="R85" s="2" t="str">
        <x:v>NR</x:v>
      </x:c>
      <x:c r="S85" s="2" t="str">
        <x:v>NR</x:v>
      </x:c>
      <x:c r="T85" s="2" t="str">
        <x:v>NR</x:v>
      </x:c>
      <x:c r="U85" s="2" t="str">
        <x:v>NR</x:v>
      </x:c>
      <x:c r="V85" s="2" t="str">
        <x:v>NR</x:v>
      </x:c>
      <x:c r="W85" s="2" t="str">
        <x:v>No</x:v>
      </x:c>
      <x:c r="X85" s="2" t="str">
        <x:v>No</x:v>
      </x:c>
      <x:c r="Y85" s="6" t="str">
        <x:v>p. 3; Introduction</x:v>
      </x:c>
      <x:c r="Z85" s="6" t="str">
        <x:v>Finally, the LLM (GPT-4o) evaluates the prompt to determine if the requirement violates the retrieved regulations.</x:v>
      </x:c>
      <x:c r="AA85" s="6" t="str">
        <x:v>GPT-4o用于社区摘要生成。</x:v>
      </x:c>
      <x:c r="AB85" s="2" t="str">
        <x:v>Accepted</x:v>
      </x:c>
      <x:c r="AC85" s="6" t="str">
        <x:v>NA</x:v>
      </x:c>
    </x:row>
    <x:row r="86" ht="76" customHeight="1">
      <x:c r="A86" s="2" t="str">
        <x:v>S20-MODEL-R06</x:v>
      </x:c>
      <x:c r="B86" s="2" t="str">
        <x:v>S20</x:v>
      </x:c>
      <x:c r="C86" s="2" t="str">
        <x:v>merged_1151-v1</x:v>
      </x:c>
      <x:c r="D86" s="2" t="str">
        <x:v>Reviewer_A</x:v>
      </x:c>
      <x:c r="E86" s="2" t="str">
        <x:v>Reviewer_A</x:v>
      </x:c>
      <x:c r="F86" s="2" t="str">
        <x:v>S20-MU06</x:v>
      </x:c>
      <x:c r="G86" s="2" t="str">
        <x:v>S20-O03</x:v>
      </x:c>
      <x:c r="H86" s="2" t="str">
        <x:v>S20-T01</x:v>
      </x:c>
      <x:c r="I86" s="2" t="str">
        <x:v>GPT-4o-mini</x:v>
      </x:c>
      <x:c r="J86" s="2" t="str">
        <x:v>gpt-4o-mini</x:v>
      </x:c>
      <x:c r="K86" s="2" t="str">
        <x:v>GPT</x:v>
      </x:c>
      <x:c r="L86" s="2" t="str">
        <x:v>NR</x:v>
      </x:c>
      <x:c r="M86" s="2" t="str">
        <x:v>NR</x:v>
      </x:c>
      <x:c r="N86" s="2" t="str">
        <x:v>NR</x:v>
      </x:c>
      <x:c r="O86" s="2" t="str">
        <x:v>Closed</x:v>
      </x:c>
      <x:c r="P86" s="2" t="str">
        <x:v>API</x:v>
      </x:c>
      <x:c r="Q86" s="2" t="str">
        <x:v>NR</x:v>
      </x:c>
      <x:c r="R86" s="2" t="str">
        <x:v>NR</x:v>
      </x:c>
      <x:c r="S86" s="2" t="str">
        <x:v>NR</x:v>
      </x:c>
      <x:c r="T86" s="2" t="str">
        <x:v>NR</x:v>
      </x:c>
      <x:c r="U86" s="2" t="str">
        <x:v>NR</x:v>
      </x:c>
      <x:c r="V86" s="2" t="str">
        <x:v>NR</x:v>
      </x:c>
      <x:c r="W86" s="2" t="str">
        <x:v>No</x:v>
      </x:c>
      <x:c r="X86" s="2" t="str">
        <x:v>No</x:v>
      </x:c>
      <x:c r="Y86" s="6" t="str">
        <x:v>p. 18; Section 5.1</x:v>
      </x:c>
      <x:c r="Z86" s="6" t="str">
        <x:v>we compare four models: RAG and Graph-RAG, each implemented with both GPT-4o and GPT-4o-mini</x:v>
      </x:c>
      <x:c r="AA86" s="6" t="str">
        <x:v>GPT-4o-mini也可用于社区摘要生成。</x:v>
      </x:c>
      <x:c r="AB86" s="2" t="str">
        <x:v>Accepted</x:v>
      </x:c>
      <x:c r="AC86" s="6" t="str">
        <x:v>NA</x:v>
      </x:c>
    </x:row>
    <x:row r="87" ht="76" customHeight="1">
      <x:c r="A87" s="2" t="str">
        <x:v>S20-MODEL-R07</x:v>
      </x:c>
      <x:c r="B87" s="2" t="str">
        <x:v>S20</x:v>
      </x:c>
      <x:c r="C87" s="2" t="str">
        <x:v>merged_1151-v1</x:v>
      </x:c>
      <x:c r="D87" s="2" t="str">
        <x:v>Reviewer_A</x:v>
      </x:c>
      <x:c r="E87" s="2" t="str">
        <x:v>Reviewer_A</x:v>
      </x:c>
      <x:c r="F87" s="2" t="str">
        <x:v>S20-MU07</x:v>
      </x:c>
      <x:c r="G87" s="2" t="str">
        <x:v>S20-O04</x:v>
      </x:c>
      <x:c r="H87" s="2" t="str">
        <x:v>S20-T02</x:v>
      </x:c>
      <x:c r="I87" s="2" t="str">
        <x:v>GPT-4o</x:v>
      </x:c>
      <x:c r="J87" s="2" t="str">
        <x:v>gpt-4o</x:v>
      </x:c>
      <x:c r="K87" s="2" t="str">
        <x:v>GPT</x:v>
      </x:c>
      <x:c r="L87" s="2" t="str">
        <x:v>NR</x:v>
      </x:c>
      <x:c r="M87" s="2" t="str">
        <x:v>NR</x:v>
      </x:c>
      <x:c r="N87" s="2" t="str">
        <x:v>NR</x:v>
      </x:c>
      <x:c r="O87" s="2" t="str">
        <x:v>Closed</x:v>
      </x:c>
      <x:c r="P87" s="2" t="str">
        <x:v>API</x:v>
      </x:c>
      <x:c r="Q87" s="2" t="str">
        <x:v>NR</x:v>
      </x:c>
      <x:c r="R87" s="2" t="str">
        <x:v>NR</x:v>
      </x:c>
      <x:c r="S87" s="2" t="str">
        <x:v>NR</x:v>
      </x:c>
      <x:c r="T87" s="2" t="str">
        <x:v>NR</x:v>
      </x:c>
      <x:c r="U87" s="2" t="str">
        <x:v>NR</x:v>
      </x:c>
      <x:c r="V87" s="2" t="str">
        <x:v>NR</x:v>
      </x:c>
      <x:c r="W87" s="2" t="str">
        <x:v>No</x:v>
      </x:c>
      <x:c r="X87" s="2" t="str">
        <x:v>No</x:v>
      </x:c>
      <x:c r="Y87" s="6" t="str">
        <x:v>p. 3; Introduction</x:v>
      </x:c>
      <x:c r="Z87" s="6" t="str">
        <x:v>Finally, the LLM (GPT-4o) evaluates the prompt to determine if the requirement violates the retrieved regulations.</x:v>
      </x:c>
      <x:c r="AA87" s="6" t="str">
        <x:v>GPT-4o用于合规评估。</x:v>
      </x:c>
      <x:c r="AB87" s="2" t="str">
        <x:v>Accepted</x:v>
      </x:c>
      <x:c r="AC87" s="6" t="str">
        <x:v>NA</x:v>
      </x:c>
    </x:row>
    <x:row r="88" ht="76" customHeight="1">
      <x:c r="A88" s="2" t="str">
        <x:v>S20-MODEL-R08</x:v>
      </x:c>
      <x:c r="B88" s="2" t="str">
        <x:v>S20</x:v>
      </x:c>
      <x:c r="C88" s="2" t="str">
        <x:v>merged_1151-v1</x:v>
      </x:c>
      <x:c r="D88" s="2" t="str">
        <x:v>Reviewer_A</x:v>
      </x:c>
      <x:c r="E88" s="2" t="str">
        <x:v>Reviewer_A</x:v>
      </x:c>
      <x:c r="F88" s="2" t="str">
        <x:v>S20-MU08</x:v>
      </x:c>
      <x:c r="G88" s="2" t="str">
        <x:v>S20-O04</x:v>
      </x:c>
      <x:c r="H88" s="2" t="str">
        <x:v>S20-T02</x:v>
      </x:c>
      <x:c r="I88" s="2" t="str">
        <x:v>GPT-4o-mini</x:v>
      </x:c>
      <x:c r="J88" s="2" t="str">
        <x:v>gpt-4o-mini</x:v>
      </x:c>
      <x:c r="K88" s="2" t="str">
        <x:v>GPT</x:v>
      </x:c>
      <x:c r="L88" s="2" t="str">
        <x:v>NR</x:v>
      </x:c>
      <x:c r="M88" s="2" t="str">
        <x:v>NR</x:v>
      </x:c>
      <x:c r="N88" s="2" t="str">
        <x:v>NR</x:v>
      </x:c>
      <x:c r="O88" s="2" t="str">
        <x:v>Closed</x:v>
      </x:c>
      <x:c r="P88" s="2" t="str">
        <x:v>API</x:v>
      </x:c>
      <x:c r="Q88" s="2" t="str">
        <x:v>NR</x:v>
      </x:c>
      <x:c r="R88" s="2" t="str">
        <x:v>NR</x:v>
      </x:c>
      <x:c r="S88" s="2" t="str">
        <x:v>NR</x:v>
      </x:c>
      <x:c r="T88" s="2" t="str">
        <x:v>NR</x:v>
      </x:c>
      <x:c r="U88" s="2" t="str">
        <x:v>NR</x:v>
      </x:c>
      <x:c r="V88" s="2" t="str">
        <x:v>NR</x:v>
      </x:c>
      <x:c r="W88" s="2" t="str">
        <x:v>No</x:v>
      </x:c>
      <x:c r="X88" s="2" t="str">
        <x:v>No</x:v>
      </x:c>
      <x:c r="Y88" s="6" t="str">
        <x:v>p. 18; Section 5.1</x:v>
      </x:c>
      <x:c r="Z88" s="6" t="str">
        <x:v>we compare four models: RAG and Graph-RAG, each implemented with both GPT-4o and GPT-4o-mini</x:v>
      </x:c>
      <x:c r="AA88" s="6" t="str">
        <x:v>GPT-4o-mini也可用于合规评估。</x:v>
      </x:c>
      <x:c r="AB88" s="2" t="str">
        <x:v>Accepted</x:v>
      </x:c>
      <x:c r="AC88" s="6" t="str">
        <x:v>NA</x:v>
      </x:c>
    </x:row>
    <x:row r="89" ht="76" customHeight="1">
      <x:c r="A89" s="2" t="str">
        <x:v>S21-MODEL-R01</x:v>
      </x:c>
      <x:c r="B89" s="2" t="str">
        <x:v>S21</x:v>
      </x:c>
      <x:c r="C89" s="2" t="str">
        <x:v>merged_1152</x:v>
      </x:c>
      <x:c r="D89" s="2" t="str">
        <x:v>Reviewer_A</x:v>
      </x:c>
      <x:c r="E89" s="2" t="str">
        <x:v>Reviewer_A</x:v>
      </x:c>
      <x:c r="F89" s="2" t="str">
        <x:v>S21-MU01</x:v>
      </x:c>
      <x:c r="G89" s="2" t="str">
        <x:v>S21-O01</x:v>
      </x:c>
      <x:c r="H89" s="2" t="str">
        <x:v>S21-T01</x:v>
      </x:c>
      <x:c r="I89" s="2" t="str">
        <x:v>Claude instant model (claude-instant-v1)</x:v>
      </x:c>
      <x:c r="J89" s="2" t="str">
        <x:v>claude-instant-v1</x:v>
      </x:c>
      <x:c r="K89" s="2" t="str">
        <x:v>Claude</x:v>
      </x:c>
      <x:c r="L89" s="2" t="str">
        <x:v>claude-instant-v1</x:v>
      </x:c>
      <x:c r="M89" s="2" t="str">
        <x:v>NR</x:v>
      </x:c>
      <x:c r="N89" s="2" t="str">
        <x:v>NR</x:v>
      </x:c>
      <x:c r="O89" s="2" t="str">
        <x:v>Closed</x:v>
      </x:c>
      <x:c r="P89" s="2" t="str">
        <x:v>API</x:v>
      </x:c>
      <x:c r="Q89" s="2" t="str">
        <x:v>NR</x:v>
      </x:c>
      <x:c r="R89" s="2" t="str">
        <x:v>NR</x:v>
      </x:c>
      <x:c r="S89" s="2" t="str">
        <x:v>NR</x:v>
      </x:c>
      <x:c r="T89" s="2" t="str">
        <x:v>NR</x:v>
      </x:c>
      <x:c r="U89" s="2" t="str">
        <x:v>NR</x:v>
      </x:c>
      <x:c r="V89" s="2" t="str">
        <x:v>NR</x:v>
      </x:c>
      <x:c r="W89" s="2" t="str">
        <x:v>No</x:v>
      </x:c>
      <x:c r="X89" s="2" t="str">
        <x:v>No</x:v>
      </x:c>
      <x:c r="Y89" s="6" t="str">
        <x:v>p. 2; Section II</x:v>
      </x:c>
      <x:c r="Z89" s="6" t="str">
        <x:v>we selected Claude for the remainder of our experiments.</x:v>
      </x:c>
      <x:c r="AA89" s="6" t="str">
        <x:v>所有后续实验均使用Claude instant模型进行。</x:v>
      </x:c>
      <x:c r="AB89" s="2" t="str">
        <x:v>Accepted</x:v>
      </x:c>
      <x:c r="AC89" s="6" t="str">
        <x:v>NA</x:v>
      </x:c>
    </x:row>
    <x:row r="90" ht="76" customHeight="1">
      <x:c r="A90" s="2" t="str">
        <x:v>S21-MODEL-R02</x:v>
      </x:c>
      <x:c r="B90" s="2" t="str">
        <x:v>S21</x:v>
      </x:c>
      <x:c r="C90" s="2" t="str">
        <x:v>merged_1152</x:v>
      </x:c>
      <x:c r="D90" s="2" t="str">
        <x:v>Reviewer_A</x:v>
      </x:c>
      <x:c r="E90" s="2" t="str">
        <x:v>Reviewer_A</x:v>
      </x:c>
      <x:c r="F90" s="2" t="str">
        <x:v>S21-MU02</x:v>
      </x:c>
      <x:c r="G90" s="2" t="str">
        <x:v>S21-O02</x:v>
      </x:c>
      <x:c r="H90" s="2" t="str">
        <x:v>S21-T02</x:v>
      </x:c>
      <x:c r="I90" s="2" t="str">
        <x:v>Claude instant model (claude-instant-v1)</x:v>
      </x:c>
      <x:c r="J90" s="2" t="str">
        <x:v>claude-instant-v1</x:v>
      </x:c>
      <x:c r="K90" s="2" t="str">
        <x:v>Claude</x:v>
      </x:c>
      <x:c r="L90" s="2" t="str">
        <x:v>claude-instant-v1</x:v>
      </x:c>
      <x:c r="M90" s="2" t="str">
        <x:v>NR</x:v>
      </x:c>
      <x:c r="N90" s="2" t="str">
        <x:v>NR</x:v>
      </x:c>
      <x:c r="O90" s="2" t="str">
        <x:v>Closed</x:v>
      </x:c>
      <x:c r="P90" s="2" t="str">
        <x:v>API</x:v>
      </x:c>
      <x:c r="Q90" s="2" t="str">
        <x:v>NR</x:v>
      </x:c>
      <x:c r="R90" s="2" t="str">
        <x:v>NR</x:v>
      </x:c>
      <x:c r="S90" s="2" t="str">
        <x:v>NR</x:v>
      </x:c>
      <x:c r="T90" s="2" t="str">
        <x:v>100k</x:v>
      </x:c>
      <x:c r="U90" s="2" t="str">
        <x:v>NR</x:v>
      </x:c>
      <x:c r="V90" s="2" t="str">
        <x:v>NR</x:v>
      </x:c>
      <x:c r="W90" s="2" t="str">
        <x:v>No</x:v>
      </x:c>
      <x:c r="X90" s="2" t="str">
        <x:v>No</x:v>
      </x:c>
      <x:c r="Y90" s="6" t="str">
        <x:v>p. 6; Section IV-D</x:v>
      </x:c>
      <x:c r="Z90" s="6" t="str">
        <x:v>Claude's new 100k context window</x:v>
      </x:c>
      <x:c r="AA90" s="6" t="str">
        <x:v>排序任务利用了Claude的100k上下文窗口。</x:v>
      </x:c>
      <x:c r="AB90" s="2" t="str">
        <x:v>Accepted</x:v>
      </x:c>
      <x:c r="AC90" s="6" t="str">
        <x:v>NA</x:v>
      </x:c>
    </x:row>
    <x:row r="91" ht="76" customHeight="1">
      <x:c r="A91" s="2" t="str">
        <x:v>S21-MODEL-R03</x:v>
      </x:c>
      <x:c r="B91" s="2" t="str">
        <x:v>S21</x:v>
      </x:c>
      <x:c r="C91" s="2" t="str">
        <x:v>merged_1152</x:v>
      </x:c>
      <x:c r="D91" s="2" t="str">
        <x:v>Reviewer_A</x:v>
      </x:c>
      <x:c r="E91" s="2" t="str">
        <x:v>Reviewer_A</x:v>
      </x:c>
      <x:c r="F91" s="2" t="str">
        <x:v>S21-MU03</x:v>
      </x:c>
      <x:c r="G91" s="2" t="str">
        <x:v>S21-O03</x:v>
      </x:c>
      <x:c r="H91" s="2" t="str">
        <x:v>S21-T01</x:v>
      </x:c>
      <x:c r="I91" s="2" t="str">
        <x:v>Claude instant model (claude-instant-v1)</x:v>
      </x:c>
      <x:c r="J91" s="2" t="str">
        <x:v>claude-instant-v1</x:v>
      </x:c>
      <x:c r="K91" s="2" t="str">
        <x:v>Claude</x:v>
      </x:c>
      <x:c r="L91" s="2" t="str">
        <x:v>claude-instant-v1</x:v>
      </x:c>
      <x:c r="M91" s="2" t="str">
        <x:v>NR</x:v>
      </x:c>
      <x:c r="N91" s="2" t="str">
        <x:v>NR</x:v>
      </x:c>
      <x:c r="O91" s="2" t="str">
        <x:v>Closed</x:v>
      </x:c>
      <x:c r="P91" s="2" t="str">
        <x:v>API</x:v>
      </x:c>
      <x:c r="Q91" s="2" t="str">
        <x:v>NR</x:v>
      </x:c>
      <x:c r="R91" s="2" t="str">
        <x:v>NR</x:v>
      </x:c>
      <x:c r="S91" s="2" t="str">
        <x:v>NR</x:v>
      </x:c>
      <x:c r="T91" s="2" t="str">
        <x:v>NR</x:v>
      </x:c>
      <x:c r="U91" s="2" t="str">
        <x:v>NR</x:v>
      </x:c>
      <x:c r="V91" s="2" t="str">
        <x:v>NR</x:v>
      </x:c>
      <x:c r="W91" s="2" t="str">
        <x:v>No</x:v>
      </x:c>
      <x:c r="X91" s="2" t="str">
        <x:v>No</x:v>
      </x:c>
      <x:c r="Y91" s="6" t="str">
        <x:v>p. 2; Section II</x:v>
      </x:c>
      <x:c r="Z91" s="6" t="str">
        <x:v>we selected Claude for the remainder of our experiments.</x:v>
      </x:c>
      <x:c r="AA91" s="6" t="str">
        <x:v>代码摘要使用Claude instant模型。</x:v>
      </x:c>
      <x:c r="AB91" s="2" t="str">
        <x:v>Accepted</x:v>
      </x:c>
      <x:c r="AC91" s="6" t="str">
        <x:v>NA</x:v>
      </x:c>
    </x:row>
    <x:row r="92" ht="76" customHeight="1">
      <x:c r="A92" s="2" t="str">
        <x:v>S21-MODEL-R04</x:v>
      </x:c>
      <x:c r="B92" s="2" t="str">
        <x:v>S21</x:v>
      </x:c>
      <x:c r="C92" s="2" t="str">
        <x:v>merged_1152</x:v>
      </x:c>
      <x:c r="D92" s="2" t="str">
        <x:v>Reviewer_A</x:v>
      </x:c>
      <x:c r="E92" s="2" t="str">
        <x:v>Reviewer_A</x:v>
      </x:c>
      <x:c r="F92" s="2" t="str">
        <x:v>S21-MU04</x:v>
      </x:c>
      <x:c r="G92" s="2" t="str">
        <x:v>S21-O04</x:v>
      </x:c>
      <x:c r="H92" s="2" t="str">
        <x:v>S21-T02</x:v>
      </x:c>
      <x:c r="I92" s="2" t="str">
        <x:v>Claude instant model (claude-instant-v1)</x:v>
      </x:c>
      <x:c r="J92" s="2" t="str">
        <x:v>claude-instant-v1</x:v>
      </x:c>
      <x:c r="K92" s="2" t="str">
        <x:v>Claude</x:v>
      </x:c>
      <x:c r="L92" s="2" t="str">
        <x:v>claude-instant-v1</x:v>
      </x:c>
      <x:c r="M92" s="2" t="str">
        <x:v>NR</x:v>
      </x:c>
      <x:c r="N92" s="2" t="str">
        <x:v>NR</x:v>
      </x:c>
      <x:c r="O92" s="2" t="str">
        <x:v>Closed</x:v>
      </x:c>
      <x:c r="P92" s="2" t="str">
        <x:v>API</x:v>
      </x:c>
      <x:c r="Q92" s="2" t="str">
        <x:v>NR</x:v>
      </x:c>
      <x:c r="R92" s="2" t="str">
        <x:v>NR</x:v>
      </x:c>
      <x:c r="S92" s="2" t="str">
        <x:v>NR</x:v>
      </x:c>
      <x:c r="T92" s="2" t="str">
        <x:v>NR</x:v>
      </x:c>
      <x:c r="U92" s="2" t="str">
        <x:v>NR</x:v>
      </x:c>
      <x:c r="V92" s="2" t="str">
        <x:v>NR</x:v>
      </x:c>
      <x:c r="W92" s="2" t="str">
        <x:v>No</x:v>
      </x:c>
      <x:c r="X92" s="2" t="str">
        <x:v>No</x:v>
      </x:c>
      <x:c r="Y92" s="6" t="str">
        <x:v>p. 2; Section II</x:v>
      </x:c>
      <x:c r="Z92" s="6" t="str">
        <x:v>we selected Claude for the remainder of our experiments.</x:v>
      </x:c>
      <x:c r="AA92" s="6" t="str">
        <x:v>代码摘要使用Claude instant模型。</x:v>
      </x:c>
      <x:c r="AB92" s="2" t="str">
        <x:v>Accepted</x:v>
      </x:c>
      <x:c r="AC92" s="6" t="str">
        <x:v>NA</x:v>
      </x:c>
    </x:row>
    <x:row r="93" ht="76" customHeight="1">
      <x:c r="A93" s="2" t="str">
        <x:v>S22-MODEL-R01</x:v>
      </x:c>
      <x:c r="B93" s="2" t="str">
        <x:v>S22</x:v>
      </x:c>
      <x:c r="C93" s="2" t="str">
        <x:v>merged_1154-v1</x:v>
      </x:c>
      <x:c r="D93" s="2" t="str">
        <x:v>Reviewer_A</x:v>
      </x:c>
      <x:c r="E93" s="2" t="str">
        <x:v>Reviewer_A</x:v>
      </x:c>
      <x:c r="F93" s="2" t="str">
        <x:v>S22-MU01</x:v>
      </x:c>
      <x:c r="G93" s="2" t="str">
        <x:v>S22-O01</x:v>
      </x:c>
      <x:c r="H93" s="2" t="str">
        <x:v>S22-T01</x:v>
      </x:c>
      <x:c r="I93" s="2" t="str">
        <x:v>NR</x:v>
      </x:c>
      <x:c r="J93" s="2" t="str">
        <x:v>NR</x:v>
      </x:c>
      <x:c r="K93" s="2" t="str">
        <x:v>NR</x:v>
      </x:c>
      <x:c r="L93" s="2" t="str">
        <x:v>NR</x:v>
      </x:c>
      <x:c r="M93" s="2" t="str">
        <x:v>NR</x:v>
      </x:c>
      <x:c r="N93" s="2" t="str">
        <x:v>NR</x:v>
      </x:c>
      <x:c r="O93" s="2" t="str">
        <x:v>NR</x:v>
      </x:c>
      <x:c r="P93" s="2" t="str">
        <x:v>NR</x:v>
      </x:c>
      <x:c r="Q93" s="2" t="str">
        <x:v>NR</x:v>
      </x:c>
      <x:c r="R93" s="2" t="str">
        <x:v>NR</x:v>
      </x:c>
      <x:c r="S93" s="2" t="str">
        <x:v>NR</x:v>
      </x:c>
      <x:c r="T93" s="2" t="str">
        <x:v>NR</x:v>
      </x:c>
      <x:c r="U93" s="2" t="str">
        <x:v>NR</x:v>
      </x:c>
      <x:c r="V93" s="2" t="str">
        <x:v>NR</x:v>
      </x:c>
      <x:c r="W93" s="2" t="str">
        <x:v>No</x:v>
      </x:c>
      <x:c r="X93" s="2" t="str">
        <x:v>No</x:v>
      </x:c>
      <x:c r="Y93" s="6" t="str">
        <x:v>p. 6; Section VII</x:v>
      </x:c>
      <x:c r="Z93" s="6" t="str">
        <x:v>structured Multilayer Specification Security Model from system context when the original threat and risk model is</x:v>
      </x:c>
      <x:c r="AA93" s="6" t="str">
        <x:v>论文未明确说明研究一中使用的具体LLM模型名称，因此标记为未报告。</x:v>
      </x:c>
      <x:c r="AB93" s="2" t="str">
        <x:v>Accepted</x:v>
      </x:c>
      <x:c r="AC93" s="6" t="str">
        <x:v>The paper names GPT-5.3-Codex for Study 2 backend generation, but it does not establish that this model performed the Study 1 security-model-generation operation linked to this row; the operation-specific model therefore remains NR.</x:v>
      </x:c>
    </x:row>
    <x:row r="94" ht="76" customHeight="1">
      <x:c r="A94" s="2" t="str">
        <x:v>S23-MODEL-R01</x:v>
      </x:c>
      <x:c r="B94" s="2" t="str">
        <x:v>S23</x:v>
      </x:c>
      <x:c r="C94" s="2" t="str">
        <x:v>merged_1156</x:v>
      </x:c>
      <x:c r="D94" s="2" t="str">
        <x:v>Reviewer_A</x:v>
      </x:c>
      <x:c r="E94" s="2" t="str">
        <x:v>Reviewer_A</x:v>
      </x:c>
      <x:c r="F94" s="2" t="str">
        <x:v>S23-MU01</x:v>
      </x:c>
      <x:c r="G94" s="2" t="str">
        <x:v>S23-O01</x:v>
      </x:c>
      <x:c r="H94" s="2" t="str">
        <x:v>S23-T01</x:v>
      </x:c>
      <x:c r="I94" s="2" t="str">
        <x:v>WizardCoder 1b</x:v>
      </x:c>
      <x:c r="J94" s="2" t="str">
        <x:v>WizardCoder 1B</x:v>
      </x:c>
      <x:c r="K94" s="2" t="str">
        <x:v>Other</x:v>
      </x:c>
      <x:c r="L94" s="2" t="str">
        <x:v>NR</x:v>
      </x:c>
      <x:c r="M94" s="2" t="str">
        <x:v>1B</x:v>
      </x:c>
      <x:c r="N94" s="2" t="str">
        <x:v>NR</x:v>
      </x:c>
      <x:c r="O94" s="2" t="str">
        <x:v>Unclear</x:v>
      </x:c>
      <x:c r="P94" s="2" t="str">
        <x:v>Local</x:v>
      </x:c>
      <x:c r="Q94" s="2" t="str">
        <x:v>NR</x:v>
      </x:c>
      <x:c r="R94" s="2" t="str">
        <x:v>NR</x:v>
      </x:c>
      <x:c r="S94" s="2" t="str">
        <x:v>NR</x:v>
      </x:c>
      <x:c r="T94" s="2" t="str">
        <x:v>NR</x:v>
      </x:c>
      <x:c r="U94" s="2" t="str">
        <x:v>NR</x:v>
      </x:c>
      <x:c r="V94" s="2" t="str">
        <x:v>NR</x:v>
      </x:c>
      <x:c r="W94" s="2" t="str">
        <x:v>No</x:v>
      </x:c>
      <x:c r="X94" s="2" t="str">
        <x:v>No</x:v>
      </x:c>
      <x:c r="Y94" s="6" t="str">
        <x:v>p. 5; Section III-E</x:v>
      </x:c>
      <x:c r="Z94" s="6" t="str">
        <x:v>We test our technique on four different models (two different sizes of each of the following two architectures):</x:v>
      </x:c>
      <x:c r="AA94" s="6" t="str">
        <x:v>WizardCoder 1B模型用于初始代码生成。</x:v>
      </x:c>
      <x:c r="AB94" s="2" t="str">
        <x:v>Accepted</x:v>
      </x:c>
      <x:c r="AC94" s="6" t="str">
        <x:v>NR</x:v>
      </x:c>
    </x:row>
    <x:row r="95" ht="76" customHeight="1">
      <x:c r="A95" s="2" t="str">
        <x:v>S23-MODEL-R02</x:v>
      </x:c>
      <x:c r="B95" s="2" t="str">
        <x:v>S23</x:v>
      </x:c>
      <x:c r="C95" s="2" t="str">
        <x:v>merged_1156</x:v>
      </x:c>
      <x:c r="D95" s="2" t="str">
        <x:v>Reviewer_A</x:v>
      </x:c>
      <x:c r="E95" s="2" t="str">
        <x:v>Reviewer_A</x:v>
      </x:c>
      <x:c r="F95" s="2" t="str">
        <x:v>S23-MU02</x:v>
      </x:c>
      <x:c r="G95" s="2" t="str">
        <x:v>S23-O02</x:v>
      </x:c>
      <x:c r="H95" s="2" t="str">
        <x:v>S23-T02</x:v>
      </x:c>
      <x:c r="I95" s="2" t="str">
        <x:v>WizardCoder 1b</x:v>
      </x:c>
      <x:c r="J95" s="2" t="str">
        <x:v>WizardCoder 1B</x:v>
      </x:c>
      <x:c r="K95" s="2" t="str">
        <x:v>Other</x:v>
      </x:c>
      <x:c r="L95" s="2" t="str">
        <x:v>NR</x:v>
      </x:c>
      <x:c r="M95" s="2" t="str">
        <x:v>1B</x:v>
      </x:c>
      <x:c r="N95" s="2" t="str">
        <x:v>NR</x:v>
      </x:c>
      <x:c r="O95" s="2" t="str">
        <x:v>Unclear</x:v>
      </x:c>
      <x:c r="P95" s="2" t="str">
        <x:v>Local</x:v>
      </x:c>
      <x:c r="Q95" s="2" t="str">
        <x:v>NR</x:v>
      </x:c>
      <x:c r="R95" s="2" t="str">
        <x:v>NR</x:v>
      </x:c>
      <x:c r="S95" s="2" t="str">
        <x:v>NR</x:v>
      </x:c>
      <x:c r="T95" s="2" t="str">
        <x:v>NR</x:v>
      </x:c>
      <x:c r="U95" s="2" t="str">
        <x:v>NR</x:v>
      </x:c>
      <x:c r="V95" s="2" t="str">
        <x:v>NR</x:v>
      </x:c>
      <x:c r="W95" s="2" t="str">
        <x:v>No</x:v>
      </x:c>
      <x:c r="X95" s="2" t="str">
        <x:v>No</x:v>
      </x:c>
      <x:c r="Y95" s="6" t="str">
        <x:v>p. 5; Section III-E</x:v>
      </x:c>
      <x:c r="Z95" s="6" t="str">
        <x:v>We test our technique on four different models (two different sizes of each of the following two architectures):</x:v>
      </x:c>
      <x:c r="AA95" s="6" t="str">
        <x:v>WizardCoder 1B模型用于重提示代码生成。</x:v>
      </x:c>
      <x:c r="AB95" s="2" t="str">
        <x:v>Accepted</x:v>
      </x:c>
      <x:c r="AC95" s="6" t="str">
        <x:v>NR</x:v>
      </x:c>
    </x:row>
    <x:row r="96" ht="76" customHeight="1">
      <x:c r="A96" s="2" t="str">
        <x:v>S23-MODEL-R03</x:v>
      </x:c>
      <x:c r="B96" s="2" t="str">
        <x:v>S23</x:v>
      </x:c>
      <x:c r="C96" s="2" t="str">
        <x:v>merged_1156</x:v>
      </x:c>
      <x:c r="D96" s="2" t="str">
        <x:v>Reviewer_A</x:v>
      </x:c>
      <x:c r="E96" s="2" t="str">
        <x:v>Reviewer_A</x:v>
      </x:c>
      <x:c r="F96" s="2" t="str">
        <x:v>S23-MU03</x:v>
      </x:c>
      <x:c r="G96" s="2" t="str">
        <x:v>S23-O01</x:v>
      </x:c>
      <x:c r="H96" s="2" t="str">
        <x:v>S23-T01</x:v>
      </x:c>
      <x:c r="I96" s="2" t="str">
        <x:v>WizardCoder 3b</x:v>
      </x:c>
      <x:c r="J96" s="2" t="str">
        <x:v>WizardCoder 3B</x:v>
      </x:c>
      <x:c r="K96" s="2" t="str">
        <x:v>Other</x:v>
      </x:c>
      <x:c r="L96" s="2" t="str">
        <x:v>NR</x:v>
      </x:c>
      <x:c r="M96" s="2" t="str">
        <x:v>3B</x:v>
      </x:c>
      <x:c r="N96" s="2" t="str">
        <x:v>NR</x:v>
      </x:c>
      <x:c r="O96" s="2" t="str">
        <x:v>Unclear</x:v>
      </x:c>
      <x:c r="P96" s="2" t="str">
        <x:v>Local</x:v>
      </x:c>
      <x:c r="Q96" s="2" t="str">
        <x:v>NR</x:v>
      </x:c>
      <x:c r="R96" s="2" t="str">
        <x:v>NR</x:v>
      </x:c>
      <x:c r="S96" s="2" t="str">
        <x:v>NR</x:v>
      </x:c>
      <x:c r="T96" s="2" t="str">
        <x:v>NR</x:v>
      </x:c>
      <x:c r="U96" s="2" t="str">
        <x:v>NR</x:v>
      </x:c>
      <x:c r="V96" s="2" t="str">
        <x:v>NR</x:v>
      </x:c>
      <x:c r="W96" s="2" t="str">
        <x:v>No</x:v>
      </x:c>
      <x:c r="X96" s="2" t="str">
        <x:v>No</x:v>
      </x:c>
      <x:c r="Y96" s="6" t="str">
        <x:v>p. 5; Section III-E</x:v>
      </x:c>
      <x:c r="Z96" s="6" t="str">
        <x:v>We test our technique on four different models (two different sizes of each of the following two architectures):</x:v>
      </x:c>
      <x:c r="AA96" s="6" t="str">
        <x:v>WizardCoder 3B模型用于初始代码生成。</x:v>
      </x:c>
      <x:c r="AB96" s="2" t="str">
        <x:v>Accepted</x:v>
      </x:c>
      <x:c r="AC96" s="6" t="str">
        <x:v>NR</x:v>
      </x:c>
    </x:row>
    <x:row r="97" ht="76" customHeight="1">
      <x:c r="A97" s="2" t="str">
        <x:v>S23-MODEL-R04</x:v>
      </x:c>
      <x:c r="B97" s="2" t="str">
        <x:v>S23</x:v>
      </x:c>
      <x:c r="C97" s="2" t="str">
        <x:v>merged_1156</x:v>
      </x:c>
      <x:c r="D97" s="2" t="str">
        <x:v>Reviewer_A</x:v>
      </x:c>
      <x:c r="E97" s="2" t="str">
        <x:v>Reviewer_A</x:v>
      </x:c>
      <x:c r="F97" s="2" t="str">
        <x:v>S23-MU04</x:v>
      </x:c>
      <x:c r="G97" s="2" t="str">
        <x:v>S23-O02</x:v>
      </x:c>
      <x:c r="H97" s="2" t="str">
        <x:v>S23-T02</x:v>
      </x:c>
      <x:c r="I97" s="2" t="str">
        <x:v>WizardCoder 3b</x:v>
      </x:c>
      <x:c r="J97" s="2" t="str">
        <x:v>WizardCoder 3B</x:v>
      </x:c>
      <x:c r="K97" s="2" t="str">
        <x:v>Other</x:v>
      </x:c>
      <x:c r="L97" s="2" t="str">
        <x:v>NR</x:v>
      </x:c>
      <x:c r="M97" s="2" t="str">
        <x:v>3B</x:v>
      </x:c>
      <x:c r="N97" s="2" t="str">
        <x:v>NR</x:v>
      </x:c>
      <x:c r="O97" s="2" t="str">
        <x:v>Unclear</x:v>
      </x:c>
      <x:c r="P97" s="2" t="str">
        <x:v>Local</x:v>
      </x:c>
      <x:c r="Q97" s="2" t="str">
        <x:v>NR</x:v>
      </x:c>
      <x:c r="R97" s="2" t="str">
        <x:v>NR</x:v>
      </x:c>
      <x:c r="S97" s="2" t="str">
        <x:v>NR</x:v>
      </x:c>
      <x:c r="T97" s="2" t="str">
        <x:v>NR</x:v>
      </x:c>
      <x:c r="U97" s="2" t="str">
        <x:v>NR</x:v>
      </x:c>
      <x:c r="V97" s="2" t="str">
        <x:v>NR</x:v>
      </x:c>
      <x:c r="W97" s="2" t="str">
        <x:v>No</x:v>
      </x:c>
      <x:c r="X97" s="2" t="str">
        <x:v>No</x:v>
      </x:c>
      <x:c r="Y97" s="6" t="str">
        <x:v>p. 5; Section III-E</x:v>
      </x:c>
      <x:c r="Z97" s="6" t="str">
        <x:v>We test our technique on four different models (two different sizes of each of the following two architectures):</x:v>
      </x:c>
      <x:c r="AA97" s="6" t="str">
        <x:v>WizardCoder 3B模型用于重提示代码生成。</x:v>
      </x:c>
      <x:c r="AB97" s="2" t="str">
        <x:v>Accepted</x:v>
      </x:c>
      <x:c r="AC97" s="6" t="str">
        <x:v>NR</x:v>
      </x:c>
    </x:row>
    <x:row r="98" ht="76" customHeight="1">
      <x:c r="A98" s="2" t="str">
        <x:v>S23-MODEL-R05</x:v>
      </x:c>
      <x:c r="B98" s="2" t="str">
        <x:v>S23</x:v>
      </x:c>
      <x:c r="C98" s="2" t="str">
        <x:v>merged_1156</x:v>
      </x:c>
      <x:c r="D98" s="2" t="str">
        <x:v>Reviewer_A</x:v>
      </x:c>
      <x:c r="E98" s="2" t="str">
        <x:v>Reviewer_A</x:v>
      </x:c>
      <x:c r="F98" s="2" t="str">
        <x:v>S23-MU05</x:v>
      </x:c>
      <x:c r="G98" s="2" t="str">
        <x:v>S23-O01</x:v>
      </x:c>
      <x:c r="H98" s="2" t="str">
        <x:v>S23-T01</x:v>
      </x:c>
      <x:c r="I98" s="2" t="str">
        <x:v>CodeLlama 7b Instruct hf</x:v>
      </x:c>
      <x:c r="J98" s="2" t="str">
        <x:v>CodeLlama Instruct 7B</x:v>
      </x:c>
      <x:c r="K98" s="2" t="str">
        <x:v>Llama</x:v>
      </x:c>
      <x:c r="L98" s="2" t="str">
        <x:v>NR</x:v>
      </x:c>
      <x:c r="M98" s="2" t="str">
        <x:v>7B</x:v>
      </x:c>
      <x:c r="N98" s="2" t="str">
        <x:v>NR</x:v>
      </x:c>
      <x:c r="O98" s="2" t="str">
        <x:v>Unclear</x:v>
      </x:c>
      <x:c r="P98" s="2" t="str">
        <x:v>Local</x:v>
      </x:c>
      <x:c r="Q98" s="2" t="str">
        <x:v>NR</x:v>
      </x:c>
      <x:c r="R98" s="2" t="str">
        <x:v>NR</x:v>
      </x:c>
      <x:c r="S98" s="2" t="str">
        <x:v>NR</x:v>
      </x:c>
      <x:c r="T98" s="2" t="str">
        <x:v>NR</x:v>
      </x:c>
      <x:c r="U98" s="2" t="str">
        <x:v>NR</x:v>
      </x:c>
      <x:c r="V98" s="2" t="str">
        <x:v>NR</x:v>
      </x:c>
      <x:c r="W98" s="2" t="str">
        <x:v>No</x:v>
      </x:c>
      <x:c r="X98" s="2" t="str">
        <x:v>No</x:v>
      </x:c>
      <x:c r="Y98" s="6" t="str">
        <x:v>p. 5; Section III-E</x:v>
      </x:c>
      <x:c r="Z98" s="6" t="str">
        <x:v>We use the 7-billion and 13-billion parameter versions.</x:v>
      </x:c>
      <x:c r="AA98" s="6" t="str">
        <x:v>CodeLlama 7B Instruct模型用于初始代码生成。</x:v>
      </x:c>
      <x:c r="AB98" s="2" t="str">
        <x:v>Accepted</x:v>
      </x:c>
      <x:c r="AC98" s="6" t="str">
        <x:v>NR</x:v>
      </x:c>
    </x:row>
    <x:row r="99" ht="76" customHeight="1">
      <x:c r="A99" s="2" t="str">
        <x:v>S23-MODEL-R06</x:v>
      </x:c>
      <x:c r="B99" s="2" t="str">
        <x:v>S23</x:v>
      </x:c>
      <x:c r="C99" s="2" t="str">
        <x:v>merged_1156</x:v>
      </x:c>
      <x:c r="D99" s="2" t="str">
        <x:v>Reviewer_A</x:v>
      </x:c>
      <x:c r="E99" s="2" t="str">
        <x:v>Reviewer_A</x:v>
      </x:c>
      <x:c r="F99" s="2" t="str">
        <x:v>S23-MU06</x:v>
      </x:c>
      <x:c r="G99" s="2" t="str">
        <x:v>S23-O02</x:v>
      </x:c>
      <x:c r="H99" s="2" t="str">
        <x:v>S23-T02</x:v>
      </x:c>
      <x:c r="I99" s="2" t="str">
        <x:v>CodeLlama 7b Instruct hf</x:v>
      </x:c>
      <x:c r="J99" s="2" t="str">
        <x:v>CodeLlama Instruct 7B</x:v>
      </x:c>
      <x:c r="K99" s="2" t="str">
        <x:v>Llama</x:v>
      </x:c>
      <x:c r="L99" s="2" t="str">
        <x:v>NR</x:v>
      </x:c>
      <x:c r="M99" s="2" t="str">
        <x:v>7B</x:v>
      </x:c>
      <x:c r="N99" s="2" t="str">
        <x:v>NR</x:v>
      </x:c>
      <x:c r="O99" s="2" t="str">
        <x:v>Unclear</x:v>
      </x:c>
      <x:c r="P99" s="2" t="str">
        <x:v>Local</x:v>
      </x:c>
      <x:c r="Q99" s="2" t="str">
        <x:v>NR</x:v>
      </x:c>
      <x:c r="R99" s="2" t="str">
        <x:v>NR</x:v>
      </x:c>
      <x:c r="S99" s="2" t="str">
        <x:v>NR</x:v>
      </x:c>
      <x:c r="T99" s="2" t="str">
        <x:v>NR</x:v>
      </x:c>
      <x:c r="U99" s="2" t="str">
        <x:v>NR</x:v>
      </x:c>
      <x:c r="V99" s="2" t="str">
        <x:v>NR</x:v>
      </x:c>
      <x:c r="W99" s="2" t="str">
        <x:v>No</x:v>
      </x:c>
      <x:c r="X99" s="2" t="str">
        <x:v>No</x:v>
      </x:c>
      <x:c r="Y99" s="6" t="str">
        <x:v>p. 5; Section III-E</x:v>
      </x:c>
      <x:c r="Z99" s="6" t="str">
        <x:v>We use the 7-billion and 13-billion parameter versions.</x:v>
      </x:c>
      <x:c r="AA99" s="6" t="str">
        <x:v>CodeLlama 7B Instruct模型用于重提示代码生成。</x:v>
      </x:c>
      <x:c r="AB99" s="2" t="str">
        <x:v>Accepted</x:v>
      </x:c>
      <x:c r="AC99" s="6" t="str">
        <x:v>NR</x:v>
      </x:c>
    </x:row>
    <x:row r="100" ht="76" customHeight="1">
      <x:c r="A100" s="2" t="str">
        <x:v>S23-MODEL-R07</x:v>
      </x:c>
      <x:c r="B100" s="2" t="str">
        <x:v>S23</x:v>
      </x:c>
      <x:c r="C100" s="2" t="str">
        <x:v>merged_1156</x:v>
      </x:c>
      <x:c r="D100" s="2" t="str">
        <x:v>Reviewer_A</x:v>
      </x:c>
      <x:c r="E100" s="2" t="str">
        <x:v>Reviewer_A</x:v>
      </x:c>
      <x:c r="F100" s="2" t="str">
        <x:v>S23-MU07</x:v>
      </x:c>
      <x:c r="G100" s="2" t="str">
        <x:v>S23-O01</x:v>
      </x:c>
      <x:c r="H100" s="2" t="str">
        <x:v>S23-T01</x:v>
      </x:c>
      <x:c r="I100" s="2" t="str">
        <x:v>CodeLlama 13b Instruct hf</x:v>
      </x:c>
      <x:c r="J100" s="2" t="str">
        <x:v>CodeLlama Instruct 13B</x:v>
      </x:c>
      <x:c r="K100" s="2" t="str">
        <x:v>Llama</x:v>
      </x:c>
      <x:c r="L100" s="2" t="str">
        <x:v>NR</x:v>
      </x:c>
      <x:c r="M100" s="2" t="str">
        <x:v>13B</x:v>
      </x:c>
      <x:c r="N100" s="2" t="str">
        <x:v>NR</x:v>
      </x:c>
      <x:c r="O100" s="2" t="str">
        <x:v>Unclear</x:v>
      </x:c>
      <x:c r="P100" s="2" t="str">
        <x:v>Local</x:v>
      </x:c>
      <x:c r="Q100" s="2" t="str">
        <x:v>NR</x:v>
      </x:c>
      <x:c r="R100" s="2" t="str">
        <x:v>NR</x:v>
      </x:c>
      <x:c r="S100" s="2" t="str">
        <x:v>NR</x:v>
      </x:c>
      <x:c r="T100" s="2" t="str">
        <x:v>NR</x:v>
      </x:c>
      <x:c r="U100" s="2" t="str">
        <x:v>NR</x:v>
      </x:c>
      <x:c r="V100" s="2" t="str">
        <x:v>NR</x:v>
      </x:c>
      <x:c r="W100" s="2" t="str">
        <x:v>No</x:v>
      </x:c>
      <x:c r="X100" s="2" t="str">
        <x:v>No</x:v>
      </x:c>
      <x:c r="Y100" s="6" t="str">
        <x:v>p. 5; Section III-E</x:v>
      </x:c>
      <x:c r="Z100" s="6" t="str">
        <x:v>We use the 7-billion and 13-billion parameter versions.</x:v>
      </x:c>
      <x:c r="AA100" s="6" t="str">
        <x:v>CodeLlama 13B Instruct模型用于初始代码生成。</x:v>
      </x:c>
      <x:c r="AB100" s="2" t="str">
        <x:v>Accepted</x:v>
      </x:c>
      <x:c r="AC100" s="6" t="str">
        <x:v>NR</x:v>
      </x:c>
    </x:row>
    <x:row r="101" ht="76" customHeight="1">
      <x:c r="A101" s="2" t="str">
        <x:v>S23-MODEL-R08</x:v>
      </x:c>
      <x:c r="B101" s="2" t="str">
        <x:v>S23</x:v>
      </x:c>
      <x:c r="C101" s="2" t="str">
        <x:v>merged_1156</x:v>
      </x:c>
      <x:c r="D101" s="2" t="str">
        <x:v>Reviewer_A</x:v>
      </x:c>
      <x:c r="E101" s="2" t="str">
        <x:v>Reviewer_A</x:v>
      </x:c>
      <x:c r="F101" s="2" t="str">
        <x:v>S23-MU08</x:v>
      </x:c>
      <x:c r="G101" s="2" t="str">
        <x:v>S23-O02</x:v>
      </x:c>
      <x:c r="H101" s="2" t="str">
        <x:v>S23-T02</x:v>
      </x:c>
      <x:c r="I101" s="2" t="str">
        <x:v>CodeLlama 13b Instruct hf</x:v>
      </x:c>
      <x:c r="J101" s="2" t="str">
        <x:v>CodeLlama Instruct 13B</x:v>
      </x:c>
      <x:c r="K101" s="2" t="str">
        <x:v>Llama</x:v>
      </x:c>
      <x:c r="L101" s="2" t="str">
        <x:v>NR</x:v>
      </x:c>
      <x:c r="M101" s="2" t="str">
        <x:v>13B</x:v>
      </x:c>
      <x:c r="N101" s="2" t="str">
        <x:v>NR</x:v>
      </x:c>
      <x:c r="O101" s="2" t="str">
        <x:v>Unclear</x:v>
      </x:c>
      <x:c r="P101" s="2" t="str">
        <x:v>Local</x:v>
      </x:c>
      <x:c r="Q101" s="2" t="str">
        <x:v>NR</x:v>
      </x:c>
      <x:c r="R101" s="2" t="str">
        <x:v>NR</x:v>
      </x:c>
      <x:c r="S101" s="2" t="str">
        <x:v>NR</x:v>
      </x:c>
      <x:c r="T101" s="2" t="str">
        <x:v>NR</x:v>
      </x:c>
      <x:c r="U101" s="2" t="str">
        <x:v>NR</x:v>
      </x:c>
      <x:c r="V101" s="2" t="str">
        <x:v>NR</x:v>
      </x:c>
      <x:c r="W101" s="2" t="str">
        <x:v>No</x:v>
      </x:c>
      <x:c r="X101" s="2" t="str">
        <x:v>No</x:v>
      </x:c>
      <x:c r="Y101" s="6" t="str">
        <x:v>p. 5; Section III-E</x:v>
      </x:c>
      <x:c r="Z101" s="6" t="str">
        <x:v>We use the 7-billion and 13-billion parameter versions.</x:v>
      </x:c>
      <x:c r="AA101" s="6" t="str">
        <x:v>CodeLlama 13B Instruct模型用于重提示代码生成。</x:v>
      </x:c>
      <x:c r="AB101" s="2" t="str">
        <x:v>Accepted</x:v>
      </x:c>
      <x:c r="AC101" s="6" t="str">
        <x:v>NR</x:v>
      </x:c>
    </x:row>
    <x:row r="102" ht="76" customHeight="1">
      <x:c r="A102" s="2" t="str">
        <x:v>S24-MODEL-R01</x:v>
      </x:c>
      <x:c r="B102" s="2" t="str">
        <x:v>S24</x:v>
      </x:c>
      <x:c r="C102" s="2" t="str">
        <x:v>merged_1172</x:v>
      </x:c>
      <x:c r="D102" s="2" t="str">
        <x:v>Reviewer_A</x:v>
      </x:c>
      <x:c r="E102" s="2" t="str">
        <x:v>Reviewer_A</x:v>
      </x:c>
      <x:c r="F102" s="2" t="str">
        <x:v>S24-MU01</x:v>
      </x:c>
      <x:c r="G102" s="2" t="str">
        <x:v>S24-O01</x:v>
      </x:c>
      <x:c r="H102" s="2" t="str">
        <x:v>S24-T01</x:v>
      </x:c>
      <x:c r="I102" s="2" t="str">
        <x:v>NR</x:v>
      </x:c>
      <x:c r="J102" s="2" t="str">
        <x:v>NR</x:v>
      </x:c>
      <x:c r="K102" s="2" t="str">
        <x:v>Unclear</x:v>
      </x:c>
      <x:c r="L102" s="2" t="str">
        <x:v>Unclear</x:v>
      </x:c>
      <x:c r="M102" s="2" t="str">
        <x:v>Unclear</x:v>
      </x:c>
      <x:c r="N102" s="2" t="str">
        <x:v>NR</x:v>
      </x:c>
      <x:c r="O102" s="2" t="str">
        <x:v>Unclear</x:v>
      </x:c>
      <x:c r="P102" s="2" t="str">
        <x:v>API</x:v>
      </x:c>
      <x:c r="Q102" s="2" t="str">
        <x:v>NR</x:v>
      </x:c>
      <x:c r="R102" s="2" t="str">
        <x:v>NR</x:v>
      </x:c>
      <x:c r="S102" s="2" t="str">
        <x:v>NR</x:v>
      </x:c>
      <x:c r="T102" s="2" t="str">
        <x:v>NR</x:v>
      </x:c>
      <x:c r="U102" s="2" t="str">
        <x:v>NR</x:v>
      </x:c>
      <x:c r="V102" s="2" t="str">
        <x:v>NR</x:v>
      </x:c>
      <x:c r="W102" s="2" t="str">
        <x:v>No</x:v>
      </x:c>
      <x:c r="X102" s="2" t="str">
        <x:v>No</x:v>
      </x:c>
      <x:c r="Y102" s="6" t="str">
        <x:v>p. 1; abstract</x:v>
      </x:c>
      <x:c r="Z102" s="6" t="str">
        <x:v>The tool employs a hybrid architecture: a document-agnostic, Large Language Model (LLM)-assisted parser induces regex-based rules</x:v>
      </x:c>
      <x:c r="AA102" s="6" t="str">
        <x:v>所使用的LLM型号未明确报告，但采用云端API调用方式进行实验</x:v>
      </x:c>
      <x:c r="AB102" s="2" t="str">
        <x:v>Accepted</x:v>
      </x:c>
      <x:c r="AC102" s="6" t="str">
        <x:v>Section 4 names five models for the semantic ambiguity/testability evaluation, but the paper does not identify which model performed the rule-induction operation linked to this row; those evaluation models are not substituted for the parser model.</x:v>
      </x:c>
    </x:row>
    <x:row r="103" ht="76" customHeight="1">
      <x:c r="A103" s="2" t="str">
        <x:v>S25-MODEL-R01</x:v>
      </x:c>
      <x:c r="B103" s="2" t="str">
        <x:v>S25</x:v>
      </x:c>
      <x:c r="C103" s="2" t="str">
        <x:v>merged_1185</x:v>
      </x:c>
      <x:c r="D103" s="2" t="str">
        <x:v>Reviewer_A</x:v>
      </x:c>
      <x:c r="E103" s="2" t="str">
        <x:v>Reviewer_A</x:v>
      </x:c>
      <x:c r="F103" s="2" t="str">
        <x:v>S25-MU01</x:v>
      </x:c>
      <x:c r="G103" s="2" t="str">
        <x:v>S25-O01</x:v>
      </x:c>
      <x:c r="H103" s="2" t="str">
        <x:v>S25-T01</x:v>
      </x:c>
      <x:c r="I103" s="2" t="str">
        <x:v>Mistral 7B</x:v>
      </x:c>
      <x:c r="J103" s="2" t="str">
        <x:v>Mistral 7B</x:v>
      </x:c>
      <x:c r="K103" s="2" t="str">
        <x:v>Mistral</x:v>
      </x:c>
      <x:c r="L103" s="2" t="str">
        <x:v>NR</x:v>
      </x:c>
      <x:c r="M103" s="2" t="str">
        <x:v>7B</x:v>
      </x:c>
      <x:c r="N103" s="2" t="str">
        <x:v>NR</x:v>
      </x:c>
      <x:c r="O103" s="2" t="str">
        <x:v>Open weights</x:v>
      </x:c>
      <x:c r="P103" s="2" t="str">
        <x:v>Unclear</x:v>
      </x:c>
      <x:c r="Q103" s="2" t="str">
        <x:v>NR</x:v>
      </x:c>
      <x:c r="R103" s="2" t="str">
        <x:v>NR</x:v>
      </x:c>
      <x:c r="S103" s="2" t="str">
        <x:v>NR</x:v>
      </x:c>
      <x:c r="T103" s="2" t="str">
        <x:v>NR</x:v>
      </x:c>
      <x:c r="U103" s="2" t="str">
        <x:v>NR</x:v>
      </x:c>
      <x:c r="V103" s="2" t="str">
        <x:v>NR</x:v>
      </x:c>
      <x:c r="W103" s="2" t="str">
        <x:v>No</x:v>
      </x:c>
      <x:c r="X103" s="2" t="str">
        <x:v>No</x:v>
      </x:c>
      <x:c r="Y103" s="6" t="str">
        <x:v>p. 5; Section III.C Model Selection Strategy</x:v>
      </x:c>
      <x:c r="Z103" s="6" t="str">
        <x:v>Simple test case generation utilizes Mistral 7B for efficiency</x:v>
      </x:c>
      <x:c r="AA103" s="6" t="str">
        <x:v>Mistral 7B用于简单测试用例生成，效率优先。</x:v>
      </x:c>
      <x:c r="AB103" s="2" t="str">
        <x:v>Accepted</x:v>
      </x:c>
      <x:c r="AC103" s="6" t="str">
        <x:v>NA</x:v>
      </x:c>
    </x:row>
    <x:row r="104" ht="76" customHeight="1">
      <x:c r="A104" s="2" t="str">
        <x:v>S25-MODEL-R02</x:v>
      </x:c>
      <x:c r="B104" s="2" t="str">
        <x:v>S25</x:v>
      </x:c>
      <x:c r="C104" s="2" t="str">
        <x:v>merged_1185</x:v>
      </x:c>
      <x:c r="D104" s="2" t="str">
        <x:v>Reviewer_A</x:v>
      </x:c>
      <x:c r="E104" s="2" t="str">
        <x:v>Reviewer_A</x:v>
      </x:c>
      <x:c r="F104" s="2" t="str">
        <x:v>S25-MU02</x:v>
      </x:c>
      <x:c r="G104" s="2" t="str">
        <x:v>S25-O02</x:v>
      </x:c>
      <x:c r="H104" s="2" t="str">
        <x:v>S25-T01</x:v>
      </x:c>
      <x:c r="I104" s="2" t="str">
        <x:v>Gemini Pro</x:v>
      </x:c>
      <x:c r="J104" s="2" t="str">
        <x:v>Google Gemini 1.0 Pro</x:v>
      </x:c>
      <x:c r="K104" s="2" t="str">
        <x:v>Gemini</x:v>
      </x:c>
      <x:c r="L104" s="2" t="str">
        <x:v>1.0 Pro</x:v>
      </x:c>
      <x:c r="M104" s="2" t="str">
        <x:v>NR</x:v>
      </x:c>
      <x:c r="N104" s="2" t="str">
        <x:v>NR</x:v>
      </x:c>
      <x:c r="O104" s="2" t="str">
        <x:v>Closed</x:v>
      </x:c>
      <x:c r="P104" s="2" t="str">
        <x:v>Unclear</x:v>
      </x:c>
      <x:c r="Q104" s="2" t="str">
        <x:v>NR</x:v>
      </x:c>
      <x:c r="R104" s="2" t="str">
        <x:v>NR</x:v>
      </x:c>
      <x:c r="S104" s="2" t="str">
        <x:v>NR</x:v>
      </x:c>
      <x:c r="T104" s="2" t="str">
        <x:v>NR</x:v>
      </x:c>
      <x:c r="U104" s="2" t="str">
        <x:v>NR</x:v>
      </x:c>
      <x:c r="V104" s="2" t="str">
        <x:v>NR</x:v>
      </x:c>
      <x:c r="W104" s="2" t="str">
        <x:v>No</x:v>
      </x:c>
      <x:c r="X104" s="2" t="str">
        <x:v>No</x:v>
      </x:c>
      <x:c r="Y104" s="6" t="str">
        <x:v>p. 4, Section III-C; Google Gemini API model history</x:v>
      </x:c>
      <x:c r="Z104" s="6" t="str">
        <x:v>complex business logic analysis leverages Gemini Pro</x:v>
      </x:c>
      <x:c r="AA104" s="6" t="str">
        <x:v>论文使用未带代际编号的正式名称Gemini Pro。Google的API历史中，gemini-pro是2023年发布的文本模型，后续官方材料将其称为Gemini 1.0 Pro；1.5及2.5代均以代际号命名。据此规范为Gemini 1.0 Pro。</x:v>
      </x:c>
      <x:c r="AB104" s="2" t="str">
        <x:v>Accepted</x:v>
      </x:c>
      <x:c r="AC104" s="6" t="str">
        <x:v>Provider-name normalization supported by Google's official Gemini API history: the original model ID/name was 'gemini-pro', subsequently identified as Gemini 1.0 Pro. The article does not report a dated endpoint revision.</x:v>
      </x:c>
    </x:row>
    <x:row r="105" ht="76" customHeight="1">
      <x:c r="A105" s="2" t="str">
        <x:v>S26-MODEL-R01</x:v>
      </x:c>
      <x:c r="B105" s="2" t="str">
        <x:v>S26</x:v>
      </x:c>
      <x:c r="C105" s="2" t="str">
        <x:v>merged_1212</x:v>
      </x:c>
      <x:c r="D105" s="2" t="str">
        <x:v>Reviewer_A</x:v>
      </x:c>
      <x:c r="E105" s="2" t="str">
        <x:v>Reviewer_A</x:v>
      </x:c>
      <x:c r="F105" s="2" t="str">
        <x:v>S26-MU01</x:v>
      </x:c>
      <x:c r="G105" s="2" t="str">
        <x:v>S26-O01</x:v>
      </x:c>
      <x:c r="H105" s="2" t="str">
        <x:v>S26-T01</x:v>
      </x:c>
      <x:c r="I105" s="2" t="str">
        <x:v>LLMs</x:v>
      </x:c>
      <x:c r="J105" s="2" t="str">
        <x:v>NR</x:v>
      </x:c>
      <x:c r="K105" s="2" t="str">
        <x:v>NR</x:v>
      </x:c>
      <x:c r="L105" s="2" t="str">
        <x:v>NR</x:v>
      </x:c>
      <x:c r="M105" s="2" t="str">
        <x:v>NR</x:v>
      </x:c>
      <x:c r="N105" s="2" t="str">
        <x:v>NR</x:v>
      </x:c>
      <x:c r="O105" s="2" t="str">
        <x:v>NR</x:v>
      </x:c>
      <x:c r="P105" s="2" t="str">
        <x:v>NR</x:v>
      </x:c>
      <x:c r="Q105" s="2" t="str">
        <x:v>NR</x:v>
      </x:c>
      <x:c r="R105" s="2" t="str">
        <x:v>NR</x:v>
      </x:c>
      <x:c r="S105" s="2" t="str">
        <x:v>NR</x:v>
      </x:c>
      <x:c r="T105" s="2" t="str">
        <x:v>NR</x:v>
      </x:c>
      <x:c r="U105" s="2" t="str">
        <x:v>NR</x:v>
      </x:c>
      <x:c r="V105" s="2" t="str">
        <x:v>NR</x:v>
      </x:c>
      <x:c r="W105" s="2" t="str">
        <x:v>No</x:v>
      </x:c>
      <x:c r="X105" s="2" t="str">
        <x:v>No</x:v>
      </x:c>
      <x:c r="Y105" s="6" t="str">
        <x:v>p. 2; Section II-A</x:v>
      </x:c>
      <x:c r="Z105" s="6" t="str">
        <x:v>the latest generation of LLMs offers the potential to overcome these limitations by providing accurate trace links across domains even in data-sparse settings</x:v>
      </x:c>
      <x:c r="AA105" s="6" t="str">
        <x:v>论文未指定具体模型，仅泛指大语言模型。</x:v>
      </x:c>
      <x:c r="AB105" s="2" t="str">
        <x:v>Accepted</x:v>
      </x:c>
      <x:c r="AC105" s="6" t="str">
        <x:v>所有操作使用的 LLM 均未给出具体名称、版本等信息</x:v>
      </x:c>
    </x:row>
    <x:row r="106" ht="76" customHeight="1">
      <x:c r="A106" s="2" t="str">
        <x:v>S26-MODEL-R02</x:v>
      </x:c>
      <x:c r="B106" s="2" t="str">
        <x:v>S26</x:v>
      </x:c>
      <x:c r="C106" s="2" t="str">
        <x:v>merged_1212</x:v>
      </x:c>
      <x:c r="D106" s="2" t="str">
        <x:v>Reviewer_A</x:v>
      </x:c>
      <x:c r="E106" s="2" t="str">
        <x:v>Reviewer_A</x:v>
      </x:c>
      <x:c r="F106" s="2" t="str">
        <x:v>S26-MU02</x:v>
      </x:c>
      <x:c r="G106" s="2" t="str">
        <x:v>S26-O02</x:v>
      </x:c>
      <x:c r="H106" s="2" t="str">
        <x:v>S26-T01</x:v>
      </x:c>
      <x:c r="I106" s="2" t="str">
        <x:v>LLMs</x:v>
      </x:c>
      <x:c r="J106" s="2" t="str">
        <x:v>NR</x:v>
      </x:c>
      <x:c r="K106" s="2" t="str">
        <x:v>NR</x:v>
      </x:c>
      <x:c r="L106" s="2" t="str">
        <x:v>NR</x:v>
      </x:c>
      <x:c r="M106" s="2" t="str">
        <x:v>NR</x:v>
      </x:c>
      <x:c r="N106" s="2" t="str">
        <x:v>NR</x:v>
      </x:c>
      <x:c r="O106" s="2" t="str">
        <x:v>NR</x:v>
      </x:c>
      <x:c r="P106" s="2" t="str">
        <x:v>NR</x:v>
      </x:c>
      <x:c r="Q106" s="2" t="str">
        <x:v>NR</x:v>
      </x:c>
      <x:c r="R106" s="2" t="str">
        <x:v>NR</x:v>
      </x:c>
      <x:c r="S106" s="2" t="str">
        <x:v>NR</x:v>
      </x:c>
      <x:c r="T106" s="2" t="str">
        <x:v>NR</x:v>
      </x:c>
      <x:c r="U106" s="2" t="str">
        <x:v>NR</x:v>
      </x:c>
      <x:c r="V106" s="2" t="str">
        <x:v>NR</x:v>
      </x:c>
      <x:c r="W106" s="2" t="str">
        <x:v>No</x:v>
      </x:c>
      <x:c r="X106" s="2" t="str">
        <x:v>No</x:v>
      </x:c>
      <x:c r="Y106" s="6" t="str">
        <x:v>p. 3; Section III-A</x:v>
      </x:c>
      <x:c r="Z106" s="6" t="str">
        <x:v>the LLM could then refine</x:v>
      </x:c>
      <x:c r="AA106" s="6" t="str">
        <x:v>同上，未提供模型细节。</x:v>
      </x:c>
      <x:c r="AB106" s="2" t="str">
        <x:v>Accepted</x:v>
      </x:c>
      <x:c r="AC106" s="6" t="str">
        <x:v>NR</x:v>
      </x:c>
    </x:row>
    <x:row r="107" ht="76" customHeight="1">
      <x:c r="A107" s="2" t="str">
        <x:v>S26-MODEL-R03</x:v>
      </x:c>
      <x:c r="B107" s="2" t="str">
        <x:v>S26</x:v>
      </x:c>
      <x:c r="C107" s="2" t="str">
        <x:v>merged_1212</x:v>
      </x:c>
      <x:c r="D107" s="2" t="str">
        <x:v>Reviewer_A</x:v>
      </x:c>
      <x:c r="E107" s="2" t="str">
        <x:v>Reviewer_A</x:v>
      </x:c>
      <x:c r="F107" s="2" t="str">
        <x:v>S26-MU03</x:v>
      </x:c>
      <x:c r="G107" s="2" t="str">
        <x:v>S26-O03</x:v>
      </x:c>
      <x:c r="H107" s="2" t="str">
        <x:v>S26-T02</x:v>
      </x:c>
      <x:c r="I107" s="2" t="str">
        <x:v>LLMs</x:v>
      </x:c>
      <x:c r="J107" s="2" t="str">
        <x:v>NR</x:v>
      </x:c>
      <x:c r="K107" s="2" t="str">
        <x:v>NR</x:v>
      </x:c>
      <x:c r="L107" s="2" t="str">
        <x:v>NR</x:v>
      </x:c>
      <x:c r="M107" s="2" t="str">
        <x:v>NR</x:v>
      </x:c>
      <x:c r="N107" s="2" t="str">
        <x:v>NR</x:v>
      </x:c>
      <x:c r="O107" s="2" t="str">
        <x:v>NR</x:v>
      </x:c>
      <x:c r="P107" s="2" t="str">
        <x:v>NR</x:v>
      </x:c>
      <x:c r="Q107" s="2" t="str">
        <x:v>NR</x:v>
      </x:c>
      <x:c r="R107" s="2" t="str">
        <x:v>NR</x:v>
      </x:c>
      <x:c r="S107" s="2" t="str">
        <x:v>NR</x:v>
      </x:c>
      <x:c r="T107" s="2" t="str">
        <x:v>NR</x:v>
      </x:c>
      <x:c r="U107" s="2" t="str">
        <x:v>NR</x:v>
      </x:c>
      <x:c r="V107" s="2" t="str">
        <x:v>NR</x:v>
      </x:c>
      <x:c r="W107" s="2" t="str">
        <x:v>No</x:v>
      </x:c>
      <x:c r="X107" s="2" t="str">
        <x:v>No</x:v>
      </x:c>
      <x:c r="Y107" s="6" t="str">
        <x:v>p. 3; Section III-B</x:v>
      </x:c>
      <x:c r="Z107" s="6" t="str">
        <x:v>Each cluster is then presented to the LLM</x:v>
      </x:c>
      <x:c r="AA107" s="6" t="str">
        <x:v>同上。</x:v>
      </x:c>
      <x:c r="AB107" s="2" t="str">
        <x:v>Accepted</x:v>
      </x:c>
      <x:c r="AC107" s="6" t="str">
        <x:v>NR</x:v>
      </x:c>
    </x:row>
    <x:row r="108" ht="76" customHeight="1">
      <x:c r="A108" s="2" t="str">
        <x:v>S26-MODEL-R04</x:v>
      </x:c>
      <x:c r="B108" s="2" t="str">
        <x:v>S26</x:v>
      </x:c>
      <x:c r="C108" s="2" t="str">
        <x:v>merged_1212</x:v>
      </x:c>
      <x:c r="D108" s="2" t="str">
        <x:v>Reviewer_A</x:v>
      </x:c>
      <x:c r="E108" s="2" t="str">
        <x:v>Reviewer_A</x:v>
      </x:c>
      <x:c r="F108" s="2" t="str">
        <x:v>S26-MU04</x:v>
      </x:c>
      <x:c r="G108" s="2" t="str">
        <x:v>S26-O04</x:v>
      </x:c>
      <x:c r="H108" s="2" t="str">
        <x:v>S26-T03</x:v>
      </x:c>
      <x:c r="I108" s="2" t="str">
        <x:v>LLMs</x:v>
      </x:c>
      <x:c r="J108" s="2" t="str">
        <x:v>NR</x:v>
      </x:c>
      <x:c r="K108" s="2" t="str">
        <x:v>NR</x:v>
      </x:c>
      <x:c r="L108" s="2" t="str">
        <x:v>NR</x:v>
      </x:c>
      <x:c r="M108" s="2" t="str">
        <x:v>NR</x:v>
      </x:c>
      <x:c r="N108" s="2" t="str">
        <x:v>NR</x:v>
      </x:c>
      <x:c r="O108" s="2" t="str">
        <x:v>NR</x:v>
      </x:c>
      <x:c r="P108" s="2" t="str">
        <x:v>NR</x:v>
      </x:c>
      <x:c r="Q108" s="2" t="str">
        <x:v>NR</x:v>
      </x:c>
      <x:c r="R108" s="2" t="str">
        <x:v>NR</x:v>
      </x:c>
      <x:c r="S108" s="2" t="str">
        <x:v>NR</x:v>
      </x:c>
      <x:c r="T108" s="2" t="str">
        <x:v>NR</x:v>
      </x:c>
      <x:c r="U108" s="2" t="str">
        <x:v>NR</x:v>
      </x:c>
      <x:c r="V108" s="2" t="str">
        <x:v>NR</x:v>
      </x:c>
      <x:c r="W108" s="2" t="str">
        <x:v>No</x:v>
      </x:c>
      <x:c r="X108" s="2" t="str">
        <x:v>No</x:v>
      </x:c>
      <x:c r="Y108" s="6" t="str">
        <x:v>p. 4; Section III-C</x:v>
      </x:c>
      <x:c r="Z108" s="6" t="str">
        <x:v>automatically transformed into traceable, safety-focused requirements</x:v>
      </x:c>
      <x:c r="AA108" s="6" t="str">
        <x:v>同上。</x:v>
      </x:c>
      <x:c r="AB108" s="2" t="str">
        <x:v>Accepted</x:v>
      </x:c>
      <x:c r="AC108" s="6" t="str">
        <x:v>NR</x:v>
      </x:c>
    </x:row>
    <x:row r="109" ht="76" customHeight="1">
      <x:c r="A109" s="2" t="str">
        <x:v>S26-MODEL-R05</x:v>
      </x:c>
      <x:c r="B109" s="2" t="str">
        <x:v>S26</x:v>
      </x:c>
      <x:c r="C109" s="2" t="str">
        <x:v>merged_1212</x:v>
      </x:c>
      <x:c r="D109" s="2" t="str">
        <x:v>Reviewer_A</x:v>
      </x:c>
      <x:c r="E109" s="2" t="str">
        <x:v>Reviewer_A</x:v>
      </x:c>
      <x:c r="F109" s="2" t="str">
        <x:v>S26-MU05</x:v>
      </x:c>
      <x:c r="G109" s="2" t="str">
        <x:v>S26-O05</x:v>
      </x:c>
      <x:c r="H109" s="2" t="str">
        <x:v>S26-T04</x:v>
      </x:c>
      <x:c r="I109" s="2" t="str">
        <x:v>LLMs</x:v>
      </x:c>
      <x:c r="J109" s="2" t="str">
        <x:v>NR</x:v>
      </x:c>
      <x:c r="K109" s="2" t="str">
        <x:v>NR</x:v>
      </x:c>
      <x:c r="L109" s="2" t="str">
        <x:v>NR</x:v>
      </x:c>
      <x:c r="M109" s="2" t="str">
        <x:v>NR</x:v>
      </x:c>
      <x:c r="N109" s="2" t="str">
        <x:v>NR</x:v>
      </x:c>
      <x:c r="O109" s="2" t="str">
        <x:v>NR</x:v>
      </x:c>
      <x:c r="P109" s="2" t="str">
        <x:v>NR</x:v>
      </x:c>
      <x:c r="Q109" s="2" t="str">
        <x:v>NR</x:v>
      </x:c>
      <x:c r="R109" s="2" t="str">
        <x:v>NR</x:v>
      </x:c>
      <x:c r="S109" s="2" t="str">
        <x:v>NR</x:v>
      </x:c>
      <x:c r="T109" s="2" t="str">
        <x:v>NR</x:v>
      </x:c>
      <x:c r="U109" s="2" t="str">
        <x:v>NR</x:v>
      </x:c>
      <x:c r="V109" s="2" t="str">
        <x:v>NR</x:v>
      </x:c>
      <x:c r="W109" s="2" t="str">
        <x:v>No</x:v>
      </x:c>
      <x:c r="X109" s="2" t="str">
        <x:v>No</x:v>
      </x:c>
      <x:c r="Y109" s="6" t="str">
        <x:v>p. 4; Section III-D</x:v>
      </x:c>
      <x:c r="Z109" s="6" t="str">
        <x:v>code. Additionally, Model Context Protocols [19] will enable the LLM to access and coordinate these tools effectively.</x:v>
      </x:c>
      <x:c r="AA109" s="6" t="str">
        <x:v>同上，计划阶段。</x:v>
      </x:c>
      <x:c r="AB109" s="2" t="str">
        <x:v>Accepted</x:v>
      </x:c>
      <x:c r="AC109" s="6" t="str">
        <x:v>NR</x:v>
      </x:c>
    </x:row>
    <x:row r="110" ht="76" customHeight="1">
      <x:c r="A110" s="2" t="str">
        <x:v>S27-MODEL-R01</x:v>
      </x:c>
      <x:c r="B110" s="2" t="str">
        <x:v>S27</x:v>
      </x:c>
      <x:c r="C110" s="2" t="str">
        <x:v>merged_1213</x:v>
      </x:c>
      <x:c r="D110" s="2" t="str">
        <x:v>Reviewer_A</x:v>
      </x:c>
      <x:c r="E110" s="2" t="str">
        <x:v>Reviewer_A</x:v>
      </x:c>
      <x:c r="F110" s="2" t="str">
        <x:v>S27-MU01</x:v>
      </x:c>
      <x:c r="G110" s="2" t="str">
        <x:v>S27-O01</x:v>
      </x:c>
      <x:c r="H110" s="2" t="str">
        <x:v>S27-T01</x:v>
      </x:c>
      <x:c r="I110" s="2" t="str">
        <x:v>Gemma-2:2b</x:v>
      </x:c>
      <x:c r="J110" s="2" t="str">
        <x:v>Gemma 2 2B</x:v>
      </x:c>
      <x:c r="K110" s="2" t="str">
        <x:v>Gemma</x:v>
      </x:c>
      <x:c r="L110" s="2" t="str">
        <x:v>2</x:v>
      </x:c>
      <x:c r="M110" s="2" t="str">
        <x:v>2B</x:v>
      </x:c>
      <x:c r="N110" s="2" t="str">
        <x:v>NR</x:v>
      </x:c>
      <x:c r="O110" s="2" t="str">
        <x:v>Open weights</x:v>
      </x:c>
      <x:c r="P110" s="2" t="str">
        <x:v>Local</x:v>
      </x:c>
      <x:c r="Q110" s="2" t="n">
        <x:v>0</x:v>
      </x:c>
      <x:c r="R110" s="2" t="n">
        <x:v>133742243</x:v>
      </x:c>
      <x:c r="S110" s="2" t="str">
        <x:v>NR</x:v>
      </x:c>
      <x:c r="T110" s="2" t="str">
        <x:v>NR</x:v>
      </x:c>
      <x:c r="U110" s="2" t="str">
        <x:v>Local (Tesla V100S GPU)</x:v>
      </x:c>
      <x:c r="V110" s="2" t="str">
        <x:v>NR</x:v>
      </x:c>
      <x:c r="W110" s="2" t="str">
        <x:v>No</x:v>
      </x:c>
      <x:c r="X110" s="2" t="str">
        <x:v>No</x:v>
      </x:c>
      <x:c r="Y110" s="6" t="str">
        <x:v>p. 7; Section IV-B and Section IV-E</x:v>
      </x:c>
      <x:c r="Z110" s="6" t="str">
        <x:v>we fixed the random seed and set the model temperature to 0. Our results are therefore dependent on the specific seed 133742243</x:v>
      </x:c>
      <x:c r="AA110" s="6" t="str">
        <x:v>Gemma-2:2b是Google的开源小模型，在本地GPU上运行，温度设为0并固定随机种子。</x:v>
      </x:c>
      <x:c r="AB110" s="2" t="str">
        <x:v>Accepted</x:v>
      </x:c>
      <x:c r="AC110" s="6" t="str">
        <x:v>NA</x:v>
      </x:c>
    </x:row>
    <x:row r="111" ht="76" customHeight="1">
      <x:c r="A111" s="2" t="str">
        <x:v>S27-MODEL-R02</x:v>
      </x:c>
      <x:c r="B111" s="2" t="str">
        <x:v>S27</x:v>
      </x:c>
      <x:c r="C111" s="2" t="str">
        <x:v>merged_1213</x:v>
      </x:c>
      <x:c r="D111" s="2" t="str">
        <x:v>Reviewer_A</x:v>
      </x:c>
      <x:c r="E111" s="2" t="str">
        <x:v>Reviewer_A</x:v>
      </x:c>
      <x:c r="F111" s="2" t="str">
        <x:v>S27-MU02</x:v>
      </x:c>
      <x:c r="G111" s="2" t="str">
        <x:v>S27-O01</x:v>
      </x:c>
      <x:c r="H111" s="2" t="str">
        <x:v>S27-T01</x:v>
      </x:c>
      <x:c r="I111" s="2" t="str">
        <x:v>Gemma-2:9b</x:v>
      </x:c>
      <x:c r="J111" s="2" t="str">
        <x:v>Gemma 2 9B</x:v>
      </x:c>
      <x:c r="K111" s="2" t="str">
        <x:v>Gemma</x:v>
      </x:c>
      <x:c r="L111" s="2" t="str">
        <x:v>2</x:v>
      </x:c>
      <x:c r="M111" s="2" t="str">
        <x:v>9B</x:v>
      </x:c>
      <x:c r="N111" s="2" t="str">
        <x:v>NR</x:v>
      </x:c>
      <x:c r="O111" s="2" t="str">
        <x:v>Open weights</x:v>
      </x:c>
      <x:c r="P111" s="2" t="str">
        <x:v>Local</x:v>
      </x:c>
      <x:c r="Q111" s="2" t="n">
        <x:v>0</x:v>
      </x:c>
      <x:c r="R111" s="2" t="n">
        <x:v>133742243</x:v>
      </x:c>
      <x:c r="S111" s="2" t="str">
        <x:v>NR</x:v>
      </x:c>
      <x:c r="T111" s="2" t="str">
        <x:v>NR</x:v>
      </x:c>
      <x:c r="U111" s="2" t="str">
        <x:v>Local (Tesla V100S GPU)</x:v>
      </x:c>
      <x:c r="V111" s="2" t="str">
        <x:v>NR</x:v>
      </x:c>
      <x:c r="W111" s="2" t="str">
        <x:v>No</x:v>
      </x:c>
      <x:c r="X111" s="2" t="str">
        <x:v>No</x:v>
      </x:c>
      <x:c r="Y111" s="6" t="str">
        <x:v>p. 7; Section IV-B and Section IV-E</x:v>
      </x:c>
      <x:c r="Z111" s="6" t="str">
        <x:v>we fixed the random seed and set the model temperature to 0. Our results are therefore dependent on the specific seed 133742243</x:v>
      </x:c>
      <x:c r="AA111" s="6" t="str">
        <x:v>Gemma-2:9b是Gemma系列的中等规模模型，同样在本地运行。</x:v>
      </x:c>
      <x:c r="AB111" s="2" t="str">
        <x:v>Accepted</x:v>
      </x:c>
      <x:c r="AC111" s="6" t="str">
        <x:v>NA</x:v>
      </x:c>
    </x:row>
    <x:row r="112" ht="76" customHeight="1">
      <x:c r="A112" s="2" t="str">
        <x:v>S27-MODEL-R03</x:v>
      </x:c>
      <x:c r="B112" s="2" t="str">
        <x:v>S27</x:v>
      </x:c>
      <x:c r="C112" s="2" t="str">
        <x:v>merged_1213</x:v>
      </x:c>
      <x:c r="D112" s="2" t="str">
        <x:v>Reviewer_A</x:v>
      </x:c>
      <x:c r="E112" s="2" t="str">
        <x:v>Reviewer_A</x:v>
      </x:c>
      <x:c r="F112" s="2" t="str">
        <x:v>S27-MU03</x:v>
      </x:c>
      <x:c r="G112" s="2" t="str">
        <x:v>S27-O01</x:v>
      </x:c>
      <x:c r="H112" s="2" t="str">
        <x:v>S27-T01</x:v>
      </x:c>
      <x:c r="I112" s="2" t="str">
        <x:v>Mistral-Nemo:12b</x:v>
      </x:c>
      <x:c r="J112" s="2" t="str">
        <x:v>Mistral Nemo 12B</x:v>
      </x:c>
      <x:c r="K112" s="2" t="str">
        <x:v>Mistral</x:v>
      </x:c>
      <x:c r="L112" s="2" t="str">
        <x:v>Nemo</x:v>
      </x:c>
      <x:c r="M112" s="2" t="str">
        <x:v>12B</x:v>
      </x:c>
      <x:c r="N112" s="2" t="str">
        <x:v>NR</x:v>
      </x:c>
      <x:c r="O112" s="2" t="str">
        <x:v>Open weights</x:v>
      </x:c>
      <x:c r="P112" s="2" t="str">
        <x:v>Local</x:v>
      </x:c>
      <x:c r="Q112" s="2" t="n">
        <x:v>0</x:v>
      </x:c>
      <x:c r="R112" s="2" t="n">
        <x:v>133742243</x:v>
      </x:c>
      <x:c r="S112" s="2" t="str">
        <x:v>NR</x:v>
      </x:c>
      <x:c r="T112" s="2" t="str">
        <x:v>NR</x:v>
      </x:c>
      <x:c r="U112" s="2" t="str">
        <x:v>Local (Tesla V100S GPU)</x:v>
      </x:c>
      <x:c r="V112" s="2" t="str">
        <x:v>NR</x:v>
      </x:c>
      <x:c r="W112" s="2" t="str">
        <x:v>No</x:v>
      </x:c>
      <x:c r="X112" s="2" t="str">
        <x:v>No</x:v>
      </x:c>
      <x:c r="Y112" s="6" t="str">
        <x:v>p. 7; Section IV-B and Section IV-E</x:v>
      </x:c>
      <x:c r="Z112" s="6" t="str">
        <x:v>we fixed the random seed and set the model temperature to 0. Our results are therefore dependent on the specific seed 133742243</x:v>
      </x:c>
      <x:c r="AA112" s="6" t="str">
        <x:v>Mistral-Nemo:12b是Mistral的开源模型，用于过滤步骤。</x:v>
      </x:c>
      <x:c r="AB112" s="2" t="str">
        <x:v>Accepted</x:v>
      </x:c>
      <x:c r="AC112" s="6" t="str">
        <x:v>NA</x:v>
      </x:c>
    </x:row>
    <x:row r="113" ht="76" customHeight="1">
      <x:c r="A113" s="2" t="str">
        <x:v>S27-MODEL-R04</x:v>
      </x:c>
      <x:c r="B113" s="2" t="str">
        <x:v>S27</x:v>
      </x:c>
      <x:c r="C113" s="2" t="str">
        <x:v>merged_1213</x:v>
      </x:c>
      <x:c r="D113" s="2" t="str">
        <x:v>Reviewer_A</x:v>
      </x:c>
      <x:c r="E113" s="2" t="str">
        <x:v>Reviewer_A</x:v>
      </x:c>
      <x:c r="F113" s="2" t="str">
        <x:v>S27-MU04</x:v>
      </x:c>
      <x:c r="G113" s="2" t="str">
        <x:v>S27-O01</x:v>
      </x:c>
      <x:c r="H113" s="2" t="str">
        <x:v>S27-T01</x:v>
      </x:c>
      <x:c r="I113" s="2" t="str">
        <x:v>Phi-4:14b</x:v>
      </x:c>
      <x:c r="J113" s="2" t="str">
        <x:v>Phi-4 14B</x:v>
      </x:c>
      <x:c r="K113" s="2" t="str">
        <x:v>Phi</x:v>
      </x:c>
      <x:c r="L113" s="2" t="str">
        <x:v>4</x:v>
      </x:c>
      <x:c r="M113" s="2" t="str">
        <x:v>14B</x:v>
      </x:c>
      <x:c r="N113" s="2" t="str">
        <x:v>NR</x:v>
      </x:c>
      <x:c r="O113" s="2" t="str">
        <x:v>Open weights</x:v>
      </x:c>
      <x:c r="P113" s="2" t="str">
        <x:v>Local</x:v>
      </x:c>
      <x:c r="Q113" s="2" t="n">
        <x:v>0</x:v>
      </x:c>
      <x:c r="R113" s="2" t="n">
        <x:v>133742243</x:v>
      </x:c>
      <x:c r="S113" s="2" t="str">
        <x:v>NR</x:v>
      </x:c>
      <x:c r="T113" s="2" t="str">
        <x:v>NR</x:v>
      </x:c>
      <x:c r="U113" s="2" t="str">
        <x:v>Local (Tesla V100S GPU)</x:v>
      </x:c>
      <x:c r="V113" s="2" t="str">
        <x:v>NR</x:v>
      </x:c>
      <x:c r="W113" s="2" t="str">
        <x:v>No</x:v>
      </x:c>
      <x:c r="X113" s="2" t="str">
        <x:v>No</x:v>
      </x:c>
      <x:c r="Y113" s="6" t="str">
        <x:v>p. 7; Section IV-B and Section IV-E</x:v>
      </x:c>
      <x:c r="Z113" s="6" t="str">
        <x:v>we fixed the random seed and set the model temperature to 0. Our results are therefore dependent on the specific seed 133742243</x:v>
      </x:c>
      <x:c r="AA113" s="6" t="str">
        <x:v>Phi-4:14b是微软的小型语言模型，在过滤步骤中使用。</x:v>
      </x:c>
      <x:c r="AB113" s="2" t="str">
        <x:v>Accepted</x:v>
      </x:c>
      <x:c r="AC113" s="6" t="str">
        <x:v>NA</x:v>
      </x:c>
    </x:row>
    <x:row r="114" ht="76" customHeight="1">
      <x:c r="A114" s="2" t="str">
        <x:v>S27-MODEL-R05</x:v>
      </x:c>
      <x:c r="B114" s="2" t="str">
        <x:v>S27</x:v>
      </x:c>
      <x:c r="C114" s="2" t="str">
        <x:v>merged_1213</x:v>
      </x:c>
      <x:c r="D114" s="2" t="str">
        <x:v>Reviewer_A</x:v>
      </x:c>
      <x:c r="E114" s="2" t="str">
        <x:v>Reviewer_A</x:v>
      </x:c>
      <x:c r="F114" s="2" t="str">
        <x:v>S27-MU05</x:v>
      </x:c>
      <x:c r="G114" s="2" t="str">
        <x:v>S27-O02</x:v>
      </x:c>
      <x:c r="H114" s="2" t="str">
        <x:v>S27-T01</x:v>
      </x:c>
      <x:c r="I114" s="2" t="str">
        <x:v>GPT-4o mini (gpt-4o-mini-2024-07-18)</x:v>
      </x:c>
      <x:c r="J114" s="2" t="str">
        <x:v>GPT-4o mini</x:v>
      </x:c>
      <x:c r="K114" s="2" t="str">
        <x:v>GPT</x:v>
      </x:c>
      <x:c r="L114" s="2" t="str">
        <x:v>gpt-4o-mini-2024-07-18</x:v>
      </x:c>
      <x:c r="M114" s="2" t="str">
        <x:v>NR</x:v>
      </x:c>
      <x:c r="N114" s="2" t="str">
        <x:v>NR</x:v>
      </x:c>
      <x:c r="O114" s="2" t="str">
        <x:v>Closed</x:v>
      </x:c>
      <x:c r="P114" s="2" t="str">
        <x:v>API</x:v>
      </x:c>
      <x:c r="Q114" s="2" t="n">
        <x:v>0</x:v>
      </x:c>
      <x:c r="R114" s="2" t="n">
        <x:v>133742243</x:v>
      </x:c>
      <x:c r="S114" s="2" t="str">
        <x:v>NR</x:v>
      </x:c>
      <x:c r="T114" s="2" t="str">
        <x:v>NR</x:v>
      </x:c>
      <x:c r="U114" s="2" t="str">
        <x:v>API (OpenAI)</x:v>
      </x:c>
      <x:c r="V114" s="2" t="str">
        <x:v>NR</x:v>
      </x:c>
      <x:c r="W114" s="2" t="str">
        <x:v>No</x:v>
      </x:c>
      <x:c r="X114" s="2" t="str">
        <x:v>No</x:v>
      </x:c>
      <x:c r="Y114" s="6" t="str">
        <x:v>p. 7; Section IV-B and Section IV-E</x:v>
      </x:c>
      <x:c r="Z114" s="6" t="str">
        <x:v>we fixed the random seed and set the model temperature to 0. Our results are therefore dependent on the specific seed 133742243</x:v>
      </x:c>
      <x:c r="AA114" s="6" t="str">
        <x:v>GPT-4o mini是OpenAI的闭源模型，通过API调用，用于最终分类。</x:v>
      </x:c>
      <x:c r="AB114" s="2" t="str">
        <x:v>Accepted</x:v>
      </x:c>
      <x:c r="AC114" s="6" t="str">
        <x:v>NA</x:v>
      </x:c>
    </x:row>
    <x:row r="115" ht="76" customHeight="1">
      <x:c r="A115" s="2" t="str">
        <x:v>S27-MODEL-R06</x:v>
      </x:c>
      <x:c r="B115" s="2" t="str">
        <x:v>S27</x:v>
      </x:c>
      <x:c r="C115" s="2" t="str">
        <x:v>merged_1213</x:v>
      </x:c>
      <x:c r="D115" s="2" t="str">
        <x:v>Reviewer_A</x:v>
      </x:c>
      <x:c r="E115" s="2" t="str">
        <x:v>Reviewer_A</x:v>
      </x:c>
      <x:c r="F115" s="2" t="str">
        <x:v>S27-MU06</x:v>
      </x:c>
      <x:c r="G115" s="2" t="str">
        <x:v>S27-O02</x:v>
      </x:c>
      <x:c r="H115" s="2" t="str">
        <x:v>S27-T01</x:v>
      </x:c>
      <x:c r="I115" s="2" t="str">
        <x:v>GPT-4o (gpt-4o-2024-08-06)</x:v>
      </x:c>
      <x:c r="J115" s="2" t="str">
        <x:v>GPT-4o</x:v>
      </x:c>
      <x:c r="K115" s="2" t="str">
        <x:v>GPT</x:v>
      </x:c>
      <x:c r="L115" s="2" t="str">
        <x:v>gpt-4o-2024-08-06</x:v>
      </x:c>
      <x:c r="M115" s="2" t="str">
        <x:v>NR</x:v>
      </x:c>
      <x:c r="N115" s="2" t="str">
        <x:v>NR</x:v>
      </x:c>
      <x:c r="O115" s="2" t="str">
        <x:v>Closed</x:v>
      </x:c>
      <x:c r="P115" s="2" t="str">
        <x:v>API</x:v>
      </x:c>
      <x:c r="Q115" s="2" t="n">
        <x:v>0</x:v>
      </x:c>
      <x:c r="R115" s="2" t="n">
        <x:v>133742243</x:v>
      </x:c>
      <x:c r="S115" s="2" t="str">
        <x:v>NR</x:v>
      </x:c>
      <x:c r="T115" s="2" t="str">
        <x:v>NR</x:v>
      </x:c>
      <x:c r="U115" s="2" t="str">
        <x:v>API (OpenAI)</x:v>
      </x:c>
      <x:c r="V115" s="2" t="str">
        <x:v>NR</x:v>
      </x:c>
      <x:c r="W115" s="2" t="str">
        <x:v>No</x:v>
      </x:c>
      <x:c r="X115" s="2" t="str">
        <x:v>No</x:v>
      </x:c>
      <x:c r="Y115" s="6" t="str">
        <x:v>p. 7; Section IV-B and Section IV-E</x:v>
      </x:c>
      <x:c r="Z115" s="6" t="str">
        <x:v>we fixed the random seed and set the model temperature to 0. Our results are therefore dependent on the specific seed 133742243</x:v>
      </x:c>
      <x:c r="AA115" s="6" t="str">
        <x:v>GPT-4o是OpenAI的闭源模型，用于最终分类阶段。</x:v>
      </x:c>
      <x:c r="AB115" s="2" t="str">
        <x:v>Accepted</x:v>
      </x:c>
      <x:c r="AC115" s="6" t="str">
        <x:v>NA</x:v>
      </x:c>
    </x:row>
    <x:row r="116" ht="76" customHeight="1">
      <x:c r="A116" s="2" t="str">
        <x:v>S28-MODEL-R01</x:v>
      </x:c>
      <x:c r="B116" s="2" t="str">
        <x:v>S28</x:v>
      </x:c>
      <x:c r="C116" s="2" t="str">
        <x:v>merged_1214</x:v>
      </x:c>
      <x:c r="D116" s="2" t="str">
        <x:v>Reviewer_A</x:v>
      </x:c>
      <x:c r="E116" s="2" t="str">
        <x:v>Reviewer_A</x:v>
      </x:c>
      <x:c r="F116" s="2" t="str">
        <x:v>S28-MU01</x:v>
      </x:c>
      <x:c r="G116" s="2" t="str">
        <x:v>S28-O01</x:v>
      </x:c>
      <x:c r="H116" s="2" t="str">
        <x:v>S28-T02</x:v>
      </x:c>
      <x:c r="I116" s="2" t="str">
        <x:v>Llama 3</x:v>
      </x:c>
      <x:c r="J116" s="2" t="str">
        <x:v>Meta-Llama 3 70B Instruct</x:v>
      </x:c>
      <x:c r="K116" s="2" t="str">
        <x:v>Llama</x:v>
      </x:c>
      <x:c r="L116" s="2" t="str">
        <x:v>3 Instruct</x:v>
      </x:c>
      <x:c r="M116" s="2" t="str">
        <x:v>70B</x:v>
      </x:c>
      <x:c r="N116" s="2" t="str">
        <x:v>NR</x:v>
      </x:c>
      <x:c r="O116" s="2" t="str">
        <x:v>Open weights</x:v>
      </x:c>
      <x:c r="P116" s="2" t="str">
        <x:v>API</x:v>
      </x:c>
      <x:c r="Q116" s="2" t="str">
        <x:v>NR</x:v>
      </x:c>
      <x:c r="R116" s="2" t="str">
        <x:v>NR</x:v>
      </x:c>
      <x:c r="S116" s="2" t="str">
        <x:v>NR</x:v>
      </x:c>
      <x:c r="T116" s="2" t="str">
        <x:v>4096</x:v>
      </x:c>
      <x:c r="U116" s="2" t="str">
        <x:v>Anyscale API</x:v>
      </x:c>
      <x:c r="V116" s="2" t="str">
        <x:v>NA</x:v>
      </x:c>
      <x:c r="W116" s="2" t="str">
        <x:v>No</x:v>
      </x:c>
      <x:c r="X116" s="2" t="str">
        <x:v>No</x:v>
      </x:c>
      <x:c r="Y116" s="6" t="str">
        <x:v>p. 8; Section 4.1 Code Summary Generation</x:v>
      </x:c>
      <x:c r="Z116" s="6" t="str">
        <x:v>we use an LLM to generate the class docstring using the source code of the whole class. Note that all the subsequent prompts used in this paper are a result of rigorous prompt engineering</x:v>
      </x:c>
      <x:c r="AA116" s="6" t="str">
        <x:v>论文报告Llama 3；作者仓库将默认模型映射为meta-llama/Meta-Llama-3-70B-Instruct，并通过Anyscale API调用。</x:v>
      </x:c>
      <x:c r="AB116" s="2" t="str">
        <x:v>Accepted</x:v>
      </x:c>
      <x:c r="AC116" s="6" t="str">
        <x:v>Author repository: https://github.com/junaidiiith/nl2codeTrace (constants.py; api_models.py).</x:v>
      </x:c>
    </x:row>
    <x:row r="117" ht="76" customHeight="1">
      <x:c r="A117" s="2" t="str">
        <x:v>S28-MODEL-R02</x:v>
      </x:c>
      <x:c r="B117" s="2" t="str">
        <x:v>S28</x:v>
      </x:c>
      <x:c r="C117" s="2" t="str">
        <x:v>merged_1214</x:v>
      </x:c>
      <x:c r="D117" s="2" t="str">
        <x:v>Reviewer_A</x:v>
      </x:c>
      <x:c r="E117" s="2" t="str">
        <x:v>Reviewer_A</x:v>
      </x:c>
      <x:c r="F117" s="2" t="str">
        <x:v>S28-MU02</x:v>
      </x:c>
      <x:c r="G117" s="2" t="str">
        <x:v>S28-O02</x:v>
      </x:c>
      <x:c r="H117" s="2" t="str">
        <x:v>S28-T01</x:v>
      </x:c>
      <x:c r="I117" s="2" t="str">
        <x:v>Llama 3</x:v>
      </x:c>
      <x:c r="J117" s="2" t="str">
        <x:v>Meta-Llama 3 70B Instruct</x:v>
      </x:c>
      <x:c r="K117" s="2" t="str">
        <x:v>Llama</x:v>
      </x:c>
      <x:c r="L117" s="2" t="str">
        <x:v>3 Instruct</x:v>
      </x:c>
      <x:c r="M117" s="2" t="str">
        <x:v>70B</x:v>
      </x:c>
      <x:c r="N117" s="2" t="str">
        <x:v>NR</x:v>
      </x:c>
      <x:c r="O117" s="2" t="str">
        <x:v>Open weights</x:v>
      </x:c>
      <x:c r="P117" s="2" t="str">
        <x:v>API</x:v>
      </x:c>
      <x:c r="Q117" s="2" t="str">
        <x:v>NR</x:v>
      </x:c>
      <x:c r="R117" s="2" t="str">
        <x:v>NR</x:v>
      </x:c>
      <x:c r="S117" s="2" t="str">
        <x:v>NR</x:v>
      </x:c>
      <x:c r="T117" s="2" t="str">
        <x:v>4096</x:v>
      </x:c>
      <x:c r="U117" s="2" t="str">
        <x:v>Anyscale API</x:v>
      </x:c>
      <x:c r="V117" s="2" t="str">
        <x:v>NA</x:v>
      </x:c>
      <x:c r="W117" s="2" t="str">
        <x:v>No</x:v>
      </x:c>
      <x:c r="X117" s="2" t="str">
        <x:v>No</x:v>
      </x:c>
      <x:c r="Y117" s="6" t="str">
        <x:v>p. 10; Section 4.2 second paragraph</x:v>
      </x:c>
      <x:c r="Z117" s="6" t="str">
        <x:v>We use LLM to generate these similar requirements</x:v>
      </x:c>
      <x:c r="AA117" s="6" t="str">
        <x:v>论文报告Llama 3；作者仓库将默认模型映射为meta-llama/Meta-Llama-3-70B-Instruct，并通过Anyscale API调用。</x:v>
      </x:c>
      <x:c r="AB117" s="2" t="str">
        <x:v>Accepted</x:v>
      </x:c>
      <x:c r="AC117" s="6" t="str">
        <x:v>Author repository: https://github.com/junaidiiith/nl2codeTrace (constants.py; api_models.py).</x:v>
      </x:c>
    </x:row>
    <x:row r="118" ht="76" customHeight="1">
      <x:c r="A118" s="2" t="str">
        <x:v>S28-MODEL-R03</x:v>
      </x:c>
      <x:c r="B118" s="2" t="str">
        <x:v>S28</x:v>
      </x:c>
      <x:c r="C118" s="2" t="str">
        <x:v>merged_1214</x:v>
      </x:c>
      <x:c r="D118" s="2" t="str">
        <x:v>Reviewer_A</x:v>
      </x:c>
      <x:c r="E118" s="2" t="str">
        <x:v>Reviewer_A</x:v>
      </x:c>
      <x:c r="F118" s="2" t="str">
        <x:v>S28-MU03</x:v>
      </x:c>
      <x:c r="G118" s="2" t="str">
        <x:v>S28-O03</x:v>
      </x:c>
      <x:c r="H118" s="2" t="str">
        <x:v>S28-T01</x:v>
      </x:c>
      <x:c r="I118" s="2" t="str">
        <x:v>Llama 3</x:v>
      </x:c>
      <x:c r="J118" s="2" t="str">
        <x:v>Meta-Llama 3 70B Instruct</x:v>
      </x:c>
      <x:c r="K118" s="2" t="str">
        <x:v>Llama</x:v>
      </x:c>
      <x:c r="L118" s="2" t="str">
        <x:v>3 Instruct</x:v>
      </x:c>
      <x:c r="M118" s="2" t="str">
        <x:v>70B</x:v>
      </x:c>
      <x:c r="N118" s="2" t="str">
        <x:v>NR</x:v>
      </x:c>
      <x:c r="O118" s="2" t="str">
        <x:v>Open weights</x:v>
      </x:c>
      <x:c r="P118" s="2" t="str">
        <x:v>API</x:v>
      </x:c>
      <x:c r="Q118" s="2" t="str">
        <x:v>NR</x:v>
      </x:c>
      <x:c r="R118" s="2" t="str">
        <x:v>NR</x:v>
      </x:c>
      <x:c r="S118" s="2" t="str">
        <x:v>NR</x:v>
      </x:c>
      <x:c r="T118" s="2" t="str">
        <x:v>4096</x:v>
      </x:c>
      <x:c r="U118" s="2" t="str">
        <x:v>Anyscale API</x:v>
      </x:c>
      <x:c r="V118" s="2" t="str">
        <x:v>NA</x:v>
      </x:c>
      <x:c r="W118" s="2" t="str">
        <x:v>No</x:v>
      </x:c>
      <x:c r="X118" s="2" t="str">
        <x:v>No</x:v>
      </x:c>
      <x:c r="Y118" s="6" t="str">
        <x:v>p. 15; and Section 4.2 and Section 6</x:v>
      </x:c>
      <x:c r="Z118" s="6" t="str">
        <x:v>maximum allowed prompt length for an LLM (e.g., 4096 tokens for Llama 3)</x:v>
      </x:c>
      <x:c r="AA118" s="6" t="str">
        <x:v>论文报告Llama 3；作者仓库将默认模型映射为meta-llama/Meta-Llama-3-70B-Instruct，并通过Anyscale API调用。</x:v>
      </x:c>
      <x:c r="AB118" s="2" t="str">
        <x:v>Accepted</x:v>
      </x:c>
      <x:c r="AC118" s="6" t="str">
        <x:v>Author repository: https://github.com/junaidiiith/nl2codeTrace (constants.py; api_models.py).</x:v>
      </x:c>
    </x:row>
    <x:row r="119" ht="76" customHeight="1">
      <x:c r="A119" s="2" t="str">
        <x:v>S29-MODEL-R01</x:v>
      </x:c>
      <x:c r="B119" s="2" t="str">
        <x:v>S29</x:v>
      </x:c>
      <x:c r="C119" s="2" t="str">
        <x:v>merged_1215-v4</x:v>
      </x:c>
      <x:c r="D119" s="2" t="str">
        <x:v>Reviewer_A</x:v>
      </x:c>
      <x:c r="E119" s="2" t="str">
        <x:v>Reviewer_A</x:v>
      </x:c>
      <x:c r="F119" s="2" t="str">
        <x:v>S29-MU01</x:v>
      </x:c>
      <x:c r="G119" s="2" t="str">
        <x:v>S29-O01</x:v>
      </x:c>
      <x:c r="H119" s="2" t="str">
        <x:v>S29-T01</x:v>
      </x:c>
      <x:c r="I119" s="2" t="str">
        <x:v>Claude 3.5 Sonnet</x:v>
      </x:c>
      <x:c r="J119" s="2" t="str">
        <x:v>Claude 3.5 Sonnet</x:v>
      </x:c>
      <x:c r="K119" s="2" t="str">
        <x:v>Claude</x:v>
      </x:c>
      <x:c r="L119" s="2" t="str">
        <x:v>NR</x:v>
      </x:c>
      <x:c r="M119" s="2" t="str">
        <x:v>NR</x:v>
      </x:c>
      <x:c r="N119" s="2" t="str">
        <x:v>NR</x:v>
      </x:c>
      <x:c r="O119" s="2" t="str">
        <x:v>Closed</x:v>
      </x:c>
      <x:c r="P119" s="2" t="str">
        <x:v>API</x:v>
      </x:c>
      <x:c r="Q119" s="2" t="n">
        <x:v>0</x:v>
      </x:c>
      <x:c r="R119" s="2" t="str">
        <x:v>NR</x:v>
      </x:c>
      <x:c r="S119" s="2" t="n">
        <x:v>1</x:v>
      </x:c>
      <x:c r="T119" s="2" t="str">
        <x:v>NR</x:v>
      </x:c>
      <x:c r="U119" s="2" t="str">
        <x:v>Amazon Bedrock 服务</x:v>
      </x:c>
      <x:c r="V119" s="2" t="str">
        <x:v>NR</x:v>
      </x:c>
      <x:c r="W119" s="2" t="str">
        <x:v>No</x:v>
      </x:c>
      <x:c r="X119" s="2" t="str">
        <x:v>No</x:v>
      </x:c>
      <x:c r="Y119" s="6" t="str">
        <x:v>p. 19; Section 5.2</x:v>
      </x:c>
      <x:c r="Z119" s="6" t="str">
        <x:v>Claude 3.5 Sonnet with RAG achieved the best performance in requirements traceability validation</x:v>
      </x:c>
      <x:c r="AA119" s="6" t="str">
        <x:v>TVR验证任务使用Claude 3.5 Sonnet作为分类器，温度设为0，通过Amazon Bedrock API调用。</x:v>
      </x:c>
      <x:c r="AB119" s="2" t="str">
        <x:v>Accepted</x:v>
      </x:c>
      <x:c r="AC119" s="6" t="str">
        <x:v>Temperature证据来自p.14 “A temperature of 0 was applied to all LLMs”。重复次数未明确说明，但leave-one-out每个测试用例运行一次。</x:v>
      </x:c>
    </x:row>
    <x:row r="120" ht="76" customHeight="1">
      <x:c r="A120" s="2" t="str">
        <x:v>S29-MODEL-R02</x:v>
      </x:c>
      <x:c r="B120" s="2" t="str">
        <x:v>S29</x:v>
      </x:c>
      <x:c r="C120" s="2" t="str">
        <x:v>merged_1215-v4</x:v>
      </x:c>
      <x:c r="D120" s="2" t="str">
        <x:v>Reviewer_A</x:v>
      </x:c>
      <x:c r="E120" s="2" t="str">
        <x:v>Reviewer_A</x:v>
      </x:c>
      <x:c r="F120" s="2" t="str">
        <x:v>S29-MU02</x:v>
      </x:c>
      <x:c r="G120" s="2" t="str">
        <x:v>S29-O02</x:v>
      </x:c>
      <x:c r="H120" s="2" t="str">
        <x:v>S29-T02</x:v>
      </x:c>
      <x:c r="I120" s="2" t="str">
        <x:v>Claude 3.5 Sonnet</x:v>
      </x:c>
      <x:c r="J120" s="2" t="str">
        <x:v>Claude 3.5 Sonnet</x:v>
      </x:c>
      <x:c r="K120" s="2" t="str">
        <x:v>Claude</x:v>
      </x:c>
      <x:c r="L120" s="2" t="str">
        <x:v>NR</x:v>
      </x:c>
      <x:c r="M120" s="2" t="str">
        <x:v>NR</x:v>
      </x:c>
      <x:c r="N120" s="2" t="str">
        <x:v>NR</x:v>
      </x:c>
      <x:c r="O120" s="2" t="str">
        <x:v>Closed</x:v>
      </x:c>
      <x:c r="P120" s="2" t="str">
        <x:v>API</x:v>
      </x:c>
      <x:c r="Q120" s="2" t="n">
        <x:v>0</x:v>
      </x:c>
      <x:c r="R120" s="2" t="str">
        <x:v>NR</x:v>
      </x:c>
      <x:c r="S120" s="2" t="n">
        <x:v>1</x:v>
      </x:c>
      <x:c r="T120" s="2" t="str">
        <x:v>NR</x:v>
      </x:c>
      <x:c r="U120" s="2" t="str">
        <x:v>Amazon Bedrock 服务</x:v>
      </x:c>
      <x:c r="V120" s="2" t="str">
        <x:v>NR</x:v>
      </x:c>
      <x:c r="W120" s="2" t="str">
        <x:v>No</x:v>
      </x:c>
      <x:c r="X120" s="2" t="str">
        <x:v>No</x:v>
      </x:c>
      <x:c r="Y120" s="6" t="str">
        <x:v>p. 21; Section 5.4</x:v>
      </x:c>
      <x:c r="Z120" s="6" t="str">
        <x:v>TVR achieves an 85.50% correctness in recovering missing links</x:v>
      </x:c>
      <x:c r="AA120" s="6" t="str">
        <x:v>TVR恢复任务使用相同的Claude 3.5 Sonnet模型，配置与验证任务一致。</x:v>
      </x:c>
      <x:c r="AB120" s="2" t="str">
        <x:v>Accepted</x:v>
      </x:c>
      <x:c r="AC120" s="6" t="str">
        <x:v>同M1。</x:v>
      </x:c>
    </x:row>
    <x:row r="121" ht="76" customHeight="1">
      <x:c r="A121" s="2" t="str">
        <x:v>S30-MODEL-R01</x:v>
      </x:c>
      <x:c r="B121" s="2" t="str">
        <x:v>S30</x:v>
      </x:c>
      <x:c r="C121" s="2" t="str">
        <x:v>merged_1218</x:v>
      </x:c>
      <x:c r="D121" s="2" t="str">
        <x:v>Reviewer_A</x:v>
      </x:c>
      <x:c r="E121" s="2" t="str">
        <x:v>Reviewer_A</x:v>
      </x:c>
      <x:c r="F121" s="2" t="str">
        <x:v>S30-MU01</x:v>
      </x:c>
      <x:c r="G121" s="2" t="str">
        <x:v>S30-O03</x:v>
      </x:c>
      <x:c r="H121" s="2" t="str">
        <x:v>S30-T01</x:v>
      </x:c>
      <x:c r="I121" s="2" t="str">
        <x:v>Llama3.1 (8B)</x:v>
      </x:c>
      <x:c r="J121" s="2" t="str">
        <x:v>Meta Llama 3.1 8B</x:v>
      </x:c>
      <x:c r="K121" s="2" t="str">
        <x:v>Llama</x:v>
      </x:c>
      <x:c r="L121" s="2" t="str">
        <x:v>3.1</x:v>
      </x:c>
      <x:c r="M121" s="2" t="str">
        <x:v>8B</x:v>
      </x:c>
      <x:c r="N121" s="2" t="str">
        <x:v>NR</x:v>
      </x:c>
      <x:c r="O121" s="2" t="str">
        <x:v>Open weights</x:v>
      </x:c>
      <x:c r="P121" s="2" t="str">
        <x:v>Local</x:v>
      </x:c>
      <x:c r="Q121" s="2" t="n">
        <x:v>0</x:v>
      </x:c>
      <x:c r="R121" s="2" t="str">
        <x:v>NR</x:v>
      </x:c>
      <x:c r="S121" s="2" t="str">
        <x:v>NR</x:v>
      </x:c>
      <x:c r="T121" s="2" t="str">
        <x:v>NR</x:v>
      </x:c>
      <x:c r="U121" s="2" t="str">
        <x:v>Local via Ollama</x:v>
      </x:c>
      <x:c r="V121" s="2" t="str">
        <x:v>NR</x:v>
      </x:c>
      <x:c r="W121" s="2" t="str">
        <x:v>No</x:v>
      </x:c>
      <x:c r="X121" s="2" t="str">
        <x:v>No</x:v>
      </x:c>
      <x:c r="Y121" s="6" t="str">
        <x:v>p. 4; Section III-D</x:v>
      </x:c>
      <x:c r="Z121" s="6" t="str">
        <x:v>We use Ollama to host a local instance of Llama 3.1 due to sensitive and confidential data. In our implementation, we integrate Meta’s Llama3.1 (8B, the temperature is set to 0 to maximize determinism for both use cases)</x:v>
      </x:c>
      <x:c r="AA121" s="6" t="str">
        <x:v>在入职用例中，查询生成步骤使用了本地部署的Llama 3.1 8B模型</x:v>
      </x:c>
      <x:c r="AB121" s="2" t="str">
        <x:v>Accepted</x:v>
      </x:c>
      <x:c r="AC121" s="6" t="str">
        <x:v>NA</x:v>
      </x:c>
    </x:row>
    <x:row r="122" ht="76" customHeight="1">
      <x:c r="A122" s="2" t="str">
        <x:v>S30-MODEL-R02</x:v>
      </x:c>
      <x:c r="B122" s="2" t="str">
        <x:v>S30</x:v>
      </x:c>
      <x:c r="C122" s="2" t="str">
        <x:v>merged_1218</x:v>
      </x:c>
      <x:c r="D122" s="2" t="str">
        <x:v>Reviewer_A</x:v>
      </x:c>
      <x:c r="E122" s="2" t="str">
        <x:v>Reviewer_A</x:v>
      </x:c>
      <x:c r="F122" s="2" t="str">
        <x:v>S30-MU02</x:v>
      </x:c>
      <x:c r="G122" s="2" t="str">
        <x:v>S30-O04</x:v>
      </x:c>
      <x:c r="H122" s="2" t="str">
        <x:v>S30-T01</x:v>
      </x:c>
      <x:c r="I122" s="2" t="str">
        <x:v>Llama3.1 (8B)</x:v>
      </x:c>
      <x:c r="J122" s="2" t="str">
        <x:v>Meta Llama 3.1 8B</x:v>
      </x:c>
      <x:c r="K122" s="2" t="str">
        <x:v>Llama</x:v>
      </x:c>
      <x:c r="L122" s="2" t="str">
        <x:v>3.1</x:v>
      </x:c>
      <x:c r="M122" s="2" t="str">
        <x:v>8B</x:v>
      </x:c>
      <x:c r="N122" s="2" t="str">
        <x:v>NR</x:v>
      </x:c>
      <x:c r="O122" s="2" t="str">
        <x:v>Open weights</x:v>
      </x:c>
      <x:c r="P122" s="2" t="str">
        <x:v>Local</x:v>
      </x:c>
      <x:c r="Q122" s="2" t="n">
        <x:v>0</x:v>
      </x:c>
      <x:c r="R122" s="2" t="str">
        <x:v>NR</x:v>
      </x:c>
      <x:c r="S122" s="2" t="str">
        <x:v>NR</x:v>
      </x:c>
      <x:c r="T122" s="2" t="str">
        <x:v>NR</x:v>
      </x:c>
      <x:c r="U122" s="2" t="str">
        <x:v>Local via Ollama</x:v>
      </x:c>
      <x:c r="V122" s="2" t="str">
        <x:v>NR</x:v>
      </x:c>
      <x:c r="W122" s="2" t="str">
        <x:v>No</x:v>
      </x:c>
      <x:c r="X122" s="2" t="str">
        <x:v>No</x:v>
      </x:c>
      <x:c r="Y122" s="6" t="str">
        <x:v>p. 4; Section III-D</x:v>
      </x:c>
      <x:c r="Z122" s="6" t="str">
        <x:v>We use Ollama to host a local instance of Llama 3.1 due to sensitive and confidential data. In our implementation, we integrate Meta’s Llama3.1 (8B, the temperature is set to 0 to maximize determinism for both use cases)</x:v>
      </x:c>
      <x:c r="AA122" s="6" t="str">
        <x:v>在入职用例中，自然语言响应生成步骤同样使用同一本地模型</x:v>
      </x:c>
      <x:c r="AB122" s="2" t="str">
        <x:v>Accepted</x:v>
      </x:c>
      <x:c r="AC122" s="6" t="str">
        <x:v>NA</x:v>
      </x:c>
    </x:row>
    <x:row r="123" ht="76" customHeight="1">
      <x:c r="A123" s="2" t="str">
        <x:v>S30-MODEL-R03</x:v>
      </x:c>
      <x:c r="B123" s="2" t="str">
        <x:v>S30</x:v>
      </x:c>
      <x:c r="C123" s="2" t="str">
        <x:v>merged_1218</x:v>
      </x:c>
      <x:c r="D123" s="2" t="str">
        <x:v>Reviewer_A</x:v>
      </x:c>
      <x:c r="E123" s="2" t="str">
        <x:v>Reviewer_A</x:v>
      </x:c>
      <x:c r="F123" s="2" t="str">
        <x:v>S30-MU03</x:v>
      </x:c>
      <x:c r="G123" s="2" t="str">
        <x:v>S30-O03</x:v>
      </x:c>
      <x:c r="H123" s="2" t="str">
        <x:v>S30-T02</x:v>
      </x:c>
      <x:c r="I123" s="2" t="str">
        <x:v>Llama3.1 (8B)</x:v>
      </x:c>
      <x:c r="J123" s="2" t="str">
        <x:v>Meta Llama 3.1 8B</x:v>
      </x:c>
      <x:c r="K123" s="2" t="str">
        <x:v>Llama</x:v>
      </x:c>
      <x:c r="L123" s="2" t="str">
        <x:v>3.1</x:v>
      </x:c>
      <x:c r="M123" s="2" t="str">
        <x:v>8B</x:v>
      </x:c>
      <x:c r="N123" s="2" t="str">
        <x:v>NR</x:v>
      </x:c>
      <x:c r="O123" s="2" t="str">
        <x:v>Open weights</x:v>
      </x:c>
      <x:c r="P123" s="2" t="str">
        <x:v>Local</x:v>
      </x:c>
      <x:c r="Q123" s="2" t="n">
        <x:v>0</x:v>
      </x:c>
      <x:c r="R123" s="2" t="str">
        <x:v>NR</x:v>
      </x:c>
      <x:c r="S123" s="2" t="str">
        <x:v>NR</x:v>
      </x:c>
      <x:c r="T123" s="2" t="str">
        <x:v>NR</x:v>
      </x:c>
      <x:c r="U123" s="2" t="str">
        <x:v>Local via Ollama</x:v>
      </x:c>
      <x:c r="V123" s="2" t="str">
        <x:v>NR</x:v>
      </x:c>
      <x:c r="W123" s="2" t="str">
        <x:v>No</x:v>
      </x:c>
      <x:c r="X123" s="2" t="str">
        <x:v>No</x:v>
      </x:c>
      <x:c r="Y123" s="6" t="str">
        <x:v>p. 4; Section III-D</x:v>
      </x:c>
      <x:c r="Z123" s="6" t="str">
        <x:v>We use Ollama to host a local instance of Llama 3.1 due to sensitive and confidential data. In our implementation, we integrate Meta’s Llama3.1 (8B, the temperature is set to 0 to maximize determinism for both use cases)</x:v>
      </x:c>
      <x:c r="AA123" s="6" t="str">
        <x:v>在TLR用例中，查询生成步骤使用同一本地模型</x:v>
      </x:c>
      <x:c r="AB123" s="2" t="str">
        <x:v>Accepted</x:v>
      </x:c>
      <x:c r="AC123" s="6" t="str">
        <x:v>NA</x:v>
      </x:c>
    </x:row>
    <x:row r="124" ht="76" customHeight="1">
      <x:c r="A124" s="2" t="str">
        <x:v>S30-MODEL-R04</x:v>
      </x:c>
      <x:c r="B124" s="2" t="str">
        <x:v>S30</x:v>
      </x:c>
      <x:c r="C124" s="2" t="str">
        <x:v>merged_1218</x:v>
      </x:c>
      <x:c r="D124" s="2" t="str">
        <x:v>Reviewer_A</x:v>
      </x:c>
      <x:c r="E124" s="2" t="str">
        <x:v>Reviewer_A</x:v>
      </x:c>
      <x:c r="F124" s="2" t="str">
        <x:v>S30-MU04</x:v>
      </x:c>
      <x:c r="G124" s="2" t="str">
        <x:v>S30-O04</x:v>
      </x:c>
      <x:c r="H124" s="2" t="str">
        <x:v>S30-T02</x:v>
      </x:c>
      <x:c r="I124" s="2" t="str">
        <x:v>Llama3.1 (8B)</x:v>
      </x:c>
      <x:c r="J124" s="2" t="str">
        <x:v>Meta Llama 3.1 8B</x:v>
      </x:c>
      <x:c r="K124" s="2" t="str">
        <x:v>Llama</x:v>
      </x:c>
      <x:c r="L124" s="2" t="str">
        <x:v>3.1</x:v>
      </x:c>
      <x:c r="M124" s="2" t="str">
        <x:v>8B</x:v>
      </x:c>
      <x:c r="N124" s="2" t="str">
        <x:v>NR</x:v>
      </x:c>
      <x:c r="O124" s="2" t="str">
        <x:v>Open weights</x:v>
      </x:c>
      <x:c r="P124" s="2" t="str">
        <x:v>Local</x:v>
      </x:c>
      <x:c r="Q124" s="2" t="n">
        <x:v>0</x:v>
      </x:c>
      <x:c r="R124" s="2" t="str">
        <x:v>NR</x:v>
      </x:c>
      <x:c r="S124" s="2" t="str">
        <x:v>NR</x:v>
      </x:c>
      <x:c r="T124" s="2" t="str">
        <x:v>NR</x:v>
      </x:c>
      <x:c r="U124" s="2" t="str">
        <x:v>Local via Ollama</x:v>
      </x:c>
      <x:c r="V124" s="2" t="str">
        <x:v>NR</x:v>
      </x:c>
      <x:c r="W124" s="2" t="str">
        <x:v>No</x:v>
      </x:c>
      <x:c r="X124" s="2" t="str">
        <x:v>No</x:v>
      </x:c>
      <x:c r="Y124" s="6" t="str">
        <x:v>p. 4; Section III-D</x:v>
      </x:c>
      <x:c r="Z124" s="6" t="str">
        <x:v>We use Ollama to host a local instance of Llama 3.1 due to sensitive and confidential data. In our implementation, we integrate Meta’s Llama3.1 (8B, the temperature is set to 0 to maximize determinism for both use cases)</x:v>
      </x:c>
      <x:c r="AA124" s="6" t="str">
        <x:v>在TLR用例中，自然语言响应生成步骤使用同一本地模型</x:v>
      </x:c>
      <x:c r="AB124" s="2" t="str">
        <x:v>Accepted</x:v>
      </x:c>
      <x:c r="AC124" s="6" t="str">
        <x:v>NA</x:v>
      </x:c>
    </x:row>
    <x:row r="125" ht="76" customHeight="1">
      <x:c r="A125" s="2" t="str">
        <x:v>S31-MODEL-R01</x:v>
      </x:c>
      <x:c r="B125" s="2" t="str">
        <x:v>S31</x:v>
      </x:c>
      <x:c r="C125" s="2" t="str">
        <x:v>merged_1219</x:v>
      </x:c>
      <x:c r="D125" s="2" t="str">
        <x:v>Reviewer_A</x:v>
      </x:c>
      <x:c r="E125" s="2" t="str">
        <x:v>Reviewer_A</x:v>
      </x:c>
      <x:c r="F125" s="2" t="str">
        <x:v>S31-MU01</x:v>
      </x:c>
      <x:c r="G125" s="2" t="str">
        <x:v>S31-O01</x:v>
      </x:c>
      <x:c r="H125" s="2" t="str">
        <x:v>S31-T01</x:v>
      </x:c>
      <x:c r="I125" s="2" t="str">
        <x:v>LLaMA 2</x:v>
      </x:c>
      <x:c r="J125" s="2" t="str">
        <x:v>Llama 2</x:v>
      </x:c>
      <x:c r="K125" s="2" t="str">
        <x:v>Llama</x:v>
      </x:c>
      <x:c r="L125" s="2" t="str">
        <x:v>2</x:v>
      </x:c>
      <x:c r="M125" s="2" t="str">
        <x:v>NR</x:v>
      </x:c>
      <x:c r="N125" s="2" t="str">
        <x:v>NR</x:v>
      </x:c>
      <x:c r="O125" s="2" t="str">
        <x:v>Open weights</x:v>
      </x:c>
      <x:c r="P125" s="2" t="str">
        <x:v>Local</x:v>
      </x:c>
      <x:c r="Q125" s="2" t="str">
        <x:v>NR</x:v>
      </x:c>
      <x:c r="R125" s="2" t="str">
        <x:v>NR</x:v>
      </x:c>
      <x:c r="S125" s="2" t="str">
        <x:v>NR</x:v>
      </x:c>
      <x:c r="T125" s="2" t="str">
        <x:v>NR</x:v>
      </x:c>
      <x:c r="U125" s="2" t="str">
        <x:v>On-premise</x:v>
      </x:c>
      <x:c r="V125" s="2" t="str">
        <x:v>NR</x:v>
      </x:c>
      <x:c r="W125" s="2" t="str">
        <x:v>No</x:v>
      </x:c>
      <x:c r="X125" s="2" t="str">
        <x:v>No</x:v>
      </x:c>
      <x:c r="Y125" s="6" t="str">
        <x:v>p. 3; Section III-B, Prototype Design</x:v>
      </x:c>
      <x:c r="Z125" s="6" t="str">
        <x:v>a locally hosted LLaMA2 model</x:v>
      </x:c>
      <x:c r="AA125" s="6" t="str">
        <x:v>原型明确支持本地部署的LLaMA 2；论文未报告参数规模。</x:v>
      </x:c>
      <x:c r="AB125" s="2" t="str">
        <x:v>Accepted</x:v>
      </x:c>
      <x:c r="AC125" s="6" t="str">
        <x:v>The article identifies LLaMA 2 but does not distinguish a parameter-size variant.</x:v>
      </x:c>
    </x:row>
    <x:row r="126" ht="76" customHeight="1">
      <x:c r="A126" s="2" t="str">
        <x:v>S31-MODEL-R02</x:v>
      </x:c>
      <x:c r="B126" s="2" t="str">
        <x:v>S31</x:v>
      </x:c>
      <x:c r="C126" s="2" t="str">
        <x:v>merged_1219</x:v>
      </x:c>
      <x:c r="D126" s="2" t="str">
        <x:v>Reviewer_A</x:v>
      </x:c>
      <x:c r="E126" s="2" t="str">
        <x:v>Reviewer_A</x:v>
      </x:c>
      <x:c r="F126" s="2" t="str">
        <x:v>S31-MU02</x:v>
      </x:c>
      <x:c r="G126" s="2" t="str">
        <x:v>S31-O01</x:v>
      </x:c>
      <x:c r="H126" s="2" t="str">
        <x:v>S31-T01</x:v>
      </x:c>
      <x:c r="I126" s="2" t="str">
        <x:v>OpenAI's GPT API</x:v>
      </x:c>
      <x:c r="J126" s="2" t="str">
        <x:v>OpenAI GPT-4o mini</x:v>
      </x:c>
      <x:c r="K126" s="2" t="str">
        <x:v>GPT</x:v>
      </x:c>
      <x:c r="L126" s="2" t="str">
        <x:v>GPT-4o mini</x:v>
      </x:c>
      <x:c r="M126" s="2" t="str">
        <x:v>NR</x:v>
      </x:c>
      <x:c r="N126" s="2" t="str">
        <x:v>NR</x:v>
      </x:c>
      <x:c r="O126" s="2" t="str">
        <x:v>Closed</x:v>
      </x:c>
      <x:c r="P126" s="2" t="str">
        <x:v>API</x:v>
      </x:c>
      <x:c r="Q126" s="2" t="str">
        <x:v>NR</x:v>
      </x:c>
      <x:c r="R126" s="2" t="str">
        <x:v>NR</x:v>
      </x:c>
      <x:c r="S126" s="2" t="str">
        <x:v>NR</x:v>
      </x:c>
      <x:c r="T126" s="2" t="str">
        <x:v>NR</x:v>
      </x:c>
      <x:c r="U126" s="2" t="str">
        <x:v>Cloud API</x:v>
      </x:c>
      <x:c r="V126" s="2" t="str">
        <x:v>NR</x:v>
      </x:c>
      <x:c r="W126" s="2" t="str">
        <x:v>No</x:v>
      </x:c>
      <x:c r="X126" s="2" t="str">
        <x:v>No</x:v>
      </x:c>
      <x:c r="Y126" s="6" t="str">
        <x:v>Paper p. 3, Section III-B; supporting master's thesis Sections 3.2 and 3.4; CrewAI source snapshot, 2025-03-31</x:v>
      </x:c>
      <x:c r="Z126" s="6" t="str">
        <x:v>cloud-based operation through OpenAI's GPT API</x:v>
      </x:c>
      <x:c r="AA126" s="6" t="str">
        <x:v>正文仅报告OpenAI GPT API。该原型基于CrewAI，相关硕士论文将CrewAI资料标注为2025年3月；CrewAI在2025-03-31的源码默认模型为gpt-4o-mini。据此将云端后端判定为GPT-4o mini。</x:v>
      </x:c>
      <x:c r="AB126" s="2" t="str">
        <x:v>Accepted</x:v>
      </x:c>
      <x:c r="AC126" s="6" t="str">
        <x:v>Time- and framework-matched inference. Supporting thesis: https://www.pi.uni-hannover.de/fileadmin/pi/se/Stud-Arbeiten/2025/MA-Schuering-2025.pdf. CrewAI snapshot 3c2435030606da5c1c199bfa19d158ab669ffb2d sets DEFAULT_LLM_MODEL='gpt-4o-mini'. The article itself reports only the OpenAI GPT API.</x:v>
      </x:c>
    </x:row>
    <x:row r="127" ht="76" customHeight="1">
      <x:c r="A127" s="2" t="str">
        <x:v>S31-MODEL-R03</x:v>
      </x:c>
      <x:c r="B127" s="2" t="str">
        <x:v>S31</x:v>
      </x:c>
      <x:c r="C127" s="2" t="str">
        <x:v>merged_1219</x:v>
      </x:c>
      <x:c r="D127" s="2" t="str">
        <x:v>Reviewer_A</x:v>
      </x:c>
      <x:c r="E127" s="2" t="str">
        <x:v>Reviewer_A</x:v>
      </x:c>
      <x:c r="F127" s="2" t="str">
        <x:v>S31-MU03</x:v>
      </x:c>
      <x:c r="G127" s="2" t="str">
        <x:v>S31-O05</x:v>
      </x:c>
      <x:c r="H127" s="2" t="str">
        <x:v>S31-T01</x:v>
      </x:c>
      <x:c r="I127" s="2" t="str">
        <x:v>Independent LLM agent</x:v>
      </x:c>
      <x:c r="J127" s="2" t="str">
        <x:v>Unclear</x:v>
      </x:c>
      <x:c r="K127" s="2" t="str">
        <x:v>Unclear</x:v>
      </x:c>
      <x:c r="L127" s="2" t="str">
        <x:v>NR</x:v>
      </x:c>
      <x:c r="M127" s="2" t="str">
        <x:v>NR</x:v>
      </x:c>
      <x:c r="N127" s="2" t="str">
        <x:v>NR</x:v>
      </x:c>
      <x:c r="O127" s="2" t="str">
        <x:v>Unclear</x:v>
      </x:c>
      <x:c r="P127" s="2" t="str">
        <x:v>Unclear</x:v>
      </x:c>
      <x:c r="Q127" s="2" t="str">
        <x:v>NR</x:v>
      </x:c>
      <x:c r="R127" s="2" t="str">
        <x:v>NR</x:v>
      </x:c>
      <x:c r="S127" s="2" t="str">
        <x:v>NR</x:v>
      </x:c>
      <x:c r="T127" s="2" t="str">
        <x:v>NR</x:v>
      </x:c>
      <x:c r="U127" s="2" t="str">
        <x:v>Unclear</x:v>
      </x:c>
      <x:c r="V127" s="2" t="str">
        <x:v>NR</x:v>
      </x:c>
      <x:c r="W127" s="2" t="str">
        <x:v>No</x:v>
      </x:c>
      <x:c r="X127" s="2" t="str">
        <x:v>No</x:v>
      </x:c>
      <x:c r="Y127" s="6" t="str">
        <x:v>p. 3; Section V</x:v>
      </x:c>
      <x:c r="Z127" s="6" t="str">
        <x:v>quiz generated by an independent LLM agent</x:v>
      </x:c>
      <x:c r="AA127" s="6" t="str">
        <x:v>用于实验的独立LLM代理生成测验，但模型家族、部署方式等完全未报道</x:v>
      </x:c>
      <x:c r="AB127" s="2" t="str">
        <x:v>Accepted</x:v>
      </x:c>
      <x:c r="AC127" s="6" t="str">
        <x:v>仅评估用途，细节缺失</x:v>
      </x:c>
    </x:row>
    <x:row r="128" ht="76" customHeight="1">
      <x:c r="A128" s="2" t="str">
        <x:v>S32-MODEL-R01</x:v>
      </x:c>
      <x:c r="B128" s="2" t="str">
        <x:v>S32</x:v>
      </x:c>
      <x:c r="C128" s="2" t="str">
        <x:v>merged_1220</x:v>
      </x:c>
      <x:c r="D128" s="2" t="str">
        <x:v>Reviewer_A</x:v>
      </x:c>
      <x:c r="E128" s="2" t="str">
        <x:v>Reviewer_A</x:v>
      </x:c>
      <x:c r="F128" s="2" t="str">
        <x:v>S32-MU01</x:v>
      </x:c>
      <x:c r="G128" s="2" t="str">
        <x:v>S32-O01</x:v>
      </x:c>
      <x:c r="H128" s="2" t="str">
        <x:v>S32-T01</x:v>
      </x:c>
      <x:c r="I128" s="2" t="str">
        <x:v>LLMs</x:v>
      </x:c>
      <x:c r="J128" s="2" t="str">
        <x:v>NR</x:v>
      </x:c>
      <x:c r="K128" s="2" t="str">
        <x:v>NR</x:v>
      </x:c>
      <x:c r="L128" s="2" t="str">
        <x:v>NR</x:v>
      </x:c>
      <x:c r="M128" s="2" t="str">
        <x:v>NR</x:v>
      </x:c>
      <x:c r="N128" s="2" t="str">
        <x:v>NR</x:v>
      </x:c>
      <x:c r="O128" s="2" t="str">
        <x:v>NR</x:v>
      </x:c>
      <x:c r="P128" s="2" t="str">
        <x:v>NR</x:v>
      </x:c>
      <x:c r="Q128" s="2" t="str">
        <x:v>NR</x:v>
      </x:c>
      <x:c r="R128" s="2" t="str">
        <x:v>NR</x:v>
      </x:c>
      <x:c r="S128" s="2" t="str">
        <x:v>NR</x:v>
      </x:c>
      <x:c r="T128" s="2" t="str">
        <x:v>NR</x:v>
      </x:c>
      <x:c r="U128" s="2" t="str">
        <x:v>NR</x:v>
      </x:c>
      <x:c r="V128" s="2" t="str">
        <x:v>NR</x:v>
      </x:c>
      <x:c r="W128" s="2" t="str">
        <x:v>No</x:v>
      </x:c>
      <x:c r="X128" s="2" t="str">
        <x:v>No</x:v>
      </x:c>
      <x:c r="Y128" s="6" t="str">
        <x:v>p. 4; section IV.A</x:v>
      </x:c>
      <x:c r="Z128" s="6" t="str">
        <x:v>We use a domain-specific metamodel and prompt engineering to guide LLMs in extracting semantic elements</x:v>
      </x:c>
      <x:c r="AA128" s="6" t="str">
        <x:v>论文未指明具体使用哪种LLM，仅提及“LLMs”，所有模型细节均未报告。</x:v>
      </x:c>
      <x:c r="AB128" s="2" t="str">
        <x:v>Accepted</x:v>
      </x:c>
      <x:c r="AC128" s="6" t="str">
        <x:v>NR</x:v>
      </x:c>
    </x:row>
    <x:row r="129" ht="76" customHeight="1">
      <x:c r="A129" s="2" t="str">
        <x:v>S33-MODEL-R01</x:v>
      </x:c>
      <x:c r="B129" s="2" t="str">
        <x:v>S33</x:v>
      </x:c>
      <x:c r="C129" s="2" t="str">
        <x:v>merged_1222</x:v>
      </x:c>
      <x:c r="D129" s="2" t="str">
        <x:v>Reviewer_A</x:v>
      </x:c>
      <x:c r="E129" s="2" t="str">
        <x:v>Reviewer_A</x:v>
      </x:c>
      <x:c r="F129" s="2" t="str">
        <x:v>S33-MU01</x:v>
      </x:c>
      <x:c r="G129" s="2" t="str">
        <x:v>S33-O01</x:v>
      </x:c>
      <x:c r="H129" s="2" t="str">
        <x:v>S33-T01</x:v>
      </x:c>
      <x:c r="I129" s="2" t="str">
        <x:v>Llama-3.1-8B-Instruct</x:v>
      </x:c>
      <x:c r="J129" s="2" t="str">
        <x:v>Llama-3.1-8B-Instruct</x:v>
      </x:c>
      <x:c r="K129" s="2" t="str">
        <x:v>Llama</x:v>
      </x:c>
      <x:c r="L129" s="2" t="str">
        <x:v>3.1</x:v>
      </x:c>
      <x:c r="M129" s="2" t="str">
        <x:v>8B</x:v>
      </x:c>
      <x:c r="N129" s="2" t="str">
        <x:v>NR</x:v>
      </x:c>
      <x:c r="O129" s="2" t="str">
        <x:v>Open weights</x:v>
      </x:c>
      <x:c r="P129" s="2" t="str">
        <x:v>API</x:v>
      </x:c>
      <x:c r="Q129" s="2" t="str">
        <x:v>NR</x:v>
      </x:c>
      <x:c r="R129" s="2" t="str">
        <x:v>NR</x:v>
      </x:c>
      <x:c r="S129" s="2" t="str">
        <x:v>NR</x:v>
      </x:c>
      <x:c r="T129" s="2" t="str">
        <x:v>NR</x:v>
      </x:c>
      <x:c r="U129" s="2" t="str">
        <x:v>GWDG API service</x:v>
      </x:c>
      <x:c r="V129" s="2" t="str">
        <x:v>NR</x:v>
      </x:c>
      <x:c r="W129" s="2" t="str">
        <x:v>No</x:v>
      </x:c>
      <x:c r="X129" s="2" t="str">
        <x:v>No</x:v>
      </x:c>
      <x:c r="Y129" s="6" t="str">
        <x:v>p. 4; Section III.C</x:v>
      </x:c>
      <x:c r="Z129" s="6" t="str">
        <x:v>models were available: Llam-3.1-8B-Instruct and Llam-3.170B-Instruct. The smaller model, Llam-3.1-8B-Instruct, was chosen for this task as it operates faster. For the comparison,</x:v>
      </x:c>
      <x:c r="AA129" s="6" t="str">
        <x:v>插件实际调用的是8B小模型，通过GWDG API访问，温度等参数未明确报告。</x:v>
      </x:c>
      <x:c r="AB129" s="2" t="str">
        <x:v>Accepted</x:v>
      </x:c>
      <x:c r="AC129" s="6" t="str">
        <x:v>型号拼写有误（Llam应为Llama），但原样保留。温度设置未提及，可能沿用默认。</x:v>
      </x:c>
    </x:row>
    <x:row r="130" ht="76" customHeight="1">
      <x:c r="A130" s="2" t="str">
        <x:v>S33-MODEL-R02</x:v>
      </x:c>
      <x:c r="B130" s="2" t="str">
        <x:v>S33</x:v>
      </x:c>
      <x:c r="C130" s="2" t="str">
        <x:v>merged_1222</x:v>
      </x:c>
      <x:c r="D130" s="2" t="str">
        <x:v>Reviewer_A</x:v>
      </x:c>
      <x:c r="E130" s="2" t="str">
        <x:v>Reviewer_A</x:v>
      </x:c>
      <x:c r="F130" s="2" t="str">
        <x:v>S33-MU02</x:v>
      </x:c>
      <x:c r="G130" s="2" t="str">
        <x:v>S33-O02</x:v>
      </x:c>
      <x:c r="H130" s="2" t="str">
        <x:v>S33-T01</x:v>
      </x:c>
      <x:c r="I130" s="2" t="str">
        <x:v>Llama 3.1-8B-Instruct</x:v>
      </x:c>
      <x:c r="J130" s="2" t="str">
        <x:v>Llama-3.1-8B-Instruct</x:v>
      </x:c>
      <x:c r="K130" s="2" t="str">
        <x:v>Llama</x:v>
      </x:c>
      <x:c r="L130" s="2" t="str">
        <x:v>3.1</x:v>
      </x:c>
      <x:c r="M130" s="2" t="str">
        <x:v>8B</x:v>
      </x:c>
      <x:c r="N130" s="2" t="str">
        <x:v>NR</x:v>
      </x:c>
      <x:c r="O130" s="2" t="str">
        <x:v>Open weights</x:v>
      </x:c>
      <x:c r="P130" s="2" t="str">
        <x:v>Local</x:v>
      </x:c>
      <x:c r="Q130" s="2" t="str">
        <x:v>Unclear</x:v>
      </x:c>
      <x:c r="R130" s="2" t="str">
        <x:v>NR</x:v>
      </x:c>
      <x:c r="S130" s="2" t="str">
        <x:v>NR</x:v>
      </x:c>
      <x:c r="T130" s="2" t="str">
        <x:v>NR</x:v>
      </x:c>
      <x:c r="U130" s="2" t="str">
        <x:v>Local cluster using Hugging Face library</x:v>
      </x:c>
      <x:c r="V130" s="2" t="str">
        <x:v>NR</x:v>
      </x:c>
      <x:c r="W130" s="2" t="str">
        <x:v>No</x:v>
      </x:c>
      <x:c r="X130" s="2" t="str">
        <x:v>No</x:v>
      </x:c>
      <x:c r="Y130" s="6" t="str">
        <x:v>p. 5; Section IV.C</x:v>
      </x:c>
      <x:c r="Z130" s="6" t="str">
        <x:v>the LLM is given an analyzing task, the temperature of the models was set to a minimum to achieve the most deterministic</x:v>
      </x:c>
      <x:c r="AA130" s="6" t="str">
        <x:v>评估环境本地部署，温度设为最小值但未给出具体数值，可能为0。</x:v>
      </x:c>
      <x:c r="AB130" s="2" t="str">
        <x:v>Accepted</x:v>
      </x:c>
      <x:c r="AC130" s="6" t="str">
        <x:v>虽未给出精确数字，但明确设为最小值。其余参数未提及。</x:v>
      </x:c>
    </x:row>
    <x:row r="131" ht="76" customHeight="1">
      <x:c r="A131" s="2" t="str">
        <x:v>S33-MODEL-R03</x:v>
      </x:c>
      <x:c r="B131" s="2" t="str">
        <x:v>S33</x:v>
      </x:c>
      <x:c r="C131" s="2" t="str">
        <x:v>merged_1222</x:v>
      </x:c>
      <x:c r="D131" s="2" t="str">
        <x:v>Reviewer_A</x:v>
      </x:c>
      <x:c r="E131" s="2" t="str">
        <x:v>Reviewer_A</x:v>
      </x:c>
      <x:c r="F131" s="2" t="str">
        <x:v>S33-MU03</x:v>
      </x:c>
      <x:c r="G131" s="2" t="str">
        <x:v>S33-O02</x:v>
      </x:c>
      <x:c r="H131" s="2" t="str">
        <x:v>S33-T01</x:v>
      </x:c>
      <x:c r="I131" s="2" t="str">
        <x:v>CodeLlama 7B-Instruct</x:v>
      </x:c>
      <x:c r="J131" s="2" t="str">
        <x:v>CodeLlama-7B-Instruct</x:v>
      </x:c>
      <x:c r="K131" s="2" t="str">
        <x:v>Other</x:v>
      </x:c>
      <x:c r="L131" s="2" t="str">
        <x:v>NR</x:v>
      </x:c>
      <x:c r="M131" s="2" t="str">
        <x:v>7B</x:v>
      </x:c>
      <x:c r="N131" s="2" t="str">
        <x:v>NR</x:v>
      </x:c>
      <x:c r="O131" s="2" t="str">
        <x:v>Open weights</x:v>
      </x:c>
      <x:c r="P131" s="2" t="str">
        <x:v>Local</x:v>
      </x:c>
      <x:c r="Q131" s="2" t="str">
        <x:v>Unclear</x:v>
      </x:c>
      <x:c r="R131" s="2" t="str">
        <x:v>NR</x:v>
      </x:c>
      <x:c r="S131" s="2" t="str">
        <x:v>NR</x:v>
      </x:c>
      <x:c r="T131" s="2" t="str">
        <x:v>NR</x:v>
      </x:c>
      <x:c r="U131" s="2" t="str">
        <x:v>Local cluster using Hugging Face library</x:v>
      </x:c>
      <x:c r="V131" s="2" t="str">
        <x:v>NR</x:v>
      </x:c>
      <x:c r="W131" s="2" t="str">
        <x:v>No</x:v>
      </x:c>
      <x:c r="X131" s="2" t="str">
        <x:v>No</x:v>
      </x:c>
      <x:c r="Y131" s="6" t="str">
        <x:v>p. 5; Section IV.C</x:v>
      </x:c>
      <x:c r="Z131" s="6" t="str">
        <x:v>were given to the LLMs. A general-purpose LLM (Llama 3.1-8B-Instruct) and a code-specific LLM (CodeLlama 7BInstruct) were rated quite good at understanding code [50].</x:v>
      </x:c>
      <x:c r="AA131" s="6" t="str">
        <x:v>评估中另一对比模型，CodeLlama专为代码理解优化，同样本地部署。</x:v>
      </x:c>
      <x:c r="AB131" s="2" t="str">
        <x:v>Accepted</x:v>
      </x:c>
      <x:c r="AC131" s="6" t="str">
        <x:v>CodeLlama基于Llama 2微调，不属于标准模型家族列表，故归为Other。</x:v>
      </x:c>
    </x:row>
    <x:row r="132" ht="76" customHeight="1">
      <x:c r="A132" s="2" t="str">
        <x:v>S34-MODEL-R01</x:v>
      </x:c>
      <x:c r="B132" s="2" t="str">
        <x:v>S34</x:v>
      </x:c>
      <x:c r="C132" s="2" t="str">
        <x:v>merged_1224-v1</x:v>
      </x:c>
      <x:c r="D132" s="2" t="str">
        <x:v>Reviewer_A</x:v>
      </x:c>
      <x:c r="E132" s="2" t="str">
        <x:v>Reviewer_A</x:v>
      </x:c>
      <x:c r="F132" s="2" t="str">
        <x:v>S34-MU01</x:v>
      </x:c>
      <x:c r="G132" s="2" t="str">
        <x:v>S34-O01</x:v>
      </x:c>
      <x:c r="H132" s="2" t="str">
        <x:v>S34-T01</x:v>
      </x:c>
      <x:c r="I132" s="2" t="str">
        <x:v>Claude 3.7</x:v>
      </x:c>
      <x:c r="J132" s="2" t="str">
        <x:v>Claude 3.7 Sonnet</x:v>
      </x:c>
      <x:c r="K132" s="2" t="str">
        <x:v>Claude</x:v>
      </x:c>
      <x:c r="L132" s="2" t="str">
        <x:v>3.7 Sonnet</x:v>
      </x:c>
      <x:c r="M132" s="2" t="str">
        <x:v>Undisclosed</x:v>
      </x:c>
      <x:c r="N132" s="2" t="str">
        <x:v>NR</x:v>
      </x:c>
      <x:c r="O132" s="2" t="str">
        <x:v>Closed</x:v>
      </x:c>
      <x:c r="P132" s="2" t="str">
        <x:v>NR</x:v>
      </x:c>
      <x:c r="Q132" s="2" t="str">
        <x:v>NR</x:v>
      </x:c>
      <x:c r="R132" s="2" t="str">
        <x:v>NR</x:v>
      </x:c>
      <x:c r="S132" s="2" t="n">
        <x:v>10</x:v>
      </x:c>
      <x:c r="T132" s="2" t="str">
        <x:v>200K tokens (500K enterprise)</x:v>
      </x:c>
      <x:c r="U132" s="2" t="str">
        <x:v>NR</x:v>
      </x:c>
      <x:c r="V132" s="2" t="str">
        <x:v>NR</x:v>
      </x:c>
      <x:c r="W132" s="2" t="str">
        <x:v>No</x:v>
      </x:c>
      <x:c r="X132" s="2" t="str">
        <x:v>Yes</x:v>
      </x:c>
      <x:c r="Y132" s="6" t="str">
        <x:v>p. 2; Section 1, last paragraph</x:v>
      </x:c>
      <x:c r="Z132" s="6" t="str">
        <x:v>nine state-of-the-art LLMs—Claude 3.7, Gemini 2.5 Pro, Grok 3, Qwen 3, DeepSeek-R1, GPT-4o, ChatGPT-o3, Llama 4, and Mixtral 8×22B</x:v>
      </x:c>
      <x:c r="AA132" s="6" t="str">
        <x:v>正文简称Claude 3.7；结合附录所述2025年2月发布、混合推理特征及Anthropic正式型号，规范为Claude 3.7 Sonnet。</x:v>
      </x:c>
      <x:c r="AB132" s="2" t="str">
        <x:v>Accepted</x:v>
      </x:c>
      <x:c r="AC132" s="6" t="str">
        <x:v>Official provider naming verified against Anthropic's 24 Feb 2025 Claude 3.7 Sonnet release.</x:v>
      </x:c>
    </x:row>
    <x:row r="133" ht="76" customHeight="1">
      <x:c r="A133" s="2" t="str">
        <x:v>S34-MODEL-R02</x:v>
      </x:c>
      <x:c r="B133" s="2" t="str">
        <x:v>S34</x:v>
      </x:c>
      <x:c r="C133" s="2" t="str">
        <x:v>merged_1224-v1</x:v>
      </x:c>
      <x:c r="D133" s="2" t="str">
        <x:v>Reviewer_A</x:v>
      </x:c>
      <x:c r="E133" s="2" t="str">
        <x:v>Reviewer_A</x:v>
      </x:c>
      <x:c r="F133" s="2" t="str">
        <x:v>S34-MU02</x:v>
      </x:c>
      <x:c r="G133" s="2" t="str">
        <x:v>S34-O01</x:v>
      </x:c>
      <x:c r="H133" s="2" t="str">
        <x:v>S34-T01</x:v>
      </x:c>
      <x:c r="I133" s="2" t="str">
        <x:v>Gemini 2.5 Pro</x:v>
      </x:c>
      <x:c r="J133" s="2" t="str">
        <x:v>Gemini 2.5 Pro Preview 05-06</x:v>
      </x:c>
      <x:c r="K133" s="2" t="str">
        <x:v>Gemini</x:v>
      </x:c>
      <x:c r="L133" s="2" t="str">
        <x:v>2.5 Pro Preview 05-06</x:v>
      </x:c>
      <x:c r="M133" s="2" t="str">
        <x:v>Undisclosed</x:v>
      </x:c>
      <x:c r="N133" s="2" t="str">
        <x:v>NR</x:v>
      </x:c>
      <x:c r="O133" s="2" t="str">
        <x:v>Closed</x:v>
      </x:c>
      <x:c r="P133" s="2" t="str">
        <x:v>NR</x:v>
      </x:c>
      <x:c r="Q133" s="2" t="str">
        <x:v>NR</x:v>
      </x:c>
      <x:c r="R133" s="2" t="str">
        <x:v>NR</x:v>
      </x:c>
      <x:c r="S133" s="2" t="n">
        <x:v>10</x:v>
      </x:c>
      <x:c r="T133" s="2" t="str">
        <x:v>1M tokens</x:v>
      </x:c>
      <x:c r="U133" s="2" t="str">
        <x:v>NR</x:v>
      </x:c>
      <x:c r="V133" s="2" t="str">
        <x:v>NR</x:v>
      </x:c>
      <x:c r="W133" s="2" t="str">
        <x:v>No</x:v>
      </x:c>
      <x:c r="X133" s="2" t="str">
        <x:v>Yes</x:v>
      </x:c>
      <x:c r="Y133" s="6" t="str">
        <x:v>p. 2; Section 1, last paragraph</x:v>
      </x:c>
      <x:c r="Z133" s="6" t="str">
        <x:v>nine state-of-the-art LLMs—Claude 3.7, Gemini 2.5 Pro, Grok 3, Qwen 3, DeepSeek-R1, GPT-4o, ChatGPT-o3, Llama 4, and Mixtral 8×22B</x:v>
      </x:c>
      <x:c r="AA133" s="6" t="str">
        <x:v>正文报告Gemini 2.5 Pro；作者仓库结果文件给出Gemini-2.5-Pro-Preview-05-06。</x:v>
      </x:c>
      <x:c r="AB133" s="2" t="str">
        <x:v>Accepted</x:v>
      </x:c>
      <x:c r="AC133" s="6" t="str">
        <x:v>Author repository: https://github.com/Djaber1979/-Behavioral-Augmentation-of-UML-Class-Diagrams (dated snapshot retained in extraction; omitted from the plot label).</x:v>
      </x:c>
    </x:row>
    <x:row r="134" ht="76" customHeight="1">
      <x:c r="A134" s="2" t="str">
        <x:v>S34-MODEL-R03</x:v>
      </x:c>
      <x:c r="B134" s="2" t="str">
        <x:v>S34</x:v>
      </x:c>
      <x:c r="C134" s="2" t="str">
        <x:v>merged_1224-v1</x:v>
      </x:c>
      <x:c r="D134" s="2" t="str">
        <x:v>Reviewer_A</x:v>
      </x:c>
      <x:c r="E134" s="2" t="str">
        <x:v>Reviewer_A</x:v>
      </x:c>
      <x:c r="F134" s="2" t="str">
        <x:v>S34-MU03</x:v>
      </x:c>
      <x:c r="G134" s="2" t="str">
        <x:v>S34-O01</x:v>
      </x:c>
      <x:c r="H134" s="2" t="str">
        <x:v>S34-T01</x:v>
      </x:c>
      <x:c r="I134" s="2" t="str">
        <x:v>Grok 3</x:v>
      </x:c>
      <x:c r="J134" s="2" t="str">
        <x:v>Grok 3</x:v>
      </x:c>
      <x:c r="K134" s="2" t="str">
        <x:v>Other</x:v>
      </x:c>
      <x:c r="L134" s="2" t="str">
        <x:v>3</x:v>
      </x:c>
      <x:c r="M134" s="2" t="str">
        <x:v>NR</x:v>
      </x:c>
      <x:c r="N134" s="2" t="str">
        <x:v>NR</x:v>
      </x:c>
      <x:c r="O134" s="2" t="str">
        <x:v>Closed</x:v>
      </x:c>
      <x:c r="P134" s="2" t="str">
        <x:v>NR</x:v>
      </x:c>
      <x:c r="Q134" s="2" t="str">
        <x:v>NR</x:v>
      </x:c>
      <x:c r="R134" s="2" t="str">
        <x:v>NR</x:v>
      </x:c>
      <x:c r="S134" s="2" t="n">
        <x:v>10</x:v>
      </x:c>
      <x:c r="T134" s="2" t="str">
        <x:v>NR</x:v>
      </x:c>
      <x:c r="U134" s="2" t="str">
        <x:v>NR</x:v>
      </x:c>
      <x:c r="V134" s="2" t="str">
        <x:v>NR</x:v>
      </x:c>
      <x:c r="W134" s="2" t="str">
        <x:v>No</x:v>
      </x:c>
      <x:c r="X134" s="2" t="str">
        <x:v>Yes</x:v>
      </x:c>
      <x:c r="Y134" s="6" t="str">
        <x:v>p. 2; Section 1, last paragraph</x:v>
      </x:c>
      <x:c r="Z134" s="6" t="str">
        <x:v>nine state-of-the-art LLMs—Claude 3.7, Gemini 2.5 Pro, Grok 3, Qwen 3, DeepSeek-R1, GPT-4o, ChatGPT-o3, Llama 4, and Mixtral 8×22B</x:v>
      </x:c>
      <x:c r="AA134" s="6" t="str">
        <x:v>Grok 3被用作生成带注释的UML类图的LLM之一。</x:v>
      </x:c>
      <x:c r="AB134" s="2" t="str">
        <x:v>Accepted</x:v>
      </x:c>
      <x:c r="AC134" s="6" t="str">
        <x:v>NR</x:v>
      </x:c>
    </x:row>
    <x:row r="135" ht="76" customHeight="1">
      <x:c r="A135" s="2" t="str">
        <x:v>S34-MODEL-R04</x:v>
      </x:c>
      <x:c r="B135" s="2" t="str">
        <x:v>S34</x:v>
      </x:c>
      <x:c r="C135" s="2" t="str">
        <x:v>merged_1224-v1</x:v>
      </x:c>
      <x:c r="D135" s="2" t="str">
        <x:v>Reviewer_A</x:v>
      </x:c>
      <x:c r="E135" s="2" t="str">
        <x:v>Reviewer_A</x:v>
      </x:c>
      <x:c r="F135" s="2" t="str">
        <x:v>S34-MU04</x:v>
      </x:c>
      <x:c r="G135" s="2" t="str">
        <x:v>S34-O01</x:v>
      </x:c>
      <x:c r="H135" s="2" t="str">
        <x:v>S34-T01</x:v>
      </x:c>
      <x:c r="I135" s="2" t="str">
        <x:v>Qwen 3</x:v>
      </x:c>
      <x:c r="J135" s="2" t="str">
        <x:v>Qwen 3</x:v>
      </x:c>
      <x:c r="K135" s="2" t="str">
        <x:v>Qwen</x:v>
      </x:c>
      <x:c r="L135" s="2" t="str">
        <x:v>3</x:v>
      </x:c>
      <x:c r="M135" s="2" t="str">
        <x:v>NR</x:v>
      </x:c>
      <x:c r="N135" s="2" t="str">
        <x:v>NR</x:v>
      </x:c>
      <x:c r="O135" s="2" t="str">
        <x:v>Open weights</x:v>
      </x:c>
      <x:c r="P135" s="2" t="str">
        <x:v>NR</x:v>
      </x:c>
      <x:c r="Q135" s="2" t="str">
        <x:v>NR</x:v>
      </x:c>
      <x:c r="R135" s="2" t="str">
        <x:v>NR</x:v>
      </x:c>
      <x:c r="S135" s="2" t="n">
        <x:v>10</x:v>
      </x:c>
      <x:c r="T135" s="2" t="str">
        <x:v>~38K tokens</x:v>
      </x:c>
      <x:c r="U135" s="2" t="str">
        <x:v>NR</x:v>
      </x:c>
      <x:c r="V135" s="2" t="str">
        <x:v>NR</x:v>
      </x:c>
      <x:c r="W135" s="2" t="str">
        <x:v>No</x:v>
      </x:c>
      <x:c r="X135" s="2" t="str">
        <x:v>Yes</x:v>
      </x:c>
      <x:c r="Y135" s="6" t="str">
        <x:v>p. 2; Section 1, last paragraph</x:v>
      </x:c>
      <x:c r="Z135" s="6" t="str">
        <x:v>nine state-of-the-art LLMs—Claude 3.7, Gemini 2.5 Pro, Grok 3, Qwen 3, DeepSeek-R1, GPT-4o, ChatGPT-o3, Llama 4, and Mixtral 8×22B</x:v>
      </x:c>
      <x:c r="AA135" s="6" t="str">
        <x:v>Qwen 3被用作生成带注释的UML类图的LLM之一。</x:v>
      </x:c>
      <x:c r="AB135" s="2" t="str">
        <x:v>Accepted</x:v>
      </x:c>
      <x:c r="AC135" s="6" t="str">
        <x:v>NR</x:v>
      </x:c>
    </x:row>
    <x:row r="136" ht="76" customHeight="1">
      <x:c r="A136" s="2" t="str">
        <x:v>S34-MODEL-R05</x:v>
      </x:c>
      <x:c r="B136" s="2" t="str">
        <x:v>S34</x:v>
      </x:c>
      <x:c r="C136" s="2" t="str">
        <x:v>merged_1224-v1</x:v>
      </x:c>
      <x:c r="D136" s="2" t="str">
        <x:v>Reviewer_A</x:v>
      </x:c>
      <x:c r="E136" s="2" t="str">
        <x:v>Reviewer_A</x:v>
      </x:c>
      <x:c r="F136" s="2" t="str">
        <x:v>S34-MU05</x:v>
      </x:c>
      <x:c r="G136" s="2" t="str">
        <x:v>S34-O01</x:v>
      </x:c>
      <x:c r="H136" s="2" t="str">
        <x:v>S34-T01</x:v>
      </x:c>
      <x:c r="I136" s="2" t="str">
        <x:v>DeepSeek-R1</x:v>
      </x:c>
      <x:c r="J136" s="2" t="str">
        <x:v>DeepSeek-R1</x:v>
      </x:c>
      <x:c r="K136" s="2" t="str">
        <x:v>DeepSeek</x:v>
      </x:c>
      <x:c r="L136" s="2" t="str">
        <x:v>R1</x:v>
      </x:c>
      <x:c r="M136" s="2" t="str">
        <x:v>671B total, 37B active</x:v>
      </x:c>
      <x:c r="N136" s="2" t="str">
        <x:v>NR</x:v>
      </x:c>
      <x:c r="O136" s="2" t="str">
        <x:v>Open weights</x:v>
      </x:c>
      <x:c r="P136" s="2" t="str">
        <x:v>NR</x:v>
      </x:c>
      <x:c r="Q136" s="2" t="str">
        <x:v>NR</x:v>
      </x:c>
      <x:c r="R136" s="2" t="str">
        <x:v>NR</x:v>
      </x:c>
      <x:c r="S136" s="2" t="n">
        <x:v>10</x:v>
      </x:c>
      <x:c r="T136" s="2" t="str">
        <x:v>163K tokens</x:v>
      </x:c>
      <x:c r="U136" s="2" t="str">
        <x:v>NR</x:v>
      </x:c>
      <x:c r="V136" s="2" t="str">
        <x:v>NR</x:v>
      </x:c>
      <x:c r="W136" s="2" t="str">
        <x:v>No</x:v>
      </x:c>
      <x:c r="X136" s="2" t="str">
        <x:v>Yes</x:v>
      </x:c>
      <x:c r="Y136" s="6" t="str">
        <x:v>p. 2; Section 1, last paragraph</x:v>
      </x:c>
      <x:c r="Z136" s="6" t="str">
        <x:v>nine state-of-the-art LLMs—Claude 3.7, Gemini 2.5 Pro, Grok 3, Qwen 3, DeepSeek-R1, GPT-4o, ChatGPT-o3, Llama 4, and Mixtral 8×22B</x:v>
      </x:c>
      <x:c r="AA136" s="6" t="str">
        <x:v>DeepSeek-R1被用作生成带注释的UML类图的LLM之一。</x:v>
      </x:c>
      <x:c r="AB136" s="2" t="str">
        <x:v>Accepted</x:v>
      </x:c>
      <x:c r="AC136" s="6" t="str">
        <x:v>NR</x:v>
      </x:c>
    </x:row>
    <x:row r="137" ht="76" customHeight="1">
      <x:c r="A137" s="2" t="str">
        <x:v>S34-MODEL-R06</x:v>
      </x:c>
      <x:c r="B137" s="2" t="str">
        <x:v>S34</x:v>
      </x:c>
      <x:c r="C137" s="2" t="str">
        <x:v>merged_1224-v1</x:v>
      </x:c>
      <x:c r="D137" s="2" t="str">
        <x:v>Reviewer_A</x:v>
      </x:c>
      <x:c r="E137" s="2" t="str">
        <x:v>Reviewer_A</x:v>
      </x:c>
      <x:c r="F137" s="2" t="str">
        <x:v>S34-MU06</x:v>
      </x:c>
      <x:c r="G137" s="2" t="str">
        <x:v>S34-O01</x:v>
      </x:c>
      <x:c r="H137" s="2" t="str">
        <x:v>S34-T01</x:v>
      </x:c>
      <x:c r="I137" s="2" t="str">
        <x:v>GPT-4o</x:v>
      </x:c>
      <x:c r="J137" s="2" t="str">
        <x:v>GPT-4o</x:v>
      </x:c>
      <x:c r="K137" s="2" t="str">
        <x:v>GPT</x:v>
      </x:c>
      <x:c r="L137" s="2" t="str">
        <x:v>4o</x:v>
      </x:c>
      <x:c r="M137" s="2" t="str">
        <x:v>Undisclosed</x:v>
      </x:c>
      <x:c r="N137" s="2" t="str">
        <x:v>NR</x:v>
      </x:c>
      <x:c r="O137" s="2" t="str">
        <x:v>Closed</x:v>
      </x:c>
      <x:c r="P137" s="2" t="str">
        <x:v>NR</x:v>
      </x:c>
      <x:c r="Q137" s="2" t="str">
        <x:v>NR</x:v>
      </x:c>
      <x:c r="R137" s="2" t="str">
        <x:v>NR</x:v>
      </x:c>
      <x:c r="S137" s="2" t="n">
        <x:v>10</x:v>
      </x:c>
      <x:c r="T137" s="2" t="str">
        <x:v>128K tokens</x:v>
      </x:c>
      <x:c r="U137" s="2" t="str">
        <x:v>NR</x:v>
      </x:c>
      <x:c r="V137" s="2" t="str">
        <x:v>NR</x:v>
      </x:c>
      <x:c r="W137" s="2" t="str">
        <x:v>No</x:v>
      </x:c>
      <x:c r="X137" s="2" t="str">
        <x:v>Yes</x:v>
      </x:c>
      <x:c r="Y137" s="6" t="str">
        <x:v>p. 2; Section 1, last paragraph</x:v>
      </x:c>
      <x:c r="Z137" s="6" t="str">
        <x:v>nine state-of-the-art LLMs—Claude 3.7, Gemini 2.5 Pro, Grok 3, Qwen 3, DeepSeek-R1, GPT-4o, ChatGPT-o3, Llama 4, and Mixtral 8×22B</x:v>
      </x:c>
      <x:c r="AA137" s="6" t="str">
        <x:v>GPT-4o被用作生成带注释的UML类图的LLM之一。</x:v>
      </x:c>
      <x:c r="AB137" s="2" t="str">
        <x:v>Accepted</x:v>
      </x:c>
      <x:c r="AC137" s="6" t="str">
        <x:v>NR</x:v>
      </x:c>
    </x:row>
    <x:row r="138" ht="76" customHeight="1">
      <x:c r="A138" s="2" t="str">
        <x:v>S34-MODEL-R07</x:v>
      </x:c>
      <x:c r="B138" s="2" t="str">
        <x:v>S34</x:v>
      </x:c>
      <x:c r="C138" s="2" t="str">
        <x:v>merged_1224-v1</x:v>
      </x:c>
      <x:c r="D138" s="2" t="str">
        <x:v>Reviewer_A</x:v>
      </x:c>
      <x:c r="E138" s="2" t="str">
        <x:v>Reviewer_A</x:v>
      </x:c>
      <x:c r="F138" s="2" t="str">
        <x:v>S34-MU07</x:v>
      </x:c>
      <x:c r="G138" s="2" t="str">
        <x:v>S34-O01</x:v>
      </x:c>
      <x:c r="H138" s="2" t="str">
        <x:v>S34-T01</x:v>
      </x:c>
      <x:c r="I138" s="2" t="str">
        <x:v>ChatGPT-o3</x:v>
      </x:c>
      <x:c r="J138" s="2" t="str">
        <x:v>ChatGPT-o3</x:v>
      </x:c>
      <x:c r="K138" s="2" t="str">
        <x:v>GPT</x:v>
      </x:c>
      <x:c r="L138" s="2" t="str">
        <x:v>o3</x:v>
      </x:c>
      <x:c r="M138" s="2" t="str">
        <x:v>Undisclosed</x:v>
      </x:c>
      <x:c r="N138" s="2" t="str">
        <x:v>NR</x:v>
      </x:c>
      <x:c r="O138" s="2" t="str">
        <x:v>Closed</x:v>
      </x:c>
      <x:c r="P138" s="2" t="str">
        <x:v>NR</x:v>
      </x:c>
      <x:c r="Q138" s="2" t="str">
        <x:v>NR</x:v>
      </x:c>
      <x:c r="R138" s="2" t="str">
        <x:v>NR</x:v>
      </x:c>
      <x:c r="S138" s="2" t="n">
        <x:v>10</x:v>
      </x:c>
      <x:c r="T138" s="2" t="str">
        <x:v>200K tokens</x:v>
      </x:c>
      <x:c r="U138" s="2" t="str">
        <x:v>NR</x:v>
      </x:c>
      <x:c r="V138" s="2" t="str">
        <x:v>NR</x:v>
      </x:c>
      <x:c r="W138" s="2" t="str">
        <x:v>No</x:v>
      </x:c>
      <x:c r="X138" s="2" t="str">
        <x:v>Yes</x:v>
      </x:c>
      <x:c r="Y138" s="6" t="str">
        <x:v>p. 2; Section 1, last paragraph</x:v>
      </x:c>
      <x:c r="Z138" s="6" t="str">
        <x:v>nine state-of-the-art LLMs—Claude 3.7, Gemini 2.5 Pro, Grok 3, Qwen 3, DeepSeek-R1, GPT-4o, ChatGPT-o3, Llama 4, and Mixtral 8×22B</x:v>
      </x:c>
      <x:c r="AA138" s="6" t="str">
        <x:v>ChatGPT-o3被用作生成带注释的UML类图的LLM之一。</x:v>
      </x:c>
      <x:c r="AB138" s="2" t="str">
        <x:v>Accepted</x:v>
      </x:c>
      <x:c r="AC138" s="6" t="str">
        <x:v>NR</x:v>
      </x:c>
    </x:row>
    <x:row r="139" ht="76" customHeight="1">
      <x:c r="A139" s="2" t="str">
        <x:v>S34-MODEL-R08</x:v>
      </x:c>
      <x:c r="B139" s="2" t="str">
        <x:v>S34</x:v>
      </x:c>
      <x:c r="C139" s="2" t="str">
        <x:v>merged_1224-v1</x:v>
      </x:c>
      <x:c r="D139" s="2" t="str">
        <x:v>Reviewer_A</x:v>
      </x:c>
      <x:c r="E139" s="2" t="str">
        <x:v>Reviewer_A</x:v>
      </x:c>
      <x:c r="F139" s="2" t="str">
        <x:v>S34-MU08</x:v>
      </x:c>
      <x:c r="G139" s="2" t="str">
        <x:v>S34-O01</x:v>
      </x:c>
      <x:c r="H139" s="2" t="str">
        <x:v>S34-T01</x:v>
      </x:c>
      <x:c r="I139" s="2" t="str">
        <x:v>Llama 4</x:v>
      </x:c>
      <x:c r="J139" s="2" t="str">
        <x:v>Meta Llama 4 Maverick</x:v>
      </x:c>
      <x:c r="K139" s="2" t="str">
        <x:v>Llama</x:v>
      </x:c>
      <x:c r="L139" s="2" t="str">
        <x:v>4 Maverick</x:v>
      </x:c>
      <x:c r="M139" s="2" t="str">
        <x:v>NR</x:v>
      </x:c>
      <x:c r="N139" s="2" t="str">
        <x:v>NR</x:v>
      </x:c>
      <x:c r="O139" s="2" t="str">
        <x:v>Open weights</x:v>
      </x:c>
      <x:c r="P139" s="2" t="str">
        <x:v>NR</x:v>
      </x:c>
      <x:c r="Q139" s="2" t="str">
        <x:v>NR</x:v>
      </x:c>
      <x:c r="R139" s="2" t="str">
        <x:v>NR</x:v>
      </x:c>
      <x:c r="S139" s="2" t="n">
        <x:v>10</x:v>
      </x:c>
      <x:c r="T139" s="2" t="str">
        <x:v>1M-10M tokens</x:v>
      </x:c>
      <x:c r="U139" s="2" t="str">
        <x:v>NR</x:v>
      </x:c>
      <x:c r="V139" s="2" t="str">
        <x:v>NR</x:v>
      </x:c>
      <x:c r="W139" s="2" t="str">
        <x:v>No</x:v>
      </x:c>
      <x:c r="X139" s="2" t="str">
        <x:v>Yes</x:v>
      </x:c>
      <x:c r="Y139" s="6" t="str">
        <x:v>Section 3.3; Appendix B, Table 7; author repository snapshot 2025-06-01; Meta Llama 4 release materials</x:v>
      </x:c>
      <x:c r="Z139" s="6" t="str">
        <x:v>Llama 4</x:v>
      </x:c>
      <x:c r="AA139" s="6" t="str">
        <x:v>正文与仓库简称Llama 4。实验使用同期公开对话服务，研究日期紧邻Meta AI的Llama 4上线；Meta后续官方材料将该服务的前代模型明确为Llama 4 Maverick，据此判定为Llama 4 Maverick。</x:v>
      </x:c>
      <x:c r="AB139" s="2" t="str">
        <x:v>Accepted</x:v>
      </x:c>
      <x:c r="AC139" s="6" t="str">
        <x:v>Service- and time-matched inference. The article/repository say only Llama 4 and Appendix B lists Scout/Maverick. Meta's public assistant launched with Llama 4 in April 2025; later official Meta material identifies its previous model as Llama 4 Maverick. This is an inferred variant, not a verbatim article identifier.</x:v>
      </x:c>
    </x:row>
    <x:row r="140" ht="76" customHeight="1">
      <x:c r="A140" s="2" t="str">
        <x:v>S34-MODEL-R09</x:v>
      </x:c>
      <x:c r="B140" s="2" t="str">
        <x:v>S34</x:v>
      </x:c>
      <x:c r="C140" s="2" t="str">
        <x:v>merged_1224-v1</x:v>
      </x:c>
      <x:c r="D140" s="2" t="str">
        <x:v>Reviewer_A</x:v>
      </x:c>
      <x:c r="E140" s="2" t="str">
        <x:v>Reviewer_A</x:v>
      </x:c>
      <x:c r="F140" s="2" t="str">
        <x:v>S34-MU09</x:v>
      </x:c>
      <x:c r="G140" s="2" t="str">
        <x:v>S34-O01</x:v>
      </x:c>
      <x:c r="H140" s="2" t="str">
        <x:v>S34-T01</x:v>
      </x:c>
      <x:c r="I140" s="2" t="str">
        <x:v>Mixtral 8×22B</x:v>
      </x:c>
      <x:c r="J140" s="2" t="str">
        <x:v>Mixtral 8×22B</x:v>
      </x:c>
      <x:c r="K140" s="2" t="str">
        <x:v>Mistral</x:v>
      </x:c>
      <x:c r="L140" s="2" t="str">
        <x:v>8×22B</x:v>
      </x:c>
      <x:c r="M140" s="2" t="str">
        <x:v>NR</x:v>
      </x:c>
      <x:c r="N140" s="2" t="str">
        <x:v>NR</x:v>
      </x:c>
      <x:c r="O140" s="2" t="str">
        <x:v>Open weights</x:v>
      </x:c>
      <x:c r="P140" s="2" t="str">
        <x:v>NR</x:v>
      </x:c>
      <x:c r="Q140" s="2" t="str">
        <x:v>NR</x:v>
      </x:c>
      <x:c r="R140" s="2" t="str">
        <x:v>NR</x:v>
      </x:c>
      <x:c r="S140" s="2" t="n">
        <x:v>10</x:v>
      </x:c>
      <x:c r="T140" s="2" t="str">
        <x:v>128K tokens</x:v>
      </x:c>
      <x:c r="U140" s="2" t="str">
        <x:v>NR</x:v>
      </x:c>
      <x:c r="V140" s="2" t="str">
        <x:v>NR</x:v>
      </x:c>
      <x:c r="W140" s="2" t="str">
        <x:v>No</x:v>
      </x:c>
      <x:c r="X140" s="2" t="str">
        <x:v>Yes</x:v>
      </x:c>
      <x:c r="Y140" s="6" t="str">
        <x:v>p. 2; Section 1, last paragraph</x:v>
      </x:c>
      <x:c r="Z140" s="6" t="str">
        <x:v>nine state-of-the-art LLMs—Claude 3.7, Gemini 2.5 Pro, Grok 3, Qwen 3, DeepSeek-R1, GPT-4o, ChatGPT-o3, Llama 4, and Mixtral 8×22B</x:v>
      </x:c>
      <x:c r="AA140" s="6" t="str">
        <x:v>Mixtral 8×22B被用作生成带注释的UML类图的LLM之一。</x:v>
      </x:c>
      <x:c r="AB140" s="2" t="str">
        <x:v>Accepted</x:v>
      </x:c>
      <x:c r="AC140" s="6" t="str">
        <x:v>The article is internally inconsistent: Section 3.3 says Mixtral 8x22B, figure labels say Mistral 8x7B, and Appendix Table 7 says Le Chat (Mistral Medium 3). The Section 3.3 model list is retained as the extraction value.</x:v>
      </x:c>
    </x:row>
    <x:row r="141" ht="76" customHeight="1">
      <x:c r="A141" s="2" t="str">
        <x:v>S35-MODEL-R01</x:v>
      </x:c>
      <x:c r="B141" s="2" t="str">
        <x:v>S35</x:v>
      </x:c>
      <x:c r="C141" s="2" t="str">
        <x:v>merged_1225</x:v>
      </x:c>
      <x:c r="D141" s="2" t="str">
        <x:v>Reviewer_A</x:v>
      </x:c>
      <x:c r="E141" s="2" t="str">
        <x:v>Reviewer_A</x:v>
      </x:c>
      <x:c r="F141" s="2" t="str">
        <x:v>S35-MU01</x:v>
      </x:c>
      <x:c r="G141" s="2" t="str">
        <x:v>S35-O01</x:v>
      </x:c>
      <x:c r="H141" s="2" t="str">
        <x:v>S35-T02</x:v>
      </x:c>
      <x:c r="I141" s="2" t="str">
        <x:v>gpt-3.5-turbo</x:v>
      </x:c>
      <x:c r="J141" s="2" t="str">
        <x:v>gpt-3.5-turbo</x:v>
      </x:c>
      <x:c r="K141" s="2" t="str">
        <x:v>GPT</x:v>
      </x:c>
      <x:c r="L141" s="2" t="str">
        <x:v>3.5</x:v>
      </x:c>
      <x:c r="M141" s="2" t="str">
        <x:v>NR</x:v>
      </x:c>
      <x:c r="N141" s="2" t="str">
        <x:v>Unclear</x:v>
      </x:c>
      <x:c r="O141" s="2" t="str">
        <x:v>Closed</x:v>
      </x:c>
      <x:c r="P141" s="2" t="str">
        <x:v>API</x:v>
      </x:c>
      <x:c r="Q141" s="2" t="str">
        <x:v>NR</x:v>
      </x:c>
      <x:c r="R141" s="2" t="str">
        <x:v>NR</x:v>
      </x:c>
      <x:c r="S141" s="2" t="str">
        <x:v>NR</x:v>
      </x:c>
      <x:c r="T141" s="2" t="str">
        <x:v>NR</x:v>
      </x:c>
      <x:c r="U141" s="2" t="str">
        <x:v>NR</x:v>
      </x:c>
      <x:c r="V141" s="2" t="str">
        <x:v>NR</x:v>
      </x:c>
      <x:c r="W141" s="2" t="str">
        <x:v>No</x:v>
      </x:c>
      <x:c r="X141" s="2" t="str">
        <x:v>No</x:v>
      </x:c>
      <x:c r="Y141" s="6" t="str">
        <x:v>p. 3; Section II</x:v>
      </x:c>
      <x:c r="Z141" s="6" t="str">
        <x:v>We exploit gpt-3.5-turbo [24]</x:v>
      </x:c>
      <x:c r="AA141" s="6" t="str">
        <x:v>使用了OpenAI的GPT-3.5 Turbo模型。</x:v>
      </x:c>
      <x:c r="AB141" s="2" t="str">
        <x:v>Accepted</x:v>
      </x:c>
      <x:c r="AC141" s="6" t="str">
        <x:v>NA</x:v>
      </x:c>
    </x:row>
    <x:row r="142" ht="76" customHeight="1">
      <x:c r="A142" s="2" t="str">
        <x:v>S36-MODEL-R01</x:v>
      </x:c>
      <x:c r="B142" s="2" t="str">
        <x:v>S36</x:v>
      </x:c>
      <x:c r="C142" s="2" t="str">
        <x:v>merged_1236</x:v>
      </x:c>
      <x:c r="D142" s="2" t="str">
        <x:v>Reviewer_A</x:v>
      </x:c>
      <x:c r="E142" s="2" t="str">
        <x:v>Reviewer_A</x:v>
      </x:c>
      <x:c r="F142" s="2" t="str">
        <x:v>S36-MU01</x:v>
      </x:c>
      <x:c r="G142" s="2" t="str">
        <x:v>S36-O01</x:v>
      </x:c>
      <x:c r="H142" s="2" t="str">
        <x:v>S36-T01</x:v>
      </x:c>
      <x:c r="I142" s="2" t="str">
        <x:v>Google Gemini</x:v>
      </x:c>
      <x:c r="J142" s="2" t="str">
        <x:v>Gemini 2.5 Flash</x:v>
      </x:c>
      <x:c r="K142" s="2" t="str">
        <x:v>Gemini</x:v>
      </x:c>
      <x:c r="L142" s="2" t="str">
        <x:v>2.5 Flash</x:v>
      </x:c>
      <x:c r="M142" s="2" t="str">
        <x:v>NR</x:v>
      </x:c>
      <x:c r="N142" s="2" t="str">
        <x:v>NR</x:v>
      </x:c>
      <x:c r="O142" s="2" t="str">
        <x:v>Closed</x:v>
      </x:c>
      <x:c r="P142" s="2" t="str">
        <x:v>API</x:v>
      </x:c>
      <x:c r="Q142" s="2" t="str">
        <x:v>NR</x:v>
      </x:c>
      <x:c r="R142" s="2" t="str">
        <x:v>NR</x:v>
      </x:c>
      <x:c r="S142" s="2" t="str">
        <x:v>NR</x:v>
      </x:c>
      <x:c r="T142" s="2" t="str">
        <x:v>NR</x:v>
      </x:c>
      <x:c r="U142" s="2" t="str">
        <x:v>Cloud API</x:v>
      </x:c>
      <x:c r="V142" s="2" t="str">
        <x:v>NR</x:v>
      </x:c>
      <x:c r="W142" s="2" t="str">
        <x:v>Yes</x:v>
      </x:c>
      <x:c r="X142" s="2" t="str">
        <x:v>Yes</x:v>
      </x:c>
      <x:c r="Y142" s="6" t="str">
        <x:v>p. 4; Section V.E</x:v>
      </x:c>
      <x:c r="Z142" s="6" t="str">
        <x:v>Gemini 2.5 Flash for the computationally intensive domain model generation pipeline</x:v>
      </x:c>
      <x:c r="AA142" s="6" t="str">
        <x:v>Gemini 2.5 Flash用于领域模型生成。</x:v>
      </x:c>
      <x:c r="AB142" s="2" t="str">
        <x:v>Accepted</x:v>
      </x:c>
      <x:c r="AC142" s="6" t="str">
        <x:v>NR</x:v>
      </x:c>
    </x:row>
    <x:row r="143" ht="76" customHeight="1">
      <x:c r="A143" s="2" t="str">
        <x:v>S36-MODEL-R02</x:v>
      </x:c>
      <x:c r="B143" s="2" t="str">
        <x:v>S36</x:v>
      </x:c>
      <x:c r="C143" s="2" t="str">
        <x:v>merged_1236</x:v>
      </x:c>
      <x:c r="D143" s="2" t="str">
        <x:v>Reviewer_A</x:v>
      </x:c>
      <x:c r="E143" s="2" t="str">
        <x:v>Reviewer_A</x:v>
      </x:c>
      <x:c r="F143" s="2" t="str">
        <x:v>S36-MU02</x:v>
      </x:c>
      <x:c r="G143" s="2" t="str">
        <x:v>S36-O02</x:v>
      </x:c>
      <x:c r="H143" s="2" t="str">
        <x:v>S36-T01</x:v>
      </x:c>
      <x:c r="I143" s="2" t="str">
        <x:v>Google Gemini</x:v>
      </x:c>
      <x:c r="J143" s="2" t="str">
        <x:v>Gemini 2.5 Flash Lite</x:v>
      </x:c>
      <x:c r="K143" s="2" t="str">
        <x:v>Gemini</x:v>
      </x:c>
      <x:c r="L143" s="2" t="str">
        <x:v>2.5 Flash Lite</x:v>
      </x:c>
      <x:c r="M143" s="2" t="str">
        <x:v>NR</x:v>
      </x:c>
      <x:c r="N143" s="2" t="str">
        <x:v>NR</x:v>
      </x:c>
      <x:c r="O143" s="2" t="str">
        <x:v>Closed</x:v>
      </x:c>
      <x:c r="P143" s="2" t="str">
        <x:v>API</x:v>
      </x:c>
      <x:c r="Q143" s="2" t="str">
        <x:v>NR</x:v>
      </x:c>
      <x:c r="R143" s="2" t="str">
        <x:v>NR</x:v>
      </x:c>
      <x:c r="S143" s="2" t="str">
        <x:v>NR</x:v>
      </x:c>
      <x:c r="T143" s="2" t="str">
        <x:v>NR</x:v>
      </x:c>
      <x:c r="U143" s="2" t="str">
        <x:v>Cloud API</x:v>
      </x:c>
      <x:c r="V143" s="2" t="str">
        <x:v>NR</x:v>
      </x:c>
      <x:c r="W143" s="2" t="str">
        <x:v>Yes</x:v>
      </x:c>
      <x:c r="X143" s="2" t="str">
        <x:v>Yes</x:v>
      </x:c>
      <x:c r="Y143" s="6" t="str">
        <x:v>p. 4; Section V.E</x:v>
      </x:c>
      <x:c r="Z143" s="6" t="str">
        <x:v>Gemini 2.5 Flash Lite for real-time code validation</x:v>
      </x:c>
      <x:c r="AA143" s="6" t="str">
        <x:v>Gemini 2.5 Flash Lite用于实时违规检测。</x:v>
      </x:c>
      <x:c r="AB143" s="2" t="str">
        <x:v>Accepted</x:v>
      </x:c>
      <x:c r="AC143" s="6" t="str">
        <x:v>NR</x:v>
      </x:c>
    </x:row>
    <x:row r="144" ht="76" customHeight="1">
      <x:c r="A144" s="2" t="str">
        <x:v>S37-MODEL-R01</x:v>
      </x:c>
      <x:c r="B144" s="2" t="str">
        <x:v>S37</x:v>
      </x:c>
      <x:c r="C144" s="2" t="str">
        <x:v>merged_1238</x:v>
      </x:c>
      <x:c r="D144" s="2" t="str">
        <x:v>Reviewer_A</x:v>
      </x:c>
      <x:c r="E144" s="2" t="str">
        <x:v>Reviewer_A</x:v>
      </x:c>
      <x:c r="F144" s="2" t="str">
        <x:v>S37-MU01</x:v>
      </x:c>
      <x:c r="G144" s="2" t="str">
        <x:v>S37-O01</x:v>
      </x:c>
      <x:c r="H144" s="2" t="str">
        <x:v>S37-T01</x:v>
      </x:c>
      <x:c r="I144" s="2" t="str">
        <x:v>DeepSeek-V3</x:v>
      </x:c>
      <x:c r="J144" s="2" t="str">
        <x:v>DeepSeek-V3</x:v>
      </x:c>
      <x:c r="K144" s="2" t="str">
        <x:v>DeepSeek</x:v>
      </x:c>
      <x:c r="L144" s="2" t="str">
        <x:v>V3</x:v>
      </x:c>
      <x:c r="M144" s="2" t="str">
        <x:v>NR</x:v>
      </x:c>
      <x:c r="N144" s="2" t="str">
        <x:v>NR</x:v>
      </x:c>
      <x:c r="O144" s="2" t="str">
        <x:v>Open weights</x:v>
      </x:c>
      <x:c r="P144" s="2" t="str">
        <x:v>Unclear</x:v>
      </x:c>
      <x:c r="Q144" s="2" t="str">
        <x:v>NR</x:v>
      </x:c>
      <x:c r="R144" s="2" t="str">
        <x:v>NR</x:v>
      </x:c>
      <x:c r="S144" s="2" t="str">
        <x:v>NR</x:v>
      </x:c>
      <x:c r="T144" s="2" t="str">
        <x:v>NR</x:v>
      </x:c>
      <x:c r="U144" s="2" t="str">
        <x:v>NR</x:v>
      </x:c>
      <x:c r="V144" s="2" t="str">
        <x:v>NR</x:v>
      </x:c>
      <x:c r="W144" s="2" t="str">
        <x:v>No</x:v>
      </x:c>
      <x:c r="X144" s="2" t="str">
        <x:v>No</x:v>
      </x:c>
      <x:c r="Y144" s="6" t="str">
        <x:v>p. 20; Section 5.1 (3)</x:v>
      </x:c>
      <x:c r="Z144" s="6" t="str">
        <x:v>This paper uses two open-source LLMs, DeepSeek-V3 for chatting and Deepseek-R1 for model reasoning.</x:v>
      </x:c>
      <x:c r="AA144" s="6" t="str">
        <x:v>DeepSeek-V3用于对话模块，但具体的部署细节未说明。</x:v>
      </x:c>
      <x:c r="AB144" s="2" t="str">
        <x:v>Accepted</x:v>
      </x:c>
      <x:c r="AC144" s="6" t="str">
        <x:v>NR</x:v>
      </x:c>
    </x:row>
    <x:row r="145" ht="76" customHeight="1">
      <x:c r="A145" s="2" t="str">
        <x:v>S37-MODEL-R02</x:v>
      </x:c>
      <x:c r="B145" s="2" t="str">
        <x:v>S37</x:v>
      </x:c>
      <x:c r="C145" s="2" t="str">
        <x:v>merged_1238</x:v>
      </x:c>
      <x:c r="D145" s="2" t="str">
        <x:v>Reviewer_A</x:v>
      </x:c>
      <x:c r="E145" s="2" t="str">
        <x:v>Reviewer_A</x:v>
      </x:c>
      <x:c r="F145" s="2" t="str">
        <x:v>S37-MU02</x:v>
      </x:c>
      <x:c r="G145" s="2" t="str">
        <x:v>S37-O02</x:v>
      </x:c>
      <x:c r="H145" s="2" t="str">
        <x:v>S37-T01</x:v>
      </x:c>
      <x:c r="I145" s="2" t="str">
        <x:v>Deepseek-R1</x:v>
      </x:c>
      <x:c r="J145" s="2" t="str">
        <x:v>DeepSeek-R1</x:v>
      </x:c>
      <x:c r="K145" s="2" t="str">
        <x:v>DeepSeek</x:v>
      </x:c>
      <x:c r="L145" s="2" t="str">
        <x:v>R1</x:v>
      </x:c>
      <x:c r="M145" s="2" t="str">
        <x:v>NR</x:v>
      </x:c>
      <x:c r="N145" s="2" t="str">
        <x:v>NR</x:v>
      </x:c>
      <x:c r="O145" s="2" t="str">
        <x:v>Open weights</x:v>
      </x:c>
      <x:c r="P145" s="2" t="str">
        <x:v>Unclear</x:v>
      </x:c>
      <x:c r="Q145" s="2" t="n">
        <x:v>0.5</x:v>
      </x:c>
      <x:c r="R145" s="2" t="str">
        <x:v>NR</x:v>
      </x:c>
      <x:c r="S145" s="2" t="str">
        <x:v>NR</x:v>
      </x:c>
      <x:c r="T145" s="2" t="str">
        <x:v>NR</x:v>
      </x:c>
      <x:c r="U145" s="2" t="str">
        <x:v>NR</x:v>
      </x:c>
      <x:c r="V145" s="2" t="str">
        <x:v>NR</x:v>
      </x:c>
      <x:c r="W145" s="2" t="str">
        <x:v>No</x:v>
      </x:c>
      <x:c r="X145" s="2" t="str">
        <x:v>No</x:v>
      </x:c>
      <x:c r="Y145" s="6" t="str">
        <x:v>p. 21; Section 5.2 (3)</x:v>
      </x:c>
      <x:c r="Z145" s="6" t="str">
        <x:v>the best temperature of Deepseek-R1 is 0.5m and the max_tokens is 2048 tokens.</x:v>
      </x:c>
      <x:c r="AA145" s="6" t="str">
        <x:v>DeepSeek-R1用于推理生成模型，超参数调优后温度0.5，最大token数2048。</x:v>
      </x:c>
      <x:c r="AB145" s="2" t="str">
        <x:v>Accepted</x:v>
      </x:c>
      <x:c r="AC145" s="6" t="str">
        <x:v>max_tokens reported as 2048</x:v>
      </x:c>
    </x:row>
    <x:row r="146" ht="76" customHeight="1">
      <x:c r="A146" s="2" t="str">
        <x:v>S37-MODEL-R03</x:v>
      </x:c>
      <x:c r="B146" s="2" t="str">
        <x:v>S37</x:v>
      </x:c>
      <x:c r="C146" s="2" t="str">
        <x:v>merged_1238</x:v>
      </x:c>
      <x:c r="D146" s="2" t="str">
        <x:v>Reviewer_A</x:v>
      </x:c>
      <x:c r="E146" s="2" t="str">
        <x:v>Reviewer_A</x:v>
      </x:c>
      <x:c r="F146" s="2" t="str">
        <x:v>S37-MU03</x:v>
      </x:c>
      <x:c r="G146" s="2" t="str">
        <x:v>S37-O03</x:v>
      </x:c>
      <x:c r="H146" s="2" t="str">
        <x:v>S37-T01</x:v>
      </x:c>
      <x:c r="I146" s="2" t="str">
        <x:v>Deepseek-R1</x:v>
      </x:c>
      <x:c r="J146" s="2" t="str">
        <x:v>DeepSeek-R1</x:v>
      </x:c>
      <x:c r="K146" s="2" t="str">
        <x:v>DeepSeek</x:v>
      </x:c>
      <x:c r="L146" s="2" t="str">
        <x:v>R1</x:v>
      </x:c>
      <x:c r="M146" s="2" t="str">
        <x:v>NR</x:v>
      </x:c>
      <x:c r="N146" s="2" t="str">
        <x:v>NR</x:v>
      </x:c>
      <x:c r="O146" s="2" t="str">
        <x:v>Open weights</x:v>
      </x:c>
      <x:c r="P146" s="2" t="str">
        <x:v>Unclear</x:v>
      </x:c>
      <x:c r="Q146" s="2" t="n">
        <x:v>0.5</x:v>
      </x:c>
      <x:c r="R146" s="2" t="str">
        <x:v>NR</x:v>
      </x:c>
      <x:c r="S146" s="2" t="str">
        <x:v>NR</x:v>
      </x:c>
      <x:c r="T146" s="2" t="str">
        <x:v>NR</x:v>
      </x:c>
      <x:c r="U146" s="2" t="str">
        <x:v>NR</x:v>
      </x:c>
      <x:c r="V146" s="2" t="str">
        <x:v>NR</x:v>
      </x:c>
      <x:c r="W146" s="2" t="str">
        <x:v>No</x:v>
      </x:c>
      <x:c r="X146" s="2" t="str">
        <x:v>No</x:v>
      </x:c>
      <x:c r="Y146" s="6" t="str">
        <x:v>p. 20; Section 5.1 (3)</x:v>
      </x:c>
      <x:c r="Z146" s="6" t="str">
        <x:v>Deepseek-R1, which integrates a web searching function to build the PFM model according to the prompts in Tables 3 and 4.</x:v>
      </x:c>
      <x:c r="AA146" s="6" t="str">
        <x:v>同一个DeepSeek-R1模型，也用于模型修整操作，使用Tables 3的提示。</x:v>
      </x:c>
      <x:c r="AB146" s="2" t="str">
        <x:v>Accepted</x:v>
      </x:c>
      <x:c r="AC146" s="6" t="str">
        <x:v>可能使用与M2相同实例，但调用不同</x:v>
      </x:c>
    </x:row>
    <x:row r="147" ht="76" customHeight="1">
      <x:c r="A147" s="2" t="str">
        <x:v>S38-MODEL-R01</x:v>
      </x:c>
      <x:c r="B147" s="2" t="str">
        <x:v>S38</x:v>
      </x:c>
      <x:c r="C147" s="2" t="str">
        <x:v>merged_1241</x:v>
      </x:c>
      <x:c r="D147" s="2" t="str">
        <x:v>Reviewer_A</x:v>
      </x:c>
      <x:c r="E147" s="2" t="str">
        <x:v>Reviewer_A</x:v>
      </x:c>
      <x:c r="F147" s="2" t="str">
        <x:v>S38-MU01</x:v>
      </x:c>
      <x:c r="G147" s="2" t="str">
        <x:v>S38-O01</x:v>
      </x:c>
      <x:c r="H147" s="2" t="str">
        <x:v>S38-T01</x:v>
      </x:c>
      <x:c r="I147" s="2" t="str">
        <x:v>Qwen2.5-Coder-32B-Instruct</x:v>
      </x:c>
      <x:c r="J147" s="2" t="str">
        <x:v>Qwen2.5-Coder-32B-Instruct</x:v>
      </x:c>
      <x:c r="K147" s="2" t="str">
        <x:v>Qwen</x:v>
      </x:c>
      <x:c r="L147" s="2" t="str">
        <x:v>32B-Instruct</x:v>
      </x:c>
      <x:c r="M147" s="2" t="str">
        <x:v>32B</x:v>
      </x:c>
      <x:c r="N147" s="2" t="str">
        <x:v>NR</x:v>
      </x:c>
      <x:c r="O147" s="2" t="str">
        <x:v>Open weights</x:v>
      </x:c>
      <x:c r="P147" s="2" t="str">
        <x:v>Unclear</x:v>
      </x:c>
      <x:c r="Q147" s="2" t="str">
        <x:v>NR</x:v>
      </x:c>
      <x:c r="R147" s="2" t="str">
        <x:v>NR</x:v>
      </x:c>
      <x:c r="S147" s="2" t="str">
        <x:v>NR</x:v>
      </x:c>
      <x:c r="T147" s="2" t="str">
        <x:v>NR</x:v>
      </x:c>
      <x:c r="U147" s="2" t="str">
        <x:v>NR</x:v>
      </x:c>
      <x:c r="V147" s="2" t="str">
        <x:v>NR</x:v>
      </x:c>
      <x:c r="W147" s="2" t="str">
        <x:v>No</x:v>
      </x:c>
      <x:c r="X147" s="2" t="str">
        <x:v>No</x:v>
      </x:c>
      <x:c r="Y147" s="6" t="str">
        <x:v>p. 15; Table 3</x:v>
      </x:c>
      <x:c r="Z147" s="6" t="str">
        <x:v>1. Qwen2.5-Coder-32B-Instruct</x:v>
      </x:c>
      <x:c r="AA147" s="6" t="str">
        <x:v>Qwen2.5-Coder-32B-Instruct是用于生成追溯矩阵的LLM之一。</x:v>
      </x:c>
      <x:c r="AB147" s="2" t="str">
        <x:v>Accepted</x:v>
      </x:c>
      <x:c r="AC147" s="6" t="str">
        <x:v>NA</x:v>
      </x:c>
    </x:row>
    <x:row r="148" ht="76" customHeight="1">
      <x:c r="A148" s="2" t="str">
        <x:v>S38-MODEL-R02</x:v>
      </x:c>
      <x:c r="B148" s="2" t="str">
        <x:v>S38</x:v>
      </x:c>
      <x:c r="C148" s="2" t="str">
        <x:v>merged_1241</x:v>
      </x:c>
      <x:c r="D148" s="2" t="str">
        <x:v>Reviewer_A</x:v>
      </x:c>
      <x:c r="E148" s="2" t="str">
        <x:v>Reviewer_A</x:v>
      </x:c>
      <x:c r="F148" s="2" t="str">
        <x:v>S38-MU02</x:v>
      </x:c>
      <x:c r="G148" s="2" t="str">
        <x:v>S38-O01</x:v>
      </x:c>
      <x:c r="H148" s="2" t="str">
        <x:v>S38-T01</x:v>
      </x:c>
      <x:c r="I148" s="2" t="str">
        <x:v>GPT-4o</x:v>
      </x:c>
      <x:c r="J148" s="2" t="str">
        <x:v>GPT-4o</x:v>
      </x:c>
      <x:c r="K148" s="2" t="str">
        <x:v>GPT</x:v>
      </x:c>
      <x:c r="L148" s="2" t="str">
        <x:v>NR</x:v>
      </x:c>
      <x:c r="M148" s="2" t="str">
        <x:v>NR</x:v>
      </x:c>
      <x:c r="N148" s="2" t="str">
        <x:v>NR</x:v>
      </x:c>
      <x:c r="O148" s="2" t="str">
        <x:v>Closed</x:v>
      </x:c>
      <x:c r="P148" s="2" t="str">
        <x:v>API</x:v>
      </x:c>
      <x:c r="Q148" s="2" t="str">
        <x:v>NR</x:v>
      </x:c>
      <x:c r="R148" s="2" t="str">
        <x:v>NR</x:v>
      </x:c>
      <x:c r="S148" s="2" t="str">
        <x:v>NR</x:v>
      </x:c>
      <x:c r="T148" s="2" t="str">
        <x:v>NR</x:v>
      </x:c>
      <x:c r="U148" s="2" t="str">
        <x:v>NR</x:v>
      </x:c>
      <x:c r="V148" s="2" t="str">
        <x:v>NR</x:v>
      </x:c>
      <x:c r="W148" s="2" t="str">
        <x:v>No</x:v>
      </x:c>
      <x:c r="X148" s="2" t="str">
        <x:v>No</x:v>
      </x:c>
      <x:c r="Y148" s="6" t="str">
        <x:v>p. 15; Table 3</x:v>
      </x:c>
      <x:c r="Z148" s="6" t="str">
        <x:v>2. GPT-4o 3. Deepseek-chat 4. Gemini2.5-flash</x:v>
      </x:c>
      <x:c r="AA148" s="6" t="str">
        <x:v>GPT-4o是用于生成追溯矩阵的LLM之一。</x:v>
      </x:c>
      <x:c r="AB148" s="2" t="str">
        <x:v>Accepted</x:v>
      </x:c>
      <x:c r="AC148" s="6" t="str">
        <x:v>NA</x:v>
      </x:c>
    </x:row>
    <x:row r="149" ht="76" customHeight="1">
      <x:c r="A149" s="2" t="str">
        <x:v>S38-MODEL-R03</x:v>
      </x:c>
      <x:c r="B149" s="2" t="str">
        <x:v>S38</x:v>
      </x:c>
      <x:c r="C149" s="2" t="str">
        <x:v>merged_1241</x:v>
      </x:c>
      <x:c r="D149" s="2" t="str">
        <x:v>Reviewer_A</x:v>
      </x:c>
      <x:c r="E149" s="2" t="str">
        <x:v>Reviewer_A</x:v>
      </x:c>
      <x:c r="F149" s="2" t="str">
        <x:v>S38-MU03</x:v>
      </x:c>
      <x:c r="G149" s="2" t="str">
        <x:v>S38-O01</x:v>
      </x:c>
      <x:c r="H149" s="2" t="str">
        <x:v>S38-T01</x:v>
      </x:c>
      <x:c r="I149" s="2" t="str">
        <x:v>Deepseek-chat</x:v>
      </x:c>
      <x:c r="J149" s="2" t="str">
        <x:v>DeepSeek-V3.2-Exp</x:v>
      </x:c>
      <x:c r="K149" s="2" t="str">
        <x:v>DeepSeek</x:v>
      </x:c>
      <x:c r="L149" s="2" t="str">
        <x:v>V3.2-Exp</x:v>
      </x:c>
      <x:c r="M149" s="2" t="str">
        <x:v>NR</x:v>
      </x:c>
      <x:c r="N149" s="2" t="str">
        <x:v>2025-10-17 (repository snapshot)</x:v>
      </x:c>
      <x:c r="O149" s="2" t="str">
        <x:v>Unclear</x:v>
      </x:c>
      <x:c r="P149" s="2" t="str">
        <x:v>API</x:v>
      </x:c>
      <x:c r="Q149" s="2" t="str">
        <x:v>NR</x:v>
      </x:c>
      <x:c r="R149" s="2" t="str">
        <x:v>NR</x:v>
      </x:c>
      <x:c r="S149" s="2" t="str">
        <x:v>NR</x:v>
      </x:c>
      <x:c r="T149" s="2" t="str">
        <x:v>NR</x:v>
      </x:c>
      <x:c r="U149" s="2" t="str">
        <x:v>DeepSeek API</x:v>
      </x:c>
      <x:c r="V149" s="2" t="str">
        <x:v>NR</x:v>
      </x:c>
      <x:c r="W149" s="2" t="str">
        <x:v>No</x:v>
      </x:c>
      <x:c r="X149" s="2" t="str">
        <x:v>No</x:v>
      </x:c>
      <x:c r="Y149" s="6" t="str">
        <x:v>p. 15; Table 3; author repository dev/gen/*.py</x:v>
      </x:c>
      <x:c r="Z149" s="6" t="str">
        <x:v>3. Deepseek-chat 4. Gemini2.5-flash</x:v>
      </x:c>
      <x:c r="AA149" s="6" t="str">
        <x:v>论文与作者仓库均使用DeepSeek API别名deepseek-chat；作者仓库首个提交为2025-10-17，而官方API变更日志说明该别名自2025-09-29起指向DeepSeek-V3.2-Exp非思考模式，据此作时间匹配。</x:v>
      </x:c>
      <x:c r="AB149" s="2" t="str">
        <x:v>Accepted</x:v>
      </x:c>
      <x:c r="AC149" s="6" t="str">
        <x:v>Time-matched inference: author repository https://github.com/jiangyili446/LusGen-Benchmark (initial commit 0943d52, 2025-10-17, model='deepseek-chat'); official mapping: https://api-docs.deepseek.com/updates (2025-09-29).</x:v>
      </x:c>
    </x:row>
    <x:row r="150" ht="76" customHeight="1">
      <x:c r="A150" s="2" t="str">
        <x:v>S38-MODEL-R04</x:v>
      </x:c>
      <x:c r="B150" s="2" t="str">
        <x:v>S38</x:v>
      </x:c>
      <x:c r="C150" s="2" t="str">
        <x:v>merged_1241</x:v>
      </x:c>
      <x:c r="D150" s="2" t="str">
        <x:v>Reviewer_A</x:v>
      </x:c>
      <x:c r="E150" s="2" t="str">
        <x:v>Reviewer_A</x:v>
      </x:c>
      <x:c r="F150" s="2" t="str">
        <x:v>S38-MU04</x:v>
      </x:c>
      <x:c r="G150" s="2" t="str">
        <x:v>S38-O01</x:v>
      </x:c>
      <x:c r="H150" s="2" t="str">
        <x:v>S38-T01</x:v>
      </x:c>
      <x:c r="I150" s="2" t="str">
        <x:v>Gemini2.5-flash</x:v>
      </x:c>
      <x:c r="J150" s="2" t="str">
        <x:v>Gemini2.5-flash</x:v>
      </x:c>
      <x:c r="K150" s="2" t="str">
        <x:v>Gemini</x:v>
      </x:c>
      <x:c r="L150" s="2" t="str">
        <x:v>2.5-flash</x:v>
      </x:c>
      <x:c r="M150" s="2" t="str">
        <x:v>NR</x:v>
      </x:c>
      <x:c r="N150" s="2" t="str">
        <x:v>NR</x:v>
      </x:c>
      <x:c r="O150" s="2" t="str">
        <x:v>Closed</x:v>
      </x:c>
      <x:c r="P150" s="2" t="str">
        <x:v>API</x:v>
      </x:c>
      <x:c r="Q150" s="2" t="str">
        <x:v>NR</x:v>
      </x:c>
      <x:c r="R150" s="2" t="str">
        <x:v>NR</x:v>
      </x:c>
      <x:c r="S150" s="2" t="str">
        <x:v>NR</x:v>
      </x:c>
      <x:c r="T150" s="2" t="str">
        <x:v>NR</x:v>
      </x:c>
      <x:c r="U150" s="2" t="str">
        <x:v>NR</x:v>
      </x:c>
      <x:c r="V150" s="2" t="str">
        <x:v>NR</x:v>
      </x:c>
      <x:c r="W150" s="2" t="str">
        <x:v>No</x:v>
      </x:c>
      <x:c r="X150" s="2" t="str">
        <x:v>No</x:v>
      </x:c>
      <x:c r="Y150" s="6" t="str">
        <x:v>p. 15; Table 3</x:v>
      </x:c>
      <x:c r="Z150" s="6" t="str">
        <x:v>4. Gemini2.5-flash</x:v>
      </x:c>
      <x:c r="AA150" s="6" t="str">
        <x:v>Gemini2.5-flash是用于生成追溯矩阵的LLM之一。</x:v>
      </x:c>
      <x:c r="AB150" s="2" t="str">
        <x:v>Accepted</x:v>
      </x:c>
      <x:c r="AC150" s="6" t="str">
        <x:v>NA</x:v>
      </x:c>
    </x:row>
    <x:row r="151" ht="76" customHeight="1">
      <x:c r="A151" s="2" t="str">
        <x:v>S39-MODEL-R01</x:v>
      </x:c>
      <x:c r="B151" s="2" t="str">
        <x:v>S39</x:v>
      </x:c>
      <x:c r="C151" s="2" t="str">
        <x:v>merged_1245</x:v>
      </x:c>
      <x:c r="D151" s="2" t="str">
        <x:v>Reviewer_A</x:v>
      </x:c>
      <x:c r="E151" s="2" t="str">
        <x:v>Reviewer_A</x:v>
      </x:c>
      <x:c r="F151" s="2" t="str">
        <x:v>S39-MU01</x:v>
      </x:c>
      <x:c r="G151" s="2" t="str">
        <x:v>S39-O01</x:v>
      </x:c>
      <x:c r="H151" s="2" t="str">
        <x:v>S39-T01</x:v>
      </x:c>
      <x:c r="I151" s="2" t="str">
        <x:v>GPT 4o</x:v>
      </x:c>
      <x:c r="J151" s="2" t="str">
        <x:v>gpt-4o</x:v>
      </x:c>
      <x:c r="K151" s="2" t="str">
        <x:v>GPT</x:v>
      </x:c>
      <x:c r="L151" s="2" t="str">
        <x:v>Unclear</x:v>
      </x:c>
      <x:c r="M151" s="2" t="str">
        <x:v>NR</x:v>
      </x:c>
      <x:c r="N151" s="2" t="str">
        <x:v>NR</x:v>
      </x:c>
      <x:c r="O151" s="2" t="str">
        <x:v>Closed</x:v>
      </x:c>
      <x:c r="P151" s="2" t="str">
        <x:v>API</x:v>
      </x:c>
      <x:c r="Q151" s="2" t="str">
        <x:v>NR</x:v>
      </x:c>
      <x:c r="R151" s="2" t="str">
        <x:v>NR</x:v>
      </x:c>
      <x:c r="S151" s="2" t="str">
        <x:v>NR</x:v>
      </x:c>
      <x:c r="T151" s="2" t="str">
        <x:v>NR</x:v>
      </x:c>
      <x:c r="U151" s="2" t="str">
        <x:v>NR</x:v>
      </x:c>
      <x:c r="V151" s="2" t="str">
        <x:v>NR</x:v>
      </x:c>
      <x:c r="W151" s="2" t="str">
        <x:v>No</x:v>
      </x:c>
      <x:c r="X151" s="2" t="str">
        <x:v>No</x:v>
      </x:c>
      <x:c r="Y151" s="6" t="str">
        <x:v>p. 3; Fig. 1</x:v>
      </x:c>
      <x:c r="Z151" s="6" t="str">
        <x:v>Fig. 1: Results from a first study [5] highlighting the decreasing performance of an LLM on a tracing task with an increasing number of smelly requirements.</x:v>
      </x:c>
      <x:c r="AA151" s="6" t="str">
        <x:v>论文明确使用GPT-4o进行实验，但未提供版本、参数等细节。</x:v>
      </x:c>
      <x:c r="AB151" s="2" t="str">
        <x:v>Accepted</x:v>
      </x:c>
      <x:c r="AC151" s="6" t="str">
        <x:v>NR</x:v>
      </x:c>
    </x:row>
    <x:row r="152" ht="76" customHeight="1">
      <x:c r="A152" s="2" t="str">
        <x:v>S40-MODEL-R01</x:v>
      </x:c>
      <x:c r="B152" s="2" t="str">
        <x:v>S40</x:v>
      </x:c>
      <x:c r="C152" s="2" t="str">
        <x:v>merged_1263</x:v>
      </x:c>
      <x:c r="D152" s="2" t="str">
        <x:v>Reviewer_A</x:v>
      </x:c>
      <x:c r="E152" s="2" t="str">
        <x:v>Reviewer_A</x:v>
      </x:c>
      <x:c r="F152" s="2" t="str">
        <x:v>S40-MU01</x:v>
      </x:c>
      <x:c r="G152" s="2" t="str">
        <x:v>S40-O01</x:v>
      </x:c>
      <x:c r="H152" s="2" t="str">
        <x:v>S40-T01</x:v>
      </x:c>
      <x:c r="I152" s="2" t="str">
        <x:v>GPT-4o</x:v>
      </x:c>
      <x:c r="J152" s="2" t="str">
        <x:v>GPT-4o</x:v>
      </x:c>
      <x:c r="K152" s="2" t="str">
        <x:v>GPT</x:v>
      </x:c>
      <x:c r="L152" s="2" t="str">
        <x:v>Unclear</x:v>
      </x:c>
      <x:c r="M152" s="2" t="str">
        <x:v>NR</x:v>
      </x:c>
      <x:c r="N152" s="2" t="str">
        <x:v>2026-01-01</x:v>
      </x:c>
      <x:c r="O152" s="2" t="str">
        <x:v>Closed</x:v>
      </x:c>
      <x:c r="P152" s="2" t="str">
        <x:v>API</x:v>
      </x:c>
      <x:c r="Q152" s="2" t="n">
        <x:v>0</x:v>
      </x:c>
      <x:c r="R152" s="2" t="str">
        <x:v>NR</x:v>
      </x:c>
      <x:c r="S152" s="2" t="str">
        <x:v>NR</x:v>
      </x:c>
      <x:c r="T152" s="2" t="str">
        <x:v>NR</x:v>
      </x:c>
      <x:c r="U152" s="2" t="str">
        <x:v>API</x:v>
      </x:c>
      <x:c r="V152" s="2" t="str">
        <x:v>NR</x:v>
      </x:c>
      <x:c r="W152" s="2" t="str">
        <x:v>Yes</x:v>
      </x:c>
      <x:c r="X152" s="2" t="str">
        <x:v>No</x:v>
      </x:c>
      <x:c r="Y152" s="6" t="str">
        <x:v>p. 14; Section 3.4.3</x:v>
      </x:c>
      <x:c r="Z152" s="6" t="str">
        <x:v>For LLM-based structural validation and classification, we use GPT-4o as a higher-capacity validator</x:v>
      </x:c>
      <x:c r="AA152" s="6" t="str">
        <x:v>GPT-4o作为验证器，通过OpenAI API调用，温度设为0。</x:v>
      </x:c>
      <x:c r="AB152" s="2" t="str">
        <x:v>Accepted</x:v>
      </x:c>
      <x:c r="AC152" s="6" t="str">
        <x:v>Cost reported in Section 3.4.3</x:v>
      </x:c>
    </x:row>
    <x:row r="153" ht="76" customHeight="1">
      <x:c r="A153" s="2" t="str">
        <x:v>S40-MODEL-R02</x:v>
      </x:c>
      <x:c r="B153" s="2" t="str">
        <x:v>S40</x:v>
      </x:c>
      <x:c r="C153" s="2" t="str">
        <x:v>merged_1263</x:v>
      </x:c>
      <x:c r="D153" s="2" t="str">
        <x:v>Reviewer_A</x:v>
      </x:c>
      <x:c r="E153" s="2" t="str">
        <x:v>Reviewer_A</x:v>
      </x:c>
      <x:c r="F153" s="2" t="str">
        <x:v>S40-MU02</x:v>
      </x:c>
      <x:c r="G153" s="2" t="str">
        <x:v>S40-O01</x:v>
      </x:c>
      <x:c r="H153" s="2" t="str">
        <x:v>S40-T01</x:v>
      </x:c>
      <x:c r="I153" s="2" t="str">
        <x:v>GPT-4o-mini</x:v>
      </x:c>
      <x:c r="J153" s="2" t="str">
        <x:v>GPT-4o-mini</x:v>
      </x:c>
      <x:c r="K153" s="2" t="str">
        <x:v>GPT</x:v>
      </x:c>
      <x:c r="L153" s="2" t="str">
        <x:v>Unclear</x:v>
      </x:c>
      <x:c r="M153" s="2" t="str">
        <x:v>NR</x:v>
      </x:c>
      <x:c r="N153" s="2" t="str">
        <x:v>2026-01-01</x:v>
      </x:c>
      <x:c r="O153" s="2" t="str">
        <x:v>Closed</x:v>
      </x:c>
      <x:c r="P153" s="2" t="str">
        <x:v>API</x:v>
      </x:c>
      <x:c r="Q153" s="2" t="n">
        <x:v>0</x:v>
      </x:c>
      <x:c r="R153" s="2" t="str">
        <x:v>NR</x:v>
      </x:c>
      <x:c r="S153" s="2" t="str">
        <x:v>NR</x:v>
      </x:c>
      <x:c r="T153" s="2" t="str">
        <x:v>NR</x:v>
      </x:c>
      <x:c r="U153" s="2" t="str">
        <x:v>API</x:v>
      </x:c>
      <x:c r="V153" s="2" t="str">
        <x:v>NR</x:v>
      </x:c>
      <x:c r="W153" s="2" t="str">
        <x:v>Yes</x:v>
      </x:c>
      <x:c r="X153" s="2" t="str">
        <x:v>No</x:v>
      </x:c>
      <x:c r="Y153" s="6" t="str">
        <x:v>p. 14; Section 3.4.3</x:v>
      </x:c>
      <x:c r="Z153" s="6" t="str">
        <x:v>we use GPT-4o as a higher-capacity validator and GPT-4o-mini as a lower-cost validator.</x:v>
      </x:c>
      <x:c r="AA153" s="6" t="str">
        <x:v>GPT-4o-mini作为低成本验证器，使用相同的路径提示结构。</x:v>
      </x:c>
      <x:c r="AB153" s="2" t="str">
        <x:v>Accepted</x:v>
      </x:c>
      <x:c r="AC153" s="6" t="str">
        <x:v>Path-prompt variant</x:v>
      </x:c>
    </x:row>
    <x:row r="154" ht="76" customHeight="1">
      <x:c r="A154" s="2" t="str">
        <x:v>S40-MODEL-R03</x:v>
      </x:c>
      <x:c r="B154" s="2" t="str">
        <x:v>S40</x:v>
      </x:c>
      <x:c r="C154" s="2" t="str">
        <x:v>merged_1263</x:v>
      </x:c>
      <x:c r="D154" s="2" t="str">
        <x:v>Reviewer_A</x:v>
      </x:c>
      <x:c r="E154" s="2" t="str">
        <x:v>Reviewer_A</x:v>
      </x:c>
      <x:c r="F154" s="2" t="str">
        <x:v>S40-MU03</x:v>
      </x:c>
      <x:c r="G154" s="2" t="str">
        <x:v>S40-O01</x:v>
      </x:c>
      <x:c r="H154" s="2" t="str">
        <x:v>S40-T01</x:v>
      </x:c>
      <x:c r="I154" s="2" t="str">
        <x:v>GPT-4o-mini</x:v>
      </x:c>
      <x:c r="J154" s="2" t="str">
        <x:v>GPT-4o-mini</x:v>
      </x:c>
      <x:c r="K154" s="2" t="str">
        <x:v>GPT</x:v>
      </x:c>
      <x:c r="L154" s="2" t="str">
        <x:v>Unclear</x:v>
      </x:c>
      <x:c r="M154" s="2" t="str">
        <x:v>NR</x:v>
      </x:c>
      <x:c r="N154" s="2" t="str">
        <x:v>2026-01-01</x:v>
      </x:c>
      <x:c r="O154" s="2" t="str">
        <x:v>Closed</x:v>
      </x:c>
      <x:c r="P154" s="2" t="str">
        <x:v>API</x:v>
      </x:c>
      <x:c r="Q154" s="2" t="n">
        <x:v>0</x:v>
      </x:c>
      <x:c r="R154" s="2" t="str">
        <x:v>NR</x:v>
      </x:c>
      <x:c r="S154" s="2" t="str">
        <x:v>NR</x:v>
      </x:c>
      <x:c r="T154" s="2" t="str">
        <x:v>NR</x:v>
      </x:c>
      <x:c r="U154" s="2" t="str">
        <x:v>API</x:v>
      </x:c>
      <x:c r="V154" s="2" t="str">
        <x:v>NR</x:v>
      </x:c>
      <x:c r="W154" s="2" t="str">
        <x:v>Yes</x:v>
      </x:c>
      <x:c r="X154" s="2" t="str">
        <x:v>No</x:v>
      </x:c>
      <x:c r="Y154" s="6" t="str">
        <x:v>p. 14; Section 3.4.3</x:v>
      </x:c>
      <x:c r="Z154" s="6" t="str">
        <x:v>we additionally report a GPT-4o-mini simple-prompt variant that uses the same retrieved Top-20 candidates but omits the evidence-path field from the validator prompt</x:v>
      </x:c>
      <x:c r="AA154" s="6" t="str">
        <x:v>GPT-4o-mini简单提示变体，不包含证据路径。</x:v>
      </x:c>
      <x:c r="AB154" s="2" t="str">
        <x:v>Accepted</x:v>
      </x:c>
      <x:c r="AC154" s="6" t="str">
        <x:v>Simple-prompt variant</x:v>
      </x:c>
    </x:row>
    <x:row r="155" ht="76" customHeight="1">
      <x:c r="A155" s="2" t="str">
        <x:v>S41-MODEL-R01</x:v>
      </x:c>
      <x:c r="B155" s="2" t="str">
        <x:v>S41</x:v>
      </x:c>
      <x:c r="C155" s="2" t="str">
        <x:v>merged_1264</x:v>
      </x:c>
      <x:c r="D155" s="2" t="str">
        <x:v>Reviewer_A</x:v>
      </x:c>
      <x:c r="E155" s="2" t="str">
        <x:v>Reviewer_A</x:v>
      </x:c>
      <x:c r="F155" s="2" t="str">
        <x:v>S41-MU01</x:v>
      </x:c>
      <x:c r="G155" s="2" t="str">
        <x:v>S41-O01</x:v>
      </x:c>
      <x:c r="H155" s="2" t="str">
        <x:v>S41-T01</x:v>
      </x:c>
      <x:c r="I155" s="2" t="str">
        <x:v>DeepSeek-v3</x:v>
      </x:c>
      <x:c r="J155" s="2" t="str">
        <x:v>deepseek-v3</x:v>
      </x:c>
      <x:c r="K155" s="2" t="str">
        <x:v>DeepSeek</x:v>
      </x:c>
      <x:c r="L155" s="2" t="str">
        <x:v>v3</x:v>
      </x:c>
      <x:c r="M155" s="2" t="str">
        <x:v>NR</x:v>
      </x:c>
      <x:c r="N155" s="2" t="str">
        <x:v>NR</x:v>
      </x:c>
      <x:c r="O155" s="2" t="str">
        <x:v>Open weights</x:v>
      </x:c>
      <x:c r="P155" s="2" t="str">
        <x:v>NR</x:v>
      </x:c>
      <x:c r="Q155" s="2" t="n">
        <x:v>0</x:v>
      </x:c>
      <x:c r="R155" s="2" t="str">
        <x:v>NR</x:v>
      </x:c>
      <x:c r="S155" s="2" t="n">
        <x:v>5</x:v>
      </x:c>
      <x:c r="T155" s="2" t="str">
        <x:v>NR</x:v>
      </x:c>
      <x:c r="U155" s="2" t="str">
        <x:v>NR</x:v>
      </x:c>
      <x:c r="V155" s="2" t="str">
        <x:v>NR</x:v>
      </x:c>
      <x:c r="W155" s="2" t="str">
        <x:v>No</x:v>
      </x:c>
      <x:c r="X155" s="2" t="str">
        <x:v>No</x:v>
      </x:c>
      <x:c r="Y155" s="6" t="str">
        <x:v>p. 6; Section 3.1</x:v>
      </x:c>
      <x:c r="Z155" s="6" t="str">
        <x:v>prediction engine. In this study, SELink adopt the state-ofthe-art DeepSeek-v3 for both summarization and semantic</x:v>
      </x:c>
      <x:c r="AA155" s="6" t="str">
        <x:v>主实验中采用DeepSeek-v3作为语义摘要模块的LLM。</x:v>
      </x:c>
      <x:c r="AB155" s="2" t="str">
        <x:v>Accepted</x:v>
      </x:c>
      <x:c r="AC155" s="6" t="str">
        <x:v>NA</x:v>
      </x:c>
    </x:row>
    <x:row r="156" ht="76" customHeight="1">
      <x:c r="A156" s="2" t="str">
        <x:v>S41-MODEL-R02</x:v>
      </x:c>
      <x:c r="B156" s="2" t="str">
        <x:v>S41</x:v>
      </x:c>
      <x:c r="C156" s="2" t="str">
        <x:v>merged_1264</x:v>
      </x:c>
      <x:c r="D156" s="2" t="str">
        <x:v>Reviewer_A</x:v>
      </x:c>
      <x:c r="E156" s="2" t="str">
        <x:v>Reviewer_A</x:v>
      </x:c>
      <x:c r="F156" s="2" t="str">
        <x:v>S41-MU02</x:v>
      </x:c>
      <x:c r="G156" s="2" t="str">
        <x:v>S41-O02</x:v>
      </x:c>
      <x:c r="H156" s="2" t="str">
        <x:v>S41-T01</x:v>
      </x:c>
      <x:c r="I156" s="2" t="str">
        <x:v>DeepSeek-v3</x:v>
      </x:c>
      <x:c r="J156" s="2" t="str">
        <x:v>deepseek-v3</x:v>
      </x:c>
      <x:c r="K156" s="2" t="str">
        <x:v>DeepSeek</x:v>
      </x:c>
      <x:c r="L156" s="2" t="str">
        <x:v>v3</x:v>
      </x:c>
      <x:c r="M156" s="2" t="str">
        <x:v>NR</x:v>
      </x:c>
      <x:c r="N156" s="2" t="str">
        <x:v>NR</x:v>
      </x:c>
      <x:c r="O156" s="2" t="str">
        <x:v>Open weights</x:v>
      </x:c>
      <x:c r="P156" s="2" t="str">
        <x:v>NR</x:v>
      </x:c>
      <x:c r="Q156" s="2" t="n">
        <x:v>0</x:v>
      </x:c>
      <x:c r="R156" s="2" t="str">
        <x:v>NR</x:v>
      </x:c>
      <x:c r="S156" s="2" t="n">
        <x:v>5</x:v>
      </x:c>
      <x:c r="T156" s="2" t="str">
        <x:v>NR</x:v>
      </x:c>
      <x:c r="U156" s="2" t="str">
        <x:v>NR</x:v>
      </x:c>
      <x:c r="V156" s="2" t="str">
        <x:v>NR</x:v>
      </x:c>
      <x:c r="W156" s="2" t="str">
        <x:v>No</x:v>
      </x:c>
      <x:c r="X156" s="2" t="str">
        <x:v>No</x:v>
      </x:c>
      <x:c r="Y156" s="6" t="str">
        <x:v>p. 6; Section 3.1</x:v>
      </x:c>
      <x:c r="Z156" s="6" t="str">
        <x:v>prediction engine. In this study, SELink adopt the state-ofthe-art DeepSeek-v3 for both summarization and semantic</x:v>
      </x:c>
      <x:c r="AA156" s="6" t="str">
        <x:v>主实验中采用DeepSeek-v3作为语义重排序模块的LLM。</x:v>
      </x:c>
      <x:c r="AB156" s="2" t="str">
        <x:v>Accepted</x:v>
      </x:c>
      <x:c r="AC156" s="6" t="str">
        <x:v>NA</x:v>
      </x:c>
    </x:row>
    <x:row r="157" ht="76" customHeight="1">
      <x:c r="A157" s="2" t="str">
        <x:v>S41-MODEL-R03</x:v>
      </x:c>
      <x:c r="B157" s="2" t="str">
        <x:v>S41</x:v>
      </x:c>
      <x:c r="C157" s="2" t="str">
        <x:v>merged_1264</x:v>
      </x:c>
      <x:c r="D157" s="2" t="str">
        <x:v>Reviewer_A</x:v>
      </x:c>
      <x:c r="E157" s="2" t="str">
        <x:v>Reviewer_A</x:v>
      </x:c>
      <x:c r="F157" s="2" t="str">
        <x:v>S41-MU03</x:v>
      </x:c>
      <x:c r="G157" s="2" t="str">
        <x:v>S41-O01</x:v>
      </x:c>
      <x:c r="H157" s="2" t="str">
        <x:v>S41-T01</x:v>
      </x:c>
      <x:c r="I157" s="2" t="str">
        <x:v>ChatGPT-4o-mini</x:v>
      </x:c>
      <x:c r="J157" s="2" t="str">
        <x:v>gpt-4o-mini</x:v>
      </x:c>
      <x:c r="K157" s="2" t="str">
        <x:v>GPT</x:v>
      </x:c>
      <x:c r="L157" s="2" t="str">
        <x:v>4o-mini</x:v>
      </x:c>
      <x:c r="M157" s="2" t="str">
        <x:v>NR</x:v>
      </x:c>
      <x:c r="N157" s="2" t="str">
        <x:v>NR</x:v>
      </x:c>
      <x:c r="O157" s="2" t="str">
        <x:v>Closed</x:v>
      </x:c>
      <x:c r="P157" s="2" t="str">
        <x:v>API</x:v>
      </x:c>
      <x:c r="Q157" s="2" t="n">
        <x:v>0</x:v>
      </x:c>
      <x:c r="R157" s="2" t="str">
        <x:v>NR</x:v>
      </x:c>
      <x:c r="S157" s="2" t="n">
        <x:v>5</x:v>
      </x:c>
      <x:c r="T157" s="2" t="str">
        <x:v>NR</x:v>
      </x:c>
      <x:c r="U157" s="2" t="str">
        <x:v>NR</x:v>
      </x:c>
      <x:c r="V157" s="2" t="str">
        <x:v>NR</x:v>
      </x:c>
      <x:c r="W157" s="2" t="str">
        <x:v>No</x:v>
      </x:c>
      <x:c r="X157" s="2" t="str">
        <x:v>No</x:v>
      </x:c>
      <x:c r="Y157" s="6" t="str">
        <x:v>p. 11; Section 4.4</x:v>
      </x:c>
      <x:c r="Z157" s="6" t="str">
        <x:v>RQ3. To investigate the impact of different large language models on the performance of the SELink framework, we evaluate three representative LLMs: DeepSeekv3, ChatGPT-4o-mini, and Claude-3.7-Sonnet. Each model is independently integrated into both the semantic summarization and semantic re-ranking modules of SELink, while</x:v>
      </x:c>
      <x:c r="AA157" s="6" t="str">
        <x:v>在RQ3中，ChatGPT-4o-mini被用于语义摘要模块进行评估。</x:v>
      </x:c>
      <x:c r="AB157" s="2" t="str">
        <x:v>Accepted</x:v>
      </x:c>
      <x:c r="AC157" s="6" t="str">
        <x:v>NA</x:v>
      </x:c>
    </x:row>
    <x:row r="158" ht="76" customHeight="1">
      <x:c r="A158" s="2" t="str">
        <x:v>S41-MODEL-R04</x:v>
      </x:c>
      <x:c r="B158" s="2" t="str">
        <x:v>S41</x:v>
      </x:c>
      <x:c r="C158" s="2" t="str">
        <x:v>merged_1264</x:v>
      </x:c>
      <x:c r="D158" s="2" t="str">
        <x:v>Reviewer_A</x:v>
      </x:c>
      <x:c r="E158" s="2" t="str">
        <x:v>Reviewer_A</x:v>
      </x:c>
      <x:c r="F158" s="2" t="str">
        <x:v>S41-MU04</x:v>
      </x:c>
      <x:c r="G158" s="2" t="str">
        <x:v>S41-O02</x:v>
      </x:c>
      <x:c r="H158" s="2" t="str">
        <x:v>S41-T01</x:v>
      </x:c>
      <x:c r="I158" s="2" t="str">
        <x:v>ChatGPT-4o-mini</x:v>
      </x:c>
      <x:c r="J158" s="2" t="str">
        <x:v>gpt-4o-mini</x:v>
      </x:c>
      <x:c r="K158" s="2" t="str">
        <x:v>GPT</x:v>
      </x:c>
      <x:c r="L158" s="2" t="str">
        <x:v>4o-mini</x:v>
      </x:c>
      <x:c r="M158" s="2" t="str">
        <x:v>NR</x:v>
      </x:c>
      <x:c r="N158" s="2" t="str">
        <x:v>NR</x:v>
      </x:c>
      <x:c r="O158" s="2" t="str">
        <x:v>Closed</x:v>
      </x:c>
      <x:c r="P158" s="2" t="str">
        <x:v>API</x:v>
      </x:c>
      <x:c r="Q158" s="2" t="n">
        <x:v>0</x:v>
      </x:c>
      <x:c r="R158" s="2" t="str">
        <x:v>NR</x:v>
      </x:c>
      <x:c r="S158" s="2" t="n">
        <x:v>5</x:v>
      </x:c>
      <x:c r="T158" s="2" t="str">
        <x:v>NR</x:v>
      </x:c>
      <x:c r="U158" s="2" t="str">
        <x:v>NR</x:v>
      </x:c>
      <x:c r="V158" s="2" t="str">
        <x:v>NR</x:v>
      </x:c>
      <x:c r="W158" s="2" t="str">
        <x:v>No</x:v>
      </x:c>
      <x:c r="X158" s="2" t="str">
        <x:v>No</x:v>
      </x:c>
      <x:c r="Y158" s="6" t="str">
        <x:v>p. 11; Section 4.4</x:v>
      </x:c>
      <x:c r="Z158" s="6" t="str">
        <x:v>RQ3. To investigate the impact of different large language models on the performance of the SELink framework, we evaluate three representative LLMs: DeepSeekv3, ChatGPT-4o-mini, and Claude-3.7-Sonnet. Each model is independently integrated into both the semantic summarization and semantic re-ranking modules of SELink, while</x:v>
      </x:c>
      <x:c r="AA158" s="6" t="str">
        <x:v>在RQ3中，ChatGPT-4o-mini被用于语义重排序模块进行评估。</x:v>
      </x:c>
      <x:c r="AB158" s="2" t="str">
        <x:v>Accepted</x:v>
      </x:c>
      <x:c r="AC158" s="6" t="str">
        <x:v>NA</x:v>
      </x:c>
    </x:row>
    <x:row r="159" ht="76" customHeight="1">
      <x:c r="A159" s="2" t="str">
        <x:v>S41-MODEL-R05</x:v>
      </x:c>
      <x:c r="B159" s="2" t="str">
        <x:v>S41</x:v>
      </x:c>
      <x:c r="C159" s="2" t="str">
        <x:v>merged_1264</x:v>
      </x:c>
      <x:c r="D159" s="2" t="str">
        <x:v>Reviewer_A</x:v>
      </x:c>
      <x:c r="E159" s="2" t="str">
        <x:v>Reviewer_A</x:v>
      </x:c>
      <x:c r="F159" s="2" t="str">
        <x:v>S41-MU05</x:v>
      </x:c>
      <x:c r="G159" s="2" t="str">
        <x:v>S41-O01</x:v>
      </x:c>
      <x:c r="H159" s="2" t="str">
        <x:v>S41-T01</x:v>
      </x:c>
      <x:c r="I159" s="2" t="str">
        <x:v>Claude-3.7-Sonnet</x:v>
      </x:c>
      <x:c r="J159" s="2" t="str">
        <x:v>claude-3.7-sonnet</x:v>
      </x:c>
      <x:c r="K159" s="2" t="str">
        <x:v>Claude</x:v>
      </x:c>
      <x:c r="L159" s="2" t="str">
        <x:v>3.7-Sonnet</x:v>
      </x:c>
      <x:c r="M159" s="2" t="str">
        <x:v>NR</x:v>
      </x:c>
      <x:c r="N159" s="2" t="str">
        <x:v>NR</x:v>
      </x:c>
      <x:c r="O159" s="2" t="str">
        <x:v>Closed</x:v>
      </x:c>
      <x:c r="P159" s="2" t="str">
        <x:v>API</x:v>
      </x:c>
      <x:c r="Q159" s="2" t="n">
        <x:v>0</x:v>
      </x:c>
      <x:c r="R159" s="2" t="str">
        <x:v>NR</x:v>
      </x:c>
      <x:c r="S159" s="2" t="n">
        <x:v>5</x:v>
      </x:c>
      <x:c r="T159" s="2" t="str">
        <x:v>NR</x:v>
      </x:c>
      <x:c r="U159" s="2" t="str">
        <x:v>NR</x:v>
      </x:c>
      <x:c r="V159" s="2" t="str">
        <x:v>NR</x:v>
      </x:c>
      <x:c r="W159" s="2" t="str">
        <x:v>No</x:v>
      </x:c>
      <x:c r="X159" s="2" t="str">
        <x:v>No</x:v>
      </x:c>
      <x:c r="Y159" s="6" t="str">
        <x:v>p. 11; Section 4.4</x:v>
      </x:c>
      <x:c r="Z159" s="6" t="str">
        <x:v>RQ3. To investigate the impact of different large language models on the performance of the SELink framework, we evaluate three representative LLMs: DeepSeekv3, ChatGPT-4o-mini, and Claude-3.7-Sonnet. Each model is independently integrated into both the semantic summarization and semantic re-ranking modules of SELink, while</x:v>
      </x:c>
      <x:c r="AA159" s="6" t="str">
        <x:v>在RQ3中，Claude-3.7-Sonnet被用于语义摘要模块进行评估。</x:v>
      </x:c>
      <x:c r="AB159" s="2" t="str">
        <x:v>Accepted</x:v>
      </x:c>
      <x:c r="AC159" s="6" t="str">
        <x:v>NA</x:v>
      </x:c>
    </x:row>
    <x:row r="160" ht="76" customHeight="1">
      <x:c r="A160" s="2" t="str">
        <x:v>S41-MODEL-R06</x:v>
      </x:c>
      <x:c r="B160" s="2" t="str">
        <x:v>S41</x:v>
      </x:c>
      <x:c r="C160" s="2" t="str">
        <x:v>merged_1264</x:v>
      </x:c>
      <x:c r="D160" s="2" t="str">
        <x:v>Reviewer_A</x:v>
      </x:c>
      <x:c r="E160" s="2" t="str">
        <x:v>Reviewer_A</x:v>
      </x:c>
      <x:c r="F160" s="2" t="str">
        <x:v>S41-MU06</x:v>
      </x:c>
      <x:c r="G160" s="2" t="str">
        <x:v>S41-O02</x:v>
      </x:c>
      <x:c r="H160" s="2" t="str">
        <x:v>S41-T01</x:v>
      </x:c>
      <x:c r="I160" s="2" t="str">
        <x:v>Claude-3.7-Sonnet</x:v>
      </x:c>
      <x:c r="J160" s="2" t="str">
        <x:v>claude-3.7-sonnet</x:v>
      </x:c>
      <x:c r="K160" s="2" t="str">
        <x:v>Claude</x:v>
      </x:c>
      <x:c r="L160" s="2" t="str">
        <x:v>3.7-Sonnet</x:v>
      </x:c>
      <x:c r="M160" s="2" t="str">
        <x:v>NR</x:v>
      </x:c>
      <x:c r="N160" s="2" t="str">
        <x:v>NR</x:v>
      </x:c>
      <x:c r="O160" s="2" t="str">
        <x:v>Closed</x:v>
      </x:c>
      <x:c r="P160" s="2" t="str">
        <x:v>API</x:v>
      </x:c>
      <x:c r="Q160" s="2" t="n">
        <x:v>0</x:v>
      </x:c>
      <x:c r="R160" s="2" t="str">
        <x:v>NR</x:v>
      </x:c>
      <x:c r="S160" s="2" t="n">
        <x:v>5</x:v>
      </x:c>
      <x:c r="T160" s="2" t="str">
        <x:v>NR</x:v>
      </x:c>
      <x:c r="U160" s="2" t="str">
        <x:v>NR</x:v>
      </x:c>
      <x:c r="V160" s="2" t="str">
        <x:v>NR</x:v>
      </x:c>
      <x:c r="W160" s="2" t="str">
        <x:v>No</x:v>
      </x:c>
      <x:c r="X160" s="2" t="str">
        <x:v>No</x:v>
      </x:c>
      <x:c r="Y160" s="6" t="str">
        <x:v>p. 11; Section 4.4</x:v>
      </x:c>
      <x:c r="Z160" s="6" t="str">
        <x:v>RQ3. To investigate the impact of different large language models on the performance of the SELink framework, we evaluate three representative LLMs: DeepSeekv3, ChatGPT-4o-mini, and Claude-3.7-Sonnet. Each model is independently integrated into both the semantic summarization and semantic re-ranking modules of SELink, while</x:v>
      </x:c>
      <x:c r="AA160" s="6" t="str">
        <x:v>在RQ3中，Claude-3.7-Sonnet被用于语义重排序模块进行评估。</x:v>
      </x:c>
      <x:c r="AB160" s="2" t="str">
        <x:v>Accepted</x:v>
      </x:c>
      <x:c r="AC160" s="6" t="str">
        <x:v>NA</x:v>
      </x:c>
    </x:row>
    <x:row r="161" ht="76" customHeight="1">
      <x:c r="A161" s="2" t="str">
        <x:v>S42-MODEL-R01</x:v>
      </x:c>
      <x:c r="B161" s="2" t="str">
        <x:v>S42</x:v>
      </x:c>
      <x:c r="C161" s="2" t="str">
        <x:v>merged_1266</x:v>
      </x:c>
      <x:c r="D161" s="2" t="str">
        <x:v>Reviewer_A</x:v>
      </x:c>
      <x:c r="E161" s="2" t="str">
        <x:v>Reviewer_A</x:v>
      </x:c>
      <x:c r="F161" s="2" t="str">
        <x:v>S42-MU01</x:v>
      </x:c>
      <x:c r="G161" s="2" t="str">
        <x:v>S42-O01</x:v>
      </x:c>
      <x:c r="H161" s="2" t="str">
        <x:v>S42-T01</x:v>
      </x:c>
      <x:c r="I161" s="2" t="str">
        <x:v>GPT-4o</x:v>
      </x:c>
      <x:c r="J161" s="2" t="str">
        <x:v>gpt-4o</x:v>
      </x:c>
      <x:c r="K161" s="2" t="str">
        <x:v>GPT</x:v>
      </x:c>
      <x:c r="L161" s="2" t="str">
        <x:v>NR</x:v>
      </x:c>
      <x:c r="M161" s="2" t="str">
        <x:v>NR</x:v>
      </x:c>
      <x:c r="N161" s="2" t="str">
        <x:v>NR</x:v>
      </x:c>
      <x:c r="O161" s="2" t="str">
        <x:v>Closed</x:v>
      </x:c>
      <x:c r="P161" s="2" t="str">
        <x:v>API</x:v>
      </x:c>
      <x:c r="Q161" s="2" t="n">
        <x:v>0</x:v>
      </x:c>
      <x:c r="R161" s="2" t="str">
        <x:v>133742243</x:v>
      </x:c>
      <x:c r="S161" s="2" t="str">
        <x:v>Unclear</x:v>
      </x:c>
      <x:c r="T161" s="2" t="str">
        <x:v>NR</x:v>
      </x:c>
      <x:c r="U161" s="2" t="str">
        <x:v>API</x:v>
      </x:c>
      <x:c r="V161" s="2" t="str">
        <x:v>NR</x:v>
      </x:c>
      <x:c r="W161" s="2" t="str">
        <x:v>No</x:v>
      </x:c>
      <x:c r="X161" s="2" t="str">
        <x:v>No</x:v>
      </x:c>
      <x:c r="Y161" s="6" t="str">
        <x:v>p. 5; Section 4.1</x:v>
      </x:c>
      <x:c r="Z161" s="6" t="str">
        <x:v>our experiments, we set the temperature of the LLMs to zero and set a fixed</x:v>
      </x:c>
      <x:c r="AA161" s="6" t="str">
        <x:v>使用OpenAI的GPT-4o模型，通过API调用，采用KISS提示进行零样本分类。</x:v>
      </x:c>
      <x:c r="AB161" s="2" t="str">
        <x:v>Accepted</x:v>
      </x:c>
      <x:c r="AC161" s="6" t="str">
        <x:v>The KISS prompt is zero-shot.</x:v>
      </x:c>
    </x:row>
    <x:row r="162" ht="76" customHeight="1">
      <x:c r="A162" s="2" t="str">
        <x:v>S42-MODEL-R02</x:v>
      </x:c>
      <x:c r="B162" s="2" t="str">
        <x:v>S42</x:v>
      </x:c>
      <x:c r="C162" s="2" t="str">
        <x:v>merged_1266</x:v>
      </x:c>
      <x:c r="D162" s="2" t="str">
        <x:v>Reviewer_A</x:v>
      </x:c>
      <x:c r="E162" s="2" t="str">
        <x:v>Reviewer_A</x:v>
      </x:c>
      <x:c r="F162" s="2" t="str">
        <x:v>S42-MU02</x:v>
      </x:c>
      <x:c r="G162" s="2" t="str">
        <x:v>S42-O01</x:v>
      </x:c>
      <x:c r="H162" s="2" t="str">
        <x:v>S42-T01</x:v>
      </x:c>
      <x:c r="I162" s="2" t="str">
        <x:v>GPT-4o mini</x:v>
      </x:c>
      <x:c r="J162" s="2" t="str">
        <x:v>gpt-4o-mini</x:v>
      </x:c>
      <x:c r="K162" s="2" t="str">
        <x:v>GPT</x:v>
      </x:c>
      <x:c r="L162" s="2" t="str">
        <x:v>NR</x:v>
      </x:c>
      <x:c r="M162" s="2" t="str">
        <x:v>NR</x:v>
      </x:c>
      <x:c r="N162" s="2" t="str">
        <x:v>NR</x:v>
      </x:c>
      <x:c r="O162" s="2" t="str">
        <x:v>Closed</x:v>
      </x:c>
      <x:c r="P162" s="2" t="str">
        <x:v>API</x:v>
      </x:c>
      <x:c r="Q162" s="2" t="n">
        <x:v>0</x:v>
      </x:c>
      <x:c r="R162" s="2" t="str">
        <x:v>133742243</x:v>
      </x:c>
      <x:c r="S162" s="2" t="str">
        <x:v>Unclear</x:v>
      </x:c>
      <x:c r="T162" s="2" t="str">
        <x:v>NR</x:v>
      </x:c>
      <x:c r="U162" s="2" t="str">
        <x:v>API</x:v>
      </x:c>
      <x:c r="V162" s="2" t="str">
        <x:v>NR</x:v>
      </x:c>
      <x:c r="W162" s="2" t="str">
        <x:v>No</x:v>
      </x:c>
      <x:c r="X162" s="2" t="str">
        <x:v>No</x:v>
      </x:c>
      <x:c r="Y162" s="6" t="str">
        <x:v>p. 5; Section 4.1</x:v>
      </x:c>
      <x:c r="Z162" s="6" t="str">
        <x:v>our experiments, we set the temperature of the LLMs to zero and set a fixed</x:v>
      </x:c>
      <x:c r="AA162" s="6" t="str">
        <x:v>使用OpenAI的GPT-4o mini模型，通过API调用，采用KISS提示进行零样本分类。</x:v>
      </x:c>
      <x:c r="AB162" s="2" t="str">
        <x:v>Accepted</x:v>
      </x:c>
      <x:c r="AC162" s="6" t="str">
        <x:v>The KISS prompt is zero-shot.</x:v>
      </x:c>
    </x:row>
    <x:row r="163" ht="76" customHeight="1">
      <x:c r="A163" s="2" t="str">
        <x:v>S42-MODEL-R03</x:v>
      </x:c>
      <x:c r="B163" s="2" t="str">
        <x:v>S42</x:v>
      </x:c>
      <x:c r="C163" s="2" t="str">
        <x:v>merged_1266</x:v>
      </x:c>
      <x:c r="D163" s="2" t="str">
        <x:v>Reviewer_A</x:v>
      </x:c>
      <x:c r="E163" s="2" t="str">
        <x:v>Reviewer_A</x:v>
      </x:c>
      <x:c r="F163" s="2" t="str">
        <x:v>S42-MU03</x:v>
      </x:c>
      <x:c r="G163" s="2" t="str">
        <x:v>S42-O01</x:v>
      </x:c>
      <x:c r="H163" s="2" t="str">
        <x:v>S42-T01</x:v>
      </x:c>
      <x:c r="I163" s="2" t="str">
        <x:v>Codellama 13b</x:v>
      </x:c>
      <x:c r="J163" s="2" t="str">
        <x:v>codellama-13b</x:v>
      </x:c>
      <x:c r="K163" s="2" t="str">
        <x:v>Llama</x:v>
      </x:c>
      <x:c r="L163" s="2" t="str">
        <x:v>NR</x:v>
      </x:c>
      <x:c r="M163" s="2" t="str">
        <x:v>13b</x:v>
      </x:c>
      <x:c r="N163" s="2" t="str">
        <x:v>NR</x:v>
      </x:c>
      <x:c r="O163" s="2" t="str">
        <x:v>Open weights</x:v>
      </x:c>
      <x:c r="P163" s="2" t="str">
        <x:v>Local</x:v>
      </x:c>
      <x:c r="Q163" s="2" t="n">
        <x:v>0</x:v>
      </x:c>
      <x:c r="R163" s="2" t="str">
        <x:v>133742243</x:v>
      </x:c>
      <x:c r="S163" s="2" t="str">
        <x:v>Unclear</x:v>
      </x:c>
      <x:c r="T163" s="2" t="str">
        <x:v>NR</x:v>
      </x:c>
      <x:c r="U163" s="2" t="str">
        <x:v>Local GPU (Tesla V100S)</x:v>
      </x:c>
      <x:c r="V163" s="2" t="str">
        <x:v>NR</x:v>
      </x:c>
      <x:c r="W163" s="2" t="str">
        <x:v>No</x:v>
      </x:c>
      <x:c r="X163" s="2" t="str">
        <x:v>No</x:v>
      </x:c>
      <x:c r="Y163" s="6" t="str">
        <x:v>p. 5; Section 4.1</x:v>
      </x:c>
      <x:c r="Z163" s="6" t="str">
        <x:v>our experiments, we set the temperature of the LLMs to zero and set a fixed</x:v>
      </x:c>
      <x:c r="AA163" s="6" t="str">
        <x:v>使用本地部署的Codellama 13b开源模型，采用KISS提示进行零样本分类。</x:v>
      </x:c>
      <x:c r="AB163" s="2" t="str">
        <x:v>Accepted</x:v>
      </x:c>
      <x:c r="AC163" s="6" t="str">
        <x:v>The KISS prompt is zero-shot.</x:v>
      </x:c>
    </x:row>
    <x:row r="164" ht="76" customHeight="1">
      <x:c r="A164" s="2" t="str">
        <x:v>S42-MODEL-R04</x:v>
      </x:c>
      <x:c r="B164" s="2" t="str">
        <x:v>S42</x:v>
      </x:c>
      <x:c r="C164" s="2" t="str">
        <x:v>merged_1266</x:v>
      </x:c>
      <x:c r="D164" s="2" t="str">
        <x:v>Reviewer_A</x:v>
      </x:c>
      <x:c r="E164" s="2" t="str">
        <x:v>Reviewer_A</x:v>
      </x:c>
      <x:c r="F164" s="2" t="str">
        <x:v>S42-MU04</x:v>
      </x:c>
      <x:c r="G164" s="2" t="str">
        <x:v>S42-O01</x:v>
      </x:c>
      <x:c r="H164" s="2" t="str">
        <x:v>S42-T01</x:v>
      </x:c>
      <x:c r="I164" s="2" t="str">
        <x:v>Meta AI Llama3.1 8b</x:v>
      </x:c>
      <x:c r="J164" s="2" t="str">
        <x:v>llama-3.1-8b</x:v>
      </x:c>
      <x:c r="K164" s="2" t="str">
        <x:v>Llama</x:v>
      </x:c>
      <x:c r="L164" s="2" t="str">
        <x:v>NR</x:v>
      </x:c>
      <x:c r="M164" s="2" t="str">
        <x:v>8b</x:v>
      </x:c>
      <x:c r="N164" s="2" t="str">
        <x:v>NR</x:v>
      </x:c>
      <x:c r="O164" s="2" t="str">
        <x:v>Open weights</x:v>
      </x:c>
      <x:c r="P164" s="2" t="str">
        <x:v>Local</x:v>
      </x:c>
      <x:c r="Q164" s="2" t="n">
        <x:v>0</x:v>
      </x:c>
      <x:c r="R164" s="2" t="str">
        <x:v>133742243</x:v>
      </x:c>
      <x:c r="S164" s="2" t="str">
        <x:v>Unclear</x:v>
      </x:c>
      <x:c r="T164" s="2" t="str">
        <x:v>NR</x:v>
      </x:c>
      <x:c r="U164" s="2" t="str">
        <x:v>Local GPU (Tesla V100S)</x:v>
      </x:c>
      <x:c r="V164" s="2" t="str">
        <x:v>NR</x:v>
      </x:c>
      <x:c r="W164" s="2" t="str">
        <x:v>No</x:v>
      </x:c>
      <x:c r="X164" s="2" t="str">
        <x:v>No</x:v>
      </x:c>
      <x:c r="Y164" s="6" t="str">
        <x:v>p. 5; Section 4.1</x:v>
      </x:c>
      <x:c r="Z164" s="6" t="str">
        <x:v>our experiments, we set the temperature of the LLMs to zero and set a fixed</x:v>
      </x:c>
      <x:c r="AA164" s="6" t="str">
        <x:v>使用本地部署的Meta AI Llama3.1 8b开源模型，采用KISS提示进行零样本分类。</x:v>
      </x:c>
      <x:c r="AB164" s="2" t="str">
        <x:v>Accepted</x:v>
      </x:c>
      <x:c r="AC164" s="6" t="str">
        <x:v>The KISS prompt is zero-shot.</x:v>
      </x:c>
    </x:row>
    <x:row r="165" ht="76" customHeight="1">
      <x:c r="A165" s="2" t="str">
        <x:v>S42-MODEL-R05</x:v>
      </x:c>
      <x:c r="B165" s="2" t="str">
        <x:v>S42</x:v>
      </x:c>
      <x:c r="C165" s="2" t="str">
        <x:v>merged_1266</x:v>
      </x:c>
      <x:c r="D165" s="2" t="str">
        <x:v>Reviewer_A</x:v>
      </x:c>
      <x:c r="E165" s="2" t="str">
        <x:v>Reviewer_A</x:v>
      </x:c>
      <x:c r="F165" s="2" t="str">
        <x:v>S42-MU05</x:v>
      </x:c>
      <x:c r="G165" s="2" t="str">
        <x:v>S42-O01</x:v>
      </x:c>
      <x:c r="H165" s="2" t="str">
        <x:v>S42-T01</x:v>
      </x:c>
      <x:c r="I165" s="2" t="str">
        <x:v>GPT-4o</x:v>
      </x:c>
      <x:c r="J165" s="2" t="str">
        <x:v>gpt-4o</x:v>
      </x:c>
      <x:c r="K165" s="2" t="str">
        <x:v>GPT</x:v>
      </x:c>
      <x:c r="L165" s="2" t="str">
        <x:v>NR</x:v>
      </x:c>
      <x:c r="M165" s="2" t="str">
        <x:v>NR</x:v>
      </x:c>
      <x:c r="N165" s="2" t="str">
        <x:v>NR</x:v>
      </x:c>
      <x:c r="O165" s="2" t="str">
        <x:v>Closed</x:v>
      </x:c>
      <x:c r="P165" s="2" t="str">
        <x:v>API</x:v>
      </x:c>
      <x:c r="Q165" s="2" t="n">
        <x:v>0</x:v>
      </x:c>
      <x:c r="R165" s="2" t="str">
        <x:v>133742243</x:v>
      </x:c>
      <x:c r="S165" s="2" t="str">
        <x:v>Unclear</x:v>
      </x:c>
      <x:c r="T165" s="2" t="str">
        <x:v>NR</x:v>
      </x:c>
      <x:c r="U165" s="2" t="str">
        <x:v>API</x:v>
      </x:c>
      <x:c r="V165" s="2" t="str">
        <x:v>NR</x:v>
      </x:c>
      <x:c r="W165" s="2" t="str">
        <x:v>No</x:v>
      </x:c>
      <x:c r="X165" s="2" t="str">
        <x:v>No</x:v>
      </x:c>
      <x:c r="Y165" s="6" t="str">
        <x:v>p. 5; Section 4.1</x:v>
      </x:c>
      <x:c r="Z165" s="6" t="str">
        <x:v>our experiments, we set the temperature of the LLMs to zero and set a fixed</x:v>
      </x:c>
      <x:c r="AA165" s="6" t="str">
        <x:v>使用OpenAI的GPT-4o模型，通过API调用，采用CoT提示进行零样本分类。</x:v>
      </x:c>
      <x:c r="AB165" s="2" t="str">
        <x:v>Accepted</x:v>
      </x:c>
      <x:c r="AC165" s="6" t="str">
        <x:v>The CoT prompt asks for reasoning.</x:v>
      </x:c>
    </x:row>
    <x:row r="166" ht="76" customHeight="1">
      <x:c r="A166" s="2" t="str">
        <x:v>S42-MODEL-R06</x:v>
      </x:c>
      <x:c r="B166" s="2" t="str">
        <x:v>S42</x:v>
      </x:c>
      <x:c r="C166" s="2" t="str">
        <x:v>merged_1266</x:v>
      </x:c>
      <x:c r="D166" s="2" t="str">
        <x:v>Reviewer_A</x:v>
      </x:c>
      <x:c r="E166" s="2" t="str">
        <x:v>Reviewer_A</x:v>
      </x:c>
      <x:c r="F166" s="2" t="str">
        <x:v>S42-MU06</x:v>
      </x:c>
      <x:c r="G166" s="2" t="str">
        <x:v>S42-O01</x:v>
      </x:c>
      <x:c r="H166" s="2" t="str">
        <x:v>S42-T01</x:v>
      </x:c>
      <x:c r="I166" s="2" t="str">
        <x:v>GPT-4o mini</x:v>
      </x:c>
      <x:c r="J166" s="2" t="str">
        <x:v>gpt-4o-mini</x:v>
      </x:c>
      <x:c r="K166" s="2" t="str">
        <x:v>GPT</x:v>
      </x:c>
      <x:c r="L166" s="2" t="str">
        <x:v>NR</x:v>
      </x:c>
      <x:c r="M166" s="2" t="str">
        <x:v>NR</x:v>
      </x:c>
      <x:c r="N166" s="2" t="str">
        <x:v>NR</x:v>
      </x:c>
      <x:c r="O166" s="2" t="str">
        <x:v>Closed</x:v>
      </x:c>
      <x:c r="P166" s="2" t="str">
        <x:v>API</x:v>
      </x:c>
      <x:c r="Q166" s="2" t="n">
        <x:v>0</x:v>
      </x:c>
      <x:c r="R166" s="2" t="str">
        <x:v>133742243</x:v>
      </x:c>
      <x:c r="S166" s="2" t="str">
        <x:v>Unclear</x:v>
      </x:c>
      <x:c r="T166" s="2" t="str">
        <x:v>NR</x:v>
      </x:c>
      <x:c r="U166" s="2" t="str">
        <x:v>API</x:v>
      </x:c>
      <x:c r="V166" s="2" t="str">
        <x:v>NR</x:v>
      </x:c>
      <x:c r="W166" s="2" t="str">
        <x:v>No</x:v>
      </x:c>
      <x:c r="X166" s="2" t="str">
        <x:v>No</x:v>
      </x:c>
      <x:c r="Y166" s="6" t="str">
        <x:v>p. 5; Section 4.1</x:v>
      </x:c>
      <x:c r="Z166" s="6" t="str">
        <x:v>our experiments, we set the temperature of the LLMs to zero and set a fixed</x:v>
      </x:c>
      <x:c r="AA166" s="6" t="str">
        <x:v>使用OpenAI的GPT-4o mini模型，通过API调用，采用CoT提示进行零样本分类。</x:v>
      </x:c>
      <x:c r="AB166" s="2" t="str">
        <x:v>Accepted</x:v>
      </x:c>
      <x:c r="AC166" s="6" t="str">
        <x:v>The CoT prompt asks for reasoning.</x:v>
      </x:c>
    </x:row>
    <x:row r="167" ht="76" customHeight="1">
      <x:c r="A167" s="2" t="str">
        <x:v>S42-MODEL-R07</x:v>
      </x:c>
      <x:c r="B167" s="2" t="str">
        <x:v>S42</x:v>
      </x:c>
      <x:c r="C167" s="2" t="str">
        <x:v>merged_1266</x:v>
      </x:c>
      <x:c r="D167" s="2" t="str">
        <x:v>Reviewer_A</x:v>
      </x:c>
      <x:c r="E167" s="2" t="str">
        <x:v>Reviewer_A</x:v>
      </x:c>
      <x:c r="F167" s="2" t="str">
        <x:v>S42-MU07</x:v>
      </x:c>
      <x:c r="G167" s="2" t="str">
        <x:v>S42-O01</x:v>
      </x:c>
      <x:c r="H167" s="2" t="str">
        <x:v>S42-T01</x:v>
      </x:c>
      <x:c r="I167" s="2" t="str">
        <x:v>Codellama 13b</x:v>
      </x:c>
      <x:c r="J167" s="2" t="str">
        <x:v>codellama-13b</x:v>
      </x:c>
      <x:c r="K167" s="2" t="str">
        <x:v>Llama</x:v>
      </x:c>
      <x:c r="L167" s="2" t="str">
        <x:v>NR</x:v>
      </x:c>
      <x:c r="M167" s="2" t="str">
        <x:v>13b</x:v>
      </x:c>
      <x:c r="N167" s="2" t="str">
        <x:v>NR</x:v>
      </x:c>
      <x:c r="O167" s="2" t="str">
        <x:v>Open weights</x:v>
      </x:c>
      <x:c r="P167" s="2" t="str">
        <x:v>Local</x:v>
      </x:c>
      <x:c r="Q167" s="2" t="n">
        <x:v>0</x:v>
      </x:c>
      <x:c r="R167" s="2" t="str">
        <x:v>133742243</x:v>
      </x:c>
      <x:c r="S167" s="2" t="str">
        <x:v>Unclear</x:v>
      </x:c>
      <x:c r="T167" s="2" t="str">
        <x:v>NR</x:v>
      </x:c>
      <x:c r="U167" s="2" t="str">
        <x:v>Local GPU (Tesla V100S)</x:v>
      </x:c>
      <x:c r="V167" s="2" t="str">
        <x:v>NR</x:v>
      </x:c>
      <x:c r="W167" s="2" t="str">
        <x:v>No</x:v>
      </x:c>
      <x:c r="X167" s="2" t="str">
        <x:v>No</x:v>
      </x:c>
      <x:c r="Y167" s="6" t="str">
        <x:v>p. 5; Section 4.1</x:v>
      </x:c>
      <x:c r="Z167" s="6" t="str">
        <x:v>our experiments, we set the temperature of the LLMs to zero and set a fixed</x:v>
      </x:c>
      <x:c r="AA167" s="6" t="str">
        <x:v>使用本地部署的Codellama 13b开源模型，采用CoT提示进行零样本分类。</x:v>
      </x:c>
      <x:c r="AB167" s="2" t="str">
        <x:v>Accepted</x:v>
      </x:c>
      <x:c r="AC167" s="6" t="str">
        <x:v>The CoT prompt asks for reasoning.</x:v>
      </x:c>
    </x:row>
    <x:row r="168" ht="76" customHeight="1">
      <x:c r="A168" s="2" t="str">
        <x:v>S42-MODEL-R08</x:v>
      </x:c>
      <x:c r="B168" s="2" t="str">
        <x:v>S42</x:v>
      </x:c>
      <x:c r="C168" s="2" t="str">
        <x:v>merged_1266</x:v>
      </x:c>
      <x:c r="D168" s="2" t="str">
        <x:v>Reviewer_A</x:v>
      </x:c>
      <x:c r="E168" s="2" t="str">
        <x:v>Reviewer_A</x:v>
      </x:c>
      <x:c r="F168" s="2" t="str">
        <x:v>S42-MU08</x:v>
      </x:c>
      <x:c r="G168" s="2" t="str">
        <x:v>S42-O01</x:v>
      </x:c>
      <x:c r="H168" s="2" t="str">
        <x:v>S42-T01</x:v>
      </x:c>
      <x:c r="I168" s="2" t="str">
        <x:v>Meta AI Llama3.1 8b</x:v>
      </x:c>
      <x:c r="J168" s="2" t="str">
        <x:v>llama-3.1-8b</x:v>
      </x:c>
      <x:c r="K168" s="2" t="str">
        <x:v>Llama</x:v>
      </x:c>
      <x:c r="L168" s="2" t="str">
        <x:v>NR</x:v>
      </x:c>
      <x:c r="M168" s="2" t="str">
        <x:v>8b</x:v>
      </x:c>
      <x:c r="N168" s="2" t="str">
        <x:v>NR</x:v>
      </x:c>
      <x:c r="O168" s="2" t="str">
        <x:v>Open weights</x:v>
      </x:c>
      <x:c r="P168" s="2" t="str">
        <x:v>Local</x:v>
      </x:c>
      <x:c r="Q168" s="2" t="n">
        <x:v>0</x:v>
      </x:c>
      <x:c r="R168" s="2" t="str">
        <x:v>133742243</x:v>
      </x:c>
      <x:c r="S168" s="2" t="str">
        <x:v>Unclear</x:v>
      </x:c>
      <x:c r="T168" s="2" t="str">
        <x:v>NR</x:v>
      </x:c>
      <x:c r="U168" s="2" t="str">
        <x:v>Local GPU (Tesla V100S)</x:v>
      </x:c>
      <x:c r="V168" s="2" t="str">
        <x:v>NR</x:v>
      </x:c>
      <x:c r="W168" s="2" t="str">
        <x:v>No</x:v>
      </x:c>
      <x:c r="X168" s="2" t="str">
        <x:v>No</x:v>
      </x:c>
      <x:c r="Y168" s="6" t="str">
        <x:v>p. 5; Section 4.1</x:v>
      </x:c>
      <x:c r="Z168" s="6" t="str">
        <x:v>our experiments, we set the temperature of the LLMs to zero and set a fixed</x:v>
      </x:c>
      <x:c r="AA168" s="6" t="str">
        <x:v>使用本地部署的Meta AI Llama3.1 8b开源模型，采用CoT提示进行零样本分类。</x:v>
      </x:c>
      <x:c r="AB168" s="2" t="str">
        <x:v>Accepted</x:v>
      </x:c>
      <x:c r="AC168" s="6" t="str">
        <x:v>The CoT prompt asks for reasoning.</x:v>
      </x:c>
    </x:row>
    <x:row r="169" ht="76" customHeight="1">
      <x:c r="A169" s="2" t="str">
        <x:v>S43-MODEL-R01</x:v>
      </x:c>
      <x:c r="B169" s="2" t="str">
        <x:v>S43</x:v>
      </x:c>
      <x:c r="C169" s="2" t="str">
        <x:v>merged_1270</x:v>
      </x:c>
      <x:c r="D169" s="2" t="str">
        <x:v>Reviewer_A</x:v>
      </x:c>
      <x:c r="E169" s="2" t="str">
        <x:v>Reviewer_A</x:v>
      </x:c>
      <x:c r="F169" s="2" t="str">
        <x:v>S43-MU01</x:v>
      </x:c>
      <x:c r="G169" s="2" t="str">
        <x:v>S43-O01</x:v>
      </x:c>
      <x:c r="H169" s="2" t="str">
        <x:v>S43-T01</x:v>
      </x:c>
      <x:c r="I169" s="2" t="str">
        <x:v>Gemini 2.5 pro</x:v>
      </x:c>
      <x:c r="J169" s="2" t="str">
        <x:v>Gemini 2.5 Pro</x:v>
      </x:c>
      <x:c r="K169" s="2" t="str">
        <x:v>Gemini</x:v>
      </x:c>
      <x:c r="L169" s="2" t="str">
        <x:v>NR</x:v>
      </x:c>
      <x:c r="M169" s="2" t="str">
        <x:v>NR</x:v>
      </x:c>
      <x:c r="N169" s="2" t="str">
        <x:v>Unclear</x:v>
      </x:c>
      <x:c r="O169" s="2" t="str">
        <x:v>Closed</x:v>
      </x:c>
      <x:c r="P169" s="2" t="str">
        <x:v>Unclear</x:v>
      </x:c>
      <x:c r="Q169" s="2" t="str">
        <x:v>NR</x:v>
      </x:c>
      <x:c r="R169" s="2" t="str">
        <x:v>NR</x:v>
      </x:c>
      <x:c r="S169" s="2" t="str">
        <x:v>NR</x:v>
      </x:c>
      <x:c r="T169" s="2" t="str">
        <x:v>NR</x:v>
      </x:c>
      <x:c r="U169" s="2" t="str">
        <x:v>Unclear</x:v>
      </x:c>
      <x:c r="V169" s="2" t="str">
        <x:v>NR</x:v>
      </x:c>
      <x:c r="W169" s="2" t="str">
        <x:v>No</x:v>
      </x:c>
      <x:c r="X169" s="2" t="str">
        <x:v>No</x:v>
      </x:c>
      <x:c r="Y169" s="6" t="str">
        <x:v>p. 8; Section V-A</x:v>
      </x:c>
      <x:c r="Z169" s="6" t="str">
        <x:v>Google’s Gemini 2.5 pro model has notable technical advantages.</x:v>
      </x:c>
      <x:c r="AA169" s="6" t="str">
        <x:v>使用Gemini 2.5 Pro进行归因推理，因其性能最优被选为最终框架的基础模型。</x:v>
      </x:c>
      <x:c r="AB169" s="2" t="str">
        <x:v>Accepted</x:v>
      </x:c>
      <x:c r="AC169" s="6" t="str">
        <x:v>接入方式未明确说明，推测通过API调用。</x:v>
      </x:c>
    </x:row>
    <x:row r="170" ht="76" customHeight="1">
      <x:c r="A170" s="2" t="str">
        <x:v>S43-MODEL-R02</x:v>
      </x:c>
      <x:c r="B170" s="2" t="str">
        <x:v>S43</x:v>
      </x:c>
      <x:c r="C170" s="2" t="str">
        <x:v>merged_1270</x:v>
      </x:c>
      <x:c r="D170" s="2" t="str">
        <x:v>Reviewer_A</x:v>
      </x:c>
      <x:c r="E170" s="2" t="str">
        <x:v>Reviewer_A</x:v>
      </x:c>
      <x:c r="F170" s="2" t="str">
        <x:v>S43-MU02</x:v>
      </x:c>
      <x:c r="G170" s="2" t="str">
        <x:v>S43-O01</x:v>
      </x:c>
      <x:c r="H170" s="2" t="str">
        <x:v>S43-T01</x:v>
      </x:c>
      <x:c r="I170" s="2" t="str">
        <x:v>llama 3.3</x:v>
      </x:c>
      <x:c r="J170" s="2" t="str">
        <x:v>Llama 3.3 8B Instruct</x:v>
      </x:c>
      <x:c r="K170" s="2" t="str">
        <x:v>Llama</x:v>
      </x:c>
      <x:c r="L170" s="2" t="str">
        <x:v>3.3</x:v>
      </x:c>
      <x:c r="M170" s="2" t="str">
        <x:v>8B</x:v>
      </x:c>
      <x:c r="N170" s="2" t="str">
        <x:v>Unclear</x:v>
      </x:c>
      <x:c r="O170" s="2" t="str">
        <x:v>Open weights</x:v>
      </x:c>
      <x:c r="P170" s="2" t="str">
        <x:v>Unclear</x:v>
      </x:c>
      <x:c r="Q170" s="2" t="str">
        <x:v>NR</x:v>
      </x:c>
      <x:c r="R170" s="2" t="str">
        <x:v>NR</x:v>
      </x:c>
      <x:c r="S170" s="2" t="str">
        <x:v>NR</x:v>
      </x:c>
      <x:c r="T170" s="2" t="str">
        <x:v>NR</x:v>
      </x:c>
      <x:c r="U170" s="2" t="str">
        <x:v>Unclear</x:v>
      </x:c>
      <x:c r="V170" s="2" t="str">
        <x:v>NR</x:v>
      </x:c>
      <x:c r="W170" s="2" t="str">
        <x:v>No</x:v>
      </x:c>
      <x:c r="X170" s="2" t="str">
        <x:v>No</x:v>
      </x:c>
      <x:c r="Y170" s="6" t="str">
        <x:v>p. 8; Section V-A</x:v>
      </x:c>
      <x:c r="Z170" s="6" t="str">
        <x:v>the second-best model, Llama 3.3, which scored 0.58</x:v>
      </x:c>
      <x:c r="AA170" s="6" t="str">
        <x:v>在对比实验中测试了Llama 3.3 8B Instruct，作为候选LLM之一。</x:v>
      </x:c>
      <x:c r="AB170" s="2" t="str">
        <x:v>Accepted</x:v>
      </x:c>
      <x:c r="AC170" s="6" t="str">
        <x:v>The article reports 'LLaMA 3.3 8B Instruct' verbatim. This identifier is retained for evidence fidelity even though public Meta release information primarily identifies Llama 3.3 70B.</x:v>
      </x:c>
    </x:row>
    <x:row r="171" ht="76" customHeight="1">
      <x:c r="A171" s="2" t="str">
        <x:v>S43-MODEL-R03</x:v>
      </x:c>
      <x:c r="B171" s="2" t="str">
        <x:v>S43</x:v>
      </x:c>
      <x:c r="C171" s="2" t="str">
        <x:v>merged_1270</x:v>
      </x:c>
      <x:c r="D171" s="2" t="str">
        <x:v>Reviewer_A</x:v>
      </x:c>
      <x:c r="E171" s="2" t="str">
        <x:v>Reviewer_A</x:v>
      </x:c>
      <x:c r="F171" s="2" t="str">
        <x:v>S43-MU03</x:v>
      </x:c>
      <x:c r="G171" s="2" t="str">
        <x:v>S43-O01</x:v>
      </x:c>
      <x:c r="H171" s="2" t="str">
        <x:v>S43-T01</x:v>
      </x:c>
      <x:c r="I171" s="2" t="str">
        <x:v>deepseek R1</x:v>
      </x:c>
      <x:c r="J171" s="2" t="str">
        <x:v>DeepSeek-R1</x:v>
      </x:c>
      <x:c r="K171" s="2" t="str">
        <x:v>DeepSeek</x:v>
      </x:c>
      <x:c r="L171" s="2" t="str">
        <x:v>R1</x:v>
      </x:c>
      <x:c r="M171" s="2" t="str">
        <x:v>NR</x:v>
      </x:c>
      <x:c r="N171" s="2" t="str">
        <x:v>Unclear</x:v>
      </x:c>
      <x:c r="O171" s="2" t="str">
        <x:v>Open weights</x:v>
      </x:c>
      <x:c r="P171" s="2" t="str">
        <x:v>API</x:v>
      </x:c>
      <x:c r="Q171" s="2" t="str">
        <x:v>NR</x:v>
      </x:c>
      <x:c r="R171" s="2" t="str">
        <x:v>NR</x:v>
      </x:c>
      <x:c r="S171" s="2" t="str">
        <x:v>NR</x:v>
      </x:c>
      <x:c r="T171" s="2" t="str">
        <x:v>NR</x:v>
      </x:c>
      <x:c r="U171" s="2" t="str">
        <x:v>API</x:v>
      </x:c>
      <x:c r="V171" s="2" t="str">
        <x:v>NR</x:v>
      </x:c>
      <x:c r="W171" s="2" t="str">
        <x:v>No</x:v>
      </x:c>
      <x:c r="X171" s="2" t="str">
        <x:v>No</x:v>
      </x:c>
      <x:c r="Y171" s="6" t="str">
        <x:v>p. 8; Section IV-E</x:v>
      </x:c>
      <x:c r="Z171" s="6" t="str">
        <x:v>the reasoning generation component was implemented using APIs provided by the DeepSeek open platform.</x:v>
      </x:c>
      <x:c r="AA171" s="6" t="str">
        <x:v>DeepSeek-R1通过官方API调用，用于对比实验中的归因推理。</x:v>
      </x:c>
      <x:c r="AB171" s="2" t="str">
        <x:v>Accepted</x:v>
      </x:c>
      <x:c r="AC171" s="6" t="str">
        <x:v>DeepSeek系列模型通过开放平台API使用。</x:v>
      </x:c>
    </x:row>
    <x:row r="172" ht="76" customHeight="1">
      <x:c r="A172" s="2" t="str">
        <x:v>S43-MODEL-R04</x:v>
      </x:c>
      <x:c r="B172" s="2" t="str">
        <x:v>S43</x:v>
      </x:c>
      <x:c r="C172" s="2" t="str">
        <x:v>merged_1270</x:v>
      </x:c>
      <x:c r="D172" s="2" t="str">
        <x:v>Reviewer_A</x:v>
      </x:c>
      <x:c r="E172" s="2" t="str">
        <x:v>Reviewer_A</x:v>
      </x:c>
      <x:c r="F172" s="2" t="str">
        <x:v>S43-MU04</x:v>
      </x:c>
      <x:c r="G172" s="2" t="str">
        <x:v>S43-O01</x:v>
      </x:c>
      <x:c r="H172" s="2" t="str">
        <x:v>S43-T01</x:v>
      </x:c>
      <x:c r="I172" s="2" t="str">
        <x:v>deepseek V3</x:v>
      </x:c>
      <x:c r="J172" s="2" t="str">
        <x:v>DeepSeek-V3</x:v>
      </x:c>
      <x:c r="K172" s="2" t="str">
        <x:v>DeepSeek</x:v>
      </x:c>
      <x:c r="L172" s="2" t="str">
        <x:v>V3</x:v>
      </x:c>
      <x:c r="M172" s="2" t="str">
        <x:v>NR</x:v>
      </x:c>
      <x:c r="N172" s="2" t="str">
        <x:v>Unclear</x:v>
      </x:c>
      <x:c r="O172" s="2" t="str">
        <x:v>Open weights</x:v>
      </x:c>
      <x:c r="P172" s="2" t="str">
        <x:v>API</x:v>
      </x:c>
      <x:c r="Q172" s="2" t="str">
        <x:v>NR</x:v>
      </x:c>
      <x:c r="R172" s="2" t="str">
        <x:v>NR</x:v>
      </x:c>
      <x:c r="S172" s="2" t="str">
        <x:v>NR</x:v>
      </x:c>
      <x:c r="T172" s="2" t="str">
        <x:v>NR</x:v>
      </x:c>
      <x:c r="U172" s="2" t="str">
        <x:v>API</x:v>
      </x:c>
      <x:c r="V172" s="2" t="str">
        <x:v>NR</x:v>
      </x:c>
      <x:c r="W172" s="2" t="str">
        <x:v>No</x:v>
      </x:c>
      <x:c r="X172" s="2" t="str">
        <x:v>No</x:v>
      </x:c>
      <x:c r="Y172" s="6" t="str">
        <x:v>p. 8; Section IV-E</x:v>
      </x:c>
      <x:c r="Z172" s="6" t="str">
        <x:v>the reasoning generation component was implemented using APIs provided by the DeepSeek open platform.</x:v>
      </x:c>
      <x:c r="AA172" s="6" t="str">
        <x:v>DeepSeek-V3通过官方API调用，用于对比实验中的归因推理。</x:v>
      </x:c>
      <x:c r="AB172" s="2" t="str">
        <x:v>Accepted</x:v>
      </x:c>
      <x:c r="AC172" s="6" t="str">
        <x:v>DeepSeek V3与R1共用同一套API实现。</x:v>
      </x:c>
    </x:row>
    <x:row r="173" ht="76" customHeight="1">
      <x:c r="A173" s="2" t="str">
        <x:v>S44-MODEL-R01</x:v>
      </x:c>
      <x:c r="B173" s="2" t="str">
        <x:v>S44</x:v>
      </x:c>
      <x:c r="C173" s="2" t="str">
        <x:v>merged_1274</x:v>
      </x:c>
      <x:c r="D173" s="2" t="str">
        <x:v>Reviewer_A</x:v>
      </x:c>
      <x:c r="E173" s="2" t="str">
        <x:v>Reviewer_A</x:v>
      </x:c>
      <x:c r="F173" s="2" t="str">
        <x:v>S44-MU01</x:v>
      </x:c>
      <x:c r="G173" s="2" t="str">
        <x:v>S44-O01</x:v>
      </x:c>
      <x:c r="H173" s="2" t="str">
        <x:v>S44-T01</x:v>
      </x:c>
      <x:c r="I173" s="2" t="str">
        <x:v>GPT-3.5</x:v>
      </x:c>
      <x:c r="J173" s="2" t="str">
        <x:v>gpt-3.5</x:v>
      </x:c>
      <x:c r="K173" s="2" t="str">
        <x:v>GPT</x:v>
      </x:c>
      <x:c r="L173" s="2" t="str">
        <x:v>Unclear</x:v>
      </x:c>
      <x:c r="M173" s="2" t="str">
        <x:v>NR</x:v>
      </x:c>
      <x:c r="N173" s="2" t="str">
        <x:v>NR</x:v>
      </x:c>
      <x:c r="O173" s="2" t="str">
        <x:v>Closed</x:v>
      </x:c>
      <x:c r="P173" s="2" t="str">
        <x:v>API</x:v>
      </x:c>
      <x:c r="Q173" s="2" t="str">
        <x:v>NR</x:v>
      </x:c>
      <x:c r="R173" s="2" t="str">
        <x:v>NR</x:v>
      </x:c>
      <x:c r="S173" s="2" t="str">
        <x:v>NR</x:v>
      </x:c>
      <x:c r="T173" s="2" t="str">
        <x:v>NR</x:v>
      </x:c>
      <x:c r="U173" s="2" t="str">
        <x:v>API</x:v>
      </x:c>
      <x:c r="V173" s="2" t="str">
        <x:v>NR</x:v>
      </x:c>
      <x:c r="W173" s="2" t="str">
        <x:v>Yes</x:v>
      </x:c>
      <x:c r="X173" s="2" t="str">
        <x:v>No</x:v>
      </x:c>
      <x:c r="Y173" s="6" t="str">
        <x:v>p. 2; B. Preprocessing</x:v>
      </x:c>
      <x:c r="Z173" s="6" t="str">
        <x:v>non-English requirements were translated into English using GPT-3.5</x:v>
      </x:c>
      <x:c r="AA173" s="6" t="str">
        <x:v>在预处理阶段，通过API调用GPT-3.5进行翻译，成本信息在整体评估中报告（总计$0.52）。</x:v>
      </x:c>
      <x:c r="AB173" s="2" t="str">
        <x:v>Accepted</x:v>
      </x:c>
      <x:c r="AC173" s="6" t="str">
        <x:v>成本信息见p.5: “Based on the official pricing of the GPT-3.5 API ... the total cost ... is approximately $0.52.”</x:v>
      </x:c>
    </x:row>
    <x:row r="174" ht="76" customHeight="1">
      <x:c r="A174" s="2" t="str">
        <x:v>S44-MODEL-R02</x:v>
      </x:c>
      <x:c r="B174" s="2" t="str">
        <x:v>S44</x:v>
      </x:c>
      <x:c r="C174" s="2" t="str">
        <x:v>merged_1274</x:v>
      </x:c>
      <x:c r="D174" s="2" t="str">
        <x:v>Reviewer_A</x:v>
      </x:c>
      <x:c r="E174" s="2" t="str">
        <x:v>Reviewer_A</x:v>
      </x:c>
      <x:c r="F174" s="2" t="str">
        <x:v>S44-MU02</x:v>
      </x:c>
      <x:c r="G174" s="2" t="str">
        <x:v>S44-O02</x:v>
      </x:c>
      <x:c r="H174" s="2" t="str">
        <x:v>S44-T01</x:v>
      </x:c>
      <x:c r="I174" s="2" t="str">
        <x:v>GPT-3.5</x:v>
      </x:c>
      <x:c r="J174" s="2" t="str">
        <x:v>gpt-3.5</x:v>
      </x:c>
      <x:c r="K174" s="2" t="str">
        <x:v>GPT</x:v>
      </x:c>
      <x:c r="L174" s="2" t="str">
        <x:v>Unclear</x:v>
      </x:c>
      <x:c r="M174" s="2" t="str">
        <x:v>NR</x:v>
      </x:c>
      <x:c r="N174" s="2" t="str">
        <x:v>NR</x:v>
      </x:c>
      <x:c r="O174" s="2" t="str">
        <x:v>Closed</x:v>
      </x:c>
      <x:c r="P174" s="2" t="str">
        <x:v>API</x:v>
      </x:c>
      <x:c r="Q174" s="2" t="str">
        <x:v>NR</x:v>
      </x:c>
      <x:c r="R174" s="2" t="str">
        <x:v>NR</x:v>
      </x:c>
      <x:c r="S174" s="2" t="str">
        <x:v>NR</x:v>
      </x:c>
      <x:c r="T174" s="2" t="str">
        <x:v>NR</x:v>
      </x:c>
      <x:c r="U174" s="2" t="str">
        <x:v>API</x:v>
      </x:c>
      <x:c r="V174" s="2" t="str">
        <x:v>NR</x:v>
      </x:c>
      <x:c r="W174" s="2" t="str">
        <x:v>Yes</x:v>
      </x:c>
      <x:c r="X174" s="2" t="str">
        <x:v>No</x:v>
      </x:c>
      <x:c r="Y174" s="6" t="str">
        <x:v>p. 2; C. Prompt Design</x:v>
      </x:c>
      <x:c r="Z174" s="6" t="str">
        <x:v>3.5) ﬁrst determines the programming language, as syn- tax differences affect subsequent parsing and analysis.</x:v>
      </x:c>
      <x:c r="AA174" s="6" t="str">
        <x:v>在提示设计阶段，通过API调用GPT-3.5执行CoT推理生成业务需求描述，成本信息在整体评估中报告（总计$0.52）。</x:v>
      </x:c>
      <x:c r="AB174" s="2" t="str">
        <x:v>Accepted</x:v>
      </x:c>
      <x:c r="AC174" s="6" t="str">
        <x:v>成本信息见p.5: “Based on the official pricing of the GPT-3.5 API ... the total cost ... is approximately $0.52.”</x:v>
      </x:c>
    </x:row>
    <x:row r="175" ht="76" customHeight="1">
      <x:c r="A175" s="2" t="str">
        <x:v>S45-MODEL-R01</x:v>
      </x:c>
      <x:c r="B175" s="2" t="str">
        <x:v>S45</x:v>
      </x:c>
      <x:c r="C175" s="2" t="str">
        <x:v>merged_1275</x:v>
      </x:c>
      <x:c r="D175" s="2" t="str">
        <x:v>Reviewer_A</x:v>
      </x:c>
      <x:c r="E175" s="2" t="str">
        <x:v>Reviewer_A</x:v>
      </x:c>
      <x:c r="F175" s="2" t="str">
        <x:v>S45-MU01</x:v>
      </x:c>
      <x:c r="G175" s="2" t="str">
        <x:v>S45-O01</x:v>
      </x:c>
      <x:c r="H175" s="2" t="str">
        <x:v>S45-T01</x:v>
      </x:c>
      <x:c r="I175" s="2" t="str">
        <x:v>ChatGPT-4o</x:v>
      </x:c>
      <x:c r="J175" s="2" t="str">
        <x:v>gpt-4o</x:v>
      </x:c>
      <x:c r="K175" s="2" t="str">
        <x:v>GPT</x:v>
      </x:c>
      <x:c r="L175" s="2" t="str">
        <x:v>4o</x:v>
      </x:c>
      <x:c r="M175" s="2" t="str">
        <x:v>NR</x:v>
      </x:c>
      <x:c r="N175" s="2" t="str">
        <x:v>NR</x:v>
      </x:c>
      <x:c r="O175" s="2" t="str">
        <x:v>Closed</x:v>
      </x:c>
      <x:c r="P175" s="2" t="str">
        <x:v>Unclear</x:v>
      </x:c>
      <x:c r="Q175" s="2" t="str">
        <x:v>NR</x:v>
      </x:c>
      <x:c r="R175" s="2" t="str">
        <x:v>NR</x:v>
      </x:c>
      <x:c r="S175" s="2" t="n">
        <x:v>5</x:v>
      </x:c>
      <x:c r="T175" s="2" t="str">
        <x:v>NR</x:v>
      </x:c>
      <x:c r="U175" s="2" t="str">
        <x:v>Elmos ChatGPT-4o Workspace</x:v>
      </x:c>
      <x:c r="V175" s="2" t="str">
        <x:v>NR</x:v>
      </x:c>
      <x:c r="W175" s="2" t="str">
        <x:v>No</x:v>
      </x:c>
      <x:c r="X175" s="2" t="str">
        <x:v>No</x:v>
      </x:c>
      <x:c r="Y175" s="6" t="str">
        <x:v>p. 2; Section 2</x:v>
      </x:c>
      <x:c r="Z175" s="6" t="str">
        <x:v>We used Elmos ChatGPT-4o Workspace equipped with ChatGPT-4o.</x:v>
      </x:c>
      <x:c r="AA175" s="6" t="str">
        <x:v>研究所用模型为 ChatGPT-4o，通过企业工作空间访问，具体是 API 还是本地部署未明确。</x:v>
      </x:c>
      <x:c r="AB175" s="2" t="str">
        <x:v>Accepted</x:v>
      </x:c>
      <x:c r="AC175" s="6" t="str">
        <x:v>Repeat count from: the task was performed in five separate sessions (p.2)</x:v>
      </x:c>
    </x:row>
    <x:row r="176" ht="76" customHeight="1">
      <x:c r="A176" s="2" t="str">
        <x:v>S45-MODEL-R02</x:v>
      </x:c>
      <x:c r="B176" s="2" t="str">
        <x:v>S45</x:v>
      </x:c>
      <x:c r="C176" s="2" t="str">
        <x:v>merged_1275</x:v>
      </x:c>
      <x:c r="D176" s="2" t="str">
        <x:v>Reviewer_A</x:v>
      </x:c>
      <x:c r="E176" s="2" t="str">
        <x:v>Reviewer_A</x:v>
      </x:c>
      <x:c r="F176" s="2" t="str">
        <x:v>S45-MU02</x:v>
      </x:c>
      <x:c r="G176" s="2" t="str">
        <x:v>S45-O02</x:v>
      </x:c>
      <x:c r="H176" s="2" t="str">
        <x:v>S45-T02</x:v>
      </x:c>
      <x:c r="I176" s="2" t="str">
        <x:v>ChatGPT-4o</x:v>
      </x:c>
      <x:c r="J176" s="2" t="str">
        <x:v>gpt-4o</x:v>
      </x:c>
      <x:c r="K176" s="2" t="str">
        <x:v>GPT</x:v>
      </x:c>
      <x:c r="L176" s="2" t="str">
        <x:v>4o</x:v>
      </x:c>
      <x:c r="M176" s="2" t="str">
        <x:v>NR</x:v>
      </x:c>
      <x:c r="N176" s="2" t="str">
        <x:v>NR</x:v>
      </x:c>
      <x:c r="O176" s="2" t="str">
        <x:v>Closed</x:v>
      </x:c>
      <x:c r="P176" s="2" t="str">
        <x:v>Unclear</x:v>
      </x:c>
      <x:c r="Q176" s="2" t="str">
        <x:v>NR</x:v>
      </x:c>
      <x:c r="R176" s="2" t="str">
        <x:v>NR</x:v>
      </x:c>
      <x:c r="S176" s="2" t="str">
        <x:v>NR</x:v>
      </x:c>
      <x:c r="T176" s="2" t="str">
        <x:v>NR</x:v>
      </x:c>
      <x:c r="U176" s="2" t="str">
        <x:v>Elmos ChatGPT-4o Workspace</x:v>
      </x:c>
      <x:c r="V176" s="2" t="str">
        <x:v>NR</x:v>
      </x:c>
      <x:c r="W176" s="2" t="str">
        <x:v>No</x:v>
      </x:c>
      <x:c r="X176" s="2" t="str">
        <x:v>No</x:v>
      </x:c>
      <x:c r="Y176" s="6" t="str">
        <x:v>p. 2; Section 2</x:v>
      </x:c>
      <x:c r="Z176" s="6" t="str">
        <x:v>We used Elmos ChatGPT-4o Workspace equipped with ChatGPT-4o.</x:v>
      </x:c>
      <x:c r="AA176" s="6" t="str">
        <x:v>与 M1 相同模型，但用于不同的任务。未报告重复运行次数。</x:v>
      </x:c>
      <x:c r="AB176" s="2" t="str">
        <x:v>Accepted</x:v>
      </x:c>
      <x:c r="AC176" s="6" t="str">
        <x:v>NA</x:v>
      </x:c>
    </x:row>
    <x:row r="177" ht="76" customHeight="1">
      <x:c r="A177" s="2" t="str">
        <x:v>S45-MODEL-R03</x:v>
      </x:c>
      <x:c r="B177" s="2" t="str">
        <x:v>S45</x:v>
      </x:c>
      <x:c r="C177" s="2" t="str">
        <x:v>merged_1275</x:v>
      </x:c>
      <x:c r="D177" s="2" t="str">
        <x:v>Reviewer_A</x:v>
      </x:c>
      <x:c r="E177" s="2" t="str">
        <x:v>Reviewer_A</x:v>
      </x:c>
      <x:c r="F177" s="2" t="str">
        <x:v>S45-MU03</x:v>
      </x:c>
      <x:c r="G177" s="2" t="str">
        <x:v>S45-O03</x:v>
      </x:c>
      <x:c r="H177" s="2" t="str">
        <x:v>S45-T03</x:v>
      </x:c>
      <x:c r="I177" s="2" t="str">
        <x:v>ChatGPT-4o</x:v>
      </x:c>
      <x:c r="J177" s="2" t="str">
        <x:v>gpt-4o</x:v>
      </x:c>
      <x:c r="K177" s="2" t="str">
        <x:v>GPT</x:v>
      </x:c>
      <x:c r="L177" s="2" t="str">
        <x:v>4o</x:v>
      </x:c>
      <x:c r="M177" s="2" t="str">
        <x:v>NR</x:v>
      </x:c>
      <x:c r="N177" s="2" t="str">
        <x:v>NR</x:v>
      </x:c>
      <x:c r="O177" s="2" t="str">
        <x:v>Closed</x:v>
      </x:c>
      <x:c r="P177" s="2" t="str">
        <x:v>Unclear</x:v>
      </x:c>
      <x:c r="Q177" s="2" t="str">
        <x:v>NR</x:v>
      </x:c>
      <x:c r="R177" s="2" t="str">
        <x:v>NR</x:v>
      </x:c>
      <x:c r="S177" s="2" t="n">
        <x:v>7</x:v>
      </x:c>
      <x:c r="T177" s="2" t="str">
        <x:v>NR</x:v>
      </x:c>
      <x:c r="U177" s="2" t="str">
        <x:v>Elmos ChatGPT-4o Workspace</x:v>
      </x:c>
      <x:c r="V177" s="2" t="str">
        <x:v>NR</x:v>
      </x:c>
      <x:c r="W177" s="2" t="str">
        <x:v>No</x:v>
      </x:c>
      <x:c r="X177" s="2" t="str">
        <x:v>No</x:v>
      </x:c>
      <x:c r="Y177" s="6" t="str">
        <x:v>p. 2; Section 2</x:v>
      </x:c>
      <x:c r="Z177" s="6" t="str">
        <x:v>We used Elmos ChatGPT-4o Workspace equipped with ChatGPT-4o.</x:v>
      </x:c>
      <x:c r="AA177" s="6" t="str">
        <x:v>链接预测任务，运行七次取平均，重复次数从 The analysis is conducted seven times (p.4) 取得。</x:v>
      </x:c>
      <x:c r="AB177" s="2" t="str">
        <x:v>Accepted</x:v>
      </x:c>
      <x:c r="AC177" s="6" t="str">
        <x:v>Repeat count from: The analysis is conducted seven times (p.4)</x:v>
      </x:c>
    </x:row>
    <x:row r="178" ht="76" customHeight="1">
      <x:c r="A178" s="2" t="str">
        <x:v>S45-MODEL-R04</x:v>
      </x:c>
      <x:c r="B178" s="2" t="str">
        <x:v>S45</x:v>
      </x:c>
      <x:c r="C178" s="2" t="str">
        <x:v>merged_1275</x:v>
      </x:c>
      <x:c r="D178" s="2" t="str">
        <x:v>Reviewer_A</x:v>
      </x:c>
      <x:c r="E178" s="2" t="str">
        <x:v>Reviewer_A</x:v>
      </x:c>
      <x:c r="F178" s="2" t="str">
        <x:v>S45-MU04</x:v>
      </x:c>
      <x:c r="G178" s="2" t="str">
        <x:v>S45-O04</x:v>
      </x:c>
      <x:c r="H178" s="2" t="str">
        <x:v>S45-T04</x:v>
      </x:c>
      <x:c r="I178" s="2" t="str">
        <x:v>ChatGPT-4o</x:v>
      </x:c>
      <x:c r="J178" s="2" t="str">
        <x:v>gpt-4o</x:v>
      </x:c>
      <x:c r="K178" s="2" t="str">
        <x:v>GPT</x:v>
      </x:c>
      <x:c r="L178" s="2" t="str">
        <x:v>4o</x:v>
      </x:c>
      <x:c r="M178" s="2" t="str">
        <x:v>NR</x:v>
      </x:c>
      <x:c r="N178" s="2" t="str">
        <x:v>NR</x:v>
      </x:c>
      <x:c r="O178" s="2" t="str">
        <x:v>Closed</x:v>
      </x:c>
      <x:c r="P178" s="2" t="str">
        <x:v>Unclear</x:v>
      </x:c>
      <x:c r="Q178" s="2" t="str">
        <x:v>NR</x:v>
      </x:c>
      <x:c r="R178" s="2" t="str">
        <x:v>NR</x:v>
      </x:c>
      <x:c r="S178" s="2" t="str">
        <x:v>NR</x:v>
      </x:c>
      <x:c r="T178" s="2" t="str">
        <x:v>NR</x:v>
      </x:c>
      <x:c r="U178" s="2" t="str">
        <x:v>Elmos ChatGPT-4o Workspace</x:v>
      </x:c>
      <x:c r="V178" s="2" t="str">
        <x:v>NR</x:v>
      </x:c>
      <x:c r="W178" s="2" t="str">
        <x:v>No</x:v>
      </x:c>
      <x:c r="X178" s="2" t="str">
        <x:v>No</x:v>
      </x:c>
      <x:c r="Y178" s="6" t="str">
        <x:v>p. 2; Section 2</x:v>
      </x:c>
      <x:c r="Z178" s="6" t="str">
        <x:v>We used Elmos ChatGPT-4o Workspace equipped with ChatGPT-4o.</x:v>
      </x:c>
      <x:c r="AA178" s="6" t="str">
        <x:v>异常检测任务，未明确重复次数。</x:v>
      </x:c>
      <x:c r="AB178" s="2" t="str">
        <x:v>Accepted</x:v>
      </x:c>
      <x:c r="AC178" s="6" t="str">
        <x:v>NA</x:v>
      </x:c>
    </x:row>
    <x:row r="179" ht="76" customHeight="1">
      <x:c r="A179" s="2" t="str">
        <x:v>S45-MODEL-R05</x:v>
      </x:c>
      <x:c r="B179" s="2" t="str">
        <x:v>S45</x:v>
      </x:c>
      <x:c r="C179" s="2" t="str">
        <x:v>merged_1275</x:v>
      </x:c>
      <x:c r="D179" s="2" t="str">
        <x:v>Reviewer_A</x:v>
      </x:c>
      <x:c r="E179" s="2" t="str">
        <x:v>Reviewer_A</x:v>
      </x:c>
      <x:c r="F179" s="2" t="str">
        <x:v>S45-MU05</x:v>
      </x:c>
      <x:c r="G179" s="2" t="str">
        <x:v>S45-O05</x:v>
      </x:c>
      <x:c r="H179" s="2" t="str">
        <x:v>S45-T05</x:v>
      </x:c>
      <x:c r="I179" s="2" t="str">
        <x:v>ChatGPT-4o</x:v>
      </x:c>
      <x:c r="J179" s="2" t="str">
        <x:v>gpt-4o</x:v>
      </x:c>
      <x:c r="K179" s="2" t="str">
        <x:v>GPT</x:v>
      </x:c>
      <x:c r="L179" s="2" t="str">
        <x:v>4o</x:v>
      </x:c>
      <x:c r="M179" s="2" t="str">
        <x:v>NR</x:v>
      </x:c>
      <x:c r="N179" s="2" t="str">
        <x:v>NR</x:v>
      </x:c>
      <x:c r="O179" s="2" t="str">
        <x:v>Closed</x:v>
      </x:c>
      <x:c r="P179" s="2" t="str">
        <x:v>Unclear</x:v>
      </x:c>
      <x:c r="Q179" s="2" t="str">
        <x:v>NR</x:v>
      </x:c>
      <x:c r="R179" s="2" t="str">
        <x:v>NR</x:v>
      </x:c>
      <x:c r="S179" s="2" t="str">
        <x:v>NR</x:v>
      </x:c>
      <x:c r="T179" s="2" t="str">
        <x:v>NR</x:v>
      </x:c>
      <x:c r="U179" s="2" t="str">
        <x:v>Elmos ChatGPT-4o Workspace</x:v>
      </x:c>
      <x:c r="V179" s="2" t="str">
        <x:v>NR</x:v>
      </x:c>
      <x:c r="W179" s="2" t="str">
        <x:v>No</x:v>
      </x:c>
      <x:c r="X179" s="2" t="str">
        <x:v>No</x:v>
      </x:c>
      <x:c r="Y179" s="6" t="str">
        <x:v>p. 2; Section 2</x:v>
      </x:c>
      <x:c r="Z179" s="6" t="str">
        <x:v>We used Elmos ChatGPT-4o Workspace equipped with ChatGPT-4o.</x:v>
      </x:c>
      <x:c r="AA179" s="6" t="str">
        <x:v>真实工单不一致检测任务，仅单次测试。</x:v>
      </x:c>
      <x:c r="AB179" s="2" t="str">
        <x:v>Accepted</x:v>
      </x:c>
      <x:c r="AC179" s="6" t="str">
        <x:v>NA</x:v>
      </x:c>
    </x:row>
    <x:row r="180" ht="76" customHeight="1">
      <x:c r="A180" s="2" t="str">
        <x:v>S46-MODEL-R01</x:v>
      </x:c>
      <x:c r="B180" s="2" t="str">
        <x:v>S46</x:v>
      </x:c>
      <x:c r="C180" s="2" t="str">
        <x:v>merged_1293</x:v>
      </x:c>
      <x:c r="D180" s="2" t="str">
        <x:v>Reviewer_A</x:v>
      </x:c>
      <x:c r="E180" s="2" t="str">
        <x:v>Reviewer_A</x:v>
      </x:c>
      <x:c r="F180" s="2" t="str">
        <x:v>S46-MU01</x:v>
      </x:c>
      <x:c r="G180" s="2" t="str">
        <x:v>S46-O01</x:v>
      </x:c>
      <x:c r="H180" s="2" t="str">
        <x:v>S46-T01</x:v>
      </x:c>
      <x:c r="I180" s="2" t="str">
        <x:v>Meta (based on Meta Llama 3)</x:v>
      </x:c>
      <x:c r="J180" s="2" t="str">
        <x:v>Meta AI (Llama 3-based)</x:v>
      </x:c>
      <x:c r="K180" s="2" t="str">
        <x:v>Llama</x:v>
      </x:c>
      <x:c r="L180" s="2" t="str">
        <x:v>Llama 3-based service</x:v>
      </x:c>
      <x:c r="M180" s="2" t="str">
        <x:v>NR</x:v>
      </x:c>
      <x:c r="N180" s="2" t="str">
        <x:v>2024-05</x:v>
      </x:c>
      <x:c r="O180" s="2" t="str">
        <x:v>Open weights</x:v>
      </x:c>
      <x:c r="P180" s="2" t="str">
        <x:v>NR</x:v>
      </x:c>
      <x:c r="Q180" s="2" t="str">
        <x:v>NR</x:v>
      </x:c>
      <x:c r="R180" s="2" t="str">
        <x:v>NR</x:v>
      </x:c>
      <x:c r="S180" s="2" t="str">
        <x:v>NR</x:v>
      </x:c>
      <x:c r="T180" s="2" t="str">
        <x:v>NR</x:v>
      </x:c>
      <x:c r="U180" s="2" t="str">
        <x:v>Meta AI service</x:v>
      </x:c>
      <x:c r="V180" s="2" t="str">
        <x:v>NR</x:v>
      </x:c>
      <x:c r="W180" s="2" t="str">
        <x:v>No</x:v>
      </x:c>
      <x:c r="X180" s="2" t="str">
        <x:v>No</x:v>
      </x:c>
      <x:c r="Y180" s="6" t="str">
        <x:v>p. 9; Evaluation section</x:v>
      </x:c>
      <x:c r="Z180" s="6" t="str">
        <x:v>We utilize five prominent AI models—Meta (based on tured prompting, and two to three times more with Meta Llama 3),5 Gemini (no version information structured prompting. Despite Claude and ChatGPT</x:v>
      </x:c>
      <x:c r="AA180" s="6" t="str">
        <x:v>使用Meta Llama 3，非付费版本，截至2024年5月更新。</x:v>
      </x:c>
      <x:c r="AB180" s="2" t="str">
        <x:v>Accepted</x:v>
      </x:c>
      <x:c r="AC180" s="6" t="str">
        <x:v>Paper-reported service configuration; the exact underlying Llama 3 size/variant is not disclosed.</x:v>
      </x:c>
    </x:row>
    <x:row r="181" ht="76" customHeight="1">
      <x:c r="A181" s="2" t="str">
        <x:v>S46-MODEL-R02</x:v>
      </x:c>
      <x:c r="B181" s="2" t="str">
        <x:v>S46</x:v>
      </x:c>
      <x:c r="C181" s="2" t="str">
        <x:v>merged_1293</x:v>
      </x:c>
      <x:c r="D181" s="2" t="str">
        <x:v>Reviewer_A</x:v>
      </x:c>
      <x:c r="E181" s="2" t="str">
        <x:v>Reviewer_A</x:v>
      </x:c>
      <x:c r="F181" s="2" t="str">
        <x:v>S46-MU02</x:v>
      </x:c>
      <x:c r="G181" s="2" t="str">
        <x:v>S46-O02</x:v>
      </x:c>
      <x:c r="H181" s="2" t="str">
        <x:v>S46-T02</x:v>
      </x:c>
      <x:c r="I181" s="2" t="str">
        <x:v>Meta (based on Meta Llama 3)</x:v>
      </x:c>
      <x:c r="J181" s="2" t="str">
        <x:v>Meta AI (Llama 3-based)</x:v>
      </x:c>
      <x:c r="K181" s="2" t="str">
        <x:v>Llama</x:v>
      </x:c>
      <x:c r="L181" s="2" t="str">
        <x:v>Llama 3-based service</x:v>
      </x:c>
      <x:c r="M181" s="2" t="str">
        <x:v>NR</x:v>
      </x:c>
      <x:c r="N181" s="2" t="str">
        <x:v>2024-05</x:v>
      </x:c>
      <x:c r="O181" s="2" t="str">
        <x:v>Open weights</x:v>
      </x:c>
      <x:c r="P181" s="2" t="str">
        <x:v>NR</x:v>
      </x:c>
      <x:c r="Q181" s="2" t="str">
        <x:v>NR</x:v>
      </x:c>
      <x:c r="R181" s="2" t="str">
        <x:v>NR</x:v>
      </x:c>
      <x:c r="S181" s="2" t="str">
        <x:v>NR</x:v>
      </x:c>
      <x:c r="T181" s="2" t="str">
        <x:v>NR</x:v>
      </x:c>
      <x:c r="U181" s="2" t="str">
        <x:v>Meta AI service</x:v>
      </x:c>
      <x:c r="V181" s="2" t="str">
        <x:v>NR</x:v>
      </x:c>
      <x:c r="W181" s="2" t="str">
        <x:v>No</x:v>
      </x:c>
      <x:c r="X181" s="2" t="str">
        <x:v>No</x:v>
      </x:c>
      <x:c r="Y181" s="6" t="str">
        <x:v>p. 9; Evaluation section</x:v>
      </x:c>
      <x:c r="Z181" s="6" t="str">
        <x:v>We utilize five prominent AI models—Meta (based on tured prompting, and two to three times more with Meta Llama 3),5 Gemini (no version information structured prompting. Despite Claude and ChatGPT</x:v>
      </x:c>
      <x:c r="AA181" s="6" t="str">
        <x:v>使用Meta Llama 3，非付费版本，截至2024年5月更新。</x:v>
      </x:c>
      <x:c r="AB181" s="2" t="str">
        <x:v>Accepted</x:v>
      </x:c>
      <x:c r="AC181" s="6" t="str">
        <x:v>Paper-reported service configuration; the exact underlying Llama 3 size/variant is not disclosed.</x:v>
      </x:c>
    </x:row>
    <x:row r="182" ht="76" customHeight="1">
      <x:c r="A182" s="2" t="str">
        <x:v>S46-MODEL-R03</x:v>
      </x:c>
      <x:c r="B182" s="2" t="str">
        <x:v>S46</x:v>
      </x:c>
      <x:c r="C182" s="2" t="str">
        <x:v>merged_1293</x:v>
      </x:c>
      <x:c r="D182" s="2" t="str">
        <x:v>Reviewer_A</x:v>
      </x:c>
      <x:c r="E182" s="2" t="str">
        <x:v>Reviewer_A</x:v>
      </x:c>
      <x:c r="F182" s="2" t="str">
        <x:v>S46-MU03</x:v>
      </x:c>
      <x:c r="G182" s="2" t="str">
        <x:v>S46-O03</x:v>
      </x:c>
      <x:c r="H182" s="2" t="str">
        <x:v>S46-T03</x:v>
      </x:c>
      <x:c r="I182" s="2" t="str">
        <x:v>Meta (based on Meta Llama 3)</x:v>
      </x:c>
      <x:c r="J182" s="2" t="str">
        <x:v>Meta AI (Llama 3-based)</x:v>
      </x:c>
      <x:c r="K182" s="2" t="str">
        <x:v>Llama</x:v>
      </x:c>
      <x:c r="L182" s="2" t="str">
        <x:v>Llama 3-based service</x:v>
      </x:c>
      <x:c r="M182" s="2" t="str">
        <x:v>NR</x:v>
      </x:c>
      <x:c r="N182" s="2" t="str">
        <x:v>2024-05</x:v>
      </x:c>
      <x:c r="O182" s="2" t="str">
        <x:v>Open weights</x:v>
      </x:c>
      <x:c r="P182" s="2" t="str">
        <x:v>NR</x:v>
      </x:c>
      <x:c r="Q182" s="2" t="str">
        <x:v>NR</x:v>
      </x:c>
      <x:c r="R182" s="2" t="str">
        <x:v>NR</x:v>
      </x:c>
      <x:c r="S182" s="2" t="str">
        <x:v>NR</x:v>
      </x:c>
      <x:c r="T182" s="2" t="str">
        <x:v>NR</x:v>
      </x:c>
      <x:c r="U182" s="2" t="str">
        <x:v>Meta AI service</x:v>
      </x:c>
      <x:c r="V182" s="2" t="str">
        <x:v>NR</x:v>
      </x:c>
      <x:c r="W182" s="2" t="str">
        <x:v>No</x:v>
      </x:c>
      <x:c r="X182" s="2" t="str">
        <x:v>No</x:v>
      </x:c>
      <x:c r="Y182" s="6" t="str">
        <x:v>p. 9; Evaluation section</x:v>
      </x:c>
      <x:c r="Z182" s="6" t="str">
        <x:v>We utilize five prominent AI models—Meta (based on tured prompting, and two to three times more with Meta Llama 3),5 Gemini (no version information structured prompting. Despite Claude and ChatGPT</x:v>
      </x:c>
      <x:c r="AA182" s="6" t="str">
        <x:v>使用Meta Llama 3，非付费版本，截至2024年5月更新。</x:v>
      </x:c>
      <x:c r="AB182" s="2" t="str">
        <x:v>Accepted</x:v>
      </x:c>
      <x:c r="AC182" s="6" t="str">
        <x:v>Paper-reported service configuration; the exact underlying Llama 3 size/variant is not disclosed.</x:v>
      </x:c>
    </x:row>
    <x:row r="183" ht="76" customHeight="1">
      <x:c r="A183" s="2" t="str">
        <x:v>S46-MODEL-R04</x:v>
      </x:c>
      <x:c r="B183" s="2" t="str">
        <x:v>S46</x:v>
      </x:c>
      <x:c r="C183" s="2" t="str">
        <x:v>merged_1293</x:v>
      </x:c>
      <x:c r="D183" s="2" t="str">
        <x:v>Reviewer_A</x:v>
      </x:c>
      <x:c r="E183" s="2" t="str">
        <x:v>Reviewer_A</x:v>
      </x:c>
      <x:c r="F183" s="2" t="str">
        <x:v>S46-MU04</x:v>
      </x:c>
      <x:c r="G183" s="2" t="str">
        <x:v>S46-O04</x:v>
      </x:c>
      <x:c r="H183" s="2" t="str">
        <x:v>S46-T04</x:v>
      </x:c>
      <x:c r="I183" s="2" t="str">
        <x:v>Meta (based on Meta Llama 3)</x:v>
      </x:c>
      <x:c r="J183" s="2" t="str">
        <x:v>Meta AI (Llama 3-based)</x:v>
      </x:c>
      <x:c r="K183" s="2" t="str">
        <x:v>Llama</x:v>
      </x:c>
      <x:c r="L183" s="2" t="str">
        <x:v>Llama 3-based service</x:v>
      </x:c>
      <x:c r="M183" s="2" t="str">
        <x:v>NR</x:v>
      </x:c>
      <x:c r="N183" s="2" t="str">
        <x:v>2024-05</x:v>
      </x:c>
      <x:c r="O183" s="2" t="str">
        <x:v>Open weights</x:v>
      </x:c>
      <x:c r="P183" s="2" t="str">
        <x:v>NR</x:v>
      </x:c>
      <x:c r="Q183" s="2" t="str">
        <x:v>NR</x:v>
      </x:c>
      <x:c r="R183" s="2" t="str">
        <x:v>NR</x:v>
      </x:c>
      <x:c r="S183" s="2" t="str">
        <x:v>NR</x:v>
      </x:c>
      <x:c r="T183" s="2" t="str">
        <x:v>NR</x:v>
      </x:c>
      <x:c r="U183" s="2" t="str">
        <x:v>Meta AI service</x:v>
      </x:c>
      <x:c r="V183" s="2" t="str">
        <x:v>NR</x:v>
      </x:c>
      <x:c r="W183" s="2" t="str">
        <x:v>No</x:v>
      </x:c>
      <x:c r="X183" s="2" t="str">
        <x:v>No</x:v>
      </x:c>
      <x:c r="Y183" s="6" t="str">
        <x:v>p. 9; Evaluation section</x:v>
      </x:c>
      <x:c r="Z183" s="6" t="str">
        <x:v>We utilize five prominent AI models—Meta (based on tured prompting, and two to three times more with Meta Llama 3),5 Gemini (no version information structured prompting. Despite Claude and ChatGPT</x:v>
      </x:c>
      <x:c r="AA183" s="6" t="str">
        <x:v>使用Meta Llama 3，非付费版本，截至2024年5月更新。</x:v>
      </x:c>
      <x:c r="AB183" s="2" t="str">
        <x:v>Accepted</x:v>
      </x:c>
      <x:c r="AC183" s="6" t="str">
        <x:v>Paper-reported service configuration; the exact underlying Llama 3 size/variant is not disclosed.</x:v>
      </x:c>
    </x:row>
    <x:row r="184" ht="76" customHeight="1">
      <x:c r="A184" s="2" t="str">
        <x:v>S46-MODEL-R05</x:v>
      </x:c>
      <x:c r="B184" s="2" t="str">
        <x:v>S46</x:v>
      </x:c>
      <x:c r="C184" s="2" t="str">
        <x:v>merged_1293</x:v>
      </x:c>
      <x:c r="D184" s="2" t="str">
        <x:v>Reviewer_A</x:v>
      </x:c>
      <x:c r="E184" s="2" t="str">
        <x:v>Reviewer_A</x:v>
      </x:c>
      <x:c r="F184" s="2" t="str">
        <x:v>S46-MU05</x:v>
      </x:c>
      <x:c r="G184" s="2" t="str">
        <x:v>S46-O05</x:v>
      </x:c>
      <x:c r="H184" s="2" t="str">
        <x:v>S46-T05</x:v>
      </x:c>
      <x:c r="I184" s="2" t="str">
        <x:v>Meta (based on Meta Llama 3)</x:v>
      </x:c>
      <x:c r="J184" s="2" t="str">
        <x:v>Meta AI (Llama 3-based)</x:v>
      </x:c>
      <x:c r="K184" s="2" t="str">
        <x:v>Llama</x:v>
      </x:c>
      <x:c r="L184" s="2" t="str">
        <x:v>Llama 3-based service</x:v>
      </x:c>
      <x:c r="M184" s="2" t="str">
        <x:v>NR</x:v>
      </x:c>
      <x:c r="N184" s="2" t="str">
        <x:v>2024-05</x:v>
      </x:c>
      <x:c r="O184" s="2" t="str">
        <x:v>Open weights</x:v>
      </x:c>
      <x:c r="P184" s="2" t="str">
        <x:v>NR</x:v>
      </x:c>
      <x:c r="Q184" s="2" t="str">
        <x:v>NR</x:v>
      </x:c>
      <x:c r="R184" s="2" t="str">
        <x:v>NR</x:v>
      </x:c>
      <x:c r="S184" s="2" t="str">
        <x:v>NR</x:v>
      </x:c>
      <x:c r="T184" s="2" t="str">
        <x:v>NR</x:v>
      </x:c>
      <x:c r="U184" s="2" t="str">
        <x:v>Meta AI service</x:v>
      </x:c>
      <x:c r="V184" s="2" t="str">
        <x:v>NR</x:v>
      </x:c>
      <x:c r="W184" s="2" t="str">
        <x:v>No</x:v>
      </x:c>
      <x:c r="X184" s="2" t="str">
        <x:v>No</x:v>
      </x:c>
      <x:c r="Y184" s="6" t="str">
        <x:v>p. 9; Evaluation section</x:v>
      </x:c>
      <x:c r="Z184" s="6" t="str">
        <x:v>We utilize five prominent AI models—Meta (based on tured prompting, and two to three times more with Meta Llama 3),5 Gemini (no version information structured prompting. Despite Claude and ChatGPT</x:v>
      </x:c>
      <x:c r="AA184" s="6" t="str">
        <x:v>使用Meta Llama 3，非付费版本，截至2024年5月更新。</x:v>
      </x:c>
      <x:c r="AB184" s="2" t="str">
        <x:v>Accepted</x:v>
      </x:c>
      <x:c r="AC184" s="6" t="str">
        <x:v>Paper-reported service configuration; the exact underlying Llama 3 size/variant is not disclosed.</x:v>
      </x:c>
    </x:row>
    <x:row r="185" ht="76" customHeight="1">
      <x:c r="A185" s="2" t="str">
        <x:v>S46-MODEL-R06</x:v>
      </x:c>
      <x:c r="B185" s="2" t="str">
        <x:v>S46</x:v>
      </x:c>
      <x:c r="C185" s="2" t="str">
        <x:v>merged_1293</x:v>
      </x:c>
      <x:c r="D185" s="2" t="str">
        <x:v>Reviewer_A</x:v>
      </x:c>
      <x:c r="E185" s="2" t="str">
        <x:v>Reviewer_A</x:v>
      </x:c>
      <x:c r="F185" s="2" t="str">
        <x:v>S46-MU06</x:v>
      </x:c>
      <x:c r="G185" s="2" t="str">
        <x:v>S46-O06</x:v>
      </x:c>
      <x:c r="H185" s="2" t="str">
        <x:v>S46-T06</x:v>
      </x:c>
      <x:c r="I185" s="2" t="str">
        <x:v>Meta (based on Meta Llama 3)</x:v>
      </x:c>
      <x:c r="J185" s="2" t="str">
        <x:v>Meta AI (Llama 3-based)</x:v>
      </x:c>
      <x:c r="K185" s="2" t="str">
        <x:v>Llama</x:v>
      </x:c>
      <x:c r="L185" s="2" t="str">
        <x:v>Llama 3-based service</x:v>
      </x:c>
      <x:c r="M185" s="2" t="str">
        <x:v>NR</x:v>
      </x:c>
      <x:c r="N185" s="2" t="str">
        <x:v>2024-05</x:v>
      </x:c>
      <x:c r="O185" s="2" t="str">
        <x:v>Open weights</x:v>
      </x:c>
      <x:c r="P185" s="2" t="str">
        <x:v>NR</x:v>
      </x:c>
      <x:c r="Q185" s="2" t="str">
        <x:v>NR</x:v>
      </x:c>
      <x:c r="R185" s="2" t="str">
        <x:v>NR</x:v>
      </x:c>
      <x:c r="S185" s="2" t="str">
        <x:v>NR</x:v>
      </x:c>
      <x:c r="T185" s="2" t="str">
        <x:v>NR</x:v>
      </x:c>
      <x:c r="U185" s="2" t="str">
        <x:v>Meta AI service</x:v>
      </x:c>
      <x:c r="V185" s="2" t="str">
        <x:v>NR</x:v>
      </x:c>
      <x:c r="W185" s="2" t="str">
        <x:v>No</x:v>
      </x:c>
      <x:c r="X185" s="2" t="str">
        <x:v>No</x:v>
      </x:c>
      <x:c r="Y185" s="6" t="str">
        <x:v>p. 9; Evaluation section</x:v>
      </x:c>
      <x:c r="Z185" s="6" t="str">
        <x:v>We utilize five prominent AI models—Meta (based on tured prompting, and two to three times more with Meta Llama 3),5 Gemini (no version information structured prompting. Despite Claude and ChatGPT</x:v>
      </x:c>
      <x:c r="AA185" s="6" t="str">
        <x:v>使用Meta Llama 3，非付费版本，截至2024年5月更新。</x:v>
      </x:c>
      <x:c r="AB185" s="2" t="str">
        <x:v>Accepted</x:v>
      </x:c>
      <x:c r="AC185" s="6" t="str">
        <x:v>Paper-reported service configuration; the exact underlying Llama 3 size/variant is not disclosed.</x:v>
      </x:c>
    </x:row>
    <x:row r="186" ht="76" customHeight="1">
      <x:c r="A186" s="2" t="str">
        <x:v>S46-MODEL-R07</x:v>
      </x:c>
      <x:c r="B186" s="2" t="str">
        <x:v>S46</x:v>
      </x:c>
      <x:c r="C186" s="2" t="str">
        <x:v>merged_1293</x:v>
      </x:c>
      <x:c r="D186" s="2" t="str">
        <x:v>Reviewer_A</x:v>
      </x:c>
      <x:c r="E186" s="2" t="str">
        <x:v>Reviewer_A</x:v>
      </x:c>
      <x:c r="F186" s="2" t="str">
        <x:v>S46-MU07</x:v>
      </x:c>
      <x:c r="G186" s="2" t="str">
        <x:v>S46-O07</x:v>
      </x:c>
      <x:c r="H186" s="2" t="str">
        <x:v>S46-T07</x:v>
      </x:c>
      <x:c r="I186" s="2" t="str">
        <x:v>Meta (based on Meta Llama 3)</x:v>
      </x:c>
      <x:c r="J186" s="2" t="str">
        <x:v>Meta AI (Llama 3-based)</x:v>
      </x:c>
      <x:c r="K186" s="2" t="str">
        <x:v>Llama</x:v>
      </x:c>
      <x:c r="L186" s="2" t="str">
        <x:v>Llama 3-based service</x:v>
      </x:c>
      <x:c r="M186" s="2" t="str">
        <x:v>NR</x:v>
      </x:c>
      <x:c r="N186" s="2" t="str">
        <x:v>2024-05</x:v>
      </x:c>
      <x:c r="O186" s="2" t="str">
        <x:v>Open weights</x:v>
      </x:c>
      <x:c r="P186" s="2" t="str">
        <x:v>NR</x:v>
      </x:c>
      <x:c r="Q186" s="2" t="str">
        <x:v>NR</x:v>
      </x:c>
      <x:c r="R186" s="2" t="str">
        <x:v>NR</x:v>
      </x:c>
      <x:c r="S186" s="2" t="str">
        <x:v>NR</x:v>
      </x:c>
      <x:c r="T186" s="2" t="str">
        <x:v>NR</x:v>
      </x:c>
      <x:c r="U186" s="2" t="str">
        <x:v>Meta AI service</x:v>
      </x:c>
      <x:c r="V186" s="2" t="str">
        <x:v>NR</x:v>
      </x:c>
      <x:c r="W186" s="2" t="str">
        <x:v>No</x:v>
      </x:c>
      <x:c r="X186" s="2" t="str">
        <x:v>No</x:v>
      </x:c>
      <x:c r="Y186" s="6" t="str">
        <x:v>p. 9; Evaluation section</x:v>
      </x:c>
      <x:c r="Z186" s="6" t="str">
        <x:v>We utilize five prominent AI models—Meta (based on tured prompting, and two to three times more with Meta Llama 3),5 Gemini (no version information structured prompting. Despite Claude and ChatGPT</x:v>
      </x:c>
      <x:c r="AA186" s="6" t="str">
        <x:v>使用Meta Llama 3，非付费版本，截至2024年5月更新。</x:v>
      </x:c>
      <x:c r="AB186" s="2" t="str">
        <x:v>Accepted</x:v>
      </x:c>
      <x:c r="AC186" s="6" t="str">
        <x:v>Paper-reported service configuration; the exact underlying Llama 3 size/variant is not disclosed.</x:v>
      </x:c>
    </x:row>
    <x:row r="187" ht="76" customHeight="1">
      <x:c r="A187" s="2" t="str">
        <x:v>S46-MODEL-R08</x:v>
      </x:c>
      <x:c r="B187" s="2" t="str">
        <x:v>S46</x:v>
      </x:c>
      <x:c r="C187" s="2" t="str">
        <x:v>merged_1293</x:v>
      </x:c>
      <x:c r="D187" s="2" t="str">
        <x:v>Reviewer_A</x:v>
      </x:c>
      <x:c r="E187" s="2" t="str">
        <x:v>Reviewer_A</x:v>
      </x:c>
      <x:c r="F187" s="2" t="str">
        <x:v>S46-MU08</x:v>
      </x:c>
      <x:c r="G187" s="2" t="str">
        <x:v>S46-O08</x:v>
      </x:c>
      <x:c r="H187" s="2" t="str">
        <x:v>S46-T08</x:v>
      </x:c>
      <x:c r="I187" s="2" t="str">
        <x:v>Meta (based on Meta Llama 3)</x:v>
      </x:c>
      <x:c r="J187" s="2" t="str">
        <x:v>Meta AI (Llama 3-based)</x:v>
      </x:c>
      <x:c r="K187" s="2" t="str">
        <x:v>Llama</x:v>
      </x:c>
      <x:c r="L187" s="2" t="str">
        <x:v>Llama 3-based service</x:v>
      </x:c>
      <x:c r="M187" s="2" t="str">
        <x:v>NR</x:v>
      </x:c>
      <x:c r="N187" s="2" t="str">
        <x:v>2024-05</x:v>
      </x:c>
      <x:c r="O187" s="2" t="str">
        <x:v>Open weights</x:v>
      </x:c>
      <x:c r="P187" s="2" t="str">
        <x:v>NR</x:v>
      </x:c>
      <x:c r="Q187" s="2" t="str">
        <x:v>NR</x:v>
      </x:c>
      <x:c r="R187" s="2" t="str">
        <x:v>NR</x:v>
      </x:c>
      <x:c r="S187" s="2" t="str">
        <x:v>NR</x:v>
      </x:c>
      <x:c r="T187" s="2" t="str">
        <x:v>NR</x:v>
      </x:c>
      <x:c r="U187" s="2" t="str">
        <x:v>Meta AI service</x:v>
      </x:c>
      <x:c r="V187" s="2" t="str">
        <x:v>NR</x:v>
      </x:c>
      <x:c r="W187" s="2" t="str">
        <x:v>No</x:v>
      </x:c>
      <x:c r="X187" s="2" t="str">
        <x:v>No</x:v>
      </x:c>
      <x:c r="Y187" s="6" t="str">
        <x:v>p. 9; Evaluation section</x:v>
      </x:c>
      <x:c r="Z187" s="6" t="str">
        <x:v>We utilize five prominent AI models—Meta (based on tured prompting, and two to three times more with Meta Llama 3),5 Gemini (no version information structured prompting. Despite Claude and ChatGPT</x:v>
      </x:c>
      <x:c r="AA187" s="6" t="str">
        <x:v>使用Meta Llama 3，非付费版本，截至2024年5月更新。</x:v>
      </x:c>
      <x:c r="AB187" s="2" t="str">
        <x:v>Accepted</x:v>
      </x:c>
      <x:c r="AC187" s="6" t="str">
        <x:v>Paper-reported service configuration; the exact underlying Llama 3 size/variant is not disclosed.</x:v>
      </x:c>
    </x:row>
    <x:row r="188" ht="76" customHeight="1">
      <x:c r="A188" s="2" t="str">
        <x:v>S46-MODEL-R09</x:v>
      </x:c>
      <x:c r="B188" s="2" t="str">
        <x:v>S46</x:v>
      </x:c>
      <x:c r="C188" s="2" t="str">
        <x:v>merged_1293</x:v>
      </x:c>
      <x:c r="D188" s="2" t="str">
        <x:v>Reviewer_A</x:v>
      </x:c>
      <x:c r="E188" s="2" t="str">
        <x:v>Reviewer_A</x:v>
      </x:c>
      <x:c r="F188" s="2" t="str">
        <x:v>S46-MU09</x:v>
      </x:c>
      <x:c r="G188" s="2" t="str">
        <x:v>S46-O09</x:v>
      </x:c>
      <x:c r="H188" s="2" t="str">
        <x:v>S46-T09</x:v>
      </x:c>
      <x:c r="I188" s="2" t="str">
        <x:v>Meta (based on Meta Llama 3)</x:v>
      </x:c>
      <x:c r="J188" s="2" t="str">
        <x:v>Meta AI (Llama 3-based)</x:v>
      </x:c>
      <x:c r="K188" s="2" t="str">
        <x:v>Llama</x:v>
      </x:c>
      <x:c r="L188" s="2" t="str">
        <x:v>Llama 3-based service</x:v>
      </x:c>
      <x:c r="M188" s="2" t="str">
        <x:v>NR</x:v>
      </x:c>
      <x:c r="N188" s="2" t="str">
        <x:v>2024-05</x:v>
      </x:c>
      <x:c r="O188" s="2" t="str">
        <x:v>Open weights</x:v>
      </x:c>
      <x:c r="P188" s="2" t="str">
        <x:v>NR</x:v>
      </x:c>
      <x:c r="Q188" s="2" t="str">
        <x:v>NR</x:v>
      </x:c>
      <x:c r="R188" s="2" t="str">
        <x:v>NR</x:v>
      </x:c>
      <x:c r="S188" s="2" t="str">
        <x:v>NR</x:v>
      </x:c>
      <x:c r="T188" s="2" t="str">
        <x:v>NR</x:v>
      </x:c>
      <x:c r="U188" s="2" t="str">
        <x:v>Meta AI service</x:v>
      </x:c>
      <x:c r="V188" s="2" t="str">
        <x:v>NR</x:v>
      </x:c>
      <x:c r="W188" s="2" t="str">
        <x:v>No</x:v>
      </x:c>
      <x:c r="X188" s="2" t="str">
        <x:v>No</x:v>
      </x:c>
      <x:c r="Y188" s="6" t="str">
        <x:v>p. 9; Evaluation section</x:v>
      </x:c>
      <x:c r="Z188" s="6" t="str">
        <x:v>We utilize five prominent AI models—Meta (based on tured prompting, and two to three times more with Meta Llama 3),5 Gemini (no version information structured prompting. Despite Claude and ChatGPT</x:v>
      </x:c>
      <x:c r="AA188" s="6" t="str">
        <x:v>使用Meta Llama 3，非付费版本，截至2024年5月更新。</x:v>
      </x:c>
      <x:c r="AB188" s="2" t="str">
        <x:v>Accepted</x:v>
      </x:c>
      <x:c r="AC188" s="6" t="str">
        <x:v>Paper-reported service configuration; the exact underlying Llama 3 size/variant is not disclosed.</x:v>
      </x:c>
    </x:row>
    <x:row r="189" ht="76" customHeight="1">
      <x:c r="A189" s="2" t="str">
        <x:v>S46-MODEL-R10</x:v>
      </x:c>
      <x:c r="B189" s="2" t="str">
        <x:v>S46</x:v>
      </x:c>
      <x:c r="C189" s="2" t="str">
        <x:v>merged_1293</x:v>
      </x:c>
      <x:c r="D189" s="2" t="str">
        <x:v>Reviewer_A</x:v>
      </x:c>
      <x:c r="E189" s="2" t="str">
        <x:v>Reviewer_A</x:v>
      </x:c>
      <x:c r="F189" s="2" t="str">
        <x:v>S46-MU10</x:v>
      </x:c>
      <x:c r="G189" s="2" t="str">
        <x:v>S46-O10</x:v>
      </x:c>
      <x:c r="H189" s="2" t="str">
        <x:v>S46-T10</x:v>
      </x:c>
      <x:c r="I189" s="2" t="str">
        <x:v>Meta (based on Meta Llama 3)</x:v>
      </x:c>
      <x:c r="J189" s="2" t="str">
        <x:v>Meta AI (Llama 3-based)</x:v>
      </x:c>
      <x:c r="K189" s="2" t="str">
        <x:v>Llama</x:v>
      </x:c>
      <x:c r="L189" s="2" t="str">
        <x:v>Llama 3-based service</x:v>
      </x:c>
      <x:c r="M189" s="2" t="str">
        <x:v>NR</x:v>
      </x:c>
      <x:c r="N189" s="2" t="str">
        <x:v>2024-05</x:v>
      </x:c>
      <x:c r="O189" s="2" t="str">
        <x:v>Open weights</x:v>
      </x:c>
      <x:c r="P189" s="2" t="str">
        <x:v>NR</x:v>
      </x:c>
      <x:c r="Q189" s="2" t="str">
        <x:v>NR</x:v>
      </x:c>
      <x:c r="R189" s="2" t="str">
        <x:v>NR</x:v>
      </x:c>
      <x:c r="S189" s="2" t="str">
        <x:v>NR</x:v>
      </x:c>
      <x:c r="T189" s="2" t="str">
        <x:v>NR</x:v>
      </x:c>
      <x:c r="U189" s="2" t="str">
        <x:v>Meta AI service</x:v>
      </x:c>
      <x:c r="V189" s="2" t="str">
        <x:v>NR</x:v>
      </x:c>
      <x:c r="W189" s="2" t="str">
        <x:v>No</x:v>
      </x:c>
      <x:c r="X189" s="2" t="str">
        <x:v>No</x:v>
      </x:c>
      <x:c r="Y189" s="6" t="str">
        <x:v>p. 9; Evaluation section</x:v>
      </x:c>
      <x:c r="Z189" s="6" t="str">
        <x:v>We utilize five prominent AI models—Meta (based on tured prompting, and two to three times more with Meta Llama 3),5 Gemini (no version information structured prompting. Despite Claude and ChatGPT</x:v>
      </x:c>
      <x:c r="AA189" s="6" t="str">
        <x:v>使用Meta Llama 3，非付费版本，截至2024年5月更新。</x:v>
      </x:c>
      <x:c r="AB189" s="2" t="str">
        <x:v>Accepted</x:v>
      </x:c>
      <x:c r="AC189" s="6" t="str">
        <x:v>Paper-reported service configuration; the exact underlying Llama 3 size/variant is not disclosed.</x:v>
      </x:c>
    </x:row>
    <x:row r="190" ht="76" customHeight="1">
      <x:c r="A190" s="2" t="str">
        <x:v>S46-MODEL-R11</x:v>
      </x:c>
      <x:c r="B190" s="2" t="str">
        <x:v>S46</x:v>
      </x:c>
      <x:c r="C190" s="2" t="str">
        <x:v>merged_1293</x:v>
      </x:c>
      <x:c r="D190" s="2" t="str">
        <x:v>Reviewer_A</x:v>
      </x:c>
      <x:c r="E190" s="2" t="str">
        <x:v>Reviewer_A</x:v>
      </x:c>
      <x:c r="F190" s="2" t="str">
        <x:v>S46-MU11</x:v>
      </x:c>
      <x:c r="G190" s="2" t="str">
        <x:v>S46-O01</x:v>
      </x:c>
      <x:c r="H190" s="2" t="str">
        <x:v>S46-T01</x:v>
      </x:c>
      <x:c r="I190" s="2" t="str">
        <x:v>Gemini</x:v>
      </x:c>
      <x:c r="J190" s="2" t="str">
        <x:v>Google Gemini service</x:v>
      </x:c>
      <x:c r="K190" s="2" t="str">
        <x:v>Gemini</x:v>
      </x:c>
      <x:c r="L190" s="2" t="str">
        <x:v>NR</x:v>
      </x:c>
      <x:c r="M190" s="2" t="str">
        <x:v>NR</x:v>
      </x:c>
      <x:c r="N190" s="2" t="str">
        <x:v>2024-05</x:v>
      </x:c>
      <x:c r="O190" s="2" t="str">
        <x:v>Closed</x:v>
      </x:c>
      <x:c r="P190" s="2" t="str">
        <x:v>NR</x:v>
      </x:c>
      <x:c r="Q190" s="2" t="str">
        <x:v>NR</x:v>
      </x:c>
      <x:c r="R190" s="2" t="str">
        <x:v>NR</x:v>
      </x:c>
      <x:c r="S190" s="2" t="str">
        <x:v>NR</x:v>
      </x:c>
      <x:c r="T190" s="2" t="str">
        <x:v>NR</x:v>
      </x:c>
      <x:c r="U190" s="2" t="str">
        <x:v>Gemini web service</x:v>
      </x:c>
      <x:c r="V190" s="2" t="str">
        <x:v>NR</x:v>
      </x:c>
      <x:c r="W190" s="2" t="str">
        <x:v>No</x:v>
      </x:c>
      <x:c r="X190" s="2" t="str">
        <x:v>No</x:v>
      </x:c>
      <x:c r="Y190" s="6" t="str">
        <x:v>p. 9; Evaluation section</x:v>
      </x:c>
      <x:c r="Z190" s="6" t="str">
        <x:v>We utilize five prominent AI models—Meta (based on tured prompting, and two to three times more with Meta Llama 3),5 Gemini (no version information structured prompting. Despite Claude and ChatGPT</x:v>
      </x:c>
      <x:c r="AA190" s="6" t="str">
        <x:v>使用Gemini，版本未公布，非付费版本，截至2024年5月更新。</x:v>
      </x:c>
      <x:c r="AB190" s="2" t="str">
        <x:v>Accepted</x:v>
      </x:c>
      <x:c r="AC190" s="6" t="str">
        <x:v>The article explicitly states 'no version information published'; the reported May 2024 snapshot is retained but not used to fabricate a version.</x:v>
      </x:c>
    </x:row>
    <x:row r="191" ht="76" customHeight="1">
      <x:c r="A191" s="2" t="str">
        <x:v>S46-MODEL-R12</x:v>
      </x:c>
      <x:c r="B191" s="2" t="str">
        <x:v>S46</x:v>
      </x:c>
      <x:c r="C191" s="2" t="str">
        <x:v>merged_1293</x:v>
      </x:c>
      <x:c r="D191" s="2" t="str">
        <x:v>Reviewer_A</x:v>
      </x:c>
      <x:c r="E191" s="2" t="str">
        <x:v>Reviewer_A</x:v>
      </x:c>
      <x:c r="F191" s="2" t="str">
        <x:v>S46-MU12</x:v>
      </x:c>
      <x:c r="G191" s="2" t="str">
        <x:v>S46-O02</x:v>
      </x:c>
      <x:c r="H191" s="2" t="str">
        <x:v>S46-T02</x:v>
      </x:c>
      <x:c r="I191" s="2" t="str">
        <x:v>Gemini</x:v>
      </x:c>
      <x:c r="J191" s="2" t="str">
        <x:v>Google Gemini service</x:v>
      </x:c>
      <x:c r="K191" s="2" t="str">
        <x:v>Gemini</x:v>
      </x:c>
      <x:c r="L191" s="2" t="str">
        <x:v>NR</x:v>
      </x:c>
      <x:c r="M191" s="2" t="str">
        <x:v>NR</x:v>
      </x:c>
      <x:c r="N191" s="2" t="str">
        <x:v>2024-05</x:v>
      </x:c>
      <x:c r="O191" s="2" t="str">
        <x:v>Closed</x:v>
      </x:c>
      <x:c r="P191" s="2" t="str">
        <x:v>NR</x:v>
      </x:c>
      <x:c r="Q191" s="2" t="str">
        <x:v>NR</x:v>
      </x:c>
      <x:c r="R191" s="2" t="str">
        <x:v>NR</x:v>
      </x:c>
      <x:c r="S191" s="2" t="str">
        <x:v>NR</x:v>
      </x:c>
      <x:c r="T191" s="2" t="str">
        <x:v>NR</x:v>
      </x:c>
      <x:c r="U191" s="2" t="str">
        <x:v>Gemini web service</x:v>
      </x:c>
      <x:c r="V191" s="2" t="str">
        <x:v>NR</x:v>
      </x:c>
      <x:c r="W191" s="2" t="str">
        <x:v>No</x:v>
      </x:c>
      <x:c r="X191" s="2" t="str">
        <x:v>No</x:v>
      </x:c>
      <x:c r="Y191" s="6" t="str">
        <x:v>p. 9; Evaluation section</x:v>
      </x:c>
      <x:c r="Z191" s="6" t="str">
        <x:v>We utilize five prominent AI models—Meta (based on tured prompting, and two to three times more with Meta Llama 3),5 Gemini (no version information structured prompting. Despite Claude and ChatGPT</x:v>
      </x:c>
      <x:c r="AA191" s="6" t="str">
        <x:v>使用Gemini，版本未公布，非付费版本，截至2024年5月更新。</x:v>
      </x:c>
      <x:c r="AB191" s="2" t="str">
        <x:v>Accepted</x:v>
      </x:c>
      <x:c r="AC191" s="6" t="str">
        <x:v>The article explicitly states 'no version information published'; the reported May 2024 snapshot is retained but not used to fabricate a version.</x:v>
      </x:c>
    </x:row>
    <x:row r="192" ht="76" customHeight="1">
      <x:c r="A192" s="2" t="str">
        <x:v>S46-MODEL-R13</x:v>
      </x:c>
      <x:c r="B192" s="2" t="str">
        <x:v>S46</x:v>
      </x:c>
      <x:c r="C192" s="2" t="str">
        <x:v>merged_1293</x:v>
      </x:c>
      <x:c r="D192" s="2" t="str">
        <x:v>Reviewer_A</x:v>
      </x:c>
      <x:c r="E192" s="2" t="str">
        <x:v>Reviewer_A</x:v>
      </x:c>
      <x:c r="F192" s="2" t="str">
        <x:v>S46-MU13</x:v>
      </x:c>
      <x:c r="G192" s="2" t="str">
        <x:v>S46-O03</x:v>
      </x:c>
      <x:c r="H192" s="2" t="str">
        <x:v>S46-T03</x:v>
      </x:c>
      <x:c r="I192" s="2" t="str">
        <x:v>Gemini</x:v>
      </x:c>
      <x:c r="J192" s="2" t="str">
        <x:v>Google Gemini service</x:v>
      </x:c>
      <x:c r="K192" s="2" t="str">
        <x:v>Gemini</x:v>
      </x:c>
      <x:c r="L192" s="2" t="str">
        <x:v>NR</x:v>
      </x:c>
      <x:c r="M192" s="2" t="str">
        <x:v>NR</x:v>
      </x:c>
      <x:c r="N192" s="2" t="str">
        <x:v>2024-05</x:v>
      </x:c>
      <x:c r="O192" s="2" t="str">
        <x:v>Closed</x:v>
      </x:c>
      <x:c r="P192" s="2" t="str">
        <x:v>NR</x:v>
      </x:c>
      <x:c r="Q192" s="2" t="str">
        <x:v>NR</x:v>
      </x:c>
      <x:c r="R192" s="2" t="str">
        <x:v>NR</x:v>
      </x:c>
      <x:c r="S192" s="2" t="str">
        <x:v>NR</x:v>
      </x:c>
      <x:c r="T192" s="2" t="str">
        <x:v>NR</x:v>
      </x:c>
      <x:c r="U192" s="2" t="str">
        <x:v>Gemini web service</x:v>
      </x:c>
      <x:c r="V192" s="2" t="str">
        <x:v>NR</x:v>
      </x:c>
      <x:c r="W192" s="2" t="str">
        <x:v>No</x:v>
      </x:c>
      <x:c r="X192" s="2" t="str">
        <x:v>No</x:v>
      </x:c>
      <x:c r="Y192" s="6" t="str">
        <x:v>p. 9; Evaluation section</x:v>
      </x:c>
      <x:c r="Z192" s="6" t="str">
        <x:v>We utilize five prominent AI models—Meta (based on tured prompting, and two to three times more with Meta Llama 3),5 Gemini (no version information structured prompting. Despite Claude and ChatGPT</x:v>
      </x:c>
      <x:c r="AA192" s="6" t="str">
        <x:v>使用Gemini，版本未公布，非付费版本，截至2024年5月更新。</x:v>
      </x:c>
      <x:c r="AB192" s="2" t="str">
        <x:v>Accepted</x:v>
      </x:c>
      <x:c r="AC192" s="6" t="str">
        <x:v>The article explicitly states 'no version information published'; the reported May 2024 snapshot is retained but not used to fabricate a version.</x:v>
      </x:c>
    </x:row>
    <x:row r="193" ht="76" customHeight="1">
      <x:c r="A193" s="2" t="str">
        <x:v>S46-MODEL-R14</x:v>
      </x:c>
      <x:c r="B193" s="2" t="str">
        <x:v>S46</x:v>
      </x:c>
      <x:c r="C193" s="2" t="str">
        <x:v>merged_1293</x:v>
      </x:c>
      <x:c r="D193" s="2" t="str">
        <x:v>Reviewer_A</x:v>
      </x:c>
      <x:c r="E193" s="2" t="str">
        <x:v>Reviewer_A</x:v>
      </x:c>
      <x:c r="F193" s="2" t="str">
        <x:v>S46-MU14</x:v>
      </x:c>
      <x:c r="G193" s="2" t="str">
        <x:v>S46-O04</x:v>
      </x:c>
      <x:c r="H193" s="2" t="str">
        <x:v>S46-T04</x:v>
      </x:c>
      <x:c r="I193" s="2" t="str">
        <x:v>Gemini</x:v>
      </x:c>
      <x:c r="J193" s="2" t="str">
        <x:v>Google Gemini service</x:v>
      </x:c>
      <x:c r="K193" s="2" t="str">
        <x:v>Gemini</x:v>
      </x:c>
      <x:c r="L193" s="2" t="str">
        <x:v>NR</x:v>
      </x:c>
      <x:c r="M193" s="2" t="str">
        <x:v>NR</x:v>
      </x:c>
      <x:c r="N193" s="2" t="str">
        <x:v>2024-05</x:v>
      </x:c>
      <x:c r="O193" s="2" t="str">
        <x:v>Closed</x:v>
      </x:c>
      <x:c r="P193" s="2" t="str">
        <x:v>NR</x:v>
      </x:c>
      <x:c r="Q193" s="2" t="str">
        <x:v>NR</x:v>
      </x:c>
      <x:c r="R193" s="2" t="str">
        <x:v>NR</x:v>
      </x:c>
      <x:c r="S193" s="2" t="str">
        <x:v>NR</x:v>
      </x:c>
      <x:c r="T193" s="2" t="str">
        <x:v>NR</x:v>
      </x:c>
      <x:c r="U193" s="2" t="str">
        <x:v>Gemini web service</x:v>
      </x:c>
      <x:c r="V193" s="2" t="str">
        <x:v>NR</x:v>
      </x:c>
      <x:c r="W193" s="2" t="str">
        <x:v>No</x:v>
      </x:c>
      <x:c r="X193" s="2" t="str">
        <x:v>No</x:v>
      </x:c>
      <x:c r="Y193" s="6" t="str">
        <x:v>p. 9; Evaluation section</x:v>
      </x:c>
      <x:c r="Z193" s="6" t="str">
        <x:v>We utilize five prominent AI models—Meta (based on tured prompting, and two to three times more with Meta Llama 3),5 Gemini (no version information structured prompting. Despite Claude and ChatGPT</x:v>
      </x:c>
      <x:c r="AA193" s="6" t="str">
        <x:v>使用Gemini，版本未公布，非付费版本，截至2024年5月更新。</x:v>
      </x:c>
      <x:c r="AB193" s="2" t="str">
        <x:v>Accepted</x:v>
      </x:c>
      <x:c r="AC193" s="6" t="str">
        <x:v>The article explicitly states 'no version information published'; the reported May 2024 snapshot is retained but not used to fabricate a version.</x:v>
      </x:c>
    </x:row>
    <x:row r="194" ht="76" customHeight="1">
      <x:c r="A194" s="2" t="str">
        <x:v>S46-MODEL-R15</x:v>
      </x:c>
      <x:c r="B194" s="2" t="str">
        <x:v>S46</x:v>
      </x:c>
      <x:c r="C194" s="2" t="str">
        <x:v>merged_1293</x:v>
      </x:c>
      <x:c r="D194" s="2" t="str">
        <x:v>Reviewer_A</x:v>
      </x:c>
      <x:c r="E194" s="2" t="str">
        <x:v>Reviewer_A</x:v>
      </x:c>
      <x:c r="F194" s="2" t="str">
        <x:v>S46-MU15</x:v>
      </x:c>
      <x:c r="G194" s="2" t="str">
        <x:v>S46-O05</x:v>
      </x:c>
      <x:c r="H194" s="2" t="str">
        <x:v>S46-T05</x:v>
      </x:c>
      <x:c r="I194" s="2" t="str">
        <x:v>Gemini</x:v>
      </x:c>
      <x:c r="J194" s="2" t="str">
        <x:v>Google Gemini service</x:v>
      </x:c>
      <x:c r="K194" s="2" t="str">
        <x:v>Gemini</x:v>
      </x:c>
      <x:c r="L194" s="2" t="str">
        <x:v>NR</x:v>
      </x:c>
      <x:c r="M194" s="2" t="str">
        <x:v>NR</x:v>
      </x:c>
      <x:c r="N194" s="2" t="str">
        <x:v>2024-05</x:v>
      </x:c>
      <x:c r="O194" s="2" t="str">
        <x:v>Closed</x:v>
      </x:c>
      <x:c r="P194" s="2" t="str">
        <x:v>NR</x:v>
      </x:c>
      <x:c r="Q194" s="2" t="str">
        <x:v>NR</x:v>
      </x:c>
      <x:c r="R194" s="2" t="str">
        <x:v>NR</x:v>
      </x:c>
      <x:c r="S194" s="2" t="str">
        <x:v>NR</x:v>
      </x:c>
      <x:c r="T194" s="2" t="str">
        <x:v>NR</x:v>
      </x:c>
      <x:c r="U194" s="2" t="str">
        <x:v>Gemini web service</x:v>
      </x:c>
      <x:c r="V194" s="2" t="str">
        <x:v>NR</x:v>
      </x:c>
      <x:c r="W194" s="2" t="str">
        <x:v>No</x:v>
      </x:c>
      <x:c r="X194" s="2" t="str">
        <x:v>No</x:v>
      </x:c>
      <x:c r="Y194" s="6" t="str">
        <x:v>p. 9; Evaluation section</x:v>
      </x:c>
      <x:c r="Z194" s="6" t="str">
        <x:v>We utilize five prominent AI models—Meta (based on tured prompting, and two to three times more with Meta Llama 3),5 Gemini (no version information structured prompting. Despite Claude and ChatGPT</x:v>
      </x:c>
      <x:c r="AA194" s="6" t="str">
        <x:v>使用Gemini，版本未公布，非付费版本，截至2024年5月更新。</x:v>
      </x:c>
      <x:c r="AB194" s="2" t="str">
        <x:v>Accepted</x:v>
      </x:c>
      <x:c r="AC194" s="6" t="str">
        <x:v>The article explicitly states 'no version information published'; the reported May 2024 snapshot is retained but not used to fabricate a version.</x:v>
      </x:c>
    </x:row>
    <x:row r="195" ht="76" customHeight="1">
      <x:c r="A195" s="2" t="str">
        <x:v>S46-MODEL-R16</x:v>
      </x:c>
      <x:c r="B195" s="2" t="str">
        <x:v>S46</x:v>
      </x:c>
      <x:c r="C195" s="2" t="str">
        <x:v>merged_1293</x:v>
      </x:c>
      <x:c r="D195" s="2" t="str">
        <x:v>Reviewer_A</x:v>
      </x:c>
      <x:c r="E195" s="2" t="str">
        <x:v>Reviewer_A</x:v>
      </x:c>
      <x:c r="F195" s="2" t="str">
        <x:v>S46-MU16</x:v>
      </x:c>
      <x:c r="G195" s="2" t="str">
        <x:v>S46-O06</x:v>
      </x:c>
      <x:c r="H195" s="2" t="str">
        <x:v>S46-T06</x:v>
      </x:c>
      <x:c r="I195" s="2" t="str">
        <x:v>Gemini</x:v>
      </x:c>
      <x:c r="J195" s="2" t="str">
        <x:v>Google Gemini service</x:v>
      </x:c>
      <x:c r="K195" s="2" t="str">
        <x:v>Gemini</x:v>
      </x:c>
      <x:c r="L195" s="2" t="str">
        <x:v>NR</x:v>
      </x:c>
      <x:c r="M195" s="2" t="str">
        <x:v>NR</x:v>
      </x:c>
      <x:c r="N195" s="2" t="str">
        <x:v>2024-05</x:v>
      </x:c>
      <x:c r="O195" s="2" t="str">
        <x:v>Closed</x:v>
      </x:c>
      <x:c r="P195" s="2" t="str">
        <x:v>NR</x:v>
      </x:c>
      <x:c r="Q195" s="2" t="str">
        <x:v>NR</x:v>
      </x:c>
      <x:c r="R195" s="2" t="str">
        <x:v>NR</x:v>
      </x:c>
      <x:c r="S195" s="2" t="str">
        <x:v>NR</x:v>
      </x:c>
      <x:c r="T195" s="2" t="str">
        <x:v>NR</x:v>
      </x:c>
      <x:c r="U195" s="2" t="str">
        <x:v>Gemini web service</x:v>
      </x:c>
      <x:c r="V195" s="2" t="str">
        <x:v>NR</x:v>
      </x:c>
      <x:c r="W195" s="2" t="str">
        <x:v>No</x:v>
      </x:c>
      <x:c r="X195" s="2" t="str">
        <x:v>No</x:v>
      </x:c>
      <x:c r="Y195" s="6" t="str">
        <x:v>p. 9; Evaluation section</x:v>
      </x:c>
      <x:c r="Z195" s="6" t="str">
        <x:v>We utilize five prominent AI models—Meta (based on tured prompting, and two to three times more with Meta Llama 3),5 Gemini (no version information structured prompting. Despite Claude and ChatGPT</x:v>
      </x:c>
      <x:c r="AA195" s="6" t="str">
        <x:v>使用Gemini，版本未公布，非付费版本，截至2024年5月更新。</x:v>
      </x:c>
      <x:c r="AB195" s="2" t="str">
        <x:v>Accepted</x:v>
      </x:c>
      <x:c r="AC195" s="6" t="str">
        <x:v>The article explicitly states 'no version information published'; the reported May 2024 snapshot is retained but not used to fabricate a version.</x:v>
      </x:c>
    </x:row>
    <x:row r="196" ht="76" customHeight="1">
      <x:c r="A196" s="2" t="str">
        <x:v>S46-MODEL-R17</x:v>
      </x:c>
      <x:c r="B196" s="2" t="str">
        <x:v>S46</x:v>
      </x:c>
      <x:c r="C196" s="2" t="str">
        <x:v>merged_1293</x:v>
      </x:c>
      <x:c r="D196" s="2" t="str">
        <x:v>Reviewer_A</x:v>
      </x:c>
      <x:c r="E196" s="2" t="str">
        <x:v>Reviewer_A</x:v>
      </x:c>
      <x:c r="F196" s="2" t="str">
        <x:v>S46-MU17</x:v>
      </x:c>
      <x:c r="G196" s="2" t="str">
        <x:v>S46-O07</x:v>
      </x:c>
      <x:c r="H196" s="2" t="str">
        <x:v>S46-T07</x:v>
      </x:c>
      <x:c r="I196" s="2" t="str">
        <x:v>Gemini</x:v>
      </x:c>
      <x:c r="J196" s="2" t="str">
        <x:v>Google Gemini service</x:v>
      </x:c>
      <x:c r="K196" s="2" t="str">
        <x:v>Gemini</x:v>
      </x:c>
      <x:c r="L196" s="2" t="str">
        <x:v>NR</x:v>
      </x:c>
      <x:c r="M196" s="2" t="str">
        <x:v>NR</x:v>
      </x:c>
      <x:c r="N196" s="2" t="str">
        <x:v>2024-05</x:v>
      </x:c>
      <x:c r="O196" s="2" t="str">
        <x:v>Closed</x:v>
      </x:c>
      <x:c r="P196" s="2" t="str">
        <x:v>NR</x:v>
      </x:c>
      <x:c r="Q196" s="2" t="str">
        <x:v>NR</x:v>
      </x:c>
      <x:c r="R196" s="2" t="str">
        <x:v>NR</x:v>
      </x:c>
      <x:c r="S196" s="2" t="str">
        <x:v>NR</x:v>
      </x:c>
      <x:c r="T196" s="2" t="str">
        <x:v>NR</x:v>
      </x:c>
      <x:c r="U196" s="2" t="str">
        <x:v>Gemini web service</x:v>
      </x:c>
      <x:c r="V196" s="2" t="str">
        <x:v>NR</x:v>
      </x:c>
      <x:c r="W196" s="2" t="str">
        <x:v>No</x:v>
      </x:c>
      <x:c r="X196" s="2" t="str">
        <x:v>No</x:v>
      </x:c>
      <x:c r="Y196" s="6" t="str">
        <x:v>p. 9; Evaluation section</x:v>
      </x:c>
      <x:c r="Z196" s="6" t="str">
        <x:v>We utilize five prominent AI models—Meta (based on tured prompting, and two to three times more with Meta Llama 3),5 Gemini (no version information structured prompting. Despite Claude and ChatGPT</x:v>
      </x:c>
      <x:c r="AA196" s="6" t="str">
        <x:v>使用Gemini，版本未公布，非付费版本，截至2024年5月更新。</x:v>
      </x:c>
      <x:c r="AB196" s="2" t="str">
        <x:v>Accepted</x:v>
      </x:c>
      <x:c r="AC196" s="6" t="str">
        <x:v>The article explicitly states 'no version information published'; the reported May 2024 snapshot is retained but not used to fabricate a version.</x:v>
      </x:c>
    </x:row>
    <x:row r="197" ht="76" customHeight="1">
      <x:c r="A197" s="2" t="str">
        <x:v>S46-MODEL-R18</x:v>
      </x:c>
      <x:c r="B197" s="2" t="str">
        <x:v>S46</x:v>
      </x:c>
      <x:c r="C197" s="2" t="str">
        <x:v>merged_1293</x:v>
      </x:c>
      <x:c r="D197" s="2" t="str">
        <x:v>Reviewer_A</x:v>
      </x:c>
      <x:c r="E197" s="2" t="str">
        <x:v>Reviewer_A</x:v>
      </x:c>
      <x:c r="F197" s="2" t="str">
        <x:v>S46-MU18</x:v>
      </x:c>
      <x:c r="G197" s="2" t="str">
        <x:v>S46-O08</x:v>
      </x:c>
      <x:c r="H197" s="2" t="str">
        <x:v>S46-T08</x:v>
      </x:c>
      <x:c r="I197" s="2" t="str">
        <x:v>Gemini</x:v>
      </x:c>
      <x:c r="J197" s="2" t="str">
        <x:v>Google Gemini service</x:v>
      </x:c>
      <x:c r="K197" s="2" t="str">
        <x:v>Gemini</x:v>
      </x:c>
      <x:c r="L197" s="2" t="str">
        <x:v>NR</x:v>
      </x:c>
      <x:c r="M197" s="2" t="str">
        <x:v>NR</x:v>
      </x:c>
      <x:c r="N197" s="2" t="str">
        <x:v>2024-05</x:v>
      </x:c>
      <x:c r="O197" s="2" t="str">
        <x:v>Closed</x:v>
      </x:c>
      <x:c r="P197" s="2" t="str">
        <x:v>NR</x:v>
      </x:c>
      <x:c r="Q197" s="2" t="str">
        <x:v>NR</x:v>
      </x:c>
      <x:c r="R197" s="2" t="str">
        <x:v>NR</x:v>
      </x:c>
      <x:c r="S197" s="2" t="str">
        <x:v>NR</x:v>
      </x:c>
      <x:c r="T197" s="2" t="str">
        <x:v>NR</x:v>
      </x:c>
      <x:c r="U197" s="2" t="str">
        <x:v>Gemini web service</x:v>
      </x:c>
      <x:c r="V197" s="2" t="str">
        <x:v>NR</x:v>
      </x:c>
      <x:c r="W197" s="2" t="str">
        <x:v>No</x:v>
      </x:c>
      <x:c r="X197" s="2" t="str">
        <x:v>No</x:v>
      </x:c>
      <x:c r="Y197" s="6" t="str">
        <x:v>p. 9; Evaluation section</x:v>
      </x:c>
      <x:c r="Z197" s="6" t="str">
        <x:v>We utilize five prominent AI models—Meta (based on tured prompting, and two to three times more with Meta Llama 3),5 Gemini (no version information structured prompting. Despite Claude and ChatGPT</x:v>
      </x:c>
      <x:c r="AA197" s="6" t="str">
        <x:v>使用Gemini，版本未公布，非付费版本，截至2024年5月更新。</x:v>
      </x:c>
      <x:c r="AB197" s="2" t="str">
        <x:v>Accepted</x:v>
      </x:c>
      <x:c r="AC197" s="6" t="str">
        <x:v>The article explicitly states 'no version information published'; the reported May 2024 snapshot is retained but not used to fabricate a version.</x:v>
      </x:c>
    </x:row>
    <x:row r="198" ht="76" customHeight="1">
      <x:c r="A198" s="2" t="str">
        <x:v>S46-MODEL-R19</x:v>
      </x:c>
      <x:c r="B198" s="2" t="str">
        <x:v>S46</x:v>
      </x:c>
      <x:c r="C198" s="2" t="str">
        <x:v>merged_1293</x:v>
      </x:c>
      <x:c r="D198" s="2" t="str">
        <x:v>Reviewer_A</x:v>
      </x:c>
      <x:c r="E198" s="2" t="str">
        <x:v>Reviewer_A</x:v>
      </x:c>
      <x:c r="F198" s="2" t="str">
        <x:v>S46-MU19</x:v>
      </x:c>
      <x:c r="G198" s="2" t="str">
        <x:v>S46-O09</x:v>
      </x:c>
      <x:c r="H198" s="2" t="str">
        <x:v>S46-T09</x:v>
      </x:c>
      <x:c r="I198" s="2" t="str">
        <x:v>Gemini</x:v>
      </x:c>
      <x:c r="J198" s="2" t="str">
        <x:v>Google Gemini service</x:v>
      </x:c>
      <x:c r="K198" s="2" t="str">
        <x:v>Gemini</x:v>
      </x:c>
      <x:c r="L198" s="2" t="str">
        <x:v>NR</x:v>
      </x:c>
      <x:c r="M198" s="2" t="str">
        <x:v>NR</x:v>
      </x:c>
      <x:c r="N198" s="2" t="str">
        <x:v>2024-05</x:v>
      </x:c>
      <x:c r="O198" s="2" t="str">
        <x:v>Closed</x:v>
      </x:c>
      <x:c r="P198" s="2" t="str">
        <x:v>NR</x:v>
      </x:c>
      <x:c r="Q198" s="2" t="str">
        <x:v>NR</x:v>
      </x:c>
      <x:c r="R198" s="2" t="str">
        <x:v>NR</x:v>
      </x:c>
      <x:c r="S198" s="2" t="str">
        <x:v>NR</x:v>
      </x:c>
      <x:c r="T198" s="2" t="str">
        <x:v>NR</x:v>
      </x:c>
      <x:c r="U198" s="2" t="str">
        <x:v>Gemini web service</x:v>
      </x:c>
      <x:c r="V198" s="2" t="str">
        <x:v>NR</x:v>
      </x:c>
      <x:c r="W198" s="2" t="str">
        <x:v>No</x:v>
      </x:c>
      <x:c r="X198" s="2" t="str">
        <x:v>No</x:v>
      </x:c>
      <x:c r="Y198" s="6" t="str">
        <x:v>p. 9; Evaluation section</x:v>
      </x:c>
      <x:c r="Z198" s="6" t="str">
        <x:v>We utilize five prominent AI models—Meta (based on tured prompting, and two to three times more with Meta Llama 3),5 Gemini (no version information structured prompting. Despite Claude and ChatGPT</x:v>
      </x:c>
      <x:c r="AA198" s="6" t="str">
        <x:v>使用Gemini，版本未公布，非付费版本，截至2024年5月更新。</x:v>
      </x:c>
      <x:c r="AB198" s="2" t="str">
        <x:v>Accepted</x:v>
      </x:c>
      <x:c r="AC198" s="6" t="str">
        <x:v>The article explicitly states 'no version information published'; the reported May 2024 snapshot is retained but not used to fabricate a version.</x:v>
      </x:c>
    </x:row>
    <x:row r="199" ht="76" customHeight="1">
      <x:c r="A199" s="2" t="str">
        <x:v>S46-MODEL-R20</x:v>
      </x:c>
      <x:c r="B199" s="2" t="str">
        <x:v>S46</x:v>
      </x:c>
      <x:c r="C199" s="2" t="str">
        <x:v>merged_1293</x:v>
      </x:c>
      <x:c r="D199" s="2" t="str">
        <x:v>Reviewer_A</x:v>
      </x:c>
      <x:c r="E199" s="2" t="str">
        <x:v>Reviewer_A</x:v>
      </x:c>
      <x:c r="F199" s="2" t="str">
        <x:v>S46-MU20</x:v>
      </x:c>
      <x:c r="G199" s="2" t="str">
        <x:v>S46-O10</x:v>
      </x:c>
      <x:c r="H199" s="2" t="str">
        <x:v>S46-T10</x:v>
      </x:c>
      <x:c r="I199" s="2" t="str">
        <x:v>Gemini</x:v>
      </x:c>
      <x:c r="J199" s="2" t="str">
        <x:v>Google Gemini service</x:v>
      </x:c>
      <x:c r="K199" s="2" t="str">
        <x:v>Gemini</x:v>
      </x:c>
      <x:c r="L199" s="2" t="str">
        <x:v>NR</x:v>
      </x:c>
      <x:c r="M199" s="2" t="str">
        <x:v>NR</x:v>
      </x:c>
      <x:c r="N199" s="2" t="str">
        <x:v>2024-05</x:v>
      </x:c>
      <x:c r="O199" s="2" t="str">
        <x:v>Closed</x:v>
      </x:c>
      <x:c r="P199" s="2" t="str">
        <x:v>NR</x:v>
      </x:c>
      <x:c r="Q199" s="2" t="str">
        <x:v>NR</x:v>
      </x:c>
      <x:c r="R199" s="2" t="str">
        <x:v>NR</x:v>
      </x:c>
      <x:c r="S199" s="2" t="str">
        <x:v>NR</x:v>
      </x:c>
      <x:c r="T199" s="2" t="str">
        <x:v>NR</x:v>
      </x:c>
      <x:c r="U199" s="2" t="str">
        <x:v>Gemini web service</x:v>
      </x:c>
      <x:c r="V199" s="2" t="str">
        <x:v>NR</x:v>
      </x:c>
      <x:c r="W199" s="2" t="str">
        <x:v>No</x:v>
      </x:c>
      <x:c r="X199" s="2" t="str">
        <x:v>No</x:v>
      </x:c>
      <x:c r="Y199" s="6" t="str">
        <x:v>p. 9; Evaluation section</x:v>
      </x:c>
      <x:c r="Z199" s="6" t="str">
        <x:v>We utilize five prominent AI models—Meta (based on tured prompting, and two to three times more with Meta Llama 3),5 Gemini (no version information structured prompting. Despite Claude and ChatGPT</x:v>
      </x:c>
      <x:c r="AA199" s="6" t="str">
        <x:v>使用Gemini，版本未公布，非付费版本，截至2024年5月更新。</x:v>
      </x:c>
      <x:c r="AB199" s="2" t="str">
        <x:v>Accepted</x:v>
      </x:c>
      <x:c r="AC199" s="6" t="str">
        <x:v>The article explicitly states 'no version information published'; the reported May 2024 snapshot is retained but not used to fabricate a version.</x:v>
      </x:c>
    </x:row>
    <x:row r="200" ht="76" customHeight="1">
      <x:c r="A200" s="2" t="str">
        <x:v>S46-MODEL-R21</x:v>
      </x:c>
      <x:c r="B200" s="2" t="str">
        <x:v>S46</x:v>
      </x:c>
      <x:c r="C200" s="2" t="str">
        <x:v>merged_1293</x:v>
      </x:c>
      <x:c r="D200" s="2" t="str">
        <x:v>Reviewer_A</x:v>
      </x:c>
      <x:c r="E200" s="2" t="str">
        <x:v>Reviewer_A</x:v>
      </x:c>
      <x:c r="F200" s="2" t="str">
        <x:v>S46-MU21</x:v>
      </x:c>
      <x:c r="G200" s="2" t="str">
        <x:v>S46-O01</x:v>
      </x:c>
      <x:c r="H200" s="2" t="str">
        <x:v>S46-T01</x:v>
      </x:c>
      <x:c r="I200" s="2" t="str">
        <x:v>Copilot</x:v>
      </x:c>
      <x:c r="J200" s="2" t="str">
        <x:v>GitHub Copilot service</x:v>
      </x:c>
      <x:c r="K200" s="2" t="str">
        <x:v>GitHub Copilot</x:v>
      </x:c>
      <x:c r="L200" s="2" t="str">
        <x:v>NR</x:v>
      </x:c>
      <x:c r="M200" s="2" t="str">
        <x:v>NR</x:v>
      </x:c>
      <x:c r="N200" s="2" t="str">
        <x:v>2024-05</x:v>
      </x:c>
      <x:c r="O200" s="2" t="str">
        <x:v>Closed</x:v>
      </x:c>
      <x:c r="P200" s="2" t="str">
        <x:v>NR</x:v>
      </x:c>
      <x:c r="Q200" s="2" t="str">
        <x:v>NR</x:v>
      </x:c>
      <x:c r="R200" s="2" t="str">
        <x:v>NR</x:v>
      </x:c>
      <x:c r="S200" s="2" t="str">
        <x:v>NR</x:v>
      </x:c>
      <x:c r="T200" s="2" t="str">
        <x:v>NR</x:v>
      </x:c>
      <x:c r="U200" s="2" t="str">
        <x:v>GitHub Copilot service</x:v>
      </x:c>
      <x:c r="V200" s="2" t="str">
        <x:v>NR</x:v>
      </x:c>
      <x:c r="W200" s="2" t="str">
        <x:v>No</x:v>
      </x:c>
      <x:c r="X200" s="2" t="str">
        <x:v>No</x:v>
      </x:c>
      <x:c r="Y200" s="6" t="str">
        <x:v>p. 9; Evaluation section</x:v>
      </x:c>
      <x:c r="Z200" s="6" t="str">
        <x:v>We utilize five prominent AI models—Meta (based on tured prompting, and two to three times more with Meta Llama 3),5 Gemini (no version information structured prompting. Despite Claude and ChatGPT</x:v>
      </x:c>
      <x:c r="AA200" s="6" t="str">
        <x:v>使用Copilot，版本未公布，非付费版本，截至2024年5月更新。</x:v>
      </x:c>
      <x:c r="AB200" s="2" t="str">
        <x:v>Accepted</x:v>
      </x:c>
      <x:c r="AC200" s="6" t="str">
        <x:v>The article explicitly states 'no version information published'; GitHub Copilot is confirmed by reference 3, but its underlying model is not disclosed.</x:v>
      </x:c>
    </x:row>
    <x:row r="201" ht="76" customHeight="1">
      <x:c r="A201" s="2" t="str">
        <x:v>S46-MODEL-R22</x:v>
      </x:c>
      <x:c r="B201" s="2" t="str">
        <x:v>S46</x:v>
      </x:c>
      <x:c r="C201" s="2" t="str">
        <x:v>merged_1293</x:v>
      </x:c>
      <x:c r="D201" s="2" t="str">
        <x:v>Reviewer_A</x:v>
      </x:c>
      <x:c r="E201" s="2" t="str">
        <x:v>Reviewer_A</x:v>
      </x:c>
      <x:c r="F201" s="2" t="str">
        <x:v>S46-MU22</x:v>
      </x:c>
      <x:c r="G201" s="2" t="str">
        <x:v>S46-O02</x:v>
      </x:c>
      <x:c r="H201" s="2" t="str">
        <x:v>S46-T02</x:v>
      </x:c>
      <x:c r="I201" s="2" t="str">
        <x:v>Copilot</x:v>
      </x:c>
      <x:c r="J201" s="2" t="str">
        <x:v>GitHub Copilot service</x:v>
      </x:c>
      <x:c r="K201" s="2" t="str">
        <x:v>GitHub Copilot</x:v>
      </x:c>
      <x:c r="L201" s="2" t="str">
        <x:v>NR</x:v>
      </x:c>
      <x:c r="M201" s="2" t="str">
        <x:v>NR</x:v>
      </x:c>
      <x:c r="N201" s="2" t="str">
        <x:v>2024-05</x:v>
      </x:c>
      <x:c r="O201" s="2" t="str">
        <x:v>Closed</x:v>
      </x:c>
      <x:c r="P201" s="2" t="str">
        <x:v>NR</x:v>
      </x:c>
      <x:c r="Q201" s="2" t="str">
        <x:v>NR</x:v>
      </x:c>
      <x:c r="R201" s="2" t="str">
        <x:v>NR</x:v>
      </x:c>
      <x:c r="S201" s="2" t="str">
        <x:v>NR</x:v>
      </x:c>
      <x:c r="T201" s="2" t="str">
        <x:v>NR</x:v>
      </x:c>
      <x:c r="U201" s="2" t="str">
        <x:v>GitHub Copilot service</x:v>
      </x:c>
      <x:c r="V201" s="2" t="str">
        <x:v>NR</x:v>
      </x:c>
      <x:c r="W201" s="2" t="str">
        <x:v>No</x:v>
      </x:c>
      <x:c r="X201" s="2" t="str">
        <x:v>No</x:v>
      </x:c>
      <x:c r="Y201" s="6" t="str">
        <x:v>p. 9; Evaluation section</x:v>
      </x:c>
      <x:c r="Z201" s="6" t="str">
        <x:v>We utilize five prominent AI models—Meta (based on tured prompting, and two to three times more with Meta Llama 3),5 Gemini (no version information structured prompting. Despite Claude and ChatGPT</x:v>
      </x:c>
      <x:c r="AA201" s="6" t="str">
        <x:v>使用Copilot，版本未公布，非付费版本，截至2024年5月更新。</x:v>
      </x:c>
      <x:c r="AB201" s="2" t="str">
        <x:v>Accepted</x:v>
      </x:c>
      <x:c r="AC201" s="6" t="str">
        <x:v>The article explicitly states 'no version information published'; GitHub Copilot is confirmed by reference 3, but its underlying model is not disclosed.</x:v>
      </x:c>
    </x:row>
    <x:row r="202" ht="76" customHeight="1">
      <x:c r="A202" s="2" t="str">
        <x:v>S46-MODEL-R23</x:v>
      </x:c>
      <x:c r="B202" s="2" t="str">
        <x:v>S46</x:v>
      </x:c>
      <x:c r="C202" s="2" t="str">
        <x:v>merged_1293</x:v>
      </x:c>
      <x:c r="D202" s="2" t="str">
        <x:v>Reviewer_A</x:v>
      </x:c>
      <x:c r="E202" s="2" t="str">
        <x:v>Reviewer_A</x:v>
      </x:c>
      <x:c r="F202" s="2" t="str">
        <x:v>S46-MU23</x:v>
      </x:c>
      <x:c r="G202" s="2" t="str">
        <x:v>S46-O03</x:v>
      </x:c>
      <x:c r="H202" s="2" t="str">
        <x:v>S46-T03</x:v>
      </x:c>
      <x:c r="I202" s="2" t="str">
        <x:v>Copilot</x:v>
      </x:c>
      <x:c r="J202" s="2" t="str">
        <x:v>GitHub Copilot service</x:v>
      </x:c>
      <x:c r="K202" s="2" t="str">
        <x:v>GitHub Copilot</x:v>
      </x:c>
      <x:c r="L202" s="2" t="str">
        <x:v>NR</x:v>
      </x:c>
      <x:c r="M202" s="2" t="str">
        <x:v>NR</x:v>
      </x:c>
      <x:c r="N202" s="2" t="str">
        <x:v>2024-05</x:v>
      </x:c>
      <x:c r="O202" s="2" t="str">
        <x:v>Closed</x:v>
      </x:c>
      <x:c r="P202" s="2" t="str">
        <x:v>NR</x:v>
      </x:c>
      <x:c r="Q202" s="2" t="str">
        <x:v>NR</x:v>
      </x:c>
      <x:c r="R202" s="2" t="str">
        <x:v>NR</x:v>
      </x:c>
      <x:c r="S202" s="2" t="str">
        <x:v>NR</x:v>
      </x:c>
      <x:c r="T202" s="2" t="str">
        <x:v>NR</x:v>
      </x:c>
      <x:c r="U202" s="2" t="str">
        <x:v>GitHub Copilot service</x:v>
      </x:c>
      <x:c r="V202" s="2" t="str">
        <x:v>NR</x:v>
      </x:c>
      <x:c r="W202" s="2" t="str">
        <x:v>No</x:v>
      </x:c>
      <x:c r="X202" s="2" t="str">
        <x:v>No</x:v>
      </x:c>
      <x:c r="Y202" s="6" t="str">
        <x:v>p. 9; Evaluation section</x:v>
      </x:c>
      <x:c r="Z202" s="6" t="str">
        <x:v>We utilize five prominent AI models—Meta (based on tured prompting, and two to three times more with Meta Llama 3),5 Gemini (no version information structured prompting. Despite Claude and ChatGPT</x:v>
      </x:c>
      <x:c r="AA202" s="6" t="str">
        <x:v>使用Copilot，版本未公布，非付费版本，截至2024年5月更新。</x:v>
      </x:c>
      <x:c r="AB202" s="2" t="str">
        <x:v>Accepted</x:v>
      </x:c>
      <x:c r="AC202" s="6" t="str">
        <x:v>The article explicitly states 'no version information published'; GitHub Copilot is confirmed by reference 3, but its underlying model is not disclosed.</x:v>
      </x:c>
    </x:row>
    <x:row r="203" ht="76" customHeight="1">
      <x:c r="A203" s="2" t="str">
        <x:v>S46-MODEL-R24</x:v>
      </x:c>
      <x:c r="B203" s="2" t="str">
        <x:v>S46</x:v>
      </x:c>
      <x:c r="C203" s="2" t="str">
        <x:v>merged_1293</x:v>
      </x:c>
      <x:c r="D203" s="2" t="str">
        <x:v>Reviewer_A</x:v>
      </x:c>
      <x:c r="E203" s="2" t="str">
        <x:v>Reviewer_A</x:v>
      </x:c>
      <x:c r="F203" s="2" t="str">
        <x:v>S46-MU24</x:v>
      </x:c>
      <x:c r="G203" s="2" t="str">
        <x:v>S46-O04</x:v>
      </x:c>
      <x:c r="H203" s="2" t="str">
        <x:v>S46-T04</x:v>
      </x:c>
      <x:c r="I203" s="2" t="str">
        <x:v>Copilot</x:v>
      </x:c>
      <x:c r="J203" s="2" t="str">
        <x:v>GitHub Copilot service</x:v>
      </x:c>
      <x:c r="K203" s="2" t="str">
        <x:v>GitHub Copilot</x:v>
      </x:c>
      <x:c r="L203" s="2" t="str">
        <x:v>NR</x:v>
      </x:c>
      <x:c r="M203" s="2" t="str">
        <x:v>NR</x:v>
      </x:c>
      <x:c r="N203" s="2" t="str">
        <x:v>2024-05</x:v>
      </x:c>
      <x:c r="O203" s="2" t="str">
        <x:v>Closed</x:v>
      </x:c>
      <x:c r="P203" s="2" t="str">
        <x:v>NR</x:v>
      </x:c>
      <x:c r="Q203" s="2" t="str">
        <x:v>NR</x:v>
      </x:c>
      <x:c r="R203" s="2" t="str">
        <x:v>NR</x:v>
      </x:c>
      <x:c r="S203" s="2" t="str">
        <x:v>NR</x:v>
      </x:c>
      <x:c r="T203" s="2" t="str">
        <x:v>NR</x:v>
      </x:c>
      <x:c r="U203" s="2" t="str">
        <x:v>GitHub Copilot service</x:v>
      </x:c>
      <x:c r="V203" s="2" t="str">
        <x:v>NR</x:v>
      </x:c>
      <x:c r="W203" s="2" t="str">
        <x:v>No</x:v>
      </x:c>
      <x:c r="X203" s="2" t="str">
        <x:v>No</x:v>
      </x:c>
      <x:c r="Y203" s="6" t="str">
        <x:v>p. 9; Evaluation section</x:v>
      </x:c>
      <x:c r="Z203" s="6" t="str">
        <x:v>We utilize five prominent AI models—Meta (based on tured prompting, and two to three times more with Meta Llama 3),5 Gemini (no version information structured prompting. Despite Claude and ChatGPT</x:v>
      </x:c>
      <x:c r="AA203" s="6" t="str">
        <x:v>使用Copilot，版本未公布，非付费版本，截至2024年5月更新。</x:v>
      </x:c>
      <x:c r="AB203" s="2" t="str">
        <x:v>Accepted</x:v>
      </x:c>
      <x:c r="AC203" s="6" t="str">
        <x:v>The article explicitly states 'no version information published'; GitHub Copilot is confirmed by reference 3, but its underlying model is not disclosed.</x:v>
      </x:c>
    </x:row>
    <x:row r="204" ht="76" customHeight="1">
      <x:c r="A204" s="2" t="str">
        <x:v>S46-MODEL-R25</x:v>
      </x:c>
      <x:c r="B204" s="2" t="str">
        <x:v>S46</x:v>
      </x:c>
      <x:c r="C204" s="2" t="str">
        <x:v>merged_1293</x:v>
      </x:c>
      <x:c r="D204" s="2" t="str">
        <x:v>Reviewer_A</x:v>
      </x:c>
      <x:c r="E204" s="2" t="str">
        <x:v>Reviewer_A</x:v>
      </x:c>
      <x:c r="F204" s="2" t="str">
        <x:v>S46-MU25</x:v>
      </x:c>
      <x:c r="G204" s="2" t="str">
        <x:v>S46-O05</x:v>
      </x:c>
      <x:c r="H204" s="2" t="str">
        <x:v>S46-T05</x:v>
      </x:c>
      <x:c r="I204" s="2" t="str">
        <x:v>Copilot</x:v>
      </x:c>
      <x:c r="J204" s="2" t="str">
        <x:v>GitHub Copilot service</x:v>
      </x:c>
      <x:c r="K204" s="2" t="str">
        <x:v>GitHub Copilot</x:v>
      </x:c>
      <x:c r="L204" s="2" t="str">
        <x:v>NR</x:v>
      </x:c>
      <x:c r="M204" s="2" t="str">
        <x:v>NR</x:v>
      </x:c>
      <x:c r="N204" s="2" t="str">
        <x:v>2024-05</x:v>
      </x:c>
      <x:c r="O204" s="2" t="str">
        <x:v>Closed</x:v>
      </x:c>
      <x:c r="P204" s="2" t="str">
        <x:v>NR</x:v>
      </x:c>
      <x:c r="Q204" s="2" t="str">
        <x:v>NR</x:v>
      </x:c>
      <x:c r="R204" s="2" t="str">
        <x:v>NR</x:v>
      </x:c>
      <x:c r="S204" s="2" t="str">
        <x:v>NR</x:v>
      </x:c>
      <x:c r="T204" s="2" t="str">
        <x:v>NR</x:v>
      </x:c>
      <x:c r="U204" s="2" t="str">
        <x:v>GitHub Copilot service</x:v>
      </x:c>
      <x:c r="V204" s="2" t="str">
        <x:v>NR</x:v>
      </x:c>
      <x:c r="W204" s="2" t="str">
        <x:v>No</x:v>
      </x:c>
      <x:c r="X204" s="2" t="str">
        <x:v>No</x:v>
      </x:c>
      <x:c r="Y204" s="6" t="str">
        <x:v>p. 9; Evaluation section</x:v>
      </x:c>
      <x:c r="Z204" s="6" t="str">
        <x:v>We utilize five prominent AI models—Meta (based on tured prompting, and two to three times more with Meta Llama 3),5 Gemini (no version information structured prompting. Despite Claude and ChatGPT</x:v>
      </x:c>
      <x:c r="AA204" s="6" t="str">
        <x:v>使用Copilot，版本未公布，非付费版本，截至2024年5月更新。</x:v>
      </x:c>
      <x:c r="AB204" s="2" t="str">
        <x:v>Accepted</x:v>
      </x:c>
      <x:c r="AC204" s="6" t="str">
        <x:v>The article explicitly states 'no version information published'; GitHub Copilot is confirmed by reference 3, but its underlying model is not disclosed.</x:v>
      </x:c>
    </x:row>
    <x:row r="205" ht="76" customHeight="1">
      <x:c r="A205" s="2" t="str">
        <x:v>S46-MODEL-R26</x:v>
      </x:c>
      <x:c r="B205" s="2" t="str">
        <x:v>S46</x:v>
      </x:c>
      <x:c r="C205" s="2" t="str">
        <x:v>merged_1293</x:v>
      </x:c>
      <x:c r="D205" s="2" t="str">
        <x:v>Reviewer_A</x:v>
      </x:c>
      <x:c r="E205" s="2" t="str">
        <x:v>Reviewer_A</x:v>
      </x:c>
      <x:c r="F205" s="2" t="str">
        <x:v>S46-MU26</x:v>
      </x:c>
      <x:c r="G205" s="2" t="str">
        <x:v>S46-O06</x:v>
      </x:c>
      <x:c r="H205" s="2" t="str">
        <x:v>S46-T06</x:v>
      </x:c>
      <x:c r="I205" s="2" t="str">
        <x:v>Copilot</x:v>
      </x:c>
      <x:c r="J205" s="2" t="str">
        <x:v>GitHub Copilot service</x:v>
      </x:c>
      <x:c r="K205" s="2" t="str">
        <x:v>GitHub Copilot</x:v>
      </x:c>
      <x:c r="L205" s="2" t="str">
        <x:v>NR</x:v>
      </x:c>
      <x:c r="M205" s="2" t="str">
        <x:v>NR</x:v>
      </x:c>
      <x:c r="N205" s="2" t="str">
        <x:v>2024-05</x:v>
      </x:c>
      <x:c r="O205" s="2" t="str">
        <x:v>Closed</x:v>
      </x:c>
      <x:c r="P205" s="2" t="str">
        <x:v>NR</x:v>
      </x:c>
      <x:c r="Q205" s="2" t="str">
        <x:v>NR</x:v>
      </x:c>
      <x:c r="R205" s="2" t="str">
        <x:v>NR</x:v>
      </x:c>
      <x:c r="S205" s="2" t="str">
        <x:v>NR</x:v>
      </x:c>
      <x:c r="T205" s="2" t="str">
        <x:v>NR</x:v>
      </x:c>
      <x:c r="U205" s="2" t="str">
        <x:v>GitHub Copilot service</x:v>
      </x:c>
      <x:c r="V205" s="2" t="str">
        <x:v>NR</x:v>
      </x:c>
      <x:c r="W205" s="2" t="str">
        <x:v>No</x:v>
      </x:c>
      <x:c r="X205" s="2" t="str">
        <x:v>No</x:v>
      </x:c>
      <x:c r="Y205" s="6" t="str">
        <x:v>p. 9; Evaluation section</x:v>
      </x:c>
      <x:c r="Z205" s="6" t="str">
        <x:v>We utilize five prominent AI models—Meta (based on tured prompting, and two to three times more with Meta Llama 3),5 Gemini (no version information structured prompting. Despite Claude and ChatGPT</x:v>
      </x:c>
      <x:c r="AA205" s="6" t="str">
        <x:v>使用Copilot，版本未公布，非付费版本，截至2024年5月更新。</x:v>
      </x:c>
      <x:c r="AB205" s="2" t="str">
        <x:v>Accepted</x:v>
      </x:c>
      <x:c r="AC205" s="6" t="str">
        <x:v>The article explicitly states 'no version information published'; GitHub Copilot is confirmed by reference 3, but its underlying model is not disclosed.</x:v>
      </x:c>
    </x:row>
    <x:row r="206" ht="76" customHeight="1">
      <x:c r="A206" s="2" t="str">
        <x:v>S46-MODEL-R27</x:v>
      </x:c>
      <x:c r="B206" s="2" t="str">
        <x:v>S46</x:v>
      </x:c>
      <x:c r="C206" s="2" t="str">
        <x:v>merged_1293</x:v>
      </x:c>
      <x:c r="D206" s="2" t="str">
        <x:v>Reviewer_A</x:v>
      </x:c>
      <x:c r="E206" s="2" t="str">
        <x:v>Reviewer_A</x:v>
      </x:c>
      <x:c r="F206" s="2" t="str">
        <x:v>S46-MU27</x:v>
      </x:c>
      <x:c r="G206" s="2" t="str">
        <x:v>S46-O07</x:v>
      </x:c>
      <x:c r="H206" s="2" t="str">
        <x:v>S46-T07</x:v>
      </x:c>
      <x:c r="I206" s="2" t="str">
        <x:v>Copilot</x:v>
      </x:c>
      <x:c r="J206" s="2" t="str">
        <x:v>GitHub Copilot service</x:v>
      </x:c>
      <x:c r="K206" s="2" t="str">
        <x:v>GitHub Copilot</x:v>
      </x:c>
      <x:c r="L206" s="2" t="str">
        <x:v>NR</x:v>
      </x:c>
      <x:c r="M206" s="2" t="str">
        <x:v>NR</x:v>
      </x:c>
      <x:c r="N206" s="2" t="str">
        <x:v>2024-05</x:v>
      </x:c>
      <x:c r="O206" s="2" t="str">
        <x:v>Closed</x:v>
      </x:c>
      <x:c r="P206" s="2" t="str">
        <x:v>NR</x:v>
      </x:c>
      <x:c r="Q206" s="2" t="str">
        <x:v>NR</x:v>
      </x:c>
      <x:c r="R206" s="2" t="str">
        <x:v>NR</x:v>
      </x:c>
      <x:c r="S206" s="2" t="str">
        <x:v>NR</x:v>
      </x:c>
      <x:c r="T206" s="2" t="str">
        <x:v>NR</x:v>
      </x:c>
      <x:c r="U206" s="2" t="str">
        <x:v>GitHub Copilot service</x:v>
      </x:c>
      <x:c r="V206" s="2" t="str">
        <x:v>NR</x:v>
      </x:c>
      <x:c r="W206" s="2" t="str">
        <x:v>No</x:v>
      </x:c>
      <x:c r="X206" s="2" t="str">
        <x:v>No</x:v>
      </x:c>
      <x:c r="Y206" s="6" t="str">
        <x:v>p. 9; Evaluation section</x:v>
      </x:c>
      <x:c r="Z206" s="6" t="str">
        <x:v>We utilize five prominent AI models—Meta (based on tured prompting, and two to three times more with Meta Llama 3),5 Gemini (no version information structured prompting. Despite Claude and ChatGPT</x:v>
      </x:c>
      <x:c r="AA206" s="6" t="str">
        <x:v>使用Copilot，版本未公布，非付费版本，截至2024年5月更新。</x:v>
      </x:c>
      <x:c r="AB206" s="2" t="str">
        <x:v>Accepted</x:v>
      </x:c>
      <x:c r="AC206" s="6" t="str">
        <x:v>The article explicitly states 'no version information published'; GitHub Copilot is confirmed by reference 3, but its underlying model is not disclosed.</x:v>
      </x:c>
    </x:row>
    <x:row r="207" ht="76" customHeight="1">
      <x:c r="A207" s="2" t="str">
        <x:v>S46-MODEL-R28</x:v>
      </x:c>
      <x:c r="B207" s="2" t="str">
        <x:v>S46</x:v>
      </x:c>
      <x:c r="C207" s="2" t="str">
        <x:v>merged_1293</x:v>
      </x:c>
      <x:c r="D207" s="2" t="str">
        <x:v>Reviewer_A</x:v>
      </x:c>
      <x:c r="E207" s="2" t="str">
        <x:v>Reviewer_A</x:v>
      </x:c>
      <x:c r="F207" s="2" t="str">
        <x:v>S46-MU28</x:v>
      </x:c>
      <x:c r="G207" s="2" t="str">
        <x:v>S46-O08</x:v>
      </x:c>
      <x:c r="H207" s="2" t="str">
        <x:v>S46-T08</x:v>
      </x:c>
      <x:c r="I207" s="2" t="str">
        <x:v>Copilot</x:v>
      </x:c>
      <x:c r="J207" s="2" t="str">
        <x:v>GitHub Copilot service</x:v>
      </x:c>
      <x:c r="K207" s="2" t="str">
        <x:v>GitHub Copilot</x:v>
      </x:c>
      <x:c r="L207" s="2" t="str">
        <x:v>NR</x:v>
      </x:c>
      <x:c r="M207" s="2" t="str">
        <x:v>NR</x:v>
      </x:c>
      <x:c r="N207" s="2" t="str">
        <x:v>2024-05</x:v>
      </x:c>
      <x:c r="O207" s="2" t="str">
        <x:v>Closed</x:v>
      </x:c>
      <x:c r="P207" s="2" t="str">
        <x:v>NR</x:v>
      </x:c>
      <x:c r="Q207" s="2" t="str">
        <x:v>NR</x:v>
      </x:c>
      <x:c r="R207" s="2" t="str">
        <x:v>NR</x:v>
      </x:c>
      <x:c r="S207" s="2" t="str">
        <x:v>NR</x:v>
      </x:c>
      <x:c r="T207" s="2" t="str">
        <x:v>NR</x:v>
      </x:c>
      <x:c r="U207" s="2" t="str">
        <x:v>GitHub Copilot service</x:v>
      </x:c>
      <x:c r="V207" s="2" t="str">
        <x:v>NR</x:v>
      </x:c>
      <x:c r="W207" s="2" t="str">
        <x:v>No</x:v>
      </x:c>
      <x:c r="X207" s="2" t="str">
        <x:v>No</x:v>
      </x:c>
      <x:c r="Y207" s="6" t="str">
        <x:v>p. 9; Evaluation section</x:v>
      </x:c>
      <x:c r="Z207" s="6" t="str">
        <x:v>We utilize five prominent AI models—Meta (based on tured prompting, and two to three times more with Meta Llama 3),5 Gemini (no version information structured prompting. Despite Claude and ChatGPT</x:v>
      </x:c>
      <x:c r="AA207" s="6" t="str">
        <x:v>使用Copilot，版本未公布，非付费版本，截至2024年5月更新。</x:v>
      </x:c>
      <x:c r="AB207" s="2" t="str">
        <x:v>Accepted</x:v>
      </x:c>
      <x:c r="AC207" s="6" t="str">
        <x:v>The article explicitly states 'no version information published'; GitHub Copilot is confirmed by reference 3, but its underlying model is not disclosed.</x:v>
      </x:c>
    </x:row>
    <x:row r="208" ht="76" customHeight="1">
      <x:c r="A208" s="2" t="str">
        <x:v>S46-MODEL-R29</x:v>
      </x:c>
      <x:c r="B208" s="2" t="str">
        <x:v>S46</x:v>
      </x:c>
      <x:c r="C208" s="2" t="str">
        <x:v>merged_1293</x:v>
      </x:c>
      <x:c r="D208" s="2" t="str">
        <x:v>Reviewer_A</x:v>
      </x:c>
      <x:c r="E208" s="2" t="str">
        <x:v>Reviewer_A</x:v>
      </x:c>
      <x:c r="F208" s="2" t="str">
        <x:v>S46-MU29</x:v>
      </x:c>
      <x:c r="G208" s="2" t="str">
        <x:v>S46-O09</x:v>
      </x:c>
      <x:c r="H208" s="2" t="str">
        <x:v>S46-T09</x:v>
      </x:c>
      <x:c r="I208" s="2" t="str">
        <x:v>Copilot</x:v>
      </x:c>
      <x:c r="J208" s="2" t="str">
        <x:v>GitHub Copilot service</x:v>
      </x:c>
      <x:c r="K208" s="2" t="str">
        <x:v>GitHub Copilot</x:v>
      </x:c>
      <x:c r="L208" s="2" t="str">
        <x:v>NR</x:v>
      </x:c>
      <x:c r="M208" s="2" t="str">
        <x:v>NR</x:v>
      </x:c>
      <x:c r="N208" s="2" t="str">
        <x:v>2024-05</x:v>
      </x:c>
      <x:c r="O208" s="2" t="str">
        <x:v>Closed</x:v>
      </x:c>
      <x:c r="P208" s="2" t="str">
        <x:v>NR</x:v>
      </x:c>
      <x:c r="Q208" s="2" t="str">
        <x:v>NR</x:v>
      </x:c>
      <x:c r="R208" s="2" t="str">
        <x:v>NR</x:v>
      </x:c>
      <x:c r="S208" s="2" t="str">
        <x:v>NR</x:v>
      </x:c>
      <x:c r="T208" s="2" t="str">
        <x:v>NR</x:v>
      </x:c>
      <x:c r="U208" s="2" t="str">
        <x:v>GitHub Copilot service</x:v>
      </x:c>
      <x:c r="V208" s="2" t="str">
        <x:v>NR</x:v>
      </x:c>
      <x:c r="W208" s="2" t="str">
        <x:v>No</x:v>
      </x:c>
      <x:c r="X208" s="2" t="str">
        <x:v>No</x:v>
      </x:c>
      <x:c r="Y208" s="6" t="str">
        <x:v>p. 9; Evaluation section</x:v>
      </x:c>
      <x:c r="Z208" s="6" t="str">
        <x:v>We utilize five prominent AI models—Meta (based on tured prompting, and two to three times more with Meta Llama 3),5 Gemini (no version information structured prompting. Despite Claude and ChatGPT</x:v>
      </x:c>
      <x:c r="AA208" s="6" t="str">
        <x:v>使用Copilot，版本未公布，非付费版本，截至2024年5月更新。</x:v>
      </x:c>
      <x:c r="AB208" s="2" t="str">
        <x:v>Accepted</x:v>
      </x:c>
      <x:c r="AC208" s="6" t="str">
        <x:v>The article explicitly states 'no version information published'; GitHub Copilot is confirmed by reference 3, but its underlying model is not disclosed.</x:v>
      </x:c>
    </x:row>
    <x:row r="209" ht="76" customHeight="1">
      <x:c r="A209" s="2" t="str">
        <x:v>S46-MODEL-R30</x:v>
      </x:c>
      <x:c r="B209" s="2" t="str">
        <x:v>S46</x:v>
      </x:c>
      <x:c r="C209" s="2" t="str">
        <x:v>merged_1293</x:v>
      </x:c>
      <x:c r="D209" s="2" t="str">
        <x:v>Reviewer_A</x:v>
      </x:c>
      <x:c r="E209" s="2" t="str">
        <x:v>Reviewer_A</x:v>
      </x:c>
      <x:c r="F209" s="2" t="str">
        <x:v>S46-MU30</x:v>
      </x:c>
      <x:c r="G209" s="2" t="str">
        <x:v>S46-O10</x:v>
      </x:c>
      <x:c r="H209" s="2" t="str">
        <x:v>S46-T10</x:v>
      </x:c>
      <x:c r="I209" s="2" t="str">
        <x:v>Copilot</x:v>
      </x:c>
      <x:c r="J209" s="2" t="str">
        <x:v>GitHub Copilot service</x:v>
      </x:c>
      <x:c r="K209" s="2" t="str">
        <x:v>GitHub Copilot</x:v>
      </x:c>
      <x:c r="L209" s="2" t="str">
        <x:v>NR</x:v>
      </x:c>
      <x:c r="M209" s="2" t="str">
        <x:v>NR</x:v>
      </x:c>
      <x:c r="N209" s="2" t="str">
        <x:v>2024-05</x:v>
      </x:c>
      <x:c r="O209" s="2" t="str">
        <x:v>Closed</x:v>
      </x:c>
      <x:c r="P209" s="2" t="str">
        <x:v>NR</x:v>
      </x:c>
      <x:c r="Q209" s="2" t="str">
        <x:v>NR</x:v>
      </x:c>
      <x:c r="R209" s="2" t="str">
        <x:v>NR</x:v>
      </x:c>
      <x:c r="S209" s="2" t="str">
        <x:v>NR</x:v>
      </x:c>
      <x:c r="T209" s="2" t="str">
        <x:v>NR</x:v>
      </x:c>
      <x:c r="U209" s="2" t="str">
        <x:v>GitHub Copilot service</x:v>
      </x:c>
      <x:c r="V209" s="2" t="str">
        <x:v>NR</x:v>
      </x:c>
      <x:c r="W209" s="2" t="str">
        <x:v>No</x:v>
      </x:c>
      <x:c r="X209" s="2" t="str">
        <x:v>No</x:v>
      </x:c>
      <x:c r="Y209" s="6" t="str">
        <x:v>p. 9; Evaluation section</x:v>
      </x:c>
      <x:c r="Z209" s="6" t="str">
        <x:v>We utilize five prominent AI models—Meta (based on tured prompting, and two to three times more with Meta Llama 3),5 Gemini (no version information structured prompting. Despite Claude and ChatGPT</x:v>
      </x:c>
      <x:c r="AA209" s="6" t="str">
        <x:v>使用Copilot，版本未公布，非付费版本，截至2024年5月更新。</x:v>
      </x:c>
      <x:c r="AB209" s="2" t="str">
        <x:v>Accepted</x:v>
      </x:c>
      <x:c r="AC209" s="6" t="str">
        <x:v>The article explicitly states 'no version information published'; GitHub Copilot is confirmed by reference 3, but its underlying model is not disclosed.</x:v>
      </x:c>
    </x:row>
    <x:row r="210" ht="76" customHeight="1">
      <x:c r="A210" s="2" t="str">
        <x:v>S46-MODEL-R31</x:v>
      </x:c>
      <x:c r="B210" s="2" t="str">
        <x:v>S46</x:v>
      </x:c>
      <x:c r="C210" s="2" t="str">
        <x:v>merged_1293</x:v>
      </x:c>
      <x:c r="D210" s="2" t="str">
        <x:v>Reviewer_A</x:v>
      </x:c>
      <x:c r="E210" s="2" t="str">
        <x:v>Reviewer_A</x:v>
      </x:c>
      <x:c r="F210" s="2" t="str">
        <x:v>S46-MU31</x:v>
      </x:c>
      <x:c r="G210" s="2" t="str">
        <x:v>S46-O01</x:v>
      </x:c>
      <x:c r="H210" s="2" t="str">
        <x:v>S46-T01</x:v>
      </x:c>
      <x:c r="I210" s="2" t="str">
        <x:v>Claude (Claude 3.5 Sonnet)</x:v>
      </x:c>
      <x:c r="J210" s="2" t="str">
        <x:v>Claude 3.5 Sonnet</x:v>
      </x:c>
      <x:c r="K210" s="2" t="str">
        <x:v>Claude</x:v>
      </x:c>
      <x:c r="L210" s="2" t="str">
        <x:v>3.5 Sonnet</x:v>
      </x:c>
      <x:c r="M210" s="2" t="str">
        <x:v>NR</x:v>
      </x:c>
      <x:c r="N210" s="2" t="str">
        <x:v>2024-05</x:v>
      </x:c>
      <x:c r="O210" s="2" t="str">
        <x:v>Closed</x:v>
      </x:c>
      <x:c r="P210" s="2" t="str">
        <x:v>NR</x:v>
      </x:c>
      <x:c r="Q210" s="2" t="str">
        <x:v>NR</x:v>
      </x:c>
      <x:c r="R210" s="2" t="str">
        <x:v>NR</x:v>
      </x:c>
      <x:c r="S210" s="2" t="str">
        <x:v>NR</x:v>
      </x:c>
      <x:c r="T210" s="2" t="str">
        <x:v>NR</x:v>
      </x:c>
      <x:c r="U210" s="2" t="str">
        <x:v>NR</x:v>
      </x:c>
      <x:c r="V210" s="2" t="str">
        <x:v>NR</x:v>
      </x:c>
      <x:c r="W210" s="2" t="str">
        <x:v>No</x:v>
      </x:c>
      <x:c r="X210" s="2" t="str">
        <x:v>No</x:v>
      </x:c>
      <x:c r="Y210" s="6" t="str">
        <x:v>p. 9; Evaluation section</x:v>
      </x:c>
      <x:c r="Z210" s="6" t="str">
        <x:v>We utilize five prominent AI models—Meta (based on tured prompting, and two to three times more with Meta Llama 3),5 Gemini (no version information structured prompting. Despite Claude and ChatGPT</x:v>
      </x:c>
      <x:c r="AA210" s="6" t="str">
        <x:v>使用Claude 3.5 Sonnet，非付费版本，截至2024年5月更新。</x:v>
      </x:c>
      <x:c r="AB210" s="2" t="str">
        <x:v>Accepted</x:v>
      </x:c>
      <x:c r="AC210" s="6" t="str">
        <x:v>NA; shared model use split by operation</x:v>
      </x:c>
    </x:row>
    <x:row r="211" ht="76" customHeight="1">
      <x:c r="A211" s="2" t="str">
        <x:v>S46-MODEL-R32</x:v>
      </x:c>
      <x:c r="B211" s="2" t="str">
        <x:v>S46</x:v>
      </x:c>
      <x:c r="C211" s="2" t="str">
        <x:v>merged_1293</x:v>
      </x:c>
      <x:c r="D211" s="2" t="str">
        <x:v>Reviewer_A</x:v>
      </x:c>
      <x:c r="E211" s="2" t="str">
        <x:v>Reviewer_A</x:v>
      </x:c>
      <x:c r="F211" s="2" t="str">
        <x:v>S46-MU32</x:v>
      </x:c>
      <x:c r="G211" s="2" t="str">
        <x:v>S46-O02</x:v>
      </x:c>
      <x:c r="H211" s="2" t="str">
        <x:v>S46-T02</x:v>
      </x:c>
      <x:c r="I211" s="2" t="str">
        <x:v>Claude (Claude 3.5 Sonnet)</x:v>
      </x:c>
      <x:c r="J211" s="2" t="str">
        <x:v>Claude 3.5 Sonnet</x:v>
      </x:c>
      <x:c r="K211" s="2" t="str">
        <x:v>Claude</x:v>
      </x:c>
      <x:c r="L211" s="2" t="str">
        <x:v>3.5 Sonnet</x:v>
      </x:c>
      <x:c r="M211" s="2" t="str">
        <x:v>NR</x:v>
      </x:c>
      <x:c r="N211" s="2" t="str">
        <x:v>2024-05</x:v>
      </x:c>
      <x:c r="O211" s="2" t="str">
        <x:v>Closed</x:v>
      </x:c>
      <x:c r="P211" s="2" t="str">
        <x:v>NR</x:v>
      </x:c>
      <x:c r="Q211" s="2" t="str">
        <x:v>NR</x:v>
      </x:c>
      <x:c r="R211" s="2" t="str">
        <x:v>NR</x:v>
      </x:c>
      <x:c r="S211" s="2" t="str">
        <x:v>NR</x:v>
      </x:c>
      <x:c r="T211" s="2" t="str">
        <x:v>NR</x:v>
      </x:c>
      <x:c r="U211" s="2" t="str">
        <x:v>NR</x:v>
      </x:c>
      <x:c r="V211" s="2" t="str">
        <x:v>NR</x:v>
      </x:c>
      <x:c r="W211" s="2" t="str">
        <x:v>No</x:v>
      </x:c>
      <x:c r="X211" s="2" t="str">
        <x:v>No</x:v>
      </x:c>
      <x:c r="Y211" s="6" t="str">
        <x:v>p. 9; Evaluation section</x:v>
      </x:c>
      <x:c r="Z211" s="6" t="str">
        <x:v>We utilize five prominent AI models—Meta (based on tured prompting, and two to three times more with Meta Llama 3),5 Gemini (no version information structured prompting. Despite Claude and ChatGPT</x:v>
      </x:c>
      <x:c r="AA211" s="6" t="str">
        <x:v>使用Claude 3.5 Sonnet，非付费版本，截至2024年5月更新。</x:v>
      </x:c>
      <x:c r="AB211" s="2" t="str">
        <x:v>Accepted</x:v>
      </x:c>
      <x:c r="AC211" s="6" t="str">
        <x:v>NA; shared model use split by operation</x:v>
      </x:c>
    </x:row>
    <x:row r="212" ht="76" customHeight="1">
      <x:c r="A212" s="2" t="str">
        <x:v>S46-MODEL-R33</x:v>
      </x:c>
      <x:c r="B212" s="2" t="str">
        <x:v>S46</x:v>
      </x:c>
      <x:c r="C212" s="2" t="str">
        <x:v>merged_1293</x:v>
      </x:c>
      <x:c r="D212" s="2" t="str">
        <x:v>Reviewer_A</x:v>
      </x:c>
      <x:c r="E212" s="2" t="str">
        <x:v>Reviewer_A</x:v>
      </x:c>
      <x:c r="F212" s="2" t="str">
        <x:v>S46-MU33</x:v>
      </x:c>
      <x:c r="G212" s="2" t="str">
        <x:v>S46-O03</x:v>
      </x:c>
      <x:c r="H212" s="2" t="str">
        <x:v>S46-T03</x:v>
      </x:c>
      <x:c r="I212" s="2" t="str">
        <x:v>Claude (Claude 3.5 Sonnet)</x:v>
      </x:c>
      <x:c r="J212" s="2" t="str">
        <x:v>Claude 3.5 Sonnet</x:v>
      </x:c>
      <x:c r="K212" s="2" t="str">
        <x:v>Claude</x:v>
      </x:c>
      <x:c r="L212" s="2" t="str">
        <x:v>3.5 Sonnet</x:v>
      </x:c>
      <x:c r="M212" s="2" t="str">
        <x:v>NR</x:v>
      </x:c>
      <x:c r="N212" s="2" t="str">
        <x:v>2024-05</x:v>
      </x:c>
      <x:c r="O212" s="2" t="str">
        <x:v>Closed</x:v>
      </x:c>
      <x:c r="P212" s="2" t="str">
        <x:v>NR</x:v>
      </x:c>
      <x:c r="Q212" s="2" t="str">
        <x:v>NR</x:v>
      </x:c>
      <x:c r="R212" s="2" t="str">
        <x:v>NR</x:v>
      </x:c>
      <x:c r="S212" s="2" t="str">
        <x:v>NR</x:v>
      </x:c>
      <x:c r="T212" s="2" t="str">
        <x:v>NR</x:v>
      </x:c>
      <x:c r="U212" s="2" t="str">
        <x:v>NR</x:v>
      </x:c>
      <x:c r="V212" s="2" t="str">
        <x:v>NR</x:v>
      </x:c>
      <x:c r="W212" s="2" t="str">
        <x:v>No</x:v>
      </x:c>
      <x:c r="X212" s="2" t="str">
        <x:v>No</x:v>
      </x:c>
      <x:c r="Y212" s="6" t="str">
        <x:v>p. 9; Evaluation section</x:v>
      </x:c>
      <x:c r="Z212" s="6" t="str">
        <x:v>We utilize five prominent AI models—Meta (based on tured prompting, and two to three times more with Meta Llama 3),5 Gemini (no version information structured prompting. Despite Claude and ChatGPT</x:v>
      </x:c>
      <x:c r="AA212" s="6" t="str">
        <x:v>使用Claude 3.5 Sonnet，非付费版本，截至2024年5月更新。</x:v>
      </x:c>
      <x:c r="AB212" s="2" t="str">
        <x:v>Accepted</x:v>
      </x:c>
      <x:c r="AC212" s="6" t="str">
        <x:v>NA; shared model use split by operation</x:v>
      </x:c>
    </x:row>
    <x:row r="213" ht="76" customHeight="1">
      <x:c r="A213" s="2" t="str">
        <x:v>S46-MODEL-R34</x:v>
      </x:c>
      <x:c r="B213" s="2" t="str">
        <x:v>S46</x:v>
      </x:c>
      <x:c r="C213" s="2" t="str">
        <x:v>merged_1293</x:v>
      </x:c>
      <x:c r="D213" s="2" t="str">
        <x:v>Reviewer_A</x:v>
      </x:c>
      <x:c r="E213" s="2" t="str">
        <x:v>Reviewer_A</x:v>
      </x:c>
      <x:c r="F213" s="2" t="str">
        <x:v>S46-MU34</x:v>
      </x:c>
      <x:c r="G213" s="2" t="str">
        <x:v>S46-O04</x:v>
      </x:c>
      <x:c r="H213" s="2" t="str">
        <x:v>S46-T04</x:v>
      </x:c>
      <x:c r="I213" s="2" t="str">
        <x:v>Claude (Claude 3.5 Sonnet)</x:v>
      </x:c>
      <x:c r="J213" s="2" t="str">
        <x:v>Claude 3.5 Sonnet</x:v>
      </x:c>
      <x:c r="K213" s="2" t="str">
        <x:v>Claude</x:v>
      </x:c>
      <x:c r="L213" s="2" t="str">
        <x:v>3.5 Sonnet</x:v>
      </x:c>
      <x:c r="M213" s="2" t="str">
        <x:v>NR</x:v>
      </x:c>
      <x:c r="N213" s="2" t="str">
        <x:v>2024-05</x:v>
      </x:c>
      <x:c r="O213" s="2" t="str">
        <x:v>Closed</x:v>
      </x:c>
      <x:c r="P213" s="2" t="str">
        <x:v>NR</x:v>
      </x:c>
      <x:c r="Q213" s="2" t="str">
        <x:v>NR</x:v>
      </x:c>
      <x:c r="R213" s="2" t="str">
        <x:v>NR</x:v>
      </x:c>
      <x:c r="S213" s="2" t="str">
        <x:v>NR</x:v>
      </x:c>
      <x:c r="T213" s="2" t="str">
        <x:v>NR</x:v>
      </x:c>
      <x:c r="U213" s="2" t="str">
        <x:v>NR</x:v>
      </x:c>
      <x:c r="V213" s="2" t="str">
        <x:v>NR</x:v>
      </x:c>
      <x:c r="W213" s="2" t="str">
        <x:v>No</x:v>
      </x:c>
      <x:c r="X213" s="2" t="str">
        <x:v>No</x:v>
      </x:c>
      <x:c r="Y213" s="6" t="str">
        <x:v>p. 9; Evaluation section</x:v>
      </x:c>
      <x:c r="Z213" s="6" t="str">
        <x:v>We utilize five prominent AI models—Meta (based on tured prompting, and two to three times more with Meta Llama 3),5 Gemini (no version information structured prompting. Despite Claude and ChatGPT</x:v>
      </x:c>
      <x:c r="AA213" s="6" t="str">
        <x:v>使用Claude 3.5 Sonnet，非付费版本，截至2024年5月更新。</x:v>
      </x:c>
      <x:c r="AB213" s="2" t="str">
        <x:v>Accepted</x:v>
      </x:c>
      <x:c r="AC213" s="6" t="str">
        <x:v>NA; shared model use split by operation</x:v>
      </x:c>
    </x:row>
    <x:row r="214" ht="76" customHeight="1">
      <x:c r="A214" s="2" t="str">
        <x:v>S46-MODEL-R35</x:v>
      </x:c>
      <x:c r="B214" s="2" t="str">
        <x:v>S46</x:v>
      </x:c>
      <x:c r="C214" s="2" t="str">
        <x:v>merged_1293</x:v>
      </x:c>
      <x:c r="D214" s="2" t="str">
        <x:v>Reviewer_A</x:v>
      </x:c>
      <x:c r="E214" s="2" t="str">
        <x:v>Reviewer_A</x:v>
      </x:c>
      <x:c r="F214" s="2" t="str">
        <x:v>S46-MU35</x:v>
      </x:c>
      <x:c r="G214" s="2" t="str">
        <x:v>S46-O05</x:v>
      </x:c>
      <x:c r="H214" s="2" t="str">
        <x:v>S46-T05</x:v>
      </x:c>
      <x:c r="I214" s="2" t="str">
        <x:v>Claude (Claude 3.5 Sonnet)</x:v>
      </x:c>
      <x:c r="J214" s="2" t="str">
        <x:v>Claude 3.5 Sonnet</x:v>
      </x:c>
      <x:c r="K214" s="2" t="str">
        <x:v>Claude</x:v>
      </x:c>
      <x:c r="L214" s="2" t="str">
        <x:v>3.5 Sonnet</x:v>
      </x:c>
      <x:c r="M214" s="2" t="str">
        <x:v>NR</x:v>
      </x:c>
      <x:c r="N214" s="2" t="str">
        <x:v>2024-05</x:v>
      </x:c>
      <x:c r="O214" s="2" t="str">
        <x:v>Closed</x:v>
      </x:c>
      <x:c r="P214" s="2" t="str">
        <x:v>NR</x:v>
      </x:c>
      <x:c r="Q214" s="2" t="str">
        <x:v>NR</x:v>
      </x:c>
      <x:c r="R214" s="2" t="str">
        <x:v>NR</x:v>
      </x:c>
      <x:c r="S214" s="2" t="str">
        <x:v>NR</x:v>
      </x:c>
      <x:c r="T214" s="2" t="str">
        <x:v>NR</x:v>
      </x:c>
      <x:c r="U214" s="2" t="str">
        <x:v>NR</x:v>
      </x:c>
      <x:c r="V214" s="2" t="str">
        <x:v>NR</x:v>
      </x:c>
      <x:c r="W214" s="2" t="str">
        <x:v>No</x:v>
      </x:c>
      <x:c r="X214" s="2" t="str">
        <x:v>No</x:v>
      </x:c>
      <x:c r="Y214" s="6" t="str">
        <x:v>p. 9; Evaluation section</x:v>
      </x:c>
      <x:c r="Z214" s="6" t="str">
        <x:v>We utilize five prominent AI models—Meta (based on tured prompting, and two to three times more with Meta Llama 3),5 Gemini (no version information structured prompting. Despite Claude and ChatGPT</x:v>
      </x:c>
      <x:c r="AA214" s="6" t="str">
        <x:v>使用Claude 3.5 Sonnet，非付费版本，截至2024年5月更新。</x:v>
      </x:c>
      <x:c r="AB214" s="2" t="str">
        <x:v>Accepted</x:v>
      </x:c>
      <x:c r="AC214" s="6" t="str">
        <x:v>NA; shared model use split by operation</x:v>
      </x:c>
    </x:row>
    <x:row r="215" ht="76" customHeight="1">
      <x:c r="A215" s="2" t="str">
        <x:v>S46-MODEL-R36</x:v>
      </x:c>
      <x:c r="B215" s="2" t="str">
        <x:v>S46</x:v>
      </x:c>
      <x:c r="C215" s="2" t="str">
        <x:v>merged_1293</x:v>
      </x:c>
      <x:c r="D215" s="2" t="str">
        <x:v>Reviewer_A</x:v>
      </x:c>
      <x:c r="E215" s="2" t="str">
        <x:v>Reviewer_A</x:v>
      </x:c>
      <x:c r="F215" s="2" t="str">
        <x:v>S46-MU36</x:v>
      </x:c>
      <x:c r="G215" s="2" t="str">
        <x:v>S46-O06</x:v>
      </x:c>
      <x:c r="H215" s="2" t="str">
        <x:v>S46-T06</x:v>
      </x:c>
      <x:c r="I215" s="2" t="str">
        <x:v>Claude (Claude 3.5 Sonnet)</x:v>
      </x:c>
      <x:c r="J215" s="2" t="str">
        <x:v>Claude 3.5 Sonnet</x:v>
      </x:c>
      <x:c r="K215" s="2" t="str">
        <x:v>Claude</x:v>
      </x:c>
      <x:c r="L215" s="2" t="str">
        <x:v>3.5 Sonnet</x:v>
      </x:c>
      <x:c r="M215" s="2" t="str">
        <x:v>NR</x:v>
      </x:c>
      <x:c r="N215" s="2" t="str">
        <x:v>2024-05</x:v>
      </x:c>
      <x:c r="O215" s="2" t="str">
        <x:v>Closed</x:v>
      </x:c>
      <x:c r="P215" s="2" t="str">
        <x:v>NR</x:v>
      </x:c>
      <x:c r="Q215" s="2" t="str">
        <x:v>NR</x:v>
      </x:c>
      <x:c r="R215" s="2" t="str">
        <x:v>NR</x:v>
      </x:c>
      <x:c r="S215" s="2" t="str">
        <x:v>NR</x:v>
      </x:c>
      <x:c r="T215" s="2" t="str">
        <x:v>NR</x:v>
      </x:c>
      <x:c r="U215" s="2" t="str">
        <x:v>NR</x:v>
      </x:c>
      <x:c r="V215" s="2" t="str">
        <x:v>NR</x:v>
      </x:c>
      <x:c r="W215" s="2" t="str">
        <x:v>No</x:v>
      </x:c>
      <x:c r="X215" s="2" t="str">
        <x:v>No</x:v>
      </x:c>
      <x:c r="Y215" s="6" t="str">
        <x:v>p. 9; Evaluation section</x:v>
      </x:c>
      <x:c r="Z215" s="6" t="str">
        <x:v>We utilize five prominent AI models—Meta (based on tured prompting, and two to three times more with Meta Llama 3),5 Gemini (no version information structured prompting. Despite Claude and ChatGPT</x:v>
      </x:c>
      <x:c r="AA215" s="6" t="str">
        <x:v>使用Claude 3.5 Sonnet，非付费版本，截至2024年5月更新。</x:v>
      </x:c>
      <x:c r="AB215" s="2" t="str">
        <x:v>Accepted</x:v>
      </x:c>
      <x:c r="AC215" s="6" t="str">
        <x:v>NA; shared model use split by operation</x:v>
      </x:c>
    </x:row>
    <x:row r="216" ht="76" customHeight="1">
      <x:c r="A216" s="2" t="str">
        <x:v>S46-MODEL-R37</x:v>
      </x:c>
      <x:c r="B216" s="2" t="str">
        <x:v>S46</x:v>
      </x:c>
      <x:c r="C216" s="2" t="str">
        <x:v>merged_1293</x:v>
      </x:c>
      <x:c r="D216" s="2" t="str">
        <x:v>Reviewer_A</x:v>
      </x:c>
      <x:c r="E216" s="2" t="str">
        <x:v>Reviewer_A</x:v>
      </x:c>
      <x:c r="F216" s="2" t="str">
        <x:v>S46-MU37</x:v>
      </x:c>
      <x:c r="G216" s="2" t="str">
        <x:v>S46-O07</x:v>
      </x:c>
      <x:c r="H216" s="2" t="str">
        <x:v>S46-T07</x:v>
      </x:c>
      <x:c r="I216" s="2" t="str">
        <x:v>Claude (Claude 3.5 Sonnet)</x:v>
      </x:c>
      <x:c r="J216" s="2" t="str">
        <x:v>Claude 3.5 Sonnet</x:v>
      </x:c>
      <x:c r="K216" s="2" t="str">
        <x:v>Claude</x:v>
      </x:c>
      <x:c r="L216" s="2" t="str">
        <x:v>3.5 Sonnet</x:v>
      </x:c>
      <x:c r="M216" s="2" t="str">
        <x:v>NR</x:v>
      </x:c>
      <x:c r="N216" s="2" t="str">
        <x:v>2024-05</x:v>
      </x:c>
      <x:c r="O216" s="2" t="str">
        <x:v>Closed</x:v>
      </x:c>
      <x:c r="P216" s="2" t="str">
        <x:v>NR</x:v>
      </x:c>
      <x:c r="Q216" s="2" t="str">
        <x:v>NR</x:v>
      </x:c>
      <x:c r="R216" s="2" t="str">
        <x:v>NR</x:v>
      </x:c>
      <x:c r="S216" s="2" t="str">
        <x:v>NR</x:v>
      </x:c>
      <x:c r="T216" s="2" t="str">
        <x:v>NR</x:v>
      </x:c>
      <x:c r="U216" s="2" t="str">
        <x:v>NR</x:v>
      </x:c>
      <x:c r="V216" s="2" t="str">
        <x:v>NR</x:v>
      </x:c>
      <x:c r="W216" s="2" t="str">
        <x:v>No</x:v>
      </x:c>
      <x:c r="X216" s="2" t="str">
        <x:v>No</x:v>
      </x:c>
      <x:c r="Y216" s="6" t="str">
        <x:v>p. 9; Evaluation section</x:v>
      </x:c>
      <x:c r="Z216" s="6" t="str">
        <x:v>We utilize five prominent AI models—Meta (based on tured prompting, and two to three times more with Meta Llama 3),5 Gemini (no version information structured prompting. Despite Claude and ChatGPT</x:v>
      </x:c>
      <x:c r="AA216" s="6" t="str">
        <x:v>使用Claude 3.5 Sonnet，非付费版本，截至2024年5月更新。</x:v>
      </x:c>
      <x:c r="AB216" s="2" t="str">
        <x:v>Accepted</x:v>
      </x:c>
      <x:c r="AC216" s="6" t="str">
        <x:v>NA; shared model use split by operation</x:v>
      </x:c>
    </x:row>
    <x:row r="217" ht="76" customHeight="1">
      <x:c r="A217" s="2" t="str">
        <x:v>S46-MODEL-R38</x:v>
      </x:c>
      <x:c r="B217" s="2" t="str">
        <x:v>S46</x:v>
      </x:c>
      <x:c r="C217" s="2" t="str">
        <x:v>merged_1293</x:v>
      </x:c>
      <x:c r="D217" s="2" t="str">
        <x:v>Reviewer_A</x:v>
      </x:c>
      <x:c r="E217" s="2" t="str">
        <x:v>Reviewer_A</x:v>
      </x:c>
      <x:c r="F217" s="2" t="str">
        <x:v>S46-MU38</x:v>
      </x:c>
      <x:c r="G217" s="2" t="str">
        <x:v>S46-O08</x:v>
      </x:c>
      <x:c r="H217" s="2" t="str">
        <x:v>S46-T08</x:v>
      </x:c>
      <x:c r="I217" s="2" t="str">
        <x:v>Claude (Claude 3.5 Sonnet)</x:v>
      </x:c>
      <x:c r="J217" s="2" t="str">
        <x:v>Claude 3.5 Sonnet</x:v>
      </x:c>
      <x:c r="K217" s="2" t="str">
        <x:v>Claude</x:v>
      </x:c>
      <x:c r="L217" s="2" t="str">
        <x:v>3.5 Sonnet</x:v>
      </x:c>
      <x:c r="M217" s="2" t="str">
        <x:v>NR</x:v>
      </x:c>
      <x:c r="N217" s="2" t="str">
        <x:v>2024-05</x:v>
      </x:c>
      <x:c r="O217" s="2" t="str">
        <x:v>Closed</x:v>
      </x:c>
      <x:c r="P217" s="2" t="str">
        <x:v>NR</x:v>
      </x:c>
      <x:c r="Q217" s="2" t="str">
        <x:v>NR</x:v>
      </x:c>
      <x:c r="R217" s="2" t="str">
        <x:v>NR</x:v>
      </x:c>
      <x:c r="S217" s="2" t="str">
        <x:v>NR</x:v>
      </x:c>
      <x:c r="T217" s="2" t="str">
        <x:v>NR</x:v>
      </x:c>
      <x:c r="U217" s="2" t="str">
        <x:v>NR</x:v>
      </x:c>
      <x:c r="V217" s="2" t="str">
        <x:v>NR</x:v>
      </x:c>
      <x:c r="W217" s="2" t="str">
        <x:v>No</x:v>
      </x:c>
      <x:c r="X217" s="2" t="str">
        <x:v>No</x:v>
      </x:c>
      <x:c r="Y217" s="6" t="str">
        <x:v>p. 9; Evaluation section</x:v>
      </x:c>
      <x:c r="Z217" s="6" t="str">
        <x:v>We utilize five prominent AI models—Meta (based on tured prompting, and two to three times more with Meta Llama 3),5 Gemini (no version information structured prompting. Despite Claude and ChatGPT</x:v>
      </x:c>
      <x:c r="AA217" s="6" t="str">
        <x:v>使用Claude 3.5 Sonnet，非付费版本，截至2024年5月更新。</x:v>
      </x:c>
      <x:c r="AB217" s="2" t="str">
        <x:v>Accepted</x:v>
      </x:c>
      <x:c r="AC217" s="6" t="str">
        <x:v>NA; shared model use split by operation</x:v>
      </x:c>
    </x:row>
    <x:row r="218" ht="76" customHeight="1">
      <x:c r="A218" s="2" t="str">
        <x:v>S46-MODEL-R39</x:v>
      </x:c>
      <x:c r="B218" s="2" t="str">
        <x:v>S46</x:v>
      </x:c>
      <x:c r="C218" s="2" t="str">
        <x:v>merged_1293</x:v>
      </x:c>
      <x:c r="D218" s="2" t="str">
        <x:v>Reviewer_A</x:v>
      </x:c>
      <x:c r="E218" s="2" t="str">
        <x:v>Reviewer_A</x:v>
      </x:c>
      <x:c r="F218" s="2" t="str">
        <x:v>S46-MU39</x:v>
      </x:c>
      <x:c r="G218" s="2" t="str">
        <x:v>S46-O09</x:v>
      </x:c>
      <x:c r="H218" s="2" t="str">
        <x:v>S46-T09</x:v>
      </x:c>
      <x:c r="I218" s="2" t="str">
        <x:v>Claude (Claude 3.5 Sonnet)</x:v>
      </x:c>
      <x:c r="J218" s="2" t="str">
        <x:v>Claude 3.5 Sonnet</x:v>
      </x:c>
      <x:c r="K218" s="2" t="str">
        <x:v>Claude</x:v>
      </x:c>
      <x:c r="L218" s="2" t="str">
        <x:v>3.5 Sonnet</x:v>
      </x:c>
      <x:c r="M218" s="2" t="str">
        <x:v>NR</x:v>
      </x:c>
      <x:c r="N218" s="2" t="str">
        <x:v>2024-05</x:v>
      </x:c>
      <x:c r="O218" s="2" t="str">
        <x:v>Closed</x:v>
      </x:c>
      <x:c r="P218" s="2" t="str">
        <x:v>NR</x:v>
      </x:c>
      <x:c r="Q218" s="2" t="str">
        <x:v>NR</x:v>
      </x:c>
      <x:c r="R218" s="2" t="str">
        <x:v>NR</x:v>
      </x:c>
      <x:c r="S218" s="2" t="str">
        <x:v>NR</x:v>
      </x:c>
      <x:c r="T218" s="2" t="str">
        <x:v>NR</x:v>
      </x:c>
      <x:c r="U218" s="2" t="str">
        <x:v>NR</x:v>
      </x:c>
      <x:c r="V218" s="2" t="str">
        <x:v>NR</x:v>
      </x:c>
      <x:c r="W218" s="2" t="str">
        <x:v>No</x:v>
      </x:c>
      <x:c r="X218" s="2" t="str">
        <x:v>No</x:v>
      </x:c>
      <x:c r="Y218" s="6" t="str">
        <x:v>p. 9; Evaluation section</x:v>
      </x:c>
      <x:c r="Z218" s="6" t="str">
        <x:v>We utilize five prominent AI models—Meta (based on tured prompting, and two to three times more with Meta Llama 3),5 Gemini (no version information structured prompting. Despite Claude and ChatGPT</x:v>
      </x:c>
      <x:c r="AA218" s="6" t="str">
        <x:v>使用Claude 3.5 Sonnet，非付费版本，截至2024年5月更新。</x:v>
      </x:c>
      <x:c r="AB218" s="2" t="str">
        <x:v>Accepted</x:v>
      </x:c>
      <x:c r="AC218" s="6" t="str">
        <x:v>NA; shared model use split by operation</x:v>
      </x:c>
    </x:row>
    <x:row r="219" ht="76" customHeight="1">
      <x:c r="A219" s="2" t="str">
        <x:v>S46-MODEL-R40</x:v>
      </x:c>
      <x:c r="B219" s="2" t="str">
        <x:v>S46</x:v>
      </x:c>
      <x:c r="C219" s="2" t="str">
        <x:v>merged_1293</x:v>
      </x:c>
      <x:c r="D219" s="2" t="str">
        <x:v>Reviewer_A</x:v>
      </x:c>
      <x:c r="E219" s="2" t="str">
        <x:v>Reviewer_A</x:v>
      </x:c>
      <x:c r="F219" s="2" t="str">
        <x:v>S46-MU40</x:v>
      </x:c>
      <x:c r="G219" s="2" t="str">
        <x:v>S46-O10</x:v>
      </x:c>
      <x:c r="H219" s="2" t="str">
        <x:v>S46-T10</x:v>
      </x:c>
      <x:c r="I219" s="2" t="str">
        <x:v>Claude (Claude 3.5 Sonnet)</x:v>
      </x:c>
      <x:c r="J219" s="2" t="str">
        <x:v>Claude 3.5 Sonnet</x:v>
      </x:c>
      <x:c r="K219" s="2" t="str">
        <x:v>Claude</x:v>
      </x:c>
      <x:c r="L219" s="2" t="str">
        <x:v>3.5 Sonnet</x:v>
      </x:c>
      <x:c r="M219" s="2" t="str">
        <x:v>NR</x:v>
      </x:c>
      <x:c r="N219" s="2" t="str">
        <x:v>2024-05</x:v>
      </x:c>
      <x:c r="O219" s="2" t="str">
        <x:v>Closed</x:v>
      </x:c>
      <x:c r="P219" s="2" t="str">
        <x:v>NR</x:v>
      </x:c>
      <x:c r="Q219" s="2" t="str">
        <x:v>NR</x:v>
      </x:c>
      <x:c r="R219" s="2" t="str">
        <x:v>NR</x:v>
      </x:c>
      <x:c r="S219" s="2" t="str">
        <x:v>NR</x:v>
      </x:c>
      <x:c r="T219" s="2" t="str">
        <x:v>NR</x:v>
      </x:c>
      <x:c r="U219" s="2" t="str">
        <x:v>NR</x:v>
      </x:c>
      <x:c r="V219" s="2" t="str">
        <x:v>NR</x:v>
      </x:c>
      <x:c r="W219" s="2" t="str">
        <x:v>No</x:v>
      </x:c>
      <x:c r="X219" s="2" t="str">
        <x:v>No</x:v>
      </x:c>
      <x:c r="Y219" s="6" t="str">
        <x:v>p. 9; Evaluation section</x:v>
      </x:c>
      <x:c r="Z219" s="6" t="str">
        <x:v>We utilize five prominent AI models—Meta (based on tured prompting, and two to three times more with Meta Llama 3),5 Gemini (no version information structured prompting. Despite Claude and ChatGPT</x:v>
      </x:c>
      <x:c r="AA219" s="6" t="str">
        <x:v>使用Claude 3.5 Sonnet，非付费版本，截至2024年5月更新。</x:v>
      </x:c>
      <x:c r="AB219" s="2" t="str">
        <x:v>Accepted</x:v>
      </x:c>
      <x:c r="AC219" s="6" t="str">
        <x:v>NA; shared model use split by operation</x:v>
      </x:c>
    </x:row>
    <x:row r="220" ht="76" customHeight="1">
      <x:c r="A220" s="2" t="str">
        <x:v>S46-MODEL-R41</x:v>
      </x:c>
      <x:c r="B220" s="2" t="str">
        <x:v>S46</x:v>
      </x:c>
      <x:c r="C220" s="2" t="str">
        <x:v>merged_1293</x:v>
      </x:c>
      <x:c r="D220" s="2" t="str">
        <x:v>Reviewer_A</x:v>
      </x:c>
      <x:c r="E220" s="2" t="str">
        <x:v>Reviewer_A</x:v>
      </x:c>
      <x:c r="F220" s="2" t="str">
        <x:v>S46-MU41</x:v>
      </x:c>
      <x:c r="G220" s="2" t="str">
        <x:v>S46-O01</x:v>
      </x:c>
      <x:c r="H220" s="2" t="str">
        <x:v>S46-T01</x:v>
      </x:c>
      <x:c r="I220" s="2" t="str">
        <x:v>ChatGPT (ChatGPT-4o)</x:v>
      </x:c>
      <x:c r="J220" s="2" t="str">
        <x:v>ChatGPT-4o</x:v>
      </x:c>
      <x:c r="K220" s="2" t="str">
        <x:v>GPT</x:v>
      </x:c>
      <x:c r="L220" s="2" t="str">
        <x:v>4o</x:v>
      </x:c>
      <x:c r="M220" s="2" t="str">
        <x:v>NR</x:v>
      </x:c>
      <x:c r="N220" s="2" t="str">
        <x:v>2024-05</x:v>
      </x:c>
      <x:c r="O220" s="2" t="str">
        <x:v>Closed</x:v>
      </x:c>
      <x:c r="P220" s="2" t="str">
        <x:v>NR</x:v>
      </x:c>
      <x:c r="Q220" s="2" t="str">
        <x:v>NR</x:v>
      </x:c>
      <x:c r="R220" s="2" t="str">
        <x:v>NR</x:v>
      </x:c>
      <x:c r="S220" s="2" t="str">
        <x:v>NR</x:v>
      </x:c>
      <x:c r="T220" s="2" t="str">
        <x:v>NR</x:v>
      </x:c>
      <x:c r="U220" s="2" t="str">
        <x:v>NR</x:v>
      </x:c>
      <x:c r="V220" s="2" t="str">
        <x:v>NR</x:v>
      </x:c>
      <x:c r="W220" s="2" t="str">
        <x:v>No</x:v>
      </x:c>
      <x:c r="X220" s="2" t="str">
        <x:v>No</x:v>
      </x:c>
      <x:c r="Y220" s="6" t="str">
        <x:v>p. 9; Evaluation section</x:v>
      </x:c>
      <x:c r="Z220" s="6" t="str">
        <x:v>We utilize five prominent AI models—Meta (based on tured prompting, and two to three times more with Meta Llama 3),5 Gemini (no version information structured prompting. Despite Claude and ChatGPT</x:v>
      </x:c>
      <x:c r="AA220" s="6" t="str">
        <x:v>使用ChatGPT-4o，非付费版本，截至2024年5月更新。</x:v>
      </x:c>
      <x:c r="AB220" s="2" t="str">
        <x:v>Accepted</x:v>
      </x:c>
      <x:c r="AC220" s="6" t="str">
        <x:v>NA; shared model use split by operation</x:v>
      </x:c>
    </x:row>
    <x:row r="221" ht="76" customHeight="1">
      <x:c r="A221" s="2" t="str">
        <x:v>S46-MODEL-R42</x:v>
      </x:c>
      <x:c r="B221" s="2" t="str">
        <x:v>S46</x:v>
      </x:c>
      <x:c r="C221" s="2" t="str">
        <x:v>merged_1293</x:v>
      </x:c>
      <x:c r="D221" s="2" t="str">
        <x:v>Reviewer_A</x:v>
      </x:c>
      <x:c r="E221" s="2" t="str">
        <x:v>Reviewer_A</x:v>
      </x:c>
      <x:c r="F221" s="2" t="str">
        <x:v>S46-MU42</x:v>
      </x:c>
      <x:c r="G221" s="2" t="str">
        <x:v>S46-O02</x:v>
      </x:c>
      <x:c r="H221" s="2" t="str">
        <x:v>S46-T02</x:v>
      </x:c>
      <x:c r="I221" s="2" t="str">
        <x:v>ChatGPT (ChatGPT-4o)</x:v>
      </x:c>
      <x:c r="J221" s="2" t="str">
        <x:v>ChatGPT-4o</x:v>
      </x:c>
      <x:c r="K221" s="2" t="str">
        <x:v>GPT</x:v>
      </x:c>
      <x:c r="L221" s="2" t="str">
        <x:v>4o</x:v>
      </x:c>
      <x:c r="M221" s="2" t="str">
        <x:v>NR</x:v>
      </x:c>
      <x:c r="N221" s="2" t="str">
        <x:v>2024-05</x:v>
      </x:c>
      <x:c r="O221" s="2" t="str">
        <x:v>Closed</x:v>
      </x:c>
      <x:c r="P221" s="2" t="str">
        <x:v>NR</x:v>
      </x:c>
      <x:c r="Q221" s="2" t="str">
        <x:v>NR</x:v>
      </x:c>
      <x:c r="R221" s="2" t="str">
        <x:v>NR</x:v>
      </x:c>
      <x:c r="S221" s="2" t="str">
        <x:v>NR</x:v>
      </x:c>
      <x:c r="T221" s="2" t="str">
        <x:v>NR</x:v>
      </x:c>
      <x:c r="U221" s="2" t="str">
        <x:v>NR</x:v>
      </x:c>
      <x:c r="V221" s="2" t="str">
        <x:v>NR</x:v>
      </x:c>
      <x:c r="W221" s="2" t="str">
        <x:v>No</x:v>
      </x:c>
      <x:c r="X221" s="2" t="str">
        <x:v>No</x:v>
      </x:c>
      <x:c r="Y221" s="6" t="str">
        <x:v>p. 9; Evaluation section</x:v>
      </x:c>
      <x:c r="Z221" s="6" t="str">
        <x:v>We utilize five prominent AI models—Meta (based on tured prompting, and two to three times more with Meta Llama 3),5 Gemini (no version information structured prompting. Despite Claude and ChatGPT</x:v>
      </x:c>
      <x:c r="AA221" s="6" t="str">
        <x:v>使用ChatGPT-4o，非付费版本，截至2024年5月更新。</x:v>
      </x:c>
      <x:c r="AB221" s="2" t="str">
        <x:v>Accepted</x:v>
      </x:c>
      <x:c r="AC221" s="6" t="str">
        <x:v>NA; shared model use split by operation</x:v>
      </x:c>
    </x:row>
    <x:row r="222" ht="76" customHeight="1">
      <x:c r="A222" s="2" t="str">
        <x:v>S46-MODEL-R43</x:v>
      </x:c>
      <x:c r="B222" s="2" t="str">
        <x:v>S46</x:v>
      </x:c>
      <x:c r="C222" s="2" t="str">
        <x:v>merged_1293</x:v>
      </x:c>
      <x:c r="D222" s="2" t="str">
        <x:v>Reviewer_A</x:v>
      </x:c>
      <x:c r="E222" s="2" t="str">
        <x:v>Reviewer_A</x:v>
      </x:c>
      <x:c r="F222" s="2" t="str">
        <x:v>S46-MU43</x:v>
      </x:c>
      <x:c r="G222" s="2" t="str">
        <x:v>S46-O03</x:v>
      </x:c>
      <x:c r="H222" s="2" t="str">
        <x:v>S46-T03</x:v>
      </x:c>
      <x:c r="I222" s="2" t="str">
        <x:v>ChatGPT (ChatGPT-4o)</x:v>
      </x:c>
      <x:c r="J222" s="2" t="str">
        <x:v>ChatGPT-4o</x:v>
      </x:c>
      <x:c r="K222" s="2" t="str">
        <x:v>GPT</x:v>
      </x:c>
      <x:c r="L222" s="2" t="str">
        <x:v>4o</x:v>
      </x:c>
      <x:c r="M222" s="2" t="str">
        <x:v>NR</x:v>
      </x:c>
      <x:c r="N222" s="2" t="str">
        <x:v>2024-05</x:v>
      </x:c>
      <x:c r="O222" s="2" t="str">
        <x:v>Closed</x:v>
      </x:c>
      <x:c r="P222" s="2" t="str">
        <x:v>NR</x:v>
      </x:c>
      <x:c r="Q222" s="2" t="str">
        <x:v>NR</x:v>
      </x:c>
      <x:c r="R222" s="2" t="str">
        <x:v>NR</x:v>
      </x:c>
      <x:c r="S222" s="2" t="str">
        <x:v>NR</x:v>
      </x:c>
      <x:c r="T222" s="2" t="str">
        <x:v>NR</x:v>
      </x:c>
      <x:c r="U222" s="2" t="str">
        <x:v>NR</x:v>
      </x:c>
      <x:c r="V222" s="2" t="str">
        <x:v>NR</x:v>
      </x:c>
      <x:c r="W222" s="2" t="str">
        <x:v>No</x:v>
      </x:c>
      <x:c r="X222" s="2" t="str">
        <x:v>No</x:v>
      </x:c>
      <x:c r="Y222" s="6" t="str">
        <x:v>p. 9; Evaluation section</x:v>
      </x:c>
      <x:c r="Z222" s="6" t="str">
        <x:v>We utilize five prominent AI models—Meta (based on tured prompting, and two to three times more with Meta Llama 3),5 Gemini (no version information structured prompting. Despite Claude and ChatGPT</x:v>
      </x:c>
      <x:c r="AA222" s="6" t="str">
        <x:v>使用ChatGPT-4o，非付费版本，截至2024年5月更新。</x:v>
      </x:c>
      <x:c r="AB222" s="2" t="str">
        <x:v>Accepted</x:v>
      </x:c>
      <x:c r="AC222" s="6" t="str">
        <x:v>NA; shared model use split by operation</x:v>
      </x:c>
    </x:row>
    <x:row r="223" ht="76" customHeight="1">
      <x:c r="A223" s="2" t="str">
        <x:v>S46-MODEL-R44</x:v>
      </x:c>
      <x:c r="B223" s="2" t="str">
        <x:v>S46</x:v>
      </x:c>
      <x:c r="C223" s="2" t="str">
        <x:v>merged_1293</x:v>
      </x:c>
      <x:c r="D223" s="2" t="str">
        <x:v>Reviewer_A</x:v>
      </x:c>
      <x:c r="E223" s="2" t="str">
        <x:v>Reviewer_A</x:v>
      </x:c>
      <x:c r="F223" s="2" t="str">
        <x:v>S46-MU44</x:v>
      </x:c>
      <x:c r="G223" s="2" t="str">
        <x:v>S46-O04</x:v>
      </x:c>
      <x:c r="H223" s="2" t="str">
        <x:v>S46-T04</x:v>
      </x:c>
      <x:c r="I223" s="2" t="str">
        <x:v>ChatGPT (ChatGPT-4o)</x:v>
      </x:c>
      <x:c r="J223" s="2" t="str">
        <x:v>ChatGPT-4o</x:v>
      </x:c>
      <x:c r="K223" s="2" t="str">
        <x:v>GPT</x:v>
      </x:c>
      <x:c r="L223" s="2" t="str">
        <x:v>4o</x:v>
      </x:c>
      <x:c r="M223" s="2" t="str">
        <x:v>NR</x:v>
      </x:c>
      <x:c r="N223" s="2" t="str">
        <x:v>2024-05</x:v>
      </x:c>
      <x:c r="O223" s="2" t="str">
        <x:v>Closed</x:v>
      </x:c>
      <x:c r="P223" s="2" t="str">
        <x:v>NR</x:v>
      </x:c>
      <x:c r="Q223" s="2" t="str">
        <x:v>NR</x:v>
      </x:c>
      <x:c r="R223" s="2" t="str">
        <x:v>NR</x:v>
      </x:c>
      <x:c r="S223" s="2" t="str">
        <x:v>NR</x:v>
      </x:c>
      <x:c r="T223" s="2" t="str">
        <x:v>NR</x:v>
      </x:c>
      <x:c r="U223" s="2" t="str">
        <x:v>NR</x:v>
      </x:c>
      <x:c r="V223" s="2" t="str">
        <x:v>NR</x:v>
      </x:c>
      <x:c r="W223" s="2" t="str">
        <x:v>No</x:v>
      </x:c>
      <x:c r="X223" s="2" t="str">
        <x:v>No</x:v>
      </x:c>
      <x:c r="Y223" s="6" t="str">
        <x:v>p. 9; Evaluation section</x:v>
      </x:c>
      <x:c r="Z223" s="6" t="str">
        <x:v>We utilize five prominent AI models—Meta (based on tured prompting, and two to three times more with Meta Llama 3),5 Gemini (no version information structured prompting. Despite Claude and ChatGPT</x:v>
      </x:c>
      <x:c r="AA223" s="6" t="str">
        <x:v>使用ChatGPT-4o，非付费版本，截至2024年5月更新。</x:v>
      </x:c>
      <x:c r="AB223" s="2" t="str">
        <x:v>Accepted</x:v>
      </x:c>
      <x:c r="AC223" s="6" t="str">
        <x:v>NA; shared model use split by operation</x:v>
      </x:c>
    </x:row>
    <x:row r="224" ht="76" customHeight="1">
      <x:c r="A224" s="2" t="str">
        <x:v>S46-MODEL-R45</x:v>
      </x:c>
      <x:c r="B224" s="2" t="str">
        <x:v>S46</x:v>
      </x:c>
      <x:c r="C224" s="2" t="str">
        <x:v>merged_1293</x:v>
      </x:c>
      <x:c r="D224" s="2" t="str">
        <x:v>Reviewer_A</x:v>
      </x:c>
      <x:c r="E224" s="2" t="str">
        <x:v>Reviewer_A</x:v>
      </x:c>
      <x:c r="F224" s="2" t="str">
        <x:v>S46-MU45</x:v>
      </x:c>
      <x:c r="G224" s="2" t="str">
        <x:v>S46-O05</x:v>
      </x:c>
      <x:c r="H224" s="2" t="str">
        <x:v>S46-T05</x:v>
      </x:c>
      <x:c r="I224" s="2" t="str">
        <x:v>ChatGPT (ChatGPT-4o)</x:v>
      </x:c>
      <x:c r="J224" s="2" t="str">
        <x:v>ChatGPT-4o</x:v>
      </x:c>
      <x:c r="K224" s="2" t="str">
        <x:v>GPT</x:v>
      </x:c>
      <x:c r="L224" s="2" t="str">
        <x:v>4o</x:v>
      </x:c>
      <x:c r="M224" s="2" t="str">
        <x:v>NR</x:v>
      </x:c>
      <x:c r="N224" s="2" t="str">
        <x:v>2024-05</x:v>
      </x:c>
      <x:c r="O224" s="2" t="str">
        <x:v>Closed</x:v>
      </x:c>
      <x:c r="P224" s="2" t="str">
        <x:v>NR</x:v>
      </x:c>
      <x:c r="Q224" s="2" t="str">
        <x:v>NR</x:v>
      </x:c>
      <x:c r="R224" s="2" t="str">
        <x:v>NR</x:v>
      </x:c>
      <x:c r="S224" s="2" t="str">
        <x:v>NR</x:v>
      </x:c>
      <x:c r="T224" s="2" t="str">
        <x:v>NR</x:v>
      </x:c>
      <x:c r="U224" s="2" t="str">
        <x:v>NR</x:v>
      </x:c>
      <x:c r="V224" s="2" t="str">
        <x:v>NR</x:v>
      </x:c>
      <x:c r="W224" s="2" t="str">
        <x:v>No</x:v>
      </x:c>
      <x:c r="X224" s="2" t="str">
        <x:v>No</x:v>
      </x:c>
      <x:c r="Y224" s="6" t="str">
        <x:v>p. 9; Evaluation section</x:v>
      </x:c>
      <x:c r="Z224" s="6" t="str">
        <x:v>We utilize five prominent AI models—Meta (based on tured prompting, and two to three times more with Meta Llama 3),5 Gemini (no version information structured prompting. Despite Claude and ChatGPT</x:v>
      </x:c>
      <x:c r="AA224" s="6" t="str">
        <x:v>使用ChatGPT-4o，非付费版本，截至2024年5月更新。</x:v>
      </x:c>
      <x:c r="AB224" s="2" t="str">
        <x:v>Accepted</x:v>
      </x:c>
      <x:c r="AC224" s="6" t="str">
        <x:v>NA; shared model use split by operation</x:v>
      </x:c>
    </x:row>
    <x:row r="225" ht="76" customHeight="1">
      <x:c r="A225" s="2" t="str">
        <x:v>S46-MODEL-R46</x:v>
      </x:c>
      <x:c r="B225" s="2" t="str">
        <x:v>S46</x:v>
      </x:c>
      <x:c r="C225" s="2" t="str">
        <x:v>merged_1293</x:v>
      </x:c>
      <x:c r="D225" s="2" t="str">
        <x:v>Reviewer_A</x:v>
      </x:c>
      <x:c r="E225" s="2" t="str">
        <x:v>Reviewer_A</x:v>
      </x:c>
      <x:c r="F225" s="2" t="str">
        <x:v>S46-MU46</x:v>
      </x:c>
      <x:c r="G225" s="2" t="str">
        <x:v>S46-O06</x:v>
      </x:c>
      <x:c r="H225" s="2" t="str">
        <x:v>S46-T06</x:v>
      </x:c>
      <x:c r="I225" s="2" t="str">
        <x:v>ChatGPT (ChatGPT-4o)</x:v>
      </x:c>
      <x:c r="J225" s="2" t="str">
        <x:v>ChatGPT-4o</x:v>
      </x:c>
      <x:c r="K225" s="2" t="str">
        <x:v>GPT</x:v>
      </x:c>
      <x:c r="L225" s="2" t="str">
        <x:v>4o</x:v>
      </x:c>
      <x:c r="M225" s="2" t="str">
        <x:v>NR</x:v>
      </x:c>
      <x:c r="N225" s="2" t="str">
        <x:v>2024-05</x:v>
      </x:c>
      <x:c r="O225" s="2" t="str">
        <x:v>Closed</x:v>
      </x:c>
      <x:c r="P225" s="2" t="str">
        <x:v>NR</x:v>
      </x:c>
      <x:c r="Q225" s="2" t="str">
        <x:v>NR</x:v>
      </x:c>
      <x:c r="R225" s="2" t="str">
        <x:v>NR</x:v>
      </x:c>
      <x:c r="S225" s="2" t="str">
        <x:v>NR</x:v>
      </x:c>
      <x:c r="T225" s="2" t="str">
        <x:v>NR</x:v>
      </x:c>
      <x:c r="U225" s="2" t="str">
        <x:v>NR</x:v>
      </x:c>
      <x:c r="V225" s="2" t="str">
        <x:v>NR</x:v>
      </x:c>
      <x:c r="W225" s="2" t="str">
        <x:v>No</x:v>
      </x:c>
      <x:c r="X225" s="2" t="str">
        <x:v>No</x:v>
      </x:c>
      <x:c r="Y225" s="6" t="str">
        <x:v>p. 9; Evaluation section</x:v>
      </x:c>
      <x:c r="Z225" s="6" t="str">
        <x:v>We utilize five prominent AI models—Meta (based on tured prompting, and two to three times more with Meta Llama 3),5 Gemini (no version information structured prompting. Despite Claude and ChatGPT</x:v>
      </x:c>
      <x:c r="AA225" s="6" t="str">
        <x:v>使用ChatGPT-4o，非付费版本，截至2024年5月更新。</x:v>
      </x:c>
      <x:c r="AB225" s="2" t="str">
        <x:v>Accepted</x:v>
      </x:c>
      <x:c r="AC225" s="6" t="str">
        <x:v>NA; shared model use split by operation</x:v>
      </x:c>
    </x:row>
    <x:row r="226" ht="76" customHeight="1">
      <x:c r="A226" s="2" t="str">
        <x:v>S46-MODEL-R47</x:v>
      </x:c>
      <x:c r="B226" s="2" t="str">
        <x:v>S46</x:v>
      </x:c>
      <x:c r="C226" s="2" t="str">
        <x:v>merged_1293</x:v>
      </x:c>
      <x:c r="D226" s="2" t="str">
        <x:v>Reviewer_A</x:v>
      </x:c>
      <x:c r="E226" s="2" t="str">
        <x:v>Reviewer_A</x:v>
      </x:c>
      <x:c r="F226" s="2" t="str">
        <x:v>S46-MU47</x:v>
      </x:c>
      <x:c r="G226" s="2" t="str">
        <x:v>S46-O07</x:v>
      </x:c>
      <x:c r="H226" s="2" t="str">
        <x:v>S46-T07</x:v>
      </x:c>
      <x:c r="I226" s="2" t="str">
        <x:v>ChatGPT (ChatGPT-4o)</x:v>
      </x:c>
      <x:c r="J226" s="2" t="str">
        <x:v>ChatGPT-4o</x:v>
      </x:c>
      <x:c r="K226" s="2" t="str">
        <x:v>GPT</x:v>
      </x:c>
      <x:c r="L226" s="2" t="str">
        <x:v>4o</x:v>
      </x:c>
      <x:c r="M226" s="2" t="str">
        <x:v>NR</x:v>
      </x:c>
      <x:c r="N226" s="2" t="str">
        <x:v>2024-05</x:v>
      </x:c>
      <x:c r="O226" s="2" t="str">
        <x:v>Closed</x:v>
      </x:c>
      <x:c r="P226" s="2" t="str">
        <x:v>NR</x:v>
      </x:c>
      <x:c r="Q226" s="2" t="str">
        <x:v>NR</x:v>
      </x:c>
      <x:c r="R226" s="2" t="str">
        <x:v>NR</x:v>
      </x:c>
      <x:c r="S226" s="2" t="str">
        <x:v>NR</x:v>
      </x:c>
      <x:c r="T226" s="2" t="str">
        <x:v>NR</x:v>
      </x:c>
      <x:c r="U226" s="2" t="str">
        <x:v>NR</x:v>
      </x:c>
      <x:c r="V226" s="2" t="str">
        <x:v>NR</x:v>
      </x:c>
      <x:c r="W226" s="2" t="str">
        <x:v>No</x:v>
      </x:c>
      <x:c r="X226" s="2" t="str">
        <x:v>No</x:v>
      </x:c>
      <x:c r="Y226" s="6" t="str">
        <x:v>p. 9; Evaluation section</x:v>
      </x:c>
      <x:c r="Z226" s="6" t="str">
        <x:v>We utilize five prominent AI models—Meta (based on tured prompting, and two to three times more with Meta Llama 3),5 Gemini (no version information structured prompting. Despite Claude and ChatGPT</x:v>
      </x:c>
      <x:c r="AA226" s="6" t="str">
        <x:v>使用ChatGPT-4o，非付费版本，截至2024年5月更新。</x:v>
      </x:c>
      <x:c r="AB226" s="2" t="str">
        <x:v>Accepted</x:v>
      </x:c>
      <x:c r="AC226" s="6" t="str">
        <x:v>NA; shared model use split by operation</x:v>
      </x:c>
    </x:row>
    <x:row r="227" ht="76" customHeight="1">
      <x:c r="A227" s="2" t="str">
        <x:v>S46-MODEL-R48</x:v>
      </x:c>
      <x:c r="B227" s="2" t="str">
        <x:v>S46</x:v>
      </x:c>
      <x:c r="C227" s="2" t="str">
        <x:v>merged_1293</x:v>
      </x:c>
      <x:c r="D227" s="2" t="str">
        <x:v>Reviewer_A</x:v>
      </x:c>
      <x:c r="E227" s="2" t="str">
        <x:v>Reviewer_A</x:v>
      </x:c>
      <x:c r="F227" s="2" t="str">
        <x:v>S46-MU48</x:v>
      </x:c>
      <x:c r="G227" s="2" t="str">
        <x:v>S46-O08</x:v>
      </x:c>
      <x:c r="H227" s="2" t="str">
        <x:v>S46-T08</x:v>
      </x:c>
      <x:c r="I227" s="2" t="str">
        <x:v>ChatGPT (ChatGPT-4o)</x:v>
      </x:c>
      <x:c r="J227" s="2" t="str">
        <x:v>ChatGPT-4o</x:v>
      </x:c>
      <x:c r="K227" s="2" t="str">
        <x:v>GPT</x:v>
      </x:c>
      <x:c r="L227" s="2" t="str">
        <x:v>4o</x:v>
      </x:c>
      <x:c r="M227" s="2" t="str">
        <x:v>NR</x:v>
      </x:c>
      <x:c r="N227" s="2" t="str">
        <x:v>2024-05</x:v>
      </x:c>
      <x:c r="O227" s="2" t="str">
        <x:v>Closed</x:v>
      </x:c>
      <x:c r="P227" s="2" t="str">
        <x:v>NR</x:v>
      </x:c>
      <x:c r="Q227" s="2" t="str">
        <x:v>NR</x:v>
      </x:c>
      <x:c r="R227" s="2" t="str">
        <x:v>NR</x:v>
      </x:c>
      <x:c r="S227" s="2" t="str">
        <x:v>NR</x:v>
      </x:c>
      <x:c r="T227" s="2" t="str">
        <x:v>NR</x:v>
      </x:c>
      <x:c r="U227" s="2" t="str">
        <x:v>NR</x:v>
      </x:c>
      <x:c r="V227" s="2" t="str">
        <x:v>NR</x:v>
      </x:c>
      <x:c r="W227" s="2" t="str">
        <x:v>No</x:v>
      </x:c>
      <x:c r="X227" s="2" t="str">
        <x:v>No</x:v>
      </x:c>
      <x:c r="Y227" s="6" t="str">
        <x:v>p. 9; Evaluation section</x:v>
      </x:c>
      <x:c r="Z227" s="6" t="str">
        <x:v>We utilize five prominent AI models—Meta (based on tured prompting, and two to three times more with Meta Llama 3),5 Gemini (no version information structured prompting. Despite Claude and ChatGPT</x:v>
      </x:c>
      <x:c r="AA227" s="6" t="str">
        <x:v>使用ChatGPT-4o，非付费版本，截至2024年5月更新。</x:v>
      </x:c>
      <x:c r="AB227" s="2" t="str">
        <x:v>Accepted</x:v>
      </x:c>
      <x:c r="AC227" s="6" t="str">
        <x:v>NA; shared model use split by operation</x:v>
      </x:c>
    </x:row>
    <x:row r="228" ht="76" customHeight="1">
      <x:c r="A228" s="2" t="str">
        <x:v>S46-MODEL-R49</x:v>
      </x:c>
      <x:c r="B228" s="2" t="str">
        <x:v>S46</x:v>
      </x:c>
      <x:c r="C228" s="2" t="str">
        <x:v>merged_1293</x:v>
      </x:c>
      <x:c r="D228" s="2" t="str">
        <x:v>Reviewer_A</x:v>
      </x:c>
      <x:c r="E228" s="2" t="str">
        <x:v>Reviewer_A</x:v>
      </x:c>
      <x:c r="F228" s="2" t="str">
        <x:v>S46-MU49</x:v>
      </x:c>
      <x:c r="G228" s="2" t="str">
        <x:v>S46-O09</x:v>
      </x:c>
      <x:c r="H228" s="2" t="str">
        <x:v>S46-T09</x:v>
      </x:c>
      <x:c r="I228" s="2" t="str">
        <x:v>ChatGPT (ChatGPT-4o)</x:v>
      </x:c>
      <x:c r="J228" s="2" t="str">
        <x:v>ChatGPT-4o</x:v>
      </x:c>
      <x:c r="K228" s="2" t="str">
        <x:v>GPT</x:v>
      </x:c>
      <x:c r="L228" s="2" t="str">
        <x:v>4o</x:v>
      </x:c>
      <x:c r="M228" s="2" t="str">
        <x:v>NR</x:v>
      </x:c>
      <x:c r="N228" s="2" t="str">
        <x:v>2024-05</x:v>
      </x:c>
      <x:c r="O228" s="2" t="str">
        <x:v>Closed</x:v>
      </x:c>
      <x:c r="P228" s="2" t="str">
        <x:v>NR</x:v>
      </x:c>
      <x:c r="Q228" s="2" t="str">
        <x:v>NR</x:v>
      </x:c>
      <x:c r="R228" s="2" t="str">
        <x:v>NR</x:v>
      </x:c>
      <x:c r="S228" s="2" t="str">
        <x:v>NR</x:v>
      </x:c>
      <x:c r="T228" s="2" t="str">
        <x:v>NR</x:v>
      </x:c>
      <x:c r="U228" s="2" t="str">
        <x:v>NR</x:v>
      </x:c>
      <x:c r="V228" s="2" t="str">
        <x:v>NR</x:v>
      </x:c>
      <x:c r="W228" s="2" t="str">
        <x:v>No</x:v>
      </x:c>
      <x:c r="X228" s="2" t="str">
        <x:v>No</x:v>
      </x:c>
      <x:c r="Y228" s="6" t="str">
        <x:v>p. 9; Evaluation section</x:v>
      </x:c>
      <x:c r="Z228" s="6" t="str">
        <x:v>We utilize five prominent AI models—Meta (based on tured prompting, and two to three times more with Meta Llama 3),5 Gemini (no version information structured prompting. Despite Claude and ChatGPT</x:v>
      </x:c>
      <x:c r="AA228" s="6" t="str">
        <x:v>使用ChatGPT-4o，非付费版本，截至2024年5月更新。</x:v>
      </x:c>
      <x:c r="AB228" s="2" t="str">
        <x:v>Accepted</x:v>
      </x:c>
      <x:c r="AC228" s="6" t="str">
        <x:v>NA; shared model use split by operation</x:v>
      </x:c>
    </x:row>
    <x:row r="229" ht="76" customHeight="1">
      <x:c r="A229" s="2" t="str">
        <x:v>S46-MODEL-R50</x:v>
      </x:c>
      <x:c r="B229" s="2" t="str">
        <x:v>S46</x:v>
      </x:c>
      <x:c r="C229" s="2" t="str">
        <x:v>merged_1293</x:v>
      </x:c>
      <x:c r="D229" s="2" t="str">
        <x:v>Reviewer_A</x:v>
      </x:c>
      <x:c r="E229" s="2" t="str">
        <x:v>Reviewer_A</x:v>
      </x:c>
      <x:c r="F229" s="2" t="str">
        <x:v>S46-MU50</x:v>
      </x:c>
      <x:c r="G229" s="2" t="str">
        <x:v>S46-O10</x:v>
      </x:c>
      <x:c r="H229" s="2" t="str">
        <x:v>S46-T10</x:v>
      </x:c>
      <x:c r="I229" s="2" t="str">
        <x:v>ChatGPT (ChatGPT-4o)</x:v>
      </x:c>
      <x:c r="J229" s="2" t="str">
        <x:v>ChatGPT-4o</x:v>
      </x:c>
      <x:c r="K229" s="2" t="str">
        <x:v>GPT</x:v>
      </x:c>
      <x:c r="L229" s="2" t="str">
        <x:v>4o</x:v>
      </x:c>
      <x:c r="M229" s="2" t="str">
        <x:v>NR</x:v>
      </x:c>
      <x:c r="N229" s="2" t="str">
        <x:v>2024-05</x:v>
      </x:c>
      <x:c r="O229" s="2" t="str">
        <x:v>Closed</x:v>
      </x:c>
      <x:c r="P229" s="2" t="str">
        <x:v>NR</x:v>
      </x:c>
      <x:c r="Q229" s="2" t="str">
        <x:v>NR</x:v>
      </x:c>
      <x:c r="R229" s="2" t="str">
        <x:v>NR</x:v>
      </x:c>
      <x:c r="S229" s="2" t="str">
        <x:v>NR</x:v>
      </x:c>
      <x:c r="T229" s="2" t="str">
        <x:v>NR</x:v>
      </x:c>
      <x:c r="U229" s="2" t="str">
        <x:v>NR</x:v>
      </x:c>
      <x:c r="V229" s="2" t="str">
        <x:v>NR</x:v>
      </x:c>
      <x:c r="W229" s="2" t="str">
        <x:v>No</x:v>
      </x:c>
      <x:c r="X229" s="2" t="str">
        <x:v>No</x:v>
      </x:c>
      <x:c r="Y229" s="6" t="str">
        <x:v>p. 9; Evaluation section</x:v>
      </x:c>
      <x:c r="Z229" s="6" t="str">
        <x:v>We utilize five prominent AI models—Meta (based on tured prompting, and two to three times more with Meta Llama 3),5 Gemini (no version information structured prompting. Despite Claude and ChatGPT</x:v>
      </x:c>
      <x:c r="AA229" s="6" t="str">
        <x:v>使用ChatGPT-4o，非付费版本，截至2024年5月更新。</x:v>
      </x:c>
      <x:c r="AB229" s="2" t="str">
        <x:v>Accepted</x:v>
      </x:c>
      <x:c r="AC229" s="6" t="str">
        <x:v>NA; shared model use split by operation</x:v>
      </x:c>
    </x:row>
    <x:row r="230" ht="76" customHeight="1">
      <x:c r="A230" s="2" t="str">
        <x:v>S47-MODEL-R01</x:v>
      </x:c>
      <x:c r="B230" s="2" t="str">
        <x:v>S47</x:v>
      </x:c>
      <x:c r="C230" s="2" t="str">
        <x:v>merged_1302-v1</x:v>
      </x:c>
      <x:c r="D230" s="2" t="str">
        <x:v>Reviewer_A</x:v>
      </x:c>
      <x:c r="E230" s="2" t="str">
        <x:v>Reviewer_A</x:v>
      </x:c>
      <x:c r="F230" s="2" t="str">
        <x:v>S47-MU01</x:v>
      </x:c>
      <x:c r="G230" s="2" t="str">
        <x:v>S47-O01</x:v>
      </x:c>
      <x:c r="H230" s="2" t="str">
        <x:v>S47-T01</x:v>
      </x:c>
      <x:c r="I230" s="2" t="str">
        <x:v>Qwen3-Coder-30B-A3B-Instruct-FP8</x:v>
      </x:c>
      <x:c r="J230" s="2" t="str">
        <x:v>Qwen3-Coder-30B-A3B-Instruct</x:v>
      </x:c>
      <x:c r="K230" s="2" t="str">
        <x:v>Qwen</x:v>
      </x:c>
      <x:c r="L230" s="2" t="str">
        <x:v>Qwen3</x:v>
      </x:c>
      <x:c r="M230" s="2" t="str">
        <x:v>30B</x:v>
      </x:c>
      <x:c r="N230" s="2" t="str">
        <x:v>NR</x:v>
      </x:c>
      <x:c r="O230" s="2" t="str">
        <x:v>Open weights</x:v>
      </x:c>
      <x:c r="P230" s="2" t="str">
        <x:v>Local</x:v>
      </x:c>
      <x:c r="Q230" s="2" t="str">
        <x:v>NR</x:v>
      </x:c>
      <x:c r="R230" s="2" t="str">
        <x:v>NR</x:v>
      </x:c>
      <x:c r="S230" s="2" t="str">
        <x:v>NR</x:v>
      </x:c>
      <x:c r="T230" s="2" t="str">
        <x:v>NR</x:v>
      </x:c>
      <x:c r="U230" s="2" t="str">
        <x:v>Self-hosted</x:v>
      </x:c>
      <x:c r="V230" s="2" t="str">
        <x:v>NR</x:v>
      </x:c>
      <x:c r="W230" s="2" t="str">
        <x:v>No</x:v>
      </x:c>
      <x:c r="X230" s="2" t="str">
        <x:v>No</x:v>
      </x:c>
      <x:c r="Y230" s="6" t="str">
        <x:v>p. 10; Table 2</x:v>
      </x:c>
      <x:c r="Z230" s="6" t="str">
        <x:v>Qwen3-Coder-30B-A3B-Instruct-FP8</x:v>
      </x:c>
      <x:c r="AA230" s="6" t="str">
        <x:v>该模型用于最终的方法论配置，在文中表格中以星号形式标注并被详细提及</x:v>
      </x:c>
      <x:c r="AB230" s="2" t="str">
        <x:v>Accepted</x:v>
      </x:c>
      <x:c r="AC230" s="6" t="str">
        <x:v>NR</x:v>
      </x:c>
    </x:row>
    <x:row r="231" ht="76" customHeight="1">
      <x:c r="A231" s="2" t="str">
        <x:v>S47-MODEL-R02</x:v>
      </x:c>
      <x:c r="B231" s="2" t="str">
        <x:v>S47</x:v>
      </x:c>
      <x:c r="C231" s="2" t="str">
        <x:v>merged_1302-v1</x:v>
      </x:c>
      <x:c r="D231" s="2" t="str">
        <x:v>Reviewer_A</x:v>
      </x:c>
      <x:c r="E231" s="2" t="str">
        <x:v>Reviewer_A</x:v>
      </x:c>
      <x:c r="F231" s="2" t="str">
        <x:v>S47-MU02</x:v>
      </x:c>
      <x:c r="G231" s="2" t="str">
        <x:v>S47-O02</x:v>
      </x:c>
      <x:c r="H231" s="2" t="str">
        <x:v>S47-T01</x:v>
      </x:c>
      <x:c r="I231" s="2" t="str">
        <x:v>Qwen3-Coder-30B-A3B-Instruct-FP8</x:v>
      </x:c>
      <x:c r="J231" s="2" t="str">
        <x:v>Qwen3-Coder-30B-A3B-Instruct</x:v>
      </x:c>
      <x:c r="K231" s="2" t="str">
        <x:v>Qwen</x:v>
      </x:c>
      <x:c r="L231" s="2" t="str">
        <x:v>Qwen3</x:v>
      </x:c>
      <x:c r="M231" s="2" t="str">
        <x:v>30B</x:v>
      </x:c>
      <x:c r="N231" s="2" t="str">
        <x:v>NR</x:v>
      </x:c>
      <x:c r="O231" s="2" t="str">
        <x:v>Open weights</x:v>
      </x:c>
      <x:c r="P231" s="2" t="str">
        <x:v>Local</x:v>
      </x:c>
      <x:c r="Q231" s="2" t="str">
        <x:v>NR</x:v>
      </x:c>
      <x:c r="R231" s="2" t="str">
        <x:v>NR</x:v>
      </x:c>
      <x:c r="S231" s="2" t="str">
        <x:v>NR</x:v>
      </x:c>
      <x:c r="T231" s="2" t="str">
        <x:v>NR</x:v>
      </x:c>
      <x:c r="U231" s="2" t="str">
        <x:v>Self-hosted</x:v>
      </x:c>
      <x:c r="V231" s="2" t="str">
        <x:v>NR</x:v>
      </x:c>
      <x:c r="W231" s="2" t="str">
        <x:v>No</x:v>
      </x:c>
      <x:c r="X231" s="2" t="str">
        <x:v>No</x:v>
      </x:c>
      <x:c r="Y231" s="6" t="str">
        <x:v>p. 10; Table 2</x:v>
      </x:c>
      <x:c r="Z231" s="6" t="str">
        <x:v>Qwen3-Coder-30B-A3B-Instruct-FP8</x:v>
      </x:c>
      <x:c r="AA231" s="6" t="str">
        <x:v>同 M1 模型，用于文件夹发现步骤</x:v>
      </x:c>
      <x:c r="AB231" s="2" t="str">
        <x:v>Accepted</x:v>
      </x:c>
      <x:c r="AC231" s="6" t="str">
        <x:v>NR</x:v>
      </x:c>
    </x:row>
    <x:row r="232" ht="76" customHeight="1">
      <x:c r="A232" s="2" t="str">
        <x:v>S47-MODEL-R03</x:v>
      </x:c>
      <x:c r="B232" s="2" t="str">
        <x:v>S47</x:v>
      </x:c>
      <x:c r="C232" s="2" t="str">
        <x:v>merged_1302-v1</x:v>
      </x:c>
      <x:c r="D232" s="2" t="str">
        <x:v>Reviewer_A</x:v>
      </x:c>
      <x:c r="E232" s="2" t="str">
        <x:v>Reviewer_A</x:v>
      </x:c>
      <x:c r="F232" s="2" t="str">
        <x:v>S47-MU03</x:v>
      </x:c>
      <x:c r="G232" s="2" t="str">
        <x:v>S47-O03</x:v>
      </x:c>
      <x:c r="H232" s="2" t="str">
        <x:v>S47-T01</x:v>
      </x:c>
      <x:c r="I232" s="2" t="str">
        <x:v>Qwen3-Coder-30B-A3B-Instruct-FP8</x:v>
      </x:c>
      <x:c r="J232" s="2" t="str">
        <x:v>Qwen3-Coder-30B-A3B-Instruct</x:v>
      </x:c>
      <x:c r="K232" s="2" t="str">
        <x:v>Qwen</x:v>
      </x:c>
      <x:c r="L232" s="2" t="str">
        <x:v>Qwen3</x:v>
      </x:c>
      <x:c r="M232" s="2" t="str">
        <x:v>30B</x:v>
      </x:c>
      <x:c r="N232" s="2" t="str">
        <x:v>NR</x:v>
      </x:c>
      <x:c r="O232" s="2" t="str">
        <x:v>Open weights</x:v>
      </x:c>
      <x:c r="P232" s="2" t="str">
        <x:v>Local</x:v>
      </x:c>
      <x:c r="Q232" s="2" t="str">
        <x:v>NR</x:v>
      </x:c>
      <x:c r="R232" s="2" t="str">
        <x:v>NR</x:v>
      </x:c>
      <x:c r="S232" s="2" t="str">
        <x:v>NR</x:v>
      </x:c>
      <x:c r="T232" s="2" t="str">
        <x:v>NR</x:v>
      </x:c>
      <x:c r="U232" s="2" t="str">
        <x:v>Self-hosted</x:v>
      </x:c>
      <x:c r="V232" s="2" t="str">
        <x:v>NR</x:v>
      </x:c>
      <x:c r="W232" s="2" t="str">
        <x:v>No</x:v>
      </x:c>
      <x:c r="X232" s="2" t="str">
        <x:v>No</x:v>
      </x:c>
      <x:c r="Y232" s="6" t="str">
        <x:v>p. 10; Table 2</x:v>
      </x:c>
      <x:c r="Z232" s="6" t="str">
        <x:v>Qwen3-Coder-30B-A3B-Instruct-FP8</x:v>
      </x:c>
      <x:c r="AA232" s="6" t="str">
        <x:v>同 M1 模型，用于文件发现步骤</x:v>
      </x:c>
      <x:c r="AB232" s="2" t="str">
        <x:v>Accepted</x:v>
      </x:c>
      <x:c r="AC232" s="6" t="str">
        <x:v>NR</x:v>
      </x:c>
    </x:row>
    <x:row r="233" ht="76" customHeight="1">
      <x:c r="A233" s="2" t="str">
        <x:v>S47-MODEL-R04</x:v>
      </x:c>
      <x:c r="B233" s="2" t="str">
        <x:v>S47</x:v>
      </x:c>
      <x:c r="C233" s="2" t="str">
        <x:v>merged_1302-v1</x:v>
      </x:c>
      <x:c r="D233" s="2" t="str">
        <x:v>Reviewer_A</x:v>
      </x:c>
      <x:c r="E233" s="2" t="str">
        <x:v>Reviewer_A</x:v>
      </x:c>
      <x:c r="F233" s="2" t="str">
        <x:v>S47-MU04</x:v>
      </x:c>
      <x:c r="G233" s="2" t="str">
        <x:v>S47-O04</x:v>
      </x:c>
      <x:c r="H233" s="2" t="str">
        <x:v>S47-T01</x:v>
      </x:c>
      <x:c r="I233" s="2" t="str">
        <x:v>Qwen3-Coder-30B-A3B-Instruct-FP8</x:v>
      </x:c>
      <x:c r="J233" s="2" t="str">
        <x:v>Qwen3-Coder-30B-A3B-Instruct</x:v>
      </x:c>
      <x:c r="K233" s="2" t="str">
        <x:v>Qwen</x:v>
      </x:c>
      <x:c r="L233" s="2" t="str">
        <x:v>Qwen3</x:v>
      </x:c>
      <x:c r="M233" s="2" t="str">
        <x:v>30B</x:v>
      </x:c>
      <x:c r="N233" s="2" t="str">
        <x:v>NR</x:v>
      </x:c>
      <x:c r="O233" s="2" t="str">
        <x:v>Open weights</x:v>
      </x:c>
      <x:c r="P233" s="2" t="str">
        <x:v>Local</x:v>
      </x:c>
      <x:c r="Q233" s="2" t="str">
        <x:v>NR</x:v>
      </x:c>
      <x:c r="R233" s="2" t="str">
        <x:v>NR</x:v>
      </x:c>
      <x:c r="S233" s="2" t="str">
        <x:v>NR</x:v>
      </x:c>
      <x:c r="T233" s="2" t="str">
        <x:v>NR</x:v>
      </x:c>
      <x:c r="U233" s="2" t="str">
        <x:v>Self-hosted</x:v>
      </x:c>
      <x:c r="V233" s="2" t="str">
        <x:v>NR</x:v>
      </x:c>
      <x:c r="W233" s="2" t="str">
        <x:v>No</x:v>
      </x:c>
      <x:c r="X233" s="2" t="str">
        <x:v>No</x:v>
      </x:c>
      <x:c r="Y233" s="6" t="str">
        <x:v>p. 10; Table 2</x:v>
      </x:c>
      <x:c r="Z233" s="6" t="str">
        <x:v>Qwen3-Coder-30B-A3B-Instruct-FP8</x:v>
      </x:c>
      <x:c r="AA233" s="6" t="str">
        <x:v>同 M1 模型，用于代码符号发现步骤</x:v>
      </x:c>
      <x:c r="AB233" s="2" t="str">
        <x:v>Accepted</x:v>
      </x:c>
      <x:c r="AC233" s="6" t="str">
        <x:v>NR</x:v>
      </x:c>
    </x:row>
    <x:row r="234" ht="76" customHeight="1">
      <x:c r="A234" s="2" t="str">
        <x:v>S47-MODEL-R05</x:v>
      </x:c>
      <x:c r="B234" s="2" t="str">
        <x:v>S47</x:v>
      </x:c>
      <x:c r="C234" s="2" t="str">
        <x:v>merged_1302-v1</x:v>
      </x:c>
      <x:c r="D234" s="2" t="str">
        <x:v>Reviewer_A</x:v>
      </x:c>
      <x:c r="E234" s="2" t="str">
        <x:v>Reviewer_A</x:v>
      </x:c>
      <x:c r="F234" s="2" t="str">
        <x:v>S47-MU05</x:v>
      </x:c>
      <x:c r="G234" s="2" t="str">
        <x:v>S47-O05</x:v>
      </x:c>
      <x:c r="H234" s="2" t="str">
        <x:v>S47-T01</x:v>
      </x:c>
      <x:c r="I234" s="2" t="str">
        <x:v>Qwen3-Coder-30B-A3B-Instruct-FP8</x:v>
      </x:c>
      <x:c r="J234" s="2" t="str">
        <x:v>Qwen3-Coder-30B-A3B-Instruct</x:v>
      </x:c>
      <x:c r="K234" s="2" t="str">
        <x:v>Qwen</x:v>
      </x:c>
      <x:c r="L234" s="2" t="str">
        <x:v>Qwen3</x:v>
      </x:c>
      <x:c r="M234" s="2" t="str">
        <x:v>30B</x:v>
      </x:c>
      <x:c r="N234" s="2" t="str">
        <x:v>NR</x:v>
      </x:c>
      <x:c r="O234" s="2" t="str">
        <x:v>Open weights</x:v>
      </x:c>
      <x:c r="P234" s="2" t="str">
        <x:v>Local</x:v>
      </x:c>
      <x:c r="Q234" s="2" t="str">
        <x:v>NR</x:v>
      </x:c>
      <x:c r="R234" s="2" t="str">
        <x:v>NR</x:v>
      </x:c>
      <x:c r="S234" s="2" t="str">
        <x:v>NR</x:v>
      </x:c>
      <x:c r="T234" s="2" t="str">
        <x:v>NR</x:v>
      </x:c>
      <x:c r="U234" s="2" t="str">
        <x:v>Self-hosted</x:v>
      </x:c>
      <x:c r="V234" s="2" t="str">
        <x:v>NR</x:v>
      </x:c>
      <x:c r="W234" s="2" t="str">
        <x:v>No</x:v>
      </x:c>
      <x:c r="X234" s="2" t="str">
        <x:v>No</x:v>
      </x:c>
      <x:c r="Y234" s="6" t="str">
        <x:v>p. 10; Table 2</x:v>
      </x:c>
      <x:c r="Z234" s="6" t="str">
        <x:v>Qwen3-Coder-30B-A3B-Instruct-FP8</x:v>
      </x:c>
      <x:c r="AA234" s="6" t="str">
        <x:v>同 M1 模型，用于验证与差距分析步骤</x:v>
      </x:c>
      <x:c r="AB234" s="2" t="str">
        <x:v>Accepted</x:v>
      </x:c>
      <x:c r="AC234" s="6" t="str">
        <x:v>NR</x:v>
      </x:c>
    </x:row>
    <x:row r="235" ht="76" customHeight="1">
      <x:c r="A235" s="2" t="str">
        <x:v>S48-MODEL-R01</x:v>
      </x:c>
      <x:c r="B235" s="2" t="str">
        <x:v>S48</x:v>
      </x:c>
      <x:c r="C235" s="2" t="str">
        <x:v>merged_1441</x:v>
      </x:c>
      <x:c r="D235" s="2" t="str">
        <x:v>Reviewer_A</x:v>
      </x:c>
      <x:c r="E235" s="2" t="str">
        <x:v>Reviewer_A</x:v>
      </x:c>
      <x:c r="F235" s="2" t="str">
        <x:v>S48-MU01</x:v>
      </x:c>
      <x:c r="G235" s="2" t="str">
        <x:v>S48-O01</x:v>
      </x:c>
      <x:c r="H235" s="2" t="str">
        <x:v>S48-T01</x:v>
      </x:c>
      <x:c r="I235" s="2" t="str">
        <x:v>GPT-4o-mini</x:v>
      </x:c>
      <x:c r="J235" s="2" t="str">
        <x:v>GPT-4o-mini</x:v>
      </x:c>
      <x:c r="K235" s="2" t="str">
        <x:v>GPT</x:v>
      </x:c>
      <x:c r="L235" s="2" t="str">
        <x:v>GPT-4o-mini</x:v>
      </x:c>
      <x:c r="M235" s="2" t="str">
        <x:v>NR</x:v>
      </x:c>
      <x:c r="N235" s="2" t="str">
        <x:v>NR</x:v>
      </x:c>
      <x:c r="O235" s="2" t="str">
        <x:v>Closed</x:v>
      </x:c>
      <x:c r="P235" s="2" t="str">
        <x:v>API</x:v>
      </x:c>
      <x:c r="Q235" s="2" t="n">
        <x:v>0</x:v>
      </x:c>
      <x:c r="R235" s="2" t="str">
        <x:v>NR</x:v>
      </x:c>
      <x:c r="S235" s="2" t="str">
        <x:v>NR</x:v>
      </x:c>
      <x:c r="T235" s="2" t="str">
        <x:v>NR</x:v>
      </x:c>
      <x:c r="U235" s="2" t="str">
        <x:v>API with exponential backoff retry</x:v>
      </x:c>
      <x:c r="V235" s="2" t="str">
        <x:v>NR</x:v>
      </x:c>
      <x:c r="W235" s="2" t="str">
        <x:v>Yes</x:v>
      </x:c>
      <x:c r="X235" s="2" t="str">
        <x:v>Yes</x:v>
      </x:c>
      <x:c r="Y235" s="6" t="str">
        <x:v>p. 11; Section IV-D</x:v>
      </x:c>
      <x:c r="Z235" s="6" t="str">
        <x:v>To ensure deterministic output, we set the temperature to 0.</x:v>
      </x:c>
      <x:c r="AA235" s="6" t="str">
        <x:v>使用GPT-4o-mini API进行文本增强，温度设为0以保证确定性输出。</x:v>
      </x:c>
      <x:c r="AB235" s="2" t="str">
        <x:v>Accepted</x:v>
      </x:c>
      <x:c r="AC235" s="6" t="str">
        <x:v>Cost and latency: Table IX on p. 16 reports $56.60 total API cost and 0.06s per issue.</x:v>
      </x:c>
    </x:row>
    <x:row r="236" ht="76" customHeight="1">
      <x:c r="A236" s="2" t="str">
        <x:v>S48-MODEL-R02</x:v>
      </x:c>
      <x:c r="B236" s="2" t="str">
        <x:v>S48</x:v>
      </x:c>
      <x:c r="C236" s="2" t="str">
        <x:v>merged_1441</x:v>
      </x:c>
      <x:c r="D236" s="2" t="str">
        <x:v>Reviewer_A</x:v>
      </x:c>
      <x:c r="E236" s="2" t="str">
        <x:v>Reviewer_A</x:v>
      </x:c>
      <x:c r="F236" s="2" t="str">
        <x:v>S48-MU02</x:v>
      </x:c>
      <x:c r="G236" s="2" t="str">
        <x:v>S48-O02</x:v>
      </x:c>
      <x:c r="H236" s="2" t="str">
        <x:v>S48-T01</x:v>
      </x:c>
      <x:c r="I236" s="2" t="str">
        <x:v>LLaMA3-8B</x:v>
      </x:c>
      <x:c r="J236" s="2" t="str">
        <x:v>LLaMA3-8B</x:v>
      </x:c>
      <x:c r="K236" s="2" t="str">
        <x:v>Llama</x:v>
      </x:c>
      <x:c r="L236" s="2" t="str">
        <x:v>8B</x:v>
      </x:c>
      <x:c r="M236" s="2" t="str">
        <x:v>8B</x:v>
      </x:c>
      <x:c r="N236" s="2" t="str">
        <x:v>NR</x:v>
      </x:c>
      <x:c r="O236" s="2" t="str">
        <x:v>Open weights</x:v>
      </x:c>
      <x:c r="P236" s="2" t="str">
        <x:v>Local</x:v>
      </x:c>
      <x:c r="Q236" s="2" t="str">
        <x:v>NR</x:v>
      </x:c>
      <x:c r="R236" s="2" t="str">
        <x:v>NR</x:v>
      </x:c>
      <x:c r="S236" s="2" t="str">
        <x:v>NR</x:v>
      </x:c>
      <x:c r="T236" s="2" t="str">
        <x:v>NR</x:v>
      </x:c>
      <x:c r="U236" s="2" t="str">
        <x:v>Locally deployed, inference-only mode</x:v>
      </x:c>
      <x:c r="V236" s="2" t="str">
        <x:v>NR</x:v>
      </x:c>
      <x:c r="W236" s="2" t="str">
        <x:v>No</x:v>
      </x:c>
      <x:c r="X236" s="2" t="str">
        <x:v>Yes</x:v>
      </x:c>
      <x:c r="Y236" s="6" t="str">
        <x:v>p. 11; Section IV-D</x:v>
      </x:c>
      <x:c r="Z236" s="6" t="str">
        <x:v>cally deployed LLaMA3-8B model operating in inference- only mode, producing fully deterministic embeddings. Issue</x:v>
      </x:c>
      <x:c r="AA236" s="6" t="str">
        <x:v>本地部署LLaMA3-8B进行特征提取，推理模式，输出确定性嵌入。</x:v>
      </x:c>
      <x:c r="AB236" s="2" t="str">
        <x:v>Accepted</x:v>
      </x:c>
      <x:c r="AC236" s="6" t="str">
        <x:v>Latency: 0.07s per issue, VRAM 13.64 GB, Table IX on p. 16.</x:v>
      </x:c>
    </x:row>
    <x:row r="237" ht="76" customHeight="1">
      <x:c r="A237" s="2" t="str">
        <x:v>S49-MODEL-R01</x:v>
      </x:c>
      <x:c r="B237" s="2" t="str">
        <x:v>S49</x:v>
      </x:c>
      <x:c r="C237" s="2" t="str">
        <x:v>merged_1486</x:v>
      </x:c>
      <x:c r="D237" s="2" t="str">
        <x:v>Reviewer_A</x:v>
      </x:c>
      <x:c r="E237" s="2" t="str">
        <x:v>Reviewer_A</x:v>
      </x:c>
      <x:c r="F237" s="2" t="str">
        <x:v>S49-MU01</x:v>
      </x:c>
      <x:c r="G237" s="2" t="str">
        <x:v>S49-O01</x:v>
      </x:c>
      <x:c r="H237" s="2" t="str">
        <x:v>S49-T01</x:v>
      </x:c>
      <x:c r="I237" s="2" t="str">
        <x:v>GPT 3.5-turbo</x:v>
      </x:c>
      <x:c r="J237" s="2" t="str">
        <x:v>gpt-3.5-turbo</x:v>
      </x:c>
      <x:c r="K237" s="2" t="str">
        <x:v>GPT</x:v>
      </x:c>
      <x:c r="L237" s="2" t="str">
        <x:v>turbo</x:v>
      </x:c>
      <x:c r="M237" s="2" t="str">
        <x:v>NR</x:v>
      </x:c>
      <x:c r="N237" s="2" t="str">
        <x:v>NR</x:v>
      </x:c>
      <x:c r="O237" s="2" t="str">
        <x:v>Closed</x:v>
      </x:c>
      <x:c r="P237" s="2" t="str">
        <x:v>API</x:v>
      </x:c>
      <x:c r="Q237" s="2" t="str">
        <x:v>NR</x:v>
      </x:c>
      <x:c r="R237" s="2" t="str">
        <x:v>NR</x:v>
      </x:c>
      <x:c r="S237" s="2" t="n">
        <x:v>5</x:v>
      </x:c>
      <x:c r="T237" s="2" t="str">
        <x:v>NR</x:v>
      </x:c>
      <x:c r="U237" s="2" t="str">
        <x:v>API</x:v>
      </x:c>
      <x:c r="V237" s="2" t="str">
        <x:v>NR</x:v>
      </x:c>
      <x:c r="W237" s="2" t="str">
        <x:v>No</x:v>
      </x:c>
      <x:c r="X237" s="2" t="str">
        <x:v>No</x:v>
      </x:c>
      <x:c r="Y237" s="6" t="str">
        <x:v>p. 13; section 4.1, Cognitive Verifier Pattern paragraph</x:v>
      </x:c>
      <x:c r="Z237" s="6" t="str">
        <x:v>When it comes to the requirements traceability task, this pattern yielded higher precision, recall, F-score and accuracy at higher temperature settings, as seen in Table 3.</x:v>
      </x:c>
      <x:c r="AA237" s="6" t="str">
        <x:v>GPT-3.5-turbo 使用 Cognitive Verifier 模式在追蹤任務中表現出較高的精確率、召回率、F-score 和準確率，尤其在較高溫度設定下。</x:v>
      </x:c>
      <x:c r="AB237" s="2" t="str">
        <x:v>Accepted</x:v>
      </x:c>
      <x:c r="AC237" s="6" t="str">
        <x:v>Pattern: Cognitive Verifier. Multiple temperature settings were evaluated (0.0, 0.4, 1.0), results aggregated per pattern.</x:v>
      </x:c>
    </x:row>
    <x:row r="238" ht="76" customHeight="1">
      <x:c r="A238" s="2" t="str">
        <x:v>S49-MODEL-R02</x:v>
      </x:c>
      <x:c r="B238" s="2" t="str">
        <x:v>S49</x:v>
      </x:c>
      <x:c r="C238" s="2" t="str">
        <x:v>merged_1486</x:v>
      </x:c>
      <x:c r="D238" s="2" t="str">
        <x:v>Reviewer_A</x:v>
      </x:c>
      <x:c r="E238" s="2" t="str">
        <x:v>Reviewer_A</x:v>
      </x:c>
      <x:c r="F238" s="2" t="str">
        <x:v>S49-MU02</x:v>
      </x:c>
      <x:c r="G238" s="2" t="str">
        <x:v>S49-O01</x:v>
      </x:c>
      <x:c r="H238" s="2" t="str">
        <x:v>S49-T01</x:v>
      </x:c>
      <x:c r="I238" s="2" t="str">
        <x:v>GPT 3.5-turbo</x:v>
      </x:c>
      <x:c r="J238" s="2" t="str">
        <x:v>gpt-3.5-turbo</x:v>
      </x:c>
      <x:c r="K238" s="2" t="str">
        <x:v>GPT</x:v>
      </x:c>
      <x:c r="L238" s="2" t="str">
        <x:v>turbo</x:v>
      </x:c>
      <x:c r="M238" s="2" t="str">
        <x:v>NR</x:v>
      </x:c>
      <x:c r="N238" s="2" t="str">
        <x:v>NR</x:v>
      </x:c>
      <x:c r="O238" s="2" t="str">
        <x:v>Closed</x:v>
      </x:c>
      <x:c r="P238" s="2" t="str">
        <x:v>API</x:v>
      </x:c>
      <x:c r="Q238" s="2" t="str">
        <x:v>NR</x:v>
      </x:c>
      <x:c r="R238" s="2" t="str">
        <x:v>NR</x:v>
      </x:c>
      <x:c r="S238" s="2" t="n">
        <x:v>5</x:v>
      </x:c>
      <x:c r="T238" s="2" t="str">
        <x:v>NR</x:v>
      </x:c>
      <x:c r="U238" s="2" t="str">
        <x:v>API</x:v>
      </x:c>
      <x:c r="V238" s="2" t="str">
        <x:v>NR</x:v>
      </x:c>
      <x:c r="W238" s="2" t="str">
        <x:v>No</x:v>
      </x:c>
      <x:c r="X238" s="2" t="str">
        <x:v>No</x:v>
      </x:c>
      <x:c r="Y238" s="6" t="str">
        <x:v>p. 13; section 4.1, Context Manager Pattern paragraph</x:v>
      </x:c>
      <x:c r="Z238" s="6" t="str">
        <x:v>When looking at the requirements traceability task, this pattern yielded the lowest precision, recall and F-score values among all the patterns.</x:v>
      </x:c>
      <x:c r="AA238" s="6" t="str">
        <x:v>GPT-3.5-turbo 使用 Context Manager 模式在追蹤任務中獲得所有模式中最低的精確率、召回率和 F-score。</x:v>
      </x:c>
      <x:c r="AB238" s="2" t="str">
        <x:v>Accepted</x:v>
      </x:c>
      <x:c r="AC238" s="6" t="str">
        <x:v>Pattern: Context Manager. Multiple temperature settings were evaluated, results aggregated per pattern.</x:v>
      </x:c>
    </x:row>
    <x:row r="239" ht="76" customHeight="1">
      <x:c r="A239" s="2" t="str">
        <x:v>S49-MODEL-R03</x:v>
      </x:c>
      <x:c r="B239" s="2" t="str">
        <x:v>S49</x:v>
      </x:c>
      <x:c r="C239" s="2" t="str">
        <x:v>merged_1486</x:v>
      </x:c>
      <x:c r="D239" s="2" t="str">
        <x:v>Reviewer_A</x:v>
      </x:c>
      <x:c r="E239" s="2" t="str">
        <x:v>Reviewer_A</x:v>
      </x:c>
      <x:c r="F239" s="2" t="str">
        <x:v>S49-MU03</x:v>
      </x:c>
      <x:c r="G239" s="2" t="str">
        <x:v>S49-O01</x:v>
      </x:c>
      <x:c r="H239" s="2" t="str">
        <x:v>S49-T01</x:v>
      </x:c>
      <x:c r="I239" s="2" t="str">
        <x:v>GPT 3.5-turbo</x:v>
      </x:c>
      <x:c r="J239" s="2" t="str">
        <x:v>gpt-3.5-turbo</x:v>
      </x:c>
      <x:c r="K239" s="2" t="str">
        <x:v>GPT</x:v>
      </x:c>
      <x:c r="L239" s="2" t="str">
        <x:v>turbo</x:v>
      </x:c>
      <x:c r="M239" s="2" t="str">
        <x:v>NR</x:v>
      </x:c>
      <x:c r="N239" s="2" t="str">
        <x:v>NR</x:v>
      </x:c>
      <x:c r="O239" s="2" t="str">
        <x:v>Closed</x:v>
      </x:c>
      <x:c r="P239" s="2" t="str">
        <x:v>API</x:v>
      </x:c>
      <x:c r="Q239" s="2" t="str">
        <x:v>NR</x:v>
      </x:c>
      <x:c r="R239" s="2" t="str">
        <x:v>NR</x:v>
      </x:c>
      <x:c r="S239" s="2" t="n">
        <x:v>5</x:v>
      </x:c>
      <x:c r="T239" s="2" t="str">
        <x:v>NR</x:v>
      </x:c>
      <x:c r="U239" s="2" t="str">
        <x:v>API</x:v>
      </x:c>
      <x:c r="V239" s="2" t="str">
        <x:v>NR</x:v>
      </x:c>
      <x:c r="W239" s="2" t="str">
        <x:v>No</x:v>
      </x:c>
      <x:c r="X239" s="2" t="str">
        <x:v>No</x:v>
      </x:c>
      <x:c r="Y239" s="6" t="str">
        <x:v>p. 13; section 4.1, Persona Pattern paragraph</x:v>
      </x:c>
      <x:c r="Z239" s="6" t="str">
        <x:v>The Persona pattern yielded the highest recall scores compared to the other patterns when it comes to requirements traceability task.</x:v>
      </x:c>
      <x:c r="AA239" s="6" t="str">
        <x:v>GPT-3.5-turbo 使用 Persona 模式在追蹤任務中獲得最高召回率。</x:v>
      </x:c>
      <x:c r="AB239" s="2" t="str">
        <x:v>Accepted</x:v>
      </x:c>
      <x:c r="AC239" s="6" t="str">
        <x:v>Pattern: Persona. Multiple temperature settings were evaluated, results aggregated per pattern.</x:v>
      </x:c>
    </x:row>
    <x:row r="240" ht="76" customHeight="1">
      <x:c r="A240" s="2" t="str">
        <x:v>S49-MODEL-R04</x:v>
      </x:c>
      <x:c r="B240" s="2" t="str">
        <x:v>S49</x:v>
      </x:c>
      <x:c r="C240" s="2" t="str">
        <x:v>merged_1486</x:v>
      </x:c>
      <x:c r="D240" s="2" t="str">
        <x:v>Reviewer_A</x:v>
      </x:c>
      <x:c r="E240" s="2" t="str">
        <x:v>Reviewer_A</x:v>
      </x:c>
      <x:c r="F240" s="2" t="str">
        <x:v>S49-MU04</x:v>
      </x:c>
      <x:c r="G240" s="2" t="str">
        <x:v>S49-O01</x:v>
      </x:c>
      <x:c r="H240" s="2" t="str">
        <x:v>S49-T01</x:v>
      </x:c>
      <x:c r="I240" s="2" t="str">
        <x:v>GPT 3.5-turbo</x:v>
      </x:c>
      <x:c r="J240" s="2" t="str">
        <x:v>gpt-3.5-turbo</x:v>
      </x:c>
      <x:c r="K240" s="2" t="str">
        <x:v>GPT</x:v>
      </x:c>
      <x:c r="L240" s="2" t="str">
        <x:v>turbo</x:v>
      </x:c>
      <x:c r="M240" s="2" t="str">
        <x:v>NR</x:v>
      </x:c>
      <x:c r="N240" s="2" t="str">
        <x:v>NR</x:v>
      </x:c>
      <x:c r="O240" s="2" t="str">
        <x:v>Closed</x:v>
      </x:c>
      <x:c r="P240" s="2" t="str">
        <x:v>API</x:v>
      </x:c>
      <x:c r="Q240" s="2" t="str">
        <x:v>NR</x:v>
      </x:c>
      <x:c r="R240" s="2" t="str">
        <x:v>NR</x:v>
      </x:c>
      <x:c r="S240" s="2" t="n">
        <x:v>5</x:v>
      </x:c>
      <x:c r="T240" s="2" t="str">
        <x:v>NR</x:v>
      </x:c>
      <x:c r="U240" s="2" t="str">
        <x:v>API</x:v>
      </x:c>
      <x:c r="V240" s="2" t="str">
        <x:v>NR</x:v>
      </x:c>
      <x:c r="W240" s="2" t="str">
        <x:v>No</x:v>
      </x:c>
      <x:c r="X240" s="2" t="str">
        <x:v>No</x:v>
      </x:c>
      <x:c r="Y240" s="6" t="str">
        <x:v>p. 14; section 4.1, Question Refinement Pattern paragraph</x:v>
      </x:c>
      <x:c r="Z240" s="6" t="str">
        <x:v>Even in the requirements traceability task, this pattern yielded the highest average precision, F-score and accuracy values in comparison to other patterns.</x:v>
      </x:c>
      <x:c r="AA240" s="6" t="str">
        <x:v>GPT-3.5-turbo 使用 Question Refinement 模式在追蹤任務中獲得最高的平均精確率、F-score 和準確率。</x:v>
      </x:c>
      <x:c r="AB240" s="2" t="str">
        <x:v>Accepted</x:v>
      </x:c>
      <x:c r="AC240" s="6" t="str">
        <x:v>Pattern: Question Refinement. Multiple temperature settings were evaluated, results aggregated per pattern.</x:v>
      </x:c>
    </x:row>
    <x:row r="241" ht="76" customHeight="1">
      <x:c r="A241" s="2" t="str">
        <x:v>S49-MODEL-R05</x:v>
      </x:c>
      <x:c r="B241" s="2" t="str">
        <x:v>S49</x:v>
      </x:c>
      <x:c r="C241" s="2" t="str">
        <x:v>merged_1486</x:v>
      </x:c>
      <x:c r="D241" s="2" t="str">
        <x:v>Reviewer_A</x:v>
      </x:c>
      <x:c r="E241" s="2" t="str">
        <x:v>Reviewer_A</x:v>
      </x:c>
      <x:c r="F241" s="2" t="str">
        <x:v>S49-MU05</x:v>
      </x:c>
      <x:c r="G241" s="2" t="str">
        <x:v>S49-O01</x:v>
      </x:c>
      <x:c r="H241" s="2" t="str">
        <x:v>S49-T01</x:v>
      </x:c>
      <x:c r="I241" s="2" t="str">
        <x:v>GPT 3.5-turbo</x:v>
      </x:c>
      <x:c r="J241" s="2" t="str">
        <x:v>gpt-3.5-turbo</x:v>
      </x:c>
      <x:c r="K241" s="2" t="str">
        <x:v>GPT</x:v>
      </x:c>
      <x:c r="L241" s="2" t="str">
        <x:v>turbo</x:v>
      </x:c>
      <x:c r="M241" s="2" t="str">
        <x:v>NR</x:v>
      </x:c>
      <x:c r="N241" s="2" t="str">
        <x:v>NR</x:v>
      </x:c>
      <x:c r="O241" s="2" t="str">
        <x:v>Closed</x:v>
      </x:c>
      <x:c r="P241" s="2" t="str">
        <x:v>API</x:v>
      </x:c>
      <x:c r="Q241" s="2" t="str">
        <x:v>NR</x:v>
      </x:c>
      <x:c r="R241" s="2" t="str">
        <x:v>NR</x:v>
      </x:c>
      <x:c r="S241" s="2" t="n">
        <x:v>5</x:v>
      </x:c>
      <x:c r="T241" s="2" t="str">
        <x:v>NR</x:v>
      </x:c>
      <x:c r="U241" s="2" t="str">
        <x:v>API</x:v>
      </x:c>
      <x:c r="V241" s="2" t="str">
        <x:v>NR</x:v>
      </x:c>
      <x:c r="W241" s="2" t="str">
        <x:v>No</x:v>
      </x:c>
      <x:c r="X241" s="2" t="str">
        <x:v>No</x:v>
      </x:c>
      <x:c r="Y241" s="6" t="str">
        <x:v>p. 14; section 4.1, Template Pattern paragraph</x:v>
      </x:c>
      <x:c r="Z241" s="6" t="str">
        <x:v>The template pattern does not show any noteworthy improvement in results when it comes to the requirements traceability task.</x:v>
      </x:c>
      <x:c r="AA241" s="6" t="str">
        <x:v>GPT-3.5-turbo 使用 Template 模式在追蹤任務中未顯示顯著改善。</x:v>
      </x:c>
      <x:c r="AB241" s="2" t="str">
        <x:v>Accepted</x:v>
      </x:c>
      <x:c r="AC241" s="6" t="str">
        <x:v>Pattern: Template. Multiple temperature settings were evaluated, results aggregated per pattern.</x:v>
      </x:c>
    </x:row>
    <x:row r="242" ht="76" customHeight="1">
      <x:c r="A242" s="2" t="str">
        <x:v>S50-MODEL-R01</x:v>
      </x:c>
      <x:c r="B242" s="2" t="str">
        <x:v>S50</x:v>
      </x:c>
      <x:c r="C242" s="2" t="str">
        <x:v>snowball_00068</x:v>
      </x:c>
      <x:c r="D242" s="2" t="str">
        <x:v>Reviewer_A</x:v>
      </x:c>
      <x:c r="E242" s="2" t="str">
        <x:v>Reviewer_A</x:v>
      </x:c>
      <x:c r="F242" s="2" t="str">
        <x:v>S50-MU01</x:v>
      </x:c>
      <x:c r="G242" s="2" t="str">
        <x:v>S50-O01</x:v>
      </x:c>
      <x:c r="H242" s="2" t="str">
        <x:v>S50-T01</x:v>
      </x:c>
      <x:c r="I242" s="2" t="str">
        <x:v>Llama-2 7B</x:v>
      </x:c>
      <x:c r="J242" s="2" t="str">
        <x:v>Llama-2 7B</x:v>
      </x:c>
      <x:c r="K242" s="2" t="str">
        <x:v>Llama</x:v>
      </x:c>
      <x:c r="L242" s="2" t="str">
        <x:v>2</x:v>
      </x:c>
      <x:c r="M242" s="2" t="str">
        <x:v>7B</x:v>
      </x:c>
      <x:c r="N242" s="2" t="str">
        <x:v>NR</x:v>
      </x:c>
      <x:c r="O242" s="2" t="str">
        <x:v>Open weights</x:v>
      </x:c>
      <x:c r="P242" s="2" t="str">
        <x:v>Local</x:v>
      </x:c>
      <x:c r="Q242" s="2" t="str">
        <x:v>NR</x:v>
      </x:c>
      <x:c r="R242" s="2" t="str">
        <x:v>NR</x:v>
      </x:c>
      <x:c r="S242" s="2" t="str">
        <x:v>NR</x:v>
      </x:c>
      <x:c r="T242" s="2" t="str">
        <x:v>4096</x:v>
      </x:c>
      <x:c r="U242" s="2" t="str">
        <x:v>Local deployment on a machine with 13th Gen Intel Core i7-13700H, 16GB RAM, Windows 11</x:v>
      </x:c>
      <x:c r="V242" s="2" t="str">
        <x:v>NR</x:v>
      </x:c>
      <x:c r="W242" s="2" t="str">
        <x:v>No</x:v>
      </x:c>
      <x:c r="X242" s="2" t="str">
        <x:v>Yes</x:v>
      </x:c>
      <x:c r="Y242" s="6" t="str">
        <x:v>p. 8; Section IV-D</x:v>
      </x:c>
      <x:c r="Z242" s="6" t="str">
        <x:v>For experiments involving a local deployment of Llama-2 7B, the system used was a machine with a 13th Gen Intel Core i7-13700H processor (2.40 GHz), 16.0 GB of RAM, and a 64-bit Windows 11 operating system.</x:v>
      </x:c>
      <x:c r="AA242" s="6" t="str">
        <x:v>Llama-2 7B模型本地部署，用于零样本类选择。</x:v>
      </x:c>
      <x:c r="AB242" s="2" t="str">
        <x:v>Accepted</x:v>
      </x:c>
      <x:c r="AC242" s="6" t="str">
        <x:v>NA</x:v>
      </x:c>
    </x:row>
    <x:row r="243" ht="76" customHeight="1">
      <x:c r="A243" s="2" t="str">
        <x:v>S50-MODEL-R02</x:v>
      </x:c>
      <x:c r="B243" s="2" t="str">
        <x:v>S50</x:v>
      </x:c>
      <x:c r="C243" s="2" t="str">
        <x:v>snowball_00068</x:v>
      </x:c>
      <x:c r="D243" s="2" t="str">
        <x:v>Reviewer_A</x:v>
      </x:c>
      <x:c r="E243" s="2" t="str">
        <x:v>Reviewer_A</x:v>
      </x:c>
      <x:c r="F243" s="2" t="str">
        <x:v>S50-MU02</x:v>
      </x:c>
      <x:c r="G243" s="2" t="str">
        <x:v>S50-O02</x:v>
      </x:c>
      <x:c r="H243" s="2" t="str">
        <x:v>S50-T01</x:v>
      </x:c>
      <x:c r="I243" s="2" t="str">
        <x:v>Llama-2 7B</x:v>
      </x:c>
      <x:c r="J243" s="2" t="str">
        <x:v>Llama-2 7B</x:v>
      </x:c>
      <x:c r="K243" s="2" t="str">
        <x:v>Llama</x:v>
      </x:c>
      <x:c r="L243" s="2" t="str">
        <x:v>2</x:v>
      </x:c>
      <x:c r="M243" s="2" t="str">
        <x:v>7B</x:v>
      </x:c>
      <x:c r="N243" s="2" t="str">
        <x:v>NR</x:v>
      </x:c>
      <x:c r="O243" s="2" t="str">
        <x:v>Open weights</x:v>
      </x:c>
      <x:c r="P243" s="2" t="str">
        <x:v>Local</x:v>
      </x:c>
      <x:c r="Q243" s="2" t="str">
        <x:v>NR</x:v>
      </x:c>
      <x:c r="R243" s="2" t="str">
        <x:v>NR</x:v>
      </x:c>
      <x:c r="S243" s="2" t="str">
        <x:v>NR</x:v>
      </x:c>
      <x:c r="T243" s="2" t="str">
        <x:v>4096</x:v>
      </x:c>
      <x:c r="U243" s="2" t="str">
        <x:v>Local deployment on a machine with 13th Gen Intel Core i7-13700H, 16GB RAM, Windows 11</x:v>
      </x:c>
      <x:c r="V243" s="2" t="str">
        <x:v>NR</x:v>
      </x:c>
      <x:c r="W243" s="2" t="str">
        <x:v>No</x:v>
      </x:c>
      <x:c r="X243" s="2" t="str">
        <x:v>Yes</x:v>
      </x:c>
      <x:c r="Y243" s="6" t="str">
        <x:v>p. 9; Algorithm 1</x:v>
      </x:c>
      <x:c r="Z243" s="6" t="str">
        <x:v>Feed final prompt Fm into Llama-2 7B LLM to generate response A</x:v>
      </x:c>
      <x:c r="AA243" s="6" t="str">
        <x:v>同一Llama-2 7B模型，用于最终响应生成。</x:v>
      </x:c>
      <x:c r="AB243" s="2" t="str">
        <x:v>Accepted</x:v>
      </x:c>
      <x:c r="AC243" s="6" t="str">
        <x:v>NA</x:v>
      </x:c>
    </x:row>
    <x:row r="244" ht="76" customHeight="1">
      <x:c r="A244" s="2" t="str">
        <x:v>S51-MODEL-R01</x:v>
      </x:c>
      <x:c r="B244" s="2" t="str">
        <x:v>S51</x:v>
      </x:c>
      <x:c r="C244" s="2" t="str">
        <x:v>snowball_00085</x:v>
      </x:c>
      <x:c r="D244" s="2" t="str">
        <x:v>Reviewer_A</x:v>
      </x:c>
      <x:c r="E244" s="2" t="str">
        <x:v>Reviewer_A</x:v>
      </x:c>
      <x:c r="F244" s="2" t="str">
        <x:v>S51-MU01</x:v>
      </x:c>
      <x:c r="G244" s="2" t="str">
        <x:v>S51-O01</x:v>
      </x:c>
      <x:c r="H244" s="2" t="str">
        <x:v>S51-T01</x:v>
      </x:c>
      <x:c r="I244" s="2" t="str">
        <x:v>GPT-4o</x:v>
      </x:c>
      <x:c r="J244" s="2" t="str">
        <x:v>GPT-4o-2024-05-13</x:v>
      </x:c>
      <x:c r="K244" s="2" t="str">
        <x:v>GPT</x:v>
      </x:c>
      <x:c r="L244" s="2" t="str">
        <x:v>gpt-4o-2024-05-13</x:v>
      </x:c>
      <x:c r="M244" s="2" t="str">
        <x:v>NR</x:v>
      </x:c>
      <x:c r="N244" s="2" t="str">
        <x:v>2024-09-17 to 2024-10-07</x:v>
      </x:c>
      <x:c r="O244" s="2" t="str">
        <x:v>Closed</x:v>
      </x:c>
      <x:c r="P244" s="2" t="str">
        <x:v>API</x:v>
      </x:c>
      <x:c r="Q244" s="2" t="str">
        <x:v>NR</x:v>
      </x:c>
      <x:c r="R244" s="2" t="str">
        <x:v>NR</x:v>
      </x:c>
      <x:c r="S244" s="2" t="n">
        <x:v>3</x:v>
      </x:c>
      <x:c r="T244" s="2" t="str">
        <x:v>NR</x:v>
      </x:c>
      <x:c r="U244" s="2" t="str">
        <x:v>NR</x:v>
      </x:c>
      <x:c r="V244" s="2" t="str">
        <x:v>NR</x:v>
      </x:c>
      <x:c r="W244" s="2" t="str">
        <x:v>No</x:v>
      </x:c>
      <x:c r="X244" s="2" t="str">
        <x:v>No</x:v>
      </x:c>
      <x:c r="Y244" s="6" t="str">
        <x:v>p. 4; Section III-C. Experimental Variables</x:v>
      </x:c>
      <x:c r="Z244" s="6" t="str">
        <x:v>Four different LLMs are used in the experiments and compared to one another: GPT-4o, GPT-3.5-turbo, Gemini-1.5, and Claude 3.5 Sonnet.</x:v>
      </x:c>
      <x:c r="AA244" s="6" t="str">
        <x:v>使用GPT-4o作为研究实验所使用的四种大语言模型之一。</x:v>
      </x:c>
      <x:c r="AB244" s="2" t="str">
        <x:v>Accepted</x:v>
      </x:c>
      <x:c r="AC244" s="6" t="str">
        <x:v>Author repository: https://github.com/lreinpold/ONCON24_Requirements_Verification_by_LLM (Code/activityDiagramExperiments.py).</x:v>
      </x:c>
    </x:row>
    <x:row r="245" ht="76" customHeight="1">
      <x:c r="A245" s="2" t="str">
        <x:v>S51-MODEL-R02</x:v>
      </x:c>
      <x:c r="B245" s="2" t="str">
        <x:v>S51</x:v>
      </x:c>
      <x:c r="C245" s="2" t="str">
        <x:v>snowball_00085</x:v>
      </x:c>
      <x:c r="D245" s="2" t="str">
        <x:v>Reviewer_A</x:v>
      </x:c>
      <x:c r="E245" s="2" t="str">
        <x:v>Reviewer_A</x:v>
      </x:c>
      <x:c r="F245" s="2" t="str">
        <x:v>S51-MU02</x:v>
      </x:c>
      <x:c r="G245" s="2" t="str">
        <x:v>S51-O01</x:v>
      </x:c>
      <x:c r="H245" s="2" t="str">
        <x:v>S51-T01</x:v>
      </x:c>
      <x:c r="I245" s="2" t="str">
        <x:v>GPT-3.5-turbo</x:v>
      </x:c>
      <x:c r="J245" s="2" t="str">
        <x:v>GPT-3.5 Turbo-0125</x:v>
      </x:c>
      <x:c r="K245" s="2" t="str">
        <x:v>GPT</x:v>
      </x:c>
      <x:c r="L245" s="2" t="str">
        <x:v>gpt-3.5-turbo-0125</x:v>
      </x:c>
      <x:c r="M245" s="2" t="str">
        <x:v>NR</x:v>
      </x:c>
      <x:c r="N245" s="2" t="str">
        <x:v>2024-09-17 to 2024-10-07</x:v>
      </x:c>
      <x:c r="O245" s="2" t="str">
        <x:v>Closed</x:v>
      </x:c>
      <x:c r="P245" s="2" t="str">
        <x:v>API</x:v>
      </x:c>
      <x:c r="Q245" s="2" t="str">
        <x:v>NR</x:v>
      </x:c>
      <x:c r="R245" s="2" t="str">
        <x:v>NR</x:v>
      </x:c>
      <x:c r="S245" s="2" t="n">
        <x:v>3</x:v>
      </x:c>
      <x:c r="T245" s="2" t="str">
        <x:v>NR</x:v>
      </x:c>
      <x:c r="U245" s="2" t="str">
        <x:v>NR</x:v>
      </x:c>
      <x:c r="V245" s="2" t="str">
        <x:v>NR</x:v>
      </x:c>
      <x:c r="W245" s="2" t="str">
        <x:v>No</x:v>
      </x:c>
      <x:c r="X245" s="2" t="str">
        <x:v>No</x:v>
      </x:c>
      <x:c r="Y245" s="6" t="str">
        <x:v>p. 4; Section III-C. Experimental Variables</x:v>
      </x:c>
      <x:c r="Z245" s="6" t="str">
        <x:v>Four different LLMs are used in the experiments and compared to one another: GPT-4o, GPT-3.5-turbo, Gemini-1.5, and Claude 3.5 Sonnet.</x:v>
      </x:c>
      <x:c r="AA245" s="6" t="str">
        <x:v>使用GPT-3.5-turbo作为研究实验所使用的四种大语言模型之一。</x:v>
      </x:c>
      <x:c r="AB245" s="2" t="str">
        <x:v>Accepted</x:v>
      </x:c>
      <x:c r="AC245" s="6" t="str">
        <x:v>Author repository: https://github.com/lreinpold/ONCON24_Requirements_Verification_by_LLM (Code/activityDiagramExperiments.py).</x:v>
      </x:c>
    </x:row>
    <x:row r="246" ht="76" customHeight="1">
      <x:c r="A246" s="2" t="str">
        <x:v>S51-MODEL-R03</x:v>
      </x:c>
      <x:c r="B246" s="2" t="str">
        <x:v>S51</x:v>
      </x:c>
      <x:c r="C246" s="2" t="str">
        <x:v>snowball_00085</x:v>
      </x:c>
      <x:c r="D246" s="2" t="str">
        <x:v>Reviewer_A</x:v>
      </x:c>
      <x:c r="E246" s="2" t="str">
        <x:v>Reviewer_A</x:v>
      </x:c>
      <x:c r="F246" s="2" t="str">
        <x:v>S51-MU03</x:v>
      </x:c>
      <x:c r="G246" s="2" t="str">
        <x:v>S51-O01</x:v>
      </x:c>
      <x:c r="H246" s="2" t="str">
        <x:v>S51-T01</x:v>
      </x:c>
      <x:c r="I246" s="2" t="str">
        <x:v>Gemini-1.5</x:v>
      </x:c>
      <x:c r="J246" s="2" t="str">
        <x:v>Gemini 1.5 Pro</x:v>
      </x:c>
      <x:c r="K246" s="2" t="str">
        <x:v>Gemini</x:v>
      </x:c>
      <x:c r="L246" s="2" t="str">
        <x:v>gemini-1.5-pro</x:v>
      </x:c>
      <x:c r="M246" s="2" t="str">
        <x:v>NR</x:v>
      </x:c>
      <x:c r="N246" s="2" t="str">
        <x:v>2024-09-17 to 2024-10-07</x:v>
      </x:c>
      <x:c r="O246" s="2" t="str">
        <x:v>Closed</x:v>
      </x:c>
      <x:c r="P246" s="2" t="str">
        <x:v>API</x:v>
      </x:c>
      <x:c r="Q246" s="2" t="str">
        <x:v>NR</x:v>
      </x:c>
      <x:c r="R246" s="2" t="str">
        <x:v>NR</x:v>
      </x:c>
      <x:c r="S246" s="2" t="n">
        <x:v>3</x:v>
      </x:c>
      <x:c r="T246" s="2" t="str">
        <x:v>NR</x:v>
      </x:c>
      <x:c r="U246" s="2" t="str">
        <x:v>NR</x:v>
      </x:c>
      <x:c r="V246" s="2" t="str">
        <x:v>NR</x:v>
      </x:c>
      <x:c r="W246" s="2" t="str">
        <x:v>No</x:v>
      </x:c>
      <x:c r="X246" s="2" t="str">
        <x:v>No</x:v>
      </x:c>
      <x:c r="Y246" s="6" t="str">
        <x:v>p. 4; Section III-C. Experimental Variables</x:v>
      </x:c>
      <x:c r="Z246" s="6" t="str">
        <x:v>Four different LLMs are used in the experiments and compared to one another: GPT-4o, GPT-3.5-turbo, Gemini-1.5, and Claude 3.5 Sonnet.</x:v>
      </x:c>
      <x:c r="AA246" s="6" t="str">
        <x:v>使用Gemini-1.5作为研究实验所使用的四种大语言模型之一。</x:v>
      </x:c>
      <x:c r="AB246" s="2" t="str">
        <x:v>Accepted</x:v>
      </x:c>
      <x:c r="AC246" s="6" t="str">
        <x:v>Author repository: https://github.com/lreinpold/ONCON24_Requirements_Verification_by_LLM (Code/activityDiagramExperiments.py).</x:v>
      </x:c>
    </x:row>
    <x:row r="247" ht="76" customHeight="1">
      <x:c r="A247" s="2" t="str">
        <x:v>S51-MODEL-R04</x:v>
      </x:c>
      <x:c r="B247" s="2" t="str">
        <x:v>S51</x:v>
      </x:c>
      <x:c r="C247" s="2" t="str">
        <x:v>snowball_00085</x:v>
      </x:c>
      <x:c r="D247" s="2" t="str">
        <x:v>Reviewer_A</x:v>
      </x:c>
      <x:c r="E247" s="2" t="str">
        <x:v>Reviewer_A</x:v>
      </x:c>
      <x:c r="F247" s="2" t="str">
        <x:v>S51-MU04</x:v>
      </x:c>
      <x:c r="G247" s="2" t="str">
        <x:v>S51-O01</x:v>
      </x:c>
      <x:c r="H247" s="2" t="str">
        <x:v>S51-T01</x:v>
      </x:c>
      <x:c r="I247" s="2" t="str">
        <x:v>Claude 3.5 Sonnet</x:v>
      </x:c>
      <x:c r="J247" s="2" t="str">
        <x:v>Claude 3.5 Sonnet-20240620</x:v>
      </x:c>
      <x:c r="K247" s="2" t="str">
        <x:v>Claude</x:v>
      </x:c>
      <x:c r="L247" s="2" t="str">
        <x:v>claude-3-5-sonnet-20240620</x:v>
      </x:c>
      <x:c r="M247" s="2" t="str">
        <x:v>NR</x:v>
      </x:c>
      <x:c r="N247" s="2" t="str">
        <x:v>2024-09-17 to 2024-10-07</x:v>
      </x:c>
      <x:c r="O247" s="2" t="str">
        <x:v>Closed</x:v>
      </x:c>
      <x:c r="P247" s="2" t="str">
        <x:v>API</x:v>
      </x:c>
      <x:c r="Q247" s="2" t="str">
        <x:v>NR</x:v>
      </x:c>
      <x:c r="R247" s="2" t="str">
        <x:v>NR</x:v>
      </x:c>
      <x:c r="S247" s="2" t="n">
        <x:v>3</x:v>
      </x:c>
      <x:c r="T247" s="2" t="str">
        <x:v>NR</x:v>
      </x:c>
      <x:c r="U247" s="2" t="str">
        <x:v>NR</x:v>
      </x:c>
      <x:c r="V247" s="2" t="str">
        <x:v>NR</x:v>
      </x:c>
      <x:c r="W247" s="2" t="str">
        <x:v>No</x:v>
      </x:c>
      <x:c r="X247" s="2" t="str">
        <x:v>No</x:v>
      </x:c>
      <x:c r="Y247" s="6" t="str">
        <x:v>p. 4; Section III-C. Experimental Variables</x:v>
      </x:c>
      <x:c r="Z247" s="6" t="str">
        <x:v>Four different LLMs are used in the experiments and compared to one another: GPT-4o, GPT-3.5-turbo, Gemini-1.5, and Claude 3.5 Sonnet.</x:v>
      </x:c>
      <x:c r="AA247" s="6" t="str">
        <x:v>使用Claude 3.5 Sonnet作为研究实验所使用的四种大语言模型之一。</x:v>
      </x:c>
      <x:c r="AB247" s="2" t="str">
        <x:v>Accepted</x:v>
      </x:c>
      <x:c r="AC247" s="6" t="str">
        <x:v>Author repository: https://github.com/lreinpold/ONCON24_Requirements_Verification_by_LLM (Code/activityDiagramExperiments.py).</x:v>
      </x:c>
    </x:row>
    <x:row r="248" ht="76" customHeight="1">
      <x:c r="A248" s="2" t="str">
        <x:v>S52-MODEL-R01</x:v>
      </x:c>
      <x:c r="B248" s="2" t="str">
        <x:v>S52</x:v>
      </x:c>
      <x:c r="C248" s="2" t="str">
        <x:v>snowball_00095</x:v>
      </x:c>
      <x:c r="D248" s="2" t="str">
        <x:v>Reviewer_A</x:v>
      </x:c>
      <x:c r="E248" s="2" t="str">
        <x:v>Reviewer_A</x:v>
      </x:c>
      <x:c r="F248" s="2" t="str">
        <x:v>S52-MU01</x:v>
      </x:c>
      <x:c r="G248" s="2" t="str">
        <x:v>S52-O01</x:v>
      </x:c>
      <x:c r="H248" s="2" t="str">
        <x:v>S52-T01</x:v>
      </x:c>
      <x:c r="I248" s="2" t="str">
        <x:v>Claude 2.0</x:v>
      </x:c>
      <x:c r="J248" s="2" t="str">
        <x:v>Claude 2.0</x:v>
      </x:c>
      <x:c r="K248" s="2" t="str">
        <x:v>Claude</x:v>
      </x:c>
      <x:c r="L248" s="2" t="str">
        <x:v>2.0</x:v>
      </x:c>
      <x:c r="M248" s="2" t="str">
        <x:v>NR</x:v>
      </x:c>
      <x:c r="N248" s="2" t="str">
        <x:v>NR</x:v>
      </x:c>
      <x:c r="O248" s="2" t="str">
        <x:v>Closed</x:v>
      </x:c>
      <x:c r="P248" s="2" t="str">
        <x:v>API</x:v>
      </x:c>
      <x:c r="Q248" s="2" t="str">
        <x:v>NR</x:v>
      </x:c>
      <x:c r="R248" s="2" t="str">
        <x:v>NR</x:v>
      </x:c>
      <x:c r="S248" s="2" t="str">
        <x:v>NR</x:v>
      </x:c>
      <x:c r="T248" s="2" t="str">
        <x:v>100k</x:v>
      </x:c>
      <x:c r="U248" s="2" t="str">
        <x:v>Unclear</x:v>
      </x:c>
      <x:c r="V248" s="2" t="str">
        <x:v>NR</x:v>
      </x:c>
      <x:c r="W248" s="2" t="str">
        <x:v>No</x:v>
      </x:c>
      <x:c r="X248" s="2" t="str">
        <x:v>No</x:v>
      </x:c>
      <x:c r="Y248" s="6" t="str">
        <x:v>p. 3; Section II-A, Stage 0: Code Summarization</x:v>
      </x:c>
      <x:c r="Z248" s="6" t="str">
        <x:v>we opted to use Anthropic’s Claude 2.0 model, which returns similar results to OpenAI’s GPT-4 [20] and has a large context window of 100-k tokens [21].</x:v>
      </x:c>
      <x:c r="AA248" s="6" t="str">
        <x:v>论文使用Anthropic的Claude 2.0模型进行代码摘要，该模型具有100k token的上下文窗口。</x:v>
      </x:c>
      <x:c r="AB248" s="2" t="str">
        <x:v>Accepted</x:v>
      </x:c>
      <x:c r="AC248" s="6" t="str">
        <x:v>NA</x:v>
      </x:c>
    </x:row>
    <x:row r="249" ht="76" customHeight="1">
      <x:c r="A249" s="2" t="str">
        <x:v>S52-MODEL-R02</x:v>
      </x:c>
      <x:c r="B249" s="2" t="str">
        <x:v>S52</x:v>
      </x:c>
      <x:c r="C249" s="2" t="str">
        <x:v>snowball_00095</x:v>
      </x:c>
      <x:c r="D249" s="2" t="str">
        <x:v>Reviewer_A</x:v>
      </x:c>
      <x:c r="E249" s="2" t="str">
        <x:v>Reviewer_A</x:v>
      </x:c>
      <x:c r="F249" s="2" t="str">
        <x:v>S52-MU02</x:v>
      </x:c>
      <x:c r="G249" s="2" t="str">
        <x:v>S52-O02</x:v>
      </x:c>
      <x:c r="H249" s="2" t="str">
        <x:v>S52-T01</x:v>
      </x:c>
      <x:c r="I249" s="2" t="str">
        <x:v>Claude 2.0</x:v>
      </x:c>
      <x:c r="J249" s="2" t="str">
        <x:v>Claude 2.0</x:v>
      </x:c>
      <x:c r="K249" s="2" t="str">
        <x:v>Claude</x:v>
      </x:c>
      <x:c r="L249" s="2" t="str">
        <x:v>2.0</x:v>
      </x:c>
      <x:c r="M249" s="2" t="str">
        <x:v>NR</x:v>
      </x:c>
      <x:c r="N249" s="2" t="str">
        <x:v>NR</x:v>
      </x:c>
      <x:c r="O249" s="2" t="str">
        <x:v>Closed</x:v>
      </x:c>
      <x:c r="P249" s="2" t="str">
        <x:v>API</x:v>
      </x:c>
      <x:c r="Q249" s="2" t="str">
        <x:v>NR</x:v>
      </x:c>
      <x:c r="R249" s="2" t="str">
        <x:v>NR</x:v>
      </x:c>
      <x:c r="S249" s="2" t="str">
        <x:v>NR</x:v>
      </x:c>
      <x:c r="T249" s="2" t="str">
        <x:v>100k</x:v>
      </x:c>
      <x:c r="U249" s="2" t="str">
        <x:v>Unclear</x:v>
      </x:c>
      <x:c r="V249" s="2" t="str">
        <x:v>NR</x:v>
      </x:c>
      <x:c r="W249" s="2" t="str">
        <x:v>No</x:v>
      </x:c>
      <x:c r="X249" s="2" t="str">
        <x:v>No</x:v>
      </x:c>
      <x:c r="Y249" s="6" t="str">
        <x:v>p. 2; Figure 1</x:v>
      </x:c>
      <x:c r="Z249" s="6" t="str">
        <x:v>For each step in the pipeline, we show the underlying AI models used to support the transformation of lower-level to higher-level documentation.</x:v>
      </x:c>
      <x:c r="AA249" s="6" t="str">
        <x:v>Claude 2.0也被用于Stage 2的文档内容生成。</x:v>
      </x:c>
      <x:c r="AB249" s="2" t="str">
        <x:v>Accepted</x:v>
      </x:c>
      <x:c r="AC249" s="6" t="str">
        <x:v>NA</x:v>
      </x:c>
    </x:row>
    <x:row r="250" ht="76" customHeight="1">
      <x:c r="A250" s="2" t="str">
        <x:v>S53-MODEL-R01</x:v>
      </x:c>
      <x:c r="B250" s="2" t="str">
        <x:v>S53</x:v>
      </x:c>
      <x:c r="C250" s="2" t="str">
        <x:v>merged_1229</x:v>
      </x:c>
      <x:c r="D250" s="2" t="str">
        <x:v>Reviewer_A</x:v>
      </x:c>
      <x:c r="E250" s="2" t="str">
        <x:v>Reviewer_A</x:v>
      </x:c>
      <x:c r="F250" s="2" t="str">
        <x:v>S53-MU01</x:v>
      </x:c>
      <x:c r="G250" s="2" t="str">
        <x:v>S53-O01</x:v>
      </x:c>
      <x:c r="H250" s="2" t="str">
        <x:v>S53-T01</x:v>
      </x:c>
      <x:c r="I250" s="2" t="str">
        <x:v>GPT4</x:v>
      </x:c>
      <x:c r="J250" s="2" t="str">
        <x:v>GPT-4</x:v>
      </x:c>
      <x:c r="K250" s="2" t="str">
        <x:v>GPT</x:v>
      </x:c>
      <x:c r="L250" s="2" t="str">
        <x:v>NR</x:v>
      </x:c>
      <x:c r="M250" s="2" t="str">
        <x:v>NR</x:v>
      </x:c>
      <x:c r="N250" s="2" t="str">
        <x:v>NR</x:v>
      </x:c>
      <x:c r="O250" s="2" t="str">
        <x:v>Closed</x:v>
      </x:c>
      <x:c r="P250" s="2" t="str">
        <x:v>API</x:v>
      </x:c>
      <x:c r="Q250" s="2" t="str">
        <x:v>NR</x:v>
      </x:c>
      <x:c r="R250" s="2" t="str">
        <x:v>NR</x:v>
      </x:c>
      <x:c r="S250" s="2" t="str">
        <x:v>NR</x:v>
      </x:c>
      <x:c r="T250" s="2" t="str">
        <x:v>NR</x:v>
      </x:c>
      <x:c r="U250" s="2" t="str">
        <x:v>Cloud API</x:v>
      </x:c>
      <x:c r="V250" s="2" t="str">
        <x:v>NR</x:v>
      </x:c>
      <x:c r="W250" s="2" t="str">
        <x:v>No</x:v>
      </x:c>
      <x:c r="X250" s="2" t="str">
        <x:v>No</x:v>
      </x:c>
      <x:c r="Y250" s="6" t="str">
        <x:v>p. 2; Section II-C</x:v>
      </x:c>
      <x:c r="Z250" s="6" t="str">
        <x:v>OpenAI's GPT4, Anthropic's Claude Sonnet 4 and Google's Gemini 2.5 Flash were considered</x:v>
      </x:c>
      <x:c r="AA250" s="6" t="str">
        <x:v>GPT-4 was evaluated on task 1.</x:v>
      </x:c>
      <x:c r="AB250" s="2" t="str">
        <x:v>Accepted</x:v>
      </x:c>
      <x:c r="AC250" s="6" t="str">
        <x:v>NR</x:v>
      </x:c>
    </x:row>
    <x:row r="251" ht="76" customHeight="1">
      <x:c r="A251" s="2" t="str">
        <x:v>S53-MODEL-R02</x:v>
      </x:c>
      <x:c r="B251" s="2" t="str">
        <x:v>S53</x:v>
      </x:c>
      <x:c r="C251" s="2" t="str">
        <x:v>merged_1229</x:v>
      </x:c>
      <x:c r="D251" s="2" t="str">
        <x:v>Reviewer_A</x:v>
      </x:c>
      <x:c r="E251" s="2" t="str">
        <x:v>Reviewer_A</x:v>
      </x:c>
      <x:c r="F251" s="2" t="str">
        <x:v>S53-MU02</x:v>
      </x:c>
      <x:c r="G251" s="2" t="str">
        <x:v>S53-O01</x:v>
      </x:c>
      <x:c r="H251" s="2" t="str">
        <x:v>S53-T01</x:v>
      </x:c>
      <x:c r="I251" s="2" t="str">
        <x:v>Claude</x:v>
      </x:c>
      <x:c r="J251" s="2" t="str">
        <x:v>Claude Sonnet 4</x:v>
      </x:c>
      <x:c r="K251" s="2" t="str">
        <x:v>Claude</x:v>
      </x:c>
      <x:c r="L251" s="2" t="str">
        <x:v>Sonnet 4</x:v>
      </x:c>
      <x:c r="M251" s="2" t="str">
        <x:v>NR</x:v>
      </x:c>
      <x:c r="N251" s="2" t="str">
        <x:v>NR</x:v>
      </x:c>
      <x:c r="O251" s="2" t="str">
        <x:v>Closed</x:v>
      </x:c>
      <x:c r="P251" s="2" t="str">
        <x:v>API</x:v>
      </x:c>
      <x:c r="Q251" s="2" t="str">
        <x:v>NR</x:v>
      </x:c>
      <x:c r="R251" s="2" t="str">
        <x:v>NR</x:v>
      </x:c>
      <x:c r="S251" s="2" t="str">
        <x:v>NR</x:v>
      </x:c>
      <x:c r="T251" s="2" t="str">
        <x:v>NR</x:v>
      </x:c>
      <x:c r="U251" s="2" t="str">
        <x:v>Cloud API</x:v>
      </x:c>
      <x:c r="V251" s="2" t="str">
        <x:v>NR</x:v>
      </x:c>
      <x:c r="W251" s="2" t="str">
        <x:v>No</x:v>
      </x:c>
      <x:c r="X251" s="2" t="str">
        <x:v>No</x:v>
      </x:c>
      <x:c r="Y251" s="6" t="str">
        <x:v>p. 2; Section II-C</x:v>
      </x:c>
      <x:c r="Z251" s="6" t="str">
        <x:v>OpenAI's GPT4, Anthropic's Claude Sonnet 4 and Google's Gemini 2.5 Flash were considered</x:v>
      </x:c>
      <x:c r="AA251" s="6" t="str">
        <x:v>Claude Sonnet 4 was evaluated on task 1.</x:v>
      </x:c>
      <x:c r="AB251" s="2" t="str">
        <x:v>Accepted</x:v>
      </x:c>
      <x:c r="AC251" s="6" t="str">
        <x:v>NR</x:v>
      </x:c>
    </x:row>
    <x:row r="252" ht="76" customHeight="1">
      <x:c r="A252" s="2" t="str">
        <x:v>S53-MODEL-R03</x:v>
      </x:c>
      <x:c r="B252" s="2" t="str">
        <x:v>S53</x:v>
      </x:c>
      <x:c r="C252" s="2" t="str">
        <x:v>merged_1229</x:v>
      </x:c>
      <x:c r="D252" s="2" t="str">
        <x:v>Reviewer_A</x:v>
      </x:c>
      <x:c r="E252" s="2" t="str">
        <x:v>Reviewer_A</x:v>
      </x:c>
      <x:c r="F252" s="2" t="str">
        <x:v>S53-MU03</x:v>
      </x:c>
      <x:c r="G252" s="2" t="str">
        <x:v>S53-O01</x:v>
      </x:c>
      <x:c r="H252" s="2" t="str">
        <x:v>S53-T01</x:v>
      </x:c>
      <x:c r="I252" s="2" t="str">
        <x:v>Gemini</x:v>
      </x:c>
      <x:c r="J252" s="2" t="str">
        <x:v>Gemini 2.5 Flash</x:v>
      </x:c>
      <x:c r="K252" s="2" t="str">
        <x:v>Gemini</x:v>
      </x:c>
      <x:c r="L252" s="2" t="str">
        <x:v>2.5 Flash</x:v>
      </x:c>
      <x:c r="M252" s="2" t="str">
        <x:v>NR</x:v>
      </x:c>
      <x:c r="N252" s="2" t="str">
        <x:v>NR</x:v>
      </x:c>
      <x:c r="O252" s="2" t="str">
        <x:v>Closed</x:v>
      </x:c>
      <x:c r="P252" s="2" t="str">
        <x:v>API</x:v>
      </x:c>
      <x:c r="Q252" s="2" t="str">
        <x:v>NR</x:v>
      </x:c>
      <x:c r="R252" s="2" t="str">
        <x:v>NR</x:v>
      </x:c>
      <x:c r="S252" s="2" t="str">
        <x:v>NR</x:v>
      </x:c>
      <x:c r="T252" s="2" t="str">
        <x:v>NR</x:v>
      </x:c>
      <x:c r="U252" s="2" t="str">
        <x:v>Cloud API</x:v>
      </x:c>
      <x:c r="V252" s="2" t="str">
        <x:v>NR</x:v>
      </x:c>
      <x:c r="W252" s="2" t="str">
        <x:v>No</x:v>
      </x:c>
      <x:c r="X252" s="2" t="str">
        <x:v>No</x:v>
      </x:c>
      <x:c r="Y252" s="6" t="str">
        <x:v>p. 2; Section II-C</x:v>
      </x:c>
      <x:c r="Z252" s="6" t="str">
        <x:v>OpenAI's GPT4, Anthropic's Claude Sonnet 4 and Google's Gemini 2.5 Flash were considered</x:v>
      </x:c>
      <x:c r="AA252" s="6" t="str">
        <x:v>Gemini 2.5 Flash was evaluated on task 1.</x:v>
      </x:c>
      <x:c r="AB252" s="2" t="str">
        <x:v>Accepted</x:v>
      </x:c>
      <x:c r="AC252" s="6" t="str">
        <x:v>NR</x:v>
      </x:c>
    </x:row>
    <x:row r="253" ht="76" customHeight="1">
      <x:c r="A253" s="2" t="str">
        <x:v>S53-MODEL-R04</x:v>
      </x:c>
      <x:c r="B253" s="2" t="str">
        <x:v>S53</x:v>
      </x:c>
      <x:c r="C253" s="2" t="str">
        <x:v>merged_1229</x:v>
      </x:c>
      <x:c r="D253" s="2" t="str">
        <x:v>Reviewer_A</x:v>
      </x:c>
      <x:c r="E253" s="2" t="str">
        <x:v>Reviewer_A</x:v>
      </x:c>
      <x:c r="F253" s="2" t="str">
        <x:v>S53-MU04</x:v>
      </x:c>
      <x:c r="G253" s="2" t="str">
        <x:v>S53-O02</x:v>
      </x:c>
      <x:c r="H253" s="2" t="str">
        <x:v>S53-T02</x:v>
      </x:c>
      <x:c r="I253" s="2" t="str">
        <x:v>GPT4</x:v>
      </x:c>
      <x:c r="J253" s="2" t="str">
        <x:v>GPT-4</x:v>
      </x:c>
      <x:c r="K253" s="2" t="str">
        <x:v>GPT</x:v>
      </x:c>
      <x:c r="L253" s="2" t="str">
        <x:v>NR</x:v>
      </x:c>
      <x:c r="M253" s="2" t="str">
        <x:v>NR</x:v>
      </x:c>
      <x:c r="N253" s="2" t="str">
        <x:v>NR</x:v>
      </x:c>
      <x:c r="O253" s="2" t="str">
        <x:v>Closed</x:v>
      </x:c>
      <x:c r="P253" s="2" t="str">
        <x:v>API</x:v>
      </x:c>
      <x:c r="Q253" s="2" t="str">
        <x:v>NR</x:v>
      </x:c>
      <x:c r="R253" s="2" t="str">
        <x:v>NR</x:v>
      </x:c>
      <x:c r="S253" s="2" t="str">
        <x:v>NR</x:v>
      </x:c>
      <x:c r="T253" s="2" t="str">
        <x:v>NR</x:v>
      </x:c>
      <x:c r="U253" s="2" t="str">
        <x:v>Cloud API</x:v>
      </x:c>
      <x:c r="V253" s="2" t="str">
        <x:v>NR</x:v>
      </x:c>
      <x:c r="W253" s="2" t="str">
        <x:v>No</x:v>
      </x:c>
      <x:c r="X253" s="2" t="str">
        <x:v>No</x:v>
      </x:c>
      <x:c r="Y253" s="6" t="str">
        <x:v>p. 2; Section II-C</x:v>
      </x:c>
      <x:c r="Z253" s="6" t="str">
        <x:v>OpenAI's GPT4, Anthropic's Claude Sonnet 4 and Google's Gemini 2.5 Flash were considered</x:v>
      </x:c>
      <x:c r="AA253" s="6" t="str">
        <x:v>GPT-4 was evaluated on task 2.</x:v>
      </x:c>
      <x:c r="AB253" s="2" t="str">
        <x:v>Accepted</x:v>
      </x:c>
      <x:c r="AC253" s="6" t="str">
        <x:v>NR</x:v>
      </x:c>
    </x:row>
    <x:row r="254" ht="76" customHeight="1">
      <x:c r="A254" s="2" t="str">
        <x:v>S53-MODEL-R05</x:v>
      </x:c>
      <x:c r="B254" s="2" t="str">
        <x:v>S53</x:v>
      </x:c>
      <x:c r="C254" s="2" t="str">
        <x:v>merged_1229</x:v>
      </x:c>
      <x:c r="D254" s="2" t="str">
        <x:v>Reviewer_A</x:v>
      </x:c>
      <x:c r="E254" s="2" t="str">
        <x:v>Reviewer_A</x:v>
      </x:c>
      <x:c r="F254" s="2" t="str">
        <x:v>S53-MU05</x:v>
      </x:c>
      <x:c r="G254" s="2" t="str">
        <x:v>S53-O02</x:v>
      </x:c>
      <x:c r="H254" s="2" t="str">
        <x:v>S53-T02</x:v>
      </x:c>
      <x:c r="I254" s="2" t="str">
        <x:v>Claude</x:v>
      </x:c>
      <x:c r="J254" s="2" t="str">
        <x:v>Claude Sonnet 4</x:v>
      </x:c>
      <x:c r="K254" s="2" t="str">
        <x:v>Claude</x:v>
      </x:c>
      <x:c r="L254" s="2" t="str">
        <x:v>Sonnet 4</x:v>
      </x:c>
      <x:c r="M254" s="2" t="str">
        <x:v>NR</x:v>
      </x:c>
      <x:c r="N254" s="2" t="str">
        <x:v>NR</x:v>
      </x:c>
      <x:c r="O254" s="2" t="str">
        <x:v>Closed</x:v>
      </x:c>
      <x:c r="P254" s="2" t="str">
        <x:v>API</x:v>
      </x:c>
      <x:c r="Q254" s="2" t="str">
        <x:v>NR</x:v>
      </x:c>
      <x:c r="R254" s="2" t="str">
        <x:v>NR</x:v>
      </x:c>
      <x:c r="S254" s="2" t="str">
        <x:v>NR</x:v>
      </x:c>
      <x:c r="T254" s="2" t="str">
        <x:v>NR</x:v>
      </x:c>
      <x:c r="U254" s="2" t="str">
        <x:v>Cloud API</x:v>
      </x:c>
      <x:c r="V254" s="2" t="str">
        <x:v>NR</x:v>
      </x:c>
      <x:c r="W254" s="2" t="str">
        <x:v>No</x:v>
      </x:c>
      <x:c r="X254" s="2" t="str">
        <x:v>No</x:v>
      </x:c>
      <x:c r="Y254" s="6" t="str">
        <x:v>p. 2; Section II-C</x:v>
      </x:c>
      <x:c r="Z254" s="6" t="str">
        <x:v>OpenAI's GPT4, Anthropic's Claude Sonnet 4 and Google's Gemini 2.5 Flash were considered</x:v>
      </x:c>
      <x:c r="AA254" s="6" t="str">
        <x:v>Claude Sonnet 4 was evaluated on task 2.</x:v>
      </x:c>
      <x:c r="AB254" s="2" t="str">
        <x:v>Accepted</x:v>
      </x:c>
      <x:c r="AC254" s="6" t="str">
        <x:v>NR</x:v>
      </x:c>
    </x:row>
    <x:row r="255" ht="76" customHeight="1">
      <x:c r="A255" s="2" t="str">
        <x:v>S53-MODEL-R06</x:v>
      </x:c>
      <x:c r="B255" s="2" t="str">
        <x:v>S53</x:v>
      </x:c>
      <x:c r="C255" s="2" t="str">
        <x:v>merged_1229</x:v>
      </x:c>
      <x:c r="D255" s="2" t="str">
        <x:v>Reviewer_A</x:v>
      </x:c>
      <x:c r="E255" s="2" t="str">
        <x:v>Reviewer_A</x:v>
      </x:c>
      <x:c r="F255" s="2" t="str">
        <x:v>S53-MU06</x:v>
      </x:c>
      <x:c r="G255" s="2" t="str">
        <x:v>S53-O02</x:v>
      </x:c>
      <x:c r="H255" s="2" t="str">
        <x:v>S53-T02</x:v>
      </x:c>
      <x:c r="I255" s="2" t="str">
        <x:v>Gemini</x:v>
      </x:c>
      <x:c r="J255" s="2" t="str">
        <x:v>Gemini 2.5 Flash</x:v>
      </x:c>
      <x:c r="K255" s="2" t="str">
        <x:v>Gemini</x:v>
      </x:c>
      <x:c r="L255" s="2" t="str">
        <x:v>2.5 Flash</x:v>
      </x:c>
      <x:c r="M255" s="2" t="str">
        <x:v>NR</x:v>
      </x:c>
      <x:c r="N255" s="2" t="str">
        <x:v>NR</x:v>
      </x:c>
      <x:c r="O255" s="2" t="str">
        <x:v>Closed</x:v>
      </x:c>
      <x:c r="P255" s="2" t="str">
        <x:v>API</x:v>
      </x:c>
      <x:c r="Q255" s="2" t="str">
        <x:v>NR</x:v>
      </x:c>
      <x:c r="R255" s="2" t="str">
        <x:v>NR</x:v>
      </x:c>
      <x:c r="S255" s="2" t="str">
        <x:v>NR</x:v>
      </x:c>
      <x:c r="T255" s="2" t="str">
        <x:v>NR</x:v>
      </x:c>
      <x:c r="U255" s="2" t="str">
        <x:v>Cloud API</x:v>
      </x:c>
      <x:c r="V255" s="2" t="str">
        <x:v>NR</x:v>
      </x:c>
      <x:c r="W255" s="2" t="str">
        <x:v>No</x:v>
      </x:c>
      <x:c r="X255" s="2" t="str">
        <x:v>No</x:v>
      </x:c>
      <x:c r="Y255" s="6" t="str">
        <x:v>p. 2; Section II-C</x:v>
      </x:c>
      <x:c r="Z255" s="6" t="str">
        <x:v>OpenAI's GPT4, Anthropic's Claude Sonnet 4 and Google's Gemini 2.5 Flash were considered</x:v>
      </x:c>
      <x:c r="AA255" s="6" t="str">
        <x:v>Gemini 2.5 Flash was evaluated on task 2.</x:v>
      </x:c>
      <x:c r="AB255" s="2" t="str">
        <x:v>Accepted</x:v>
      </x:c>
      <x:c r="AC255" s="6" t="str">
        <x:v>NR</x:v>
      </x:c>
    </x:row>
    <x:row r="256" ht="76" customHeight="1">
      <x:c r="A256" s="2" t="str">
        <x:v>S53-MODEL-R07</x:v>
      </x:c>
      <x:c r="B256" s="2" t="str">
        <x:v>S53</x:v>
      </x:c>
      <x:c r="C256" s="2" t="str">
        <x:v>merged_1229</x:v>
      </x:c>
      <x:c r="D256" s="2" t="str">
        <x:v>Reviewer_A</x:v>
      </x:c>
      <x:c r="E256" s="2" t="str">
        <x:v>Reviewer_A</x:v>
      </x:c>
      <x:c r="F256" s="2" t="str">
        <x:v>S53-MU07</x:v>
      </x:c>
      <x:c r="G256" s="2" t="str">
        <x:v>S53-O03</x:v>
      </x:c>
      <x:c r="H256" s="2" t="str">
        <x:v>S53-T03</x:v>
      </x:c>
      <x:c r="I256" s="2" t="str">
        <x:v>GPT4</x:v>
      </x:c>
      <x:c r="J256" s="2" t="str">
        <x:v>GPT-4</x:v>
      </x:c>
      <x:c r="K256" s="2" t="str">
        <x:v>GPT</x:v>
      </x:c>
      <x:c r="L256" s="2" t="str">
        <x:v>NR</x:v>
      </x:c>
      <x:c r="M256" s="2" t="str">
        <x:v>NR</x:v>
      </x:c>
      <x:c r="N256" s="2" t="str">
        <x:v>NR</x:v>
      </x:c>
      <x:c r="O256" s="2" t="str">
        <x:v>Closed</x:v>
      </x:c>
      <x:c r="P256" s="2" t="str">
        <x:v>API</x:v>
      </x:c>
      <x:c r="Q256" s="2" t="str">
        <x:v>NR</x:v>
      </x:c>
      <x:c r="R256" s="2" t="str">
        <x:v>NR</x:v>
      </x:c>
      <x:c r="S256" s="2" t="str">
        <x:v>NR</x:v>
      </x:c>
      <x:c r="T256" s="2" t="str">
        <x:v>NR</x:v>
      </x:c>
      <x:c r="U256" s="2" t="str">
        <x:v>Cloud API</x:v>
      </x:c>
      <x:c r="V256" s="2" t="str">
        <x:v>NR</x:v>
      </x:c>
      <x:c r="W256" s="2" t="str">
        <x:v>No</x:v>
      </x:c>
      <x:c r="X256" s="2" t="str">
        <x:v>No</x:v>
      </x:c>
      <x:c r="Y256" s="6" t="str">
        <x:v>p. 2; Section II-C</x:v>
      </x:c>
      <x:c r="Z256" s="6" t="str">
        <x:v>OpenAI's GPT4, Anthropic's Claude Sonnet 4 and Google's Gemini 2.5 Flash were considered</x:v>
      </x:c>
      <x:c r="AA256" s="6" t="str">
        <x:v>GPT-4 was evaluated on task 3.</x:v>
      </x:c>
      <x:c r="AB256" s="2" t="str">
        <x:v>Accepted</x:v>
      </x:c>
      <x:c r="AC256" s="6" t="str">
        <x:v>NR</x:v>
      </x:c>
    </x:row>
    <x:row r="257" ht="76" customHeight="1">
      <x:c r="A257" s="2" t="str">
        <x:v>S53-MODEL-R08</x:v>
      </x:c>
      <x:c r="B257" s="2" t="str">
        <x:v>S53</x:v>
      </x:c>
      <x:c r="C257" s="2" t="str">
        <x:v>merged_1229</x:v>
      </x:c>
      <x:c r="D257" s="2" t="str">
        <x:v>Reviewer_A</x:v>
      </x:c>
      <x:c r="E257" s="2" t="str">
        <x:v>Reviewer_A</x:v>
      </x:c>
      <x:c r="F257" s="2" t="str">
        <x:v>S53-MU08</x:v>
      </x:c>
      <x:c r="G257" s="2" t="str">
        <x:v>S53-O03</x:v>
      </x:c>
      <x:c r="H257" s="2" t="str">
        <x:v>S53-T03</x:v>
      </x:c>
      <x:c r="I257" s="2" t="str">
        <x:v>Claude</x:v>
      </x:c>
      <x:c r="J257" s="2" t="str">
        <x:v>Claude Sonnet 4</x:v>
      </x:c>
      <x:c r="K257" s="2" t="str">
        <x:v>Claude</x:v>
      </x:c>
      <x:c r="L257" s="2" t="str">
        <x:v>Sonnet 4</x:v>
      </x:c>
      <x:c r="M257" s="2" t="str">
        <x:v>NR</x:v>
      </x:c>
      <x:c r="N257" s="2" t="str">
        <x:v>NR</x:v>
      </x:c>
      <x:c r="O257" s="2" t="str">
        <x:v>Closed</x:v>
      </x:c>
      <x:c r="P257" s="2" t="str">
        <x:v>API</x:v>
      </x:c>
      <x:c r="Q257" s="2" t="str">
        <x:v>NR</x:v>
      </x:c>
      <x:c r="R257" s="2" t="str">
        <x:v>NR</x:v>
      </x:c>
      <x:c r="S257" s="2" t="str">
        <x:v>NR</x:v>
      </x:c>
      <x:c r="T257" s="2" t="str">
        <x:v>NR</x:v>
      </x:c>
      <x:c r="U257" s="2" t="str">
        <x:v>Cloud API</x:v>
      </x:c>
      <x:c r="V257" s="2" t="str">
        <x:v>NR</x:v>
      </x:c>
      <x:c r="W257" s="2" t="str">
        <x:v>No</x:v>
      </x:c>
      <x:c r="X257" s="2" t="str">
        <x:v>No</x:v>
      </x:c>
      <x:c r="Y257" s="6" t="str">
        <x:v>p. 2; Section II-C</x:v>
      </x:c>
      <x:c r="Z257" s="6" t="str">
        <x:v>OpenAI's GPT4, Anthropic's Claude Sonnet 4 and Google's Gemini 2.5 Flash were considered</x:v>
      </x:c>
      <x:c r="AA257" s="6" t="str">
        <x:v>Claude Sonnet 4 was evaluated on task 3.</x:v>
      </x:c>
      <x:c r="AB257" s="2" t="str">
        <x:v>Accepted</x:v>
      </x:c>
      <x:c r="AC257" s="6" t="str">
        <x:v>NR</x:v>
      </x:c>
    </x:row>
    <x:row r="258" ht="76" customHeight="1">
      <x:c r="A258" s="2" t="str">
        <x:v>S53-MODEL-R09</x:v>
      </x:c>
      <x:c r="B258" s="2" t="str">
        <x:v>S53</x:v>
      </x:c>
      <x:c r="C258" s="2" t="str">
        <x:v>merged_1229</x:v>
      </x:c>
      <x:c r="D258" s="2" t="str">
        <x:v>Reviewer_A</x:v>
      </x:c>
      <x:c r="E258" s="2" t="str">
        <x:v>Reviewer_A</x:v>
      </x:c>
      <x:c r="F258" s="2" t="str">
        <x:v>S53-MU09</x:v>
      </x:c>
      <x:c r="G258" s="2" t="str">
        <x:v>S53-O03</x:v>
      </x:c>
      <x:c r="H258" s="2" t="str">
        <x:v>S53-T03</x:v>
      </x:c>
      <x:c r="I258" s="2" t="str">
        <x:v>Gemini</x:v>
      </x:c>
      <x:c r="J258" s="2" t="str">
        <x:v>Gemini 2.5 Flash</x:v>
      </x:c>
      <x:c r="K258" s="2" t="str">
        <x:v>Gemini</x:v>
      </x:c>
      <x:c r="L258" s="2" t="str">
        <x:v>2.5 Flash</x:v>
      </x:c>
      <x:c r="M258" s="2" t="str">
        <x:v>NR</x:v>
      </x:c>
      <x:c r="N258" s="2" t="str">
        <x:v>NR</x:v>
      </x:c>
      <x:c r="O258" s="2" t="str">
        <x:v>Closed</x:v>
      </x:c>
      <x:c r="P258" s="2" t="str">
        <x:v>API</x:v>
      </x:c>
      <x:c r="Q258" s="2" t="str">
        <x:v>NR</x:v>
      </x:c>
      <x:c r="R258" s="2" t="str">
        <x:v>NR</x:v>
      </x:c>
      <x:c r="S258" s="2" t="str">
        <x:v>NR</x:v>
      </x:c>
      <x:c r="T258" s="2" t="str">
        <x:v>NR</x:v>
      </x:c>
      <x:c r="U258" s="2" t="str">
        <x:v>Cloud API</x:v>
      </x:c>
      <x:c r="V258" s="2" t="str">
        <x:v>NR</x:v>
      </x:c>
      <x:c r="W258" s="2" t="str">
        <x:v>No</x:v>
      </x:c>
      <x:c r="X258" s="2" t="str">
        <x:v>No</x:v>
      </x:c>
      <x:c r="Y258" s="6" t="str">
        <x:v>p. 2; Section II-C</x:v>
      </x:c>
      <x:c r="Z258" s="6" t="str">
        <x:v>OpenAI's GPT4, Anthropic's Claude Sonnet 4 and Google's Gemini 2.5 Flash were considered</x:v>
      </x:c>
      <x:c r="AA258" s="6" t="str">
        <x:v>Gemini 2.5 Flash was evaluated on task 3.</x:v>
      </x:c>
      <x:c r="AB258" s="2" t="str">
        <x:v>Accepted</x:v>
      </x:c>
      <x:c r="AC258" s="6" t="str">
        <x:v>NR</x:v>
      </x:c>
    </x:row>
    <x:row r="259" ht="76" customHeight="1">
      <x:c r="A259" s="2" t="str">
        <x:v>S53-MODEL-R10</x:v>
      </x:c>
      <x:c r="B259" s="2" t="str">
        <x:v>S53</x:v>
      </x:c>
      <x:c r="C259" s="2" t="str">
        <x:v>merged_1229</x:v>
      </x:c>
      <x:c r="D259" s="2" t="str">
        <x:v>Reviewer_A</x:v>
      </x:c>
      <x:c r="E259" s="2" t="str">
        <x:v>Reviewer_A</x:v>
      </x:c>
      <x:c r="F259" s="2" t="str">
        <x:v>S53-MU10</x:v>
      </x:c>
      <x:c r="G259" s="2" t="str">
        <x:v>S53-O04</x:v>
      </x:c>
      <x:c r="H259" s="2" t="str">
        <x:v>S53-T04</x:v>
      </x:c>
      <x:c r="I259" s="2" t="str">
        <x:v>GPT4</x:v>
      </x:c>
      <x:c r="J259" s="2" t="str">
        <x:v>GPT-4</x:v>
      </x:c>
      <x:c r="K259" s="2" t="str">
        <x:v>GPT</x:v>
      </x:c>
      <x:c r="L259" s="2" t="str">
        <x:v>NR</x:v>
      </x:c>
      <x:c r="M259" s="2" t="str">
        <x:v>NR</x:v>
      </x:c>
      <x:c r="N259" s="2" t="str">
        <x:v>NR</x:v>
      </x:c>
      <x:c r="O259" s="2" t="str">
        <x:v>Closed</x:v>
      </x:c>
      <x:c r="P259" s="2" t="str">
        <x:v>API</x:v>
      </x:c>
      <x:c r="Q259" s="2" t="str">
        <x:v>NR</x:v>
      </x:c>
      <x:c r="R259" s="2" t="str">
        <x:v>NR</x:v>
      </x:c>
      <x:c r="S259" s="2" t="str">
        <x:v>NR</x:v>
      </x:c>
      <x:c r="T259" s="2" t="str">
        <x:v>NR</x:v>
      </x:c>
      <x:c r="U259" s="2" t="str">
        <x:v>Cloud API</x:v>
      </x:c>
      <x:c r="V259" s="2" t="str">
        <x:v>NR</x:v>
      </x:c>
      <x:c r="W259" s="2" t="str">
        <x:v>No</x:v>
      </x:c>
      <x:c r="X259" s="2" t="str">
        <x:v>No</x:v>
      </x:c>
      <x:c r="Y259" s="6" t="str">
        <x:v>p. 2; Section II-C</x:v>
      </x:c>
      <x:c r="Z259" s="6" t="str">
        <x:v>OpenAI's GPT4, Anthropic's Claude Sonnet 4 and Google's Gemini 2.5 Flash were considered</x:v>
      </x:c>
      <x:c r="AA259" s="6" t="str">
        <x:v>GPT-4 was evaluated on task 4.</x:v>
      </x:c>
      <x:c r="AB259" s="2" t="str">
        <x:v>Accepted</x:v>
      </x:c>
      <x:c r="AC259" s="6" t="str">
        <x:v>NR</x:v>
      </x:c>
    </x:row>
    <x:row r="260" ht="76" customHeight="1">
      <x:c r="A260" s="2" t="str">
        <x:v>S53-MODEL-R11</x:v>
      </x:c>
      <x:c r="B260" s="2" t="str">
        <x:v>S53</x:v>
      </x:c>
      <x:c r="C260" s="2" t="str">
        <x:v>merged_1229</x:v>
      </x:c>
      <x:c r="D260" s="2" t="str">
        <x:v>Reviewer_A</x:v>
      </x:c>
      <x:c r="E260" s="2" t="str">
        <x:v>Reviewer_A</x:v>
      </x:c>
      <x:c r="F260" s="2" t="str">
        <x:v>S53-MU11</x:v>
      </x:c>
      <x:c r="G260" s="2" t="str">
        <x:v>S53-O04</x:v>
      </x:c>
      <x:c r="H260" s="2" t="str">
        <x:v>S53-T04</x:v>
      </x:c>
      <x:c r="I260" s="2" t="str">
        <x:v>Claude</x:v>
      </x:c>
      <x:c r="J260" s="2" t="str">
        <x:v>Claude Sonnet 4</x:v>
      </x:c>
      <x:c r="K260" s="2" t="str">
        <x:v>Claude</x:v>
      </x:c>
      <x:c r="L260" s="2" t="str">
        <x:v>Sonnet 4</x:v>
      </x:c>
      <x:c r="M260" s="2" t="str">
        <x:v>NR</x:v>
      </x:c>
      <x:c r="N260" s="2" t="str">
        <x:v>NR</x:v>
      </x:c>
      <x:c r="O260" s="2" t="str">
        <x:v>Closed</x:v>
      </x:c>
      <x:c r="P260" s="2" t="str">
        <x:v>API</x:v>
      </x:c>
      <x:c r="Q260" s="2" t="str">
        <x:v>NR</x:v>
      </x:c>
      <x:c r="R260" s="2" t="str">
        <x:v>NR</x:v>
      </x:c>
      <x:c r="S260" s="2" t="str">
        <x:v>NR</x:v>
      </x:c>
      <x:c r="T260" s="2" t="str">
        <x:v>NR</x:v>
      </x:c>
      <x:c r="U260" s="2" t="str">
        <x:v>Cloud API</x:v>
      </x:c>
      <x:c r="V260" s="2" t="str">
        <x:v>NR</x:v>
      </x:c>
      <x:c r="W260" s="2" t="str">
        <x:v>No</x:v>
      </x:c>
      <x:c r="X260" s="2" t="str">
        <x:v>No</x:v>
      </x:c>
      <x:c r="Y260" s="6" t="str">
        <x:v>p. 2; Section II-C</x:v>
      </x:c>
      <x:c r="Z260" s="6" t="str">
        <x:v>OpenAI's GPT4, Anthropic's Claude Sonnet 4 and Google's Gemini 2.5 Flash were considered</x:v>
      </x:c>
      <x:c r="AA260" s="6" t="str">
        <x:v>Claude Sonnet 4 was evaluated on task 4.</x:v>
      </x:c>
      <x:c r="AB260" s="2" t="str">
        <x:v>Accepted</x:v>
      </x:c>
      <x:c r="AC260" s="6" t="str">
        <x:v>NR</x:v>
      </x:c>
    </x:row>
    <x:row r="261" ht="76" customHeight="1">
      <x:c r="A261" s="2" t="str">
        <x:v>S53-MODEL-R12</x:v>
      </x:c>
      <x:c r="B261" s="2" t="str">
        <x:v>S53</x:v>
      </x:c>
      <x:c r="C261" s="2" t="str">
        <x:v>merged_1229</x:v>
      </x:c>
      <x:c r="D261" s="2" t="str">
        <x:v>Reviewer_A</x:v>
      </x:c>
      <x:c r="E261" s="2" t="str">
        <x:v>Reviewer_A</x:v>
      </x:c>
      <x:c r="F261" s="2" t="str">
        <x:v>S53-MU12</x:v>
      </x:c>
      <x:c r="G261" s="2" t="str">
        <x:v>S53-O04</x:v>
      </x:c>
      <x:c r="H261" s="2" t="str">
        <x:v>S53-T04</x:v>
      </x:c>
      <x:c r="I261" s="2" t="str">
        <x:v>Gemini</x:v>
      </x:c>
      <x:c r="J261" s="2" t="str">
        <x:v>Gemini 2.5 Flash</x:v>
      </x:c>
      <x:c r="K261" s="2" t="str">
        <x:v>Gemini</x:v>
      </x:c>
      <x:c r="L261" s="2" t="str">
        <x:v>2.5 Flash</x:v>
      </x:c>
      <x:c r="M261" s="2" t="str">
        <x:v>NR</x:v>
      </x:c>
      <x:c r="N261" s="2" t="str">
        <x:v>NR</x:v>
      </x:c>
      <x:c r="O261" s="2" t="str">
        <x:v>Closed</x:v>
      </x:c>
      <x:c r="P261" s="2" t="str">
        <x:v>API</x:v>
      </x:c>
      <x:c r="Q261" s="2" t="str">
        <x:v>NR</x:v>
      </x:c>
      <x:c r="R261" s="2" t="str">
        <x:v>NR</x:v>
      </x:c>
      <x:c r="S261" s="2" t="str">
        <x:v>NR</x:v>
      </x:c>
      <x:c r="T261" s="2" t="str">
        <x:v>NR</x:v>
      </x:c>
      <x:c r="U261" s="2" t="str">
        <x:v>Cloud API</x:v>
      </x:c>
      <x:c r="V261" s="2" t="str">
        <x:v>NR</x:v>
      </x:c>
      <x:c r="W261" s="2" t="str">
        <x:v>No</x:v>
      </x:c>
      <x:c r="X261" s="2" t="str">
        <x:v>No</x:v>
      </x:c>
      <x:c r="Y261" s="6" t="str">
        <x:v>p. 2; Section II-C</x:v>
      </x:c>
      <x:c r="Z261" s="6" t="str">
        <x:v>OpenAI's GPT4, Anthropic's Claude Sonnet 4 and Google's Gemini 2.5 Flash were considered</x:v>
      </x:c>
      <x:c r="AA261" s="6" t="str">
        <x:v>Gemini 2.5 Flash was evaluated on task 4.</x:v>
      </x:c>
      <x:c r="AB261" s="2" t="str">
        <x:v>Accepted</x:v>
      </x:c>
      <x:c r="AC261" s="6" t="str">
        <x:v>NR</x:v>
      </x:c>
    </x:row>
    <x:row r="262" ht="76" customHeight="1">
      <x:c r="A262" s="2" t="str">
        <x:v>G1-MU-R01</x:v>
      </x:c>
      <x:c r="B262" s="2" t="str">
        <x:v>G1</x:v>
      </x:c>
      <x:c r="C262" s="2" t="str">
        <x:v>v1</x:v>
      </x:c>
      <x:c r="D262" s="2" t="str">
        <x:v>Reviewer_A</x:v>
      </x:c>
      <x:c r="E262" s="2" t="str">
        <x:v>Reviewer_A</x:v>
      </x:c>
      <x:c r="F262" s="2" t="str">
        <x:v>G1-MU01</x:v>
      </x:c>
      <x:c r="G262" s="2" t="str">
        <x:v>G1-O01</x:v>
      </x:c>
      <x:c r="H262" s="2" t="str">
        <x:v>G1-T01</x:v>
      </x:c>
      <x:c r="I262" s="2" t="str">
        <x:v>chat gpd (version 3.5)</x:v>
      </x:c>
      <x:c r="J262" s="2" t="str">
        <x:v>ChatGPT 3.5</x:v>
      </x:c>
      <x:c r="K262" s="2" t="str">
        <x:v>GPT</x:v>
      </x:c>
      <x:c r="L262" s="2" t="str">
        <x:v>3.5</x:v>
      </x:c>
      <x:c r="M262" s="2" t="str">
        <x:v>NR</x:v>
      </x:c>
      <x:c r="N262" s="2" t="str">
        <x:v>NR</x:v>
      </x:c>
      <x:c r="O262" s="2" t="str">
        <x:v>Closed</x:v>
      </x:c>
      <x:c r="P262" s="2" t="str">
        <x:v>Unclear</x:v>
      </x:c>
      <x:c r="Q262" s="2" t="str">
        <x:v>NR</x:v>
      </x:c>
      <x:c r="R262" s="2" t="str">
        <x:v>NR</x:v>
      </x:c>
      <x:c r="S262" s="2" t="str">
        <x:v>NR</x:v>
      </x:c>
      <x:c r="T262" s="2" t="str">
        <x:v>NR</x:v>
      </x:c>
      <x:c r="U262" s="2" t="str">
        <x:v>NR</x:v>
      </x:c>
      <x:c r="V262" s="2" t="str">
        <x:v>NR</x:v>
      </x:c>
      <x:c r="W262" s="2" t="str">
        <x:v>No</x:v>
      </x:c>
      <x:c r="X262" s="2" t="str">
        <x:v>No</x:v>
      </x:c>
      <x:c r="Y262" s="6" t="str">
        <x:v>G1_video_page.png (upload date field, title, view count, likes) ; G1_page_description.png (view count, description text, hashtags, Udemy course links and coupon code) ; [00:00] ; [00:33] ; [00:37] ; [00:50] ; [01:18] ; [02:27] ; [02:33] ; [02:55] ; [03:17] ; [03:41] ; [03:52] ; [04:27] ; [05:04] ; [06:46] </x:v>
      </x:c>
      <x:c r="Z262"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c r="AA262" s="6" t="str">
        <x:v>The model is named for this operation in the material and its version is recorded where the material gives one.</x:v>
      </x:c>
      <x:c r="AB262" s="2" t="str">
        <x:v>Accepted</x:v>
      </x:c>
      <x:c r="AC262" s="6" t="str">
        <x:v>The material names the model as chat gpd and states that version 3.5 is used for scenario generation.</x:v>
      </x:c>
    </x:row>
    <x:row r="263" ht="76" customHeight="1">
      <x:c r="A263" s="2" t="str">
        <x:v>G1-MU-R02</x:v>
      </x:c>
      <x:c r="B263" s="2" t="str">
        <x:v>G1</x:v>
      </x:c>
      <x:c r="C263" s="2" t="str">
        <x:v>v1</x:v>
      </x:c>
      <x:c r="D263" s="2" t="str">
        <x:v>Reviewer_A</x:v>
      </x:c>
      <x:c r="E263" s="2" t="str">
        <x:v>Reviewer_A</x:v>
      </x:c>
      <x:c r="F263" s="2" t="str">
        <x:v>G1-MU02</x:v>
      </x:c>
      <x:c r="G263" s="2" t="str">
        <x:v>G1-O02</x:v>
      </x:c>
      <x:c r="H263" s="2" t="str">
        <x:v>G1-T02</x:v>
      </x:c>
      <x:c r="I263" s="2" t="str">
        <x:v>chat gpd4</x:v>
      </x:c>
      <x:c r="J263" s="2" t="str">
        <x:v>ChatGPT 4</x:v>
      </x:c>
      <x:c r="K263" s="2" t="str">
        <x:v>GPT</x:v>
      </x:c>
      <x:c r="L263" s="2" t="str">
        <x:v>4</x:v>
      </x:c>
      <x:c r="M263" s="2" t="str">
        <x:v>NR</x:v>
      </x:c>
      <x:c r="N263" s="2" t="str">
        <x:v>NR</x:v>
      </x:c>
      <x:c r="O263" s="2" t="str">
        <x:v>Closed</x:v>
      </x:c>
      <x:c r="P263" s="2" t="str">
        <x:v>Unclear</x:v>
      </x:c>
      <x:c r="Q263" s="2" t="str">
        <x:v>NR</x:v>
      </x:c>
      <x:c r="R263" s="2" t="str">
        <x:v>NR</x:v>
      </x:c>
      <x:c r="S263" s="2" t="str">
        <x:v>NR</x:v>
      </x:c>
      <x:c r="T263" s="2" t="str">
        <x:v>NR</x:v>
      </x:c>
      <x:c r="U263" s="2" t="str">
        <x:v>NR</x:v>
      </x:c>
      <x:c r="V263" s="2" t="str">
        <x:v>NR</x:v>
      </x:c>
      <x:c r="W263" s="2" t="str">
        <x:v>No</x:v>
      </x:c>
      <x:c r="X263" s="2" t="str">
        <x:v>No</x:v>
      </x:c>
      <x:c r="Y263" s="6" t="str">
        <x:v>G1_video_page.png (upload date field, title, view count, likes) ; G1_page_description.png (view count, description text, hashtags, Udemy course links and coupon code) ; [00:00] ; [00:33] ; [00:37] ; [00:50] ; [01:18] ; [02:27] ; [02:33] ; [02:55] ; [03:17] ; [03:41] ; [03:52] ; [04:27] ; [05:04] ; [06:46] </x:v>
      </x:c>
      <x:c r="Z263"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c r="AA263" s="6" t="str">
        <x:v>The model is named for this operation in the material and its version is recorded where the material gives one.</x:v>
      </x:c>
      <x:c r="AB263" s="2" t="str">
        <x:v>Accepted</x:v>
      </x:c>
      <x:c r="AC263" s="6" t="str">
        <x:v>The material names the second model only as chat gpd4 and uses it for verification.</x:v>
      </x:c>
    </x:row>
    <x:row r="264" ht="76" customHeight="1">
      <x:c r="A264" s="2" t="str">
        <x:v>G1-MU-R03</x:v>
      </x:c>
      <x:c r="B264" s="2" t="str">
        <x:v>G1</x:v>
      </x:c>
      <x:c r="C264" s="2" t="str">
        <x:v>v1</x:v>
      </x:c>
      <x:c r="D264" s="2" t="str">
        <x:v>Reviewer_A</x:v>
      </x:c>
      <x:c r="E264" s="2" t="str">
        <x:v>Reviewer_A</x:v>
      </x:c>
      <x:c r="F264" s="2" t="str">
        <x:v>G1-MU03</x:v>
      </x:c>
      <x:c r="G264" s="2" t="str">
        <x:v>G1-O03</x:v>
      </x:c>
      <x:c r="H264" s="2" t="str">
        <x:v>G1-T02</x:v>
      </x:c>
      <x:c r="I264" s="2" t="str">
        <x:v>chat gpd4</x:v>
      </x:c>
      <x:c r="J264" s="2" t="str">
        <x:v>ChatGPT 4</x:v>
      </x:c>
      <x:c r="K264" s="2" t="str">
        <x:v>GPT</x:v>
      </x:c>
      <x:c r="L264" s="2" t="str">
        <x:v>4</x:v>
      </x:c>
      <x:c r="M264" s="2" t="str">
        <x:v>NR</x:v>
      </x:c>
      <x:c r="N264" s="2" t="str">
        <x:v>NR</x:v>
      </x:c>
      <x:c r="O264" s="2" t="str">
        <x:v>Closed</x:v>
      </x:c>
      <x:c r="P264" s="2" t="str">
        <x:v>Unclear</x:v>
      </x:c>
      <x:c r="Q264" s="2" t="str">
        <x:v>NR</x:v>
      </x:c>
      <x:c r="R264" s="2" t="str">
        <x:v>NR</x:v>
      </x:c>
      <x:c r="S264" s="2" t="str">
        <x:v>NR</x:v>
      </x:c>
      <x:c r="T264" s="2" t="str">
        <x:v>NR</x:v>
      </x:c>
      <x:c r="U264" s="2" t="str">
        <x:v>NR</x:v>
      </x:c>
      <x:c r="V264" s="2" t="str">
        <x:v>NR</x:v>
      </x:c>
      <x:c r="W264" s="2" t="str">
        <x:v>No</x:v>
      </x:c>
      <x:c r="X264" s="2" t="str">
        <x:v>No</x:v>
      </x:c>
      <x:c r="Y264" s="6" t="str">
        <x:v>G1_video_page.png (upload date field, title, view count, likes) ; G1_page_description.png (view count, description text, hashtags, Udemy course links and coupon code) ; [00:00] ; [00:33] ; [00:37] ; [00:50] ; [01:18] ; [02:27] ; [02:33] ; [02:55] ; [03:17] ; [03:41] ; [03:52] ; [04:27] ; [05:04] ; [06:46] </x:v>
      </x:c>
      <x:c r="Z264" s="6" t="str">
        <x:v>we can make use of chat gpd to perform requirement traceability matrix of our software quality test cases and automated test case ; we used chat gp2 to write a lot of manner testing scenarios ; we're going to ask chat gpd to write the scenarios for us in version 3.5 ; paste it into chat gpd4 to ask us to verify if there requirement matches the test cases ; perform requirement traceability of the above requirement with the below scenario ; it can also tell that this particular requirement is not really covered in the test scenario ; this rtm is a very time consuming process ; you can see that the gpd can actually analyze all our requirements</x:v>
      </x:c>
      <x:c r="AA264" s="6" t="str">
        <x:v>The model is named for this operation in the material and its version is recorded where the material gives one.</x:v>
      </x:c>
      <x:c r="AB264" s="2" t="str">
        <x:v>Accepted</x:v>
      </x:c>
      <x:c r="AC264" s="6" t="str">
        <x:v>The same second model instance produces the gap list; the material renders the model name inconsistently across passages.</x:v>
      </x:c>
    </x:row>
    <x:row r="265" ht="76" customHeight="1">
      <x:c r="A265" s="2" t="str">
        <x:v>G2-MU-R01</x:v>
      </x:c>
      <x:c r="B265" s="2" t="str">
        <x:v>G2</x:v>
      </x:c>
      <x:c r="C265" s="2" t="str">
        <x:v>v1</x:v>
      </x:c>
      <x:c r="D265" s="2" t="str">
        <x:v>Reviewer_A</x:v>
      </x:c>
      <x:c r="E265" s="2" t="str">
        <x:v>Reviewer_A</x:v>
      </x:c>
      <x:c r="F265" s="2" t="str">
        <x:v>G2-MU01</x:v>
      </x:c>
      <x:c r="G265" s="2" t="str">
        <x:v>G2-O01</x:v>
      </x:c>
      <x:c r="H265" s="2" t="str">
        <x:v>G2-T01</x:v>
      </x:c>
      <x:c r="I265" s="2" t="str">
        <x:v>largely pre-trained models (the talk also refers to chat gbt 4 or 3.5)</x:v>
      </x:c>
      <x:c r="J265" s="2" t="str">
        <x:v>NR</x:v>
      </x:c>
      <x:c r="K265" s="2" t="str">
        <x:v>NR</x:v>
      </x:c>
      <x:c r="L265" s="2" t="str">
        <x:v>NR</x:v>
      </x:c>
      <x:c r="M265" s="2" t="str">
        <x:v>NR</x:v>
      </x:c>
      <x:c r="N265" s="2" t="str">
        <x:v>NR</x:v>
      </x:c>
      <x:c r="O265" s="2" t="str">
        <x:v>NR</x:v>
      </x:c>
      <x:c r="P265" s="2" t="str">
        <x:v>NR</x:v>
      </x:c>
      <x:c r="Q265" s="2" t="str">
        <x:v>NR</x:v>
      </x:c>
      <x:c r="R265" s="2" t="str">
        <x:v>NR</x:v>
      </x:c>
      <x:c r="S265" s="2" t="str">
        <x:v>NR</x:v>
      </x:c>
      <x:c r="T265" s="2" t="str">
        <x:v>NR</x:v>
      </x:c>
      <x:c r="U265" s="2" t="str">
        <x:v>NR</x:v>
      </x:c>
      <x:c r="V265" s="2" t="str">
        <x:v>NR</x:v>
      </x:c>
      <x:c r="W265" s="2" t="str">
        <x:v>No</x:v>
      </x:c>
      <x:c r="X265" s="2" t="str">
        <x:v>Yes (95% of time saved is reported as a partner estimate)</x:v>
      </x:c>
      <x:c r="Y265" s="6" t="str">
        <x:v>G2_video_page.png (title, speaker and affiliation slide, channel, view count, likes) ; G2_page_description.png (page date, speaker attribution, description text, links) ; [00:59] ; [07:19] ; [07:32] ; [09:38] ; [10:14] ; [12:17] ; [12:24] ; [14:08] ; [17:39] ; [21:09] ; [26:46] ; [32:49] ; [37:01] ; [38:58] ; [39:01] ; [39:17] ; [40:47] </x:v>
      </x:c>
      <x:c r="Z265"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c r="AA265" s="6" t="str">
        <x:v>The model is named for this operation in the material and its version is recorded where the material gives one.</x:v>
      </x:c>
      <x:c r="AB265" s="2" t="str">
        <x:v>Accepted</x:v>
      </x:c>
      <x:c r="AC265" s="6" t="str">
        <x:v>No model is named for the operation; the talk states that largely pre-trained models are used and refers to chat gbt 4 or 3.5 only as a comparison point.</x:v>
      </x:c>
    </x:row>
    <x:row r="266" ht="76" customHeight="1">
      <x:c r="A266" s="2" t="str">
        <x:v>G2-MU-R02</x:v>
      </x:c>
      <x:c r="B266" s="2" t="str">
        <x:v>G2</x:v>
      </x:c>
      <x:c r="C266" s="2" t="str">
        <x:v>v1</x:v>
      </x:c>
      <x:c r="D266" s="2" t="str">
        <x:v>Reviewer_A</x:v>
      </x:c>
      <x:c r="E266" s="2" t="str">
        <x:v>Reviewer_A</x:v>
      </x:c>
      <x:c r="F266" s="2" t="str">
        <x:v>G2-MU02</x:v>
      </x:c>
      <x:c r="G266" s="2" t="str">
        <x:v>G2-O02</x:v>
      </x:c>
      <x:c r="H266" s="2" t="str">
        <x:v>G2-T01</x:v>
      </x:c>
      <x:c r="I266" s="2" t="str">
        <x:v>largely pre-trained models</x:v>
      </x:c>
      <x:c r="J266" s="2" t="str">
        <x:v>NR</x:v>
      </x:c>
      <x:c r="K266" s="2" t="str">
        <x:v>NR</x:v>
      </x:c>
      <x:c r="L266" s="2" t="str">
        <x:v>NR</x:v>
      </x:c>
      <x:c r="M266" s="2" t="str">
        <x:v>NR</x:v>
      </x:c>
      <x:c r="N266" s="2" t="str">
        <x:v>NR</x:v>
      </x:c>
      <x:c r="O266" s="2" t="str">
        <x:v>NR</x:v>
      </x:c>
      <x:c r="P266" s="2" t="str">
        <x:v>NR</x:v>
      </x:c>
      <x:c r="Q266" s="2" t="str">
        <x:v>NR</x:v>
      </x:c>
      <x:c r="R266" s="2" t="str">
        <x:v>NR</x:v>
      </x:c>
      <x:c r="S266" s="2" t="str">
        <x:v>NR</x:v>
      </x:c>
      <x:c r="T266" s="2" t="str">
        <x:v>NR</x:v>
      </x:c>
      <x:c r="U266" s="2" t="str">
        <x:v>NR</x:v>
      </x:c>
      <x:c r="V266" s="2" t="str">
        <x:v>NR</x:v>
      </x:c>
      <x:c r="W266" s="2" t="str">
        <x:v>No</x:v>
      </x:c>
      <x:c r="X266" s="2" t="str">
        <x:v>Yes (95% of time saved is reported as a partner estimate)</x:v>
      </x:c>
      <x:c r="Y266" s="6" t="str">
        <x:v>G2_video_page.png (title, speaker and affiliation slide, channel, view count, likes) ; G2_page_description.png (page date, speaker attribution, description text, links) ; [00:59] ; [07:19] ; [07:32] ; [09:38] ; [10:14] ; [12:17] ; [12:24] ; [14:08] ; [17:39] ; [21:09] ; [26:46] ; [32:49] ; [37:01] ; [38:58] ; [39:01] ; [39:17] ; [40:47] </x:v>
      </x:c>
      <x:c r="Z266"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c r="AA266" s="6" t="str">
        <x:v>The model is named for this operation in the material and its version is recorded where the material gives one.</x:v>
      </x:c>
      <x:c r="AB266" s="2" t="str">
        <x:v>Accepted</x:v>
      </x:c>
      <x:c r="AC266" s="6" t="str">
        <x:v>The translation step is attributed to the same pre-trained models without a name.</x:v>
      </x:c>
    </x:row>
    <x:row r="267" ht="76" customHeight="1">
      <x:c r="A267" s="2" t="str">
        <x:v>G2-MU-R03</x:v>
      </x:c>
      <x:c r="B267" s="2" t="str">
        <x:v>G2</x:v>
      </x:c>
      <x:c r="C267" s="2" t="str">
        <x:v>v1</x:v>
      </x:c>
      <x:c r="D267" s="2" t="str">
        <x:v>Reviewer_A</x:v>
      </x:c>
      <x:c r="E267" s="2" t="str">
        <x:v>Reviewer_A</x:v>
      </x:c>
      <x:c r="F267" s="2" t="str">
        <x:v>G2-MU03</x:v>
      </x:c>
      <x:c r="G267" s="2" t="str">
        <x:v>G2-O03</x:v>
      </x:c>
      <x:c r="H267" s="2" t="str">
        <x:v>G2-T01</x:v>
      </x:c>
      <x:c r="I267" s="2" t="str">
        <x:v>largely pre-trained models</x:v>
      </x:c>
      <x:c r="J267" s="2" t="str">
        <x:v>NR</x:v>
      </x:c>
      <x:c r="K267" s="2" t="str">
        <x:v>NR</x:v>
      </x:c>
      <x:c r="L267" s="2" t="str">
        <x:v>NR</x:v>
      </x:c>
      <x:c r="M267" s="2" t="str">
        <x:v>NR</x:v>
      </x:c>
      <x:c r="N267" s="2" t="str">
        <x:v>NR</x:v>
      </x:c>
      <x:c r="O267" s="2" t="str">
        <x:v>NR</x:v>
      </x:c>
      <x:c r="P267" s="2" t="str">
        <x:v>NR</x:v>
      </x:c>
      <x:c r="Q267" s="2" t="str">
        <x:v>NR</x:v>
      </x:c>
      <x:c r="R267" s="2" t="str">
        <x:v>NR</x:v>
      </x:c>
      <x:c r="S267" s="2" t="str">
        <x:v>NR</x:v>
      </x:c>
      <x:c r="T267" s="2" t="str">
        <x:v>NR</x:v>
      </x:c>
      <x:c r="U267" s="2" t="str">
        <x:v>NR</x:v>
      </x:c>
      <x:c r="V267" s="2" t="str">
        <x:v>NR</x:v>
      </x:c>
      <x:c r="W267" s="2" t="str">
        <x:v>No</x:v>
      </x:c>
      <x:c r="X267" s="2" t="str">
        <x:v>Yes (95% of time saved is reported as a partner estimate)</x:v>
      </x:c>
      <x:c r="Y267" s="6" t="str">
        <x:v>G2_video_page.png (title, speaker and affiliation slide, channel, view count, likes) ; G2_page_description.png (page date, speaker attribution, description text, links) ; [00:59] ; [07:19] ; [07:32] ; [09:38] ; [10:14] ; [12:17] ; [12:24] ; [14:08] ; [17:39] ; [21:09] ; [26:46] ; [32:49] ; [37:01] ; [38:58] ; [39:01] ; [39:17] ; [40:47] </x:v>
      </x:c>
      <x:c r="Z267" s="6" t="str">
        <x:v>we call code traceability which is a way to trace the content interactions between data code and the results ; all you need to establish code traceability are in the case of sas the logs ; it's a fake one we generate the data ourselves ; we will show you which data sets are required to produce this output ; and then we have our ai go into the description and then go on your code and do a delta and say okay what was specified is actually programmed or not ; what we do is we use a rag system which provides additional context and we generate prompts ; and we use largely pre-trained models but we will now train them on sas specifics mostly ; and then generate as i said the define xml sdrg</x:v>
      </x:c>
      <x:c r="AA267" s="6" t="str">
        <x:v>The model is named for this operation in the material and its version is recorded where the material gives one.</x:v>
      </x:c>
      <x:c r="AB267" s="2" t="str">
        <x:v>Accepted</x:v>
      </x:c>
      <x:c r="AC267" s="6" t="str">
        <x:v>The conformance check is attributed to the same pre-trained models without a name; the talk states that training on SAS specifics is planned.</x:v>
      </x:c>
    </x:row>
    <x:row r="268" ht="76" customHeight="1">
      <x:c r="A268" s="2" t="str">
        <x:v>G3-MU-R02</x:v>
      </x:c>
      <x:c r="B268" s="2" t="str">
        <x:v>G3</x:v>
      </x:c>
      <x:c r="C268" s="2" t="str">
        <x:v>v1</x:v>
      </x:c>
      <x:c r="D268" s="2" t="str">
        <x:v>Reviewer_A</x:v>
      </x:c>
      <x:c r="E268" s="2" t="str">
        <x:v>Reviewer_A</x:v>
      </x:c>
      <x:c r="F268" s="2" t="str">
        <x:v>G3-MU02</x:v>
      </x:c>
      <x:c r="G268" s="2" t="str">
        <x:v>G3-O02</x:v>
      </x:c>
      <x:c r="H268" s="2" t="str">
        <x:v>G3-T01</x:v>
      </x:c>
      <x:c r="I268" s="2" t="str">
        <x:v>NR</x:v>
      </x:c>
      <x:c r="J268" s="2" t="str">
        <x:v>NR</x:v>
      </x:c>
      <x:c r="K268" s="2" t="str">
        <x:v>NR</x:v>
      </x:c>
      <x:c r="L268" s="2" t="str">
        <x:v>NR</x:v>
      </x:c>
      <x:c r="M268" s="2" t="str">
        <x:v>NR</x:v>
      </x:c>
      <x:c r="N268" s="2" t="str">
        <x:v>NR</x:v>
      </x:c>
      <x:c r="O268" s="2" t="str">
        <x:v>NR</x:v>
      </x:c>
      <x:c r="P268" s="2" t="str">
        <x:v>NR</x:v>
      </x:c>
      <x:c r="Q268" s="2" t="str">
        <x:v>NR</x:v>
      </x:c>
      <x:c r="R268" s="2" t="str">
        <x:v>NR</x:v>
      </x:c>
      <x:c r="S268" s="2" t="str">
        <x:v>NR</x:v>
      </x:c>
      <x:c r="T268" s="2" t="str">
        <x:v>NR</x:v>
      </x:c>
      <x:c r="U268" s="2" t="str">
        <x:v>NR</x:v>
      </x:c>
      <x:c r="V268" s="2" t="str">
        <x:v>NR</x:v>
      </x:c>
      <x:c r="W268" s="2" t="str">
        <x:v>No</x:v>
      </x:c>
      <x:c r="X268" s="2" t="str">
        <x:v>No</x:v>
      </x:c>
      <x:c r="Y268" s="6" t="str">
        <x:v>G3_video_page.png (title, channel, view count, likes) ; G3_page_description.png (page date, description text, feature list, uploading account) ; [00:01] ; [00:10] ; [00:30] ; [00:45] ; [00:54] ; [01:04] ; [01:14] ; [01:26] ; [01:32] ; [01:39] ; [02:05] ; [02:15] ; [02:56] ; [03:13] </x:v>
      </x:c>
      <x:c r="Z268" s="6" t="str">
        <x:v>a graph-based requirements traceability platform built using fast api, fast api, neo4j, neo4j, and react, react ; converts it to text using open ai whisper ; each node represents a requirement, stakeholder, test case, feature, constraint, team or entity ; edges represent traceability links ; 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AA268" s="6" t="str">
        <x:v>The model named for this operation is recorded as the material states it; where the material names no model the field stays NR.</x:v>
      </x:c>
      <x:c r="AB268" s="2" t="str">
        <x:v>Accepted</x:v>
      </x:c>
      <x:c r="AC268" s="6" t="str">
        <x:v>The material states that large language models plus embeddings automate the mapping but names no model for the extraction operation.</x:v>
      </x:c>
    </x:row>
    <x:row r="269" ht="76" customHeight="1">
      <x:c r="A269" s="2" t="str">
        <x:v>G4-MU-R01</x:v>
      </x:c>
      <x:c r="B269" s="2" t="str">
        <x:v>G4</x:v>
      </x:c>
      <x:c r="C269" s="2" t="str">
        <x:v>v1</x:v>
      </x:c>
      <x:c r="D269" s="2" t="str">
        <x:v>Reviewer_A</x:v>
      </x:c>
      <x:c r="E269" s="2" t="str">
        <x:v>Reviewer_A</x:v>
      </x:c>
      <x:c r="F269" s="2" t="str">
        <x:v>G4-MU01</x:v>
      </x:c>
      <x:c r="G269" s="2" t="str">
        <x:v>G4-O01</x:v>
      </x:c>
      <x:c r="H269" s="2" t="str">
        <x:v>G4-T01</x:v>
      </x:c>
      <x:c r="I269" s="2" t="str">
        <x:v>NR</x:v>
      </x:c>
      <x:c r="J269" s="2" t="str">
        <x:v>NR</x:v>
      </x:c>
      <x:c r="K269" s="2" t="str">
        <x:v>NR</x:v>
      </x:c>
      <x:c r="L269" s="2" t="str">
        <x:v>NR</x:v>
      </x:c>
      <x:c r="M269" s="2" t="str">
        <x:v>NR</x:v>
      </x:c>
      <x:c r="N269" s="2" t="str">
        <x:v>NR</x:v>
      </x:c>
      <x:c r="O269" s="2" t="str">
        <x:v>Unclear</x:v>
      </x:c>
      <x:c r="P269" s="2" t="str">
        <x:v>Hybrid</x:v>
      </x:c>
      <x:c r="Q269" s="2" t="str">
        <x:v>NR</x:v>
      </x:c>
      <x:c r="R269" s="2" t="str">
        <x:v>NR</x:v>
      </x:c>
      <x:c r="S269" s="2" t="str">
        <x:v>NR</x:v>
      </x:c>
      <x:c r="T269" s="2" t="str">
        <x:v>NR</x:v>
      </x:c>
      <x:c r="U269" s="2" t="str">
        <x:v>On-premises, cloud and hybrid deployment are all stated</x:v>
      </x:c>
      <x:c r="V269" s="2" t="str">
        <x:v>NR</x:v>
      </x:c>
      <x:c r="W269" s="2" t="str">
        <x:v>No</x:v>
      </x:c>
      <x:c r="X269" s="2" t="str">
        <x:v>No</x:v>
      </x:c>
      <x:c r="Y269"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Z269" s="6" t="str">
        <x:v>Writing unit tests from requirements is necessary. It is also time-consuming, repetitive, and easy to get wrong. ; Reqs2x uses program slicing and large language models to map requirements to the functions that implement them, generate aligned test cases, and present both for engineer review. Requirements traceability is built in from the start, not added later. ; Import from DOORS, Polarion, or CSV via the Requirements Gateway ; Program slicing identifies which functions implement each requirement ; Nothing is accepted automatically. ; Vector's approach is based on modular, task-specific micro-agents designed for precisely defined use cases within controlled contexts.</x:v>
      </x:c>
      <x:c r="AA269" s="6" t="str">
        <x:v>The model named for this operation is recorded as the material states it; where the material names no model the field stays NR.</x:v>
      </x:c>
      <x:c r="AB269" s="2" t="str">
        <x:v>Accepted</x:v>
      </x:c>
      <x:c r="AC269" s="6" t="str">
        <x:v>The page states that the model is customer-selected (Bring Your Own Model) and names no specific model.</x:v>
      </x:c>
    </x:row>
    <x:row r="270" ht="76" customHeight="1">
      <x:c r="A270" s="2" t="str">
        <x:v>G4-MU-R02</x:v>
      </x:c>
      <x:c r="B270" s="2" t="str">
        <x:v>G4</x:v>
      </x:c>
      <x:c r="C270" s="2" t="str">
        <x:v>v1</x:v>
      </x:c>
      <x:c r="D270" s="2" t="str">
        <x:v>Reviewer_A</x:v>
      </x:c>
      <x:c r="E270" s="2" t="str">
        <x:v>Reviewer_A</x:v>
      </x:c>
      <x:c r="F270" s="2" t="str">
        <x:v>G4-MU02</x:v>
      </x:c>
      <x:c r="G270" s="2" t="str">
        <x:v>G4-O02</x:v>
      </x:c>
      <x:c r="H270" s="2" t="str">
        <x:v>G4-T02</x:v>
      </x:c>
      <x:c r="I270" s="2" t="str">
        <x:v>NR</x:v>
      </x:c>
      <x:c r="J270" s="2" t="str">
        <x:v>NR</x:v>
      </x:c>
      <x:c r="K270" s="2" t="str">
        <x:v>NR</x:v>
      </x:c>
      <x:c r="L270" s="2" t="str">
        <x:v>NR</x:v>
      </x:c>
      <x:c r="M270" s="2" t="str">
        <x:v>NR</x:v>
      </x:c>
      <x:c r="N270" s="2" t="str">
        <x:v>NR</x:v>
      </x:c>
      <x:c r="O270" s="2" t="str">
        <x:v>Unclear</x:v>
      </x:c>
      <x:c r="P270" s="2" t="str">
        <x:v>Hybrid</x:v>
      </x:c>
      <x:c r="Q270" s="2" t="str">
        <x:v>NR</x:v>
      </x:c>
      <x:c r="R270" s="2" t="str">
        <x:v>NR</x:v>
      </x:c>
      <x:c r="S270" s="2" t="str">
        <x:v>NR</x:v>
      </x:c>
      <x:c r="T270" s="2" t="str">
        <x:v>NR</x:v>
      </x:c>
      <x:c r="U270" s="2" t="str">
        <x:v>On-premises, cloud and hybrid deployment are all stated</x:v>
      </x:c>
      <x:c r="V270" s="2" t="str">
        <x:v>NR</x:v>
      </x:c>
      <x:c r="W270" s="2" t="str">
        <x:v>No</x:v>
      </x:c>
      <x:c r="X270" s="2" t="str">
        <x:v>No</x:v>
      </x:c>
      <x:c r="Y270"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Z270" s="6" t="str">
        <x:v>Writing unit tests from requirements is necessary. It is also time-consuming, repetitive, and easy to get wrong. ; Reqs2x uses program slicing and large language models to map requirements to the functions that implement them, generate aligned test cases, and present both for engineer review. Requirements traceability is built in from the start, not added later. ; Import from DOORS, Polarion, or CSV via the Requirements Gateway ; Program slicing identifies which functions implement each requirement ; Nothing is accepted automatically. ; Vector's approach is based on modular, task-specific micro-agents designed for precisely defined use cases within controlled contexts.</x:v>
      </x:c>
      <x:c r="AA270" s="6" t="str">
        <x:v>The model named for this operation is recorded as the material states it; where the material names no model the field stays NR.</x:v>
      </x:c>
      <x:c r="AB270" s="2" t="str">
        <x:v>Accepted</x:v>
      </x:c>
      <x:c r="AC270" s="6" t="str">
        <x:v>Test generation is attributed to the customer-selected model; no model is named.</x:v>
      </x:c>
    </x:row>
    <x:row r="271" ht="76" customHeight="1">
      <x:c r="A271" s="2" t="str">
        <x:v>G5-MU-R01</x:v>
      </x:c>
      <x:c r="B271" s="2" t="str">
        <x:v>G5</x:v>
      </x:c>
      <x:c r="C271" s="2" t="str">
        <x:v>v1</x:v>
      </x:c>
      <x:c r="D271" s="2" t="str">
        <x:v>Reviewer_A</x:v>
      </x:c>
      <x:c r="E271" s="2" t="str">
        <x:v>Reviewer_A</x:v>
      </x:c>
      <x:c r="F271" s="2" t="str">
        <x:v>G5-MU01</x:v>
      </x:c>
      <x:c r="G271" s="2" t="str">
        <x:v>G5-O01</x:v>
      </x:c>
      <x:c r="H271" s="2" t="str">
        <x:v>G5-T01</x:v>
      </x:c>
      <x:c r="I271" s="2" t="str">
        <x:v>NR</x:v>
      </x:c>
      <x:c r="J271" s="2" t="str">
        <x:v>NR</x:v>
      </x:c>
      <x:c r="K271" s="2" t="str">
        <x:v>NR</x:v>
      </x:c>
      <x:c r="L271" s="2" t="str">
        <x:v>NR</x:v>
      </x:c>
      <x:c r="M271" s="2" t="str">
        <x:v>NR</x:v>
      </x:c>
      <x:c r="N271" s="2" t="str">
        <x:v>NR</x:v>
      </x:c>
      <x:c r="O271" s="2" t="str">
        <x:v>NR</x:v>
      </x:c>
      <x:c r="P271" s="2" t="str">
        <x:v>NR</x:v>
      </x:c>
      <x:c r="Q271" s="2" t="str">
        <x:v>NR</x:v>
      </x:c>
      <x:c r="R271" s="2" t="str">
        <x:v>NR</x:v>
      </x:c>
      <x:c r="S271" s="2" t="str">
        <x:v>NR</x:v>
      </x:c>
      <x:c r="T271" s="2" t="str">
        <x:v>NR</x:v>
      </x:c>
      <x:c r="U271" s="2" t="str">
        <x:v>NR</x:v>
      </x:c>
      <x:c r="V271" s="2" t="str">
        <x:v>NR</x:v>
      </x:c>
      <x:c r="W271" s="2" t="str">
        <x:v>No</x:v>
      </x:c>
      <x:c r="X271" s="2" t="str">
        <x:v>No</x:v>
      </x:c>
      <x:c r="Y271"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Z271"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c r="AA271" s="6" t="str">
        <x:v>The model named for this operation is recorded as the material states it; where the material names no model the field stays NR.</x:v>
      </x:c>
      <x:c r="AB271" s="2" t="str">
        <x:v>Accepted</x:v>
      </x:c>
      <x:c r="AC271" s="6" t="str">
        <x:v>The talk refers to large language models generically and names no specific model.</x:v>
      </x:c>
    </x:row>
    <x:row r="272" ht="76" customHeight="1">
      <x:c r="A272" s="2" t="str">
        <x:v>G5-MU-R02</x:v>
      </x:c>
      <x:c r="B272" s="2" t="str">
        <x:v>G5</x:v>
      </x:c>
      <x:c r="C272" s="2" t="str">
        <x:v>v1</x:v>
      </x:c>
      <x:c r="D272" s="2" t="str">
        <x:v>Reviewer_A</x:v>
      </x:c>
      <x:c r="E272" s="2" t="str">
        <x:v>Reviewer_A</x:v>
      </x:c>
      <x:c r="F272" s="2" t="str">
        <x:v>G5-MU02</x:v>
      </x:c>
      <x:c r="G272" s="2" t="str">
        <x:v>G5-O02</x:v>
      </x:c>
      <x:c r="H272" s="2" t="str">
        <x:v>G5-T02</x:v>
      </x:c>
      <x:c r="I272" s="2" t="str">
        <x:v>NR</x:v>
      </x:c>
      <x:c r="J272" s="2" t="str">
        <x:v>NR</x:v>
      </x:c>
      <x:c r="K272" s="2" t="str">
        <x:v>NR</x:v>
      </x:c>
      <x:c r="L272" s="2" t="str">
        <x:v>NR</x:v>
      </x:c>
      <x:c r="M272" s="2" t="str">
        <x:v>NR</x:v>
      </x:c>
      <x:c r="N272" s="2" t="str">
        <x:v>NR</x:v>
      </x:c>
      <x:c r="O272" s="2" t="str">
        <x:v>NR</x:v>
      </x:c>
      <x:c r="P272" s="2" t="str">
        <x:v>NR</x:v>
      </x:c>
      <x:c r="Q272" s="2" t="str">
        <x:v>NR</x:v>
      </x:c>
      <x:c r="R272" s="2" t="str">
        <x:v>NR</x:v>
      </x:c>
      <x:c r="S272" s="2" t="str">
        <x:v>NR</x:v>
      </x:c>
      <x:c r="T272" s="2" t="str">
        <x:v>NR</x:v>
      </x:c>
      <x:c r="U272" s="2" t="str">
        <x:v>NR</x:v>
      </x:c>
      <x:c r="V272" s="2" t="str">
        <x:v>NR</x:v>
      </x:c>
      <x:c r="W272" s="2" t="str">
        <x:v>No</x:v>
      </x:c>
      <x:c r="X272" s="2" t="str">
        <x:v>No</x:v>
      </x:c>
      <x:c r="Y272"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Z272"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c r="AA272" s="6" t="str">
        <x:v>The model named for this operation is recorded as the material states it; where the material names no model the field stays NR.</x:v>
      </x:c>
      <x:c r="AB272" s="2" t="str">
        <x:v>Accepted</x:v>
      </x:c>
      <x:c r="AC272" s="6" t="str">
        <x:v>Test generation is attributed to large language models generically.</x:v>
      </x:c>
    </x:row>
    <x:row r="273" ht="76" customHeight="1">
      <x:c r="A273" s="2" t="str">
        <x:v>G5-MU-R03</x:v>
      </x:c>
      <x:c r="B273" s="2" t="str">
        <x:v>G5</x:v>
      </x:c>
      <x:c r="C273" s="2" t="str">
        <x:v>v1</x:v>
      </x:c>
      <x:c r="D273" s="2" t="str">
        <x:v>Reviewer_A</x:v>
      </x:c>
      <x:c r="E273" s="2" t="str">
        <x:v>Reviewer_A</x:v>
      </x:c>
      <x:c r="F273" s="2" t="str">
        <x:v>G5-MU03</x:v>
      </x:c>
      <x:c r="G273" s="2" t="str">
        <x:v>G5-O03</x:v>
      </x:c>
      <x:c r="H273" s="2" t="str">
        <x:v>G5-T02</x:v>
      </x:c>
      <x:c r="I273" s="2" t="str">
        <x:v>NR</x:v>
      </x:c>
      <x:c r="J273" s="2" t="str">
        <x:v>NR</x:v>
      </x:c>
      <x:c r="K273" s="2" t="str">
        <x:v>NR</x:v>
      </x:c>
      <x:c r="L273" s="2" t="str">
        <x:v>NR</x:v>
      </x:c>
      <x:c r="M273" s="2" t="str">
        <x:v>NR</x:v>
      </x:c>
      <x:c r="N273" s="2" t="str">
        <x:v>NR</x:v>
      </x:c>
      <x:c r="O273" s="2" t="str">
        <x:v>NR</x:v>
      </x:c>
      <x:c r="P273" s="2" t="str">
        <x:v>NR</x:v>
      </x:c>
      <x:c r="Q273" s="2" t="str">
        <x:v>NR</x:v>
      </x:c>
      <x:c r="R273" s="2" t="str">
        <x:v>NR</x:v>
      </x:c>
      <x:c r="S273" s="2" t="str">
        <x:v>NR</x:v>
      </x:c>
      <x:c r="T273" s="2" t="str">
        <x:v>NR</x:v>
      </x:c>
      <x:c r="U273" s="2" t="str">
        <x:v>NR</x:v>
      </x:c>
      <x:c r="V273" s="2" t="str">
        <x:v>NR</x:v>
      </x:c>
      <x:c r="W273" s="2" t="str">
        <x:v>No</x:v>
      </x:c>
      <x:c r="X273" s="2" t="str">
        <x:v>No</x:v>
      </x:c>
      <x:c r="Y273"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Z273" s="6" t="str">
        <x:v>large language models can assist in the generation of test cases and connecting those test cases to requirements ; requirement traceability can be used to generate test cases from the requirements all the way to mcdc code coverage ; your requirements are connected to detailed design which is connected to code ; i am a senior director of engineering at ldr/tasking ; but if we emphasize engineering versus coding and asking questions and what and looking at what results we'd expect, we can pull that vnv loop into the context ; using llms to access and read your requirements ; the most important role of humans here is to verify traceability</x:v>
      </x:c>
      <x:c r="AA273" s="6" t="str">
        <x:v>The model named for this operation is recorded as the material states it; where the material names no model the field stays NR.</x:v>
      </x:c>
      <x:c r="AB273" s="2" t="str">
        <x:v>Accepted</x:v>
      </x:c>
      <x:c r="AC273" s="6" t="str">
        <x:v>Tool driving is attributed to the same unnamed models.</x:v>
      </x:c>
    </x:row>
    <x:row r="274" ht="76" customHeight="1">
      <x:c r="A274" s="2" t="str">
        <x:v>G6-MU-R01</x:v>
      </x:c>
      <x:c r="B274" s="2" t="str">
        <x:v>G6</x:v>
      </x:c>
      <x:c r="C274" s="2" t="str">
        <x:v>v1</x:v>
      </x:c>
      <x:c r="D274" s="2" t="str">
        <x:v>Reviewer_A</x:v>
      </x:c>
      <x:c r="E274" s="2" t="str">
        <x:v>Reviewer_A</x:v>
      </x:c>
      <x:c r="F274" s="2" t="str">
        <x:v>G6-MU01</x:v>
      </x:c>
      <x:c r="G274" s="2" t="str">
        <x:v>G6-O01</x:v>
      </x:c>
      <x:c r="H274" s="2" t="str">
        <x:v>G6-T01</x:v>
      </x:c>
      <x:c r="I274" s="2" t="str">
        <x:v>NR</x:v>
      </x:c>
      <x:c r="J274" s="2" t="str">
        <x:v>NR</x:v>
      </x:c>
      <x:c r="K274" s="2" t="str">
        <x:v>NR</x:v>
      </x:c>
      <x:c r="L274" s="2" t="str">
        <x:v>NR</x:v>
      </x:c>
      <x:c r="M274" s="2" t="str">
        <x:v>NR</x:v>
      </x:c>
      <x:c r="N274" s="2" t="str">
        <x:v>NR</x:v>
      </x:c>
      <x:c r="O274" s="2" t="str">
        <x:v>NR</x:v>
      </x:c>
      <x:c r="P274" s="2" t="str">
        <x:v>NR</x:v>
      </x:c>
      <x:c r="Q274" s="2" t="str">
        <x:v>NR</x:v>
      </x:c>
      <x:c r="R274" s="2" t="str">
        <x:v>NR</x:v>
      </x:c>
      <x:c r="S274" s="2" t="str">
        <x:v>NR</x:v>
      </x:c>
      <x:c r="T274" s="2" t="str">
        <x:v>NR</x:v>
      </x:c>
      <x:c r="U274" s="2" t="str">
        <x:v>NR</x:v>
      </x:c>
      <x:c r="V274" s="2" t="str">
        <x:v>NR</x:v>
      </x:c>
      <x:c r="W274" s="2" t="str">
        <x:v>No</x:v>
      </x:c>
      <x:c r="X274" s="2" t="str">
        <x:v>No</x:v>
      </x:c>
      <x:c r="Y274"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Z274"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c r="AA274" s="6" t="str">
        <x:v>The model named for this operation is recorded as the material states it; where the material names no model the field stays NR.</x:v>
      </x:c>
      <x:c r="AB274" s="2" t="str">
        <x:v>Accepted</x:v>
      </x:c>
      <x:c r="AC274" s="6" t="str">
        <x:v>The talk refers to llms generically and names no specific model.</x:v>
      </x:c>
    </x:row>
    <x:row r="275" ht="76" customHeight="1">
      <x:c r="A275" s="2" t="str">
        <x:v>G6-MU-R02</x:v>
      </x:c>
      <x:c r="B275" s="2" t="str">
        <x:v>G6</x:v>
      </x:c>
      <x:c r="C275" s="2" t="str">
        <x:v>v1</x:v>
      </x:c>
      <x:c r="D275" s="2" t="str">
        <x:v>Reviewer_A</x:v>
      </x:c>
      <x:c r="E275" s="2" t="str">
        <x:v>Reviewer_A</x:v>
      </x:c>
      <x:c r="F275" s="2" t="str">
        <x:v>G6-MU02</x:v>
      </x:c>
      <x:c r="G275" s="2" t="str">
        <x:v>G6-O02</x:v>
      </x:c>
      <x:c r="H275" s="2" t="str">
        <x:v>G6-T01</x:v>
      </x:c>
      <x:c r="I275" s="2" t="str">
        <x:v>NR</x:v>
      </x:c>
      <x:c r="J275" s="2" t="str">
        <x:v>NR</x:v>
      </x:c>
      <x:c r="K275" s="2" t="str">
        <x:v>NR</x:v>
      </x:c>
      <x:c r="L275" s="2" t="str">
        <x:v>NR</x:v>
      </x:c>
      <x:c r="M275" s="2" t="str">
        <x:v>NR</x:v>
      </x:c>
      <x:c r="N275" s="2" t="str">
        <x:v>NR</x:v>
      </x:c>
      <x:c r="O275" s="2" t="str">
        <x:v>NR</x:v>
      </x:c>
      <x:c r="P275" s="2" t="str">
        <x:v>NR</x:v>
      </x:c>
      <x:c r="Q275" s="2" t="str">
        <x:v>NR</x:v>
      </x:c>
      <x:c r="R275" s="2" t="str">
        <x:v>NR</x:v>
      </x:c>
      <x:c r="S275" s="2" t="str">
        <x:v>NR</x:v>
      </x:c>
      <x:c r="T275" s="2" t="str">
        <x:v>NR</x:v>
      </x:c>
      <x:c r="U275" s="2" t="str">
        <x:v>NR</x:v>
      </x:c>
      <x:c r="V275" s="2" t="str">
        <x:v>NR</x:v>
      </x:c>
      <x:c r="W275" s="2" t="str">
        <x:v>No</x:v>
      </x:c>
      <x:c r="X275" s="2" t="str">
        <x:v>No</x:v>
      </x:c>
      <x:c r="Y275"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Z275"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c r="AA275" s="6" t="str">
        <x:v>The model named for this operation is recorded as the material states it; where the material names no model the field stays NR.</x:v>
      </x:c>
      <x:c r="AB275" s="2" t="str">
        <x:v>Accepted</x:v>
      </x:c>
      <x:c r="AC275" s="6" t="str">
        <x:v>Test case generation is attributed to llms generically.</x:v>
      </x:c>
    </x:row>
    <x:row r="276" ht="76" customHeight="1">
      <x:c r="A276" s="2" t="str">
        <x:v>G6-MU-R03</x:v>
      </x:c>
      <x:c r="B276" s="2" t="str">
        <x:v>G6</x:v>
      </x:c>
      <x:c r="C276" s="2" t="str">
        <x:v>v1</x:v>
      </x:c>
      <x:c r="D276" s="2" t="str">
        <x:v>Reviewer_A</x:v>
      </x:c>
      <x:c r="E276" s="2" t="str">
        <x:v>Reviewer_A</x:v>
      </x:c>
      <x:c r="F276" s="2" t="str">
        <x:v>G6-MU03</x:v>
      </x:c>
      <x:c r="G276" s="2" t="str">
        <x:v>G6-O03</x:v>
      </x:c>
      <x:c r="H276" s="2" t="str">
        <x:v>G6-T01</x:v>
      </x:c>
      <x:c r="I276" s="2" t="str">
        <x:v>NR</x:v>
      </x:c>
      <x:c r="J276" s="2" t="str">
        <x:v>NR</x:v>
      </x:c>
      <x:c r="K276" s="2" t="str">
        <x:v>NR</x:v>
      </x:c>
      <x:c r="L276" s="2" t="str">
        <x:v>NR</x:v>
      </x:c>
      <x:c r="M276" s="2" t="str">
        <x:v>NR</x:v>
      </x:c>
      <x:c r="N276" s="2" t="str">
        <x:v>NR</x:v>
      </x:c>
      <x:c r="O276" s="2" t="str">
        <x:v>NR</x:v>
      </x:c>
      <x:c r="P276" s="2" t="str">
        <x:v>NR</x:v>
      </x:c>
      <x:c r="Q276" s="2" t="str">
        <x:v>NR</x:v>
      </x:c>
      <x:c r="R276" s="2" t="str">
        <x:v>NR</x:v>
      </x:c>
      <x:c r="S276" s="2" t="str">
        <x:v>NR</x:v>
      </x:c>
      <x:c r="T276" s="2" t="str">
        <x:v>NR</x:v>
      </x:c>
      <x:c r="U276" s="2" t="str">
        <x:v>NR</x:v>
      </x:c>
      <x:c r="V276" s="2" t="str">
        <x:v>NR</x:v>
      </x:c>
      <x:c r="W276" s="2" t="str">
        <x:v>No</x:v>
      </x:c>
      <x:c r="X276" s="2" t="str">
        <x:v>No</x:v>
      </x:c>
      <x:c r="Y276"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Z276" s="6" t="str">
        <x:v>going to talk about mcdc test cases and using llm llms to get there for long duration spaceflight ; you have 2n + 1 decisions to test ; they will generate a a test case file in the case of ldra. it'll it'll output a a pretty close to good you know, an 80% solution. tcf ; it did not under it it still messed it up ... it gives me a keyword as a variable name ; we can't fully trust it ; having link visual links from system level requirements all the way down to code is enormous ; if if we're not, ooh, the machine will overlook and hallucinate everything it wants to</x:v>
      </x:c>
      <x:c r="AA276" s="6" t="str">
        <x:v>The model named for this operation is recorded as the material states it; where the material names no model the field stays NR.</x:v>
      </x:c>
      <x:c r="AB276" s="2" t="str">
        <x:v>Accepted</x:v>
      </x:c>
      <x:c r="AC276" s="6" t="str">
        <x:v>The debugging use is attributed to the same unnamed models.</x:v>
      </x:c>
    </x:row>
    <x:row r="277" ht="76" customHeight="1">
      <x:c r="A277" s="2" t="str">
        <x:v>G7-MU-R01</x:v>
      </x:c>
      <x:c r="B277" s="2" t="str">
        <x:v>G7</x:v>
      </x:c>
      <x:c r="C277" s="2" t="str">
        <x:v>v1</x:v>
      </x:c>
      <x:c r="D277" s="2" t="str">
        <x:v>Reviewer_A</x:v>
      </x:c>
      <x:c r="E277" s="2" t="str">
        <x:v>Reviewer_A</x:v>
      </x:c>
      <x:c r="F277" s="2" t="str">
        <x:v>G7-MU01</x:v>
      </x:c>
      <x:c r="G277" s="2" t="str">
        <x:v>G7-O01</x:v>
      </x:c>
      <x:c r="H277" s="2" t="str">
        <x:v>G7-T02</x:v>
      </x:c>
      <x:c r="I277" s="2" t="str">
        <x:v>NR</x:v>
      </x:c>
      <x:c r="J277" s="2" t="str">
        <x:v>NR</x:v>
      </x:c>
      <x:c r="K277" s="2" t="str">
        <x:v>NR</x:v>
      </x:c>
      <x:c r="L277" s="2" t="str">
        <x:v>NR</x:v>
      </x:c>
      <x:c r="M277" s="2" t="str">
        <x:v>NR</x:v>
      </x:c>
      <x:c r="N277" s="2" t="str">
        <x:v>NR</x:v>
      </x:c>
      <x:c r="O277" s="2" t="str">
        <x:v>NR</x:v>
      </x:c>
      <x:c r="P277" s="2" t="str">
        <x:v>Unclear</x:v>
      </x:c>
      <x:c r="Q277" s="2" t="str">
        <x:v>NR</x:v>
      </x:c>
      <x:c r="R277" s="2" t="str">
        <x:v>NR</x:v>
      </x:c>
      <x:c r="S277" s="2" t="str">
        <x:v>NR</x:v>
      </x:c>
      <x:c r="T277" s="2" t="str">
        <x:v>NR</x:v>
      </x:c>
      <x:c r="U277" s="2" t="str">
        <x:v>NR</x:v>
      </x:c>
      <x:c r="V277" s="2" t="str">
        <x:v>NR</x:v>
      </x:c>
      <x:c r="W277" s="2" t="str">
        <x:v>No</x:v>
      </x:c>
      <x:c r="X277" s="2" t="str">
        <x:v>No</x:v>
      </x:c>
      <x:c r="Y277"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Z277"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AA277" s="6" t="str">
        <x:v>The model named for this operation is recorded as the material states it; where the material names no model the field stays NR.</x:v>
      </x:c>
      <x:c r="AB277" s="2" t="str">
        <x:v>Accepted</x:v>
      </x:c>
      <x:c r="AC277" s="6" t="str">
        <x:v>No model is named for the agent; GitHub Copilot is named as the agent host and locally hosted models without an internet connection are stated to be possible.</x:v>
      </x:c>
    </x:row>
    <x:row r="278" ht="76" customHeight="1">
      <x:c r="A278" s="2" t="str">
        <x:v>G7-MU-R02</x:v>
      </x:c>
      <x:c r="B278" s="2" t="str">
        <x:v>G7</x:v>
      </x:c>
      <x:c r="C278" s="2" t="str">
        <x:v>v1</x:v>
      </x:c>
      <x:c r="D278" s="2" t="str">
        <x:v>Reviewer_A</x:v>
      </x:c>
      <x:c r="E278" s="2" t="str">
        <x:v>Reviewer_A</x:v>
      </x:c>
      <x:c r="F278" s="2" t="str">
        <x:v>G7-MU02</x:v>
      </x:c>
      <x:c r="G278" s="2" t="str">
        <x:v>G7-O02</x:v>
      </x:c>
      <x:c r="H278" s="2" t="str">
        <x:v>G7-T03</x:v>
      </x:c>
      <x:c r="I278" s="2" t="str">
        <x:v>NR</x:v>
      </x:c>
      <x:c r="J278" s="2" t="str">
        <x:v>NR</x:v>
      </x:c>
      <x:c r="K278" s="2" t="str">
        <x:v>NR</x:v>
      </x:c>
      <x:c r="L278" s="2" t="str">
        <x:v>NR</x:v>
      </x:c>
      <x:c r="M278" s="2" t="str">
        <x:v>NR</x:v>
      </x:c>
      <x:c r="N278" s="2" t="str">
        <x:v>NR</x:v>
      </x:c>
      <x:c r="O278" s="2" t="str">
        <x:v>NR</x:v>
      </x:c>
      <x:c r="P278" s="2" t="str">
        <x:v>Unclear</x:v>
      </x:c>
      <x:c r="Q278" s="2" t="str">
        <x:v>NR</x:v>
      </x:c>
      <x:c r="R278" s="2" t="str">
        <x:v>NR</x:v>
      </x:c>
      <x:c r="S278" s="2" t="str">
        <x:v>NR</x:v>
      </x:c>
      <x:c r="T278" s="2" t="str">
        <x:v>NR</x:v>
      </x:c>
      <x:c r="U278" s="2" t="str">
        <x:v>NR</x:v>
      </x:c>
      <x:c r="V278" s="2" t="str">
        <x:v>NR</x:v>
      </x:c>
      <x:c r="W278" s="2" t="str">
        <x:v>No</x:v>
      </x:c>
      <x:c r="X278" s="2" t="str">
        <x:v>No</x:v>
      </x:c>
      <x:c r="Y278"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Z278"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AA278" s="6" t="str">
        <x:v>The model named for this operation is recorded as the material states it; where the material names no model the field stays NR.</x:v>
      </x:c>
      <x:c r="AB278" s="2" t="str">
        <x:v>Accepted</x:v>
      </x:c>
      <x:c r="AC278" s="6" t="str">
        <x:v>No model is named for the impact analysis operation.</x:v>
      </x:c>
    </x:row>
    <x:row r="279" ht="76" customHeight="1">
      <x:c r="A279" s="2" t="str">
        <x:v>G7-MU-R03</x:v>
      </x:c>
      <x:c r="B279" s="2" t="str">
        <x:v>G7</x:v>
      </x:c>
      <x:c r="C279" s="2" t="str">
        <x:v>v1</x:v>
      </x:c>
      <x:c r="D279" s="2" t="str">
        <x:v>Reviewer_A</x:v>
      </x:c>
      <x:c r="E279" s="2" t="str">
        <x:v>Reviewer_A</x:v>
      </x:c>
      <x:c r="F279" s="2" t="str">
        <x:v>G7-MU03</x:v>
      </x:c>
      <x:c r="G279" s="2" t="str">
        <x:v>G7-O03</x:v>
      </x:c>
      <x:c r="H279" s="2" t="str">
        <x:v>G7-T04</x:v>
      </x:c>
      <x:c r="I279" s="2" t="str">
        <x:v>NR</x:v>
      </x:c>
      <x:c r="J279" s="2" t="str">
        <x:v>NR</x:v>
      </x:c>
      <x:c r="K279" s="2" t="str">
        <x:v>NR</x:v>
      </x:c>
      <x:c r="L279" s="2" t="str">
        <x:v>NR</x:v>
      </x:c>
      <x:c r="M279" s="2" t="str">
        <x:v>NR</x:v>
      </x:c>
      <x:c r="N279" s="2" t="str">
        <x:v>NR</x:v>
      </x:c>
      <x:c r="O279" s="2" t="str">
        <x:v>NR</x:v>
      </x:c>
      <x:c r="P279" s="2" t="str">
        <x:v>Unclear</x:v>
      </x:c>
      <x:c r="Q279" s="2" t="str">
        <x:v>NR</x:v>
      </x:c>
      <x:c r="R279" s="2" t="str">
        <x:v>NR</x:v>
      </x:c>
      <x:c r="S279" s="2" t="str">
        <x:v>NR</x:v>
      </x:c>
      <x:c r="T279" s="2" t="str">
        <x:v>NR</x:v>
      </x:c>
      <x:c r="U279" s="2" t="str">
        <x:v>NR</x:v>
      </x:c>
      <x:c r="V279" s="2" t="str">
        <x:v>NR</x:v>
      </x:c>
      <x:c r="W279" s="2" t="str">
        <x:v>No</x:v>
      </x:c>
      <x:c r="X279" s="2" t="str">
        <x:v>No</x:v>
      </x:c>
      <x:c r="Y279"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Z279"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AA279" s="6" t="str">
        <x:v>The model named for this operation is recorded as the material states it; where the material names no model the field stays NR.</x:v>
      </x:c>
      <x:c r="AB279" s="2" t="str">
        <x:v>Accepted</x:v>
      </x:c>
      <x:c r="AC279" s="6" t="str">
        <x:v>No model is named for the artefact generation operation.</x:v>
      </x:c>
    </x:row>
    <x:row r="280" ht="76" customHeight="1">
      <x:c r="A280" s="2" t="str">
        <x:v>G7-MU-R04</x:v>
      </x:c>
      <x:c r="B280" s="2" t="str">
        <x:v>G7</x:v>
      </x:c>
      <x:c r="C280" s="2" t="str">
        <x:v>v1</x:v>
      </x:c>
      <x:c r="D280" s="2" t="str">
        <x:v>Reviewer_A</x:v>
      </x:c>
      <x:c r="E280" s="2" t="str">
        <x:v>Reviewer_A</x:v>
      </x:c>
      <x:c r="F280" s="2" t="str">
        <x:v>G7-MU04</x:v>
      </x:c>
      <x:c r="G280" s="2" t="str">
        <x:v>G7-O04</x:v>
      </x:c>
      <x:c r="H280" s="2" t="str">
        <x:v>G7-T04</x:v>
      </x:c>
      <x:c r="I280" s="2" t="str">
        <x:v>NR</x:v>
      </x:c>
      <x:c r="J280" s="2" t="str">
        <x:v>NR</x:v>
      </x:c>
      <x:c r="K280" s="2" t="str">
        <x:v>NR</x:v>
      </x:c>
      <x:c r="L280" s="2" t="str">
        <x:v>NR</x:v>
      </x:c>
      <x:c r="M280" s="2" t="str">
        <x:v>NR</x:v>
      </x:c>
      <x:c r="N280" s="2" t="str">
        <x:v>NR</x:v>
      </x:c>
      <x:c r="O280" s="2" t="str">
        <x:v>NR</x:v>
      </x:c>
      <x:c r="P280" s="2" t="str">
        <x:v>Unclear</x:v>
      </x:c>
      <x:c r="Q280" s="2" t="str">
        <x:v>NR</x:v>
      </x:c>
      <x:c r="R280" s="2" t="str">
        <x:v>NR</x:v>
      </x:c>
      <x:c r="S280" s="2" t="str">
        <x:v>NR</x:v>
      </x:c>
      <x:c r="T280" s="2" t="str">
        <x:v>NR</x:v>
      </x:c>
      <x:c r="U280" s="2" t="str">
        <x:v>NR</x:v>
      </x:c>
      <x:c r="V280" s="2" t="str">
        <x:v>NR</x:v>
      </x:c>
      <x:c r="W280" s="2" t="str">
        <x:v>No</x:v>
      </x:c>
      <x:c r="X280" s="2" t="str">
        <x:v>No</x:v>
      </x:c>
      <x:c r="Y280"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Z280" s="6" t="str">
        <x:v>you can link a requirement, a specification, architecture element, test cases against it to get the complete traceability ; what swings needs really do at the end is it creates a traceability graph ; we have created an agentic system called pharaoh, which is able ; pharaoh he has used 11,000 tokens in his tests in this particular one and all the others has taken more up to nearly 70,000 ; unrestricted access to large datasets introduces context and reliability challenges ; after a time you will recognize that instructions get lost, tools are used a different way, stuff gets added magically ; who is responsible for the agent code? ; respected by the llm call</x:v>
      </x:c>
      <x:c r="AA280" s="6" t="str">
        <x:v>The model named for this operation is recorded as the material states it; where the material names no model the field stays NR.</x:v>
      </x:c>
      <x:c r="AB280" s="2" t="str">
        <x:v>Accepted</x:v>
      </x:c>
      <x:c r="AC280" s="6" t="str">
        <x:v>No model is named; the material states that locally hosted models are possible and that the exposed input scope is controlled.</x:v>
      </x:c>
    </x:row>
    <x:row r="281" ht="76" customHeight="1">
      <x:c r="A281" s="2" t="str">
        <x:v>G8-MU-R01</x:v>
      </x:c>
      <x:c r="B281" s="2" t="str">
        <x:v>G8</x:v>
      </x:c>
      <x:c r="C281" s="2" t="str">
        <x:v>v1</x:v>
      </x:c>
      <x:c r="D281" s="2" t="str">
        <x:v>Reviewer_A</x:v>
      </x:c>
      <x:c r="E281" s="2" t="str">
        <x:v>Reviewer_A</x:v>
      </x:c>
      <x:c r="F281" s="2" t="str">
        <x:v>G8-MU01</x:v>
      </x:c>
      <x:c r="G281" s="2" t="str">
        <x:v>G8-O01</x:v>
      </x:c>
      <x:c r="H281" s="2" t="str">
        <x:v>G8-T01</x:v>
      </x:c>
      <x:c r="I281" s="2" t="str">
        <x:v>Claude API</x:v>
      </x:c>
      <x:c r="J281" s="2" t="str">
        <x:v>Claude</x:v>
      </x:c>
      <x:c r="K281" s="2" t="str">
        <x:v>Claude</x:v>
      </x:c>
      <x:c r="L281" s="2" t="str">
        <x:v>NR</x:v>
      </x:c>
      <x:c r="M281" s="2" t="str">
        <x:v>NR</x:v>
      </x:c>
      <x:c r="N281" s="2" t="str">
        <x:v>NR</x:v>
      </x:c>
      <x:c r="O281" s="2" t="str">
        <x:v>Closed</x:v>
      </x:c>
      <x:c r="P281" s="2" t="str">
        <x:v>API</x:v>
      </x:c>
      <x:c r="Q281" s="2" t="str">
        <x:v>NR</x:v>
      </x:c>
      <x:c r="R281" s="2" t="str">
        <x:v>NR</x:v>
      </x:c>
      <x:c r="S281" s="2" t="str">
        <x:v>NR</x:v>
      </x:c>
      <x:c r="T281" s="2" t="str">
        <x:v>NR</x:v>
      </x:c>
      <x:c r="U281" s="2" t="str">
        <x:v>NR</x:v>
      </x:c>
      <x:c r="V281" s="2" t="str">
        <x:v>NR</x:v>
      </x:c>
      <x:c r="W281" s="2" t="str">
        <x:v>No</x:v>
      </x:c>
      <x:c r="X281" s="2" t="str">
        <x:v>Yes (a run over 20 to 35 requirements takes about 25 minutes)</x:v>
      </x:c>
      <x:c r="Y281"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Z281" s="6" t="str">
        <x:v>automate the mapping between requirements, source code, unit tests, and build verification artifacts ; for each requirement um it selects the relevant c file and calls claude and maps the requirement to code ; it will display the traceability for each requirement source code and the function ; since it couldn't locate the b build verification script, it made it blank ; right now 20 35 requirements takes 25 minutes so we are going to include rag to have no delays ; Built with: Python + Claude API + cFS heritage codebase ; leaving gaps blank instead of hallucinating missing information</x:v>
      </x:c>
      <x:c r="AA281" s="6" t="str">
        <x:v>The model is named for this operation in the material and its version is recorded where the material gives one.</x:v>
      </x:c>
      <x:c r="AB281" s="2" t="str">
        <x:v>Accepted</x:v>
      </x:c>
      <x:c r="AC281" s="6" t="str">
        <x:v>The material names the Claude API and states the stack as Python plus the Claude API.</x:v>
      </x:c>
    </x:row>
    <x:row r="282" ht="76" customHeight="1">
      <x:c r="A282" s="2" t="str">
        <x:v>G8-MU-R02</x:v>
      </x:c>
      <x:c r="B282" s="2" t="str">
        <x:v>G8</x:v>
      </x:c>
      <x:c r="C282" s="2" t="str">
        <x:v>v1</x:v>
      </x:c>
      <x:c r="D282" s="2" t="str">
        <x:v>Reviewer_A</x:v>
      </x:c>
      <x:c r="E282" s="2" t="str">
        <x:v>Reviewer_A</x:v>
      </x:c>
      <x:c r="F282" s="2" t="str">
        <x:v>G8-MU02</x:v>
      </x:c>
      <x:c r="G282" s="2" t="str">
        <x:v>G8-O02</x:v>
      </x:c>
      <x:c r="H282" s="2" t="str">
        <x:v>G8-T02</x:v>
      </x:c>
      <x:c r="I282" s="2" t="str">
        <x:v>Claude API</x:v>
      </x:c>
      <x:c r="J282" s="2" t="str">
        <x:v>Claude</x:v>
      </x:c>
      <x:c r="K282" s="2" t="str">
        <x:v>Claude</x:v>
      </x:c>
      <x:c r="L282" s="2" t="str">
        <x:v>NR</x:v>
      </x:c>
      <x:c r="M282" s="2" t="str">
        <x:v>NR</x:v>
      </x:c>
      <x:c r="N282" s="2" t="str">
        <x:v>NR</x:v>
      </x:c>
      <x:c r="O282" s="2" t="str">
        <x:v>Closed</x:v>
      </x:c>
      <x:c r="P282" s="2" t="str">
        <x:v>API</x:v>
      </x:c>
      <x:c r="Q282" s="2" t="str">
        <x:v>NR</x:v>
      </x:c>
      <x:c r="R282" s="2" t="str">
        <x:v>NR</x:v>
      </x:c>
      <x:c r="S282" s="2" t="str">
        <x:v>NR</x:v>
      </x:c>
      <x:c r="T282" s="2" t="str">
        <x:v>NR</x:v>
      </x:c>
      <x:c r="U282" s="2" t="str">
        <x:v>NR</x:v>
      </x:c>
      <x:c r="V282" s="2" t="str">
        <x:v>NR</x:v>
      </x:c>
      <x:c r="W282" s="2" t="str">
        <x:v>No</x:v>
      </x:c>
      <x:c r="X282" s="2" t="str">
        <x:v>Yes (a run over 20 to 35 requirements takes about 25 minutes)</x:v>
      </x:c>
      <x:c r="Y282"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Z282" s="6" t="str">
        <x:v>automate the mapping between requirements, source code, unit tests, and build verification artifacts ; for each requirement um it selects the relevant c file and calls claude and maps the requirement to code ; it will display the traceability for each requirement source code and the function ; since it couldn't locate the b build verification script, it made it blank ; right now 20 35 requirements takes 25 minutes so we are going to include rag to have no delays ; Built with: Python + Claude API + cFS heritage codebase ; leaving gaps blank instead of hallucinating missing information</x:v>
      </x:c>
      <x:c r="AA282" s="6" t="str">
        <x:v>The model is named for this operation in the material and its version is recorded where the material gives one.</x:v>
      </x:c>
      <x:c r="AB282" s="2" t="str">
        <x:v>Accepted</x:v>
      </x:c>
      <x:c r="AC282" s="6" t="str">
        <x:v>The same Claude API call returns the test mapping decision.</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19" hidden="0" customWidth="1"/>
    <x:col min="8" max="8" width="19" hidden="0" customWidth="1"/>
    <x:col min="9" max="9" width="20" hidden="0" customWidth="1"/>
    <x:col min="10" max="10" width="20" hidden="0" customWidth="1"/>
    <x:col min="11" max="11" width="19" hidden="0" customWidth="1"/>
    <x:col min="12" max="12" width="52"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52" hidden="0" customWidth="1"/>
    <x:col min="21" max="21" width="52" hidden="0" customWidth="1"/>
    <x:col min="22" max="22" width="52" hidden="0" customWidth="1"/>
    <x:col min="23" max="23" width="20" hidden="0" customWidth="1"/>
    <x:col min="24" max="24" width="52" hidden="0" customWidth="1"/>
  </x:cols>
  <x:sheetData>
    <x:row r="1" ht="38" customHeight="1">
      <x:c r="A1" s="5" t="str">
        <x:v>record_id</x:v>
      </x:c>
      <x:c r="B1" s="5" t="str">
        <x:v>study_id</x:v>
      </x:c>
      <x:c r="C1" s="5" t="str">
        <x:v>version_id</x:v>
      </x:c>
      <x:c r="D1" s="5" t="str">
        <x:v>review_stage</x:v>
      </x:c>
      <x:c r="E1" s="5" t="str">
        <x:v>reviewer_id</x:v>
      </x:c>
      <x:c r="F1" s="5" t="str">
        <x:v>config_feature_id</x:v>
      </x:c>
      <x:c r="G1" s="5" t="str">
        <x:v>model_use_id</x:v>
      </x:c>
      <x:c r="H1" s="5" t="str">
        <x:v>operation_id</x:v>
      </x:c>
      <x:c r="I1" s="5" t="str">
        <x:v>feature_type</x:v>
      </x:c>
      <x:c r="J1" s="5" t="str">
        <x:v>feature_name_in_paper</x:v>
      </x:c>
      <x:c r="K1" s="5" t="str">
        <x:v>feature_code</x:v>
      </x:c>
      <x:c r="L1" s="5" t="str">
        <x:v>feature_description</x:v>
      </x:c>
      <x:c r="M1" s="5" t="str">
        <x:v>prompt_available</x:v>
      </x:c>
      <x:c r="N1" s="5" t="str">
        <x:v>prompt_detail_level</x:v>
      </x:c>
      <x:c r="O1" s="5" t="str">
        <x:v>few_shot_count</x:v>
      </x:c>
      <x:c r="P1" s="5" t="str">
        <x:v>rag_used</x:v>
      </x:c>
      <x:c r="Q1" s="5" t="str">
        <x:v>fine_tuning_used</x:v>
      </x:c>
      <x:c r="R1" s="5" t="str">
        <x:v>agent_workflow</x:v>
      </x:c>
      <x:c r="S1" s="5" t="str">
        <x:v>orchestration</x:v>
      </x:c>
      <x:c r="T1" s="5" t="str">
        <x:v>evidence_location</x:v>
      </x:c>
      <x:c r="U1" s="5" t="str">
        <x:v>evidence_verbatim</x:v>
      </x:c>
      <x:c r="V1" s="5" t="str">
        <x:v>reviewer_interpretation</x:v>
      </x:c>
      <x:c r="W1" s="5" t="str">
        <x:v>record_status</x:v>
      </x:c>
      <x:c r="X1" s="5" t="str">
        <x:v>notes</x:v>
      </x:c>
    </x:row>
    <x:row r="2" ht="76" customHeight="1">
      <x:c r="A2" s="2" t="str">
        <x:v>S01-FEATURE-R01</x:v>
      </x:c>
      <x:c r="B2" s="2" t="str">
        <x:v>S01</x:v>
      </x:c>
      <x:c r="C2" s="2" t="str">
        <x:v>merged_0002</x:v>
      </x:c>
      <x:c r="D2" s="2" t="str">
        <x:v>Reviewer_A</x:v>
      </x:c>
      <x:c r="E2" s="2" t="str">
        <x:v>Reviewer_A</x:v>
      </x:c>
      <x:c r="F2" s="2" t="str">
        <x:v>S01-CF01</x:v>
      </x:c>
      <x:c r="G2" s="2" t="str">
        <x:v>S01-MU01</x:v>
      </x:c>
      <x:c r="H2" s="2" t="str">
        <x:v>S01-O03</x:v>
      </x:c>
      <x:c r="I2" s="2" t="str">
        <x:v>Prompting</x:v>
      </x:c>
      <x:c r="J2" s="2" t="str">
        <x:v>KISS Prompt</x:v>
      </x:c>
      <x:c r="K2" s="2" t="str">
        <x:v>kiss_prompt</x:v>
      </x:c>
      <x:c r="L2" s="6" t="str">
        <x:v>简单零样本分类提示，直接询问LLM两个工件是否相关，要求回答yes或no。</x:v>
      </x:c>
      <x:c r="M2" s="2" t="str">
        <x:v>Yes</x:v>
      </x:c>
      <x:c r="N2" s="2" t="str">
        <x:v>Full prompt reported</x:v>
      </x:c>
      <x:c r="O2" s="2" t="n">
        <x:v>0</x:v>
      </x:c>
      <x:c r="P2" s="2" t="str">
        <x:v>Yes</x:v>
      </x:c>
      <x:c r="Q2" s="2" t="str">
        <x:v>No</x:v>
      </x:c>
      <x:c r="R2" s="2" t="str">
        <x:v>No</x:v>
      </x:c>
      <x:c r="S2" s="2" t="str">
        <x:v>NR</x:v>
      </x:c>
      <x:c r="T2" s="6" t="str">
        <x:v>p. 5; Section III-C1</x:v>
      </x:c>
      <x:c r="U2" s="6" t="str">
        <x:v>Question: Here are two parts of software development source type: '''source content'''</x:v>
      </x:c>
      <x:c r="V2" s="6" t="str">
        <x:v>该提示直接要求LLM做出二元分类决定，是最简单的零样本形式。</x:v>
      </x:c>
      <x:c r="W2" s="2" t="str">
        <x:v>Accepted</x:v>
      </x:c>
      <x:c r="X2" s="6" t="str">
        <x:v>NA</x:v>
      </x:c>
    </x:row>
    <x:row r="3" ht="76" customHeight="1">
      <x:c r="A3" s="2" t="str">
        <x:v>S01-FEATURE-R02</x:v>
      </x:c>
      <x:c r="B3" s="2" t="str">
        <x:v>S01</x:v>
      </x:c>
      <x:c r="C3" s="2" t="str">
        <x:v>merged_0002</x:v>
      </x:c>
      <x:c r="D3" s="2" t="str">
        <x:v>Reviewer_A</x:v>
      </x:c>
      <x:c r="E3" s="2" t="str">
        <x:v>Reviewer_A</x:v>
      </x:c>
      <x:c r="F3" s="2" t="str">
        <x:v>S01-CF02</x:v>
      </x:c>
      <x:c r="G3" s="2" t="str">
        <x:v>S01-MU04</x:v>
      </x:c>
      <x:c r="H3" s="2" t="str">
        <x:v>S01-O03</x:v>
      </x:c>
      <x:c r="I3" s="2" t="str">
        <x:v>Prompting</x:v>
      </x:c>
      <x:c r="J3" s="2" t="str">
        <x:v>KISS Prompt</x:v>
      </x:c>
      <x:c r="K3" s="2" t="str">
        <x:v>kiss_prompt</x:v>
      </x:c>
      <x:c r="L3" s="6" t="str">
        <x:v>简单零样本分类提示，直接询问LLM两个工件是否相关，要求回答yes或no。</x:v>
      </x:c>
      <x:c r="M3" s="2" t="str">
        <x:v>Yes</x:v>
      </x:c>
      <x:c r="N3" s="2" t="str">
        <x:v>Full prompt reported</x:v>
      </x:c>
      <x:c r="O3" s="2" t="n">
        <x:v>0</x:v>
      </x:c>
      <x:c r="P3" s="2" t="str">
        <x:v>Yes</x:v>
      </x:c>
      <x:c r="Q3" s="2" t="str">
        <x:v>No</x:v>
      </x:c>
      <x:c r="R3" s="2" t="str">
        <x:v>No</x:v>
      </x:c>
      <x:c r="S3" s="2" t="str">
        <x:v>NR</x:v>
      </x:c>
      <x:c r="T3" s="6" t="str">
        <x:v>p. 5; Section III-C1</x:v>
      </x:c>
      <x:c r="U3" s="6" t="str">
        <x:v>Question: Here are two parts of software development source type: '''source content'''</x:v>
      </x:c>
      <x:c r="V3" s="6" t="str">
        <x:v>该提示直接要求LLM做出二元分类决定，是最简单的零样本形式。</x:v>
      </x:c>
      <x:c r="W3" s="2" t="str">
        <x:v>Accepted</x:v>
      </x:c>
      <x:c r="X3" s="6" t="str">
        <x:v>NA</x:v>
      </x:c>
    </x:row>
    <x:row r="4" ht="76" customHeight="1">
      <x:c r="A4" s="2" t="str">
        <x:v>S01-FEATURE-R03</x:v>
      </x:c>
      <x:c r="B4" s="2" t="str">
        <x:v>S01</x:v>
      </x:c>
      <x:c r="C4" s="2" t="str">
        <x:v>merged_0002</x:v>
      </x:c>
      <x:c r="D4" s="2" t="str">
        <x:v>Reviewer_A</x:v>
      </x:c>
      <x:c r="E4" s="2" t="str">
        <x:v>Reviewer_A</x:v>
      </x:c>
      <x:c r="F4" s="2" t="str">
        <x:v>S01-CF03</x:v>
      </x:c>
      <x:c r="G4" s="2" t="str">
        <x:v>S01-MU04</x:v>
      </x:c>
      <x:c r="H4" s="2" t="str">
        <x:v>S01-O03</x:v>
      </x:c>
      <x:c r="I4" s="2" t="str">
        <x:v>Prompting</x:v>
      </x:c>
      <x:c r="J4" s="2" t="str">
        <x:v>KISS Prompt</x:v>
      </x:c>
      <x:c r="K4" s="2" t="str">
        <x:v>kiss_prompt</x:v>
      </x:c>
      <x:c r="L4" s="6" t="str">
        <x:v>简单零样本分类提示，直接询问LLM两个工件是否相关，要求回答yes或no。</x:v>
      </x:c>
      <x:c r="M4" s="2" t="str">
        <x:v>Yes</x:v>
      </x:c>
      <x:c r="N4" s="2" t="str">
        <x:v>Full prompt reported</x:v>
      </x:c>
      <x:c r="O4" s="2" t="n">
        <x:v>0</x:v>
      </x:c>
      <x:c r="P4" s="2" t="str">
        <x:v>Yes</x:v>
      </x:c>
      <x:c r="Q4" s="2" t="str">
        <x:v>No</x:v>
      </x:c>
      <x:c r="R4" s="2" t="str">
        <x:v>No</x:v>
      </x:c>
      <x:c r="S4" s="2" t="str">
        <x:v>NR</x:v>
      </x:c>
      <x:c r="T4" s="6" t="str">
        <x:v>p. 5; Section III-C1</x:v>
      </x:c>
      <x:c r="U4" s="6" t="str">
        <x:v>Question: Here are two parts of software development source type: '''source content'''</x:v>
      </x:c>
      <x:c r="V4" s="6" t="str">
        <x:v>该提示直接要求LLM做出二元分类决定，是最简单的零样本形式。</x:v>
      </x:c>
      <x:c r="W4" s="2" t="str">
        <x:v>Accepted</x:v>
      </x:c>
      <x:c r="X4" s="6" t="str">
        <x:v>NA</x:v>
      </x:c>
    </x:row>
    <x:row r="5" ht="76" customHeight="1">
      <x:c r="A5" s="2" t="str">
        <x:v>S01-FEATURE-R04</x:v>
      </x:c>
      <x:c r="B5" s="2" t="str">
        <x:v>S01</x:v>
      </x:c>
      <x:c r="C5" s="2" t="str">
        <x:v>merged_0002</x:v>
      </x:c>
      <x:c r="D5" s="2" t="str">
        <x:v>Reviewer_A</x:v>
      </x:c>
      <x:c r="E5" s="2" t="str">
        <x:v>Reviewer_A</x:v>
      </x:c>
      <x:c r="F5" s="2" t="str">
        <x:v>S01-CF04</x:v>
      </x:c>
      <x:c r="G5" s="2" t="str">
        <x:v>S01-MU04</x:v>
      </x:c>
      <x:c r="H5" s="2" t="str">
        <x:v>S01-O03</x:v>
      </x:c>
      <x:c r="I5" s="2" t="str">
        <x:v>Prompting</x:v>
      </x:c>
      <x:c r="J5" s="2" t="str">
        <x:v>KISS Prompt</x:v>
      </x:c>
      <x:c r="K5" s="2" t="str">
        <x:v>kiss_prompt</x:v>
      </x:c>
      <x:c r="L5" s="6" t="str">
        <x:v>简单零样本分类提示，直接询问LLM两个工件是否相关，要求回答yes或no。</x:v>
      </x:c>
      <x:c r="M5" s="2" t="str">
        <x:v>Yes</x:v>
      </x:c>
      <x:c r="N5" s="2" t="str">
        <x:v>Full prompt reported</x:v>
      </x:c>
      <x:c r="O5" s="2" t="n">
        <x:v>0</x:v>
      </x:c>
      <x:c r="P5" s="2" t="str">
        <x:v>Yes</x:v>
      </x:c>
      <x:c r="Q5" s="2" t="str">
        <x:v>No</x:v>
      </x:c>
      <x:c r="R5" s="2" t="str">
        <x:v>No</x:v>
      </x:c>
      <x:c r="S5" s="2" t="str">
        <x:v>NR</x:v>
      </x:c>
      <x:c r="T5" s="6" t="str">
        <x:v>p. 5; Section III-C1</x:v>
      </x:c>
      <x:c r="U5" s="6" t="str">
        <x:v>Question: Here are two parts of software development source type: '''source content'''</x:v>
      </x:c>
      <x:c r="V5" s="6" t="str">
        <x:v>该提示直接要求LLM做出二元分类决定，是最简单的零样本形式。</x:v>
      </x:c>
      <x:c r="W5" s="2" t="str">
        <x:v>Accepted</x:v>
      </x:c>
      <x:c r="X5" s="6" t="str">
        <x:v>NA</x:v>
      </x:c>
    </x:row>
    <x:row r="6" ht="76" customHeight="1">
      <x:c r="A6" s="2" t="str">
        <x:v>S01-FEATURE-R05</x:v>
      </x:c>
      <x:c r="B6" s="2" t="str">
        <x:v>S01</x:v>
      </x:c>
      <x:c r="C6" s="2" t="str">
        <x:v>merged_0002</x:v>
      </x:c>
      <x:c r="D6" s="2" t="str">
        <x:v>Reviewer_A</x:v>
      </x:c>
      <x:c r="E6" s="2" t="str">
        <x:v>Reviewer_A</x:v>
      </x:c>
      <x:c r="F6" s="2" t="str">
        <x:v>S01-CF05</x:v>
      </x:c>
      <x:c r="G6" s="2" t="str">
        <x:v>S01-MU01</x:v>
      </x:c>
      <x:c r="H6" s="2" t="str">
        <x:v>S01-O03</x:v>
      </x:c>
      <x:c r="I6" s="2" t="str">
        <x:v>Prompting</x:v>
      </x:c>
      <x:c r="J6" s="2" t="str">
        <x:v>Chain-of-thought Prompt</x:v>
      </x:c>
      <x:c r="K6" s="2" t="str">
        <x:v>cot_prompt</x:v>
      </x:c>
      <x:c r="L6" s="6" t="str">
        <x:v>零样本思维链提示，要求LLM先给出推理理由再回答yes/no，并将最终答案放在&lt;trace&gt;标签内。</x:v>
      </x:c>
      <x:c r="M6" s="2" t="str">
        <x:v>Yes</x:v>
      </x:c>
      <x:c r="N6" s="2" t="str">
        <x:v>Full prompt reported</x:v>
      </x:c>
      <x:c r="O6" s="2" t="n">
        <x:v>0</x:v>
      </x:c>
      <x:c r="P6" s="2" t="str">
        <x:v>Yes</x:v>
      </x:c>
      <x:c r="Q6" s="2" t="str">
        <x:v>No</x:v>
      </x:c>
      <x:c r="R6" s="2" t="str">
        <x:v>No</x:v>
      </x:c>
      <x:c r="S6" s="2" t="str">
        <x:v>NR</x:v>
      </x:c>
      <x:c r="T6" s="6" t="str">
        <x:v>p. 5; Section III-C1</x:v>
      </x:c>
      <x:c r="U6" s="6" t="str">
        <x:v>Is there a traceability link between (1) and (2)? Give your reasoning and then answer with 'yes' or 'no' enclosed in &lt;trace&gt; &lt;/trace&gt;.</x:v>
      </x:c>
      <x:c r="V6" s="6" t="str">
        <x:v>这种提示引导LLM进行逐步推理，但最终仅根据返回的是否包含'yes'来决定链接，推理部分被忽略。</x:v>
      </x:c>
      <x:c r="W6" s="2" t="str">
        <x:v>Accepted</x:v>
      </x:c>
      <x:c r="X6" s="6" t="str">
        <x:v>推理部分未用于链接决策，仅作为辅助</x:v>
      </x:c>
    </x:row>
    <x:row r="7" ht="76" customHeight="1">
      <x:c r="A7" s="2" t="str">
        <x:v>S01-FEATURE-R06</x:v>
      </x:c>
      <x:c r="B7" s="2" t="str">
        <x:v>S01</x:v>
      </x:c>
      <x:c r="C7" s="2" t="str">
        <x:v>merged_0002</x:v>
      </x:c>
      <x:c r="D7" s="2" t="str">
        <x:v>Reviewer_A</x:v>
      </x:c>
      <x:c r="E7" s="2" t="str">
        <x:v>Reviewer_A</x:v>
      </x:c>
      <x:c r="F7" s="2" t="str">
        <x:v>S01-CF06</x:v>
      </x:c>
      <x:c r="G7" s="2" t="str">
        <x:v>S01-MU04</x:v>
      </x:c>
      <x:c r="H7" s="2" t="str">
        <x:v>S01-O03</x:v>
      </x:c>
      <x:c r="I7" s="2" t="str">
        <x:v>Prompting</x:v>
      </x:c>
      <x:c r="J7" s="2" t="str">
        <x:v>Chain-of-thought Prompt</x:v>
      </x:c>
      <x:c r="K7" s="2" t="str">
        <x:v>cot_prompt</x:v>
      </x:c>
      <x:c r="L7" s="6" t="str">
        <x:v>零样本思维链提示，要求LLM先给出推理理由再回答yes/no，并将最终答案放在&lt;trace&gt;标签内。</x:v>
      </x:c>
      <x:c r="M7" s="2" t="str">
        <x:v>Yes</x:v>
      </x:c>
      <x:c r="N7" s="2" t="str">
        <x:v>Full prompt reported</x:v>
      </x:c>
      <x:c r="O7" s="2" t="n">
        <x:v>0</x:v>
      </x:c>
      <x:c r="P7" s="2" t="str">
        <x:v>Yes</x:v>
      </x:c>
      <x:c r="Q7" s="2" t="str">
        <x:v>No</x:v>
      </x:c>
      <x:c r="R7" s="2" t="str">
        <x:v>No</x:v>
      </x:c>
      <x:c r="S7" s="2" t="str">
        <x:v>NR</x:v>
      </x:c>
      <x:c r="T7" s="6" t="str">
        <x:v>p. 5; Section III-C1</x:v>
      </x:c>
      <x:c r="U7" s="6" t="str">
        <x:v>Is there a traceability link between (1) and (2)? Give your reasoning and then answer with 'yes' or 'no' enclosed in &lt;trace&gt; &lt;/trace&gt;.</x:v>
      </x:c>
      <x:c r="V7" s="6" t="str">
        <x:v>这种提示引导LLM进行逐步推理，但最终仅根据返回的是否包含'yes'来决定链接，推理部分被忽略。</x:v>
      </x:c>
      <x:c r="W7" s="2" t="str">
        <x:v>Accepted</x:v>
      </x:c>
      <x:c r="X7" s="6" t="str">
        <x:v>推理部分未用于链接决策</x:v>
      </x:c>
    </x:row>
    <x:row r="8" ht="76" customHeight="1">
      <x:c r="A8" s="2" t="str">
        <x:v>S01-FEATURE-R07</x:v>
      </x:c>
      <x:c r="B8" s="2" t="str">
        <x:v>S01</x:v>
      </x:c>
      <x:c r="C8" s="2" t="str">
        <x:v>merged_0002</x:v>
      </x:c>
      <x:c r="D8" s="2" t="str">
        <x:v>Reviewer_A</x:v>
      </x:c>
      <x:c r="E8" s="2" t="str">
        <x:v>Reviewer_A</x:v>
      </x:c>
      <x:c r="F8" s="2" t="str">
        <x:v>S01-CF07</x:v>
      </x:c>
      <x:c r="G8" s="2" t="str">
        <x:v>S01-MU04</x:v>
      </x:c>
      <x:c r="H8" s="2" t="str">
        <x:v>S01-O03</x:v>
      </x:c>
      <x:c r="I8" s="2" t="str">
        <x:v>Prompting</x:v>
      </x:c>
      <x:c r="J8" s="2" t="str">
        <x:v>Chain-of-thought Prompt</x:v>
      </x:c>
      <x:c r="K8" s="2" t="str">
        <x:v>cot_prompt</x:v>
      </x:c>
      <x:c r="L8" s="6" t="str">
        <x:v>零样本思维链提示，要求LLM先给出推理理由再回答yes/no，并将最终答案放在&lt;trace&gt;标签内。</x:v>
      </x:c>
      <x:c r="M8" s="2" t="str">
        <x:v>Yes</x:v>
      </x:c>
      <x:c r="N8" s="2" t="str">
        <x:v>Full prompt reported</x:v>
      </x:c>
      <x:c r="O8" s="2" t="n">
        <x:v>0</x:v>
      </x:c>
      <x:c r="P8" s="2" t="str">
        <x:v>Yes</x:v>
      </x:c>
      <x:c r="Q8" s="2" t="str">
        <x:v>No</x:v>
      </x:c>
      <x:c r="R8" s="2" t="str">
        <x:v>No</x:v>
      </x:c>
      <x:c r="S8" s="2" t="str">
        <x:v>NR</x:v>
      </x:c>
      <x:c r="T8" s="6" t="str">
        <x:v>p. 5; Section III-C1</x:v>
      </x:c>
      <x:c r="U8" s="6" t="str">
        <x:v>Is there a traceability link between (1) and (2)? Give your reasoning and then answer with 'yes' or 'no' enclosed in &lt;trace&gt; &lt;/trace&gt;.</x:v>
      </x:c>
      <x:c r="V8" s="6" t="str">
        <x:v>这种提示引导LLM进行逐步推理，但最终仅根据返回的是否包含'yes'来决定链接，推理部分被忽略。</x:v>
      </x:c>
      <x:c r="W8" s="2" t="str">
        <x:v>Accepted</x:v>
      </x:c>
      <x:c r="X8" s="6" t="str">
        <x:v>推理部分未用于链接决策</x:v>
      </x:c>
    </x:row>
    <x:row r="9" ht="76" customHeight="1">
      <x:c r="A9" s="2" t="str">
        <x:v>S01-FEATURE-R08</x:v>
      </x:c>
      <x:c r="B9" s="2" t="str">
        <x:v>S01</x:v>
      </x:c>
      <x:c r="C9" s="2" t="str">
        <x:v>merged_0002</x:v>
      </x:c>
      <x:c r="D9" s="2" t="str">
        <x:v>Reviewer_A</x:v>
      </x:c>
      <x:c r="E9" s="2" t="str">
        <x:v>Reviewer_A</x:v>
      </x:c>
      <x:c r="F9" s="2" t="str">
        <x:v>S01-CF08</x:v>
      </x:c>
      <x:c r="G9" s="2" t="str">
        <x:v>S01-MU04</x:v>
      </x:c>
      <x:c r="H9" s="2" t="str">
        <x:v>S01-O03</x:v>
      </x:c>
      <x:c r="I9" s="2" t="str">
        <x:v>Prompting</x:v>
      </x:c>
      <x:c r="J9" s="2" t="str">
        <x:v>Chain-of-thought Prompt</x:v>
      </x:c>
      <x:c r="K9" s="2" t="str">
        <x:v>cot_prompt</x:v>
      </x:c>
      <x:c r="L9" s="6" t="str">
        <x:v>零样本思维链提示，要求LLM先给出推理理由再回答yes/no，并将最终答案放在&lt;trace&gt;标签内。</x:v>
      </x:c>
      <x:c r="M9" s="2" t="str">
        <x:v>Yes</x:v>
      </x:c>
      <x:c r="N9" s="2" t="str">
        <x:v>Full prompt reported</x:v>
      </x:c>
      <x:c r="O9" s="2" t="n">
        <x:v>0</x:v>
      </x:c>
      <x:c r="P9" s="2" t="str">
        <x:v>Yes</x:v>
      </x:c>
      <x:c r="Q9" s="2" t="str">
        <x:v>No</x:v>
      </x:c>
      <x:c r="R9" s="2" t="str">
        <x:v>No</x:v>
      </x:c>
      <x:c r="S9" s="2" t="str">
        <x:v>NR</x:v>
      </x:c>
      <x:c r="T9" s="6" t="str">
        <x:v>p. 5; Section III-C1</x:v>
      </x:c>
      <x:c r="U9" s="6" t="str">
        <x:v>Is there a traceability link between (1) and (2)? Give your reasoning and then answer with 'yes' or 'no' enclosed in &lt;trace&gt; &lt;/trace&gt;.</x:v>
      </x:c>
      <x:c r="V9" s="6" t="str">
        <x:v>这种提示引导LLM进行逐步推理，但最终仅根据返回的是否包含'yes'来决定链接，推理部分被忽略。</x:v>
      </x:c>
      <x:c r="W9" s="2" t="str">
        <x:v>Accepted</x:v>
      </x:c>
      <x:c r="X9" s="6" t="str">
        <x:v>推理部分未用于链接决策</x:v>
      </x:c>
    </x:row>
    <x:row r="10" ht="76" customHeight="1">
      <x:c r="A10" s="2" t="str">
        <x:v>S01-FEATURE-R09</x:v>
      </x:c>
      <x:c r="B10" s="2" t="str">
        <x:v>S01</x:v>
      </x:c>
      <x:c r="C10" s="2" t="str">
        <x:v>merged_0002</x:v>
      </x:c>
      <x:c r="D10" s="2" t="str">
        <x:v>Reviewer_A</x:v>
      </x:c>
      <x:c r="E10" s="2" t="str">
        <x:v>Reviewer_A</x:v>
      </x:c>
      <x:c r="F10" s="2" t="str">
        <x:v>S01-CF09</x:v>
      </x:c>
      <x:c r="G10" s="2" t="str">
        <x:v>S01-MU01</x:v>
      </x:c>
      <x:c r="H10" s="2" t="str">
        <x:v>S01-O03</x:v>
      </x:c>
      <x:c r="I10" s="2" t="str">
        <x:v>Context construction</x:v>
      </x:c>
      <x:c r="J10" s="2" t="str">
        <x:v>+Art. configuration</x:v>
      </x:c>
      <x:c r="K10" s="2" t="str">
        <x:v>artifact_level_prompt</x:v>
      </x:c>
      <x:c r="L10" s="6" t="str">
        <x:v>LLM提示中使用完整目标工件文本替代检索到的目标元素文本，以提供更多上下文。</x:v>
      </x:c>
      <x:c r="M10" s="2" t="str">
        <x:v>Yes</x:v>
      </x:c>
      <x:c r="N10" s="2" t="str">
        <x:v>Template reported</x:v>
      </x:c>
      <x:c r="O10" s="2" t="n">
        <x:v>0</x:v>
      </x:c>
      <x:c r="P10" s="2" t="str">
        <x:v>Yes</x:v>
      </x:c>
      <x:c r="Q10" s="2" t="str">
        <x:v>No</x:v>
      </x:c>
      <x:c r="R10" s="2" t="str">
        <x:v>No</x:v>
      </x:c>
      <x:c r="S10" s="2" t="str">
        <x:v>NR</x:v>
      </x:c>
      <x:c r="T10" s="6" t="str">
        <x:v>p. 8; Section IV-F1</x:v>
      </x:c>
      <x:c r="U10" s="6" t="str">
        <x:v>a variant where the LLM is provided with the original artifact instead of the elements from the retrieval. This means that we</x:v>
      </x:c>
      <x:c r="V10" s="6" t="str">
        <x:v>这种配置下，检索仍用于找到候选工件，但提示中放入的是完整的工件内容（如整个文件），而不是分割后的元素片段。</x:v>
      </x:c>
      <x:c r="W10" s="2" t="str">
        <x:v>Accepted</x:v>
      </x:c>
      <x:c r="X10" s="6" t="str">
        <x:v>仅用于T1任务，且可能截断至模型最大输入大小</x:v>
      </x:c>
    </x:row>
    <x:row r="11" ht="76" customHeight="1">
      <x:c r="A11" s="2" t="str">
        <x:v>S02-FEATURE-R01</x:v>
      </x:c>
      <x:c r="B11" s="2" t="str">
        <x:v>S02</x:v>
      </x:c>
      <x:c r="C11" s="2" t="str">
        <x:v>merged_0007</x:v>
      </x:c>
      <x:c r="D11" s="2" t="str">
        <x:v>Reviewer_A</x:v>
      </x:c>
      <x:c r="E11" s="2" t="str">
        <x:v>Reviewer_A</x:v>
      </x:c>
      <x:c r="F11" s="2" t="str">
        <x:v>S02-CF01</x:v>
      </x:c>
      <x:c r="G11" s="2" t="str">
        <x:v>S02-MU01</x:v>
      </x:c>
      <x:c r="H11" s="2" t="str">
        <x:v>S02-O01</x:v>
      </x:c>
      <x:c r="I11" s="2" t="str">
        <x:v>Prompting</x:v>
      </x:c>
      <x:c r="J11" s="2" t="str">
        <x:v>Chain-of-thought prompting</x:v>
      </x:c>
      <x:c r="K11" s="2" t="str">
        <x:v>CoT_prompting</x:v>
      </x:c>
      <x:c r="L11" s="6" t="str">
        <x:v>使用链式思考提示，分两步从SAD和/或源代码中提取组件名称，并定义输出格式。</x:v>
      </x:c>
      <x:c r="M11" s="2" t="str">
        <x:v>Yes</x:v>
      </x:c>
      <x:c r="N11" s="2" t="str">
        <x:v>Full prompt reported</x:v>
      </x:c>
      <x:c r="O11" s="2" t="n">
        <x:v>0</x:v>
      </x:c>
      <x:c r="P11" s="2" t="str">
        <x:v>No</x:v>
      </x:c>
      <x:c r="Q11" s="2" t="str">
        <x:v>No</x:v>
      </x:c>
      <x:c r="R11" s="2" t="str">
        <x:v>No</x:v>
      </x:c>
      <x:c r="S11" s="2" t="str">
        <x:v>No</x:v>
      </x:c>
      <x:c r="T11" s="6" t="str">
        <x:v>p. 6; Section 3.2</x:v>
      </x:c>
      <x:c r="U11" s="6" t="str">
        <x:v>We use Chain-of-thought prompting to generate the simple SAM from the architecture documentation.</x:v>
      </x:c>
      <x:c r="V11" s="6" t="str">
        <x:v>ExArch使用链式思考提示，分两步并控制输出格式。</x:v>
      </x:c>
      <x:c r="W11" s="2" t="str">
        <x:v>Accepted</x:v>
      </x:c>
      <x:c r="X11" s="6" t="str">
        <x:v>NR</x:v>
      </x:c>
    </x:row>
    <x:row r="12" ht="76" customHeight="1">
      <x:c r="A12" s="2" t="str">
        <x:v>S02-FEATURE-R02</x:v>
      </x:c>
      <x:c r="B12" s="2" t="str">
        <x:v>S02</x:v>
      </x:c>
      <x:c r="C12" s="2" t="str">
        <x:v>merged_0007</x:v>
      </x:c>
      <x:c r="D12" s="2" t="str">
        <x:v>Reviewer_A</x:v>
      </x:c>
      <x:c r="E12" s="2" t="str">
        <x:v>Reviewer_A</x:v>
      </x:c>
      <x:c r="F12" s="2" t="str">
        <x:v>S02-CF02</x:v>
      </x:c>
      <x:c r="G12" s="2" t="str">
        <x:v>S02-MU02</x:v>
      </x:c>
      <x:c r="H12" s="2" t="str">
        <x:v>S02-O01</x:v>
      </x:c>
      <x:c r="I12" s="2" t="str">
        <x:v>Prompting</x:v>
      </x:c>
      <x:c r="J12" s="2" t="str">
        <x:v>Chain-of-thought prompting</x:v>
      </x:c>
      <x:c r="K12" s="2" t="str">
        <x:v>CoT_prompting</x:v>
      </x:c>
      <x:c r="L12" s="6" t="str">
        <x:v>使用链式思考提示，分两步从SAD和/或源代码中提取组件名称，并定义输出格式。</x:v>
      </x:c>
      <x:c r="M12" s="2" t="str">
        <x:v>Yes</x:v>
      </x:c>
      <x:c r="N12" s="2" t="str">
        <x:v>Full prompt reported</x:v>
      </x:c>
      <x:c r="O12" s="2" t="n">
        <x:v>0</x:v>
      </x:c>
      <x:c r="P12" s="2" t="str">
        <x:v>No</x:v>
      </x:c>
      <x:c r="Q12" s="2" t="str">
        <x:v>No</x:v>
      </x:c>
      <x:c r="R12" s="2" t="str">
        <x:v>No</x:v>
      </x:c>
      <x:c r="S12" s="2" t="str">
        <x:v>No</x:v>
      </x:c>
      <x:c r="T12" s="6" t="str">
        <x:v>p. 6; Section 3.2</x:v>
      </x:c>
      <x:c r="U12" s="6" t="str">
        <x:v>We use Chain-of-thought prompting to generate the simple SAM from the architecture documentation.</x:v>
      </x:c>
      <x:c r="V12" s="6" t="str">
        <x:v>ExArch使用链式思考提示，分两步并控制输出格式。</x:v>
      </x:c>
      <x:c r="W12" s="2" t="str">
        <x:v>Accepted</x:v>
      </x:c>
      <x:c r="X12" s="6" t="str">
        <x:v>NR</x:v>
      </x:c>
    </x:row>
    <x:row r="13" ht="76" customHeight="1">
      <x:c r="A13" s="2" t="str">
        <x:v>S02-FEATURE-R03</x:v>
      </x:c>
      <x:c r="B13" s="2" t="str">
        <x:v>S02</x:v>
      </x:c>
      <x:c r="C13" s="2" t="str">
        <x:v>merged_0007</x:v>
      </x:c>
      <x:c r="D13" s="2" t="str">
        <x:v>Reviewer_A</x:v>
      </x:c>
      <x:c r="E13" s="2" t="str">
        <x:v>Reviewer_A</x:v>
      </x:c>
      <x:c r="F13" s="2" t="str">
        <x:v>S02-CF03</x:v>
      </x:c>
      <x:c r="G13" s="2" t="str">
        <x:v>S02-MU03</x:v>
      </x:c>
      <x:c r="H13" s="2" t="str">
        <x:v>S02-O01</x:v>
      </x:c>
      <x:c r="I13" s="2" t="str">
        <x:v>Prompting</x:v>
      </x:c>
      <x:c r="J13" s="2" t="str">
        <x:v>Chain-of-thought prompting</x:v>
      </x:c>
      <x:c r="K13" s="2" t="str">
        <x:v>CoT_prompting</x:v>
      </x:c>
      <x:c r="L13" s="6" t="str">
        <x:v>使用链式思考提示，分两步从SAD和/或源代码中提取组件名称，并定义输出格式。</x:v>
      </x:c>
      <x:c r="M13" s="2" t="str">
        <x:v>Yes</x:v>
      </x:c>
      <x:c r="N13" s="2" t="str">
        <x:v>Full prompt reported</x:v>
      </x:c>
      <x:c r="O13" s="2" t="n">
        <x:v>0</x:v>
      </x:c>
      <x:c r="P13" s="2" t="str">
        <x:v>No</x:v>
      </x:c>
      <x:c r="Q13" s="2" t="str">
        <x:v>No</x:v>
      </x:c>
      <x:c r="R13" s="2" t="str">
        <x:v>No</x:v>
      </x:c>
      <x:c r="S13" s="2" t="str">
        <x:v>No</x:v>
      </x:c>
      <x:c r="T13" s="6" t="str">
        <x:v>p. 6; Section 3.2</x:v>
      </x:c>
      <x:c r="U13" s="6" t="str">
        <x:v>We use Chain-of-thought prompting to generate the simple SAM from the architecture documentation.</x:v>
      </x:c>
      <x:c r="V13" s="6" t="str">
        <x:v>ExArch使用链式思考提示，分两步并控制输出格式。</x:v>
      </x:c>
      <x:c r="W13" s="2" t="str">
        <x:v>Accepted</x:v>
      </x:c>
      <x:c r="X13" s="6" t="str">
        <x:v>NR</x:v>
      </x:c>
    </x:row>
    <x:row r="14" ht="76" customHeight="1">
      <x:c r="A14" s="2" t="str">
        <x:v>S02-FEATURE-R04</x:v>
      </x:c>
      <x:c r="B14" s="2" t="str">
        <x:v>S02</x:v>
      </x:c>
      <x:c r="C14" s="2" t="str">
        <x:v>merged_0007</x:v>
      </x:c>
      <x:c r="D14" s="2" t="str">
        <x:v>Reviewer_A</x:v>
      </x:c>
      <x:c r="E14" s="2" t="str">
        <x:v>Reviewer_A</x:v>
      </x:c>
      <x:c r="F14" s="2" t="str">
        <x:v>S02-CF04</x:v>
      </x:c>
      <x:c r="G14" s="2" t="str">
        <x:v>S02-MU04</x:v>
      </x:c>
      <x:c r="H14" s="2" t="str">
        <x:v>S02-O01</x:v>
      </x:c>
      <x:c r="I14" s="2" t="str">
        <x:v>Prompting</x:v>
      </x:c>
      <x:c r="J14" s="2" t="str">
        <x:v>Chain-of-thought prompting</x:v>
      </x:c>
      <x:c r="K14" s="2" t="str">
        <x:v>CoT_prompting</x:v>
      </x:c>
      <x:c r="L14" s="6" t="str">
        <x:v>使用链式思考提示，分两步从SAD和/或源代码中提取组件名称，并定义输出格式。</x:v>
      </x:c>
      <x:c r="M14" s="2" t="str">
        <x:v>Yes</x:v>
      </x:c>
      <x:c r="N14" s="2" t="str">
        <x:v>Full prompt reported</x:v>
      </x:c>
      <x:c r="O14" s="2" t="n">
        <x:v>0</x:v>
      </x:c>
      <x:c r="P14" s="2" t="str">
        <x:v>No</x:v>
      </x:c>
      <x:c r="Q14" s="2" t="str">
        <x:v>No</x:v>
      </x:c>
      <x:c r="R14" s="2" t="str">
        <x:v>No</x:v>
      </x:c>
      <x:c r="S14" s="2" t="str">
        <x:v>No</x:v>
      </x:c>
      <x:c r="T14" s="6" t="str">
        <x:v>p. 6; Section 3.2</x:v>
      </x:c>
      <x:c r="U14" s="6" t="str">
        <x:v>We use Chain-of-thought prompting to generate the simple SAM from the architecture documentation.</x:v>
      </x:c>
      <x:c r="V14" s="6" t="str">
        <x:v>ExArch使用链式思考提示，分两步并控制输出格式。</x:v>
      </x:c>
      <x:c r="W14" s="2" t="str">
        <x:v>Accepted</x:v>
      </x:c>
      <x:c r="X14" s="6" t="str">
        <x:v>NR</x:v>
      </x:c>
    </x:row>
    <x:row r="15" ht="76" customHeight="1">
      <x:c r="A15" s="2" t="str">
        <x:v>S02-FEATURE-R05</x:v>
      </x:c>
      <x:c r="B15" s="2" t="str">
        <x:v>S02</x:v>
      </x:c>
      <x:c r="C15" s="2" t="str">
        <x:v>merged_0007</x:v>
      </x:c>
      <x:c r="D15" s="2" t="str">
        <x:v>Reviewer_A</x:v>
      </x:c>
      <x:c r="E15" s="2" t="str">
        <x:v>Reviewer_A</x:v>
      </x:c>
      <x:c r="F15" s="2" t="str">
        <x:v>S02-CF05</x:v>
      </x:c>
      <x:c r="G15" s="2" t="str">
        <x:v>S02-MU05</x:v>
      </x:c>
      <x:c r="H15" s="2" t="str">
        <x:v>S02-O01</x:v>
      </x:c>
      <x:c r="I15" s="2" t="str">
        <x:v>Prompting</x:v>
      </x:c>
      <x:c r="J15" s="2" t="str">
        <x:v>Chain-of-thought prompting</x:v>
      </x:c>
      <x:c r="K15" s="2" t="str">
        <x:v>CoT_prompting</x:v>
      </x:c>
      <x:c r="L15" s="6" t="str">
        <x:v>使用链式思考提示，分两步从SAD和/或源代码中提取组件名称，并定义输出格式。</x:v>
      </x:c>
      <x:c r="M15" s="2" t="str">
        <x:v>Yes</x:v>
      </x:c>
      <x:c r="N15" s="2" t="str">
        <x:v>Full prompt reported</x:v>
      </x:c>
      <x:c r="O15" s="2" t="n">
        <x:v>0</x:v>
      </x:c>
      <x:c r="P15" s="2" t="str">
        <x:v>No</x:v>
      </x:c>
      <x:c r="Q15" s="2" t="str">
        <x:v>No</x:v>
      </x:c>
      <x:c r="R15" s="2" t="str">
        <x:v>No</x:v>
      </x:c>
      <x:c r="S15" s="2" t="str">
        <x:v>No</x:v>
      </x:c>
      <x:c r="T15" s="6" t="str">
        <x:v>p. 6; Section 3.2</x:v>
      </x:c>
      <x:c r="U15" s="6" t="str">
        <x:v>We use Chain-of-thought prompting to generate the simple SAM from the architecture documentation.</x:v>
      </x:c>
      <x:c r="V15" s="6" t="str">
        <x:v>ExArch使用链式思考提示，分两步并控制输出格式。</x:v>
      </x:c>
      <x:c r="W15" s="2" t="str">
        <x:v>Accepted</x:v>
      </x:c>
      <x:c r="X15" s="6" t="str">
        <x:v>NR</x:v>
      </x:c>
    </x:row>
    <x:row r="16" ht="76" customHeight="1">
      <x:c r="A16" s="2" t="str">
        <x:v>S02-FEATURE-R06</x:v>
      </x:c>
      <x:c r="B16" s="2" t="str">
        <x:v>S02</x:v>
      </x:c>
      <x:c r="C16" s="2" t="str">
        <x:v>merged_0007</x:v>
      </x:c>
      <x:c r="D16" s="2" t="str">
        <x:v>Reviewer_A</x:v>
      </x:c>
      <x:c r="E16" s="2" t="str">
        <x:v>Reviewer_A</x:v>
      </x:c>
      <x:c r="F16" s="2" t="str">
        <x:v>S02-CF06</x:v>
      </x:c>
      <x:c r="G16" s="2" t="str">
        <x:v>S02-MU06</x:v>
      </x:c>
      <x:c r="H16" s="2" t="str">
        <x:v>S02-O01</x:v>
      </x:c>
      <x:c r="I16" s="2" t="str">
        <x:v>Prompting</x:v>
      </x:c>
      <x:c r="J16" s="2" t="str">
        <x:v>Chain-of-thought prompting</x:v>
      </x:c>
      <x:c r="K16" s="2" t="str">
        <x:v>CoT_prompting</x:v>
      </x:c>
      <x:c r="L16" s="6" t="str">
        <x:v>使用链式思考提示，分两步从SAD和/或源代码中提取组件名称，并定义输出格式。</x:v>
      </x:c>
      <x:c r="M16" s="2" t="str">
        <x:v>Yes</x:v>
      </x:c>
      <x:c r="N16" s="2" t="str">
        <x:v>Full prompt reported</x:v>
      </x:c>
      <x:c r="O16" s="2" t="n">
        <x:v>0</x:v>
      </x:c>
      <x:c r="P16" s="2" t="str">
        <x:v>No</x:v>
      </x:c>
      <x:c r="Q16" s="2" t="str">
        <x:v>No</x:v>
      </x:c>
      <x:c r="R16" s="2" t="str">
        <x:v>No</x:v>
      </x:c>
      <x:c r="S16" s="2" t="str">
        <x:v>No</x:v>
      </x:c>
      <x:c r="T16" s="6" t="str">
        <x:v>p. 6; Section 3.2</x:v>
      </x:c>
      <x:c r="U16" s="6" t="str">
        <x:v>We use Chain-of-thought prompting to generate the simple SAM from the architecture documentation.</x:v>
      </x:c>
      <x:c r="V16" s="6" t="str">
        <x:v>ExArch使用链式思考提示，分两步并控制输出格式。</x:v>
      </x:c>
      <x:c r="W16" s="2" t="str">
        <x:v>Accepted</x:v>
      </x:c>
      <x:c r="X16" s="6" t="str">
        <x:v>NR</x:v>
      </x:c>
    </x:row>
    <x:row r="17" ht="76" customHeight="1">
      <x:c r="A17" s="2" t="str">
        <x:v>S02-FEATURE-R07</x:v>
      </x:c>
      <x:c r="B17" s="2" t="str">
        <x:v>S02</x:v>
      </x:c>
      <x:c r="C17" s="2" t="str">
        <x:v>merged_0007</x:v>
      </x:c>
      <x:c r="D17" s="2" t="str">
        <x:v>Reviewer_A</x:v>
      </x:c>
      <x:c r="E17" s="2" t="str">
        <x:v>Reviewer_A</x:v>
      </x:c>
      <x:c r="F17" s="2" t="str">
        <x:v>S02-CF07</x:v>
      </x:c>
      <x:c r="G17" s="2" t="str">
        <x:v>S02-MU07</x:v>
      </x:c>
      <x:c r="H17" s="2" t="str">
        <x:v>S02-O01</x:v>
      </x:c>
      <x:c r="I17" s="2" t="str">
        <x:v>Prompting</x:v>
      </x:c>
      <x:c r="J17" s="2" t="str">
        <x:v>Chain-of-thought prompting</x:v>
      </x:c>
      <x:c r="K17" s="2" t="str">
        <x:v>CoT_prompting</x:v>
      </x:c>
      <x:c r="L17" s="6" t="str">
        <x:v>使用链式思考提示，分两步从SAD和/或源代码中提取组件名称，并定义输出格式。</x:v>
      </x:c>
      <x:c r="M17" s="2" t="str">
        <x:v>Yes</x:v>
      </x:c>
      <x:c r="N17" s="2" t="str">
        <x:v>Full prompt reported</x:v>
      </x:c>
      <x:c r="O17" s="2" t="n">
        <x:v>0</x:v>
      </x:c>
      <x:c r="P17" s="2" t="str">
        <x:v>No</x:v>
      </x:c>
      <x:c r="Q17" s="2" t="str">
        <x:v>No</x:v>
      </x:c>
      <x:c r="R17" s="2" t="str">
        <x:v>No</x:v>
      </x:c>
      <x:c r="S17" s="2" t="str">
        <x:v>No</x:v>
      </x:c>
      <x:c r="T17" s="6" t="str">
        <x:v>p. 6; Section 3.2</x:v>
      </x:c>
      <x:c r="U17" s="6" t="str">
        <x:v>We use Chain-of-thought prompting to generate the simple SAM from the architecture documentation.</x:v>
      </x:c>
      <x:c r="V17" s="6" t="str">
        <x:v>ExArch使用链式思考提示，分两步并控制输出格式。</x:v>
      </x:c>
      <x:c r="W17" s="2" t="str">
        <x:v>Accepted</x:v>
      </x:c>
      <x:c r="X17" s="6" t="str">
        <x:v>NR</x:v>
      </x:c>
    </x:row>
    <x:row r="18" ht="76" customHeight="1">
      <x:c r="A18" s="2" t="str">
        <x:v>S02-FEATURE-R08</x:v>
      </x:c>
      <x:c r="B18" s="2" t="str">
        <x:v>S02</x:v>
      </x:c>
      <x:c r="C18" s="2" t="str">
        <x:v>merged_0007</x:v>
      </x:c>
      <x:c r="D18" s="2" t="str">
        <x:v>Reviewer_A</x:v>
      </x:c>
      <x:c r="E18" s="2" t="str">
        <x:v>Reviewer_A</x:v>
      </x:c>
      <x:c r="F18" s="2" t="str">
        <x:v>S02-CF08</x:v>
      </x:c>
      <x:c r="G18" s="2" t="str">
        <x:v>S02-MU08</x:v>
      </x:c>
      <x:c r="H18" s="2" t="str">
        <x:v>S02-O01</x:v>
      </x:c>
      <x:c r="I18" s="2" t="str">
        <x:v>Prompting</x:v>
      </x:c>
      <x:c r="J18" s="2" t="str">
        <x:v>Chain-of-thought prompting</x:v>
      </x:c>
      <x:c r="K18" s="2" t="str">
        <x:v>CoT_prompting</x:v>
      </x:c>
      <x:c r="L18" s="6" t="str">
        <x:v>使用链式思考提示，分两步从SAD和/或源代码中提取组件名称，并定义输出格式。</x:v>
      </x:c>
      <x:c r="M18" s="2" t="str">
        <x:v>Yes</x:v>
      </x:c>
      <x:c r="N18" s="2" t="str">
        <x:v>Full prompt reported</x:v>
      </x:c>
      <x:c r="O18" s="2" t="n">
        <x:v>0</x:v>
      </x:c>
      <x:c r="P18" s="2" t="str">
        <x:v>No</x:v>
      </x:c>
      <x:c r="Q18" s="2" t="str">
        <x:v>No</x:v>
      </x:c>
      <x:c r="R18" s="2" t="str">
        <x:v>No</x:v>
      </x:c>
      <x:c r="S18" s="2" t="str">
        <x:v>No</x:v>
      </x:c>
      <x:c r="T18" s="6" t="str">
        <x:v>p. 6; Section 3.2</x:v>
      </x:c>
      <x:c r="U18" s="6" t="str">
        <x:v>We use Chain-of-thought prompting to generate the simple SAM from the architecture documentation.</x:v>
      </x:c>
      <x:c r="V18" s="6" t="str">
        <x:v>ExArch使用链式思考提示，分两步并控制输出格式。</x:v>
      </x:c>
      <x:c r="W18" s="2" t="str">
        <x:v>Accepted</x:v>
      </x:c>
      <x:c r="X18" s="6" t="str">
        <x:v>NR</x:v>
      </x:c>
    </x:row>
    <x:row r="19" ht="76" customHeight="1">
      <x:c r="A19" s="2" t="str">
        <x:v>S02-FEATURE-R09</x:v>
      </x:c>
      <x:c r="B19" s="2" t="str">
        <x:v>S02</x:v>
      </x:c>
      <x:c r="C19" s="2" t="str">
        <x:v>merged_0007</x:v>
      </x:c>
      <x:c r="D19" s="2" t="str">
        <x:v>Reviewer_A</x:v>
      </x:c>
      <x:c r="E19" s="2" t="str">
        <x:v>Reviewer_A</x:v>
      </x:c>
      <x:c r="F19" s="2" t="str">
        <x:v>S02-CF09</x:v>
      </x:c>
      <x:c r="G19" s="2" t="str">
        <x:v>S02-MU12</x:v>
      </x:c>
      <x:c r="H19" s="2" t="str">
        <x:v>S02-O03</x:v>
      </x:c>
      <x:c r="I19" s="2" t="str">
        <x:v>Prompting</x:v>
      </x:c>
      <x:c r="J19" s="2" t="str">
        <x:v>Two-prompt NER strategy</x:v>
      </x:c>
      <x:c r="K19" s="2" t="str">
        <x:v>two_prompt_NER</x:v>
      </x:c>
      <x:c r="L19" s="6" t="str">
        <x:v>使用两个提示，第一个进行任务描述和实体识别，第二个将输出转换为JSON格式。</x:v>
      </x:c>
      <x:c r="M19" s="2" t="str">
        <x:v>Yes</x:v>
      </x:c>
      <x:c r="N19" s="2" t="str">
        <x:v>Full prompt reported</x:v>
      </x:c>
      <x:c r="O19" s="2" t="n">
        <x:v>0</x:v>
      </x:c>
      <x:c r="P19" s="2" t="str">
        <x:v>No</x:v>
      </x:c>
      <x:c r="Q19" s="2" t="str">
        <x:v>No</x:v>
      </x:c>
      <x:c r="R19" s="2" t="str">
        <x:v>No</x:v>
      </x:c>
      <x:c r="S19" s="2" t="str">
        <x:v>No</x:v>
      </x:c>
      <x:c r="T19" s="6" t="str">
        <x:v>p. 8; Section 4</x:v>
      </x:c>
      <x:c r="U19" s="6" t="str">
        <x:v>For the first step, the identification of architectural entities, ArTEMiS uses a two-prompt strategy.</x:v>
      </x:c>
      <x:c r="V19" s="6" t="str">
        <x:v>ArTEMiS两步提示策略，分离任务描述和格式化输出，确保解析可靠性。</x:v>
      </x:c>
      <x:c r="W19" s="2" t="str">
        <x:v>Accepted</x:v>
      </x:c>
      <x:c r="X19" s="6" t="str">
        <x:v>NR</x:v>
      </x:c>
    </x:row>
    <x:row r="20" ht="76" customHeight="1">
      <x:c r="A20" s="2" t="str">
        <x:v>S02-FEATURE-R10</x:v>
      </x:c>
      <x:c r="B20" s="2" t="str">
        <x:v>S02</x:v>
      </x:c>
      <x:c r="C20" s="2" t="str">
        <x:v>merged_0007</x:v>
      </x:c>
      <x:c r="D20" s="2" t="str">
        <x:v>Reviewer_A</x:v>
      </x:c>
      <x:c r="E20" s="2" t="str">
        <x:v>Reviewer_A</x:v>
      </x:c>
      <x:c r="F20" s="2" t="str">
        <x:v>S02-CF10</x:v>
      </x:c>
      <x:c r="G20" s="2" t="str">
        <x:v>S02-MU13</x:v>
      </x:c>
      <x:c r="H20" s="2" t="str">
        <x:v>S02-O03</x:v>
      </x:c>
      <x:c r="I20" s="2" t="str">
        <x:v>Prompting</x:v>
      </x:c>
      <x:c r="J20" s="2" t="str">
        <x:v>Two-prompt NER strategy</x:v>
      </x:c>
      <x:c r="K20" s="2" t="str">
        <x:v>two_prompt_NER</x:v>
      </x:c>
      <x:c r="L20" s="6" t="str">
        <x:v>使用两个提示，第一个进行任务描述和实体识别，第二个将输出转换为JSON格式。</x:v>
      </x:c>
      <x:c r="M20" s="2" t="str">
        <x:v>Yes</x:v>
      </x:c>
      <x:c r="N20" s="2" t="str">
        <x:v>Full prompt reported</x:v>
      </x:c>
      <x:c r="O20" s="2" t="n">
        <x:v>0</x:v>
      </x:c>
      <x:c r="P20" s="2" t="str">
        <x:v>No</x:v>
      </x:c>
      <x:c r="Q20" s="2" t="str">
        <x:v>No</x:v>
      </x:c>
      <x:c r="R20" s="2" t="str">
        <x:v>No</x:v>
      </x:c>
      <x:c r="S20" s="2" t="str">
        <x:v>No</x:v>
      </x:c>
      <x:c r="T20" s="6" t="str">
        <x:v>p. 8; Section 4</x:v>
      </x:c>
      <x:c r="U20" s="6" t="str">
        <x:v>For the first step, the identification of architectural entities, ArTEMiS uses a two-prompt strategy.</x:v>
      </x:c>
      <x:c r="V20" s="6" t="str">
        <x:v>ArTEMiS两步提示策略，分离任务描述和格式化输出，确保解析可靠性。</x:v>
      </x:c>
      <x:c r="W20" s="2" t="str">
        <x:v>Accepted</x:v>
      </x:c>
      <x:c r="X20" s="6" t="str">
        <x:v>NR</x:v>
      </x:c>
    </x:row>
    <x:row r="21" ht="76" customHeight="1">
      <x:c r="A21" s="2" t="str">
        <x:v>S02-FEATURE-R11</x:v>
      </x:c>
      <x:c r="B21" s="2" t="str">
        <x:v>S02</x:v>
      </x:c>
      <x:c r="C21" s="2" t="str">
        <x:v>merged_0007</x:v>
      </x:c>
      <x:c r="D21" s="2" t="str">
        <x:v>Reviewer_A</x:v>
      </x:c>
      <x:c r="E21" s="2" t="str">
        <x:v>Reviewer_A</x:v>
      </x:c>
      <x:c r="F21" s="2" t="str">
        <x:v>S02-CF11</x:v>
      </x:c>
      <x:c r="G21" s="2" t="str">
        <x:v>S02-MU14</x:v>
      </x:c>
      <x:c r="H21" s="2" t="str">
        <x:v>S02-O03</x:v>
      </x:c>
      <x:c r="I21" s="2" t="str">
        <x:v>Prompting</x:v>
      </x:c>
      <x:c r="J21" s="2" t="str">
        <x:v>Two-prompt NER strategy</x:v>
      </x:c>
      <x:c r="K21" s="2" t="str">
        <x:v>two_prompt_NER</x:v>
      </x:c>
      <x:c r="L21" s="6" t="str">
        <x:v>使用两个提示，第一个进行任务描述和实体识别，第二个将输出转换为JSON格式。</x:v>
      </x:c>
      <x:c r="M21" s="2" t="str">
        <x:v>Yes</x:v>
      </x:c>
      <x:c r="N21" s="2" t="str">
        <x:v>Full prompt reported</x:v>
      </x:c>
      <x:c r="O21" s="2" t="n">
        <x:v>0</x:v>
      </x:c>
      <x:c r="P21" s="2" t="str">
        <x:v>No</x:v>
      </x:c>
      <x:c r="Q21" s="2" t="str">
        <x:v>No</x:v>
      </x:c>
      <x:c r="R21" s="2" t="str">
        <x:v>No</x:v>
      </x:c>
      <x:c r="S21" s="2" t="str">
        <x:v>No</x:v>
      </x:c>
      <x:c r="T21" s="6" t="str">
        <x:v>p. 8; Section 4</x:v>
      </x:c>
      <x:c r="U21" s="6" t="str">
        <x:v>For the first step, the identification of architectural entities, ArTEMiS uses a two-prompt strategy.</x:v>
      </x:c>
      <x:c r="V21" s="6" t="str">
        <x:v>ArTEMiS两步提示策略，分离任务描述和格式化输出，确保解析可靠性。</x:v>
      </x:c>
      <x:c r="W21" s="2" t="str">
        <x:v>Accepted</x:v>
      </x:c>
      <x:c r="X21" s="6" t="str">
        <x:v>NR</x:v>
      </x:c>
    </x:row>
    <x:row r="22" ht="76" customHeight="1">
      <x:c r="A22" s="2" t="str">
        <x:v>S03-FEATURE-R01</x:v>
      </x:c>
      <x:c r="B22" s="2" t="str">
        <x:v>S03</x:v>
      </x:c>
      <x:c r="C22" s="2" t="str">
        <x:v>merged_0014</x:v>
      </x:c>
      <x:c r="D22" s="2" t="str">
        <x:v>Reviewer_A</x:v>
      </x:c>
      <x:c r="E22" s="2" t="str">
        <x:v>Reviewer_A</x:v>
      </x:c>
      <x:c r="F22" s="2" t="str">
        <x:v>S03-CF01</x:v>
      </x:c>
      <x:c r="G22" s="2" t="str">
        <x:v>S03-MU01</x:v>
      </x:c>
      <x:c r="H22" s="2" t="str">
        <x:v>S03-O01</x:v>
      </x:c>
      <x:c r="I22" s="2" t="str">
        <x:v>Prompting</x:v>
      </x:c>
      <x:c r="J22" s="2" t="str">
        <x:v>Zero-shot prompting</x:v>
      </x:c>
      <x:c r="K22" s="2" t="str">
        <x:v>zero-shot-prompting</x:v>
      </x:c>
      <x:c r="L22" s="6" t="str">
        <x:v>使用零样本提示，将领域服务作为上下文，输入类体（包括注释）生成领域意图</x:v>
      </x:c>
      <x:c r="M22" s="2" t="str">
        <x:v>Yes</x:v>
      </x:c>
      <x:c r="N22" s="2" t="str">
        <x:v>Partial description</x:v>
      </x:c>
      <x:c r="O22" s="2" t="n">
        <x:v>0</x:v>
      </x:c>
      <x:c r="P22" s="2" t="str">
        <x:v>No</x:v>
      </x:c>
      <x:c r="Q22" s="2" t="str">
        <x:v>No</x:v>
      </x:c>
      <x:c r="R22" s="2" t="str">
        <x:v>No</x:v>
      </x:c>
      <x:c r="S22" s="2" t="str">
        <x:v>No</x:v>
      </x:c>
      <x:c r="T22" s="6" t="str">
        <x:v>p. 2; Section 3.1 C</x:v>
      </x:c>
      <x:c r="U22" s="6" t="str">
        <x:v>The domain intent is generated by systematically prompting the LLMs using a zero-shot prompting technique with the domain services from the domain model as a context. The prompt contains class body including comments.</x:v>
      </x:c>
      <x:c r="V22" s="6" t="str">
        <x:v>提示策略为零样本，将领域服务作为上下文，包含类体；完整提示未提供</x:v>
      </x:c>
      <x:c r="W22" s="2" t="str">
        <x:v>Accepted</x:v>
      </x:c>
      <x:c r="X22" s="6" t="str">
        <x:v>NA</x:v>
      </x:c>
    </x:row>
    <x:row r="23" ht="76" customHeight="1">
      <x:c r="A23" s="2" t="str">
        <x:v>S04-FEATURE-R01</x:v>
      </x:c>
      <x:c r="B23" s="2" t="str">
        <x:v>S04</x:v>
      </x:c>
      <x:c r="C23" s="2" t="str">
        <x:v>merged_0075</x:v>
      </x:c>
      <x:c r="D23" s="2" t="str">
        <x:v>Reviewer_A</x:v>
      </x:c>
      <x:c r="E23" s="2" t="str">
        <x:v>Reviewer_A</x:v>
      </x:c>
      <x:c r="F23" s="2" t="str">
        <x:v>S04-CF01</x:v>
      </x:c>
      <x:c r="G23" s="2" t="str">
        <x:v>S04-MU01</x:v>
      </x:c>
      <x:c r="H23" s="2" t="str">
        <x:v>S04-O01</x:v>
      </x:c>
      <x:c r="I23" s="2" t="str">
        <x:v>Prompting</x:v>
      </x:c>
      <x:c r="J23" s="2" t="str">
        <x:v>Zero-Shot (0S) approach utilizing a meticulously crafted prompt</x:v>
      </x:c>
      <x:c r="K23" s="2" t="str">
        <x:v>zero-shot-prompting</x:v>
      </x:c>
      <x:c r="L23" s="6" t="str">
        <x:v>采用零样本提示策略，精心的系统角色提示包含任务描述、输入约束和输出格式要求，用户角色为空</x:v>
      </x:c>
      <x:c r="M23" s="2" t="str">
        <x:v>Yes</x:v>
      </x:c>
      <x:c r="N23" s="2" t="str">
        <x:v>Full prompt reported</x:v>
      </x:c>
      <x:c r="O23" s="2" t="n">
        <x:v>0</x:v>
      </x:c>
      <x:c r="P23" s="2" t="str">
        <x:v>No</x:v>
      </x:c>
      <x:c r="Q23" s="2" t="str">
        <x:v>No</x:v>
      </x:c>
      <x:c r="R23" s="2" t="str">
        <x:v>No</x:v>
      </x:c>
      <x:c r="S23" s="2" t="str">
        <x:v>NR</x:v>
      </x:c>
      <x:c r="T23" s="6" t="str">
        <x:v>p. 1; Abstract and Section 4</x:v>
      </x:c>
      <x:c r="U23" s="6" t="str">
        <x:v>We employ a Zero-Shot (0S) approach utilizing GPT-3.5-turbo, enhanced by employing a meticulously crafted prompt.</x:v>
      </x:c>
      <x:c r="V23" s="6" t="str">
        <x:v>该方法的核心是一个精心设计的零样本提示，提示内容完整给出，无检索增强或微调</x:v>
      </x:c>
      <x:c r="W23" s="2" t="str">
        <x:v>Accepted</x:v>
      </x:c>
      <x:c r="X23" s="6" t="str">
        <x:v>Fig.5 shows the full system role prompt; user role is empty</x:v>
      </x:c>
    </x:row>
    <x:row r="24" ht="76" customHeight="1">
      <x:c r="A24" s="2" t="str">
        <x:v>S05-FEATURE-R01</x:v>
      </x:c>
      <x:c r="B24" s="2" t="str">
        <x:v>S05</x:v>
      </x:c>
      <x:c r="C24" s="2" t="str">
        <x:v>merged_0077</x:v>
      </x:c>
      <x:c r="D24" s="2" t="str">
        <x:v>Reviewer_A</x:v>
      </x:c>
      <x:c r="E24" s="2" t="str">
        <x:v>Reviewer_A</x:v>
      </x:c>
      <x:c r="F24" s="2" t="str">
        <x:v>S05-CF01</x:v>
      </x:c>
      <x:c r="G24" s="2" t="str">
        <x:v>S05-MU03</x:v>
      </x:c>
      <x:c r="H24" s="2" t="str">
        <x:v>S05-O03</x:v>
      </x:c>
      <x:c r="I24" s="2" t="str">
        <x:v>Context construction</x:v>
      </x:c>
      <x:c r="J24" s="2" t="str">
        <x:v>structured prompt</x:v>
      </x:c>
      <x:c r="K24" s="2" t="str">
        <x:v>structured_prompt</x:v>
      </x:c>
      <x:c r="L24" s="6" t="str">
        <x:v>使用结构化JSON格式，将指令、上下文（代码构件列表）和待分析文档片段分离输入LLM。</x:v>
      </x:c>
      <x:c r="M24" s="2" t="str">
        <x:v>Yes</x:v>
      </x:c>
      <x:c r="N24" s="2" t="str">
        <x:v>Full prompt reported</x:v>
      </x:c>
      <x:c r="O24" s="2" t="n">
        <x:v>0</x:v>
      </x:c>
      <x:c r="P24" s="2" t="str">
        <x:v>No</x:v>
      </x:c>
      <x:c r="Q24" s="2" t="str">
        <x:v>No</x:v>
      </x:c>
      <x:c r="R24" s="2" t="str">
        <x:v>No</x:v>
      </x:c>
      <x:c r="S24" s="2" t="str">
        <x:v>NA</x:v>
      </x:c>
      <x:c r="T24" s="6" t="str">
        <x:v>p. 14; Section 3.4</x:v>
      </x:c>
      <x:c r="U24" s="6" t="str">
        <x:v>input schema to provide the LLM with separate, well-organized fields for instructions, context (available code artifacts), and the documentation segment under analysis [6, 54]. This design ensures</x:v>
      </x:c>
      <x:c r="V24" s="6" t="str">
        <x:v>该特征通过结构化输入减轻了LLM处理混合信息的负担。</x:v>
      </x:c>
      <x:c r="W24" s="2" t="str">
        <x:v>Accepted</x:v>
      </x:c>
      <x:c r="X24" s="6" t="str">
        <x:v>Complete versions of the prompts are provided in the Appendix. (p.14)</x:v>
      </x:c>
    </x:row>
    <x:row r="25" ht="76" customHeight="1">
      <x:c r="A25" s="2" t="str">
        <x:v>S05-FEATURE-R02</x:v>
      </x:c>
      <x:c r="B25" s="2" t="str">
        <x:v>S05</x:v>
      </x:c>
      <x:c r="C25" s="2" t="str">
        <x:v>merged_0077</x:v>
      </x:c>
      <x:c r="D25" s="2" t="str">
        <x:v>Reviewer_A</x:v>
      </x:c>
      <x:c r="E25" s="2" t="str">
        <x:v>Reviewer_A</x:v>
      </x:c>
      <x:c r="F25" s="2" t="str">
        <x:v>S05-CF02</x:v>
      </x:c>
      <x:c r="G25" s="2" t="str">
        <x:v>S05-MU06</x:v>
      </x:c>
      <x:c r="H25" s="2" t="str">
        <x:v>S05-O03</x:v>
      </x:c>
      <x:c r="I25" s="2" t="str">
        <x:v>Context construction</x:v>
      </x:c>
      <x:c r="J25" s="2" t="str">
        <x:v>structured prompt</x:v>
      </x:c>
      <x:c r="K25" s="2" t="str">
        <x:v>structured_prompt</x:v>
      </x:c>
      <x:c r="L25" s="6" t="str">
        <x:v>使用结构化JSON格式，将指令、上下文（代码构件列表）和待分析文档片段分离输入LLM。</x:v>
      </x:c>
      <x:c r="M25" s="2" t="str">
        <x:v>Yes</x:v>
      </x:c>
      <x:c r="N25" s="2" t="str">
        <x:v>Full prompt reported</x:v>
      </x:c>
      <x:c r="O25" s="2" t="n">
        <x:v>0</x:v>
      </x:c>
      <x:c r="P25" s="2" t="str">
        <x:v>No</x:v>
      </x:c>
      <x:c r="Q25" s="2" t="str">
        <x:v>No</x:v>
      </x:c>
      <x:c r="R25" s="2" t="str">
        <x:v>No</x:v>
      </x:c>
      <x:c r="S25" s="2" t="str">
        <x:v>NA</x:v>
      </x:c>
      <x:c r="T25" s="6" t="str">
        <x:v>p. 14; Section 3.4</x:v>
      </x:c>
      <x:c r="U25" s="6" t="str">
        <x:v>input schema to provide the LLM with separate, well-organized fields for instructions, context (available code artifacts), and the documentation segment under analysis [6, 54]. This design ensures</x:v>
      </x:c>
      <x:c r="V25" s="6" t="str">
        <x:v>该特征通过结构化输入减轻了LLM处理混合信息的负担。</x:v>
      </x:c>
      <x:c r="W25" s="2" t="str">
        <x:v>Accepted</x:v>
      </x:c>
      <x:c r="X25" s="6" t="str">
        <x:v>Complete versions of the prompts are provided in the Appendix. (p.14)</x:v>
      </x:c>
    </x:row>
    <x:row r="26" ht="76" customHeight="1">
      <x:c r="A26" s="2" t="str">
        <x:v>S05-FEATURE-R03</x:v>
      </x:c>
      <x:c r="B26" s="2" t="str">
        <x:v>S05</x:v>
      </x:c>
      <x:c r="C26" s="2" t="str">
        <x:v>merged_0077</x:v>
      </x:c>
      <x:c r="D26" s="2" t="str">
        <x:v>Reviewer_A</x:v>
      </x:c>
      <x:c r="E26" s="2" t="str">
        <x:v>Reviewer_A</x:v>
      </x:c>
      <x:c r="F26" s="2" t="str">
        <x:v>S05-CF03</x:v>
      </x:c>
      <x:c r="G26" s="2" t="str">
        <x:v>S05-MU09</x:v>
      </x:c>
      <x:c r="H26" s="2" t="str">
        <x:v>S05-O03</x:v>
      </x:c>
      <x:c r="I26" s="2" t="str">
        <x:v>Context construction</x:v>
      </x:c>
      <x:c r="J26" s="2" t="str">
        <x:v>structured prompt</x:v>
      </x:c>
      <x:c r="K26" s="2" t="str">
        <x:v>structured_prompt</x:v>
      </x:c>
      <x:c r="L26" s="6" t="str">
        <x:v>使用结构化JSON格式，将指令、上下文（代码构件列表）和待分析文档片段分离输入LLM。</x:v>
      </x:c>
      <x:c r="M26" s="2" t="str">
        <x:v>Yes</x:v>
      </x:c>
      <x:c r="N26" s="2" t="str">
        <x:v>Full prompt reported</x:v>
      </x:c>
      <x:c r="O26" s="2" t="n">
        <x:v>0</x:v>
      </x:c>
      <x:c r="P26" s="2" t="str">
        <x:v>No</x:v>
      </x:c>
      <x:c r="Q26" s="2" t="str">
        <x:v>No</x:v>
      </x:c>
      <x:c r="R26" s="2" t="str">
        <x:v>No</x:v>
      </x:c>
      <x:c r="S26" s="2" t="str">
        <x:v>NA</x:v>
      </x:c>
      <x:c r="T26" s="6" t="str">
        <x:v>p. 14; Section 3.4</x:v>
      </x:c>
      <x:c r="U26" s="6" t="str">
        <x:v>input schema to provide the LLM with separate, well-organized fields for instructions, context (available code artifacts), and the documentation segment under analysis [6, 54]. This design ensures</x:v>
      </x:c>
      <x:c r="V26" s="6" t="str">
        <x:v>该特征通过结构化输入减轻了LLM处理混合信息的负担。</x:v>
      </x:c>
      <x:c r="W26" s="2" t="str">
        <x:v>Accepted</x:v>
      </x:c>
      <x:c r="X26" s="6" t="str">
        <x:v>Complete versions of the prompts are provided in the Appendix. (p.14)</x:v>
      </x:c>
    </x:row>
    <x:row r="27" ht="76" customHeight="1">
      <x:c r="A27" s="2" t="str">
        <x:v>S05-FEATURE-R04</x:v>
      </x:c>
      <x:c r="B27" s="2" t="str">
        <x:v>S05</x:v>
      </x:c>
      <x:c r="C27" s="2" t="str">
        <x:v>merged_0077</x:v>
      </x:c>
      <x:c r="D27" s="2" t="str">
        <x:v>Reviewer_A</x:v>
      </x:c>
      <x:c r="E27" s="2" t="str">
        <x:v>Reviewer_A</x:v>
      </x:c>
      <x:c r="F27" s="2" t="str">
        <x:v>S05-CF04</x:v>
      </x:c>
      <x:c r="G27" s="2" t="str">
        <x:v>S05-MU03</x:v>
      </x:c>
      <x:c r="H27" s="2" t="str">
        <x:v>S05-O03</x:v>
      </x:c>
      <x:c r="I27" s="2" t="str">
        <x:v>Context construction</x:v>
      </x:c>
      <x:c r="J27" s="2" t="str">
        <x:v>one-to-many matching strategy</x:v>
      </x:c>
      <x:c r="K27" s="2" t="str">
        <x:v>one_to_many_matching</x:v>
      </x:c>
      <x:c r="L27" s="6" t="str">
        <x:v>将单个文档片段与所有候选代码构件同时进行匹配，而非逐对比较。</x:v>
      </x:c>
      <x:c r="M27" s="2" t="str">
        <x:v>NA</x:v>
      </x:c>
      <x:c r="N27" s="2" t="str">
        <x:v>NA</x:v>
      </x:c>
      <x:c r="O27" s="2" t="str">
        <x:v>NA</x:v>
      </x:c>
      <x:c r="P27" s="2" t="str">
        <x:v>No</x:v>
      </x:c>
      <x:c r="Q27" s="2" t="str">
        <x:v>No</x:v>
      </x:c>
      <x:c r="R27" s="2" t="str">
        <x:v>No</x:v>
      </x:c>
      <x:c r="S27" s="2" t="str">
        <x:v>NA</x:v>
      </x:c>
      <x:c r="T27" s="6" t="str">
        <x:v>p. 2; Section 1</x:v>
      </x:c>
      <x:c r="U27" s="6" t="str">
        <x:v>one-to-many matching strategy—where each documentation segment is evaluated against all potential code artifacts simultaneously</x:v>
      </x:c>
      <x:c r="V27" s="6" t="str">
        <x:v>该策略避免了对每个文档-代码对进行单独查询，提高了效率，但需要LLM处理更长的上下文。</x:v>
      </x:c>
      <x:c r="W27" s="2" t="str">
        <x:v>Accepted</x:v>
      </x:c>
      <x:c r="X27" s="6" t="str">
        <x:v>NA</x:v>
      </x:c>
    </x:row>
    <x:row r="28" ht="76" customHeight="1">
      <x:c r="A28" s="2" t="str">
        <x:v>S05-FEATURE-R05</x:v>
      </x:c>
      <x:c r="B28" s="2" t="str">
        <x:v>S05</x:v>
      </x:c>
      <x:c r="C28" s="2" t="str">
        <x:v>merged_0077</x:v>
      </x:c>
      <x:c r="D28" s="2" t="str">
        <x:v>Reviewer_A</x:v>
      </x:c>
      <x:c r="E28" s="2" t="str">
        <x:v>Reviewer_A</x:v>
      </x:c>
      <x:c r="F28" s="2" t="str">
        <x:v>S05-CF05</x:v>
      </x:c>
      <x:c r="G28" s="2" t="str">
        <x:v>S05-MU06</x:v>
      </x:c>
      <x:c r="H28" s="2" t="str">
        <x:v>S05-O03</x:v>
      </x:c>
      <x:c r="I28" s="2" t="str">
        <x:v>Context construction</x:v>
      </x:c>
      <x:c r="J28" s="2" t="str">
        <x:v>one-to-many matching strategy</x:v>
      </x:c>
      <x:c r="K28" s="2" t="str">
        <x:v>one_to_many_matching</x:v>
      </x:c>
      <x:c r="L28" s="6" t="str">
        <x:v>将单个文档片段与所有候选代码构件同时进行匹配，而非逐对比较。</x:v>
      </x:c>
      <x:c r="M28" s="2" t="str">
        <x:v>NA</x:v>
      </x:c>
      <x:c r="N28" s="2" t="str">
        <x:v>NA</x:v>
      </x:c>
      <x:c r="O28" s="2" t="str">
        <x:v>NA</x:v>
      </x:c>
      <x:c r="P28" s="2" t="str">
        <x:v>No</x:v>
      </x:c>
      <x:c r="Q28" s="2" t="str">
        <x:v>No</x:v>
      </x:c>
      <x:c r="R28" s="2" t="str">
        <x:v>No</x:v>
      </x:c>
      <x:c r="S28" s="2" t="str">
        <x:v>NA</x:v>
      </x:c>
      <x:c r="T28" s="6" t="str">
        <x:v>p. 2; Section 1</x:v>
      </x:c>
      <x:c r="U28" s="6" t="str">
        <x:v>one-to-many matching strategy—where each documentation segment is evaluated against all potential code artifacts simultaneously</x:v>
      </x:c>
      <x:c r="V28" s="6" t="str">
        <x:v>该策略避免了对每个文档-代码对进行单独查询，提高了效率，但需要LLM处理更长的上下文。</x:v>
      </x:c>
      <x:c r="W28" s="2" t="str">
        <x:v>Accepted</x:v>
      </x:c>
      <x:c r="X28" s="6" t="str">
        <x:v>NA</x:v>
      </x:c>
    </x:row>
    <x:row r="29" ht="76" customHeight="1">
      <x:c r="A29" s="2" t="str">
        <x:v>S05-FEATURE-R06</x:v>
      </x:c>
      <x:c r="B29" s="2" t="str">
        <x:v>S05</x:v>
      </x:c>
      <x:c r="C29" s="2" t="str">
        <x:v>merged_0077</x:v>
      </x:c>
      <x:c r="D29" s="2" t="str">
        <x:v>Reviewer_A</x:v>
      </x:c>
      <x:c r="E29" s="2" t="str">
        <x:v>Reviewer_A</x:v>
      </x:c>
      <x:c r="F29" s="2" t="str">
        <x:v>S05-CF06</x:v>
      </x:c>
      <x:c r="G29" s="2" t="str">
        <x:v>S05-MU09</x:v>
      </x:c>
      <x:c r="H29" s="2" t="str">
        <x:v>S05-O03</x:v>
      </x:c>
      <x:c r="I29" s="2" t="str">
        <x:v>Context construction</x:v>
      </x:c>
      <x:c r="J29" s="2" t="str">
        <x:v>one-to-many matching strategy</x:v>
      </x:c>
      <x:c r="K29" s="2" t="str">
        <x:v>one_to_many_matching</x:v>
      </x:c>
      <x:c r="L29" s="6" t="str">
        <x:v>将单个文档片段与所有候选代码构件同时进行匹配，而非逐对比较。</x:v>
      </x:c>
      <x:c r="M29" s="2" t="str">
        <x:v>NA</x:v>
      </x:c>
      <x:c r="N29" s="2" t="str">
        <x:v>NA</x:v>
      </x:c>
      <x:c r="O29" s="2" t="str">
        <x:v>NA</x:v>
      </x:c>
      <x:c r="P29" s="2" t="str">
        <x:v>No</x:v>
      </x:c>
      <x:c r="Q29" s="2" t="str">
        <x:v>No</x:v>
      </x:c>
      <x:c r="R29" s="2" t="str">
        <x:v>No</x:v>
      </x:c>
      <x:c r="S29" s="2" t="str">
        <x:v>NA</x:v>
      </x:c>
      <x:c r="T29" s="6" t="str">
        <x:v>p. 2; Section 1</x:v>
      </x:c>
      <x:c r="U29" s="6" t="str">
        <x:v>one-to-many matching strategy—where each documentation segment is evaluated against all potential code artifacts simultaneously</x:v>
      </x:c>
      <x:c r="V29" s="6" t="str">
        <x:v>该策略避免了对每个文档-代码对进行单独查询，提高了效率，但需要LLM处理更长的上下文。</x:v>
      </x:c>
      <x:c r="W29" s="2" t="str">
        <x:v>Accepted</x:v>
      </x:c>
      <x:c r="X29" s="6" t="str">
        <x:v>NA</x:v>
      </x:c>
    </x:row>
    <x:row r="30" ht="76" customHeight="1">
      <x:c r="A30" s="2" t="str">
        <x:v>S05-FEATURE-R07</x:v>
      </x:c>
      <x:c r="B30" s="2" t="str">
        <x:v>S05</x:v>
      </x:c>
      <x:c r="C30" s="2" t="str">
        <x:v>merged_0077</x:v>
      </x:c>
      <x:c r="D30" s="2" t="str">
        <x:v>Reviewer_A</x:v>
      </x:c>
      <x:c r="E30" s="2" t="str">
        <x:v>Reviewer_A</x:v>
      </x:c>
      <x:c r="F30" s="2" t="str">
        <x:v>S05-CF07</x:v>
      </x:c>
      <x:c r="G30" s="2" t="str">
        <x:v>S05-MU03</x:v>
      </x:c>
      <x:c r="H30" s="2" t="str">
        <x:v>S05-O03</x:v>
      </x:c>
      <x:c r="I30" s="2" t="str">
        <x:v>Calling and orchestration</x:v>
      </x:c>
      <x:c r="J30" s="2" t="str">
        <x:v>API request caching</x:v>
      </x:c>
      <x:c r="K30" s="2" t="str">
        <x:v>caching</x:v>
      </x:c>
      <x:c r="L30" s="6" t="str">
        <x:v>利用API提供商的缓存机制减少重复请求的成本，Anthropic需显式启用。</x:v>
      </x:c>
      <x:c r="M30" s="2" t="str">
        <x:v>NA</x:v>
      </x:c>
      <x:c r="N30" s="2" t="str">
        <x:v>NA</x:v>
      </x:c>
      <x:c r="O30" s="2" t="str">
        <x:v>NA</x:v>
      </x:c>
      <x:c r="P30" s="2" t="str">
        <x:v>No</x:v>
      </x:c>
      <x:c r="Q30" s="2" t="str">
        <x:v>No</x:v>
      </x:c>
      <x:c r="R30" s="2" t="str">
        <x:v>No</x:v>
      </x:c>
      <x:c r="S30" s="2" t="str">
        <x:v>NA</x:v>
      </x:c>
      <x:c r="T30" s="6" t="str">
        <x:v>p. 14; Section 3.4</x:v>
      </x:c>
      <x:c r="U30" s="6" t="str">
        <x:v>For efficiency, we leveraged built-in request caching: OpenAI enables caching by default for all API calls, while for Anthropic, it was explicitly enabled for our experiments.</x:v>
      </x:c>
      <x:c r="V30" s="6" t="str">
        <x:v>缓存是成本控制措施，不影响LLM的追溯能力，但影响实验效率。</x:v>
      </x:c>
      <x:c r="W30" s="2" t="str">
        <x:v>Accepted</x:v>
      </x:c>
      <x:c r="X30" s="6" t="str">
        <x:v>NA</x:v>
      </x:c>
    </x:row>
    <x:row r="31" ht="76" customHeight="1">
      <x:c r="A31" s="2" t="str">
        <x:v>S05-FEATURE-R08</x:v>
      </x:c>
      <x:c r="B31" s="2" t="str">
        <x:v>S05</x:v>
      </x:c>
      <x:c r="C31" s="2" t="str">
        <x:v>merged_0077</x:v>
      </x:c>
      <x:c r="D31" s="2" t="str">
        <x:v>Reviewer_A</x:v>
      </x:c>
      <x:c r="E31" s="2" t="str">
        <x:v>Reviewer_A</x:v>
      </x:c>
      <x:c r="F31" s="2" t="str">
        <x:v>S05-CF08</x:v>
      </x:c>
      <x:c r="G31" s="2" t="str">
        <x:v>S05-MU06</x:v>
      </x:c>
      <x:c r="H31" s="2" t="str">
        <x:v>S05-O03</x:v>
      </x:c>
      <x:c r="I31" s="2" t="str">
        <x:v>Calling and orchestration</x:v>
      </x:c>
      <x:c r="J31" s="2" t="str">
        <x:v>API request caching</x:v>
      </x:c>
      <x:c r="K31" s="2" t="str">
        <x:v>caching</x:v>
      </x:c>
      <x:c r="L31" s="6" t="str">
        <x:v>利用API提供商的缓存机制减少重复请求的成本，OpenAI默认开启。</x:v>
      </x:c>
      <x:c r="M31" s="2" t="str">
        <x:v>NA</x:v>
      </x:c>
      <x:c r="N31" s="2" t="str">
        <x:v>NA</x:v>
      </x:c>
      <x:c r="O31" s="2" t="str">
        <x:v>NA</x:v>
      </x:c>
      <x:c r="P31" s="2" t="str">
        <x:v>No</x:v>
      </x:c>
      <x:c r="Q31" s="2" t="str">
        <x:v>No</x:v>
      </x:c>
      <x:c r="R31" s="2" t="str">
        <x:v>No</x:v>
      </x:c>
      <x:c r="S31" s="2" t="str">
        <x:v>NA</x:v>
      </x:c>
      <x:c r="T31" s="6" t="str">
        <x:v>p. 14; Section 3.4</x:v>
      </x:c>
      <x:c r="U31" s="6" t="str">
        <x:v>For efficiency, we leveraged built-in request caching: OpenAI enables caching by default for all API calls, while for Anthropic, it was explicitly enabled for our experiments.</x:v>
      </x:c>
      <x:c r="V31" s="6" t="str">
        <x:v>缓存是成本控制措施，不影响LLM的追溯能力，但影响实验效率。</x:v>
      </x:c>
      <x:c r="W31" s="2" t="str">
        <x:v>Accepted</x:v>
      </x:c>
      <x:c r="X31" s="6" t="str">
        <x:v>NA</x:v>
      </x:c>
    </x:row>
    <x:row r="32" ht="76" customHeight="1">
      <x:c r="A32" s="2" t="str">
        <x:v>S05-FEATURE-R09</x:v>
      </x:c>
      <x:c r="B32" s="2" t="str">
        <x:v>S05</x:v>
      </x:c>
      <x:c r="C32" s="2" t="str">
        <x:v>merged_0077</x:v>
      </x:c>
      <x:c r="D32" s="2" t="str">
        <x:v>Reviewer_A</x:v>
      </x:c>
      <x:c r="E32" s="2" t="str">
        <x:v>Reviewer_A</x:v>
      </x:c>
      <x:c r="F32" s="2" t="str">
        <x:v>S05-CF09</x:v>
      </x:c>
      <x:c r="G32" s="2" t="str">
        <x:v>S05-MU09</x:v>
      </x:c>
      <x:c r="H32" s="2" t="str">
        <x:v>S05-O03</x:v>
      </x:c>
      <x:c r="I32" s="2" t="str">
        <x:v>Calling and orchestration</x:v>
      </x:c>
      <x:c r="J32" s="2" t="str">
        <x:v>API request caching</x:v>
      </x:c>
      <x:c r="K32" s="2" t="str">
        <x:v>caching</x:v>
      </x:c>
      <x:c r="L32" s="6" t="str">
        <x:v>利用API提供商的缓存机制减少重复请求的成本，OpenAI默认开启。</x:v>
      </x:c>
      <x:c r="M32" s="2" t="str">
        <x:v>NA</x:v>
      </x:c>
      <x:c r="N32" s="2" t="str">
        <x:v>NA</x:v>
      </x:c>
      <x:c r="O32" s="2" t="str">
        <x:v>NA</x:v>
      </x:c>
      <x:c r="P32" s="2" t="str">
        <x:v>No</x:v>
      </x:c>
      <x:c r="Q32" s="2" t="str">
        <x:v>No</x:v>
      </x:c>
      <x:c r="R32" s="2" t="str">
        <x:v>No</x:v>
      </x:c>
      <x:c r="S32" s="2" t="str">
        <x:v>NA</x:v>
      </x:c>
      <x:c r="T32" s="6" t="str">
        <x:v>p. 14; Section 3.4</x:v>
      </x:c>
      <x:c r="U32" s="6" t="str">
        <x:v>For efficiency, we leveraged built-in request caching: OpenAI enables caching by default for all API calls, while for Anthropic, it was explicitly enabled for our experiments.</x:v>
      </x:c>
      <x:c r="V32" s="6" t="str">
        <x:v>缓存是成本控制措施，不影响LLM的追溯能力，但影响实验效率。</x:v>
      </x:c>
      <x:c r="W32" s="2" t="str">
        <x:v>Accepted</x:v>
      </x:c>
      <x:c r="X32" s="6" t="str">
        <x:v>NA</x:v>
      </x:c>
    </x:row>
    <x:row r="33" ht="76" customHeight="1">
      <x:c r="A33" s="2" t="str">
        <x:v>S05-FEATURE-R10</x:v>
      </x:c>
      <x:c r="B33" s="2" t="str">
        <x:v>S05</x:v>
      </x:c>
      <x:c r="C33" s="2" t="str">
        <x:v>merged_0077</x:v>
      </x:c>
      <x:c r="D33" s="2" t="str">
        <x:v>Reviewer_A</x:v>
      </x:c>
      <x:c r="E33" s="2" t="str">
        <x:v>Reviewer_A</x:v>
      </x:c>
      <x:c r="F33" s="2" t="str">
        <x:v>S05-CF10</x:v>
      </x:c>
      <x:c r="G33" s="2" t="str">
        <x:v>S05-MU09</x:v>
      </x:c>
      <x:c r="H33" s="2" t="str">
        <x:v>S05-O03</x:v>
      </x:c>
      <x:c r="I33" s="2" t="str">
        <x:v>Output constraint</x:v>
      </x:c>
      <x:c r="J33" s="2" t="str">
        <x:v>reasoning_effort=high</x:v>
      </x:c>
      <x:c r="K33" s="2" t="str">
        <x:v>reasoning_effort_high</x:v>
      </x:c>
      <x:c r="L33" s="6" t="str">
        <x:v>将o3-mini的推理努力参数设置为高，以最大化推理性能。</x:v>
      </x:c>
      <x:c r="M33" s="2" t="str">
        <x:v>NA</x:v>
      </x:c>
      <x:c r="N33" s="2" t="str">
        <x:v>NA</x:v>
      </x:c>
      <x:c r="O33" s="2" t="str">
        <x:v>NA</x:v>
      </x:c>
      <x:c r="P33" s="2" t="str">
        <x:v>No</x:v>
      </x:c>
      <x:c r="Q33" s="2" t="str">
        <x:v>No</x:v>
      </x:c>
      <x:c r="R33" s="2" t="str">
        <x:v>No</x:v>
      </x:c>
      <x:c r="S33" s="2" t="str">
        <x:v>NA</x:v>
      </x:c>
      <x:c r="T33" s="6" t="str">
        <x:v>p. 14; Section 3.4</x:v>
      </x:c>
      <x:c r="U33" s="6" t="str">
        <x:v>the parameter reasoning_effort was explicitly set to high for o3-mini to maximize its reasoning performance</x:v>
      </x:c>
      <x:c r="V33" s="6" t="str">
        <x:v>该参数可能增加推理质量，但也可能增加延迟和成本。</x:v>
      </x:c>
      <x:c r="W33" s="2" t="str">
        <x:v>Accepted</x:v>
      </x:c>
      <x:c r="X33" s="6" t="str">
        <x:v>NA</x:v>
      </x:c>
    </x:row>
    <x:row r="34" ht="76" customHeight="1">
      <x:c r="A34" s="2" t="str">
        <x:v>S06-FEATURE-R01</x:v>
      </x:c>
      <x:c r="B34" s="2" t="str">
        <x:v>S06</x:v>
      </x:c>
      <x:c r="C34" s="2" t="str">
        <x:v>merged_0079</x:v>
      </x:c>
      <x:c r="D34" s="2" t="str">
        <x:v>Reviewer_A</x:v>
      </x:c>
      <x:c r="E34" s="2" t="str">
        <x:v>Reviewer_A</x:v>
      </x:c>
      <x:c r="F34" s="2" t="str">
        <x:v>S06-CF01</x:v>
      </x:c>
      <x:c r="G34" s="2" t="str">
        <x:v>S06-MU01</x:v>
      </x:c>
      <x:c r="H34" s="2" t="str">
        <x:v>S06-O01</x:v>
      </x:c>
      <x:c r="I34" s="2" t="str">
        <x:v>Prompting</x:v>
      </x:c>
      <x:c r="J34" s="2" t="str">
        <x:v>Initial Agent Prompt with Heuristics</x:v>
      </x:c>
      <x:c r="K34" s="2" t="str">
        <x:v>prompt-heuristics</x:v>
      </x:c>
      <x:c r="L34" s="6" t="str">
        <x:v>初始提示包含问题解释、通用规则以及跨函数调用组合数据的启发式建议，如从问题参与者中选择提交作者。</x:v>
      </x:c>
      <x:c r="M34" s="2" t="str">
        <x:v>Yes</x:v>
      </x:c>
      <x:c r="N34" s="2" t="str">
        <x:v>Partial description</x:v>
      </x:c>
      <x:c r="O34" s="2" t="str">
        <x:v>NA</x:v>
      </x:c>
      <x:c r="P34" s="2" t="str">
        <x:v>No</x:v>
      </x:c>
      <x:c r="Q34" s="2" t="str">
        <x:v>No</x:v>
      </x:c>
      <x:c r="R34" s="2" t="str">
        <x:v>No</x:v>
      </x:c>
      <x:c r="S34" s="2" t="str">
        <x:v>NR</x:v>
      </x:c>
      <x:c r="T34" s="6" t="str">
        <x:v>p. 6; Section IV-C Prompting</x:v>
      </x:c>
      <x:c r="U34" s="6" t="str">
        <x:v>we also explain key heuristics for combining data across function calls.</x:v>
      </x:c>
      <x:c r="V34" s="6" t="str">
        <x:v>提示工程为LLM提供了问题框架和启发式策略，增强其推理效率，但未公开完整提示。</x:v>
      </x:c>
      <x:c r="W34" s="2" t="str">
        <x:v>Accepted</x:v>
      </x:c>
      <x:c r="X34" s="6" t="str">
        <x:v>完整提示见复制包，但论文中仅部分描述。</x:v>
      </x:c>
    </x:row>
    <x:row r="35" ht="76" customHeight="1">
      <x:c r="A35" s="2" t="str">
        <x:v>S06-FEATURE-R02</x:v>
      </x:c>
      <x:c r="B35" s="2" t="str">
        <x:v>S06</x:v>
      </x:c>
      <x:c r="C35" s="2" t="str">
        <x:v>merged_0079</x:v>
      </x:c>
      <x:c r="D35" s="2" t="str">
        <x:v>Reviewer_A</x:v>
      </x:c>
      <x:c r="E35" s="2" t="str">
        <x:v>Reviewer_A</x:v>
      </x:c>
      <x:c r="F35" s="2" t="str">
        <x:v>S06-CF02</x:v>
      </x:c>
      <x:c r="G35" s="2" t="str">
        <x:v>S06-MU01</x:v>
      </x:c>
      <x:c r="H35" s="2" t="str">
        <x:v>S06-O01</x:v>
      </x:c>
      <x:c r="I35" s="2" t="str">
        <x:v>Output constraint</x:v>
      </x:c>
      <x:c r="J35" s="2" t="str">
        <x:v>Feedback mechanism (Discard/Preserve)</x:v>
      </x:c>
      <x:c r="K35" s="2" t="str">
        <x:v>feedback-discard</x:v>
      </x:c>
      <x:c r="L35" s="6" t="str">
        <x:v>当函数调用返回超过40kB数据时，系统请求反馈，LLM可选择丢弃不相关输出以节省token窗口。</x:v>
      </x:c>
      <x:c r="M35" s="2" t="str">
        <x:v>NA</x:v>
      </x:c>
      <x:c r="N35" s="2" t="str">
        <x:v>NA</x:v>
      </x:c>
      <x:c r="O35" s="2" t="str">
        <x:v>NA</x:v>
      </x:c>
      <x:c r="P35" s="2" t="str">
        <x:v>No</x:v>
      </x:c>
      <x:c r="Q35" s="2" t="str">
        <x:v>No</x:v>
      </x:c>
      <x:c r="R35" s="2" t="str">
        <x:v>No</x:v>
      </x:c>
      <x:c r="S35" s="2" t="str">
        <x:v>NR</x:v>
      </x:c>
      <x:c r="T35" s="6" t="str">
        <x:v>p. 5; Section IV-B Control Functions</x:v>
      </x:c>
      <x:c r="U35" s="6" t="str">
        <x:v>Whenever a function call returns more than a predefined number of bytes of data, a request for Feedback is issued</x:v>
      </x:c>
      <x:c r="V35" s="6" t="str">
        <x:v>通过主动丢弃无关输出，有效控制上下文长度，防止token超限，提升长对话下的稳定性。</x:v>
      </x:c>
      <x:c r="W35" s="2" t="str">
        <x:v>Accepted</x:v>
      </x:c>
      <x:c r="X35" s="6" t="str">
        <x:v>NA</x:v>
      </x:c>
    </x:row>
    <x:row r="36" ht="76" customHeight="1">
      <x:c r="A36" s="2" t="str">
        <x:v>S06-FEATURE-R03</x:v>
      </x:c>
      <x:c r="B36" s="2" t="str">
        <x:v>S06</x:v>
      </x:c>
      <x:c r="C36" s="2" t="str">
        <x:v>merged_0079</x:v>
      </x:c>
      <x:c r="D36" s="2" t="str">
        <x:v>Reviewer_A</x:v>
      </x:c>
      <x:c r="E36" s="2" t="str">
        <x:v>Reviewer_A</x:v>
      </x:c>
      <x:c r="F36" s="2" t="str">
        <x:v>S06-CF03</x:v>
      </x:c>
      <x:c r="G36" s="2" t="str">
        <x:v>S06-MU01</x:v>
      </x:c>
      <x:c r="H36" s="2" t="str">
        <x:v>S06-O01</x:v>
      </x:c>
      <x:c r="I36" s="2" t="str">
        <x:v>Calling and orchestration</x:v>
      </x:c>
      <x:c r="J36" s="2" t="str">
        <x:v>Agent limits (max iterations, token budget)</x:v>
      </x:c>
      <x:c r="K36" s="2" t="str">
        <x:v>agent-limits</x:v>
      </x:c>
      <x:c r="L36" s="6" t="str">
        <x:v>系统限制LLM最多20次函数调用迭代和每issue 200k tokens的总用量，确保终止并控制成本。</x:v>
      </x:c>
      <x:c r="M36" s="2" t="str">
        <x:v>NA</x:v>
      </x:c>
      <x:c r="N36" s="2" t="str">
        <x:v>NA</x:v>
      </x:c>
      <x:c r="O36" s="2" t="str">
        <x:v>NA</x:v>
      </x:c>
      <x:c r="P36" s="2" t="str">
        <x:v>No</x:v>
      </x:c>
      <x:c r="Q36" s="2" t="str">
        <x:v>No</x:v>
      </x:c>
      <x:c r="R36" s="2" t="str">
        <x:v>No</x:v>
      </x:c>
      <x:c r="S36" s="2" t="str">
        <x:v>迭代次数和token预算限制由中间件强制执行，并在初始提示中告知LLM。</x:v>
      </x:c>
      <x:c r="T36" s="6" t="str">
        <x:v>p. 7; Section V-A3 Model Configuration</x:v>
      </x:c>
      <x:c r="U36" s="6" t="str">
        <x:v>We limited our agent to a maximum of 20 iterations when communicating with the LLM and restricted it to a total of 200k tokens per issue.</x:v>
      </x:c>
      <x:c r="V36" s="6" t="str">
        <x:v>硬性限制保障了可行性和可重现性，是代理编排的关键约束。</x:v>
      </x:c>
      <x:c r="W36" s="2" t="str">
        <x:v>Accepted</x:v>
      </x:c>
      <x:c r="X36" s="6" t="str">
        <x:v>NA</x:v>
      </x:c>
    </x:row>
    <x:row r="37" ht="76" customHeight="1">
      <x:c r="A37" s="2" t="str">
        <x:v>S07-FEATURE-R01</x:v>
      </x:c>
      <x:c r="B37" s="2" t="str">
        <x:v>S07</x:v>
      </x:c>
      <x:c r="C37" s="2" t="str">
        <x:v>merged_0110</x:v>
      </x:c>
      <x:c r="D37" s="2" t="str">
        <x:v>Reviewer_A</x:v>
      </x:c>
      <x:c r="E37" s="2" t="str">
        <x:v>Reviewer_A</x:v>
      </x:c>
      <x:c r="F37" s="2" t="str">
        <x:v>S07-CF01</x:v>
      </x:c>
      <x:c r="G37" s="2" t="str">
        <x:v>S07-MU01</x:v>
      </x:c>
      <x:c r="H37" s="2" t="str">
        <x:v>S07-O01</x:v>
      </x:c>
      <x:c r="I37" s="2" t="str">
        <x:v>Prompting</x:v>
      </x:c>
      <x:c r="J37" s="2" t="str">
        <x:v>BASE</x:v>
      </x:c>
      <x:c r="K37" s="2" t="str">
        <x:v>BASE</x:v>
      </x:c>
      <x:c r="L37" s="6" t="str">
        <x:v>默认提示模板：系统默认角色，用户指令包含任务、上下文、规则和 JSON 对象输出格式。</x:v>
      </x:c>
      <x:c r="M37" s="2" t="str">
        <x:v>Yes</x:v>
      </x:c>
      <x:c r="N37" s="2" t="str">
        <x:v>Partial description</x:v>
      </x:c>
      <x:c r="O37" s="2" t="str">
        <x:v>NR</x:v>
      </x:c>
      <x:c r="P37" s="2" t="str">
        <x:v>No</x:v>
      </x:c>
      <x:c r="Q37" s="2" t="str">
        <x:v>No</x:v>
      </x:c>
      <x:c r="R37" s="2" t="str">
        <x:v>No</x:v>
      </x:c>
      <x:c r="S37" s="2" t="str">
        <x:v>Iterates over each requirement, sending one request per requirement to the LLM.</x:v>
      </x:c>
      <x:c r="T37" s="6" t="str">
        <x:v>p. 5; Table 3</x:v>
      </x:c>
      <x:c r="U37" s="6" t="str">
        <x:v>BASE DO: System: Default Role. User: Instruction and Objectives, Context information, Rules and Guidelines, and Output format (JSON Object)</x:v>
      </x:c>
      <x:c r="V37" s="6" t="str">
        <x:v>GPT-3.5 使用 BASE 提示模板进行实验。</x:v>
      </x:c>
      <x:c r="W37" s="2" t="str">
        <x:v>Accepted</x:v>
      </x:c>
      <x:c r="X37" s="6" t="str">
        <x:v>NA</x:v>
      </x:c>
    </x:row>
    <x:row r="38" ht="76" customHeight="1">
      <x:c r="A38" s="2" t="str">
        <x:v>S07-FEATURE-R02</x:v>
      </x:c>
      <x:c r="B38" s="2" t="str">
        <x:v>S07</x:v>
      </x:c>
      <x:c r="C38" s="2" t="str">
        <x:v>merged_0110</x:v>
      </x:c>
      <x:c r="D38" s="2" t="str">
        <x:v>Reviewer_A</x:v>
      </x:c>
      <x:c r="E38" s="2" t="str">
        <x:v>Reviewer_A</x:v>
      </x:c>
      <x:c r="F38" s="2" t="str">
        <x:v>S07-CF02</x:v>
      </x:c>
      <x:c r="G38" s="2" t="str">
        <x:v>S07-MU01</x:v>
      </x:c>
      <x:c r="H38" s="2" t="str">
        <x:v>S07-O01</x:v>
      </x:c>
      <x:c r="I38" s="2" t="str">
        <x:v>Prompting</x:v>
      </x:c>
      <x:c r="J38" s="2" t="str">
        <x:v>PT1</x:v>
      </x:c>
      <x:c r="K38" s="2" t="str">
        <x:v>PT1</x:v>
      </x:c>
      <x:c r="L38" s="6" t="str">
        <x:v>输出格式改为 JSON 数组。</x:v>
      </x:c>
      <x:c r="M38" s="2" t="str">
        <x:v>Yes</x:v>
      </x:c>
      <x:c r="N38" s="2" t="str">
        <x:v>Partial description</x:v>
      </x:c>
      <x:c r="O38" s="2" t="str">
        <x:v>NR</x:v>
      </x:c>
      <x:c r="P38" s="2" t="str">
        <x:v>No</x:v>
      </x:c>
      <x:c r="Q38" s="2" t="str">
        <x:v>No</x:v>
      </x:c>
      <x:c r="R38" s="2" t="str">
        <x:v>No</x:v>
      </x:c>
      <x:c r="S38" s="2" t="str">
        <x:v>Iterates over each requirement, sending one request per requirement to the LLM.</x:v>
      </x:c>
      <x:c r="T38" s="6" t="str">
        <x:v>p. 5; Table 3</x:v>
      </x:c>
      <x:c r="U38" s="6" t="str">
        <x:v>PT1 NO: System: The output format is changed to a JSON</x:v>
      </x:c>
      <x:c r="V38" s="6" t="str">
        <x:v>GPT-3.5 使用 PT1 提示模板进行实验。</x:v>
      </x:c>
      <x:c r="W38" s="2" t="str">
        <x:v>Accepted</x:v>
      </x:c>
      <x:c r="X38" s="6" t="str">
        <x:v>NA</x:v>
      </x:c>
    </x:row>
    <x:row r="39" ht="76" customHeight="1">
      <x:c r="A39" s="2" t="str">
        <x:v>S07-FEATURE-R03</x:v>
      </x:c>
      <x:c r="B39" s="2" t="str">
        <x:v>S07</x:v>
      </x:c>
      <x:c r="C39" s="2" t="str">
        <x:v>merged_0110</x:v>
      </x:c>
      <x:c r="D39" s="2" t="str">
        <x:v>Reviewer_A</x:v>
      </x:c>
      <x:c r="E39" s="2" t="str">
        <x:v>Reviewer_A</x:v>
      </x:c>
      <x:c r="F39" s="2" t="str">
        <x:v>S07-CF03</x:v>
      </x:c>
      <x:c r="G39" s="2" t="str">
        <x:v>S07-MU01</x:v>
      </x:c>
      <x:c r="H39" s="2" t="str">
        <x:v>S07-O01</x:v>
      </x:c>
      <x:c r="I39" s="2" t="str">
        <x:v>Prompting</x:v>
      </x:c>
      <x:c r="J39" s="2" t="str">
        <x:v>PT2</x:v>
      </x:c>
      <x:c r="K39" s="2" t="str">
        <x:v>PT2</x:v>
      </x:c>
      <x:c r="L39" s="6" t="str">
        <x:v>更改系统提示角色为任务特定角色，并采用 JSON 数组输出。</x:v>
      </x:c>
      <x:c r="M39" s="2" t="str">
        <x:v>Yes</x:v>
      </x:c>
      <x:c r="N39" s="2" t="str">
        <x:v>Partial description</x:v>
      </x:c>
      <x:c r="O39" s="2" t="str">
        <x:v>NR</x:v>
      </x:c>
      <x:c r="P39" s="2" t="str">
        <x:v>No</x:v>
      </x:c>
      <x:c r="Q39" s="2" t="str">
        <x:v>No</x:v>
      </x:c>
      <x:c r="R39" s="2" t="str">
        <x:v>No</x:v>
      </x:c>
      <x:c r="S39" s="2" t="str">
        <x:v>Iterates over each requirement, sending one request per requirement to the LLM.</x:v>
      </x:c>
      <x:c r="T39" s="6" t="str">
        <x:v>p. 5; Table 3</x:v>
      </x:c>
      <x:c r="U39" s="6" t="str">
        <x:v>PT2 NO + RS: Changed from default system prompt role to a task-specific role</x:v>
      </x:c>
      <x:c r="V39" s="6" t="str">
        <x:v>GPT-3.5 使用 PT2 提示模板进行实验。</x:v>
      </x:c>
      <x:c r="W39" s="2" t="str">
        <x:v>Accepted</x:v>
      </x:c>
      <x:c r="X39" s="6" t="str">
        <x:v>NA</x:v>
      </x:c>
    </x:row>
    <x:row r="40" ht="76" customHeight="1">
      <x:c r="A40" s="2" t="str">
        <x:v>S07-FEATURE-R04</x:v>
      </x:c>
      <x:c r="B40" s="2" t="str">
        <x:v>S07</x:v>
      </x:c>
      <x:c r="C40" s="2" t="str">
        <x:v>merged_0110</x:v>
      </x:c>
      <x:c r="D40" s="2" t="str">
        <x:v>Reviewer_A</x:v>
      </x:c>
      <x:c r="E40" s="2" t="str">
        <x:v>Reviewer_A</x:v>
      </x:c>
      <x:c r="F40" s="2" t="str">
        <x:v>S07-CF04</x:v>
      </x:c>
      <x:c r="G40" s="2" t="str">
        <x:v>S07-MU01</x:v>
      </x:c>
      <x:c r="H40" s="2" t="str">
        <x:v>S07-O01</x:v>
      </x:c>
      <x:c r="I40" s="2" t="str">
        <x:v>Prompting</x:v>
      </x:c>
      <x:c r="J40" s="2" t="str">
        <x:v>PT3</x:v>
      </x:c>
      <x:c r="K40" s="2" t="str">
        <x:v>PT3</x:v>
      </x:c>
      <x:c r="L40" s="6" t="str">
        <x:v>默认 JSON 对象输出，同时采用任务特定角色。</x:v>
      </x:c>
      <x:c r="M40" s="2" t="str">
        <x:v>Yes</x:v>
      </x:c>
      <x:c r="N40" s="2" t="str">
        <x:v>Partial description</x:v>
      </x:c>
      <x:c r="O40" s="2" t="str">
        <x:v>NR</x:v>
      </x:c>
      <x:c r="P40" s="2" t="str">
        <x:v>No</x:v>
      </x:c>
      <x:c r="Q40" s="2" t="str">
        <x:v>No</x:v>
      </x:c>
      <x:c r="R40" s="2" t="str">
        <x:v>No</x:v>
      </x:c>
      <x:c r="S40" s="2" t="str">
        <x:v>Iterates over each requirement, sending one request per requirement to the LLM.</x:v>
      </x:c>
      <x:c r="T40" s="6" t="str">
        <x:v>p. 5; Table 3</x:v>
      </x:c>
      <x:c r="U40" s="6" t="str">
        <x:v>PT3 DO + RS</x:v>
      </x:c>
      <x:c r="V40" s="6" t="str">
        <x:v>GPT-3.5 使用 PT3 提示模板进行实验。</x:v>
      </x:c>
      <x:c r="W40" s="2" t="str">
        <x:v>Accepted</x:v>
      </x:c>
      <x:c r="X40" s="6" t="str">
        <x:v>NA</x:v>
      </x:c>
    </x:row>
    <x:row r="41" ht="76" customHeight="1">
      <x:c r="A41" s="2" t="str">
        <x:v>S07-FEATURE-R05</x:v>
      </x:c>
      <x:c r="B41" s="2" t="str">
        <x:v>S07</x:v>
      </x:c>
      <x:c r="C41" s="2" t="str">
        <x:v>merged_0110</x:v>
      </x:c>
      <x:c r="D41" s="2" t="str">
        <x:v>Reviewer_A</x:v>
      </x:c>
      <x:c r="E41" s="2" t="str">
        <x:v>Reviewer_A</x:v>
      </x:c>
      <x:c r="F41" s="2" t="str">
        <x:v>S07-CF05</x:v>
      </x:c>
      <x:c r="G41" s="2" t="str">
        <x:v>S07-MU01</x:v>
      </x:c>
      <x:c r="H41" s="2" t="str">
        <x:v>S07-O01</x:v>
      </x:c>
      <x:c r="I41" s="2" t="str">
        <x:v>Prompting</x:v>
      </x:c>
      <x:c r="J41" s="2" t="str">
        <x:v>PT4</x:v>
      </x:c>
      <x:c r="K41" s="2" t="str">
        <x:v>PT4</x:v>
      </x:c>
      <x:c r="L41" s="6" t="str">
        <x:v>系统提示包含语气指导作为角色、指令、上下文信息、规则和输出格式；用户提示包含任务描述、上下文和数据。采用 JSON 数组输出。</x:v>
      </x:c>
      <x:c r="M41" s="2" t="str">
        <x:v>Yes</x:v>
      </x:c>
      <x:c r="N41" s="2" t="str">
        <x:v>Full prompt reported</x:v>
      </x:c>
      <x:c r="O41" s="2" t="str">
        <x:v>NR</x:v>
      </x:c>
      <x:c r="P41" s="2" t="str">
        <x:v>No</x:v>
      </x:c>
      <x:c r="Q41" s="2" t="str">
        <x:v>No</x:v>
      </x:c>
      <x:c r="R41" s="2" t="str">
        <x:v>No</x:v>
      </x:c>
      <x:c r="S41" s="2" t="str">
        <x:v>Iterates over each requirement, sending one request per requirement to the LLM.</x:v>
      </x:c>
      <x:c r="T41" s="6" t="str">
        <x:v>p. 5; Table 3</x:v>
      </x:c>
      <x:c r="U41" s="6" t="str">
        <x:v>RS + NO + ReOP: System: Tone guidelines as role, Instructions, Context information, Rules and Guidelines,</x:v>
      </x:c>
      <x:c r="V41" s="6" t="str">
        <x:v>GPT-3.5 使用 PT4 提示模板进行实验，该模板的完整系统提示与用户提示见论文 5 页。</x:v>
      </x:c>
      <x:c r="W41" s="2" t="str">
        <x:v>Accepted</x:v>
      </x:c>
      <x:c r="X41" s="6" t="str">
        <x:v>Full prompt example on p.5, Section 4.3.</x:v>
      </x:c>
    </x:row>
    <x:row r="42" ht="76" customHeight="1">
      <x:c r="A42" s="2" t="str">
        <x:v>S07-FEATURE-R06</x:v>
      </x:c>
      <x:c r="B42" s="2" t="str">
        <x:v>S07</x:v>
      </x:c>
      <x:c r="C42" s="2" t="str">
        <x:v>merged_0110</x:v>
      </x:c>
      <x:c r="D42" s="2" t="str">
        <x:v>Reviewer_A</x:v>
      </x:c>
      <x:c r="E42" s="2" t="str">
        <x:v>Reviewer_A</x:v>
      </x:c>
      <x:c r="F42" s="2" t="str">
        <x:v>S07-CF06</x:v>
      </x:c>
      <x:c r="G42" s="2" t="str">
        <x:v>S07-MU01</x:v>
      </x:c>
      <x:c r="H42" s="2" t="str">
        <x:v>S07-O01</x:v>
      </x:c>
      <x:c r="I42" s="2" t="str">
        <x:v>Prompting</x:v>
      </x:c>
      <x:c r="J42" s="2" t="str">
        <x:v>PT5</x:v>
      </x:c>
      <x:c r="K42" s="2" t="str">
        <x:v>PT5</x:v>
      </x:c>
      <x:c r="L42" s="6" t="str">
        <x:v>与 PT4 类似，但采用默认 JSON 对象输出。</x:v>
      </x:c>
      <x:c r="M42" s="2" t="str">
        <x:v>Yes</x:v>
      </x:c>
      <x:c r="N42" s="2" t="str">
        <x:v>Partial description</x:v>
      </x:c>
      <x:c r="O42" s="2" t="str">
        <x:v>NR</x:v>
      </x:c>
      <x:c r="P42" s="2" t="str">
        <x:v>No</x:v>
      </x:c>
      <x:c r="Q42" s="2" t="str">
        <x:v>No</x:v>
      </x:c>
      <x:c r="R42" s="2" t="str">
        <x:v>No</x:v>
      </x:c>
      <x:c r="S42" s="2" t="str">
        <x:v>Iterates over each requirement, sending one request per requirement to the LLM.</x:v>
      </x:c>
      <x:c r="T42" s="6" t="str">
        <x:v>p. 5; Table 3</x:v>
      </x:c>
      <x:c r="U42" s="6" t="str">
        <x:v>PT5 RS + DO + ReOP</x:v>
      </x:c>
      <x:c r="V42" s="6" t="str">
        <x:v>GPT-3.5 使用 PT5 提示模板进行实验。</x:v>
      </x:c>
      <x:c r="W42" s="2" t="str">
        <x:v>Accepted</x:v>
      </x:c>
      <x:c r="X42" s="6" t="str">
        <x:v>NA</x:v>
      </x:c>
    </x:row>
    <x:row r="43" ht="76" customHeight="1">
      <x:c r="A43" s="2" t="str">
        <x:v>S07-FEATURE-R07</x:v>
      </x:c>
      <x:c r="B43" s="2" t="str">
        <x:v>S07</x:v>
      </x:c>
      <x:c r="C43" s="2" t="str">
        <x:v>merged_0110</x:v>
      </x:c>
      <x:c r="D43" s="2" t="str">
        <x:v>Reviewer_A</x:v>
      </x:c>
      <x:c r="E43" s="2" t="str">
        <x:v>Reviewer_A</x:v>
      </x:c>
      <x:c r="F43" s="2" t="str">
        <x:v>S07-CF07</x:v>
      </x:c>
      <x:c r="G43" s="2" t="str">
        <x:v>S07-MU01</x:v>
      </x:c>
      <x:c r="H43" s="2" t="str">
        <x:v>S07-O01</x:v>
      </x:c>
      <x:c r="I43" s="2" t="str">
        <x:v>Prompting</x:v>
      </x:c>
      <x:c r="J43" s="2" t="str">
        <x:v>PT6</x:v>
      </x:c>
      <x:c r="K43" s="2" t="str">
        <x:v>PT6</x:v>
      </x:c>
      <x:c r="L43" s="6" t="str">
        <x:v>采用严格的分节结构，包含语气指导作为角色、指令与目标、任务上下文、规则和输出格式；用户提示仅包含任务数据。JSON 数组输出。</x:v>
      </x:c>
      <x:c r="M43" s="2" t="str">
        <x:v>Yes</x:v>
      </x:c>
      <x:c r="N43" s="2" t="str">
        <x:v>Partial description</x:v>
      </x:c>
      <x:c r="O43" s="2" t="str">
        <x:v>NR</x:v>
      </x:c>
      <x:c r="P43" s="2" t="str">
        <x:v>No</x:v>
      </x:c>
      <x:c r="Q43" s="2" t="str">
        <x:v>No</x:v>
      </x:c>
      <x:c r="R43" s="2" t="str">
        <x:v>No</x:v>
      </x:c>
      <x:c r="S43" s="2" t="str">
        <x:v>Iterates over each requirement, sending one request per requirement to the LLM.</x:v>
      </x:c>
      <x:c r="T43" s="6" t="str">
        <x:v>p. 5; Table 3</x:v>
      </x:c>
      <x:c r="U43" s="6" t="str">
        <x:v>PT6 RS + NO + PP: Strict structure using section division of each component. Tone guidelines as role, Instruction and Objectives, Task context, Rules, and Output format. User: Task data</x:v>
      </x:c>
      <x:c r="V43" s="6" t="str">
        <x:v>GPT-3.5 使用 PT6 提示模板进行实验。</x:v>
      </x:c>
      <x:c r="W43" s="2" t="str">
        <x:v>Accepted</x:v>
      </x:c>
      <x:c r="X43" s="6" t="str">
        <x:v>NA</x:v>
      </x:c>
    </x:row>
    <x:row r="44" ht="76" customHeight="1">
      <x:c r="A44" s="2" t="str">
        <x:v>S07-FEATURE-R08</x:v>
      </x:c>
      <x:c r="B44" s="2" t="str">
        <x:v>S07</x:v>
      </x:c>
      <x:c r="C44" s="2" t="str">
        <x:v>merged_0110</x:v>
      </x:c>
      <x:c r="D44" s="2" t="str">
        <x:v>Reviewer_A</x:v>
      </x:c>
      <x:c r="E44" s="2" t="str">
        <x:v>Reviewer_A</x:v>
      </x:c>
      <x:c r="F44" s="2" t="str">
        <x:v>S07-CF08</x:v>
      </x:c>
      <x:c r="G44" s="2" t="str">
        <x:v>S07-MU01</x:v>
      </x:c>
      <x:c r="H44" s="2" t="str">
        <x:v>S07-O01</x:v>
      </x:c>
      <x:c r="I44" s="2" t="str">
        <x:v>Prompting</x:v>
      </x:c>
      <x:c r="J44" s="2" t="str">
        <x:v>PT7</x:v>
      </x:c>
      <x:c r="K44" s="2" t="str">
        <x:v>PT7</x:v>
      </x:c>
      <x:c r="L44" s="6" t="str">
        <x:v>类似 PT6，但采用默认 JSON 对象输出。</x:v>
      </x:c>
      <x:c r="M44" s="2" t="str">
        <x:v>Yes</x:v>
      </x:c>
      <x:c r="N44" s="2" t="str">
        <x:v>Partial description</x:v>
      </x:c>
      <x:c r="O44" s="2" t="str">
        <x:v>NR</x:v>
      </x:c>
      <x:c r="P44" s="2" t="str">
        <x:v>No</x:v>
      </x:c>
      <x:c r="Q44" s="2" t="str">
        <x:v>No</x:v>
      </x:c>
      <x:c r="R44" s="2" t="str">
        <x:v>No</x:v>
      </x:c>
      <x:c r="S44" s="2" t="str">
        <x:v>Iterates over each requirement, sending one request per requirement to the LLM.</x:v>
      </x:c>
      <x:c r="T44" s="6" t="str">
        <x:v>p. 5; Table 3</x:v>
      </x:c>
      <x:c r="U44" s="6" t="str">
        <x:v>PT7 RS + DO + PP</x:v>
      </x:c>
      <x:c r="V44" s="6" t="str">
        <x:v>GPT-3.5 使用 PT7 提示模板进行实验。</x:v>
      </x:c>
      <x:c r="W44" s="2" t="str">
        <x:v>Accepted</x:v>
      </x:c>
      <x:c r="X44" s="6" t="str">
        <x:v>NA</x:v>
      </x:c>
    </x:row>
    <x:row r="45" ht="76" customHeight="1">
      <x:c r="A45" s="2" t="str">
        <x:v>S07-FEATURE-R09</x:v>
      </x:c>
      <x:c r="B45" s="2" t="str">
        <x:v>S07</x:v>
      </x:c>
      <x:c r="C45" s="2" t="str">
        <x:v>merged_0110</x:v>
      </x:c>
      <x:c r="D45" s="2" t="str">
        <x:v>Reviewer_A</x:v>
      </x:c>
      <x:c r="E45" s="2" t="str">
        <x:v>Reviewer_A</x:v>
      </x:c>
      <x:c r="F45" s="2" t="str">
        <x:v>S07-CF09</x:v>
      </x:c>
      <x:c r="G45" s="2" t="str">
        <x:v>S07-MU02</x:v>
      </x:c>
      <x:c r="H45" s="2" t="str">
        <x:v>S07-O01</x:v>
      </x:c>
      <x:c r="I45" s="2" t="str">
        <x:v>Prompting</x:v>
      </x:c>
      <x:c r="J45" s="2" t="str">
        <x:v>BASE</x:v>
      </x:c>
      <x:c r="K45" s="2" t="str">
        <x:v>BASE</x:v>
      </x:c>
      <x:c r="L45" s="6" t="str">
        <x:v>默认提示模板：系统默认角色，用户指令包含任务、上下文、规则和 JSON 对象输出格式。</x:v>
      </x:c>
      <x:c r="M45" s="2" t="str">
        <x:v>Yes</x:v>
      </x:c>
      <x:c r="N45" s="2" t="str">
        <x:v>Partial description</x:v>
      </x:c>
      <x:c r="O45" s="2" t="str">
        <x:v>NR</x:v>
      </x:c>
      <x:c r="P45" s="2" t="str">
        <x:v>No</x:v>
      </x:c>
      <x:c r="Q45" s="2" t="str">
        <x:v>No</x:v>
      </x:c>
      <x:c r="R45" s="2" t="str">
        <x:v>No</x:v>
      </x:c>
      <x:c r="S45" s="2" t="str">
        <x:v>Iterates over each requirement, sending one request per requirement to the LLM.</x:v>
      </x:c>
      <x:c r="T45" s="6" t="str">
        <x:v>p. 5; Table 3</x:v>
      </x:c>
      <x:c r="U45" s="6" t="str">
        <x:v>BASE DO: System: Default Role. User: Instruction and Objectives, Context information, Rules and Guidelines, and Output format (JSON Object)</x:v>
      </x:c>
      <x:c r="V45" s="6" t="str">
        <x:v>GPT-4 使用 BASE 提示模板进行实验。</x:v>
      </x:c>
      <x:c r="W45" s="2" t="str">
        <x:v>Accepted</x:v>
      </x:c>
      <x:c r="X45" s="6" t="str">
        <x:v>NA</x:v>
      </x:c>
    </x:row>
    <x:row r="46" ht="76" customHeight="1">
      <x:c r="A46" s="2" t="str">
        <x:v>S07-FEATURE-R10</x:v>
      </x:c>
      <x:c r="B46" s="2" t="str">
        <x:v>S07</x:v>
      </x:c>
      <x:c r="C46" s="2" t="str">
        <x:v>merged_0110</x:v>
      </x:c>
      <x:c r="D46" s="2" t="str">
        <x:v>Reviewer_A</x:v>
      </x:c>
      <x:c r="E46" s="2" t="str">
        <x:v>Reviewer_A</x:v>
      </x:c>
      <x:c r="F46" s="2" t="str">
        <x:v>S07-CF10</x:v>
      </x:c>
      <x:c r="G46" s="2" t="str">
        <x:v>S07-MU02</x:v>
      </x:c>
      <x:c r="H46" s="2" t="str">
        <x:v>S07-O01</x:v>
      </x:c>
      <x:c r="I46" s="2" t="str">
        <x:v>Prompting</x:v>
      </x:c>
      <x:c r="J46" s="2" t="str">
        <x:v>PT1</x:v>
      </x:c>
      <x:c r="K46" s="2" t="str">
        <x:v>PT1</x:v>
      </x:c>
      <x:c r="L46" s="6" t="str">
        <x:v>输出格式改为 JSON 数组。</x:v>
      </x:c>
      <x:c r="M46" s="2" t="str">
        <x:v>Yes</x:v>
      </x:c>
      <x:c r="N46" s="2" t="str">
        <x:v>Partial description</x:v>
      </x:c>
      <x:c r="O46" s="2" t="str">
        <x:v>NR</x:v>
      </x:c>
      <x:c r="P46" s="2" t="str">
        <x:v>No</x:v>
      </x:c>
      <x:c r="Q46" s="2" t="str">
        <x:v>No</x:v>
      </x:c>
      <x:c r="R46" s="2" t="str">
        <x:v>No</x:v>
      </x:c>
      <x:c r="S46" s="2" t="str">
        <x:v>Iterates over each requirement, sending one request per requirement to the LLM.</x:v>
      </x:c>
      <x:c r="T46" s="6" t="str">
        <x:v>p. 5; Table 3</x:v>
      </x:c>
      <x:c r="U46" s="6" t="str">
        <x:v>PT1 NO: System: The output format is changed to a JSON</x:v>
      </x:c>
      <x:c r="V46" s="6" t="str">
        <x:v>GPT-4 使用 PT1 提示模板进行实验。</x:v>
      </x:c>
      <x:c r="W46" s="2" t="str">
        <x:v>Accepted</x:v>
      </x:c>
      <x:c r="X46" s="6" t="str">
        <x:v>NA</x:v>
      </x:c>
    </x:row>
    <x:row r="47" ht="76" customHeight="1">
      <x:c r="A47" s="2" t="str">
        <x:v>S07-FEATURE-R11</x:v>
      </x:c>
      <x:c r="B47" s="2" t="str">
        <x:v>S07</x:v>
      </x:c>
      <x:c r="C47" s="2" t="str">
        <x:v>merged_0110</x:v>
      </x:c>
      <x:c r="D47" s="2" t="str">
        <x:v>Reviewer_A</x:v>
      </x:c>
      <x:c r="E47" s="2" t="str">
        <x:v>Reviewer_A</x:v>
      </x:c>
      <x:c r="F47" s="2" t="str">
        <x:v>S07-CF11</x:v>
      </x:c>
      <x:c r="G47" s="2" t="str">
        <x:v>S07-MU02</x:v>
      </x:c>
      <x:c r="H47" s="2" t="str">
        <x:v>S07-O01</x:v>
      </x:c>
      <x:c r="I47" s="2" t="str">
        <x:v>Prompting</x:v>
      </x:c>
      <x:c r="J47" s="2" t="str">
        <x:v>PT2</x:v>
      </x:c>
      <x:c r="K47" s="2" t="str">
        <x:v>PT2</x:v>
      </x:c>
      <x:c r="L47" s="6" t="str">
        <x:v>更改系统提示角色为任务特定角色，并采用 JSON 数组输出。</x:v>
      </x:c>
      <x:c r="M47" s="2" t="str">
        <x:v>Yes</x:v>
      </x:c>
      <x:c r="N47" s="2" t="str">
        <x:v>Partial description</x:v>
      </x:c>
      <x:c r="O47" s="2" t="str">
        <x:v>NR</x:v>
      </x:c>
      <x:c r="P47" s="2" t="str">
        <x:v>No</x:v>
      </x:c>
      <x:c r="Q47" s="2" t="str">
        <x:v>No</x:v>
      </x:c>
      <x:c r="R47" s="2" t="str">
        <x:v>No</x:v>
      </x:c>
      <x:c r="S47" s="2" t="str">
        <x:v>Iterates over each requirement, sending one request per requirement to the LLM.</x:v>
      </x:c>
      <x:c r="T47" s="6" t="str">
        <x:v>p. 5; Table 3</x:v>
      </x:c>
      <x:c r="U47" s="6" t="str">
        <x:v>PT2 NO + RS: Changed from default system prompt role to a task-specific role</x:v>
      </x:c>
      <x:c r="V47" s="6" t="str">
        <x:v>GPT-4 使用 PT2 提示模板进行实验。</x:v>
      </x:c>
      <x:c r="W47" s="2" t="str">
        <x:v>Accepted</x:v>
      </x:c>
      <x:c r="X47" s="6" t="str">
        <x:v>NA</x:v>
      </x:c>
    </x:row>
    <x:row r="48" ht="76" customHeight="1">
      <x:c r="A48" s="2" t="str">
        <x:v>S07-FEATURE-R12</x:v>
      </x:c>
      <x:c r="B48" s="2" t="str">
        <x:v>S07</x:v>
      </x:c>
      <x:c r="C48" s="2" t="str">
        <x:v>merged_0110</x:v>
      </x:c>
      <x:c r="D48" s="2" t="str">
        <x:v>Reviewer_A</x:v>
      </x:c>
      <x:c r="E48" s="2" t="str">
        <x:v>Reviewer_A</x:v>
      </x:c>
      <x:c r="F48" s="2" t="str">
        <x:v>S07-CF12</x:v>
      </x:c>
      <x:c r="G48" s="2" t="str">
        <x:v>S07-MU02</x:v>
      </x:c>
      <x:c r="H48" s="2" t="str">
        <x:v>S07-O01</x:v>
      </x:c>
      <x:c r="I48" s="2" t="str">
        <x:v>Prompting</x:v>
      </x:c>
      <x:c r="J48" s="2" t="str">
        <x:v>PT3</x:v>
      </x:c>
      <x:c r="K48" s="2" t="str">
        <x:v>PT3</x:v>
      </x:c>
      <x:c r="L48" s="6" t="str">
        <x:v>默认 JSON 对象输出，同时采用任务特定角色。</x:v>
      </x:c>
      <x:c r="M48" s="2" t="str">
        <x:v>Yes</x:v>
      </x:c>
      <x:c r="N48" s="2" t="str">
        <x:v>Partial description</x:v>
      </x:c>
      <x:c r="O48" s="2" t="str">
        <x:v>NR</x:v>
      </x:c>
      <x:c r="P48" s="2" t="str">
        <x:v>No</x:v>
      </x:c>
      <x:c r="Q48" s="2" t="str">
        <x:v>No</x:v>
      </x:c>
      <x:c r="R48" s="2" t="str">
        <x:v>No</x:v>
      </x:c>
      <x:c r="S48" s="2" t="str">
        <x:v>Iterates over each requirement, sending one request per requirement to the LLM.</x:v>
      </x:c>
      <x:c r="T48" s="6" t="str">
        <x:v>p. 5; Table 3</x:v>
      </x:c>
      <x:c r="U48" s="6" t="str">
        <x:v>PT3 DO + RS</x:v>
      </x:c>
      <x:c r="V48" s="6" t="str">
        <x:v>GPT-4 使用 PT3 提示模板进行实验。</x:v>
      </x:c>
      <x:c r="W48" s="2" t="str">
        <x:v>Accepted</x:v>
      </x:c>
      <x:c r="X48" s="6" t="str">
        <x:v>NA</x:v>
      </x:c>
    </x:row>
    <x:row r="49" ht="76" customHeight="1">
      <x:c r="A49" s="2" t="str">
        <x:v>S07-FEATURE-R13</x:v>
      </x:c>
      <x:c r="B49" s="2" t="str">
        <x:v>S07</x:v>
      </x:c>
      <x:c r="C49" s="2" t="str">
        <x:v>merged_0110</x:v>
      </x:c>
      <x:c r="D49" s="2" t="str">
        <x:v>Reviewer_A</x:v>
      </x:c>
      <x:c r="E49" s="2" t="str">
        <x:v>Reviewer_A</x:v>
      </x:c>
      <x:c r="F49" s="2" t="str">
        <x:v>S07-CF13</x:v>
      </x:c>
      <x:c r="G49" s="2" t="str">
        <x:v>S07-MU02</x:v>
      </x:c>
      <x:c r="H49" s="2" t="str">
        <x:v>S07-O01</x:v>
      </x:c>
      <x:c r="I49" s="2" t="str">
        <x:v>Prompting</x:v>
      </x:c>
      <x:c r="J49" s="2" t="str">
        <x:v>PT4</x:v>
      </x:c>
      <x:c r="K49" s="2" t="str">
        <x:v>PT4</x:v>
      </x:c>
      <x:c r="L49" s="6" t="str">
        <x:v>系统提示包含语气指导作为角色、指令、上下文信息、规则和输出格式；用户提示包含任务描述、上下文和数据。采用 JSON 数组输出。</x:v>
      </x:c>
      <x:c r="M49" s="2" t="str">
        <x:v>Yes</x:v>
      </x:c>
      <x:c r="N49" s="2" t="str">
        <x:v>Full prompt reported</x:v>
      </x:c>
      <x:c r="O49" s="2" t="str">
        <x:v>NR</x:v>
      </x:c>
      <x:c r="P49" s="2" t="str">
        <x:v>No</x:v>
      </x:c>
      <x:c r="Q49" s="2" t="str">
        <x:v>No</x:v>
      </x:c>
      <x:c r="R49" s="2" t="str">
        <x:v>No</x:v>
      </x:c>
      <x:c r="S49" s="2" t="str">
        <x:v>Iterates over each requirement, sending one request per requirement to the LLM.</x:v>
      </x:c>
      <x:c r="T49" s="6" t="str">
        <x:v>p. 5; Table 3</x:v>
      </x:c>
      <x:c r="U49" s="6" t="str">
        <x:v>RS + NO + ReOP: System: Tone guidelines as role, Instructions, Context information, Rules and Guidelines,</x:v>
      </x:c>
      <x:c r="V49" s="6" t="str">
        <x:v>GPT-4 使用 PT4 提示模板进行实验。</x:v>
      </x:c>
      <x:c r="W49" s="2" t="str">
        <x:v>Accepted</x:v>
      </x:c>
      <x:c r="X49" s="6" t="str">
        <x:v>Full prompt example on p.5, Section 4.3.</x:v>
      </x:c>
    </x:row>
    <x:row r="50" ht="76" customHeight="1">
      <x:c r="A50" s="2" t="str">
        <x:v>S07-FEATURE-R14</x:v>
      </x:c>
      <x:c r="B50" s="2" t="str">
        <x:v>S07</x:v>
      </x:c>
      <x:c r="C50" s="2" t="str">
        <x:v>merged_0110</x:v>
      </x:c>
      <x:c r="D50" s="2" t="str">
        <x:v>Reviewer_A</x:v>
      </x:c>
      <x:c r="E50" s="2" t="str">
        <x:v>Reviewer_A</x:v>
      </x:c>
      <x:c r="F50" s="2" t="str">
        <x:v>S07-CF14</x:v>
      </x:c>
      <x:c r="G50" s="2" t="str">
        <x:v>S07-MU02</x:v>
      </x:c>
      <x:c r="H50" s="2" t="str">
        <x:v>S07-O01</x:v>
      </x:c>
      <x:c r="I50" s="2" t="str">
        <x:v>Prompting</x:v>
      </x:c>
      <x:c r="J50" s="2" t="str">
        <x:v>PT5</x:v>
      </x:c>
      <x:c r="K50" s="2" t="str">
        <x:v>PT5</x:v>
      </x:c>
      <x:c r="L50" s="6" t="str">
        <x:v>与 PT4 类似，但采用默认 JSON 对象输出。</x:v>
      </x:c>
      <x:c r="M50" s="2" t="str">
        <x:v>Yes</x:v>
      </x:c>
      <x:c r="N50" s="2" t="str">
        <x:v>Partial description</x:v>
      </x:c>
      <x:c r="O50" s="2" t="str">
        <x:v>NR</x:v>
      </x:c>
      <x:c r="P50" s="2" t="str">
        <x:v>No</x:v>
      </x:c>
      <x:c r="Q50" s="2" t="str">
        <x:v>No</x:v>
      </x:c>
      <x:c r="R50" s="2" t="str">
        <x:v>No</x:v>
      </x:c>
      <x:c r="S50" s="2" t="str">
        <x:v>Iterates over each requirement, sending one request per requirement to the LLM.</x:v>
      </x:c>
      <x:c r="T50" s="6" t="str">
        <x:v>p. 5; Table 3</x:v>
      </x:c>
      <x:c r="U50" s="6" t="str">
        <x:v>PT5 RS + DO + ReOP</x:v>
      </x:c>
      <x:c r="V50" s="6" t="str">
        <x:v>GPT-4 使用 PT5 提示模板进行实验。</x:v>
      </x:c>
      <x:c r="W50" s="2" t="str">
        <x:v>Accepted</x:v>
      </x:c>
      <x:c r="X50" s="6" t="str">
        <x:v>NA</x:v>
      </x:c>
    </x:row>
    <x:row r="51" ht="76" customHeight="1">
      <x:c r="A51" s="2" t="str">
        <x:v>S07-FEATURE-R15</x:v>
      </x:c>
      <x:c r="B51" s="2" t="str">
        <x:v>S07</x:v>
      </x:c>
      <x:c r="C51" s="2" t="str">
        <x:v>merged_0110</x:v>
      </x:c>
      <x:c r="D51" s="2" t="str">
        <x:v>Reviewer_A</x:v>
      </x:c>
      <x:c r="E51" s="2" t="str">
        <x:v>Reviewer_A</x:v>
      </x:c>
      <x:c r="F51" s="2" t="str">
        <x:v>S07-CF15</x:v>
      </x:c>
      <x:c r="G51" s="2" t="str">
        <x:v>S07-MU02</x:v>
      </x:c>
      <x:c r="H51" s="2" t="str">
        <x:v>S07-O01</x:v>
      </x:c>
      <x:c r="I51" s="2" t="str">
        <x:v>Prompting</x:v>
      </x:c>
      <x:c r="J51" s="2" t="str">
        <x:v>PT6</x:v>
      </x:c>
      <x:c r="K51" s="2" t="str">
        <x:v>PT6</x:v>
      </x:c>
      <x:c r="L51" s="6" t="str">
        <x:v>采用严格的分节结构，包含语气指导作为角色、指令与目标、任务上下文、规则和输出格式；用户提示仅包含任务数据。JSON 数组输出。</x:v>
      </x:c>
      <x:c r="M51" s="2" t="str">
        <x:v>Yes</x:v>
      </x:c>
      <x:c r="N51" s="2" t="str">
        <x:v>Partial description</x:v>
      </x:c>
      <x:c r="O51" s="2" t="str">
        <x:v>NR</x:v>
      </x:c>
      <x:c r="P51" s="2" t="str">
        <x:v>No</x:v>
      </x:c>
      <x:c r="Q51" s="2" t="str">
        <x:v>No</x:v>
      </x:c>
      <x:c r="R51" s="2" t="str">
        <x:v>No</x:v>
      </x:c>
      <x:c r="S51" s="2" t="str">
        <x:v>Iterates over each requirement, sending one request per requirement to the LLM.</x:v>
      </x:c>
      <x:c r="T51" s="6" t="str">
        <x:v>p. 5; Table 3</x:v>
      </x:c>
      <x:c r="U51" s="6" t="str">
        <x:v>PT6 RS + NO + PP: Strict structure using section division of each component. Tone guidelines as role, Instruction and Objectives, Task context, Rules, and Output format. User: Task data</x:v>
      </x:c>
      <x:c r="V51" s="6" t="str">
        <x:v>GPT-4 使用 PT6 提示模板进行实验。</x:v>
      </x:c>
      <x:c r="W51" s="2" t="str">
        <x:v>Accepted</x:v>
      </x:c>
      <x:c r="X51" s="6" t="str">
        <x:v>NA</x:v>
      </x:c>
    </x:row>
    <x:row r="52" ht="76" customHeight="1">
      <x:c r="A52" s="2" t="str">
        <x:v>S07-FEATURE-R16</x:v>
      </x:c>
      <x:c r="B52" s="2" t="str">
        <x:v>S07</x:v>
      </x:c>
      <x:c r="C52" s="2" t="str">
        <x:v>merged_0110</x:v>
      </x:c>
      <x:c r="D52" s="2" t="str">
        <x:v>Reviewer_A</x:v>
      </x:c>
      <x:c r="E52" s="2" t="str">
        <x:v>Reviewer_A</x:v>
      </x:c>
      <x:c r="F52" s="2" t="str">
        <x:v>S07-CF16</x:v>
      </x:c>
      <x:c r="G52" s="2" t="str">
        <x:v>S07-MU02</x:v>
      </x:c>
      <x:c r="H52" s="2" t="str">
        <x:v>S07-O01</x:v>
      </x:c>
      <x:c r="I52" s="2" t="str">
        <x:v>Prompting</x:v>
      </x:c>
      <x:c r="J52" s="2" t="str">
        <x:v>PT7</x:v>
      </x:c>
      <x:c r="K52" s="2" t="str">
        <x:v>PT7</x:v>
      </x:c>
      <x:c r="L52" s="6" t="str">
        <x:v>类似 PT6，但采用默认 JSON 对象输出。</x:v>
      </x:c>
      <x:c r="M52" s="2" t="str">
        <x:v>Yes</x:v>
      </x:c>
      <x:c r="N52" s="2" t="str">
        <x:v>Partial description</x:v>
      </x:c>
      <x:c r="O52" s="2" t="str">
        <x:v>NR</x:v>
      </x:c>
      <x:c r="P52" s="2" t="str">
        <x:v>No</x:v>
      </x:c>
      <x:c r="Q52" s="2" t="str">
        <x:v>No</x:v>
      </x:c>
      <x:c r="R52" s="2" t="str">
        <x:v>No</x:v>
      </x:c>
      <x:c r="S52" s="2" t="str">
        <x:v>Iterates over each requirement, sending one request per requirement to the LLM.</x:v>
      </x:c>
      <x:c r="T52" s="6" t="str">
        <x:v>p. 5; Table 3</x:v>
      </x:c>
      <x:c r="U52" s="6" t="str">
        <x:v>PT7 RS + DO + PP</x:v>
      </x:c>
      <x:c r="V52" s="6" t="str">
        <x:v>GPT-4 使用 PT7 提示模板进行实验。</x:v>
      </x:c>
      <x:c r="W52" s="2" t="str">
        <x:v>Accepted</x:v>
      </x:c>
      <x:c r="X52" s="6" t="str">
        <x:v>NA</x:v>
      </x:c>
    </x:row>
    <x:row r="53" ht="76" customHeight="1">
      <x:c r="A53" s="2" t="str">
        <x:v>S07-FEATURE-R17</x:v>
      </x:c>
      <x:c r="B53" s="2" t="str">
        <x:v>S07</x:v>
      </x:c>
      <x:c r="C53" s="2" t="str">
        <x:v>merged_0110</x:v>
      </x:c>
      <x:c r="D53" s="2" t="str">
        <x:v>Reviewer_A</x:v>
      </x:c>
      <x:c r="E53" s="2" t="str">
        <x:v>Reviewer_A</x:v>
      </x:c>
      <x:c r="F53" s="2" t="str">
        <x:v>S07-CF17</x:v>
      </x:c>
      <x:c r="G53" s="2" t="str">
        <x:v>S07-MU03</x:v>
      </x:c>
      <x:c r="H53" s="2" t="str">
        <x:v>S07-O01</x:v>
      </x:c>
      <x:c r="I53" s="2" t="str">
        <x:v>Prompting</x:v>
      </x:c>
      <x:c r="J53" s="2" t="str">
        <x:v>BASE</x:v>
      </x:c>
      <x:c r="K53" s="2" t="str">
        <x:v>BASE</x:v>
      </x:c>
      <x:c r="L53" s="6" t="str">
        <x:v>默认提示模板：系统默认角色，用户指令包含任务、上下文、规则和 JSON 对象输出格式。</x:v>
      </x:c>
      <x:c r="M53" s="2" t="str">
        <x:v>Yes</x:v>
      </x:c>
      <x:c r="N53" s="2" t="str">
        <x:v>Partial description</x:v>
      </x:c>
      <x:c r="O53" s="2" t="str">
        <x:v>NR</x:v>
      </x:c>
      <x:c r="P53" s="2" t="str">
        <x:v>No</x:v>
      </x:c>
      <x:c r="Q53" s="2" t="str">
        <x:v>No</x:v>
      </x:c>
      <x:c r="R53" s="2" t="str">
        <x:v>No</x:v>
      </x:c>
      <x:c r="S53" s="2" t="str">
        <x:v>Iterates over each requirement, sending one request per requirement to the LLM.</x:v>
      </x:c>
      <x:c r="T53" s="6" t="str">
        <x:v>p. 5; Table 3</x:v>
      </x:c>
      <x:c r="U53" s="6" t="str">
        <x:v>BASE DO: System: Default Role. User: Instruction and Objectives, Context information, Rules and Guidelines, and Output format (JSON Object)</x:v>
      </x:c>
      <x:c r="V53" s="6" t="str">
        <x:v>LLAMA 3 70B 使用 BASE 提示模板进行实验。</x:v>
      </x:c>
      <x:c r="W53" s="2" t="str">
        <x:v>Accepted</x:v>
      </x:c>
      <x:c r="X53" s="6" t="str">
        <x:v>NA</x:v>
      </x:c>
    </x:row>
    <x:row r="54" ht="76" customHeight="1">
      <x:c r="A54" s="2" t="str">
        <x:v>S07-FEATURE-R18</x:v>
      </x:c>
      <x:c r="B54" s="2" t="str">
        <x:v>S07</x:v>
      </x:c>
      <x:c r="C54" s="2" t="str">
        <x:v>merged_0110</x:v>
      </x:c>
      <x:c r="D54" s="2" t="str">
        <x:v>Reviewer_A</x:v>
      </x:c>
      <x:c r="E54" s="2" t="str">
        <x:v>Reviewer_A</x:v>
      </x:c>
      <x:c r="F54" s="2" t="str">
        <x:v>S07-CF18</x:v>
      </x:c>
      <x:c r="G54" s="2" t="str">
        <x:v>S07-MU03</x:v>
      </x:c>
      <x:c r="H54" s="2" t="str">
        <x:v>S07-O01</x:v>
      </x:c>
      <x:c r="I54" s="2" t="str">
        <x:v>Prompting</x:v>
      </x:c>
      <x:c r="J54" s="2" t="str">
        <x:v>PT1</x:v>
      </x:c>
      <x:c r="K54" s="2" t="str">
        <x:v>PT1</x:v>
      </x:c>
      <x:c r="L54" s="6" t="str">
        <x:v>输出格式改为 JSON 数组。</x:v>
      </x:c>
      <x:c r="M54" s="2" t="str">
        <x:v>Yes</x:v>
      </x:c>
      <x:c r="N54" s="2" t="str">
        <x:v>Partial description</x:v>
      </x:c>
      <x:c r="O54" s="2" t="str">
        <x:v>NR</x:v>
      </x:c>
      <x:c r="P54" s="2" t="str">
        <x:v>No</x:v>
      </x:c>
      <x:c r="Q54" s="2" t="str">
        <x:v>No</x:v>
      </x:c>
      <x:c r="R54" s="2" t="str">
        <x:v>No</x:v>
      </x:c>
      <x:c r="S54" s="2" t="str">
        <x:v>Iterates over each requirement, sending one request per requirement to the LLM.</x:v>
      </x:c>
      <x:c r="T54" s="6" t="str">
        <x:v>p. 5; Table 3</x:v>
      </x:c>
      <x:c r="U54" s="6" t="str">
        <x:v>PT1 NO: System: The output format is changed to a JSON</x:v>
      </x:c>
      <x:c r="V54" s="6" t="str">
        <x:v>LLAMA 3 70B 使用 PT1 提示模板进行实验。</x:v>
      </x:c>
      <x:c r="W54" s="2" t="str">
        <x:v>Accepted</x:v>
      </x:c>
      <x:c r="X54" s="6" t="str">
        <x:v>NA</x:v>
      </x:c>
    </x:row>
    <x:row r="55" ht="76" customHeight="1">
      <x:c r="A55" s="2" t="str">
        <x:v>S07-FEATURE-R19</x:v>
      </x:c>
      <x:c r="B55" s="2" t="str">
        <x:v>S07</x:v>
      </x:c>
      <x:c r="C55" s="2" t="str">
        <x:v>merged_0110</x:v>
      </x:c>
      <x:c r="D55" s="2" t="str">
        <x:v>Reviewer_A</x:v>
      </x:c>
      <x:c r="E55" s="2" t="str">
        <x:v>Reviewer_A</x:v>
      </x:c>
      <x:c r="F55" s="2" t="str">
        <x:v>S07-CF19</x:v>
      </x:c>
      <x:c r="G55" s="2" t="str">
        <x:v>S07-MU03</x:v>
      </x:c>
      <x:c r="H55" s="2" t="str">
        <x:v>S07-O01</x:v>
      </x:c>
      <x:c r="I55" s="2" t="str">
        <x:v>Prompting</x:v>
      </x:c>
      <x:c r="J55" s="2" t="str">
        <x:v>PT2</x:v>
      </x:c>
      <x:c r="K55" s="2" t="str">
        <x:v>PT2</x:v>
      </x:c>
      <x:c r="L55" s="6" t="str">
        <x:v>更改系统提示角色为任务特定角色，并采用 JSON 数组输出。</x:v>
      </x:c>
      <x:c r="M55" s="2" t="str">
        <x:v>Yes</x:v>
      </x:c>
      <x:c r="N55" s="2" t="str">
        <x:v>Partial description</x:v>
      </x:c>
      <x:c r="O55" s="2" t="str">
        <x:v>NR</x:v>
      </x:c>
      <x:c r="P55" s="2" t="str">
        <x:v>No</x:v>
      </x:c>
      <x:c r="Q55" s="2" t="str">
        <x:v>No</x:v>
      </x:c>
      <x:c r="R55" s="2" t="str">
        <x:v>No</x:v>
      </x:c>
      <x:c r="S55" s="2" t="str">
        <x:v>Iterates over each requirement, sending one request per requirement to the LLM.</x:v>
      </x:c>
      <x:c r="T55" s="6" t="str">
        <x:v>p. 5; Table 3</x:v>
      </x:c>
      <x:c r="U55" s="6" t="str">
        <x:v>PT2 NO + RS: Changed from default system prompt role to a task-specific role</x:v>
      </x:c>
      <x:c r="V55" s="6" t="str">
        <x:v>LLAMA 3 70B 使用 PT2 提示模板进行实验。</x:v>
      </x:c>
      <x:c r="W55" s="2" t="str">
        <x:v>Accepted</x:v>
      </x:c>
      <x:c r="X55" s="6" t="str">
        <x:v>NA</x:v>
      </x:c>
    </x:row>
    <x:row r="56" ht="76" customHeight="1">
      <x:c r="A56" s="2" t="str">
        <x:v>S07-FEATURE-R20</x:v>
      </x:c>
      <x:c r="B56" s="2" t="str">
        <x:v>S07</x:v>
      </x:c>
      <x:c r="C56" s="2" t="str">
        <x:v>merged_0110</x:v>
      </x:c>
      <x:c r="D56" s="2" t="str">
        <x:v>Reviewer_A</x:v>
      </x:c>
      <x:c r="E56" s="2" t="str">
        <x:v>Reviewer_A</x:v>
      </x:c>
      <x:c r="F56" s="2" t="str">
        <x:v>S07-CF20</x:v>
      </x:c>
      <x:c r="G56" s="2" t="str">
        <x:v>S07-MU03</x:v>
      </x:c>
      <x:c r="H56" s="2" t="str">
        <x:v>S07-O01</x:v>
      </x:c>
      <x:c r="I56" s="2" t="str">
        <x:v>Prompting</x:v>
      </x:c>
      <x:c r="J56" s="2" t="str">
        <x:v>PT3</x:v>
      </x:c>
      <x:c r="K56" s="2" t="str">
        <x:v>PT3</x:v>
      </x:c>
      <x:c r="L56" s="6" t="str">
        <x:v>默认 JSON 对象输出，同时采用任务特定角色。</x:v>
      </x:c>
      <x:c r="M56" s="2" t="str">
        <x:v>Yes</x:v>
      </x:c>
      <x:c r="N56" s="2" t="str">
        <x:v>Partial description</x:v>
      </x:c>
      <x:c r="O56" s="2" t="str">
        <x:v>NR</x:v>
      </x:c>
      <x:c r="P56" s="2" t="str">
        <x:v>No</x:v>
      </x:c>
      <x:c r="Q56" s="2" t="str">
        <x:v>No</x:v>
      </x:c>
      <x:c r="R56" s="2" t="str">
        <x:v>No</x:v>
      </x:c>
      <x:c r="S56" s="2" t="str">
        <x:v>Iterates over each requirement, sending one request per requirement to the LLM.</x:v>
      </x:c>
      <x:c r="T56" s="6" t="str">
        <x:v>p. 5; Table 3</x:v>
      </x:c>
      <x:c r="U56" s="6" t="str">
        <x:v>PT3 DO + RS</x:v>
      </x:c>
      <x:c r="V56" s="6" t="str">
        <x:v>LLAMA 3 70B 使用 PT3 提示模板进行实验。</x:v>
      </x:c>
      <x:c r="W56" s="2" t="str">
        <x:v>Accepted</x:v>
      </x:c>
      <x:c r="X56" s="6" t="str">
        <x:v>NA</x:v>
      </x:c>
    </x:row>
    <x:row r="57" ht="76" customHeight="1">
      <x:c r="A57" s="2" t="str">
        <x:v>S07-FEATURE-R21</x:v>
      </x:c>
      <x:c r="B57" s="2" t="str">
        <x:v>S07</x:v>
      </x:c>
      <x:c r="C57" s="2" t="str">
        <x:v>merged_0110</x:v>
      </x:c>
      <x:c r="D57" s="2" t="str">
        <x:v>Reviewer_A</x:v>
      </x:c>
      <x:c r="E57" s="2" t="str">
        <x:v>Reviewer_A</x:v>
      </x:c>
      <x:c r="F57" s="2" t="str">
        <x:v>S07-CF21</x:v>
      </x:c>
      <x:c r="G57" s="2" t="str">
        <x:v>S07-MU03</x:v>
      </x:c>
      <x:c r="H57" s="2" t="str">
        <x:v>S07-O01</x:v>
      </x:c>
      <x:c r="I57" s="2" t="str">
        <x:v>Prompting</x:v>
      </x:c>
      <x:c r="J57" s="2" t="str">
        <x:v>PT4</x:v>
      </x:c>
      <x:c r="K57" s="2" t="str">
        <x:v>PT4</x:v>
      </x:c>
      <x:c r="L57" s="6" t="str">
        <x:v>系统提示包含语气指导作为角色、指令、上下文信息、规则和输出格式；用户提示包含任务描述、上下文和数据。采用 JSON 数组输出。</x:v>
      </x:c>
      <x:c r="M57" s="2" t="str">
        <x:v>Yes</x:v>
      </x:c>
      <x:c r="N57" s="2" t="str">
        <x:v>Full prompt reported</x:v>
      </x:c>
      <x:c r="O57" s="2" t="str">
        <x:v>NR</x:v>
      </x:c>
      <x:c r="P57" s="2" t="str">
        <x:v>No</x:v>
      </x:c>
      <x:c r="Q57" s="2" t="str">
        <x:v>No</x:v>
      </x:c>
      <x:c r="R57" s="2" t="str">
        <x:v>No</x:v>
      </x:c>
      <x:c r="S57" s="2" t="str">
        <x:v>Iterates over each requirement, sending one request per requirement to the LLM.</x:v>
      </x:c>
      <x:c r="T57" s="6" t="str">
        <x:v>p. 5; Table 3</x:v>
      </x:c>
      <x:c r="U57" s="6" t="str">
        <x:v>RS + NO + ReOP: System: Tone guidelines as role, Instructions, Context information, Rules and Guidelines,</x:v>
      </x:c>
      <x:c r="V57" s="6" t="str">
        <x:v>LLAMA 3 70B 使用 PT4 提示模板进行实验。</x:v>
      </x:c>
      <x:c r="W57" s="2" t="str">
        <x:v>Accepted</x:v>
      </x:c>
      <x:c r="X57" s="6" t="str">
        <x:v>Full prompt example on p.5, Section 4.3.</x:v>
      </x:c>
    </x:row>
    <x:row r="58" ht="76" customHeight="1">
      <x:c r="A58" s="2" t="str">
        <x:v>S07-FEATURE-R22</x:v>
      </x:c>
      <x:c r="B58" s="2" t="str">
        <x:v>S07</x:v>
      </x:c>
      <x:c r="C58" s="2" t="str">
        <x:v>merged_0110</x:v>
      </x:c>
      <x:c r="D58" s="2" t="str">
        <x:v>Reviewer_A</x:v>
      </x:c>
      <x:c r="E58" s="2" t="str">
        <x:v>Reviewer_A</x:v>
      </x:c>
      <x:c r="F58" s="2" t="str">
        <x:v>S07-CF22</x:v>
      </x:c>
      <x:c r="G58" s="2" t="str">
        <x:v>S07-MU03</x:v>
      </x:c>
      <x:c r="H58" s="2" t="str">
        <x:v>S07-O01</x:v>
      </x:c>
      <x:c r="I58" s="2" t="str">
        <x:v>Prompting</x:v>
      </x:c>
      <x:c r="J58" s="2" t="str">
        <x:v>PT5</x:v>
      </x:c>
      <x:c r="K58" s="2" t="str">
        <x:v>PT5</x:v>
      </x:c>
      <x:c r="L58" s="6" t="str">
        <x:v>与 PT4 类似，但采用默认 JSON 对象输出。</x:v>
      </x:c>
      <x:c r="M58" s="2" t="str">
        <x:v>Yes</x:v>
      </x:c>
      <x:c r="N58" s="2" t="str">
        <x:v>Partial description</x:v>
      </x:c>
      <x:c r="O58" s="2" t="str">
        <x:v>NR</x:v>
      </x:c>
      <x:c r="P58" s="2" t="str">
        <x:v>No</x:v>
      </x:c>
      <x:c r="Q58" s="2" t="str">
        <x:v>No</x:v>
      </x:c>
      <x:c r="R58" s="2" t="str">
        <x:v>No</x:v>
      </x:c>
      <x:c r="S58" s="2" t="str">
        <x:v>Iterates over each requirement, sending one request per requirement to the LLM.</x:v>
      </x:c>
      <x:c r="T58" s="6" t="str">
        <x:v>p. 5; Table 3</x:v>
      </x:c>
      <x:c r="U58" s="6" t="str">
        <x:v>PT5 RS + DO + ReOP</x:v>
      </x:c>
      <x:c r="V58" s="6" t="str">
        <x:v>LLAMA 3 70B 使用 PT5 提示模板进行实验。</x:v>
      </x:c>
      <x:c r="W58" s="2" t="str">
        <x:v>Accepted</x:v>
      </x:c>
      <x:c r="X58" s="6" t="str">
        <x:v>NA</x:v>
      </x:c>
    </x:row>
    <x:row r="59" ht="76" customHeight="1">
      <x:c r="A59" s="2" t="str">
        <x:v>S07-FEATURE-R23</x:v>
      </x:c>
      <x:c r="B59" s="2" t="str">
        <x:v>S07</x:v>
      </x:c>
      <x:c r="C59" s="2" t="str">
        <x:v>merged_0110</x:v>
      </x:c>
      <x:c r="D59" s="2" t="str">
        <x:v>Reviewer_A</x:v>
      </x:c>
      <x:c r="E59" s="2" t="str">
        <x:v>Reviewer_A</x:v>
      </x:c>
      <x:c r="F59" s="2" t="str">
        <x:v>S07-CF23</x:v>
      </x:c>
      <x:c r="G59" s="2" t="str">
        <x:v>S07-MU03</x:v>
      </x:c>
      <x:c r="H59" s="2" t="str">
        <x:v>S07-O01</x:v>
      </x:c>
      <x:c r="I59" s="2" t="str">
        <x:v>Prompting</x:v>
      </x:c>
      <x:c r="J59" s="2" t="str">
        <x:v>PT6</x:v>
      </x:c>
      <x:c r="K59" s="2" t="str">
        <x:v>PT6</x:v>
      </x:c>
      <x:c r="L59" s="6" t="str">
        <x:v>采用严格的分节结构，包含语气指导作为角色、指令与目标、任务上下文、规则和输出格式；用户提示仅包含任务数据。JSON 数组输出。</x:v>
      </x:c>
      <x:c r="M59" s="2" t="str">
        <x:v>Yes</x:v>
      </x:c>
      <x:c r="N59" s="2" t="str">
        <x:v>Partial description</x:v>
      </x:c>
      <x:c r="O59" s="2" t="str">
        <x:v>NR</x:v>
      </x:c>
      <x:c r="P59" s="2" t="str">
        <x:v>No</x:v>
      </x:c>
      <x:c r="Q59" s="2" t="str">
        <x:v>No</x:v>
      </x:c>
      <x:c r="R59" s="2" t="str">
        <x:v>No</x:v>
      </x:c>
      <x:c r="S59" s="2" t="str">
        <x:v>Iterates over each requirement, sending one request per requirement to the LLM.</x:v>
      </x:c>
      <x:c r="T59" s="6" t="str">
        <x:v>p. 5; Table 3</x:v>
      </x:c>
      <x:c r="U59" s="6" t="str">
        <x:v>PT6 RS + NO + PP: Strict structure using section division of each component. Tone guidelines as role, Instruction and Objectives, Task context, Rules, and Output format. User: Task data</x:v>
      </x:c>
      <x:c r="V59" s="6" t="str">
        <x:v>LLAMA 3 70B 使用 PT6 提示模板进行实验。</x:v>
      </x:c>
      <x:c r="W59" s="2" t="str">
        <x:v>Accepted</x:v>
      </x:c>
      <x:c r="X59" s="6" t="str">
        <x:v>NA</x:v>
      </x:c>
    </x:row>
    <x:row r="60" ht="76" customHeight="1">
      <x:c r="A60" s="2" t="str">
        <x:v>S07-FEATURE-R24</x:v>
      </x:c>
      <x:c r="B60" s="2" t="str">
        <x:v>S07</x:v>
      </x:c>
      <x:c r="C60" s="2" t="str">
        <x:v>merged_0110</x:v>
      </x:c>
      <x:c r="D60" s="2" t="str">
        <x:v>Reviewer_A</x:v>
      </x:c>
      <x:c r="E60" s="2" t="str">
        <x:v>Reviewer_A</x:v>
      </x:c>
      <x:c r="F60" s="2" t="str">
        <x:v>S07-CF24</x:v>
      </x:c>
      <x:c r="G60" s="2" t="str">
        <x:v>S07-MU03</x:v>
      </x:c>
      <x:c r="H60" s="2" t="str">
        <x:v>S07-O01</x:v>
      </x:c>
      <x:c r="I60" s="2" t="str">
        <x:v>Prompting</x:v>
      </x:c>
      <x:c r="J60" s="2" t="str">
        <x:v>PT7</x:v>
      </x:c>
      <x:c r="K60" s="2" t="str">
        <x:v>PT7</x:v>
      </x:c>
      <x:c r="L60" s="6" t="str">
        <x:v>类似 PT6，但采用默认 JSON 对象输出。</x:v>
      </x:c>
      <x:c r="M60" s="2" t="str">
        <x:v>Yes</x:v>
      </x:c>
      <x:c r="N60" s="2" t="str">
        <x:v>Partial description</x:v>
      </x:c>
      <x:c r="O60" s="2" t="str">
        <x:v>NR</x:v>
      </x:c>
      <x:c r="P60" s="2" t="str">
        <x:v>No</x:v>
      </x:c>
      <x:c r="Q60" s="2" t="str">
        <x:v>No</x:v>
      </x:c>
      <x:c r="R60" s="2" t="str">
        <x:v>No</x:v>
      </x:c>
      <x:c r="S60" s="2" t="str">
        <x:v>Iterates over each requirement, sending one request per requirement to the LLM.</x:v>
      </x:c>
      <x:c r="T60" s="6" t="str">
        <x:v>p. 5; Table 3</x:v>
      </x:c>
      <x:c r="U60" s="6" t="str">
        <x:v>PT7 RS + DO + PP</x:v>
      </x:c>
      <x:c r="V60" s="6" t="str">
        <x:v>LLAMA 3 70B 使用 PT7 提示模板进行实验。</x:v>
      </x:c>
      <x:c r="W60" s="2" t="str">
        <x:v>Accepted</x:v>
      </x:c>
      <x:c r="X60" s="6" t="str">
        <x:v>NA</x:v>
      </x:c>
    </x:row>
    <x:row r="61" ht="76" customHeight="1">
      <x:c r="A61" s="2" t="str">
        <x:v>S07-FEATURE-R25</x:v>
      </x:c>
      <x:c r="B61" s="2" t="str">
        <x:v>S07</x:v>
      </x:c>
      <x:c r="C61" s="2" t="str">
        <x:v>merged_0110</x:v>
      </x:c>
      <x:c r="D61" s="2" t="str">
        <x:v>Reviewer_A</x:v>
      </x:c>
      <x:c r="E61" s="2" t="str">
        <x:v>Reviewer_A</x:v>
      </x:c>
      <x:c r="F61" s="2" t="str">
        <x:v>S07-CF25</x:v>
      </x:c>
      <x:c r="G61" s="2" t="str">
        <x:v>S07-MU04</x:v>
      </x:c>
      <x:c r="H61" s="2" t="str">
        <x:v>S07-O01</x:v>
      </x:c>
      <x:c r="I61" s="2" t="str">
        <x:v>Prompting</x:v>
      </x:c>
      <x:c r="J61" s="2" t="str">
        <x:v>BASE</x:v>
      </x:c>
      <x:c r="K61" s="2" t="str">
        <x:v>BASE</x:v>
      </x:c>
      <x:c r="L61" s="6" t="str">
        <x:v>默认提示模板：系统默认角色，用户指令包含任务、上下文、规则和 JSON 对象输出格式。</x:v>
      </x:c>
      <x:c r="M61" s="2" t="str">
        <x:v>Yes</x:v>
      </x:c>
      <x:c r="N61" s="2" t="str">
        <x:v>Partial description</x:v>
      </x:c>
      <x:c r="O61" s="2" t="str">
        <x:v>NR</x:v>
      </x:c>
      <x:c r="P61" s="2" t="str">
        <x:v>No</x:v>
      </x:c>
      <x:c r="Q61" s="2" t="str">
        <x:v>No</x:v>
      </x:c>
      <x:c r="R61" s="2" t="str">
        <x:v>No</x:v>
      </x:c>
      <x:c r="S61" s="2" t="str">
        <x:v>Iterates over each requirement, sending one request per requirement to the LLM.</x:v>
      </x:c>
      <x:c r="T61" s="6" t="str">
        <x:v>p. 5; Table 3</x:v>
      </x:c>
      <x:c r="U61" s="6" t="str">
        <x:v>BASE DO: System: Default Role. User: Instruction and Objectives, Context information, Rules and Guidelines, and Output format (JSON Object)</x:v>
      </x:c>
      <x:c r="V61" s="6" t="str">
        <x:v>Mistral 7B 使用 BASE 提示模板进行实验。</x:v>
      </x:c>
      <x:c r="W61" s="2" t="str">
        <x:v>Accepted</x:v>
      </x:c>
      <x:c r="X61" s="6" t="str">
        <x:v>NA</x:v>
      </x:c>
    </x:row>
    <x:row r="62" ht="76" customHeight="1">
      <x:c r="A62" s="2" t="str">
        <x:v>S07-FEATURE-R26</x:v>
      </x:c>
      <x:c r="B62" s="2" t="str">
        <x:v>S07</x:v>
      </x:c>
      <x:c r="C62" s="2" t="str">
        <x:v>merged_0110</x:v>
      </x:c>
      <x:c r="D62" s="2" t="str">
        <x:v>Reviewer_A</x:v>
      </x:c>
      <x:c r="E62" s="2" t="str">
        <x:v>Reviewer_A</x:v>
      </x:c>
      <x:c r="F62" s="2" t="str">
        <x:v>S07-CF26</x:v>
      </x:c>
      <x:c r="G62" s="2" t="str">
        <x:v>S07-MU04</x:v>
      </x:c>
      <x:c r="H62" s="2" t="str">
        <x:v>S07-O01</x:v>
      </x:c>
      <x:c r="I62" s="2" t="str">
        <x:v>Prompting</x:v>
      </x:c>
      <x:c r="J62" s="2" t="str">
        <x:v>PT1</x:v>
      </x:c>
      <x:c r="K62" s="2" t="str">
        <x:v>PT1</x:v>
      </x:c>
      <x:c r="L62" s="6" t="str">
        <x:v>输出格式改为 JSON 数组。</x:v>
      </x:c>
      <x:c r="M62" s="2" t="str">
        <x:v>Yes</x:v>
      </x:c>
      <x:c r="N62" s="2" t="str">
        <x:v>Partial description</x:v>
      </x:c>
      <x:c r="O62" s="2" t="str">
        <x:v>NR</x:v>
      </x:c>
      <x:c r="P62" s="2" t="str">
        <x:v>No</x:v>
      </x:c>
      <x:c r="Q62" s="2" t="str">
        <x:v>No</x:v>
      </x:c>
      <x:c r="R62" s="2" t="str">
        <x:v>No</x:v>
      </x:c>
      <x:c r="S62" s="2" t="str">
        <x:v>Iterates over each requirement, sending one request per requirement to the LLM.</x:v>
      </x:c>
      <x:c r="T62" s="6" t="str">
        <x:v>p. 5; Table 3</x:v>
      </x:c>
      <x:c r="U62" s="6" t="str">
        <x:v>PT1 NO: System: The output format is changed to a JSON</x:v>
      </x:c>
      <x:c r="V62" s="6" t="str">
        <x:v>Mistral 7B 使用 PT1 提示模板进行实验。</x:v>
      </x:c>
      <x:c r="W62" s="2" t="str">
        <x:v>Accepted</x:v>
      </x:c>
      <x:c r="X62" s="6" t="str">
        <x:v>NA</x:v>
      </x:c>
    </x:row>
    <x:row r="63" ht="76" customHeight="1">
      <x:c r="A63" s="2" t="str">
        <x:v>S07-FEATURE-R27</x:v>
      </x:c>
      <x:c r="B63" s="2" t="str">
        <x:v>S07</x:v>
      </x:c>
      <x:c r="C63" s="2" t="str">
        <x:v>merged_0110</x:v>
      </x:c>
      <x:c r="D63" s="2" t="str">
        <x:v>Reviewer_A</x:v>
      </x:c>
      <x:c r="E63" s="2" t="str">
        <x:v>Reviewer_A</x:v>
      </x:c>
      <x:c r="F63" s="2" t="str">
        <x:v>S07-CF27</x:v>
      </x:c>
      <x:c r="G63" s="2" t="str">
        <x:v>S07-MU04</x:v>
      </x:c>
      <x:c r="H63" s="2" t="str">
        <x:v>S07-O01</x:v>
      </x:c>
      <x:c r="I63" s="2" t="str">
        <x:v>Prompting</x:v>
      </x:c>
      <x:c r="J63" s="2" t="str">
        <x:v>PT2</x:v>
      </x:c>
      <x:c r="K63" s="2" t="str">
        <x:v>PT2</x:v>
      </x:c>
      <x:c r="L63" s="6" t="str">
        <x:v>更改系统提示角色为任务特定角色，并采用 JSON 数组输出。</x:v>
      </x:c>
      <x:c r="M63" s="2" t="str">
        <x:v>Yes</x:v>
      </x:c>
      <x:c r="N63" s="2" t="str">
        <x:v>Partial description</x:v>
      </x:c>
      <x:c r="O63" s="2" t="str">
        <x:v>NR</x:v>
      </x:c>
      <x:c r="P63" s="2" t="str">
        <x:v>No</x:v>
      </x:c>
      <x:c r="Q63" s="2" t="str">
        <x:v>No</x:v>
      </x:c>
      <x:c r="R63" s="2" t="str">
        <x:v>No</x:v>
      </x:c>
      <x:c r="S63" s="2" t="str">
        <x:v>Iterates over each requirement, sending one request per requirement to the LLM.</x:v>
      </x:c>
      <x:c r="T63" s="6" t="str">
        <x:v>p. 5; Table 3</x:v>
      </x:c>
      <x:c r="U63" s="6" t="str">
        <x:v>PT2 NO + RS: Changed from default system prompt role to a task-specific role</x:v>
      </x:c>
      <x:c r="V63" s="6" t="str">
        <x:v>Mistral 7B 使用 PT2 提示模板进行实验。</x:v>
      </x:c>
      <x:c r="W63" s="2" t="str">
        <x:v>Accepted</x:v>
      </x:c>
      <x:c r="X63" s="6" t="str">
        <x:v>NA</x:v>
      </x:c>
    </x:row>
    <x:row r="64" ht="76" customHeight="1">
      <x:c r="A64" s="2" t="str">
        <x:v>S07-FEATURE-R28</x:v>
      </x:c>
      <x:c r="B64" s="2" t="str">
        <x:v>S07</x:v>
      </x:c>
      <x:c r="C64" s="2" t="str">
        <x:v>merged_0110</x:v>
      </x:c>
      <x:c r="D64" s="2" t="str">
        <x:v>Reviewer_A</x:v>
      </x:c>
      <x:c r="E64" s="2" t="str">
        <x:v>Reviewer_A</x:v>
      </x:c>
      <x:c r="F64" s="2" t="str">
        <x:v>S07-CF28</x:v>
      </x:c>
      <x:c r="G64" s="2" t="str">
        <x:v>S07-MU04</x:v>
      </x:c>
      <x:c r="H64" s="2" t="str">
        <x:v>S07-O01</x:v>
      </x:c>
      <x:c r="I64" s="2" t="str">
        <x:v>Prompting</x:v>
      </x:c>
      <x:c r="J64" s="2" t="str">
        <x:v>PT3</x:v>
      </x:c>
      <x:c r="K64" s="2" t="str">
        <x:v>PT3</x:v>
      </x:c>
      <x:c r="L64" s="6" t="str">
        <x:v>默认 JSON 对象输出，同时采用任务特定角色。</x:v>
      </x:c>
      <x:c r="M64" s="2" t="str">
        <x:v>Yes</x:v>
      </x:c>
      <x:c r="N64" s="2" t="str">
        <x:v>Partial description</x:v>
      </x:c>
      <x:c r="O64" s="2" t="str">
        <x:v>NR</x:v>
      </x:c>
      <x:c r="P64" s="2" t="str">
        <x:v>No</x:v>
      </x:c>
      <x:c r="Q64" s="2" t="str">
        <x:v>No</x:v>
      </x:c>
      <x:c r="R64" s="2" t="str">
        <x:v>No</x:v>
      </x:c>
      <x:c r="S64" s="2" t="str">
        <x:v>Iterates over each requirement, sending one request per requirement to the LLM.</x:v>
      </x:c>
      <x:c r="T64" s="6" t="str">
        <x:v>p. 5; Table 3</x:v>
      </x:c>
      <x:c r="U64" s="6" t="str">
        <x:v>PT3 DO + RS</x:v>
      </x:c>
      <x:c r="V64" s="6" t="str">
        <x:v>Mistral 7B 使用 PT3 提示模板进行实验。</x:v>
      </x:c>
      <x:c r="W64" s="2" t="str">
        <x:v>Accepted</x:v>
      </x:c>
      <x:c r="X64" s="6" t="str">
        <x:v>NA</x:v>
      </x:c>
    </x:row>
    <x:row r="65" ht="76" customHeight="1">
      <x:c r="A65" s="2" t="str">
        <x:v>S07-FEATURE-R29</x:v>
      </x:c>
      <x:c r="B65" s="2" t="str">
        <x:v>S07</x:v>
      </x:c>
      <x:c r="C65" s="2" t="str">
        <x:v>merged_0110</x:v>
      </x:c>
      <x:c r="D65" s="2" t="str">
        <x:v>Reviewer_A</x:v>
      </x:c>
      <x:c r="E65" s="2" t="str">
        <x:v>Reviewer_A</x:v>
      </x:c>
      <x:c r="F65" s="2" t="str">
        <x:v>S07-CF29</x:v>
      </x:c>
      <x:c r="G65" s="2" t="str">
        <x:v>S07-MU04</x:v>
      </x:c>
      <x:c r="H65" s="2" t="str">
        <x:v>S07-O01</x:v>
      </x:c>
      <x:c r="I65" s="2" t="str">
        <x:v>Prompting</x:v>
      </x:c>
      <x:c r="J65" s="2" t="str">
        <x:v>PT4</x:v>
      </x:c>
      <x:c r="K65" s="2" t="str">
        <x:v>PT4</x:v>
      </x:c>
      <x:c r="L65" s="6" t="str">
        <x:v>系统提示包含语气指导作为角色、指令、上下文信息、规则和输出格式；用户提示包含任务描述、上下文和数据。采用 JSON 数组输出。</x:v>
      </x:c>
      <x:c r="M65" s="2" t="str">
        <x:v>Yes</x:v>
      </x:c>
      <x:c r="N65" s="2" t="str">
        <x:v>Full prompt reported</x:v>
      </x:c>
      <x:c r="O65" s="2" t="str">
        <x:v>NR</x:v>
      </x:c>
      <x:c r="P65" s="2" t="str">
        <x:v>No</x:v>
      </x:c>
      <x:c r="Q65" s="2" t="str">
        <x:v>No</x:v>
      </x:c>
      <x:c r="R65" s="2" t="str">
        <x:v>No</x:v>
      </x:c>
      <x:c r="S65" s="2" t="str">
        <x:v>Iterates over each requirement, sending one request per requirement to the LLM.</x:v>
      </x:c>
      <x:c r="T65" s="6" t="str">
        <x:v>p. 5; Table 3</x:v>
      </x:c>
      <x:c r="U65" s="6" t="str">
        <x:v>RS + NO + ReOP: System: Tone guidelines as role, Instructions, Context information, Rules and Guidelines,</x:v>
      </x:c>
      <x:c r="V65" s="6" t="str">
        <x:v>Mistral 7B 使用 PT4 提示模板进行实验。</x:v>
      </x:c>
      <x:c r="W65" s="2" t="str">
        <x:v>Accepted</x:v>
      </x:c>
      <x:c r="X65" s="6" t="str">
        <x:v>Full prompt example on p.5, Section 4.3.</x:v>
      </x:c>
    </x:row>
    <x:row r="66" ht="76" customHeight="1">
      <x:c r="A66" s="2" t="str">
        <x:v>S07-FEATURE-R30</x:v>
      </x:c>
      <x:c r="B66" s="2" t="str">
        <x:v>S07</x:v>
      </x:c>
      <x:c r="C66" s="2" t="str">
        <x:v>merged_0110</x:v>
      </x:c>
      <x:c r="D66" s="2" t="str">
        <x:v>Reviewer_A</x:v>
      </x:c>
      <x:c r="E66" s="2" t="str">
        <x:v>Reviewer_A</x:v>
      </x:c>
      <x:c r="F66" s="2" t="str">
        <x:v>S07-CF30</x:v>
      </x:c>
      <x:c r="G66" s="2" t="str">
        <x:v>S07-MU04</x:v>
      </x:c>
      <x:c r="H66" s="2" t="str">
        <x:v>S07-O01</x:v>
      </x:c>
      <x:c r="I66" s="2" t="str">
        <x:v>Prompting</x:v>
      </x:c>
      <x:c r="J66" s="2" t="str">
        <x:v>PT5</x:v>
      </x:c>
      <x:c r="K66" s="2" t="str">
        <x:v>PT5</x:v>
      </x:c>
      <x:c r="L66" s="6" t="str">
        <x:v>与 PT4 类似，但采用默认 JSON 对象输出。</x:v>
      </x:c>
      <x:c r="M66" s="2" t="str">
        <x:v>Yes</x:v>
      </x:c>
      <x:c r="N66" s="2" t="str">
        <x:v>Partial description</x:v>
      </x:c>
      <x:c r="O66" s="2" t="str">
        <x:v>NR</x:v>
      </x:c>
      <x:c r="P66" s="2" t="str">
        <x:v>No</x:v>
      </x:c>
      <x:c r="Q66" s="2" t="str">
        <x:v>No</x:v>
      </x:c>
      <x:c r="R66" s="2" t="str">
        <x:v>No</x:v>
      </x:c>
      <x:c r="S66" s="2" t="str">
        <x:v>Iterates over each requirement, sending one request per requirement to the LLM.</x:v>
      </x:c>
      <x:c r="T66" s="6" t="str">
        <x:v>p. 5; Table 3</x:v>
      </x:c>
      <x:c r="U66" s="6" t="str">
        <x:v>PT5 RS + DO + ReOP</x:v>
      </x:c>
      <x:c r="V66" s="6" t="str">
        <x:v>Mistral 7B 使用 PT5 提示模板进行实验。</x:v>
      </x:c>
      <x:c r="W66" s="2" t="str">
        <x:v>Accepted</x:v>
      </x:c>
      <x:c r="X66" s="6" t="str">
        <x:v>NA</x:v>
      </x:c>
    </x:row>
    <x:row r="67" ht="76" customHeight="1">
      <x:c r="A67" s="2" t="str">
        <x:v>S07-FEATURE-R31</x:v>
      </x:c>
      <x:c r="B67" s="2" t="str">
        <x:v>S07</x:v>
      </x:c>
      <x:c r="C67" s="2" t="str">
        <x:v>merged_0110</x:v>
      </x:c>
      <x:c r="D67" s="2" t="str">
        <x:v>Reviewer_A</x:v>
      </x:c>
      <x:c r="E67" s="2" t="str">
        <x:v>Reviewer_A</x:v>
      </x:c>
      <x:c r="F67" s="2" t="str">
        <x:v>S07-CF31</x:v>
      </x:c>
      <x:c r="G67" s="2" t="str">
        <x:v>S07-MU04</x:v>
      </x:c>
      <x:c r="H67" s="2" t="str">
        <x:v>S07-O01</x:v>
      </x:c>
      <x:c r="I67" s="2" t="str">
        <x:v>Prompting</x:v>
      </x:c>
      <x:c r="J67" s="2" t="str">
        <x:v>PT6</x:v>
      </x:c>
      <x:c r="K67" s="2" t="str">
        <x:v>PT6</x:v>
      </x:c>
      <x:c r="L67" s="6" t="str">
        <x:v>采用严格的分节结构，包含语气指导作为角色、指令与目标、任务上下文、规则和输出格式；用户提示仅包含任务数据。JSON 数组输出。</x:v>
      </x:c>
      <x:c r="M67" s="2" t="str">
        <x:v>Yes</x:v>
      </x:c>
      <x:c r="N67" s="2" t="str">
        <x:v>Partial description</x:v>
      </x:c>
      <x:c r="O67" s="2" t="str">
        <x:v>NR</x:v>
      </x:c>
      <x:c r="P67" s="2" t="str">
        <x:v>No</x:v>
      </x:c>
      <x:c r="Q67" s="2" t="str">
        <x:v>No</x:v>
      </x:c>
      <x:c r="R67" s="2" t="str">
        <x:v>No</x:v>
      </x:c>
      <x:c r="S67" s="2" t="str">
        <x:v>Iterates over each requirement, sending one request per requirement to the LLM.</x:v>
      </x:c>
      <x:c r="T67" s="6" t="str">
        <x:v>p. 5; Table 3</x:v>
      </x:c>
      <x:c r="U67" s="6" t="str">
        <x:v>PT6 RS + NO + PP: Strict structure using section division of each component. Tone guidelines as role, Instruction and Objectives, Task context, Rules, and Output format. User: Task data</x:v>
      </x:c>
      <x:c r="V67" s="6" t="str">
        <x:v>Mistral 7B 使用 PT6 提示模板进行实验。</x:v>
      </x:c>
      <x:c r="W67" s="2" t="str">
        <x:v>Accepted</x:v>
      </x:c>
      <x:c r="X67" s="6" t="str">
        <x:v>NA</x:v>
      </x:c>
    </x:row>
    <x:row r="68" ht="76" customHeight="1">
      <x:c r="A68" s="2" t="str">
        <x:v>S07-FEATURE-R32</x:v>
      </x:c>
      <x:c r="B68" s="2" t="str">
        <x:v>S07</x:v>
      </x:c>
      <x:c r="C68" s="2" t="str">
        <x:v>merged_0110</x:v>
      </x:c>
      <x:c r="D68" s="2" t="str">
        <x:v>Reviewer_A</x:v>
      </x:c>
      <x:c r="E68" s="2" t="str">
        <x:v>Reviewer_A</x:v>
      </x:c>
      <x:c r="F68" s="2" t="str">
        <x:v>S07-CF32</x:v>
      </x:c>
      <x:c r="G68" s="2" t="str">
        <x:v>S07-MU04</x:v>
      </x:c>
      <x:c r="H68" s="2" t="str">
        <x:v>S07-O01</x:v>
      </x:c>
      <x:c r="I68" s="2" t="str">
        <x:v>Prompting</x:v>
      </x:c>
      <x:c r="J68" s="2" t="str">
        <x:v>PT7</x:v>
      </x:c>
      <x:c r="K68" s="2" t="str">
        <x:v>PT7</x:v>
      </x:c>
      <x:c r="L68" s="6" t="str">
        <x:v>类似 PT6，但采用默认 JSON 对象输出。</x:v>
      </x:c>
      <x:c r="M68" s="2" t="str">
        <x:v>Yes</x:v>
      </x:c>
      <x:c r="N68" s="2" t="str">
        <x:v>Partial description</x:v>
      </x:c>
      <x:c r="O68" s="2" t="str">
        <x:v>NR</x:v>
      </x:c>
      <x:c r="P68" s="2" t="str">
        <x:v>No</x:v>
      </x:c>
      <x:c r="Q68" s="2" t="str">
        <x:v>No</x:v>
      </x:c>
      <x:c r="R68" s="2" t="str">
        <x:v>No</x:v>
      </x:c>
      <x:c r="S68" s="2" t="str">
        <x:v>Iterates over each requirement, sending one request per requirement to the LLM.</x:v>
      </x:c>
      <x:c r="T68" s="6" t="str">
        <x:v>p. 5; Table 3</x:v>
      </x:c>
      <x:c r="U68" s="6" t="str">
        <x:v>PT7 RS + DO + PP</x:v>
      </x:c>
      <x:c r="V68" s="6" t="str">
        <x:v>Mistral 7B 使用 PT7 提示模板进行实验。</x:v>
      </x:c>
      <x:c r="W68" s="2" t="str">
        <x:v>Accepted</x:v>
      </x:c>
      <x:c r="X68" s="6" t="str">
        <x:v>NA</x:v>
      </x:c>
    </x:row>
    <x:row r="69" ht="76" customHeight="1">
      <x:c r="A69" s="2" t="str">
        <x:v>S07-FEATURE-R33</x:v>
      </x:c>
      <x:c r="B69" s="2" t="str">
        <x:v>S07</x:v>
      </x:c>
      <x:c r="C69" s="2" t="str">
        <x:v>merged_0110</x:v>
      </x:c>
      <x:c r="D69" s="2" t="str">
        <x:v>Reviewer_A</x:v>
      </x:c>
      <x:c r="E69" s="2" t="str">
        <x:v>Reviewer_A</x:v>
      </x:c>
      <x:c r="F69" s="2" t="str">
        <x:v>S07-CF33</x:v>
      </x:c>
      <x:c r="G69" s="2" t="str">
        <x:v>S07-MU05</x:v>
      </x:c>
      <x:c r="H69" s="2" t="str">
        <x:v>S07-O01</x:v>
      </x:c>
      <x:c r="I69" s="2" t="str">
        <x:v>Prompting</x:v>
      </x:c>
      <x:c r="J69" s="2" t="str">
        <x:v>BASE</x:v>
      </x:c>
      <x:c r="K69" s="2" t="str">
        <x:v>BASE</x:v>
      </x:c>
      <x:c r="L69" s="6" t="str">
        <x:v>默认提示模板：系统默认角色，用户指令包含任务、上下文、规则和 JSON 对象输出格式。</x:v>
      </x:c>
      <x:c r="M69" s="2" t="str">
        <x:v>Yes</x:v>
      </x:c>
      <x:c r="N69" s="2" t="str">
        <x:v>Partial description</x:v>
      </x:c>
      <x:c r="O69" s="2" t="str">
        <x:v>NR</x:v>
      </x:c>
      <x:c r="P69" s="2" t="str">
        <x:v>No</x:v>
      </x:c>
      <x:c r="Q69" s="2" t="str">
        <x:v>No</x:v>
      </x:c>
      <x:c r="R69" s="2" t="str">
        <x:v>No</x:v>
      </x:c>
      <x:c r="S69" s="2" t="str">
        <x:v>Iterates over each requirement, sending one request per requirement to the LLM.</x:v>
      </x:c>
      <x:c r="T69" s="6" t="str">
        <x:v>p. 5; Table 3</x:v>
      </x:c>
      <x:c r="U69" s="6" t="str">
        <x:v>BASE DO: System: Default Role. User: Instruction and Objectives, Context information, Rules and Guidelines, and Output format (JSON Object)</x:v>
      </x:c>
      <x:c r="V69" s="6" t="str">
        <x:v>Mixtral 8x7B 使用 BASE 提示模板进行实验。</x:v>
      </x:c>
      <x:c r="W69" s="2" t="str">
        <x:v>Accepted</x:v>
      </x:c>
      <x:c r="X69" s="6" t="str">
        <x:v>NA</x:v>
      </x:c>
    </x:row>
    <x:row r="70" ht="76" customHeight="1">
      <x:c r="A70" s="2" t="str">
        <x:v>S07-FEATURE-R34</x:v>
      </x:c>
      <x:c r="B70" s="2" t="str">
        <x:v>S07</x:v>
      </x:c>
      <x:c r="C70" s="2" t="str">
        <x:v>merged_0110</x:v>
      </x:c>
      <x:c r="D70" s="2" t="str">
        <x:v>Reviewer_A</x:v>
      </x:c>
      <x:c r="E70" s="2" t="str">
        <x:v>Reviewer_A</x:v>
      </x:c>
      <x:c r="F70" s="2" t="str">
        <x:v>S07-CF34</x:v>
      </x:c>
      <x:c r="G70" s="2" t="str">
        <x:v>S07-MU05</x:v>
      </x:c>
      <x:c r="H70" s="2" t="str">
        <x:v>S07-O01</x:v>
      </x:c>
      <x:c r="I70" s="2" t="str">
        <x:v>Prompting</x:v>
      </x:c>
      <x:c r="J70" s="2" t="str">
        <x:v>PT1</x:v>
      </x:c>
      <x:c r="K70" s="2" t="str">
        <x:v>PT1</x:v>
      </x:c>
      <x:c r="L70" s="6" t="str">
        <x:v>输出格式改为 JSON 数组。</x:v>
      </x:c>
      <x:c r="M70" s="2" t="str">
        <x:v>Yes</x:v>
      </x:c>
      <x:c r="N70" s="2" t="str">
        <x:v>Partial description</x:v>
      </x:c>
      <x:c r="O70" s="2" t="str">
        <x:v>NR</x:v>
      </x:c>
      <x:c r="P70" s="2" t="str">
        <x:v>No</x:v>
      </x:c>
      <x:c r="Q70" s="2" t="str">
        <x:v>No</x:v>
      </x:c>
      <x:c r="R70" s="2" t="str">
        <x:v>No</x:v>
      </x:c>
      <x:c r="S70" s="2" t="str">
        <x:v>Iterates over each requirement, sending one request per requirement to the LLM.</x:v>
      </x:c>
      <x:c r="T70" s="6" t="str">
        <x:v>p. 5; Table 3</x:v>
      </x:c>
      <x:c r="U70" s="6" t="str">
        <x:v>PT1 NO: System: The output format is changed to a JSON</x:v>
      </x:c>
      <x:c r="V70" s="6" t="str">
        <x:v>Mixtral 8x7B 使用 PT1 提示模板进行实验。</x:v>
      </x:c>
      <x:c r="W70" s="2" t="str">
        <x:v>Accepted</x:v>
      </x:c>
      <x:c r="X70" s="6" t="str">
        <x:v>NA</x:v>
      </x:c>
    </x:row>
    <x:row r="71" ht="76" customHeight="1">
      <x:c r="A71" s="2" t="str">
        <x:v>S07-FEATURE-R35</x:v>
      </x:c>
      <x:c r="B71" s="2" t="str">
        <x:v>S07</x:v>
      </x:c>
      <x:c r="C71" s="2" t="str">
        <x:v>merged_0110</x:v>
      </x:c>
      <x:c r="D71" s="2" t="str">
        <x:v>Reviewer_A</x:v>
      </x:c>
      <x:c r="E71" s="2" t="str">
        <x:v>Reviewer_A</x:v>
      </x:c>
      <x:c r="F71" s="2" t="str">
        <x:v>S07-CF35</x:v>
      </x:c>
      <x:c r="G71" s="2" t="str">
        <x:v>S07-MU05</x:v>
      </x:c>
      <x:c r="H71" s="2" t="str">
        <x:v>S07-O01</x:v>
      </x:c>
      <x:c r="I71" s="2" t="str">
        <x:v>Prompting</x:v>
      </x:c>
      <x:c r="J71" s="2" t="str">
        <x:v>PT2</x:v>
      </x:c>
      <x:c r="K71" s="2" t="str">
        <x:v>PT2</x:v>
      </x:c>
      <x:c r="L71" s="6" t="str">
        <x:v>更改系统提示角色为任务特定角色，并采用 JSON 数组输出。</x:v>
      </x:c>
      <x:c r="M71" s="2" t="str">
        <x:v>Yes</x:v>
      </x:c>
      <x:c r="N71" s="2" t="str">
        <x:v>Partial description</x:v>
      </x:c>
      <x:c r="O71" s="2" t="str">
        <x:v>NR</x:v>
      </x:c>
      <x:c r="P71" s="2" t="str">
        <x:v>No</x:v>
      </x:c>
      <x:c r="Q71" s="2" t="str">
        <x:v>No</x:v>
      </x:c>
      <x:c r="R71" s="2" t="str">
        <x:v>No</x:v>
      </x:c>
      <x:c r="S71" s="2" t="str">
        <x:v>Iterates over each requirement, sending one request per requirement to the LLM.</x:v>
      </x:c>
      <x:c r="T71" s="6" t="str">
        <x:v>p. 5; Table 3</x:v>
      </x:c>
      <x:c r="U71" s="6" t="str">
        <x:v>PT2 NO + RS: Changed from default system prompt role to a task-specific role</x:v>
      </x:c>
      <x:c r="V71" s="6" t="str">
        <x:v>Mixtral 8x7B 使用 PT2 提示模板进行实验。</x:v>
      </x:c>
      <x:c r="W71" s="2" t="str">
        <x:v>Accepted</x:v>
      </x:c>
      <x:c r="X71" s="6" t="str">
        <x:v>NA</x:v>
      </x:c>
    </x:row>
    <x:row r="72" ht="76" customHeight="1">
      <x:c r="A72" s="2" t="str">
        <x:v>S07-FEATURE-R36</x:v>
      </x:c>
      <x:c r="B72" s="2" t="str">
        <x:v>S07</x:v>
      </x:c>
      <x:c r="C72" s="2" t="str">
        <x:v>merged_0110</x:v>
      </x:c>
      <x:c r="D72" s="2" t="str">
        <x:v>Reviewer_A</x:v>
      </x:c>
      <x:c r="E72" s="2" t="str">
        <x:v>Reviewer_A</x:v>
      </x:c>
      <x:c r="F72" s="2" t="str">
        <x:v>S07-CF36</x:v>
      </x:c>
      <x:c r="G72" s="2" t="str">
        <x:v>S07-MU05</x:v>
      </x:c>
      <x:c r="H72" s="2" t="str">
        <x:v>S07-O01</x:v>
      </x:c>
      <x:c r="I72" s="2" t="str">
        <x:v>Prompting</x:v>
      </x:c>
      <x:c r="J72" s="2" t="str">
        <x:v>PT3</x:v>
      </x:c>
      <x:c r="K72" s="2" t="str">
        <x:v>PT3</x:v>
      </x:c>
      <x:c r="L72" s="6" t="str">
        <x:v>默认 JSON 对象输出，同时采用任务特定角色。</x:v>
      </x:c>
      <x:c r="M72" s="2" t="str">
        <x:v>Yes</x:v>
      </x:c>
      <x:c r="N72" s="2" t="str">
        <x:v>Partial description</x:v>
      </x:c>
      <x:c r="O72" s="2" t="str">
        <x:v>NR</x:v>
      </x:c>
      <x:c r="P72" s="2" t="str">
        <x:v>No</x:v>
      </x:c>
      <x:c r="Q72" s="2" t="str">
        <x:v>No</x:v>
      </x:c>
      <x:c r="R72" s="2" t="str">
        <x:v>No</x:v>
      </x:c>
      <x:c r="S72" s="2" t="str">
        <x:v>Iterates over each requirement, sending one request per requirement to the LLM.</x:v>
      </x:c>
      <x:c r="T72" s="6" t="str">
        <x:v>p. 5; Table 3</x:v>
      </x:c>
      <x:c r="U72" s="6" t="str">
        <x:v>PT3 DO + RS</x:v>
      </x:c>
      <x:c r="V72" s="6" t="str">
        <x:v>Mixtral 8x7B 使用 PT3 提示模板进行实验。</x:v>
      </x:c>
      <x:c r="W72" s="2" t="str">
        <x:v>Accepted</x:v>
      </x:c>
      <x:c r="X72" s="6" t="str">
        <x:v>NA</x:v>
      </x:c>
    </x:row>
    <x:row r="73" ht="76" customHeight="1">
      <x:c r="A73" s="2" t="str">
        <x:v>S07-FEATURE-R37</x:v>
      </x:c>
      <x:c r="B73" s="2" t="str">
        <x:v>S07</x:v>
      </x:c>
      <x:c r="C73" s="2" t="str">
        <x:v>merged_0110</x:v>
      </x:c>
      <x:c r="D73" s="2" t="str">
        <x:v>Reviewer_A</x:v>
      </x:c>
      <x:c r="E73" s="2" t="str">
        <x:v>Reviewer_A</x:v>
      </x:c>
      <x:c r="F73" s="2" t="str">
        <x:v>S07-CF37</x:v>
      </x:c>
      <x:c r="G73" s="2" t="str">
        <x:v>S07-MU05</x:v>
      </x:c>
      <x:c r="H73" s="2" t="str">
        <x:v>S07-O01</x:v>
      </x:c>
      <x:c r="I73" s="2" t="str">
        <x:v>Prompting</x:v>
      </x:c>
      <x:c r="J73" s="2" t="str">
        <x:v>PT4</x:v>
      </x:c>
      <x:c r="K73" s="2" t="str">
        <x:v>PT4</x:v>
      </x:c>
      <x:c r="L73" s="6" t="str">
        <x:v>系统提示包含语气指导作为角色、指令、上下文信息、规则和输出格式；用户提示包含任务描述、上下文和数据。采用 JSON 数组输出。</x:v>
      </x:c>
      <x:c r="M73" s="2" t="str">
        <x:v>Yes</x:v>
      </x:c>
      <x:c r="N73" s="2" t="str">
        <x:v>Full prompt reported</x:v>
      </x:c>
      <x:c r="O73" s="2" t="str">
        <x:v>NR</x:v>
      </x:c>
      <x:c r="P73" s="2" t="str">
        <x:v>No</x:v>
      </x:c>
      <x:c r="Q73" s="2" t="str">
        <x:v>No</x:v>
      </x:c>
      <x:c r="R73" s="2" t="str">
        <x:v>No</x:v>
      </x:c>
      <x:c r="S73" s="2" t="str">
        <x:v>Iterates over each requirement, sending one request per requirement to the LLM.</x:v>
      </x:c>
      <x:c r="T73" s="6" t="str">
        <x:v>p. 5; Table 3</x:v>
      </x:c>
      <x:c r="U73" s="6" t="str">
        <x:v>RS + NO + ReOP: System: Tone guidelines as role, Instructions, Context information, Rules and Guidelines,</x:v>
      </x:c>
      <x:c r="V73" s="6" t="str">
        <x:v>Mixtral 8x7B 使用 PT4 提示模板进行实验。</x:v>
      </x:c>
      <x:c r="W73" s="2" t="str">
        <x:v>Accepted</x:v>
      </x:c>
      <x:c r="X73" s="6" t="str">
        <x:v>Full prompt example on p.5, Section 4.3.</x:v>
      </x:c>
    </x:row>
    <x:row r="74" ht="76" customHeight="1">
      <x:c r="A74" s="2" t="str">
        <x:v>S07-FEATURE-R38</x:v>
      </x:c>
      <x:c r="B74" s="2" t="str">
        <x:v>S07</x:v>
      </x:c>
      <x:c r="C74" s="2" t="str">
        <x:v>merged_0110</x:v>
      </x:c>
      <x:c r="D74" s="2" t="str">
        <x:v>Reviewer_A</x:v>
      </x:c>
      <x:c r="E74" s="2" t="str">
        <x:v>Reviewer_A</x:v>
      </x:c>
      <x:c r="F74" s="2" t="str">
        <x:v>S07-CF38</x:v>
      </x:c>
      <x:c r="G74" s="2" t="str">
        <x:v>S07-MU05</x:v>
      </x:c>
      <x:c r="H74" s="2" t="str">
        <x:v>S07-O01</x:v>
      </x:c>
      <x:c r="I74" s="2" t="str">
        <x:v>Prompting</x:v>
      </x:c>
      <x:c r="J74" s="2" t="str">
        <x:v>PT5</x:v>
      </x:c>
      <x:c r="K74" s="2" t="str">
        <x:v>PT5</x:v>
      </x:c>
      <x:c r="L74" s="6" t="str">
        <x:v>与 PT4 类似，但采用默认 JSON 对象输出。</x:v>
      </x:c>
      <x:c r="M74" s="2" t="str">
        <x:v>Yes</x:v>
      </x:c>
      <x:c r="N74" s="2" t="str">
        <x:v>Partial description</x:v>
      </x:c>
      <x:c r="O74" s="2" t="str">
        <x:v>NR</x:v>
      </x:c>
      <x:c r="P74" s="2" t="str">
        <x:v>No</x:v>
      </x:c>
      <x:c r="Q74" s="2" t="str">
        <x:v>No</x:v>
      </x:c>
      <x:c r="R74" s="2" t="str">
        <x:v>No</x:v>
      </x:c>
      <x:c r="S74" s="2" t="str">
        <x:v>Iterates over each requirement, sending one request per requirement to the LLM.</x:v>
      </x:c>
      <x:c r="T74" s="6" t="str">
        <x:v>p. 5; Table 3</x:v>
      </x:c>
      <x:c r="U74" s="6" t="str">
        <x:v>PT5 RS + DO + ReOP</x:v>
      </x:c>
      <x:c r="V74" s="6" t="str">
        <x:v>Mixtral 8x7B 使用 PT5 提示模板进行实验。</x:v>
      </x:c>
      <x:c r="W74" s="2" t="str">
        <x:v>Accepted</x:v>
      </x:c>
      <x:c r="X74" s="6" t="str">
        <x:v>NA</x:v>
      </x:c>
    </x:row>
    <x:row r="75" ht="76" customHeight="1">
      <x:c r="A75" s="2" t="str">
        <x:v>S07-FEATURE-R39</x:v>
      </x:c>
      <x:c r="B75" s="2" t="str">
        <x:v>S07</x:v>
      </x:c>
      <x:c r="C75" s="2" t="str">
        <x:v>merged_0110</x:v>
      </x:c>
      <x:c r="D75" s="2" t="str">
        <x:v>Reviewer_A</x:v>
      </x:c>
      <x:c r="E75" s="2" t="str">
        <x:v>Reviewer_A</x:v>
      </x:c>
      <x:c r="F75" s="2" t="str">
        <x:v>S07-CF39</x:v>
      </x:c>
      <x:c r="G75" s="2" t="str">
        <x:v>S07-MU05</x:v>
      </x:c>
      <x:c r="H75" s="2" t="str">
        <x:v>S07-O01</x:v>
      </x:c>
      <x:c r="I75" s="2" t="str">
        <x:v>Prompting</x:v>
      </x:c>
      <x:c r="J75" s="2" t="str">
        <x:v>PT6</x:v>
      </x:c>
      <x:c r="K75" s="2" t="str">
        <x:v>PT6</x:v>
      </x:c>
      <x:c r="L75" s="6" t="str">
        <x:v>采用严格的分节结构，包含语气指导作为角色、指令与目标、任务上下文、规则和输出格式；用户提示仅包含任务数据。JSON 数组输出。</x:v>
      </x:c>
      <x:c r="M75" s="2" t="str">
        <x:v>Yes</x:v>
      </x:c>
      <x:c r="N75" s="2" t="str">
        <x:v>Partial description</x:v>
      </x:c>
      <x:c r="O75" s="2" t="str">
        <x:v>NR</x:v>
      </x:c>
      <x:c r="P75" s="2" t="str">
        <x:v>No</x:v>
      </x:c>
      <x:c r="Q75" s="2" t="str">
        <x:v>No</x:v>
      </x:c>
      <x:c r="R75" s="2" t="str">
        <x:v>No</x:v>
      </x:c>
      <x:c r="S75" s="2" t="str">
        <x:v>Iterates over each requirement, sending one request per requirement to the LLM.</x:v>
      </x:c>
      <x:c r="T75" s="6" t="str">
        <x:v>p. 5; Table 3</x:v>
      </x:c>
      <x:c r="U75" s="6" t="str">
        <x:v>PT6 RS + NO + PP: Strict structure using section division of each component. Tone guidelines as role, Instruction and Objectives, Task context, Rules, and Output format. User: Task data</x:v>
      </x:c>
      <x:c r="V75" s="6" t="str">
        <x:v>Mixtral 8x7B 使用 PT6 提示模板进行实验。</x:v>
      </x:c>
      <x:c r="W75" s="2" t="str">
        <x:v>Accepted</x:v>
      </x:c>
      <x:c r="X75" s="6" t="str">
        <x:v>NA</x:v>
      </x:c>
    </x:row>
    <x:row r="76" ht="76" customHeight="1">
      <x:c r="A76" s="2" t="str">
        <x:v>S07-FEATURE-R40</x:v>
      </x:c>
      <x:c r="B76" s="2" t="str">
        <x:v>S07</x:v>
      </x:c>
      <x:c r="C76" s="2" t="str">
        <x:v>merged_0110</x:v>
      </x:c>
      <x:c r="D76" s="2" t="str">
        <x:v>Reviewer_A</x:v>
      </x:c>
      <x:c r="E76" s="2" t="str">
        <x:v>Reviewer_A</x:v>
      </x:c>
      <x:c r="F76" s="2" t="str">
        <x:v>S07-CF40</x:v>
      </x:c>
      <x:c r="G76" s="2" t="str">
        <x:v>S07-MU05</x:v>
      </x:c>
      <x:c r="H76" s="2" t="str">
        <x:v>S07-O01</x:v>
      </x:c>
      <x:c r="I76" s="2" t="str">
        <x:v>Prompting</x:v>
      </x:c>
      <x:c r="J76" s="2" t="str">
        <x:v>PT7</x:v>
      </x:c>
      <x:c r="K76" s="2" t="str">
        <x:v>PT7</x:v>
      </x:c>
      <x:c r="L76" s="6" t="str">
        <x:v>类似 PT6，但采用默认 JSON 对象输出。</x:v>
      </x:c>
      <x:c r="M76" s="2" t="str">
        <x:v>Yes</x:v>
      </x:c>
      <x:c r="N76" s="2" t="str">
        <x:v>Partial description</x:v>
      </x:c>
      <x:c r="O76" s="2" t="str">
        <x:v>NR</x:v>
      </x:c>
      <x:c r="P76" s="2" t="str">
        <x:v>No</x:v>
      </x:c>
      <x:c r="Q76" s="2" t="str">
        <x:v>No</x:v>
      </x:c>
      <x:c r="R76" s="2" t="str">
        <x:v>No</x:v>
      </x:c>
      <x:c r="S76" s="2" t="str">
        <x:v>Iterates over each requirement, sending one request per requirement to the LLM.</x:v>
      </x:c>
      <x:c r="T76" s="6" t="str">
        <x:v>p. 5; Table 3</x:v>
      </x:c>
      <x:c r="U76" s="6" t="str">
        <x:v>PT7 RS + DO + PP</x:v>
      </x:c>
      <x:c r="V76" s="6" t="str">
        <x:v>Mixtral 8x7B 使用 PT7 提示模板进行实验。</x:v>
      </x:c>
      <x:c r="W76" s="2" t="str">
        <x:v>Accepted</x:v>
      </x:c>
      <x:c r="X76" s="6" t="str">
        <x:v>NA</x:v>
      </x:c>
    </x:row>
    <x:row r="77" ht="76" customHeight="1">
      <x:c r="A77" s="2" t="str">
        <x:v>S08-FEATURE-R01</x:v>
      </x:c>
      <x:c r="B77" s="2" t="str">
        <x:v>S08</x:v>
      </x:c>
      <x:c r="C77" s="2" t="str">
        <x:v>merged_0256</x:v>
      </x:c>
      <x:c r="D77" s="2" t="str">
        <x:v>Reviewer_A</x:v>
      </x:c>
      <x:c r="E77" s="2" t="str">
        <x:v>Reviewer_A</x:v>
      </x:c>
      <x:c r="F77" s="2" t="str">
        <x:v>S08-CF01</x:v>
      </x:c>
      <x:c r="G77" s="2" t="str">
        <x:v>S08-MU03</x:v>
      </x:c>
      <x:c r="H77" s="2" t="str">
        <x:v>S08-O01</x:v>
      </x:c>
      <x:c r="I77" s="2" t="str">
        <x:v>Prompting</x:v>
      </x:c>
      <x:c r="J77" s="2" t="str">
        <x:v>zero-shot prompting (zS)</x:v>
      </x:c>
      <x:c r="K77" s="2" t="str">
        <x:v>zS</x:v>
      </x:c>
      <x:c r="L77" s="6" t="str">
        <x:v>直接要求模型回答是否覆盖，无解释。</x:v>
      </x:c>
      <x:c r="M77" s="2" t="str">
        <x:v>Yes</x:v>
      </x:c>
      <x:c r="N77" s="2" t="str">
        <x:v>Template reported</x:v>
      </x:c>
      <x:c r="O77" s="2" t="n">
        <x:v>0</x:v>
      </x:c>
      <x:c r="P77" s="2" t="str">
        <x:v>No</x:v>
      </x:c>
      <x:c r="Q77" s="2" t="str">
        <x:v>No</x:v>
      </x:c>
      <x:c r="R77" s="2" t="str">
        <x:v>No</x:v>
      </x:c>
      <x:c r="S77" s="2" t="str">
        <x:v>NA</x:v>
      </x:c>
      <x:c r="T77" s="6" t="str">
        <x:v>p. 4; Figure 2</x:v>
      </x:c>
      <x:c r="U77"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x:v>
      </x:c>
      <x:c r="V77" s="6" t="str">
        <x:v>zS提示模板。</x:v>
      </x:c>
      <x:c r="W77" s="2" t="str">
        <x:v>Accepted</x:v>
      </x:c>
      <x:c r="X77" s="6" t="str">
        <x:v>NA</x:v>
      </x:c>
    </x:row>
    <x:row r="78" ht="76" customHeight="1">
      <x:c r="A78" s="2" t="str">
        <x:v>S08-FEATURE-R02</x:v>
      </x:c>
      <x:c r="B78" s="2" t="str">
        <x:v>S08</x:v>
      </x:c>
      <x:c r="C78" s="2" t="str">
        <x:v>merged_0256</x:v>
      </x:c>
      <x:c r="D78" s="2" t="str">
        <x:v>Reviewer_A</x:v>
      </x:c>
      <x:c r="E78" s="2" t="str">
        <x:v>Reviewer_A</x:v>
      </x:c>
      <x:c r="F78" s="2" t="str">
        <x:v>S08-CF02</x:v>
      </x:c>
      <x:c r="G78" s="2" t="str">
        <x:v>S08-MU07</x:v>
      </x:c>
      <x:c r="H78" s="2" t="str">
        <x:v>S08-O01</x:v>
      </x:c>
      <x:c r="I78" s="2" t="str">
        <x:v>Prompting</x:v>
      </x:c>
      <x:c r="J78" s="2" t="str">
        <x:v>zero-shot prompting (zS)</x:v>
      </x:c>
      <x:c r="K78" s="2" t="str">
        <x:v>zS</x:v>
      </x:c>
      <x:c r="L78" s="6" t="str">
        <x:v>直接要求模型回答是否覆盖，无解释。</x:v>
      </x:c>
      <x:c r="M78" s="2" t="str">
        <x:v>Yes</x:v>
      </x:c>
      <x:c r="N78" s="2" t="str">
        <x:v>Template reported</x:v>
      </x:c>
      <x:c r="O78" s="2" t="n">
        <x:v>0</x:v>
      </x:c>
      <x:c r="P78" s="2" t="str">
        <x:v>No</x:v>
      </x:c>
      <x:c r="Q78" s="2" t="str">
        <x:v>No</x:v>
      </x:c>
      <x:c r="R78" s="2" t="str">
        <x:v>No</x:v>
      </x:c>
      <x:c r="S78" s="2" t="str">
        <x:v>NA</x:v>
      </x:c>
      <x:c r="T78" s="6" t="str">
        <x:v>p. 4; Figure 2</x:v>
      </x:c>
      <x:c r="U78"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x:v>
      </x:c>
      <x:c r="V78" s="6" t="str">
        <x:v>zS提示模板。</x:v>
      </x:c>
      <x:c r="W78" s="2" t="str">
        <x:v>Accepted</x:v>
      </x:c>
      <x:c r="X78" s="6" t="str">
        <x:v>NA</x:v>
      </x:c>
    </x:row>
    <x:row r="79" ht="76" customHeight="1">
      <x:c r="A79" s="2" t="str">
        <x:v>S08-FEATURE-R03</x:v>
      </x:c>
      <x:c r="B79" s="2" t="str">
        <x:v>S08</x:v>
      </x:c>
      <x:c r="C79" s="2" t="str">
        <x:v>merged_0256</x:v>
      </x:c>
      <x:c r="D79" s="2" t="str">
        <x:v>Reviewer_A</x:v>
      </x:c>
      <x:c r="E79" s="2" t="str">
        <x:v>Reviewer_A</x:v>
      </x:c>
      <x:c r="F79" s="2" t="str">
        <x:v>S08-CF03</x:v>
      </x:c>
      <x:c r="G79" s="2" t="str">
        <x:v>S08-MU03</x:v>
      </x:c>
      <x:c r="H79" s="2" t="str">
        <x:v>S08-O02</x:v>
      </x:c>
      <x:c r="I79" s="2" t="str">
        <x:v>Prompting</x:v>
      </x:c>
      <x:c r="J79" s="2" t="str">
        <x:v>zero-shot with explanation (zS+expl.)</x:v>
      </x:c>
      <x:c r="K79" s="2" t="str">
        <x:v>zS+expl.</x:v>
      </x:c>
      <x:c r="L79" s="6" t="str">
        <x:v>要求模型回答是否覆盖并附10词解释。</x:v>
      </x:c>
      <x:c r="M79" s="2" t="str">
        <x:v>Yes</x:v>
      </x:c>
      <x:c r="N79" s="2" t="str">
        <x:v>Template reported</x:v>
      </x:c>
      <x:c r="O79" s="2" t="n">
        <x:v>0</x:v>
      </x:c>
      <x:c r="P79" s="2" t="str">
        <x:v>No</x:v>
      </x:c>
      <x:c r="Q79" s="2" t="str">
        <x:v>No</x:v>
      </x:c>
      <x:c r="R79" s="2" t="str">
        <x:v>No</x:v>
      </x:c>
      <x:c r="S79" s="2" t="str">
        <x:v>NA</x:v>
      </x:c>
      <x:c r="T79" s="6" t="str">
        <x:v>p. 4; Figure 2</x:v>
      </x:c>
      <x:c r="U79"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Explain in 10 words your answer.</x:v>
      </x:c>
      <x:c r="V79" s="6" t="str">
        <x:v>zS+expl.提示模板，要求10词解释。</x:v>
      </x:c>
      <x:c r="W79" s="2" t="str">
        <x:v>Accepted</x:v>
      </x:c>
      <x:c r="X79" s="6" t="str">
        <x:v>NA</x:v>
      </x:c>
    </x:row>
    <x:row r="80" ht="76" customHeight="1">
      <x:c r="A80" s="2" t="str">
        <x:v>S08-FEATURE-R04</x:v>
      </x:c>
      <x:c r="B80" s="2" t="str">
        <x:v>S08</x:v>
      </x:c>
      <x:c r="C80" s="2" t="str">
        <x:v>merged_0256</x:v>
      </x:c>
      <x:c r="D80" s="2" t="str">
        <x:v>Reviewer_A</x:v>
      </x:c>
      <x:c r="E80" s="2" t="str">
        <x:v>Reviewer_A</x:v>
      </x:c>
      <x:c r="F80" s="2" t="str">
        <x:v>S08-CF04</x:v>
      </x:c>
      <x:c r="G80" s="2" t="str">
        <x:v>S08-MU07</x:v>
      </x:c>
      <x:c r="H80" s="2" t="str">
        <x:v>S08-O02</x:v>
      </x:c>
      <x:c r="I80" s="2" t="str">
        <x:v>Prompting</x:v>
      </x:c>
      <x:c r="J80" s="2" t="str">
        <x:v>zero-shot with explanation (zS+expl.)</x:v>
      </x:c>
      <x:c r="K80" s="2" t="str">
        <x:v>zS+expl.</x:v>
      </x:c>
      <x:c r="L80" s="6" t="str">
        <x:v>要求模型回答是否覆盖并附10词解释。</x:v>
      </x:c>
      <x:c r="M80" s="2" t="str">
        <x:v>Yes</x:v>
      </x:c>
      <x:c r="N80" s="2" t="str">
        <x:v>Template reported</x:v>
      </x:c>
      <x:c r="O80" s="2" t="n">
        <x:v>0</x:v>
      </x:c>
      <x:c r="P80" s="2" t="str">
        <x:v>No</x:v>
      </x:c>
      <x:c r="Q80" s="2" t="str">
        <x:v>No</x:v>
      </x:c>
      <x:c r="R80" s="2" t="str">
        <x:v>No</x:v>
      </x:c>
      <x:c r="S80" s="2" t="str">
        <x:v>NA</x:v>
      </x:c>
      <x:c r="T80" s="6" t="str">
        <x:v>p. 4; Figure 2</x:v>
      </x:c>
      <x:c r="U80"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Explain in 10 words your answer.</x:v>
      </x:c>
      <x:c r="V80" s="6" t="str">
        <x:v>zS+expl.提示模板，要求10词解释。</x:v>
      </x:c>
      <x:c r="W80" s="2" t="str">
        <x:v>Accepted</x:v>
      </x:c>
      <x:c r="X80" s="6" t="str">
        <x:v>NA</x:v>
      </x:c>
    </x:row>
    <x:row r="81" ht="76" customHeight="1">
      <x:c r="A81" s="2" t="str">
        <x:v>S08-FEATURE-R05</x:v>
      </x:c>
      <x:c r="B81" s="2" t="str">
        <x:v>S08</x:v>
      </x:c>
      <x:c r="C81" s="2" t="str">
        <x:v>merged_0256</x:v>
      </x:c>
      <x:c r="D81" s="2" t="str">
        <x:v>Reviewer_A</x:v>
      </x:c>
      <x:c r="E81" s="2" t="str">
        <x:v>Reviewer_A</x:v>
      </x:c>
      <x:c r="F81" s="2" t="str">
        <x:v>S08-CF05</x:v>
      </x:c>
      <x:c r="G81" s="2" t="str">
        <x:v>S08-MU07</x:v>
      </x:c>
      <x:c r="H81" s="2" t="str">
        <x:v>S08-O03</x:v>
      </x:c>
      <x:c r="I81" s="2" t="str">
        <x:v>Prompting</x:v>
      </x:c>
      <x:c r="J81" s="2" t="str">
        <x:v>zero-shot with conditional explanation (zS+expl2.)</x:v>
      </x:c>
      <x:c r="K81" s="2" t="str">
        <x:v>zS+expl2.</x:v>
      </x:c>
      <x:c r="L81" s="6" t="str">
        <x:v>仅在回答为否时要求10词解释。</x:v>
      </x:c>
      <x:c r="M81" s="2" t="str">
        <x:v>Yes</x:v>
      </x:c>
      <x:c r="N81" s="2" t="str">
        <x:v>Template reported</x:v>
      </x:c>
      <x:c r="O81" s="2" t="n">
        <x:v>0</x:v>
      </x:c>
      <x:c r="P81" s="2" t="str">
        <x:v>No</x:v>
      </x:c>
      <x:c r="Q81" s="2" t="str">
        <x:v>No</x:v>
      </x:c>
      <x:c r="R81" s="2" t="str">
        <x:v>No</x:v>
      </x:c>
      <x:c r="S81" s="2" t="str">
        <x:v>NA</x:v>
      </x:c>
      <x:c r="T81" s="6" t="str">
        <x:v>p. 4; Figure 2</x:v>
      </x:c>
      <x:c r="U81" s="6" t="str">
        <x:v>Assume we want to ensure high-level to low-level requirement review coverage. Given the high-level requirement: ``high_level_text`` and the corresponding low-level requirements ``low_level_text_list``. Answer with Yes or No: Are all the high-level requirements' aspects covered by the low-level requirements? If the answer is no, explain in 10 words your answer.</x:v>
      </x:c>
      <x:c r="V81" s="6" t="str">
        <x:v>zS+expl2.提示模板，条件性解释。</x:v>
      </x:c>
      <x:c r="W81" s="2" t="str">
        <x:v>Accepted</x:v>
      </x:c>
      <x:c r="X81" s="6" t="str">
        <x:v>NA</x:v>
      </x:c>
    </x:row>
    <x:row r="82" ht="76" customHeight="1">
      <x:c r="A82" s="2" t="str">
        <x:v>S08-FEATURE-R06</x:v>
      </x:c>
      <x:c r="B82" s="2" t="str">
        <x:v>S08</x:v>
      </x:c>
      <x:c r="C82" s="2" t="str">
        <x:v>merged_0256</x:v>
      </x:c>
      <x:c r="D82" s="2" t="str">
        <x:v>Reviewer_A</x:v>
      </x:c>
      <x:c r="E82" s="2" t="str">
        <x:v>Reviewer_A</x:v>
      </x:c>
      <x:c r="F82" s="2" t="str">
        <x:v>S08-CF06</x:v>
      </x:c>
      <x:c r="G82" s="2" t="str">
        <x:v>S08-MU03</x:v>
      </x:c>
      <x:c r="H82" s="2" t="str">
        <x:v>S08-O04</x:v>
      </x:c>
      <x:c r="I82" s="2" t="str">
        <x:v>Prompting</x:v>
      </x:c>
      <x:c r="J82" s="2" t="str">
        <x:v>Chain-of-Thought (CoT)</x:v>
      </x:c>
      <x:c r="K82" s="2" t="str">
        <x:v>CoT</x:v>
      </x:c>
      <x:c r="L82" s="6" t="str">
        <x:v>逐步推理：识别关键元素、匹配、高亮缺口、推断隐式覆盖、结论。</x:v>
      </x:c>
      <x:c r="M82" s="2" t="str">
        <x:v>Yes</x:v>
      </x:c>
      <x:c r="N82" s="2" t="str">
        <x:v>Template reported</x:v>
      </x:c>
      <x:c r="O82" s="2" t="n">
        <x:v>0</x:v>
      </x:c>
      <x:c r="P82" s="2" t="str">
        <x:v>No</x:v>
      </x:c>
      <x:c r="Q82" s="2" t="str">
        <x:v>No</x:v>
      </x:c>
      <x:c r="R82" s="2" t="str">
        <x:v>No</x:v>
      </x:c>
      <x:c r="S82" s="2" t="str">
        <x:v>NA</x:v>
      </x:c>
      <x:c r="T82" s="6" t="str">
        <x:v>p. 4; Figure 2</x:v>
      </x:c>
      <x:c r="U82" s="6" t="str">
        <x:v>Given the high-level requirement ``high_level_text``, and the detailed low-level requirements ``low_level_text_list``, let's think step by step: identify the key elements, match them with the low-level requirements highlight any gaps, infer implicit coverage conclude with full coverage or not followed by a Yes or No with a brief rationale in about 10 words.</x:v>
      </x:c>
      <x:c r="V82" s="6" t="str">
        <x:v>CoT提示模板，引导模型逐步推理。</x:v>
      </x:c>
      <x:c r="W82" s="2" t="str">
        <x:v>Accepted</x:v>
      </x:c>
      <x:c r="X82" s="6" t="str">
        <x:v>NA</x:v>
      </x:c>
    </x:row>
    <x:row r="83" ht="76" customHeight="1">
      <x:c r="A83" s="2" t="str">
        <x:v>S08-FEATURE-R07</x:v>
      </x:c>
      <x:c r="B83" s="2" t="str">
        <x:v>S08</x:v>
      </x:c>
      <x:c r="C83" s="2" t="str">
        <x:v>merged_0256</x:v>
      </x:c>
      <x:c r="D83" s="2" t="str">
        <x:v>Reviewer_A</x:v>
      </x:c>
      <x:c r="E83" s="2" t="str">
        <x:v>Reviewer_A</x:v>
      </x:c>
      <x:c r="F83" s="2" t="str">
        <x:v>S08-CF07</x:v>
      </x:c>
      <x:c r="G83" s="2" t="str">
        <x:v>S08-MU07</x:v>
      </x:c>
      <x:c r="H83" s="2" t="str">
        <x:v>S08-O04</x:v>
      </x:c>
      <x:c r="I83" s="2" t="str">
        <x:v>Prompting</x:v>
      </x:c>
      <x:c r="J83" s="2" t="str">
        <x:v>Chain-of-Thought (CoT)</x:v>
      </x:c>
      <x:c r="K83" s="2" t="str">
        <x:v>CoT</x:v>
      </x:c>
      <x:c r="L83" s="6" t="str">
        <x:v>逐步推理：识别关键元素、匹配、高亮缺口、推断隐式覆盖、结论。</x:v>
      </x:c>
      <x:c r="M83" s="2" t="str">
        <x:v>Yes</x:v>
      </x:c>
      <x:c r="N83" s="2" t="str">
        <x:v>Template reported</x:v>
      </x:c>
      <x:c r="O83" s="2" t="n">
        <x:v>0</x:v>
      </x:c>
      <x:c r="P83" s="2" t="str">
        <x:v>No</x:v>
      </x:c>
      <x:c r="Q83" s="2" t="str">
        <x:v>No</x:v>
      </x:c>
      <x:c r="R83" s="2" t="str">
        <x:v>No</x:v>
      </x:c>
      <x:c r="S83" s="2" t="str">
        <x:v>NA</x:v>
      </x:c>
      <x:c r="T83" s="6" t="str">
        <x:v>p. 4; Figure 2</x:v>
      </x:c>
      <x:c r="U83" s="6" t="str">
        <x:v>Given the high-level requirement ``high_level_text``, and the detailed low-level requirements ``low_level_text_list``, let's think step by step: identify the key elements, match them with the low-level requirements highlight any gaps, infer implicit coverage conclude with full coverage or not followed by a Yes or No with a brief rationale in about 10 words.</x:v>
      </x:c>
      <x:c r="V83" s="6" t="str">
        <x:v>CoT提示模板，引导模型逐步推理。</x:v>
      </x:c>
      <x:c r="W83" s="2" t="str">
        <x:v>Accepted</x:v>
      </x:c>
      <x:c r="X83" s="6" t="str">
        <x:v>NA</x:v>
      </x:c>
    </x:row>
    <x:row r="84" ht="76" customHeight="1">
      <x:c r="A84" s="2" t="str">
        <x:v>S09-FEATURE-R01</x:v>
      </x:c>
      <x:c r="B84" s="2" t="str">
        <x:v>S09</x:v>
      </x:c>
      <x:c r="C84" s="2" t="str">
        <x:v>merged_1114-v1</x:v>
      </x:c>
      <x:c r="D84" s="2" t="str">
        <x:v>Reviewer_A</x:v>
      </x:c>
      <x:c r="E84" s="2" t="str">
        <x:v>Reviewer_A</x:v>
      </x:c>
      <x:c r="F84" s="2" t="str">
        <x:v>S09-CF01</x:v>
      </x:c>
      <x:c r="G84" s="2" t="str">
        <x:v>S09-MU01</x:v>
      </x:c>
      <x:c r="H84" s="2" t="str">
        <x:v>S09-O01</x:v>
      </x:c>
      <x:c r="I84" s="2" t="str">
        <x:v>Prompting</x:v>
      </x:c>
      <x:c r="J84" s="2" t="str">
        <x:v>structured prompt P(r, c)</x:v>
      </x:c>
      <x:c r="K84" s="2" t="str">
        <x:v>P1</x:v>
      </x:c>
      <x:c r="L84" s="6" t="str">
        <x:v>结构化提示词要求LLM同时评估四个标准（需求覆盖、实现特异性、术语对齐、无矛盾）以生成链接决策。</x:v>
      </x:c>
      <x:c r="M84" s="2" t="str">
        <x:v>No</x:v>
      </x:c>
      <x:c r="N84" s="2" t="str">
        <x:v>Partial description</x:v>
      </x:c>
      <x:c r="O84" s="2" t="str">
        <x:v>NA</x:v>
      </x:c>
      <x:c r="P84" s="2" t="str">
        <x:v>No</x:v>
      </x:c>
      <x:c r="Q84" s="2" t="str">
        <x:v>No</x:v>
      </x:c>
      <x:c r="R84" s="2" t="str">
        <x:v>No</x:v>
      </x:c>
      <x:c r="S84" s="2" t="str">
        <x:v>NR</x:v>
      </x:c>
      <x:c r="T84" s="6" t="str">
        <x:v>p. 3; Section III-D</x:v>
      </x:c>
      <x:c r="U84" s="6" t="str">
        <x:v>a structured prompt P (r, c) directs the LLM to evaluate four reasoning criteria jointly: requirement coverage, assessing whether the component fulfills the functional intent of the requirement; implementation specificity, assessing whether the component description indicates concrete related functionality; terminology alignment, assessing whether the artifacts share meaningful domain terminology; and absence of contradiction, assessing whether the component suggests unrelated or conflicting responsibilities.</x:v>
      </x:c>
      <x:c r="V84" s="6" t="str">
        <x:v>提示词描述了评估维度，但未公开完整模板，属于部分描述。</x:v>
      </x:c>
      <x:c r="W84" s="2" t="str">
        <x:v>Accepted</x:v>
      </x:c>
      <x:c r="X84" s="6" t="str">
        <x:v>NA</x:v>
      </x:c>
    </x:row>
    <x:row r="85" ht="76" customHeight="1">
      <x:c r="A85" s="2" t="str">
        <x:v>S09-FEATURE-R02</x:v>
      </x:c>
      <x:c r="B85" s="2" t="str">
        <x:v>S09</x:v>
      </x:c>
      <x:c r="C85" s="2" t="str">
        <x:v>merged_1114-v1</x:v>
      </x:c>
      <x:c r="D85" s="2" t="str">
        <x:v>Reviewer_A</x:v>
      </x:c>
      <x:c r="E85" s="2" t="str">
        <x:v>Reviewer_A</x:v>
      </x:c>
      <x:c r="F85" s="2" t="str">
        <x:v>S09-CF02</x:v>
      </x:c>
      <x:c r="G85" s="2" t="str">
        <x:v>S09-MU01</x:v>
      </x:c>
      <x:c r="H85" s="2" t="str">
        <x:v>S09-O01</x:v>
      </x:c>
      <x:c r="I85" s="2" t="str">
        <x:v>Context construction</x:v>
      </x:c>
      <x:c r="J85" s="2" t="str">
        <x:v>artifact pair context</x:v>
      </x:c>
      <x:c r="K85" s="2" t="str">
        <x:v>C1</x:v>
      </x:c>
      <x:c r="L85" s="6" t="str">
        <x:v>将候选工件对的文本描述作为上下文直接放入提示词，供LLM分析。</x:v>
      </x:c>
      <x:c r="M85" s="2" t="str">
        <x:v>NA</x:v>
      </x:c>
      <x:c r="N85" s="2" t="str">
        <x:v>NA</x:v>
      </x:c>
      <x:c r="O85" s="2" t="str">
        <x:v>NA</x:v>
      </x:c>
      <x:c r="P85" s="2" t="str">
        <x:v>NA</x:v>
      </x:c>
      <x:c r="Q85" s="2" t="str">
        <x:v>NA</x:v>
      </x:c>
      <x:c r="R85" s="2" t="str">
        <x:v>NA</x:v>
      </x:c>
      <x:c r="S85" s="2" t="str">
        <x:v>NA</x:v>
      </x:c>
      <x:c r="T85" s="6" t="str">
        <x:v>p. 3; Section III-D</x:v>
      </x:c>
      <x:c r="U85" s="6" t="str">
        <x:v>For each candidate pair (r, c) with c ∈ Cr , a structured prompt P (r, c) directs the LLM to evaluate four reasoning criteria jointly</x:v>
      </x:c>
      <x:c r="V85" s="6" t="str">
        <x:v>提示词中包含了具体的工件对描述，属于上下文构建。</x:v>
      </x:c>
      <x:c r="W85" s="2" t="str">
        <x:v>Accepted</x:v>
      </x:c>
      <x:c r="X85" s="6" t="str">
        <x:v>NA</x:v>
      </x:c>
    </x:row>
    <x:row r="86" ht="76" customHeight="1">
      <x:c r="A86" s="2" t="str">
        <x:v>S09-FEATURE-R03</x:v>
      </x:c>
      <x:c r="B86" s="2" t="str">
        <x:v>S09</x:v>
      </x:c>
      <x:c r="C86" s="2" t="str">
        <x:v>merged_1114-v1</x:v>
      </x:c>
      <x:c r="D86" s="2" t="str">
        <x:v>Reviewer_A</x:v>
      </x:c>
      <x:c r="E86" s="2" t="str">
        <x:v>Reviewer_A</x:v>
      </x:c>
      <x:c r="F86" s="2" t="str">
        <x:v>S09-CF03</x:v>
      </x:c>
      <x:c r="G86" s="2" t="str">
        <x:v>S09-MU01</x:v>
      </x:c>
      <x:c r="H86" s="2" t="str">
        <x:v>S09-O01</x:v>
      </x:c>
      <x:c r="I86" s="2" t="str">
        <x:v>Output constraint</x:v>
      </x:c>
      <x:c r="J86" s="2" t="str">
        <x:v>structured output format</x:v>
      </x:c>
      <x:c r="K86" s="2" t="str">
        <x:v>O1</x:v>
      </x:c>
      <x:c r="L86" s="6" t="str">
        <x:v>要求LLM输出结构化结果：二值链接决策、0-1置信度分数和自然语言解释。</x:v>
      </x:c>
      <x:c r="M86" s="2" t="str">
        <x:v>NA</x:v>
      </x:c>
      <x:c r="N86" s="2" t="str">
        <x:v>NA</x:v>
      </x:c>
      <x:c r="O86" s="2" t="str">
        <x:v>NA</x:v>
      </x:c>
      <x:c r="P86" s="2" t="str">
        <x:v>NA</x:v>
      </x:c>
      <x:c r="Q86" s="2" t="str">
        <x:v>NA</x:v>
      </x:c>
      <x:c r="R86" s="2" t="str">
        <x:v>NA</x:v>
      </x:c>
      <x:c r="S86" s="2" t="str">
        <x:v>NA</x:v>
      </x:c>
      <x:c r="T86" s="6" t="str">
        <x:v>p. 3; Section III-D</x:v>
      </x:c>
      <x:c r="U86" s="6" t="str">
        <x:v>where yrc ∈ 0, 1 is the link decision, crc ∈ [0, 1] is the confidence score, and jrc is a natural language justification.</x:v>
      </x:c>
      <x:c r="V86" s="6" t="str">
        <x:v>明确的输出格式约束，确保LLM返回可解析的结构化信息。</x:v>
      </x:c>
      <x:c r="W86" s="2" t="str">
        <x:v>Accepted</x:v>
      </x:c>
      <x:c r="X86" s="6" t="str">
        <x:v>NA</x:v>
      </x:c>
    </x:row>
    <x:row r="87" ht="76" customHeight="1">
      <x:c r="A87" s="2" t="str">
        <x:v>S10-FEATURE-R01</x:v>
      </x:c>
      <x:c r="B87" s="2" t="str">
        <x:v>S10</x:v>
      </x:c>
      <x:c r="C87" s="2" t="str">
        <x:v>merged_1119-v2</x:v>
      </x:c>
      <x:c r="D87" s="2" t="str">
        <x:v>Reviewer_A</x:v>
      </x:c>
      <x:c r="E87" s="2" t="str">
        <x:v>Reviewer_A</x:v>
      </x:c>
      <x:c r="F87" s="2" t="str">
        <x:v>S10-CF01</x:v>
      </x:c>
      <x:c r="G87" s="2" t="str">
        <x:v>S10-MU01</x:v>
      </x:c>
      <x:c r="H87" s="2" t="str">
        <x:v>S10-O01</x:v>
      </x:c>
      <x:c r="I87" s="2" t="str">
        <x:v>Prompting</x:v>
      </x:c>
      <x:c r="J87" s="2" t="str">
        <x:v>same prompt as Huang et al.</x:v>
      </x:c>
      <x:c r="K87" s="2" t="str">
        <x:v>PromptTemplate_EasyLink</x:v>
      </x:c>
      <x:c r="L87" s="6" t="str">
        <x:v>使用与EasyLink相同的提示模板，指令模型根据issue相关性对候选commit进行重排序，返回排序后的commit ID列表。</x:v>
      </x:c>
      <x:c r="M87" s="2" t="str">
        <x:v>Yes</x:v>
      </x:c>
      <x:c r="N87" s="2" t="str">
        <x:v>Partial description</x:v>
      </x:c>
      <x:c r="O87" s="2" t="n">
        <x:v>0</x:v>
      </x:c>
      <x:c r="P87" s="2" t="str">
        <x:v>No</x:v>
      </x:c>
      <x:c r="Q87" s="2" t="str">
        <x:v>No</x:v>
      </x:c>
      <x:c r="R87" s="2" t="str">
        <x:v>No</x:v>
      </x:c>
      <x:c r="S87" s="2" t="str">
        <x:v>NA</x:v>
      </x:c>
      <x:c r="T87" s="6" t="str">
        <x:v>p. 8; Section 5.3</x:v>
      </x:c>
      <x:c r="U87" s="6" t="str">
        <x:v>For our LLM-based pipeline, we use the same prompt as Huang et al. [12] containing the concatenated issue title and description, as well as the commit ids and messages. The prompt instructs the model to re-rank the commits according to their relevance to the issue, returning only a list of ordered commit ids. The prompt can be found in our replication package.</x:v>
      </x:c>
      <x:c r="V87" s="6" t="str">
        <x:v>提示模板明确任务，零样本设置，未使用RAG或微调。</x:v>
      </x:c>
      <x:c r="W87" s="2" t="str">
        <x:v>Accepted</x:v>
      </x:c>
      <x:c r="X87" s="6" t="str">
        <x:v>This prompt was used for all LLMs (M1-M4).</x:v>
      </x:c>
    </x:row>
    <x:row r="88" ht="76" customHeight="1">
      <x:c r="A88" s="2" t="str">
        <x:v>S11-FEATURE-R01</x:v>
      </x:c>
      <x:c r="B88" s="2" t="str">
        <x:v>S11</x:v>
      </x:c>
      <x:c r="C88" s="2" t="str">
        <x:v>merged_1121-v1</x:v>
      </x:c>
      <x:c r="D88" s="2" t="str">
        <x:v>Reviewer_A</x:v>
      </x:c>
      <x:c r="E88" s="2" t="str">
        <x:v>Reviewer_A</x:v>
      </x:c>
      <x:c r="F88" s="2" t="str">
        <x:v>S11-CF01</x:v>
      </x:c>
      <x:c r="G88" s="2" t="str">
        <x:v>S11-MU01</x:v>
      </x:c>
      <x:c r="H88" s="2" t="str">
        <x:v>S11-O01</x:v>
      </x:c>
      <x:c r="I88" s="2" t="str">
        <x:v>Prompting</x:v>
      </x:c>
      <x:c r="J88" s="2" t="str">
        <x:v>HSD requirement decomposition prompt</x:v>
      </x:c>
      <x:c r="K88" s="2" t="str">
        <x:v>HSD_REQ_PROMPT</x:v>
      </x:c>
      <x:c r="L88" s="6" t="str">
        <x:v>使用提示词要求LLM将需求文本分解为四层语义，并以指定JSON格式输出，限制每个列表最多5个短语，temperature=0确保确定性。</x:v>
      </x:c>
      <x:c r="M88" s="2" t="str">
        <x:v>Yes</x:v>
      </x:c>
      <x:c r="N88" s="2" t="str">
        <x:v>Template reported</x:v>
      </x:c>
      <x:c r="O88" s="2" t="str">
        <x:v>NR</x:v>
      </x:c>
      <x:c r="P88" s="2" t="str">
        <x:v>No</x:v>
      </x:c>
      <x:c r="Q88" s="2" t="str">
        <x:v>No</x:v>
      </x:c>
      <x:c r="R88" s="2" t="str">
        <x:v>No</x:v>
      </x:c>
      <x:c r="S88" s="2" t="str">
        <x:v>NA</x:v>
      </x:c>
      <x:c r="T88" s="6" t="str">
        <x:v>p. 4; Section III-C, a) Requirement semantic decomposition</x:v>
      </x:c>
      <x:c r="U88" s="6" t="str">
        <x:v>Given requirement text Tr, we prompt the LLM to produce Sr in a structured JSON format with the corresponding fields (intent, actions, conditions, outputs). We cap each list at 5 concise phrases and set temperature = 0 for deterministic parsing.</x:v>
      </x:c>
      <x:c r="V88" s="6" t="str">
        <x:v>提示设计明确，输出格式受约束，属于典型的有结构提示。</x:v>
      </x:c>
      <x:c r="W88" s="2" t="str">
        <x:v>Accepted</x:v>
      </x:c>
      <x:c r="X88" s="6" t="str">
        <x:v>NA</x:v>
      </x:c>
    </x:row>
    <x:row r="89" ht="76" customHeight="1">
      <x:c r="A89" s="2" t="str">
        <x:v>S11-FEATURE-R02</x:v>
      </x:c>
      <x:c r="B89" s="2" t="str">
        <x:v>S11</x:v>
      </x:c>
      <x:c r="C89" s="2" t="str">
        <x:v>merged_1121-v1</x:v>
      </x:c>
      <x:c r="D89" s="2" t="str">
        <x:v>Reviewer_A</x:v>
      </x:c>
      <x:c r="E89" s="2" t="str">
        <x:v>Reviewer_A</x:v>
      </x:c>
      <x:c r="F89" s="2" t="str">
        <x:v>S11-CF02</x:v>
      </x:c>
      <x:c r="G89" s="2" t="str">
        <x:v>S11-MU02</x:v>
      </x:c>
      <x:c r="H89" s="2" t="str">
        <x:v>S11-O02</x:v>
      </x:c>
      <x:c r="I89" s="2" t="str">
        <x:v>Prompting</x:v>
      </x:c>
      <x:c r="J89" s="2" t="str">
        <x:v>HSD code decomposition prompt</x:v>
      </x:c>
      <x:c r="K89" s="2" t="str">
        <x:v>HSD_CODE_PROMPT</x:v>
      </x:c>
      <x:c r="L89" s="6" t="str">
        <x:v>与需求分解类似，使用提示词引导LLM将代码文本分解为四层语义表示，并输出JSON。</x:v>
      </x:c>
      <x:c r="M89" s="2" t="str">
        <x:v>Yes</x:v>
      </x:c>
      <x:c r="N89" s="2" t="str">
        <x:v>Template reported</x:v>
      </x:c>
      <x:c r="O89" s="2" t="str">
        <x:v>NR</x:v>
      </x:c>
      <x:c r="P89" s="2" t="str">
        <x:v>No</x:v>
      </x:c>
      <x:c r="Q89" s="2" t="str">
        <x:v>No</x:v>
      </x:c>
      <x:c r="R89" s="2" t="str">
        <x:v>No</x:v>
      </x:c>
      <x:c r="S89" s="2" t="str">
        <x:v>NA</x:v>
      </x:c>
      <x:c r="T89" s="6" t="str">
        <x:v>p. 6; Section IV-B, 2) Model</x:v>
      </x:c>
      <x:c r="U89" s="6" t="str">
        <x:v>2) Model: R2Code is implemented with DeepSeek-V3.1Terminus as the backbone LLM for hierarchical decomposition, bidirectional alignment, and consistency verification. We</x:v>
      </x:c>
      <x:c r="V89" s="6" t="str">
        <x:v>代码分解提示的具体内容未单独给出，但基于框架设计推断其与需求分解对称。</x:v>
      </x:c>
      <x:c r="W89" s="2" t="str">
        <x:v>Accepted</x:v>
      </x:c>
      <x:c r="X89" s="6" t="str">
        <x:v>NA</x:v>
      </x:c>
    </x:row>
    <x:row r="90" ht="76" customHeight="1">
      <x:c r="A90" s="2" t="str">
        <x:v>S11-FEATURE-R03</x:v>
      </x:c>
      <x:c r="B90" s="2" t="str">
        <x:v>S11</x:v>
      </x:c>
      <x:c r="C90" s="2" t="str">
        <x:v>merged_1121-v1</x:v>
      </x:c>
      <x:c r="D90" s="2" t="str">
        <x:v>Reviewer_A</x:v>
      </x:c>
      <x:c r="E90" s="2" t="str">
        <x:v>Reviewer_A</x:v>
      </x:c>
      <x:c r="F90" s="2" t="str">
        <x:v>S11-CF03</x:v>
      </x:c>
      <x:c r="G90" s="2" t="str">
        <x:v>S11-MU03</x:v>
      </x:c>
      <x:c r="H90" s="2" t="str">
        <x:v>S11-O03</x:v>
      </x:c>
      <x:c r="I90" s="2" t="str">
        <x:v>Prompting</x:v>
      </x:c>
      <x:c r="J90" s="2" t="str">
        <x:v>BAN alignment scoring prompt</x:v>
      </x:c>
      <x:c r="K90" s="2" t="str">
        <x:v>BAN_ALIGN_PROMPT</x:v>
      </x:c>
      <x:c r="L90" s="6" t="str">
        <x:v>提示词要求LLM对给定的语义层对进行联合推理，输出带有分数、覆盖范围和证据的结构化JSON。</x:v>
      </x:c>
      <x:c r="M90" s="2" t="str">
        <x:v>Yes</x:v>
      </x:c>
      <x:c r="N90" s="2" t="str">
        <x:v>Template reported</x:v>
      </x:c>
      <x:c r="O90" s="2" t="str">
        <x:v>NR</x:v>
      </x:c>
      <x:c r="P90" s="2" t="str">
        <x:v>No</x:v>
      </x:c>
      <x:c r="Q90" s="2" t="str">
        <x:v>No</x:v>
      </x:c>
      <x:c r="R90" s="2" t="str">
        <x:v>No</x:v>
      </x:c>
      <x:c r="S90" s="2" t="str">
        <x:v>NA</x:v>
      </x:c>
      <x:c r="T90" s="6" t="str">
        <x:v>p. 5; Section III-C, c) Bidirectional Alignment Network</x:v>
      </x:c>
      <x:c r="U90" s="6" t="str">
        <x:v>Concretely, the LLM must return JSON in the following "coverage": &lt;"covered" | "partially_covered"</x:v>
      </x:c>
      <x:c r="V90" s="6" t="str">
        <x:v>提示中明确约束了输出格式，用于获取标准化评分。</x:v>
      </x:c>
      <x:c r="W90" s="2" t="str">
        <x:v>Accepted</x:v>
      </x:c>
      <x:c r="X90" s="6" t="str">
        <x:v>NA</x:v>
      </x:c>
    </x:row>
    <x:row r="91" ht="76" customHeight="1">
      <x:c r="A91" s="2" t="str">
        <x:v>S11-FEATURE-R04</x:v>
      </x:c>
      <x:c r="B91" s="2" t="str">
        <x:v>S11</x:v>
      </x:c>
      <x:c r="C91" s="2" t="str">
        <x:v>merged_1121-v1</x:v>
      </x:c>
      <x:c r="D91" s="2" t="str">
        <x:v>Reviewer_A</x:v>
      </x:c>
      <x:c r="E91" s="2" t="str">
        <x:v>Reviewer_A</x:v>
      </x:c>
      <x:c r="F91" s="2" t="str">
        <x:v>S11-CF04</x:v>
      </x:c>
      <x:c r="G91" s="2" t="str">
        <x:v>S11-MU04</x:v>
      </x:c>
      <x:c r="H91" s="2" t="str">
        <x:v>S11-O04</x:v>
      </x:c>
      <x:c r="I91" s="2" t="str">
        <x:v>Prompting</x:v>
      </x:c>
      <x:c r="J91" s="2" t="str">
        <x:v>SRCV explanation generation prompt</x:v>
      </x:c>
      <x:c r="K91" s="2" t="str">
        <x:v>SRCV_GEN_PROMPT</x:v>
      </x:c>
      <x:c r="L91" s="6" t="str">
        <x:v>提示LLM基于需求、代码和初步对齐分数生成解释文本。</x:v>
      </x:c>
      <x:c r="M91" s="2" t="str">
        <x:v>Unclear</x:v>
      </x:c>
      <x:c r="N91" s="2" t="str">
        <x:v>Not reported</x:v>
      </x:c>
      <x:c r="O91" s="2" t="str">
        <x:v>NR</x:v>
      </x:c>
      <x:c r="P91" s="2" t="str">
        <x:v>No</x:v>
      </x:c>
      <x:c r="Q91" s="2" t="str">
        <x:v>No</x:v>
      </x:c>
      <x:c r="R91" s="2" t="str">
        <x:v>No</x:v>
      </x:c>
      <x:c r="S91" s="2" t="str">
        <x:v>NA</x:v>
      </x:c>
      <x:c r="T91" s="6" t="str">
        <x:v>p. 5; Section III-D, a) Explanation Generation</x:v>
      </x:c>
      <x:c r="U91" s="6" t="str">
        <x:v>SRCV first asks the LLM to generate an explicit justification: E(r, c) = LLMgen (r, c, sBAN ),</x:v>
      </x:c>
      <x:c r="V91" s="6" t="str">
        <x:v>论文仅说明要求生成解释，但未提供提示模板细节。</x:v>
      </x:c>
      <x:c r="W91" s="2" t="str">
        <x:v>Accepted</x:v>
      </x:c>
      <x:c r="X91" s="6" t="str">
        <x:v>NA</x:v>
      </x:c>
    </x:row>
    <x:row r="92" ht="76" customHeight="1">
      <x:c r="A92" s="2" t="str">
        <x:v>S11-FEATURE-R05</x:v>
      </x:c>
      <x:c r="B92" s="2" t="str">
        <x:v>S11</x:v>
      </x:c>
      <x:c r="C92" s="2" t="str">
        <x:v>merged_1121-v1</x:v>
      </x:c>
      <x:c r="D92" s="2" t="str">
        <x:v>Reviewer_A</x:v>
      </x:c>
      <x:c r="E92" s="2" t="str">
        <x:v>Reviewer_A</x:v>
      </x:c>
      <x:c r="F92" s="2" t="str">
        <x:v>S11-CF05</x:v>
      </x:c>
      <x:c r="G92" s="2" t="str">
        <x:v>S11-MU05</x:v>
      </x:c>
      <x:c r="H92" s="2" t="str">
        <x:v>S11-O05</x:v>
      </x:c>
      <x:c r="I92" s="2" t="str">
        <x:v>Prompting</x:v>
      </x:c>
      <x:c r="J92" s="2" t="str">
        <x:v>SRCV consistency reflection prompt</x:v>
      </x:c>
      <x:c r="K92" s="2" t="str">
        <x:v>SRCV_JUDGE_PROMPT</x:v>
      </x:c>
      <x:c r="L92" s="6" t="str">
        <x:v>提示LLM判断解释与需求的一致性，输出包含一致性标签、分数和理由的JSON。</x:v>
      </x:c>
      <x:c r="M92" s="2" t="str">
        <x:v>Yes</x:v>
      </x:c>
      <x:c r="N92" s="2" t="str">
        <x:v>Template reported</x:v>
      </x:c>
      <x:c r="O92" s="2" t="str">
        <x:v>NR</x:v>
      </x:c>
      <x:c r="P92" s="2" t="str">
        <x:v>No</x:v>
      </x:c>
      <x:c r="Q92" s="2" t="str">
        <x:v>No</x:v>
      </x:c>
      <x:c r="R92" s="2" t="str">
        <x:v>No</x:v>
      </x:c>
      <x:c r="S92" s="2" t="str">
        <x:v>NA</x:v>
      </x:c>
      <x:c r="T92" s="6" t="str">
        <x:v>p. 5; Section III-D, b) Consistency Reflection</x:v>
      </x:c>
      <x:c r="U92" s="6" t="str">
        <x:v>JSON in the following schema: "consistent": &lt;"yes" | "no"&gt;,</x:v>
      </x:c>
      <x:c r="V92" s="6" t="str">
        <x:v>该提示定义了评估的输出结构。</x:v>
      </x:c>
      <x:c r="W92" s="2" t="str">
        <x:v>Accepted</x:v>
      </x:c>
      <x:c r="X92" s="6" t="str">
        <x:v>NA</x:v>
      </x:c>
    </x:row>
    <x:row r="93" ht="76" customHeight="1">
      <x:c r="A93" s="2" t="str">
        <x:v>S12-FEATURE-R01</x:v>
      </x:c>
      <x:c r="B93" s="2" t="str">
        <x:v>S12</x:v>
      </x:c>
      <x:c r="C93" s="2" t="str">
        <x:v>merged_1133</x:v>
      </x:c>
      <x:c r="D93" s="2" t="str">
        <x:v>Reviewer_A</x:v>
      </x:c>
      <x:c r="E93" s="2" t="str">
        <x:v>Reviewer_A</x:v>
      </x:c>
      <x:c r="F93" s="2" t="str">
        <x:v>S12-CF01</x:v>
      </x:c>
      <x:c r="G93" s="2" t="str">
        <x:v>S12-MU01</x:v>
      </x:c>
      <x:c r="H93" s="2" t="str">
        <x:v>S12-O01</x:v>
      </x:c>
      <x:c r="I93" s="2" t="str">
        <x:v>Prompting</x:v>
      </x:c>
      <x:c r="J93" s="2" t="str">
        <x:v>Optimized prompt P6</x:v>
      </x:c>
      <x:c r="K93" s="2" t="str">
        <x:v>prompt-p6</x:v>
      </x:c>
      <x:c r="L93" s="6" t="str">
        <x:v>提示模版，包含角色（软件追溯专家）、领域上下文（航空航天系统）和工件类型（高层需求、设计元素），并要求输出限于 Yes/No。</x:v>
      </x:c>
      <x:c r="M93" s="2" t="str">
        <x:v>Yes</x:v>
      </x:c>
      <x:c r="N93" s="2" t="str">
        <x:v>Full prompt reported</x:v>
      </x:c>
      <x:c r="O93" s="2" t="str">
        <x:v>NA</x:v>
      </x:c>
      <x:c r="P93" s="2" t="str">
        <x:v>No</x:v>
      </x:c>
      <x:c r="Q93" s="2" t="str">
        <x:v>No</x:v>
      </x:c>
      <x:c r="R93" s="2" t="str">
        <x:v>No</x:v>
      </x:c>
      <x:c r="S93" s="2" t="str">
        <x:v>Single LLM call per pair</x:v>
      </x:c>
      <x:c r="T93" s="6" t="str">
        <x:v>p. 26; Section 6.1.2, description of P6</x:v>
      </x:c>
      <x:c r="U93" s="6" t="str">
        <x:v>You are an expert in software traceability. You are given two artifacts from an aerospace system. (1) is a high-level requirement and (2) is a design element. Does (2) directly fulfill (1)? Answer with only ‘Yes’ or ‘No’.</x:v>
      </x:c>
      <x:c r="V93" s="6" t="str">
        <x:v>经过迭代优化的提示模版，通过添加专家角色、领域信息和精确的动词（directly fulfill）来提高链接分类的精确度。该提示模版在跨数据集实验中通过替换 [DOMAIN]、[ARTIFACT 1] 等占位符进行适配（见表8）。</x:v>
      </x:c>
      <x:c r="W93" s="2" t="str">
        <x:v>Accepted</x:v>
      </x:c>
      <x:c r="X93" s="6" t="str">
        <x:v>Applies to all eight LLMs in the study; adapted for other datasets via template placeholders.</x:v>
      </x:c>
    </x:row>
    <x:row r="94" ht="76" customHeight="1">
      <x:c r="A94" s="2" t="str">
        <x:v>S12-FEATURE-R02</x:v>
      </x:c>
      <x:c r="B94" s="2" t="str">
        <x:v>S12</x:v>
      </x:c>
      <x:c r="C94" s="2" t="str">
        <x:v>merged_1133</x:v>
      </x:c>
      <x:c r="D94" s="2" t="str">
        <x:v>Reviewer_A</x:v>
      </x:c>
      <x:c r="E94" s="2" t="str">
        <x:v>Reviewer_A</x:v>
      </x:c>
      <x:c r="F94" s="2" t="str">
        <x:v>S12-CF02</x:v>
      </x:c>
      <x:c r="G94" s="2" t="str">
        <x:v>S12-MU01</x:v>
      </x:c>
      <x:c r="H94" s="2" t="str">
        <x:v>S12-O01</x:v>
      </x:c>
      <x:c r="I94" s="2" t="str">
        <x:v>Context construction</x:v>
      </x:c>
      <x:c r="J94" s="2" t="str">
        <x:v>Label-aware diversity-based demonstration selection</x:v>
      </x:c>
      <x:c r="K94" s="2" t="str">
        <x:v>dss-diversity-label-aware</x:v>
      </x:c>
      <x:c r="L94" s="6" t="str">
        <x:v>选择与查询语义多样且标签均衡的示例，用于少样本提示。算法使用 MPNet 嵌入计算余弦相似度，贪婪选择多样化示例，并约束正负例数量均衡。</x:v>
      </x:c>
      <x:c r="M94" s="2" t="str">
        <x:v>Yes</x:v>
      </x:c>
      <x:c r="N94" s="2" t="str">
        <x:v>Partial description</x:v>
      </x:c>
      <x:c r="O94" s="2" t="n">
        <x:v>2</x:v>
      </x:c>
      <x:c r="P94" s="2" t="str">
        <x:v>No</x:v>
      </x:c>
      <x:c r="Q94" s="2" t="str">
        <x:v>No</x:v>
      </x:c>
      <x:c r="R94" s="2" t="str">
        <x:v>No</x:v>
      </x:c>
      <x:c r="S94" s="2" t="str">
        <x:v>Embedding-based selection prior to LLM call</x:v>
      </x:c>
      <x:c r="T94" s="6" t="str">
        <x:v>p. 32; Section 6.3, Observation 5</x:v>
      </x:c>
      <x:c r="U94" s="6" t="str">
        <x:v>Diversity-based selection with only 2 shots yields the highest recall and F2-score with a significant statistical difference</x:v>
      </x:c>
      <x:c r="V94" s="6" t="str">
        <x:v>结合语义多样性和标签均衡的示例选择策略，有效提升少样本学习的召回率和 F2 分数。该策略与GPT-4o-mini配合使用，在 CM1 数据集上达到最高 F2 分数 0.68。</x:v>
      </x:c>
      <x:c r="W94" s="2" t="str">
        <x:v>Accepted</x:v>
      </x:c>
      <x:c r="X94" s="6" t="str">
        <x:v>Best performance achieved with 2 shots; other shot counts also tested.</x:v>
      </x:c>
    </x:row>
    <x:row r="95" ht="76" customHeight="1">
      <x:c r="A95" s="2" t="str">
        <x:v>S13-FEATURE-R01</x:v>
      </x:c>
      <x:c r="B95" s="2" t="str">
        <x:v>S13</x:v>
      </x:c>
      <x:c r="C95" s="2" t="str">
        <x:v>merged_1140</x:v>
      </x:c>
      <x:c r="D95" s="2" t="str">
        <x:v>Reviewer_A</x:v>
      </x:c>
      <x:c r="E95" s="2" t="str">
        <x:v>Reviewer_A</x:v>
      </x:c>
      <x:c r="F95" s="2" t="str">
        <x:v>S13-CF01</x:v>
      </x:c>
      <x:c r="G95" s="2" t="str">
        <x:v>S13-MU01</x:v>
      </x:c>
      <x:c r="H95" s="2" t="str">
        <x:v>S13-O01</x:v>
      </x:c>
      <x:c r="I95" s="2" t="str">
        <x:v>Prompting</x:v>
      </x:c>
      <x:c r="J95" s="2" t="str">
        <x:v>Zero-shot Prompt Template (R-to-C)</x:v>
      </x:c>
      <x:c r="K95" s="2" t="str">
        <x:v>ZS-R2C</x:v>
      </x:c>
      <x:c r="L95" s="6" t="str">
        <x:v>基于CO-STAR框架设计的零样本提示模板，用于从需求生成代码。模板包含CONTEXT、OBJECTIVE、STYLE、TONE、AUDIENCE、RESPONSE六部分，完全在论文中报告。</x:v>
      </x:c>
      <x:c r="M95" s="2" t="str">
        <x:v>Yes</x:v>
      </x:c>
      <x:c r="N95" s="2" t="str">
        <x:v>Full prompt reported</x:v>
      </x:c>
      <x:c r="O95" s="2" t="n">
        <x:v>0</x:v>
      </x:c>
      <x:c r="P95" s="2" t="str">
        <x:v>No</x:v>
      </x:c>
      <x:c r="Q95" s="2" t="str">
        <x:v>No</x:v>
      </x:c>
      <x:c r="R95" s="2" t="str">
        <x:v>No</x:v>
      </x:c>
      <x:c r="S95" s="2" t="str">
        <x:v>NR</x:v>
      </x:c>
      <x:c r="T95" s="6" t="str">
        <x:v>p. 11; Section 3.1.2</x:v>
      </x:c>
      <x:c r="U95" s="6" t="str">
        <x:v>Our zero-shot template is a direct implementation of this structured methodology.</x:v>
      </x:c>
      <x:c r="V95" s="6" t="str">
        <x:v>使用完整的CO-STAR提示框架，明确指导LLM生成符合软件工程实践的代码。</x:v>
      </x:c>
      <x:c r="W95" s="2" t="str">
        <x:v>Accepted</x:v>
      </x:c>
      <x:c r="X95" s="6" t="str">
        <x:v>NA</x:v>
      </x:c>
    </x:row>
    <x:row r="96" ht="76" customHeight="1">
      <x:c r="A96" s="2" t="str">
        <x:v>S13-FEATURE-R02</x:v>
      </x:c>
      <x:c r="B96" s="2" t="str">
        <x:v>S13</x:v>
      </x:c>
      <x:c r="C96" s="2" t="str">
        <x:v>merged_1140</x:v>
      </x:c>
      <x:c r="D96" s="2" t="str">
        <x:v>Reviewer_A</x:v>
      </x:c>
      <x:c r="E96" s="2" t="str">
        <x:v>Reviewer_A</x:v>
      </x:c>
      <x:c r="F96" s="2" t="str">
        <x:v>S13-CF02</x:v>
      </x:c>
      <x:c r="G96" s="2" t="str">
        <x:v>S13-MU01</x:v>
      </x:c>
      <x:c r="H96" s="2" t="str">
        <x:v>S13-O01</x:v>
      </x:c>
      <x:c r="I96" s="2" t="str">
        <x:v>Prompting</x:v>
      </x:c>
      <x:c r="J96" s="2" t="str">
        <x:v>Few-shot Prompt Template (R-to-C)</x:v>
      </x:c>
      <x:c r="K96" s="2" t="str">
        <x:v>FS-R2C</x:v>
      </x:c>
      <x:c r="L96" s="6" t="str">
        <x:v>包含一个示例对的少样本提示模板，用于从需求生成代码。模板由任务描述、示例需求和示例代码组成。</x:v>
      </x:c>
      <x:c r="M96" s="2" t="str">
        <x:v>Yes</x:v>
      </x:c>
      <x:c r="N96" s="2" t="str">
        <x:v>Full prompt reported</x:v>
      </x:c>
      <x:c r="O96" s="2" t="n">
        <x:v>1</x:v>
      </x:c>
      <x:c r="P96" s="2" t="str">
        <x:v>No</x:v>
      </x:c>
      <x:c r="Q96" s="2" t="str">
        <x:v>No</x:v>
      </x:c>
      <x:c r="R96" s="2" t="str">
        <x:v>No</x:v>
      </x:c>
      <x:c r="S96" s="2" t="str">
        <x:v>NR</x:v>
      </x:c>
      <x:c r="T96" s="6" t="str">
        <x:v>p. 13; Figure 5</x:v>
      </x:c>
      <x:c r="U96" s="6" t="str">
        <x:v>Few-shot Prompt Template: Generate Code from Requirement</x:v>
      </x:c>
      <x:c r="V96" s="6" t="str">
        <x:v>采用单样本示例指导LLM生成代码，减少指令复杂度。</x:v>
      </x:c>
      <x:c r="W96" s="2" t="str">
        <x:v>Accepted</x:v>
      </x:c>
      <x:c r="X96" s="6" t="str">
        <x:v>NA</x:v>
      </x:c>
    </x:row>
    <x:row r="97" ht="76" customHeight="1">
      <x:c r="A97" s="2" t="str">
        <x:v>S13-FEATURE-R03</x:v>
      </x:c>
      <x:c r="B97" s="2" t="str">
        <x:v>S13</x:v>
      </x:c>
      <x:c r="C97" s="2" t="str">
        <x:v>merged_1140</x:v>
      </x:c>
      <x:c r="D97" s="2" t="str">
        <x:v>Reviewer_A</x:v>
      </x:c>
      <x:c r="E97" s="2" t="str">
        <x:v>Reviewer_A</x:v>
      </x:c>
      <x:c r="F97" s="2" t="str">
        <x:v>S13-CF03</x:v>
      </x:c>
      <x:c r="G97" s="2" t="str">
        <x:v>S13-MU02</x:v>
      </x:c>
      <x:c r="H97" s="2" t="str">
        <x:v>S13-O01</x:v>
      </x:c>
      <x:c r="I97" s="2" t="str">
        <x:v>Prompting</x:v>
      </x:c>
      <x:c r="J97" s="2" t="str">
        <x:v>Zero-shot Prompt Template (R-to-C)</x:v>
      </x:c>
      <x:c r="K97" s="2" t="str">
        <x:v>ZS-R2C</x:v>
      </x:c>
      <x:c r="L97" s="6" t="str">
        <x:v>同F1，零样本提示模板。</x:v>
      </x:c>
      <x:c r="M97" s="2" t="str">
        <x:v>Yes</x:v>
      </x:c>
      <x:c r="N97" s="2" t="str">
        <x:v>Full prompt reported</x:v>
      </x:c>
      <x:c r="O97" s="2" t="n">
        <x:v>0</x:v>
      </x:c>
      <x:c r="P97" s="2" t="str">
        <x:v>No</x:v>
      </x:c>
      <x:c r="Q97" s="2" t="str">
        <x:v>No</x:v>
      </x:c>
      <x:c r="R97" s="2" t="str">
        <x:v>No</x:v>
      </x:c>
      <x:c r="S97" s="2" t="str">
        <x:v>NR</x:v>
      </x:c>
      <x:c r="T97" s="6" t="str">
        <x:v>p. 11; Section 3.1.2</x:v>
      </x:c>
      <x:c r="U97" s="6" t="str">
        <x:v>Our zero-shot template is a direct implementation of this structured methodology.</x:v>
      </x:c>
      <x:c r="V97" s="6" t="str">
        <x:v>同上。</x:v>
      </x:c>
      <x:c r="W97" s="2" t="str">
        <x:v>Accepted</x:v>
      </x:c>
      <x:c r="X97" s="6" t="str">
        <x:v>NA</x:v>
      </x:c>
    </x:row>
    <x:row r="98" ht="76" customHeight="1">
      <x:c r="A98" s="2" t="str">
        <x:v>S13-FEATURE-R04</x:v>
      </x:c>
      <x:c r="B98" s="2" t="str">
        <x:v>S13</x:v>
      </x:c>
      <x:c r="C98" s="2" t="str">
        <x:v>merged_1140</x:v>
      </x:c>
      <x:c r="D98" s="2" t="str">
        <x:v>Reviewer_A</x:v>
      </x:c>
      <x:c r="E98" s="2" t="str">
        <x:v>Reviewer_A</x:v>
      </x:c>
      <x:c r="F98" s="2" t="str">
        <x:v>S13-CF04</x:v>
      </x:c>
      <x:c r="G98" s="2" t="str">
        <x:v>S13-MU02</x:v>
      </x:c>
      <x:c r="H98" s="2" t="str">
        <x:v>S13-O01</x:v>
      </x:c>
      <x:c r="I98" s="2" t="str">
        <x:v>Prompting</x:v>
      </x:c>
      <x:c r="J98" s="2" t="str">
        <x:v>Few-shot Prompt Template (R-to-C)</x:v>
      </x:c>
      <x:c r="K98" s="2" t="str">
        <x:v>FS-R2C</x:v>
      </x:c>
      <x:c r="L98" s="6" t="str">
        <x:v>同F2，少样本提示模板。</x:v>
      </x:c>
      <x:c r="M98" s="2" t="str">
        <x:v>Yes</x:v>
      </x:c>
      <x:c r="N98" s="2" t="str">
        <x:v>Full prompt reported</x:v>
      </x:c>
      <x:c r="O98" s="2" t="n">
        <x:v>1</x:v>
      </x:c>
      <x:c r="P98" s="2" t="str">
        <x:v>No</x:v>
      </x:c>
      <x:c r="Q98" s="2" t="str">
        <x:v>No</x:v>
      </x:c>
      <x:c r="R98" s="2" t="str">
        <x:v>No</x:v>
      </x:c>
      <x:c r="S98" s="2" t="str">
        <x:v>NR</x:v>
      </x:c>
      <x:c r="T98" s="6" t="str">
        <x:v>p. 13; Figure 5</x:v>
      </x:c>
      <x:c r="U98" s="6" t="str">
        <x:v>Few-shot Prompt Template: Generate Code from Requirement</x:v>
      </x:c>
      <x:c r="V98" s="6" t="str">
        <x:v>同上。</x:v>
      </x:c>
      <x:c r="W98" s="2" t="str">
        <x:v>Accepted</x:v>
      </x:c>
      <x:c r="X98" s="6" t="str">
        <x:v>NA</x:v>
      </x:c>
    </x:row>
    <x:row r="99" ht="76" customHeight="1">
      <x:c r="A99" s="2" t="str">
        <x:v>S13-FEATURE-R05</x:v>
      </x:c>
      <x:c r="B99" s="2" t="str">
        <x:v>S13</x:v>
      </x:c>
      <x:c r="C99" s="2" t="str">
        <x:v>merged_1140</x:v>
      </x:c>
      <x:c r="D99" s="2" t="str">
        <x:v>Reviewer_A</x:v>
      </x:c>
      <x:c r="E99" s="2" t="str">
        <x:v>Reviewer_A</x:v>
      </x:c>
      <x:c r="F99" s="2" t="str">
        <x:v>S13-CF05</x:v>
      </x:c>
      <x:c r="G99" s="2" t="str">
        <x:v>S13-MU03</x:v>
      </x:c>
      <x:c r="H99" s="2" t="str">
        <x:v>S13-O01</x:v>
      </x:c>
      <x:c r="I99" s="2" t="str">
        <x:v>Prompting</x:v>
      </x:c>
      <x:c r="J99" s="2" t="str">
        <x:v>Zero-shot Prompt Template (R-to-C)</x:v>
      </x:c>
      <x:c r="K99" s="2" t="str">
        <x:v>ZS-R2C</x:v>
      </x:c>
      <x:c r="L99" s="6" t="str">
        <x:v>同F1。</x:v>
      </x:c>
      <x:c r="M99" s="2" t="str">
        <x:v>Yes</x:v>
      </x:c>
      <x:c r="N99" s="2" t="str">
        <x:v>Full prompt reported</x:v>
      </x:c>
      <x:c r="O99" s="2" t="n">
        <x:v>0</x:v>
      </x:c>
      <x:c r="P99" s="2" t="str">
        <x:v>No</x:v>
      </x:c>
      <x:c r="Q99" s="2" t="str">
        <x:v>No</x:v>
      </x:c>
      <x:c r="R99" s="2" t="str">
        <x:v>No</x:v>
      </x:c>
      <x:c r="S99" s="2" t="str">
        <x:v>NR</x:v>
      </x:c>
      <x:c r="T99" s="6" t="str">
        <x:v>p. 11; Section 3.1.2</x:v>
      </x:c>
      <x:c r="U99" s="6" t="str">
        <x:v>Our zero-shot template is a direct implementation of this structured methodology.</x:v>
      </x:c>
      <x:c r="V99" s="6" t="str">
        <x:v>同上。</x:v>
      </x:c>
      <x:c r="W99" s="2" t="str">
        <x:v>Accepted</x:v>
      </x:c>
      <x:c r="X99" s="6" t="str">
        <x:v>NA</x:v>
      </x:c>
    </x:row>
    <x:row r="100" ht="76" customHeight="1">
      <x:c r="A100" s="2" t="str">
        <x:v>S13-FEATURE-R06</x:v>
      </x:c>
      <x:c r="B100" s="2" t="str">
        <x:v>S13</x:v>
      </x:c>
      <x:c r="C100" s="2" t="str">
        <x:v>merged_1140</x:v>
      </x:c>
      <x:c r="D100" s="2" t="str">
        <x:v>Reviewer_A</x:v>
      </x:c>
      <x:c r="E100" s="2" t="str">
        <x:v>Reviewer_A</x:v>
      </x:c>
      <x:c r="F100" s="2" t="str">
        <x:v>S13-CF06</x:v>
      </x:c>
      <x:c r="G100" s="2" t="str">
        <x:v>S13-MU03</x:v>
      </x:c>
      <x:c r="H100" s="2" t="str">
        <x:v>S13-O01</x:v>
      </x:c>
      <x:c r="I100" s="2" t="str">
        <x:v>Prompting</x:v>
      </x:c>
      <x:c r="J100" s="2" t="str">
        <x:v>Few-shot Prompt Template (R-to-C)</x:v>
      </x:c>
      <x:c r="K100" s="2" t="str">
        <x:v>FS-R2C</x:v>
      </x:c>
      <x:c r="L100" s="6" t="str">
        <x:v>同F2。</x:v>
      </x:c>
      <x:c r="M100" s="2" t="str">
        <x:v>Yes</x:v>
      </x:c>
      <x:c r="N100" s="2" t="str">
        <x:v>Full prompt reported</x:v>
      </x:c>
      <x:c r="O100" s="2" t="n">
        <x:v>1</x:v>
      </x:c>
      <x:c r="P100" s="2" t="str">
        <x:v>No</x:v>
      </x:c>
      <x:c r="Q100" s="2" t="str">
        <x:v>No</x:v>
      </x:c>
      <x:c r="R100" s="2" t="str">
        <x:v>No</x:v>
      </x:c>
      <x:c r="S100" s="2" t="str">
        <x:v>NR</x:v>
      </x:c>
      <x:c r="T100" s="6" t="str">
        <x:v>p. 13; Figure 5</x:v>
      </x:c>
      <x:c r="U100" s="6" t="str">
        <x:v>Few-shot Prompt Template: Generate Code from Requirement</x:v>
      </x:c>
      <x:c r="V100" s="6" t="str">
        <x:v>同上。</x:v>
      </x:c>
      <x:c r="W100" s="2" t="str">
        <x:v>Accepted</x:v>
      </x:c>
      <x:c r="X100" s="6" t="str">
        <x:v>NA</x:v>
      </x:c>
    </x:row>
    <x:row r="101" ht="76" customHeight="1">
      <x:c r="A101" s="2" t="str">
        <x:v>S13-FEATURE-R07</x:v>
      </x:c>
      <x:c r="B101" s="2" t="str">
        <x:v>S13</x:v>
      </x:c>
      <x:c r="C101" s="2" t="str">
        <x:v>merged_1140</x:v>
      </x:c>
      <x:c r="D101" s="2" t="str">
        <x:v>Reviewer_A</x:v>
      </x:c>
      <x:c r="E101" s="2" t="str">
        <x:v>Reviewer_A</x:v>
      </x:c>
      <x:c r="F101" s="2" t="str">
        <x:v>S13-CF07</x:v>
      </x:c>
      <x:c r="G101" s="2" t="str">
        <x:v>S13-MU04</x:v>
      </x:c>
      <x:c r="H101" s="2" t="str">
        <x:v>S13-O01</x:v>
      </x:c>
      <x:c r="I101" s="2" t="str">
        <x:v>Prompting</x:v>
      </x:c>
      <x:c r="J101" s="2" t="str">
        <x:v>Zero-shot Prompt Template (R-to-C)</x:v>
      </x:c>
      <x:c r="K101" s="2" t="str">
        <x:v>ZS-R2C</x:v>
      </x:c>
      <x:c r="L101" s="6" t="str">
        <x:v>同F1。</x:v>
      </x:c>
      <x:c r="M101" s="2" t="str">
        <x:v>Yes</x:v>
      </x:c>
      <x:c r="N101" s="2" t="str">
        <x:v>Full prompt reported</x:v>
      </x:c>
      <x:c r="O101" s="2" t="n">
        <x:v>0</x:v>
      </x:c>
      <x:c r="P101" s="2" t="str">
        <x:v>No</x:v>
      </x:c>
      <x:c r="Q101" s="2" t="str">
        <x:v>No</x:v>
      </x:c>
      <x:c r="R101" s="2" t="str">
        <x:v>No</x:v>
      </x:c>
      <x:c r="S101" s="2" t="str">
        <x:v>NR</x:v>
      </x:c>
      <x:c r="T101" s="6" t="str">
        <x:v>p. 11; Section 3.1.2</x:v>
      </x:c>
      <x:c r="U101" s="6" t="str">
        <x:v>Our zero-shot template is a direct implementation of this structured methodology.</x:v>
      </x:c>
      <x:c r="V101" s="6" t="str">
        <x:v>同上。</x:v>
      </x:c>
      <x:c r="W101" s="2" t="str">
        <x:v>Accepted</x:v>
      </x:c>
      <x:c r="X101" s="6" t="str">
        <x:v>NA</x:v>
      </x:c>
    </x:row>
    <x:row r="102" ht="76" customHeight="1">
      <x:c r="A102" s="2" t="str">
        <x:v>S13-FEATURE-R08</x:v>
      </x:c>
      <x:c r="B102" s="2" t="str">
        <x:v>S13</x:v>
      </x:c>
      <x:c r="C102" s="2" t="str">
        <x:v>merged_1140</x:v>
      </x:c>
      <x:c r="D102" s="2" t="str">
        <x:v>Reviewer_A</x:v>
      </x:c>
      <x:c r="E102" s="2" t="str">
        <x:v>Reviewer_A</x:v>
      </x:c>
      <x:c r="F102" s="2" t="str">
        <x:v>S13-CF08</x:v>
      </x:c>
      <x:c r="G102" s="2" t="str">
        <x:v>S13-MU04</x:v>
      </x:c>
      <x:c r="H102" s="2" t="str">
        <x:v>S13-O01</x:v>
      </x:c>
      <x:c r="I102" s="2" t="str">
        <x:v>Prompting</x:v>
      </x:c>
      <x:c r="J102" s="2" t="str">
        <x:v>Few-shot Prompt Template (R-to-C)</x:v>
      </x:c>
      <x:c r="K102" s="2" t="str">
        <x:v>FS-R2C</x:v>
      </x:c>
      <x:c r="L102" s="6" t="str">
        <x:v>同F2。</x:v>
      </x:c>
      <x:c r="M102" s="2" t="str">
        <x:v>Yes</x:v>
      </x:c>
      <x:c r="N102" s="2" t="str">
        <x:v>Full prompt reported</x:v>
      </x:c>
      <x:c r="O102" s="2" t="n">
        <x:v>1</x:v>
      </x:c>
      <x:c r="P102" s="2" t="str">
        <x:v>No</x:v>
      </x:c>
      <x:c r="Q102" s="2" t="str">
        <x:v>No</x:v>
      </x:c>
      <x:c r="R102" s="2" t="str">
        <x:v>No</x:v>
      </x:c>
      <x:c r="S102" s="2" t="str">
        <x:v>NR</x:v>
      </x:c>
      <x:c r="T102" s="6" t="str">
        <x:v>p. 13; Figure 5</x:v>
      </x:c>
      <x:c r="U102" s="6" t="str">
        <x:v>Few-shot Prompt Template: Generate Code from Requirement</x:v>
      </x:c>
      <x:c r="V102" s="6" t="str">
        <x:v>同上。</x:v>
      </x:c>
      <x:c r="W102" s="2" t="str">
        <x:v>Accepted</x:v>
      </x:c>
      <x:c r="X102" s="6" t="str">
        <x:v>NA</x:v>
      </x:c>
    </x:row>
    <x:row r="103" ht="76" customHeight="1">
      <x:c r="A103" s="2" t="str">
        <x:v>S13-FEATURE-R09</x:v>
      </x:c>
      <x:c r="B103" s="2" t="str">
        <x:v>S13</x:v>
      </x:c>
      <x:c r="C103" s="2" t="str">
        <x:v>merged_1140</x:v>
      </x:c>
      <x:c r="D103" s="2" t="str">
        <x:v>Reviewer_A</x:v>
      </x:c>
      <x:c r="E103" s="2" t="str">
        <x:v>Reviewer_A</x:v>
      </x:c>
      <x:c r="F103" s="2" t="str">
        <x:v>S13-CF09</x:v>
      </x:c>
      <x:c r="G103" s="2" t="str">
        <x:v>S13-MU05</x:v>
      </x:c>
      <x:c r="H103" s="2" t="str">
        <x:v>S13-O02</x:v>
      </x:c>
      <x:c r="I103" s="2" t="str">
        <x:v>Prompting</x:v>
      </x:c>
      <x:c r="J103" s="2" t="str">
        <x:v>Zero-shot Prompt Template (C-to-R)</x:v>
      </x:c>
      <x:c r="K103" s="2" t="str">
        <x:v>ZS-C2R</x:v>
      </x:c>
      <x:c r="L103" s="6" t="str">
        <x:v>基于CO-STAR框架的零样本提示模板，用于从代码生成需求。模板在论文中完整给出。</x:v>
      </x:c>
      <x:c r="M103" s="2" t="str">
        <x:v>Yes</x:v>
      </x:c>
      <x:c r="N103" s="2" t="str">
        <x:v>Full prompt reported</x:v>
      </x:c>
      <x:c r="O103" s="2" t="n">
        <x:v>0</x:v>
      </x:c>
      <x:c r="P103" s="2" t="str">
        <x:v>No</x:v>
      </x:c>
      <x:c r="Q103" s="2" t="str">
        <x:v>No</x:v>
      </x:c>
      <x:c r="R103" s="2" t="str">
        <x:v>No</x:v>
      </x:c>
      <x:c r="S103" s="2" t="str">
        <x:v>NR</x:v>
      </x:c>
      <x:c r="T103" s="6" t="str">
        <x:v>p. 11; Section 3.1.2</x:v>
      </x:c>
      <x:c r="U103" s="6" t="str">
        <x:v>Our zero-shot template is a direct implementation of this structured methodology.</x:v>
      </x:c>
      <x:c r="V103" s="6" t="str">
        <x:v>使用CO-STAR提示框架从代码生成需求描述。</x:v>
      </x:c>
      <x:c r="W103" s="2" t="str">
        <x:v>Accepted</x:v>
      </x:c>
      <x:c r="X103" s="6" t="str">
        <x:v>NA</x:v>
      </x:c>
    </x:row>
    <x:row r="104" ht="76" customHeight="1">
      <x:c r="A104" s="2" t="str">
        <x:v>S13-FEATURE-R10</x:v>
      </x:c>
      <x:c r="B104" s="2" t="str">
        <x:v>S13</x:v>
      </x:c>
      <x:c r="C104" s="2" t="str">
        <x:v>merged_1140</x:v>
      </x:c>
      <x:c r="D104" s="2" t="str">
        <x:v>Reviewer_A</x:v>
      </x:c>
      <x:c r="E104" s="2" t="str">
        <x:v>Reviewer_A</x:v>
      </x:c>
      <x:c r="F104" s="2" t="str">
        <x:v>S13-CF10</x:v>
      </x:c>
      <x:c r="G104" s="2" t="str">
        <x:v>S13-MU05</x:v>
      </x:c>
      <x:c r="H104" s="2" t="str">
        <x:v>S13-O02</x:v>
      </x:c>
      <x:c r="I104" s="2" t="str">
        <x:v>Prompting</x:v>
      </x:c>
      <x:c r="J104" s="2" t="str">
        <x:v>Few-shot Prompt Template (C-to-R)</x:v>
      </x:c>
      <x:c r="K104" s="2" t="str">
        <x:v>FS-C2R</x:v>
      </x:c>
      <x:c r="L104" s="6" t="str">
        <x:v>包含一个示例对的少样本提示模板，用于从代码生成需求。</x:v>
      </x:c>
      <x:c r="M104" s="2" t="str">
        <x:v>Yes</x:v>
      </x:c>
      <x:c r="N104" s="2" t="str">
        <x:v>Full prompt reported</x:v>
      </x:c>
      <x:c r="O104" s="2" t="n">
        <x:v>1</x:v>
      </x:c>
      <x:c r="P104" s="2" t="str">
        <x:v>No</x:v>
      </x:c>
      <x:c r="Q104" s="2" t="str">
        <x:v>No</x:v>
      </x:c>
      <x:c r="R104" s="2" t="str">
        <x:v>No</x:v>
      </x:c>
      <x:c r="S104" s="2" t="str">
        <x:v>NR</x:v>
      </x:c>
      <x:c r="T104" s="6" t="str">
        <x:v>p. 13; Figure 6</x:v>
      </x:c>
      <x:c r="U104" s="6" t="str">
        <x:v>Few-shot Prompt Template: Generate Requirement from Code</x:v>
      </x:c>
      <x:c r="V104" s="6" t="str">
        <x:v>单样本示例指导LLM从代码生成需求。</x:v>
      </x:c>
      <x:c r="W104" s="2" t="str">
        <x:v>Accepted</x:v>
      </x:c>
      <x:c r="X104" s="6" t="str">
        <x:v>NA</x:v>
      </x:c>
    </x:row>
    <x:row r="105" ht="76" customHeight="1">
      <x:c r="A105" s="2" t="str">
        <x:v>S13-FEATURE-R11</x:v>
      </x:c>
      <x:c r="B105" s="2" t="str">
        <x:v>S13</x:v>
      </x:c>
      <x:c r="C105" s="2" t="str">
        <x:v>merged_1140</x:v>
      </x:c>
      <x:c r="D105" s="2" t="str">
        <x:v>Reviewer_A</x:v>
      </x:c>
      <x:c r="E105" s="2" t="str">
        <x:v>Reviewer_A</x:v>
      </x:c>
      <x:c r="F105" s="2" t="str">
        <x:v>S13-CF11</x:v>
      </x:c>
      <x:c r="G105" s="2" t="str">
        <x:v>S13-MU06</x:v>
      </x:c>
      <x:c r="H105" s="2" t="str">
        <x:v>S13-O02</x:v>
      </x:c>
      <x:c r="I105" s="2" t="str">
        <x:v>Prompting</x:v>
      </x:c>
      <x:c r="J105" s="2" t="str">
        <x:v>Zero-shot Prompt Template (C-to-R)</x:v>
      </x:c>
      <x:c r="K105" s="2" t="str">
        <x:v>ZS-C2R</x:v>
      </x:c>
      <x:c r="L105" s="6" t="str">
        <x:v>同F9。</x:v>
      </x:c>
      <x:c r="M105" s="2" t="str">
        <x:v>Yes</x:v>
      </x:c>
      <x:c r="N105" s="2" t="str">
        <x:v>Full prompt reported</x:v>
      </x:c>
      <x:c r="O105" s="2" t="n">
        <x:v>0</x:v>
      </x:c>
      <x:c r="P105" s="2" t="str">
        <x:v>No</x:v>
      </x:c>
      <x:c r="Q105" s="2" t="str">
        <x:v>No</x:v>
      </x:c>
      <x:c r="R105" s="2" t="str">
        <x:v>No</x:v>
      </x:c>
      <x:c r="S105" s="2" t="str">
        <x:v>NR</x:v>
      </x:c>
      <x:c r="T105" s="6" t="str">
        <x:v>p. 11; Section 3.1.2</x:v>
      </x:c>
      <x:c r="U105" s="6" t="str">
        <x:v>Our zero-shot template is a direct implementation of this structured methodology.</x:v>
      </x:c>
      <x:c r="V105" s="6" t="str">
        <x:v>同上。</x:v>
      </x:c>
      <x:c r="W105" s="2" t="str">
        <x:v>Accepted</x:v>
      </x:c>
      <x:c r="X105" s="6" t="str">
        <x:v>NA</x:v>
      </x:c>
    </x:row>
    <x:row r="106" ht="76" customHeight="1">
      <x:c r="A106" s="2" t="str">
        <x:v>S13-FEATURE-R12</x:v>
      </x:c>
      <x:c r="B106" s="2" t="str">
        <x:v>S13</x:v>
      </x:c>
      <x:c r="C106" s="2" t="str">
        <x:v>merged_1140</x:v>
      </x:c>
      <x:c r="D106" s="2" t="str">
        <x:v>Reviewer_A</x:v>
      </x:c>
      <x:c r="E106" s="2" t="str">
        <x:v>Reviewer_A</x:v>
      </x:c>
      <x:c r="F106" s="2" t="str">
        <x:v>S13-CF12</x:v>
      </x:c>
      <x:c r="G106" s="2" t="str">
        <x:v>S13-MU06</x:v>
      </x:c>
      <x:c r="H106" s="2" t="str">
        <x:v>S13-O02</x:v>
      </x:c>
      <x:c r="I106" s="2" t="str">
        <x:v>Prompting</x:v>
      </x:c>
      <x:c r="J106" s="2" t="str">
        <x:v>Few-shot Prompt Template (C-to-R)</x:v>
      </x:c>
      <x:c r="K106" s="2" t="str">
        <x:v>FS-C2R</x:v>
      </x:c>
      <x:c r="L106" s="6" t="str">
        <x:v>同F10。</x:v>
      </x:c>
      <x:c r="M106" s="2" t="str">
        <x:v>Yes</x:v>
      </x:c>
      <x:c r="N106" s="2" t="str">
        <x:v>Full prompt reported</x:v>
      </x:c>
      <x:c r="O106" s="2" t="n">
        <x:v>1</x:v>
      </x:c>
      <x:c r="P106" s="2" t="str">
        <x:v>No</x:v>
      </x:c>
      <x:c r="Q106" s="2" t="str">
        <x:v>No</x:v>
      </x:c>
      <x:c r="R106" s="2" t="str">
        <x:v>No</x:v>
      </x:c>
      <x:c r="S106" s="2" t="str">
        <x:v>NR</x:v>
      </x:c>
      <x:c r="T106" s="6" t="str">
        <x:v>p. 13; Figure 6</x:v>
      </x:c>
      <x:c r="U106" s="6" t="str">
        <x:v>Few-shot Prompt Template: Generate Requirement from Code</x:v>
      </x:c>
      <x:c r="V106" s="6" t="str">
        <x:v>同上。</x:v>
      </x:c>
      <x:c r="W106" s="2" t="str">
        <x:v>Accepted</x:v>
      </x:c>
      <x:c r="X106" s="6" t="str">
        <x:v>NA</x:v>
      </x:c>
    </x:row>
    <x:row r="107" ht="76" customHeight="1">
      <x:c r="A107" s="2" t="str">
        <x:v>S13-FEATURE-R13</x:v>
      </x:c>
      <x:c r="B107" s="2" t="str">
        <x:v>S13</x:v>
      </x:c>
      <x:c r="C107" s="2" t="str">
        <x:v>merged_1140</x:v>
      </x:c>
      <x:c r="D107" s="2" t="str">
        <x:v>Reviewer_A</x:v>
      </x:c>
      <x:c r="E107" s="2" t="str">
        <x:v>Reviewer_A</x:v>
      </x:c>
      <x:c r="F107" s="2" t="str">
        <x:v>S13-CF13</x:v>
      </x:c>
      <x:c r="G107" s="2" t="str">
        <x:v>S13-MU07</x:v>
      </x:c>
      <x:c r="H107" s="2" t="str">
        <x:v>S13-O02</x:v>
      </x:c>
      <x:c r="I107" s="2" t="str">
        <x:v>Prompting</x:v>
      </x:c>
      <x:c r="J107" s="2" t="str">
        <x:v>Zero-shot Prompt Template (C-to-R)</x:v>
      </x:c>
      <x:c r="K107" s="2" t="str">
        <x:v>ZS-C2R</x:v>
      </x:c>
      <x:c r="L107" s="6" t="str">
        <x:v>同F9。</x:v>
      </x:c>
      <x:c r="M107" s="2" t="str">
        <x:v>Yes</x:v>
      </x:c>
      <x:c r="N107" s="2" t="str">
        <x:v>Full prompt reported</x:v>
      </x:c>
      <x:c r="O107" s="2" t="n">
        <x:v>0</x:v>
      </x:c>
      <x:c r="P107" s="2" t="str">
        <x:v>No</x:v>
      </x:c>
      <x:c r="Q107" s="2" t="str">
        <x:v>No</x:v>
      </x:c>
      <x:c r="R107" s="2" t="str">
        <x:v>No</x:v>
      </x:c>
      <x:c r="S107" s="2" t="str">
        <x:v>NR</x:v>
      </x:c>
      <x:c r="T107" s="6" t="str">
        <x:v>p. 11; Section 3.1.2</x:v>
      </x:c>
      <x:c r="U107" s="6" t="str">
        <x:v>Our zero-shot template is a direct implementation of this structured methodology.</x:v>
      </x:c>
      <x:c r="V107" s="6" t="str">
        <x:v>同上。</x:v>
      </x:c>
      <x:c r="W107" s="2" t="str">
        <x:v>Accepted</x:v>
      </x:c>
      <x:c r="X107" s="6" t="str">
        <x:v>NA</x:v>
      </x:c>
    </x:row>
    <x:row r="108" ht="76" customHeight="1">
      <x:c r="A108" s="2" t="str">
        <x:v>S13-FEATURE-R14</x:v>
      </x:c>
      <x:c r="B108" s="2" t="str">
        <x:v>S13</x:v>
      </x:c>
      <x:c r="C108" s="2" t="str">
        <x:v>merged_1140</x:v>
      </x:c>
      <x:c r="D108" s="2" t="str">
        <x:v>Reviewer_A</x:v>
      </x:c>
      <x:c r="E108" s="2" t="str">
        <x:v>Reviewer_A</x:v>
      </x:c>
      <x:c r="F108" s="2" t="str">
        <x:v>S13-CF14</x:v>
      </x:c>
      <x:c r="G108" s="2" t="str">
        <x:v>S13-MU07</x:v>
      </x:c>
      <x:c r="H108" s="2" t="str">
        <x:v>S13-O02</x:v>
      </x:c>
      <x:c r="I108" s="2" t="str">
        <x:v>Prompting</x:v>
      </x:c>
      <x:c r="J108" s="2" t="str">
        <x:v>Few-shot Prompt Template (C-to-R)</x:v>
      </x:c>
      <x:c r="K108" s="2" t="str">
        <x:v>FS-C2R</x:v>
      </x:c>
      <x:c r="L108" s="6" t="str">
        <x:v>同F10。</x:v>
      </x:c>
      <x:c r="M108" s="2" t="str">
        <x:v>Yes</x:v>
      </x:c>
      <x:c r="N108" s="2" t="str">
        <x:v>Full prompt reported</x:v>
      </x:c>
      <x:c r="O108" s="2" t="n">
        <x:v>1</x:v>
      </x:c>
      <x:c r="P108" s="2" t="str">
        <x:v>No</x:v>
      </x:c>
      <x:c r="Q108" s="2" t="str">
        <x:v>No</x:v>
      </x:c>
      <x:c r="R108" s="2" t="str">
        <x:v>No</x:v>
      </x:c>
      <x:c r="S108" s="2" t="str">
        <x:v>NR</x:v>
      </x:c>
      <x:c r="T108" s="6" t="str">
        <x:v>p. 13; Figure 6</x:v>
      </x:c>
      <x:c r="U108" s="6" t="str">
        <x:v>Few-shot Prompt Template: Generate Requirement from Code</x:v>
      </x:c>
      <x:c r="V108" s="6" t="str">
        <x:v>同上。</x:v>
      </x:c>
      <x:c r="W108" s="2" t="str">
        <x:v>Accepted</x:v>
      </x:c>
      <x:c r="X108" s="6" t="str">
        <x:v>NA</x:v>
      </x:c>
    </x:row>
    <x:row r="109" ht="76" customHeight="1">
      <x:c r="A109" s="2" t="str">
        <x:v>S13-FEATURE-R15</x:v>
      </x:c>
      <x:c r="B109" s="2" t="str">
        <x:v>S13</x:v>
      </x:c>
      <x:c r="C109" s="2" t="str">
        <x:v>merged_1140</x:v>
      </x:c>
      <x:c r="D109" s="2" t="str">
        <x:v>Reviewer_A</x:v>
      </x:c>
      <x:c r="E109" s="2" t="str">
        <x:v>Reviewer_A</x:v>
      </x:c>
      <x:c r="F109" s="2" t="str">
        <x:v>S13-CF15</x:v>
      </x:c>
      <x:c r="G109" s="2" t="str">
        <x:v>S13-MU08</x:v>
      </x:c>
      <x:c r="H109" s="2" t="str">
        <x:v>S13-O02</x:v>
      </x:c>
      <x:c r="I109" s="2" t="str">
        <x:v>Prompting</x:v>
      </x:c>
      <x:c r="J109" s="2" t="str">
        <x:v>Zero-shot Prompt Template (C-to-R)</x:v>
      </x:c>
      <x:c r="K109" s="2" t="str">
        <x:v>ZS-C2R</x:v>
      </x:c>
      <x:c r="L109" s="6" t="str">
        <x:v>同F9。</x:v>
      </x:c>
      <x:c r="M109" s="2" t="str">
        <x:v>Yes</x:v>
      </x:c>
      <x:c r="N109" s="2" t="str">
        <x:v>Full prompt reported</x:v>
      </x:c>
      <x:c r="O109" s="2" t="n">
        <x:v>0</x:v>
      </x:c>
      <x:c r="P109" s="2" t="str">
        <x:v>No</x:v>
      </x:c>
      <x:c r="Q109" s="2" t="str">
        <x:v>No</x:v>
      </x:c>
      <x:c r="R109" s="2" t="str">
        <x:v>No</x:v>
      </x:c>
      <x:c r="S109" s="2" t="str">
        <x:v>NR</x:v>
      </x:c>
      <x:c r="T109" s="6" t="str">
        <x:v>p. 11; Section 3.1.2</x:v>
      </x:c>
      <x:c r="U109" s="6" t="str">
        <x:v>Our zero-shot template is a direct implementation of this structured methodology.</x:v>
      </x:c>
      <x:c r="V109" s="6" t="str">
        <x:v>同上。</x:v>
      </x:c>
      <x:c r="W109" s="2" t="str">
        <x:v>Accepted</x:v>
      </x:c>
      <x:c r="X109" s="6" t="str">
        <x:v>NA</x:v>
      </x:c>
    </x:row>
    <x:row r="110" ht="76" customHeight="1">
      <x:c r="A110" s="2" t="str">
        <x:v>S13-FEATURE-R16</x:v>
      </x:c>
      <x:c r="B110" s="2" t="str">
        <x:v>S13</x:v>
      </x:c>
      <x:c r="C110" s="2" t="str">
        <x:v>merged_1140</x:v>
      </x:c>
      <x:c r="D110" s="2" t="str">
        <x:v>Reviewer_A</x:v>
      </x:c>
      <x:c r="E110" s="2" t="str">
        <x:v>Reviewer_A</x:v>
      </x:c>
      <x:c r="F110" s="2" t="str">
        <x:v>S13-CF16</x:v>
      </x:c>
      <x:c r="G110" s="2" t="str">
        <x:v>S13-MU08</x:v>
      </x:c>
      <x:c r="H110" s="2" t="str">
        <x:v>S13-O02</x:v>
      </x:c>
      <x:c r="I110" s="2" t="str">
        <x:v>Prompting</x:v>
      </x:c>
      <x:c r="J110" s="2" t="str">
        <x:v>Few-shot Prompt Template (C-to-R)</x:v>
      </x:c>
      <x:c r="K110" s="2" t="str">
        <x:v>FS-C2R</x:v>
      </x:c>
      <x:c r="L110" s="6" t="str">
        <x:v>同F10。</x:v>
      </x:c>
      <x:c r="M110" s="2" t="str">
        <x:v>Yes</x:v>
      </x:c>
      <x:c r="N110" s="2" t="str">
        <x:v>Full prompt reported</x:v>
      </x:c>
      <x:c r="O110" s="2" t="n">
        <x:v>1</x:v>
      </x:c>
      <x:c r="P110" s="2" t="str">
        <x:v>No</x:v>
      </x:c>
      <x:c r="Q110" s="2" t="str">
        <x:v>No</x:v>
      </x:c>
      <x:c r="R110" s="2" t="str">
        <x:v>No</x:v>
      </x:c>
      <x:c r="S110" s="2" t="str">
        <x:v>NR</x:v>
      </x:c>
      <x:c r="T110" s="6" t="str">
        <x:v>p. 13; Figure 6</x:v>
      </x:c>
      <x:c r="U110" s="6" t="str">
        <x:v>Few-shot Prompt Template: Generate Requirement from Code</x:v>
      </x:c>
      <x:c r="V110" s="6" t="str">
        <x:v>同上。</x:v>
      </x:c>
      <x:c r="W110" s="2" t="str">
        <x:v>Accepted</x:v>
      </x:c>
      <x:c r="X110" s="6" t="str">
        <x:v>NA</x:v>
      </x:c>
    </x:row>
    <x:row r="111" ht="76" customHeight="1">
      <x:c r="A111" s="2" t="str">
        <x:v>S14-FEATURE-R01</x:v>
      </x:c>
      <x:c r="B111" s="2" t="str">
        <x:v>S14</x:v>
      </x:c>
      <x:c r="C111" s="2" t="str">
        <x:v>merged_1142-v1</x:v>
      </x:c>
      <x:c r="D111" s="2" t="str">
        <x:v>Reviewer_A</x:v>
      </x:c>
      <x:c r="E111" s="2" t="str">
        <x:v>Reviewer_A</x:v>
      </x:c>
      <x:c r="F111" s="2" t="str">
        <x:v>S14-CF01</x:v>
      </x:c>
      <x:c r="G111" s="2" t="str">
        <x:v>S14-MU01</x:v>
      </x:c>
      <x:c r="H111" s="2" t="str">
        <x:v>S14-O01</x:v>
      </x:c>
      <x:c r="I111" s="2" t="str">
        <x:v>Prompting</x:v>
      </x:c>
      <x:c r="J111" s="2" t="str">
        <x:v>Prompt Template</x:v>
      </x:c>
      <x:c r="K111" s="2" t="str">
        <x:v>prompt_template</x:v>
      </x:c>
      <x:c r="L111" s="6" t="str">
        <x:v>使用固定的系统指令和包含需求、代码及附加信息的提示模板，要求模型仅回答 Yes 或 No。</x:v>
      </x:c>
      <x:c r="M111" s="2" t="str">
        <x:v>Yes</x:v>
      </x:c>
      <x:c r="N111" s="2" t="str">
        <x:v>Template reported</x:v>
      </x:c>
      <x:c r="O111" s="2" t="n">
        <x:v>0</x:v>
      </x:c>
      <x:c r="P111" s="2" t="str">
        <x:v>No</x:v>
      </x:c>
      <x:c r="Q111" s="2" t="str">
        <x:v>No</x:v>
      </x:c>
      <x:c r="R111" s="2" t="str">
        <x:v>No</x:v>
      </x:c>
      <x:c r="S111" s="2" t="str">
        <x:v>NA</x:v>
      </x:c>
      <x:c r="T111" s="6" t="str">
        <x:v>p. 24; Section 4.3.2 Gemini-All</x:v>
      </x:c>
      <x:c r="U111" s="6" t="str">
        <x:v>Determine if the following Requirements and Code are related. Answer only “Yes” or “No”. Requirements: requirements_text</x:v>
      </x:c>
      <x:c r="V111" s="6" t="str">
        <x:v>提示工程采用零样本模板，未使用示例，通过附加信息注入领域知识。</x:v>
      </x:c>
      <x:c r="W111" s="2" t="str">
        <x:v>Accepted</x:v>
      </x:c>
      <x:c r="X111" s="6" t="str">
        <x:v>NA</x:v>
      </x:c>
    </x:row>
    <x:row r="112" ht="76" customHeight="1">
      <x:c r="A112" s="2" t="str">
        <x:v>S15-FEATURE-R01</x:v>
      </x:c>
      <x:c r="B112" s="2" t="str">
        <x:v>S15</x:v>
      </x:c>
      <x:c r="C112" s="2" t="str">
        <x:v>merged_1143</x:v>
      </x:c>
      <x:c r="D112" s="2" t="str">
        <x:v>Reviewer_A</x:v>
      </x:c>
      <x:c r="E112" s="2" t="str">
        <x:v>Reviewer_A</x:v>
      </x:c>
      <x:c r="F112" s="2" t="str">
        <x:v>S15-CF01</x:v>
      </x:c>
      <x:c r="G112" s="2" t="str">
        <x:v>S15-MU03</x:v>
      </x:c>
      <x:c r="H112" s="2" t="str">
        <x:v>S15-O01</x:v>
      </x:c>
      <x:c r="I112" s="2" t="str">
        <x:v>Prompting</x:v>
      </x:c>
      <x:c r="J112" s="2" t="str">
        <x:v>Prompt 1 (goal extraction prompt)</x:v>
      </x:c>
      <x:c r="K112" s="2" t="str">
        <x:v>goal-extraction-prompt</x:v>
      </x:c>
      <x:c r="L112" s="6" t="str">
        <x:v>包含角色设定、任务指令和JSON输出格式的提示模板。</x:v>
      </x:c>
      <x:c r="M112" s="2" t="str">
        <x:v>Yes</x:v>
      </x:c>
      <x:c r="N112" s="2" t="str">
        <x:v>Full prompt reported</x:v>
      </x:c>
      <x:c r="O112" s="2" t="str">
        <x:v>NA</x:v>
      </x:c>
      <x:c r="P112" s="2" t="str">
        <x:v>No</x:v>
      </x:c>
      <x:c r="Q112" s="2" t="str">
        <x:v>No</x:v>
      </x:c>
      <x:c r="R112" s="2" t="str">
        <x:v>No</x:v>
      </x:c>
      <x:c r="S112" s="2" t="str">
        <x:v>NR</x:v>
      </x:c>
      <x:c r="T112" s="6" t="str">
        <x:v>p. 4; Figure 3</x:v>
      </x:c>
      <x:c r="U112" s="6" t="str">
        <x:v>Read the following interview transcript excerpt and respond with any goals that the speaker expresses. A</x:v>
      </x:c>
      <x:c r="V112" s="6" t="str">
        <x:v>使用明确的提示模板指导模型以结构化的JSON格式输出目标列表。</x:v>
      </x:c>
      <x:c r="W112" s="2" t="str">
        <x:v>Accepted</x:v>
      </x:c>
      <x:c r="X112" s="6" t="str">
        <x:v>NA</x:v>
      </x:c>
    </x:row>
    <x:row r="113" ht="76" customHeight="1">
      <x:c r="A113" s="2" t="str">
        <x:v>S15-FEATURE-R02</x:v>
      </x:c>
      <x:c r="B113" s="2" t="str">
        <x:v>S15</x:v>
      </x:c>
      <x:c r="C113" s="2" t="str">
        <x:v>merged_1143</x:v>
      </x:c>
      <x:c r="D113" s="2" t="str">
        <x:v>Reviewer_A</x:v>
      </x:c>
      <x:c r="E113" s="2" t="str">
        <x:v>Reviewer_A</x:v>
      </x:c>
      <x:c r="F113" s="2" t="str">
        <x:v>S15-CF02</x:v>
      </x:c>
      <x:c r="G113" s="2" t="str">
        <x:v>S15-MU03</x:v>
      </x:c>
      <x:c r="H113" s="2" t="str">
        <x:v>S15-O01</x:v>
      </x:c>
      <x:c r="I113" s="2" t="str">
        <x:v>Output constraint</x:v>
      </x:c>
      <x:c r="J113" s="2" t="str">
        <x:v>goal generalization instruction</x:v>
      </x:c>
      <x:c r="K113" s="2" t="str">
        <x:v>goal-generalization-constraint</x:v>
      </x:c>
      <x:c r="L113" s="6" t="str">
        <x:v>在提示中加入指令，要求目标描述不包含特定应用、产品或服务的引用，以生成领域无关的目标。</x:v>
      </x:c>
      <x:c r="M113" s="2" t="str">
        <x:v>Yes</x:v>
      </x:c>
      <x:c r="N113" s="2" t="str">
        <x:v>Partial description</x:v>
      </x:c>
      <x:c r="O113" s="2" t="str">
        <x:v>NA</x:v>
      </x:c>
      <x:c r="P113" s="2" t="str">
        <x:v>No</x:v>
      </x:c>
      <x:c r="Q113" s="2" t="str">
        <x:v>No</x:v>
      </x:c>
      <x:c r="R113" s="2" t="str">
        <x:v>No</x:v>
      </x:c>
      <x:c r="S113" s="2" t="str">
        <x:v>NR</x:v>
      </x:c>
      <x:c r="T113" s="6" t="str">
        <x:v>p. 3; Section III-B</x:v>
      </x:c>
      <x:c r="U113" s="6" t="str">
        <x:v>by replacing the italicized sentence in Figure 3 with “Do not include references to applications, products or services</x:v>
      </x:c>
      <x:c r="V113" s="6" t="str">
        <x:v>通过修改提示词强制模型生成抽象程度更高的目标，以评估泛化效果。</x:v>
      </x:c>
      <x:c r="W113" s="2" t="str">
        <x:v>Accepted</x:v>
      </x:c>
      <x:c r="X113" s="6" t="str">
        <x:v>NA</x:v>
      </x:c>
    </x:row>
    <x:row r="114" ht="76" customHeight="1">
      <x:c r="A114" s="2" t="str">
        <x:v>S15-FEATURE-R03</x:v>
      </x:c>
      <x:c r="B114" s="2" t="str">
        <x:v>S15</x:v>
      </x:c>
      <x:c r="C114" s="2" t="str">
        <x:v>merged_1143</x:v>
      </x:c>
      <x:c r="D114" s="2" t="str">
        <x:v>Reviewer_A</x:v>
      </x:c>
      <x:c r="E114" s="2" t="str">
        <x:v>Reviewer_A</x:v>
      </x:c>
      <x:c r="F114" s="2" t="str">
        <x:v>S15-CF03</x:v>
      </x:c>
      <x:c r="G114" s="2" t="str">
        <x:v>S15-MU03</x:v>
      </x:c>
      <x:c r="H114" s="2" t="str">
        <x:v>S15-O01</x:v>
      </x:c>
      <x:c r="I114" s="2" t="str">
        <x:v>Calling and orchestration</x:v>
      </x:c>
      <x:c r="J114" s="2" t="str">
        <x:v>repeated sampling</x:v>
      </x:c>
      <x:c r="K114" s="2" t="str">
        <x:v>repeated-sampling</x:v>
      </x:c>
      <x:c r="L114" s="6" t="str">
        <x:v>对同一访谈记录执行10次目标提取，利用温度引起的随机性增加目标覆盖范围，随后通过聚类去除重复。</x:v>
      </x:c>
      <x:c r="M114" s="2" t="str">
        <x:v>NA</x:v>
      </x:c>
      <x:c r="N114" s="2" t="str">
        <x:v>Not reported</x:v>
      </x:c>
      <x:c r="O114" s="2" t="str">
        <x:v>NA</x:v>
      </x:c>
      <x:c r="P114" s="2" t="str">
        <x:v>NR</x:v>
      </x:c>
      <x:c r="Q114" s="2" t="str">
        <x:v>NR</x:v>
      </x:c>
      <x:c r="R114" s="2" t="str">
        <x:v>No</x:v>
      </x:c>
      <x:c r="S114" s="2" t="str">
        <x:v>循环调用10次，收集全部结果后再进行聚类。</x:v>
      </x:c>
      <x:c r="T114" s="6" t="str">
        <x:v>p. 1; Section I</x:v>
      </x:c>
      <x:c r="U114" s="6" t="str">
        <x:v>the goal extraction step is performed 10 times to increase the likelihood that the extracted goals will represent any random sampling of the model during this step.</x:v>
      </x:c>
      <x:c r="V114" s="6" t="str">
        <x:v>通过多次随机采样缓解LLM的不确定性，提高目标召回率。</x:v>
      </x:c>
      <x:c r="W114" s="2" t="str">
        <x:v>Accepted</x:v>
      </x:c>
      <x:c r="X114" s="6" t="str">
        <x:v>NA</x:v>
      </x:c>
    </x:row>
    <x:row r="115" ht="76" customHeight="1">
      <x:c r="A115" s="2" t="str">
        <x:v>S15-FEATURE-R04</x:v>
      </x:c>
      <x:c r="B115" s="2" t="str">
        <x:v>S15</x:v>
      </x:c>
      <x:c r="C115" s="2" t="str">
        <x:v>merged_1143</x:v>
      </x:c>
      <x:c r="D115" s="2" t="str">
        <x:v>Reviewer_A</x:v>
      </x:c>
      <x:c r="E115" s="2" t="str">
        <x:v>Reviewer_A</x:v>
      </x:c>
      <x:c r="F115" s="2" t="str">
        <x:v>S15-CF04</x:v>
      </x:c>
      <x:c r="G115" s="2" t="str">
        <x:v>S15-MU03</x:v>
      </x:c>
      <x:c r="H115" s="2" t="str">
        <x:v>S15-O01</x:v>
      </x:c>
      <x:c r="I115" s="2" t="str">
        <x:v>Context construction</x:v>
      </x:c>
      <x:c r="J115" s="2" t="str">
        <x:v>extraction window</x:v>
      </x:c>
      <x:c r="K115" s="2" t="str">
        <x:v>extraction-window</x:v>
      </x:c>
      <x:c r="L115" s="6" t="str">
        <x:v>控制输入上下文的大小：整篇转录稿 vs. 滑动窗口（4个说话轮次，步长2轮）。</x:v>
      </x:c>
      <x:c r="M115" s="2" t="str">
        <x:v>NA</x:v>
      </x:c>
      <x:c r="N115" s="2" t="str">
        <x:v>Not reported</x:v>
      </x:c>
      <x:c r="O115" s="2" t="str">
        <x:v>NA</x:v>
      </x:c>
      <x:c r="P115" s="2" t="str">
        <x:v>NR</x:v>
      </x:c>
      <x:c r="Q115" s="2" t="str">
        <x:v>NR</x:v>
      </x:c>
      <x:c r="R115" s="2" t="str">
        <x:v>No</x:v>
      </x:c>
      <x:c r="S115" s="2" t="str">
        <x:v>NA</x:v>
      </x:c>
      <x:c r="T115" s="6" t="str">
        <x:v>p. 3; Section III-B</x:v>
      </x:c>
      <x:c r="U115" s="6" t="str">
        <x:v>we conducted a comparative evaluation of prompting using a window of length equal to the whole transcript, versus a moving window with length equal to four turns that moves by increments of two turns.</x:v>
      </x:c>
      <x:c r="V115" s="6" t="str">
        <x:v>探索不同大小的上下文对目标提取质量和偏差的影响。</x:v>
      </x:c>
      <x:c r="W115" s="2" t="str">
        <x:v>Accepted</x:v>
      </x:c>
      <x:c r="X115" s="6" t="str">
        <x:v>NR</x:v>
      </x:c>
    </x:row>
    <x:row r="116" ht="76" customHeight="1">
      <x:c r="A116" s="2" t="str">
        <x:v>S15-FEATURE-R05</x:v>
      </x:c>
      <x:c r="B116" s="2" t="str">
        <x:v>S15</x:v>
      </x:c>
      <x:c r="C116" s="2" t="str">
        <x:v>merged_1143</x:v>
      </x:c>
      <x:c r="D116" s="2" t="str">
        <x:v>Reviewer_A</x:v>
      </x:c>
      <x:c r="E116" s="2" t="str">
        <x:v>Reviewer_A</x:v>
      </x:c>
      <x:c r="F116" s="2" t="str">
        <x:v>S15-CF05</x:v>
      </x:c>
      <x:c r="G116" s="2" t="str">
        <x:v>S15-MU03</x:v>
      </x:c>
      <x:c r="H116" s="2" t="str">
        <x:v>S15-O02</x:v>
      </x:c>
      <x:c r="I116" s="2" t="str">
        <x:v>Prompting</x:v>
      </x:c>
      <x:c r="J116" s="2" t="str">
        <x:v>Prompt 2 (traceability prompt)</x:v>
      </x:c>
      <x:c r="K116" s="2" t="str">
        <x:v>traceability-prompt</x:v>
      </x:c>
      <x:c r="L116" s="6" t="str">
        <x:v>要求模型将已提取的目标与转录稿中的具体短语关联，并以指定的JSON格式返回结果。</x:v>
      </x:c>
      <x:c r="M116" s="2" t="str">
        <x:v>Yes</x:v>
      </x:c>
      <x:c r="N116" s="2" t="str">
        <x:v>Full prompt reported</x:v>
      </x:c>
      <x:c r="O116" s="2" t="str">
        <x:v>NA</x:v>
      </x:c>
      <x:c r="P116" s="2" t="str">
        <x:v>No</x:v>
      </x:c>
      <x:c r="Q116" s="2" t="str">
        <x:v>No</x:v>
      </x:c>
      <x:c r="R116" s="2" t="str">
        <x:v>No</x:v>
      </x:c>
      <x:c r="S116" s="2" t="str">
        <x:v>NR</x:v>
      </x:c>
      <x:c r="T116" s="6" t="str">
        <x:v>p. 4; Figure 4</x:v>
      </x:c>
      <x:c r="U116" s="6" t="str">
        <x:v>the substrings in the interview transcript excerpt from which the goals were generated. Respond in JSON using the</x:v>
      </x:c>
      <x:c r="V116" s="6" t="str">
        <x:v>明确的输出格式约束有利于自动化解析，并强制模型建立可解释的追溯。</x:v>
      </x:c>
      <x:c r="W116" s="2" t="str">
        <x:v>Accepted</x:v>
      </x:c>
      <x:c r="X116" s="6" t="str">
        <x:v>NA</x:v>
      </x:c>
    </x:row>
    <x:row r="117" ht="76" customHeight="1">
      <x:c r="A117" s="2" t="str">
        <x:v>S15-FEATURE-R06</x:v>
      </x:c>
      <x:c r="B117" s="2" t="str">
        <x:v>S15</x:v>
      </x:c>
      <x:c r="C117" s="2" t="str">
        <x:v>merged_1143</x:v>
      </x:c>
      <x:c r="D117" s="2" t="str">
        <x:v>Reviewer_A</x:v>
      </x:c>
      <x:c r="E117" s="2" t="str">
        <x:v>Reviewer_A</x:v>
      </x:c>
      <x:c r="F117" s="2" t="str">
        <x:v>S15-CF06</x:v>
      </x:c>
      <x:c r="G117" s="2" t="str">
        <x:v>S15-MU03</x:v>
      </x:c>
      <x:c r="H117" s="2" t="str">
        <x:v>S15-O03</x:v>
      </x:c>
      <x:c r="I117" s="2" t="str">
        <x:v>Prompting</x:v>
      </x:c>
      <x:c r="J117" s="2" t="str">
        <x:v>Prompt 3 (goal model generation)</x:v>
      </x:c>
      <x:c r="K117" s="2" t="str">
        <x:v>goal-model-prompt</x:v>
      </x:c>
      <x:c r="L117" s="6" t="str">
        <x:v>结合“计划-求解”和“程序辅助语言”策略，要求模型先规划再编写代码，包括定义隐含目标、生成精化边，并提供一次性示例调用。</x:v>
      </x:c>
      <x:c r="M117" s="2" t="str">
        <x:v>Yes</x:v>
      </x:c>
      <x:c r="N117" s="2" t="str">
        <x:v>Full prompt reported</x:v>
      </x:c>
      <x:c r="O117" s="2" t="n">
        <x:v>1</x:v>
      </x:c>
      <x:c r="P117" s="2" t="str">
        <x:v>No</x:v>
      </x:c>
      <x:c r="Q117" s="2" t="str">
        <x:v>No</x:v>
      </x:c>
      <x:c r="R117" s="2" t="str">
        <x:v>No</x:v>
      </x:c>
      <x:c r="S117" s="2" t="str">
        <x:v>NR</x:v>
      </x:c>
      <x:c r="T117" s="6" t="str">
        <x:v>p. 6; Figure 6</x:v>
      </x:c>
      <x:c r="U117" s="6" t="str">
        <x:v>Read the following Python code that describes an initial goal model and complete the code using the following function calls. Before completing the code, perform the following steps: 1) read all of the goals and describe what the software application is and does;</x:v>
      </x:c>
      <x:c r="V117" s="6" t="str">
        <x:v>提示中嵌入了详细的思维链步骤和一个函数调用示例，引导模型生成可编译执行的图结构代码。</x:v>
      </x:c>
      <x:c r="W117" s="2" t="str">
        <x:v>Accepted</x:v>
      </x:c>
      <x:c r="X117" s="6" t="str">
        <x:v>NR</x:v>
      </x:c>
    </x:row>
    <x:row r="118" ht="76" customHeight="1">
      <x:c r="A118" s="2" t="str">
        <x:v>S15-FEATURE-R07</x:v>
      </x:c>
      <x:c r="B118" s="2" t="str">
        <x:v>S15</x:v>
      </x:c>
      <x:c r="C118" s="2" t="str">
        <x:v>merged_1143</x:v>
      </x:c>
      <x:c r="D118" s="2" t="str">
        <x:v>Reviewer_A</x:v>
      </x:c>
      <x:c r="E118" s="2" t="str">
        <x:v>Reviewer_A</x:v>
      </x:c>
      <x:c r="F118" s="2" t="str">
        <x:v>S15-CF07</x:v>
      </x:c>
      <x:c r="G118" s="2" t="str">
        <x:v>S15-MU03</x:v>
      </x:c>
      <x:c r="H118" s="2" t="str">
        <x:v>S15-O03</x:v>
      </x:c>
      <x:c r="I118" s="2" t="str">
        <x:v>Output constraint</x:v>
      </x:c>
      <x:c r="J118" s="2" t="str">
        <x:v>code validation and re-generation</x:v>
      </x:c>
      <x:c r="K118" s="2" t="str">
        <x:v>code-validation</x:v>
      </x:c>
      <x:c r="L118" s="6" t="str">
        <x:v>对生成的Python代码进行编译和环检测，无效时重新生成。</x:v>
      </x:c>
      <x:c r="M118" s="2" t="str">
        <x:v>NA</x:v>
      </x:c>
      <x:c r="N118" s="2" t="str">
        <x:v>Not reported</x:v>
      </x:c>
      <x:c r="O118" s="2" t="str">
        <x:v>NA</x:v>
      </x:c>
      <x:c r="P118" s="2" t="str">
        <x:v>NR</x:v>
      </x:c>
      <x:c r="Q118" s="2" t="str">
        <x:v>NR</x:v>
      </x:c>
      <x:c r="R118" s="2" t="str">
        <x:v>No</x:v>
      </x:c>
      <x:c r="S118" s="2" t="str">
        <x:v>在代码编译失败或包含环时触发重新生成。</x:v>
      </x:c>
      <x:c r="T118" s="6" t="str">
        <x:v>p. 6; Section III-D</x:v>
      </x:c>
      <x:c r="U118" s="6" t="str">
        <x:v>During each generation, if a model does not compile or the model contains cycles, we re-generate that goal model.</x:v>
      </x:c>
      <x:c r="V118" s="6" t="str">
        <x:v>通过后处理验证强制输出满足有向无环图约束，提高模型可用性。</x:v>
      </x:c>
      <x:c r="W118" s="2" t="str">
        <x:v>Accepted</x:v>
      </x:c>
      <x:c r="X118" s="6" t="str">
        <x:v>NA</x:v>
      </x:c>
    </x:row>
    <x:row r="119" ht="76" customHeight="1">
      <x:c r="A119" s="2" t="str">
        <x:v>S16-FEATURE-R01</x:v>
      </x:c>
      <x:c r="B119" s="2" t="str">
        <x:v>S16</x:v>
      </x:c>
      <x:c r="C119" s="2" t="str">
        <x:v>merged_1144</x:v>
      </x:c>
      <x:c r="D119" s="2" t="str">
        <x:v>Reviewer_A</x:v>
      </x:c>
      <x:c r="E119" s="2" t="str">
        <x:v>Reviewer_A</x:v>
      </x:c>
      <x:c r="F119" s="2" t="str">
        <x:v>S16-CF01</x:v>
      </x:c>
      <x:c r="G119" s="2" t="str">
        <x:v>S16-MU01</x:v>
      </x:c>
      <x:c r="H119" s="2" t="str">
        <x:v>S16-O01</x:v>
      </x:c>
      <x:c r="I119" s="2" t="str">
        <x:v>Prompting</x:v>
      </x:c>
      <x:c r="J119" s="2" t="str">
        <x:v>structured prompt</x:v>
      </x:c>
      <x:c r="K119" s="2" t="str">
        <x:v>structured_prompt</x:v>
      </x:c>
      <x:c r="L119" s="6" t="str">
        <x:v>零样本提示，包含issue的summary和description，以及top-10 commits的ID和message，要求LLM输出按相关性降序排列的commit ID列表，指定输出格式。</x:v>
      </x:c>
      <x:c r="M119" s="2" t="str">
        <x:v>Yes</x:v>
      </x:c>
      <x:c r="N119" s="2" t="str">
        <x:v>Template reported</x:v>
      </x:c>
      <x:c r="O119" s="2" t="n">
        <x:v>0</x:v>
      </x:c>
      <x:c r="P119" s="2" t="str">
        <x:v>No</x:v>
      </x:c>
      <x:c r="Q119" s="2" t="str">
        <x:v>No</x:v>
      </x:c>
      <x:c r="R119" s="2" t="str">
        <x:v>No</x:v>
      </x:c>
      <x:c r="S119" s="2" t="str">
        <x:v>NR</x:v>
      </x:c>
      <x:c r="T119" s="6" t="str">
        <x:v>p. 6; Section 4.2 LLM-Assisted Reranking</x:v>
      </x:c>
      <x:c r="U119" s="6" t="str">
        <x:v>we adopt a zero-shot approach guided by prompts with ChatGPT (gpt-4o)</x:v>
      </x:c>
      <x:c r="V119" s="6" t="str">
        <x:v>使用了精心设计的零样本提示模板，包含issue文本和候选commit信息，并要求特定输出格式。</x:v>
      </x:c>
      <x:c r="W119" s="2" t="str">
        <x:v>Accepted</x:v>
      </x:c>
      <x:c r="X119" s="6" t="str">
        <x:v>The prompt template is shown in Figure 3.</x:v>
      </x:c>
    </x:row>
    <x:row r="120" ht="76" customHeight="1">
      <x:c r="A120" s="2" t="str">
        <x:v>S17-FEATURE-R01</x:v>
      </x:c>
      <x:c r="B120" s="2" t="str">
        <x:v>S17</x:v>
      </x:c>
      <x:c r="C120" s="2" t="str">
        <x:v>merged_1148-v1</x:v>
      </x:c>
      <x:c r="D120" s="2" t="str">
        <x:v>Reviewer_A</x:v>
      </x:c>
      <x:c r="E120" s="2" t="str">
        <x:v>Reviewer_A</x:v>
      </x:c>
      <x:c r="F120" s="2" t="str">
        <x:v>S17-CF01</x:v>
      </x:c>
      <x:c r="G120" s="2" t="str">
        <x:v>S17-MU01</x:v>
      </x:c>
      <x:c r="H120" s="2" t="str">
        <x:v>S17-O01</x:v>
      </x:c>
      <x:c r="I120" s="2" t="str">
        <x:v>Prompting</x:v>
      </x:c>
      <x:c r="J120" s="2" t="str">
        <x:v>Few-shot UCA Prompt Template</x:v>
      </x:c>
      <x:c r="K120" s="2" t="str">
        <x:v>UCA_Prompt_Template</x:v>
      </x:c>
      <x:c r="L120" s="6" t="str">
        <x:v>包含损失、危害、少样本示例和UCA描述的提示模板，指导LLM一次性生成多个带危害链接的UCA。</x:v>
      </x:c>
      <x:c r="M120" s="2" t="str">
        <x:v>Yes</x:v>
      </x:c>
      <x:c r="N120" s="2" t="str">
        <x:v>Template reported</x:v>
      </x:c>
      <x:c r="O120" s="2" t="str">
        <x:v>NR</x:v>
      </x:c>
      <x:c r="P120" s="2" t="str">
        <x:v>No</x:v>
      </x:c>
      <x:c r="Q120" s="2" t="str">
        <x:v>No</x:v>
      </x:c>
      <x:c r="R120" s="2" t="str">
        <x:v>No</x:v>
      </x:c>
      <x:c r="S120" s="2" t="str">
        <x:v>NA</x:v>
      </x:c>
      <x:c r="T120" s="6" t="str">
        <x:v>p. 7; Section V-A</x:v>
      </x:c>
      <x:c r="U120" s="6" t="str">
        <x:v>the prompt shown in Figure 9 was used to generate unsafe control actions.</x:v>
      </x:c>
      <x:c r="V120" s="6" t="str">
        <x:v>提示以模板形式给出，包含占位符和少样本示例，具体示例数量未明确说明。</x:v>
      </x:c>
      <x:c r="W120" s="2" t="str">
        <x:v>Accepted</x:v>
      </x:c>
      <x:c r="X120" s="6" t="str">
        <x:v>NA</x:v>
      </x:c>
    </x:row>
    <x:row r="121" ht="76" customHeight="1">
      <x:c r="A121" s="2" t="str">
        <x:v>S17-FEATURE-R02</x:v>
      </x:c>
      <x:c r="B121" s="2" t="str">
        <x:v>S17</x:v>
      </x:c>
      <x:c r="C121" s="2" t="str">
        <x:v>merged_1148-v1</x:v>
      </x:c>
      <x:c r="D121" s="2" t="str">
        <x:v>Reviewer_A</x:v>
      </x:c>
      <x:c r="E121" s="2" t="str">
        <x:v>Reviewer_A</x:v>
      </x:c>
      <x:c r="F121" s="2" t="str">
        <x:v>S17-CF02</x:v>
      </x:c>
      <x:c r="G121" s="2" t="str">
        <x:v>S17-MU01</x:v>
      </x:c>
      <x:c r="H121" s="2" t="str">
        <x:v>S17-O01</x:v>
      </x:c>
      <x:c r="I121" s="2" t="str">
        <x:v>Context construction</x:v>
      </x:c>
      <x:c r="J121" s="2" t="str">
        <x:v>Control Structure Diagram Image Input</x:v>
      </x:c>
      <x:c r="K121" s="2" t="str">
        <x:v>Image_Input</x:v>
      </x:c>
      <x:c r="L121" s="6" t="str">
        <x:v>将控制结构图作为图像输入传递给视觉模型，提供系统整体上下文。</x:v>
      </x:c>
      <x:c r="M121" s="2" t="str">
        <x:v>NA</x:v>
      </x:c>
      <x:c r="N121" s="2" t="str">
        <x:v>NA</x:v>
      </x:c>
      <x:c r="O121" s="2" t="str">
        <x:v>NA</x:v>
      </x:c>
      <x:c r="P121" s="2" t="str">
        <x:v>No</x:v>
      </x:c>
      <x:c r="Q121" s="2" t="str">
        <x:v>No</x:v>
      </x:c>
      <x:c r="R121" s="2" t="str">
        <x:v>No</x:v>
      </x:c>
      <x:c r="S121" s="2" t="str">
        <x:v>NA</x:v>
      </x:c>
      <x:c r="T121" s="6" t="str">
        <x:v>p. 4; Section IV-A</x:v>
      </x:c>
      <x:c r="U121" s="6" t="str">
        <x:v>we pass an image of the control structure diagram with our prompts</x:v>
      </x:c>
      <x:c r="V121" s="6" t="str">
        <x:v>图像输入为该模型的特有能力，用于提供系统拓扑信息。</x:v>
      </x:c>
      <x:c r="W121" s="2" t="str">
        <x:v>Accepted</x:v>
      </x:c>
      <x:c r="X121" s="6" t="str">
        <x:v>NA</x:v>
      </x:c>
    </x:row>
    <x:row r="122" ht="76" customHeight="1">
      <x:c r="A122" s="2" t="str">
        <x:v>S17-FEATURE-R03</x:v>
      </x:c>
      <x:c r="B122" s="2" t="str">
        <x:v>S17</x:v>
      </x:c>
      <x:c r="C122" s="2" t="str">
        <x:v>merged_1148-v1</x:v>
      </x:c>
      <x:c r="D122" s="2" t="str">
        <x:v>Reviewer_A</x:v>
      </x:c>
      <x:c r="E122" s="2" t="str">
        <x:v>Reviewer_A</x:v>
      </x:c>
      <x:c r="F122" s="2" t="str">
        <x:v>S17-CF03</x:v>
      </x:c>
      <x:c r="G122" s="2" t="str">
        <x:v>S17-MU02</x:v>
      </x:c>
      <x:c r="H122" s="2" t="str">
        <x:v>S17-O02</x:v>
      </x:c>
      <x:c r="I122" s="2" t="str">
        <x:v>Prompting</x:v>
      </x:c>
      <x:c r="J122" s="2" t="str">
        <x:v>Few-shot Loss Scenario Prompt Template</x:v>
      </x:c>
      <x:c r="K122" s="2" t="str">
        <x:v>LossScenario_Prompt_Template</x:v>
      </x:c>
      <x:c r="L122" s="6" t="str">
        <x:v>包含损失、危害、UCA、少样本示例和损失场景描述的提示模板，指导LLM生成带链接的损失场景。</x:v>
      </x:c>
      <x:c r="M122" s="2" t="str">
        <x:v>Yes</x:v>
      </x:c>
      <x:c r="N122" s="2" t="str">
        <x:v>Template reported</x:v>
      </x:c>
      <x:c r="O122" s="2" t="str">
        <x:v>NR</x:v>
      </x:c>
      <x:c r="P122" s="2" t="str">
        <x:v>No</x:v>
      </x:c>
      <x:c r="Q122" s="2" t="str">
        <x:v>No</x:v>
      </x:c>
      <x:c r="R122" s="2" t="str">
        <x:v>No</x:v>
      </x:c>
      <x:c r="S122" s="2" t="str">
        <x:v>NA</x:v>
      </x:c>
      <x:c r="T122" s="6" t="str">
        <x:v>p. 7; Section V-A</x:v>
      </x:c>
      <x:c r="U122" s="6" t="str">
        <x:v>we used the prompt shown in Figure 10 with the control structure diagram in Figure 2 as an image to generate 50 loss scenarios.</x:v>
      </x:c>
      <x:c r="V122" s="6" t="str">
        <x:v>提示模板结构清晰，但少样本数量未明确报告。</x:v>
      </x:c>
      <x:c r="W122" s="2" t="str">
        <x:v>Accepted</x:v>
      </x:c>
      <x:c r="X122" s="6" t="str">
        <x:v>NA</x:v>
      </x:c>
    </x:row>
    <x:row r="123" ht="76" customHeight="1">
      <x:c r="A123" s="2" t="str">
        <x:v>S17-FEATURE-R04</x:v>
      </x:c>
      <x:c r="B123" s="2" t="str">
        <x:v>S17</x:v>
      </x:c>
      <x:c r="C123" s="2" t="str">
        <x:v>merged_1148-v1</x:v>
      </x:c>
      <x:c r="D123" s="2" t="str">
        <x:v>Reviewer_A</x:v>
      </x:c>
      <x:c r="E123" s="2" t="str">
        <x:v>Reviewer_A</x:v>
      </x:c>
      <x:c r="F123" s="2" t="str">
        <x:v>S17-CF04</x:v>
      </x:c>
      <x:c r="G123" s="2" t="str">
        <x:v>S17-MU02</x:v>
      </x:c>
      <x:c r="H123" s="2" t="str">
        <x:v>S17-O02</x:v>
      </x:c>
      <x:c r="I123" s="2" t="str">
        <x:v>Context construction</x:v>
      </x:c>
      <x:c r="J123" s="2" t="str">
        <x:v>Control Structure Diagram Image Input</x:v>
      </x:c>
      <x:c r="K123" s="2" t="str">
        <x:v>Image_Input</x:v>
      </x:c>
      <x:c r="L123" s="6" t="str">
        <x:v>损失场景生成时同样将控制结构图作为图像输入。</x:v>
      </x:c>
      <x:c r="M123" s="2" t="str">
        <x:v>NA</x:v>
      </x:c>
      <x:c r="N123" s="2" t="str">
        <x:v>NA</x:v>
      </x:c>
      <x:c r="O123" s="2" t="str">
        <x:v>NA</x:v>
      </x:c>
      <x:c r="P123" s="2" t="str">
        <x:v>No</x:v>
      </x:c>
      <x:c r="Q123" s="2" t="str">
        <x:v>No</x:v>
      </x:c>
      <x:c r="R123" s="2" t="str">
        <x:v>No</x:v>
      </x:c>
      <x:c r="S123" s="2" t="str">
        <x:v>NA</x:v>
      </x:c>
      <x:c r="T123" s="6" t="str">
        <x:v>p. 4; Section IV-A</x:v>
      </x:c>
      <x:c r="U123" s="6" t="str">
        <x:v>we pass an image of the control structure diagram with our prompts</x:v>
      </x:c>
      <x:c r="V123" s="6" t="str">
        <x:v>与UCA生成共享相同的图像上下文机制。</x:v>
      </x:c>
      <x:c r="W123" s="2" t="str">
        <x:v>Accepted</x:v>
      </x:c>
      <x:c r="X123" s="6" t="str">
        <x:v>NA</x:v>
      </x:c>
    </x:row>
    <x:row r="124" ht="76" customHeight="1">
      <x:c r="A124" s="2" t="str">
        <x:v>S17-FEATURE-R05</x:v>
      </x:c>
      <x:c r="B124" s="2" t="str">
        <x:v>S17</x:v>
      </x:c>
      <x:c r="C124" s="2" t="str">
        <x:v>merged_1148-v1</x:v>
      </x:c>
      <x:c r="D124" s="2" t="str">
        <x:v>Reviewer_A</x:v>
      </x:c>
      <x:c r="E124" s="2" t="str">
        <x:v>Reviewer_A</x:v>
      </x:c>
      <x:c r="F124" s="2" t="str">
        <x:v>S17-CF05</x:v>
      </x:c>
      <x:c r="G124" s="2" t="str">
        <x:v>S17-MU03</x:v>
      </x:c>
      <x:c r="H124" s="2" t="str">
        <x:v>S17-O03</x:v>
      </x:c>
      <x:c r="I124" s="2" t="str">
        <x:v>Prompting</x:v>
      </x:c>
      <x:c r="J124" s="2" t="str">
        <x:v>Link Recommendation Prompt</x:v>
      </x:c>
      <x:c r="K124" s="2" t="str">
        <x:v>Link_Recommendation_Prompt</x:v>
      </x:c>
      <x:c r="L124" s="6" t="str">
        <x:v>对每一对危害-损失，LLM被提示判断是否应推荐建立链接，具体提示未公开。</x:v>
      </x:c>
      <x:c r="M124" s="2" t="str">
        <x:v>No</x:v>
      </x:c>
      <x:c r="N124" s="2" t="str">
        <x:v>Not reported</x:v>
      </x:c>
      <x:c r="O124" s="2" t="str">
        <x:v>NR</x:v>
      </x:c>
      <x:c r="P124" s="2" t="str">
        <x:v>No</x:v>
      </x:c>
      <x:c r="Q124" s="2" t="str">
        <x:v>No</x:v>
      </x:c>
      <x:c r="R124" s="2" t="str">
        <x:v>No</x:v>
      </x:c>
      <x:c r="S124" s="2" t="str">
        <x:v>NA</x:v>
      </x:c>
      <x:c r="T124" s="6" t="str">
        <x:v>p. 6; Section IV-B</x:v>
      </x:c>
      <x:c r="U124" s="6" t="str">
        <x:v>we prompt an LLM to check if the two should be recommended for linkages.</x:v>
      </x:c>
      <x:c r="V124" s="6" t="str">
        <x:v>提示内容未在论文中给出，细节未知。</x:v>
      </x:c>
      <x:c r="W124" s="2" t="str">
        <x:v>Accepted</x:v>
      </x:c>
      <x:c r="X124" s="6" t="str">
        <x:v>NA</x:v>
      </x:c>
    </x:row>
    <x:row r="125" ht="76" customHeight="1">
      <x:c r="A125" s="2" t="str">
        <x:v>S18-FEATURE-R01</x:v>
      </x:c>
      <x:c r="B125" s="2" t="str">
        <x:v>S18</x:v>
      </x:c>
      <x:c r="C125" s="2" t="str">
        <x:v>merged_1149</x:v>
      </x:c>
      <x:c r="D125" s="2" t="str">
        <x:v>Reviewer_A</x:v>
      </x:c>
      <x:c r="E125" s="2" t="str">
        <x:v>Reviewer_A</x:v>
      </x:c>
      <x:c r="F125" s="2" t="str">
        <x:v>S18-CF01</x:v>
      </x:c>
      <x:c r="G125" s="2" t="str">
        <x:v>S18-MU01</x:v>
      </x:c>
      <x:c r="H125" s="2" t="str">
        <x:v>S18-O01</x:v>
      </x:c>
      <x:c r="I125" s="2" t="str">
        <x:v>Prompting</x:v>
      </x:c>
      <x:c r="J125" s="2" t="str">
        <x:v>Rice LRT prompt</x:v>
      </x:c>
      <x:c r="K125" s="2" t="str">
        <x:v>rice-based-prompt</x:v>
      </x:c>
      <x:c r="L125" s="6" t="str">
        <x:v>基于Rice框架（Role, Instruction, Context, Constraints, Examples）设计的少样本提示模板，包含5个示例、上下文、指令和输出格式。</x:v>
      </x:c>
      <x:c r="M125" s="2" t="str">
        <x:v>Yes</x:v>
      </x:c>
      <x:c r="N125" s="2" t="str">
        <x:v>Full prompt reported</x:v>
      </x:c>
      <x:c r="O125" s="2" t="n">
        <x:v>5</x:v>
      </x:c>
      <x:c r="P125" s="2" t="str">
        <x:v>No</x:v>
      </x:c>
      <x:c r="Q125" s="2" t="str">
        <x:v>No</x:v>
      </x:c>
      <x:c r="R125" s="2" t="str">
        <x:v>No</x:v>
      </x:c>
      <x:c r="S125" s="2" t="str">
        <x:v>NA</x:v>
      </x:c>
      <x:c r="T125" s="6" t="str">
        <x:v>p. 7; Section 3.3 Step 1</x:v>
      </x:c>
      <x:c r="U125" s="6" t="str">
        <x:v>To design the prompt, we followed the Rice (Role, Instruction, Context, Constraints, Examples) framework, with some small adaptations to the LRT task, as we discuss below. The prompt is structured in</x:v>
      </x:c>
      <x:c r="V125" s="6" t="str">
        <x:v>Rice LRT提示模板遵循Rice框架设计，包含角色（已省略）、上下文、示例、指令和输出指示，属于提示工程。</x:v>
      </x:c>
      <x:c r="W125" s="2" t="str">
        <x:v>Accepted</x:v>
      </x:c>
      <x:c r="X125" s="6" t="str">
        <x:v>Few-shot count is based on the paper's statement: 'we built five examples'.</x:v>
      </x:c>
    </x:row>
    <x:row r="126" ht="76" customHeight="1">
      <x:c r="A126" s="2" t="str">
        <x:v>S19-FEATURE-R01</x:v>
      </x:c>
      <x:c r="B126" s="2" t="str">
        <x:v>S19</x:v>
      </x:c>
      <x:c r="C126" s="2" t="str">
        <x:v>merged_1150</x:v>
      </x:c>
      <x:c r="D126" s="2" t="str">
        <x:v>Reviewer_A</x:v>
      </x:c>
      <x:c r="E126" s="2" t="str">
        <x:v>Reviewer_A</x:v>
      </x:c>
      <x:c r="F126" s="2" t="str">
        <x:v>S19-CF01</x:v>
      </x:c>
      <x:c r="G126" s="2" t="str">
        <x:v>S19-MU01</x:v>
      </x:c>
      <x:c r="H126" s="2" t="str">
        <x:v>S19-O01</x:v>
      </x:c>
      <x:c r="I126" s="2" t="str">
        <x:v>Prompting</x:v>
      </x:c>
      <x:c r="J126" s="2" t="str">
        <x:v>prompt</x:v>
      </x:c>
      <x:c r="K126" s="2" t="str">
        <x:v>custom_prompt</x:v>
      </x:c>
      <x:c r="L126" s="6" t="str">
        <x:v>基于Rodriguez等人的自动化追踪经验定制的提示，包含详细追踪指令</x:v>
      </x:c>
      <x:c r="M126" s="2" t="str">
        <x:v>No</x:v>
      </x:c>
      <x:c r="N126" s="2" t="str">
        <x:v>Not reported</x:v>
      </x:c>
      <x:c r="O126" s="2" t="str">
        <x:v>NR</x:v>
      </x:c>
      <x:c r="P126" s="2" t="str">
        <x:v>No</x:v>
      </x:c>
      <x:c r="Q126" s="2" t="str">
        <x:v>No</x:v>
      </x:c>
      <x:c r="R126" s="2" t="str">
        <x:v>No</x:v>
      </x:c>
      <x:c r="S126" s="2" t="str">
        <x:v>NR</x:v>
      </x:c>
      <x:c r="T126" s="6" t="str">
        <x:v>p. 3; Section III.C</x:v>
      </x:c>
      <x:c r="U126" s="6" t="str">
        <x:v>We crafted a prompt by following the experience with automated traceability prompts reported by Rodriguez et al. [4].</x:v>
      </x:c>
      <x:c r="V126" s="6" t="str">
        <x:v>使用了定制的提示模板来引导LLM输出结构化追踪结果，但提示内容未在论文中提供</x:v>
      </x:c>
      <x:c r="W126" s="2" t="str">
        <x:v>Accepted</x:v>
      </x:c>
      <x:c r="X126" s="6" t="str">
        <x:v>NR</x:v>
      </x:c>
    </x:row>
    <x:row r="127" ht="76" customHeight="1">
      <x:c r="A127" s="2" t="str">
        <x:v>S19-FEATURE-R02</x:v>
      </x:c>
      <x:c r="B127" s="2" t="str">
        <x:v>S19</x:v>
      </x:c>
      <x:c r="C127" s="2" t="str">
        <x:v>merged_1150</x:v>
      </x:c>
      <x:c r="D127" s="2" t="str">
        <x:v>Reviewer_A</x:v>
      </x:c>
      <x:c r="E127" s="2" t="str">
        <x:v>Reviewer_A</x:v>
      </x:c>
      <x:c r="F127" s="2" t="str">
        <x:v>S19-CF02</x:v>
      </x:c>
      <x:c r="G127" s="2" t="str">
        <x:v>S19-MU01</x:v>
      </x:c>
      <x:c r="H127" s="2" t="str">
        <x:v>S19-O01</x:v>
      </x:c>
      <x:c r="I127" s="2" t="str">
        <x:v>Output constraint</x:v>
      </x:c>
      <x:c r="J127" s="2" t="str">
        <x:v>temperature to zero</x:v>
      </x:c>
      <x:c r="K127" s="2" t="str">
        <x:v>temp_zero</x:v>
      </x:c>
      <x:c r="L127" s="6" t="str">
        <x:v>将LLM温度参数设为0以消除随机性</x:v>
      </x:c>
      <x:c r="M127" s="2" t="str">
        <x:v>NA</x:v>
      </x:c>
      <x:c r="N127" s="2" t="str">
        <x:v>NA</x:v>
      </x:c>
      <x:c r="O127" s="2" t="str">
        <x:v>NA</x:v>
      </x:c>
      <x:c r="P127" s="2" t="str">
        <x:v>NA</x:v>
      </x:c>
      <x:c r="Q127" s="2" t="str">
        <x:v>NA</x:v>
      </x:c>
      <x:c r="R127" s="2" t="str">
        <x:v>NA</x:v>
      </x:c>
      <x:c r="S127" s="2" t="str">
        <x:v>NA</x:v>
      </x:c>
      <x:c r="T127" s="6" t="str">
        <x:v>p. 3; Section III.C</x:v>
      </x:c>
      <x:c r="U127" s="6" t="str">
        <x:v>To control any non-deterministic behavior by the LLMs, we set the temperature to zero [13].</x:v>
      </x:c>
      <x:c r="V127" s="6" t="str">
        <x:v>通过温度约束保证输出确定性，便于重复实验</x:v>
      </x:c>
      <x:c r="W127" s="2" t="str">
        <x:v>Accepted</x:v>
      </x:c>
      <x:c r="X127" s="6" t="str">
        <x:v>NR</x:v>
      </x:c>
    </x:row>
    <x:row r="128" ht="76" customHeight="1">
      <x:c r="A128" s="2" t="str">
        <x:v>S19-FEATURE-R03</x:v>
      </x:c>
      <x:c r="B128" s="2" t="str">
        <x:v>S19</x:v>
      </x:c>
      <x:c r="C128" s="2" t="str">
        <x:v>merged_1150</x:v>
      </x:c>
      <x:c r="D128" s="2" t="str">
        <x:v>Reviewer_A</x:v>
      </x:c>
      <x:c r="E128" s="2" t="str">
        <x:v>Reviewer_A</x:v>
      </x:c>
      <x:c r="F128" s="2" t="str">
        <x:v>S19-CF03</x:v>
      </x:c>
      <x:c r="G128" s="2" t="str">
        <x:v>S19-MU01</x:v>
      </x:c>
      <x:c r="H128" s="2" t="str">
        <x:v>S19-O01</x:v>
      </x:c>
      <x:c r="I128" s="2" t="str">
        <x:v>Calling and orchestration</x:v>
      </x:c>
      <x:c r="J128" s="2" t="str">
        <x:v>majority voting</x:v>
      </x:c>
      <x:c r="K128" s="2" t="str">
        <x:v>majority_voting</x:v>
      </x:c>
      <x:c r="L128" s="6" t="str">
        <x:v>每次提示独立执行5次，取多数投票结果为最终答案</x:v>
      </x:c>
      <x:c r="M128" s="2" t="str">
        <x:v>NA</x:v>
      </x:c>
      <x:c r="N128" s="2" t="str">
        <x:v>NA</x:v>
      </x:c>
      <x:c r="O128" s="2" t="str">
        <x:v>NA</x:v>
      </x:c>
      <x:c r="P128" s="2" t="str">
        <x:v>NA</x:v>
      </x:c>
      <x:c r="Q128" s="2" t="str">
        <x:v>NA</x:v>
      </x:c>
      <x:c r="R128" s="2" t="str">
        <x:v>NA</x:v>
      </x:c>
      <x:c r="S128" s="2" t="str">
        <x:v>5 runs with majority voting</x:v>
      </x:c>
      <x:c r="T128" s="6" t="str">
        <x:v>p. 3; Section III.C</x:v>
      </x:c>
      <x:c r="U128" s="6" t="str">
        <x:v>We executed each prompt five times and used majority voting to determine the final answer.</x:v>
      </x:c>
      <x:c r="V128" s="6" t="str">
        <x:v>用多数投票聚合多次调用结果，提高稳定性</x:v>
      </x:c>
      <x:c r="W128" s="2" t="str">
        <x:v>Accepted</x:v>
      </x:c>
      <x:c r="X128" s="6" t="str">
        <x:v>NR</x:v>
      </x:c>
    </x:row>
    <x:row r="129" ht="76" customHeight="1">
      <x:c r="A129" s="2" t="str">
        <x:v>S19-FEATURE-R04</x:v>
      </x:c>
      <x:c r="B129" s="2" t="str">
        <x:v>S19</x:v>
      </x:c>
      <x:c r="C129" s="2" t="str">
        <x:v>merged_1150</x:v>
      </x:c>
      <x:c r="D129" s="2" t="str">
        <x:v>Reviewer_A</x:v>
      </x:c>
      <x:c r="E129" s="2" t="str">
        <x:v>Reviewer_A</x:v>
      </x:c>
      <x:c r="F129" s="2" t="str">
        <x:v>S19-CF04</x:v>
      </x:c>
      <x:c r="G129" s="2" t="str">
        <x:v>S19-MU02</x:v>
      </x:c>
      <x:c r="H129" s="2" t="str">
        <x:v>S19-O01</x:v>
      </x:c>
      <x:c r="I129" s="2" t="str">
        <x:v>Prompting</x:v>
      </x:c>
      <x:c r="J129" s="2" t="str">
        <x:v>prompt</x:v>
      </x:c>
      <x:c r="K129" s="2" t="str">
        <x:v>custom_prompt</x:v>
      </x:c>
      <x:c r="L129" s="6" t="str">
        <x:v>基于Rodriguez等人的自动化追踪经验定制的提示，包含详细追踪指令</x:v>
      </x:c>
      <x:c r="M129" s="2" t="str">
        <x:v>No</x:v>
      </x:c>
      <x:c r="N129" s="2" t="str">
        <x:v>Not reported</x:v>
      </x:c>
      <x:c r="O129" s="2" t="str">
        <x:v>NR</x:v>
      </x:c>
      <x:c r="P129" s="2" t="str">
        <x:v>No</x:v>
      </x:c>
      <x:c r="Q129" s="2" t="str">
        <x:v>No</x:v>
      </x:c>
      <x:c r="R129" s="2" t="str">
        <x:v>No</x:v>
      </x:c>
      <x:c r="S129" s="2" t="str">
        <x:v>NR</x:v>
      </x:c>
      <x:c r="T129" s="6" t="str">
        <x:v>p. 3; Section III.C</x:v>
      </x:c>
      <x:c r="U129" s="6" t="str">
        <x:v>We crafted a prompt by following the experience with automated traceability prompts reported by Rodriguez et al. [4].</x:v>
      </x:c>
      <x:c r="V129" s="6" t="str">
        <x:v>使用了定制的提示模板来引导LLM输出结构化追踪结果，但提示内容未在论文中提供</x:v>
      </x:c>
      <x:c r="W129" s="2" t="str">
        <x:v>Accepted</x:v>
      </x:c>
      <x:c r="X129" s="6" t="str">
        <x:v>NR</x:v>
      </x:c>
    </x:row>
    <x:row r="130" ht="76" customHeight="1">
      <x:c r="A130" s="2" t="str">
        <x:v>S19-FEATURE-R05</x:v>
      </x:c>
      <x:c r="B130" s="2" t="str">
        <x:v>S19</x:v>
      </x:c>
      <x:c r="C130" s="2" t="str">
        <x:v>merged_1150</x:v>
      </x:c>
      <x:c r="D130" s="2" t="str">
        <x:v>Reviewer_A</x:v>
      </x:c>
      <x:c r="E130" s="2" t="str">
        <x:v>Reviewer_A</x:v>
      </x:c>
      <x:c r="F130" s="2" t="str">
        <x:v>S19-CF05</x:v>
      </x:c>
      <x:c r="G130" s="2" t="str">
        <x:v>S19-MU02</x:v>
      </x:c>
      <x:c r="H130" s="2" t="str">
        <x:v>S19-O01</x:v>
      </x:c>
      <x:c r="I130" s="2" t="str">
        <x:v>Output constraint</x:v>
      </x:c>
      <x:c r="J130" s="2" t="str">
        <x:v>temperature to zero</x:v>
      </x:c>
      <x:c r="K130" s="2" t="str">
        <x:v>temp_zero</x:v>
      </x:c>
      <x:c r="L130" s="6" t="str">
        <x:v>将LLM温度参数设为0以消除随机性</x:v>
      </x:c>
      <x:c r="M130" s="2" t="str">
        <x:v>NA</x:v>
      </x:c>
      <x:c r="N130" s="2" t="str">
        <x:v>NA</x:v>
      </x:c>
      <x:c r="O130" s="2" t="str">
        <x:v>NA</x:v>
      </x:c>
      <x:c r="P130" s="2" t="str">
        <x:v>NA</x:v>
      </x:c>
      <x:c r="Q130" s="2" t="str">
        <x:v>NA</x:v>
      </x:c>
      <x:c r="R130" s="2" t="str">
        <x:v>NA</x:v>
      </x:c>
      <x:c r="S130" s="2" t="str">
        <x:v>NA</x:v>
      </x:c>
      <x:c r="T130" s="6" t="str">
        <x:v>p. 3; Section III.C</x:v>
      </x:c>
      <x:c r="U130" s="6" t="str">
        <x:v>To control any non-deterministic behavior by the LLMs, we set the temperature to zero [13].</x:v>
      </x:c>
      <x:c r="V130" s="6" t="str">
        <x:v>通过温度约束保证输出确定性，便于重复实验</x:v>
      </x:c>
      <x:c r="W130" s="2" t="str">
        <x:v>Accepted</x:v>
      </x:c>
      <x:c r="X130" s="6" t="str">
        <x:v>NR</x:v>
      </x:c>
    </x:row>
    <x:row r="131" ht="76" customHeight="1">
      <x:c r="A131" s="2" t="str">
        <x:v>S19-FEATURE-R06</x:v>
      </x:c>
      <x:c r="B131" s="2" t="str">
        <x:v>S19</x:v>
      </x:c>
      <x:c r="C131" s="2" t="str">
        <x:v>merged_1150</x:v>
      </x:c>
      <x:c r="D131" s="2" t="str">
        <x:v>Reviewer_A</x:v>
      </x:c>
      <x:c r="E131" s="2" t="str">
        <x:v>Reviewer_A</x:v>
      </x:c>
      <x:c r="F131" s="2" t="str">
        <x:v>S19-CF06</x:v>
      </x:c>
      <x:c r="G131" s="2" t="str">
        <x:v>S19-MU02</x:v>
      </x:c>
      <x:c r="H131" s="2" t="str">
        <x:v>S19-O01</x:v>
      </x:c>
      <x:c r="I131" s="2" t="str">
        <x:v>Calling and orchestration</x:v>
      </x:c>
      <x:c r="J131" s="2" t="str">
        <x:v>majority voting</x:v>
      </x:c>
      <x:c r="K131" s="2" t="str">
        <x:v>majority_voting</x:v>
      </x:c>
      <x:c r="L131" s="6" t="str">
        <x:v>每次提示独立执行5次，取多数投票结果为最终答案</x:v>
      </x:c>
      <x:c r="M131" s="2" t="str">
        <x:v>NA</x:v>
      </x:c>
      <x:c r="N131" s="2" t="str">
        <x:v>NA</x:v>
      </x:c>
      <x:c r="O131" s="2" t="str">
        <x:v>NA</x:v>
      </x:c>
      <x:c r="P131" s="2" t="str">
        <x:v>NA</x:v>
      </x:c>
      <x:c r="Q131" s="2" t="str">
        <x:v>NA</x:v>
      </x:c>
      <x:c r="R131" s="2" t="str">
        <x:v>NA</x:v>
      </x:c>
      <x:c r="S131" s="2" t="str">
        <x:v>5 runs with majority voting</x:v>
      </x:c>
      <x:c r="T131" s="6" t="str">
        <x:v>p. 3; Section III.C</x:v>
      </x:c>
      <x:c r="U131" s="6" t="str">
        <x:v>We executed each prompt five times and used majority voting to determine the final answer.</x:v>
      </x:c>
      <x:c r="V131" s="6" t="str">
        <x:v>用多数投票聚合多次调用结果，提高稳定性</x:v>
      </x:c>
      <x:c r="W131" s="2" t="str">
        <x:v>Accepted</x:v>
      </x:c>
      <x:c r="X131" s="6" t="str">
        <x:v>NR</x:v>
      </x:c>
    </x:row>
    <x:row r="132" ht="76" customHeight="1">
      <x:c r="A132" s="2" t="str">
        <x:v>S20-FEATURE-R01</x:v>
      </x:c>
      <x:c r="B132" s="2" t="str">
        <x:v>S20</x:v>
      </x:c>
      <x:c r="C132" s="2" t="str">
        <x:v>merged_1151-v1</x:v>
      </x:c>
      <x:c r="D132" s="2" t="str">
        <x:v>Reviewer_A</x:v>
      </x:c>
      <x:c r="E132" s="2" t="str">
        <x:v>Reviewer_A</x:v>
      </x:c>
      <x:c r="F132" s="2" t="str">
        <x:v>S20-CF01</x:v>
      </x:c>
      <x:c r="G132" s="2" t="str">
        <x:v>S20-MU07</x:v>
      </x:c>
      <x:c r="H132" s="2" t="str">
        <x:v>S20-O01</x:v>
      </x:c>
      <x:c r="I132" s="2" t="str">
        <x:v>Prompting</x:v>
      </x:c>
      <x:c r="J132" s="2" t="str">
        <x:v>Entity Extraction Prompt</x:v>
      </x:c>
      <x:c r="K132" s="2" t="str">
        <x:v>entity_extraction_few_shot</x:v>
      </x:c>
      <x:c r="L132" s="6" t="str">
        <x:v>使用领域特定的少样本提示，从文本块中提取实体和关系。提示包含预定义的实体类型和示例，并通过迭代轮次进行补全。</x:v>
      </x:c>
      <x:c r="M132" s="2" t="str">
        <x:v>Yes</x:v>
      </x:c>
      <x:c r="N132" s="2" t="str">
        <x:v>Template reported</x:v>
      </x:c>
      <x:c r="O132" s="2" t="str">
        <x:v>NR</x:v>
      </x:c>
      <x:c r="P132" s="2" t="str">
        <x:v>No</x:v>
      </x:c>
      <x:c r="Q132" s="2" t="str">
        <x:v>No</x:v>
      </x:c>
      <x:c r="R132" s="2" t="str">
        <x:v>No</x:v>
      </x:c>
      <x:c r="S132" s="2" t="str">
        <x:v>iterative gleanings</x:v>
      </x:c>
      <x:c r="T132" s="6" t="str">
        <x:v>p. 11; Section 4.3.1</x:v>
      </x:c>
      <x:c r="U132" s="6" t="str">
        <x:v>This is accomplished using domain-specific prompts tailored for the LLM to recognize relevant elements within the text. To ensure comprehensive extraction, especially for larger chunk sizes, iterative rounds of extraction (gleanings) are performed.</x:v>
      </x:c>
      <x:c r="V132" s="6" t="str">
        <x:v>提示工程用于指导LLM提取实体，模板已在论文中展示结构。</x:v>
      </x:c>
      <x:c r="W132" s="2" t="str">
        <x:v>Accepted</x:v>
      </x:c>
      <x:c r="X132" s="6" t="str">
        <x:v>相同提示用于GPT-4o-mini。</x:v>
      </x:c>
    </x:row>
    <x:row r="133" ht="76" customHeight="1">
      <x:c r="A133" s="2" t="str">
        <x:v>S20-FEATURE-R02</x:v>
      </x:c>
      <x:c r="B133" s="2" t="str">
        <x:v>S20</x:v>
      </x:c>
      <x:c r="C133" s="2" t="str">
        <x:v>merged_1151-v1</x:v>
      </x:c>
      <x:c r="D133" s="2" t="str">
        <x:v>Reviewer_A</x:v>
      </x:c>
      <x:c r="E133" s="2" t="str">
        <x:v>Reviewer_A</x:v>
      </x:c>
      <x:c r="F133" s="2" t="str">
        <x:v>S20-CF02</x:v>
      </x:c>
      <x:c r="G133" s="2" t="str">
        <x:v>S20-MU07</x:v>
      </x:c>
      <x:c r="H133" s="2" t="str">
        <x:v>S20-O03</x:v>
      </x:c>
      <x:c r="I133" s="2" t="str">
        <x:v>Prompting</x:v>
      </x:c>
      <x:c r="J133" s="2" t="str">
        <x:v>Community Summarization Prompt</x:v>
      </x:c>
      <x:c r="K133" s="2" t="str">
        <x:v>community_summarization_template</x:v>
      </x:c>
      <x:c r="L133" s="6" t="str">
        <x:v>为每个社区生成结构化报告，包括标题、摘要、影响评分和详细发现。</x:v>
      </x:c>
      <x:c r="M133" s="2" t="str">
        <x:v>Yes</x:v>
      </x:c>
      <x:c r="N133" s="2" t="str">
        <x:v>Template reported</x:v>
      </x:c>
      <x:c r="O133" s="2" t="str">
        <x:v>NA</x:v>
      </x:c>
      <x:c r="P133" s="2" t="str">
        <x:v>No</x:v>
      </x:c>
      <x:c r="Q133" s="2" t="str">
        <x:v>No</x:v>
      </x:c>
      <x:c r="R133" s="2" t="str">
        <x:v>No</x:v>
      </x:c>
      <x:c r="S133" s="2" t="str">
        <x:v>NA</x:v>
      </x:c>
      <x:c r="T133" s="6" t="str">
        <x:v>p. 13; Section 4.3.3</x:v>
      </x:c>
      <x:c r="U133" s="6" t="str">
        <x:v>This section is also LLM-based and requires a carefully designed prompt to guide the model. The prompt, illustrated in Figure 5, facilitates the generation of a comprehensive report summarizing a software requirements community.</x:v>
      </x:c>
      <x:c r="V133" s="6" t="str">
        <x:v>提示模板用于社区摘要，结构在论文中概述。</x:v>
      </x:c>
      <x:c r="W133" s="2" t="str">
        <x:v>Accepted</x:v>
      </x:c>
      <x:c r="X133" s="6" t="str">
        <x:v>相同提示用于GPT-4o-mini。</x:v>
      </x:c>
    </x:row>
    <x:row r="134" ht="76" customHeight="1">
      <x:c r="A134" s="2" t="str">
        <x:v>S20-FEATURE-R03</x:v>
      </x:c>
      <x:c r="B134" s="2" t="str">
        <x:v>S20</x:v>
      </x:c>
      <x:c r="C134" s="2" t="str">
        <x:v>merged_1151-v1</x:v>
      </x:c>
      <x:c r="D134" s="2" t="str">
        <x:v>Reviewer_A</x:v>
      </x:c>
      <x:c r="E134" s="2" t="str">
        <x:v>Reviewer_A</x:v>
      </x:c>
      <x:c r="F134" s="2" t="str">
        <x:v>S20-CF03</x:v>
      </x:c>
      <x:c r="G134" s="2" t="str">
        <x:v>S20-MU07</x:v>
      </x:c>
      <x:c r="H134" s="2" t="str">
        <x:v>S20-O04</x:v>
      </x:c>
      <x:c r="I134" s="2" t="str">
        <x:v>Prompting</x:v>
      </x:c>
      <x:c r="J134" s="2" t="str">
        <x:v>Input/Output Prompting</x:v>
      </x:c>
      <x:c r="K134" s="2" t="str">
        <x:v>io_prompting</x:v>
      </x:c>
      <x:c r="L134" s="6" t="str">
        <x:v>最简单的提示方法，直接评估需求是否与参考文本一致，输出Conforms或Violates及简要解释。</x:v>
      </x:c>
      <x:c r="M134" s="2" t="str">
        <x:v>Yes</x:v>
      </x:c>
      <x:c r="N134" s="2" t="str">
        <x:v>Full prompt reported</x:v>
      </x:c>
      <x:c r="O134" s="2" t="str">
        <x:v>NA</x:v>
      </x:c>
      <x:c r="P134" s="2" t="str">
        <x:v>No</x:v>
      </x:c>
      <x:c r="Q134" s="2" t="str">
        <x:v>No</x:v>
      </x:c>
      <x:c r="R134" s="2" t="str">
        <x:v>No</x:v>
      </x:c>
      <x:c r="S134" s="2" t="str">
        <x:v>NA</x:v>
      </x:c>
      <x:c r="T134" s="6" t="str">
        <x:v>p. 15; Section 4.5</x:v>
      </x:c>
      <x:c r="U134" s="6" t="str">
        <x:v>The simplest approach, IO prompting, involves assessing whether a requirement aligns with its reference text by determining if it is fully addressed and identifying any inconsistencies or violations.</x:v>
      </x:c>
      <x:c r="V134" s="6" t="str">
        <x:v>IO提示完整呈现在附录中。</x:v>
      </x:c>
      <x:c r="W134" s="2" t="str">
        <x:v>Accepted</x:v>
      </x:c>
      <x:c r="X134" s="6" t="str">
        <x:v>相同提示用于GPT-4o-mini。</x:v>
      </x:c>
    </x:row>
    <x:row r="135" ht="76" customHeight="1">
      <x:c r="A135" s="2" t="str">
        <x:v>S20-FEATURE-R04</x:v>
      </x:c>
      <x:c r="B135" s="2" t="str">
        <x:v>S20</x:v>
      </x:c>
      <x:c r="C135" s="2" t="str">
        <x:v>merged_1151-v1</x:v>
      </x:c>
      <x:c r="D135" s="2" t="str">
        <x:v>Reviewer_A</x:v>
      </x:c>
      <x:c r="E135" s="2" t="str">
        <x:v>Reviewer_A</x:v>
      </x:c>
      <x:c r="F135" s="2" t="str">
        <x:v>S20-CF04</x:v>
      </x:c>
      <x:c r="G135" s="2" t="str">
        <x:v>S20-MU07</x:v>
      </x:c>
      <x:c r="H135" s="2" t="str">
        <x:v>S20-O04</x:v>
      </x:c>
      <x:c r="I135" s="2" t="str">
        <x:v>Prompting</x:v>
      </x:c>
      <x:c r="J135" s="2" t="str">
        <x:v>Chain-of-Thought Prompting</x:v>
      </x:c>
      <x:c r="K135" s="2" t="str">
        <x:v>cot_prompting</x:v>
      </x:c>
      <x:c r="L135" s="6" t="str">
        <x:v>将评估分解为多步逻辑分析：首先将需求和参考文本分解为Purpose/Action/Conditions，然后逐步比较。</x:v>
      </x:c>
      <x:c r="M135" s="2" t="str">
        <x:v>Yes</x:v>
      </x:c>
      <x:c r="N135" s="2" t="str">
        <x:v>Template reported</x:v>
      </x:c>
      <x:c r="O135" s="2" t="str">
        <x:v>NA</x:v>
      </x:c>
      <x:c r="P135" s="2" t="str">
        <x:v>No</x:v>
      </x:c>
      <x:c r="Q135" s="2" t="str">
        <x:v>No</x:v>
      </x:c>
      <x:c r="R135" s="2" t="str">
        <x:v>No</x:v>
      </x:c>
      <x:c r="S135" s="2" t="str">
        <x:v>NA</x:v>
      </x:c>
      <x:c r="T135" s="6" t="str">
        <x:v>p. 15; Section 4.5</x:v>
      </x:c>
      <x:c r="U135" s="6" t="str">
        <x:v>CoT prompting leverages a structured, multi-step process to evaluate the alignment between a requirement and its reference text.</x:v>
      </x:c>
      <x:c r="V135" s="6" t="str">
        <x:v>CoT提示模板在附录中给出。</x:v>
      </x:c>
      <x:c r="W135" s="2" t="str">
        <x:v>Accepted</x:v>
      </x:c>
      <x:c r="X135" s="6" t="str">
        <x:v>相同提示用于GPT-4o-mini。</x:v>
      </x:c>
    </x:row>
    <x:row r="136" ht="76" customHeight="1">
      <x:c r="A136" s="2" t="str">
        <x:v>S20-FEATURE-R05</x:v>
      </x:c>
      <x:c r="B136" s="2" t="str">
        <x:v>S20</x:v>
      </x:c>
      <x:c r="C136" s="2" t="str">
        <x:v>merged_1151-v1</x:v>
      </x:c>
      <x:c r="D136" s="2" t="str">
        <x:v>Reviewer_A</x:v>
      </x:c>
      <x:c r="E136" s="2" t="str">
        <x:v>Reviewer_A</x:v>
      </x:c>
      <x:c r="F136" s="2" t="str">
        <x:v>S20-CF05</x:v>
      </x:c>
      <x:c r="G136" s="2" t="str">
        <x:v>S20-MU07</x:v>
      </x:c>
      <x:c r="H136" s="2" t="str">
        <x:v>S20-O04</x:v>
      </x:c>
      <x:c r="I136" s="2" t="str">
        <x:v>Prompting</x:v>
      </x:c>
      <x:c r="J136" s="2" t="str">
        <x:v>Tree-of-Thought Prompting</x:v>
      </x:c>
      <x:c r="K136" s="2" t="str">
        <x:v>tot_prompting</x:v>
      </x:c>
      <x:c r="L136" s="6" t="str">
        <x:v>多代理推理框架：三个独立代理分解和比较组件，仲裁员综合结果，最终判断合规性。</x:v>
      </x:c>
      <x:c r="M136" s="2" t="str">
        <x:v>Yes</x:v>
      </x:c>
      <x:c r="N136" s="2" t="str">
        <x:v>Template reported</x:v>
      </x:c>
      <x:c r="O136" s="2" t="str">
        <x:v>NA</x:v>
      </x:c>
      <x:c r="P136" s="2" t="str">
        <x:v>No</x:v>
      </x:c>
      <x:c r="Q136" s="2" t="str">
        <x:v>No</x:v>
      </x:c>
      <x:c r="R136" s="2" t="str">
        <x:v>multi-agent reasoning framework</x:v>
      </x:c>
      <x:c r="S136" s="2" t="str">
        <x:v>multi-agent with arbiter</x:v>
      </x:c>
      <x:c r="T136" s="6" t="str">
        <x:v>p. 16; Section 4.5</x:v>
      </x:c>
      <x:c r="U136" s="6" t="str">
        <x:v>ToT prompting applies a multi-agent reasoning framework to assess the alignment between a requirement and its reference text.</x:v>
      </x:c>
      <x:c r="V136" s="6" t="str">
        <x:v>ToT提示模板在附录中给出，采用多代理设计。</x:v>
      </x:c>
      <x:c r="W136" s="2" t="str">
        <x:v>Accepted</x:v>
      </x:c>
      <x:c r="X136" s="6" t="str">
        <x:v>相同提示用于GPT-4o-mini。</x:v>
      </x:c>
    </x:row>
    <x:row r="137" ht="76" customHeight="1">
      <x:c r="A137" s="2" t="str">
        <x:v>S21-FEATURE-R01</x:v>
      </x:c>
      <x:c r="B137" s="2" t="str">
        <x:v>S21</x:v>
      </x:c>
      <x:c r="C137" s="2" t="str">
        <x:v>merged_1152</x:v>
      </x:c>
      <x:c r="D137" s="2" t="str">
        <x:v>Reviewer_A</x:v>
      </x:c>
      <x:c r="E137" s="2" t="str">
        <x:v>Reviewer_A</x:v>
      </x:c>
      <x:c r="F137" s="2" t="str">
        <x:v>S21-CF01</x:v>
      </x:c>
      <x:c r="G137" s="2" t="str">
        <x:v>S21-MU01</x:v>
      </x:c>
      <x:c r="H137" s="2" t="str">
        <x:v>S21-O01</x:v>
      </x:c>
      <x:c r="I137" s="2" t="str">
        <x:v>Prompting</x:v>
      </x:c>
      <x:c r="J137" s="2" t="str">
        <x:v>combining all questions and chain-of-thought reasoning</x:v>
      </x:c>
      <x:c r="K137" s="2" t="str">
        <x:v>multi_question_cot_prompt</x:v>
      </x:c>
      <x:c r="L137" s="6" t="str">
        <x:v>一个多步骤提示，要求模型回答多个关于工件之间关系的问题（如实现、分解、满足、共享功能、依赖同一系统能力），并给出相关和不相关的理由，最后做出可追溯性判断。</x:v>
      </x:c>
      <x:c r="M137" s="2" t="str">
        <x:v>Yes</x:v>
      </x:c>
      <x:c r="N137" s="2" t="str">
        <x:v>Full prompt reported</x:v>
      </x:c>
      <x:c r="O137" s="2" t="n">
        <x:v>0</x:v>
      </x:c>
      <x:c r="P137" s="2" t="str">
        <x:v>No</x:v>
      </x:c>
      <x:c r="Q137" s="2" t="str">
        <x:v>No</x:v>
      </x:c>
      <x:c r="R137" s="2" t="str">
        <x:v>No</x:v>
      </x:c>
      <x:c r="S137" s="2" t="str">
        <x:v>NR</x:v>
      </x:c>
      <x:c r="T137" s="6" t="str">
        <x:v>p. 6; Section IV-C</x:v>
      </x:c>
      <x:c r="U137" s="6" t="str">
        <x:v>Answer whether (2) implements a part of (1) with yes or no enclosed in &lt;implements&gt; &lt;/implements&gt;.</x:v>
      </x:c>
      <x:c r="V137" s="6" t="str">
        <x:v>该提示通过一系列子问题和理由生成步骤引导LLM进行逐步推理，属于精心设计的提示策略。</x:v>
      </x:c>
      <x:c r="W137" s="2" t="str">
        <x:v>Accepted</x:v>
      </x:c>
      <x:c r="X137" s="6" t="str">
        <x:v>This is the final classification prompt (ID 11 in Table II).</x:v>
      </x:c>
    </x:row>
    <x:row r="138" ht="76" customHeight="1">
      <x:c r="A138" s="2" t="str">
        <x:v>S21-FEATURE-R02</x:v>
      </x:c>
      <x:c r="B138" s="2" t="str">
        <x:v>S21</x:v>
      </x:c>
      <x:c r="C138" s="2" t="str">
        <x:v>merged_1152</x:v>
      </x:c>
      <x:c r="D138" s="2" t="str">
        <x:v>Reviewer_A</x:v>
      </x:c>
      <x:c r="E138" s="2" t="str">
        <x:v>Reviewer_A</x:v>
      </x:c>
      <x:c r="F138" s="2" t="str">
        <x:v>S21-CF02</x:v>
      </x:c>
      <x:c r="G138" s="2" t="str">
        <x:v>S21-MU02</x:v>
      </x:c>
      <x:c r="H138" s="2" t="str">
        <x:v>S21-O02</x:v>
      </x:c>
      <x:c r="I138" s="2" t="str">
        <x:v>Prompting</x:v>
      </x:c>
      <x:c r="J138" s="2" t="str">
        <x:v>ranking prompt</x:v>
      </x:c>
      <x:c r="K138" s="2" t="str">
        <x:v>ranking_prompt</x:v>
      </x:c>
      <x:c r="L138" s="6" t="str">
        <x:v>要求模型根据源工件对所有目标工件进行排序，以从最相关到最不相关的顺序输出工件ID列表。</x:v>
      </x:c>
      <x:c r="M138" s="2" t="str">
        <x:v>Yes</x:v>
      </x:c>
      <x:c r="N138" s="2" t="str">
        <x:v>Full prompt reported</x:v>
      </x:c>
      <x:c r="O138" s="2" t="n">
        <x:v>0</x:v>
      </x:c>
      <x:c r="P138" s="2" t="str">
        <x:v>No</x:v>
      </x:c>
      <x:c r="Q138" s="2" t="str">
        <x:v>No</x:v>
      </x:c>
      <x:c r="R138" s="2" t="str">
        <x:v>No</x:v>
      </x:c>
      <x:c r="S138" s="2" t="str">
        <x:v>NR</x:v>
      </x:c>
      <x:c r="T138" s="6" t="str">
        <x:v>p. 6; Section IV-D</x:v>
      </x:c>
      <x:c r="U138" s="6" t="str">
        <x:v>Rank all related artifacts from most to least related to the source.</x:v>
      </x:c>
      <x:c r="V138" s="6" t="str">
        <x:v>该排序提示是一个零样本提示，直接要求模型输出排序后的ID列表。</x:v>
      </x:c>
      <x:c r="W138" s="2" t="str">
        <x:v>Accepted</x:v>
      </x:c>
      <x:c r="X138" s="6" t="str">
        <x:v>NA</x:v>
      </x:c>
    </x:row>
    <x:row r="139" ht="76" customHeight="1">
      <x:c r="A139" s="2" t="str">
        <x:v>S21-FEATURE-R03</x:v>
      </x:c>
      <x:c r="B139" s="2" t="str">
        <x:v>S21</x:v>
      </x:c>
      <x:c r="C139" s="2" t="str">
        <x:v>merged_1152</x:v>
      </x:c>
      <x:c r="D139" s="2" t="str">
        <x:v>Reviewer_A</x:v>
      </x:c>
      <x:c r="E139" s="2" t="str">
        <x:v>Reviewer_A</x:v>
      </x:c>
      <x:c r="F139" s="2" t="str">
        <x:v>S21-CF03</x:v>
      </x:c>
      <x:c r="G139" s="2" t="str">
        <x:v>S21-MU03</x:v>
      </x:c>
      <x:c r="H139" s="2" t="str">
        <x:v>S21-O03</x:v>
      </x:c>
      <x:c r="I139" s="2" t="str">
        <x:v>Prompting</x:v>
      </x:c>
      <x:c r="J139" s="2" t="str">
        <x:v>code summarization prompt</x:v>
      </x:c>
      <x:c r="K139" s="2" t="str">
        <x:v>code_summarization</x:v>
      </x:c>
      <x:c r="L139" s="6" t="str">
        <x:v>要求模型生成代码工件的高层功能摘要，聚焦于代码的主要功能。</x:v>
      </x:c>
      <x:c r="M139" s="2" t="str">
        <x:v>No</x:v>
      </x:c>
      <x:c r="N139" s="2" t="str">
        <x:v>Partial description</x:v>
      </x:c>
      <x:c r="O139" s="2" t="n">
        <x:v>0</x:v>
      </x:c>
      <x:c r="P139" s="2" t="str">
        <x:v>No</x:v>
      </x:c>
      <x:c r="Q139" s="2" t="str">
        <x:v>No</x:v>
      </x:c>
      <x:c r="R139" s="2" t="str">
        <x:v>No</x:v>
      </x:c>
      <x:c r="S139" s="2" t="str">
        <x:v>NR</x:v>
      </x:c>
      <x:c r="T139" s="6" t="str">
        <x:v>p. 3; Section III</x:v>
      </x:c>
      <x:c r="U139" s="6" t="str">
        <x:v>the model to provide a several sentences focusing on the highlevel functionality of the code. Although this removed some</x:v>
      </x:c>
      <x:c r="V139" s="6" t="str">
        <x:v>该提示用于生成代码摘要，以简化后续分类任务的输入。</x:v>
      </x:c>
      <x:c r="W139" s="2" t="str">
        <x:v>Accepted</x:v>
      </x:c>
      <x:c r="X139" s="6" t="str">
        <x:v>NA</x:v>
      </x:c>
    </x:row>
    <x:row r="140" ht="76" customHeight="1">
      <x:c r="A140" s="2" t="str">
        <x:v>S21-FEATURE-R04</x:v>
      </x:c>
      <x:c r="B140" s="2" t="str">
        <x:v>S21</x:v>
      </x:c>
      <x:c r="C140" s="2" t="str">
        <x:v>merged_1152</x:v>
      </x:c>
      <x:c r="D140" s="2" t="str">
        <x:v>Reviewer_A</x:v>
      </x:c>
      <x:c r="E140" s="2" t="str">
        <x:v>Reviewer_A</x:v>
      </x:c>
      <x:c r="F140" s="2" t="str">
        <x:v>S21-CF04</x:v>
      </x:c>
      <x:c r="G140" s="2" t="str">
        <x:v>S21-MU04</x:v>
      </x:c>
      <x:c r="H140" s="2" t="str">
        <x:v>S21-O04</x:v>
      </x:c>
      <x:c r="I140" s="2" t="str">
        <x:v>Prompting</x:v>
      </x:c>
      <x:c r="J140" s="2" t="str">
        <x:v>code summarization prompt</x:v>
      </x:c>
      <x:c r="K140" s="2" t="str">
        <x:v>code_summarization</x:v>
      </x:c>
      <x:c r="L140" s="6" t="str">
        <x:v>要求模型生成代码工件的高层功能摘要，聚焦于代码的主要功能。</x:v>
      </x:c>
      <x:c r="M140" s="2" t="str">
        <x:v>No</x:v>
      </x:c>
      <x:c r="N140" s="2" t="str">
        <x:v>Partial description</x:v>
      </x:c>
      <x:c r="O140" s="2" t="n">
        <x:v>0</x:v>
      </x:c>
      <x:c r="P140" s="2" t="str">
        <x:v>No</x:v>
      </x:c>
      <x:c r="Q140" s="2" t="str">
        <x:v>No</x:v>
      </x:c>
      <x:c r="R140" s="2" t="str">
        <x:v>No</x:v>
      </x:c>
      <x:c r="S140" s="2" t="str">
        <x:v>NR</x:v>
      </x:c>
      <x:c r="T140" s="6" t="str">
        <x:v>p. 3; Section III</x:v>
      </x:c>
      <x:c r="U140" s="6" t="str">
        <x:v>the model to provide a several sentences focusing on the highlevel functionality of the code. Although this removed some</x:v>
      </x:c>
      <x:c r="V140" s="6" t="str">
        <x:v>该提示用于生成代码摘要，以简化后续排序任务的输入。</x:v>
      </x:c>
      <x:c r="W140" s="2" t="str">
        <x:v>Accepted</x:v>
      </x:c>
      <x:c r="X140" s="6" t="str">
        <x:v>NA</x:v>
      </x:c>
    </x:row>
    <x:row r="141" ht="76" customHeight="1">
      <x:c r="A141" s="2" t="str">
        <x:v>S23-FEATURE-R01</x:v>
      </x:c>
      <x:c r="B141" s="2" t="str">
        <x:v>S23</x:v>
      </x:c>
      <x:c r="C141" s="2" t="str">
        <x:v>merged_1156</x:v>
      </x:c>
      <x:c r="D141" s="2" t="str">
        <x:v>Reviewer_A</x:v>
      </x:c>
      <x:c r="E141" s="2" t="str">
        <x:v>Reviewer_A</x:v>
      </x:c>
      <x:c r="F141" s="2" t="str">
        <x:v>S23-CF01</x:v>
      </x:c>
      <x:c r="G141" s="2" t="str">
        <x:v>S23-MU02</x:v>
      </x:c>
      <x:c r="H141" s="2" t="str">
        <x:v>S23-O01</x:v>
      </x:c>
      <x:c r="I141" s="2" t="str">
        <x:v>Prompting</x:v>
      </x:c>
      <x:c r="J141" s="2" t="str">
        <x:v>Simple prompts</x:v>
      </x:c>
      <x:c r="K141" s="2" t="str">
        <x:v>simple_prompt_initial</x:v>
      </x:c>
      <x:c r="L141" s="6" t="str">
        <x:v>使用简单提示指令LLM根据需求生成代码。</x:v>
      </x:c>
      <x:c r="M141" s="2" t="str">
        <x:v>No</x:v>
      </x:c>
      <x:c r="N141" s="2" t="str">
        <x:v>Not reported</x:v>
      </x:c>
      <x:c r="O141" s="2" t="str">
        <x:v>NR</x:v>
      </x:c>
      <x:c r="P141" s="2" t="str">
        <x:v>No</x:v>
      </x:c>
      <x:c r="Q141" s="2" t="str">
        <x:v>No</x:v>
      </x:c>
      <x:c r="R141" s="2" t="str">
        <x:v>No</x:v>
      </x:c>
      <x:c r="S141" s="2" t="str">
        <x:v>NA</x:v>
      </x:c>
      <x:c r="T141" s="6" t="str">
        <x:v>p. 4; Section III-A (before step 1)</x:v>
      </x:c>
      <x:c r="U141" s="6" t="str">
        <x:v>We use simple prompts when instructing the model.</x:v>
      </x:c>
      <x:c r="V141" s="6" t="str">
        <x:v>初始提示使用简单的自然语言指令，未提供具体模板，但实验保持一致性。</x:v>
      </x:c>
      <x:c r="W141" s="2" t="str">
        <x:v>Accepted</x:v>
      </x:c>
      <x:c r="X141" s="6" t="str">
        <x:v>Applies to all tested models.</x:v>
      </x:c>
    </x:row>
    <x:row r="142" ht="76" customHeight="1">
      <x:c r="A142" s="2" t="str">
        <x:v>S23-FEATURE-R02</x:v>
      </x:c>
      <x:c r="B142" s="2" t="str">
        <x:v>S23</x:v>
      </x:c>
      <x:c r="C142" s="2" t="str">
        <x:v>merged_1156</x:v>
      </x:c>
      <x:c r="D142" s="2" t="str">
        <x:v>Reviewer_A</x:v>
      </x:c>
      <x:c r="E142" s="2" t="str">
        <x:v>Reviewer_A</x:v>
      </x:c>
      <x:c r="F142" s="2" t="str">
        <x:v>S23-CF02</x:v>
      </x:c>
      <x:c r="G142" s="2" t="str">
        <x:v>S23-MU02</x:v>
      </x:c>
      <x:c r="H142" s="2" t="str">
        <x:v>S23-O02</x:v>
      </x:c>
      <x:c r="I142" s="2" t="str">
        <x:v>Prompting</x:v>
      </x:c>
      <x:c r="J142" s="2" t="str">
        <x:v>Reprompting template</x:v>
      </x:c>
      <x:c r="K142" s="2" t="str">
        <x:v>reprompt_template</x:v>
      </x:c>
      <x:c r="L142" s="6" t="str">
        <x:v>重提示模板，包括原始需求和对特定忽略需求段的关注。</x:v>
      </x:c>
      <x:c r="M142" s="2" t="str">
        <x:v>Yes</x:v>
      </x:c>
      <x:c r="N142" s="2" t="str">
        <x:v>Partial description</x:v>
      </x:c>
      <x:c r="O142" s="2" t="str">
        <x:v>NR</x:v>
      </x:c>
      <x:c r="P142" s="2" t="str">
        <x:v>No</x:v>
      </x:c>
      <x:c r="Q142" s="2" t="str">
        <x:v>No</x:v>
      </x:c>
      <x:c r="R142" s="2" t="str">
        <x:v>No</x:v>
      </x:c>
      <x:c r="S142" s="2" t="str">
        <x:v>NA</x:v>
      </x:c>
      <x:c r="T142" s="6" t="str">
        <x:v>p. 2; Figure 2c; Section III-A step 6</x:v>
      </x:c>
      <x:c r="U142" s="6" t="str">
        <x:v>Rewrite the method with the same requirements, paying close attention to “contains at least one number”.</x:v>
      </x:c>
      <x:c r="V142" s="6" t="str">
        <x:v>所示例的重提示消息包含忽略的需求段。</x:v>
      </x:c>
      <x:c r="W142" s="2" t="str">
        <x:v>Accepted</x:v>
      </x:c>
      <x:c r="X142" s="6" t="str">
        <x:v>NA</x:v>
      </x:c>
    </x:row>
    <x:row r="143" ht="76" customHeight="1">
      <x:c r="A143" s="2" t="str">
        <x:v>S23-FEATURE-R03</x:v>
      </x:c>
      <x:c r="B143" s="2" t="str">
        <x:v>S23</x:v>
      </x:c>
      <x:c r="C143" s="2" t="str">
        <x:v>merged_1156</x:v>
      </x:c>
      <x:c r="D143" s="2" t="str">
        <x:v>Reviewer_A</x:v>
      </x:c>
      <x:c r="E143" s="2" t="str">
        <x:v>Reviewer_A</x:v>
      </x:c>
      <x:c r="F143" s="2" t="str">
        <x:v>S23-CF03</x:v>
      </x:c>
      <x:c r="G143" s="2" t="str">
        <x:v>S23-MU02</x:v>
      </x:c>
      <x:c r="H143" s="2" t="str">
        <x:v>S23-O02</x:v>
      </x:c>
      <x:c r="I143" s="2" t="str">
        <x:v>Context construction</x:v>
      </x:c>
      <x:c r="J143" s="2" t="str">
        <x:v>Conversation continuation</x:v>
      </x:c>
      <x:c r="K143" s="2" t="str">
        <x:v>conversation_history</x:v>
      </x:c>
      <x:c r="L143" s="6" t="str">
        <x:v>重提示时保持对话历史，构建新的用户消息和部分助手响应以维持上下文。</x:v>
      </x:c>
      <x:c r="M143" s="2" t="str">
        <x:v>NA</x:v>
      </x:c>
      <x:c r="N143" s="2" t="str">
        <x:v>NA</x:v>
      </x:c>
      <x:c r="O143" s="2" t="str">
        <x:v>NA</x:v>
      </x:c>
      <x:c r="P143" s="2" t="str">
        <x:v>No</x:v>
      </x:c>
      <x:c r="Q143" s="2" t="str">
        <x:v>No</x:v>
      </x:c>
      <x:c r="R143" s="2" t="str">
        <x:v>No</x:v>
      </x:c>
      <x:c r="S143" s="2" t="str">
        <x:v>NA</x:v>
      </x:c>
      <x:c r="T143" s="6" t="str">
        <x:v>p. 5; Section III-D</x:v>
      </x:c>
      <x:c r="U143" s="6" t="str">
        <x:v>we continue the conversation with the model and instruct it to try generating the code a second time. We build a second user message and a second partial model response and feed this as new input into the model.</x:v>
      </x:c>
      <x:c r="V143" s="6" t="str">
        <x:v>通过延续对话实现上下文构建。</x:v>
      </x:c>
      <x:c r="W143" s="2" t="str">
        <x:v>Accepted</x:v>
      </x:c>
      <x:c r="X143" s="6" t="str">
        <x:v>NA</x:v>
      </x:c>
    </x:row>
    <x:row r="144" ht="76" customHeight="1">
      <x:c r="A144" s="2" t="str">
        <x:v>S23-FEATURE-R04</x:v>
      </x:c>
      <x:c r="B144" s="2" t="str">
        <x:v>S23</x:v>
      </x:c>
      <x:c r="C144" s="2" t="str">
        <x:v>merged_1156</x:v>
      </x:c>
      <x:c r="D144" s="2" t="str">
        <x:v>Reviewer_A</x:v>
      </x:c>
      <x:c r="E144" s="2" t="str">
        <x:v>Reviewer_A</x:v>
      </x:c>
      <x:c r="F144" s="2" t="str">
        <x:v>S23-CF04</x:v>
      </x:c>
      <x:c r="G144" s="2" t="str">
        <x:v>S23-MU02</x:v>
      </x:c>
      <x:c r="H144" s="2" t="str">
        <x:v>S23-O02</x:v>
      </x:c>
      <x:c r="I144" s="2" t="str">
        <x:v>Calling and orchestration</x:v>
      </x:c>
      <x:c r="J144" s="2" t="str">
        <x:v>Gradient-based requirement segment selection</x:v>
      </x:c>
      <x:c r="K144" s="2" t="str">
        <x:v>gradient_selection</x:v>
      </x:c>
      <x:c r="L144" s="6" t="str">
        <x:v>通过计算LLM输出梯度，池化后选择最低梯度段作为忽略需求，以指导重提示。</x:v>
      </x:c>
      <x:c r="M144" s="2" t="str">
        <x:v>NA</x:v>
      </x:c>
      <x:c r="N144" s="2" t="str">
        <x:v>NA</x:v>
      </x:c>
      <x:c r="O144" s="2" t="str">
        <x:v>NA</x:v>
      </x:c>
      <x:c r="P144" s="2" t="str">
        <x:v>NA</x:v>
      </x:c>
      <x:c r="Q144" s="2" t="str">
        <x:v>NA</x:v>
      </x:c>
      <x:c r="R144" s="2" t="str">
        <x:v>No</x:v>
      </x:c>
      <x:c r="S144" s="2" t="str">
        <x:v>Automated reprompt decision based on gradient analysis</x:v>
      </x:c>
      <x:c r="T144" s="6" t="str">
        <x:v>p. 5; Section III-C</x:v>
      </x:c>
      <x:c r="U144" s="6" t="str">
        <x:v>For each of these pooling method, we select the segment with the lowest score as our ‘ignored’ requirement that will</x:v>
      </x:c>
      <x:c r="V144" s="6" t="str">
        <x:v>梯度分析自动化地决定重提示内容。</x:v>
      </x:c>
      <x:c r="W144" s="2" t="str">
        <x:v>Accepted</x:v>
      </x:c>
      <x:c r="X144" s="6" t="str">
        <x:v>NA</x:v>
      </x:c>
    </x:row>
    <x:row r="145" ht="76" customHeight="1">
      <x:c r="A145" s="2" t="str">
        <x:v>S24-FEATURE-R01</x:v>
      </x:c>
      <x:c r="B145" s="2" t="str">
        <x:v>S24</x:v>
      </x:c>
      <x:c r="C145" s="2" t="str">
        <x:v>merged_1172</x:v>
      </x:c>
      <x:c r="D145" s="2" t="str">
        <x:v>Reviewer_A</x:v>
      </x:c>
      <x:c r="E145" s="2" t="str">
        <x:v>Reviewer_A</x:v>
      </x:c>
      <x:c r="F145" s="2" t="str">
        <x:v>S24-CF01</x:v>
      </x:c>
      <x:c r="G145" s="2" t="str">
        <x:v>S24-MU01</x:v>
      </x:c>
      <x:c r="H145" s="2" t="str">
        <x:v>S24-O01</x:v>
      </x:c>
      <x:c r="I145" s="2" t="str">
        <x:v>Prompting</x:v>
      </x:c>
      <x:c r="J145" s="2" t="str">
        <x:v>structured prompt for regex profile synthesis</x:v>
      </x:c>
      <x:c r="K145" s="2" t="str">
        <x:v>prompt-regex-profile</x:v>
      </x:c>
      <x:c r="L145" s="6" t="str">
        <x:v>向LLM发送结构化提示，要求返回符合严格JSON模式的regex配置文件，提示包含文档样本peek及所需输出规范</x:v>
      </x:c>
      <x:c r="M145" s="2" t="str">
        <x:v>Yes</x:v>
      </x:c>
      <x:c r="N145" s="2" t="str">
        <x:v>Partial description</x:v>
      </x:c>
      <x:c r="O145" s="2" t="str">
        <x:v>NA</x:v>
      </x:c>
      <x:c r="P145" s="2" t="str">
        <x:v>No</x:v>
      </x:c>
      <x:c r="Q145" s="2" t="str">
        <x:v>No</x:v>
      </x:c>
      <x:c r="R145" s="2" t="str">
        <x:v>No</x:v>
      </x:c>
      <x:c r="S145" s="2" t="str">
        <x:v>NA</x:v>
      </x:c>
      <x:c r="T145" s="6" t="str">
        <x:v>p. 3; section 2, LLM-driven rule induction</x:v>
      </x:c>
      <x:c r="U145" s="6" t="str">
        <x:v>a strict JSON “regex profile” that specifies: the requirement ID family, header and inline ID regexes, separators, a canonical field set with label patterns, a statement detector</x:v>
      </x:c>
      <x:c r="V145" s="6" t="str">
        <x:v>提示模板仅展示了输入/输出的JSON结构，未给出完整提示文本，但明确了约束条件和输出格式</x:v>
      </x:c>
      <x:c r="W145" s="2" t="str">
        <x:v>Accepted</x:v>
      </x:c>
      <x:c r="X145" s="6" t="str">
        <x:v>提示细节部分公开，属于Partial description</x:v>
      </x:c>
    </x:row>
    <x:row r="146" ht="76" customHeight="1">
      <x:c r="A146" s="2" t="str">
        <x:v>S25-FEATURE-R01</x:v>
      </x:c>
      <x:c r="B146" s="2" t="str">
        <x:v>S25</x:v>
      </x:c>
      <x:c r="C146" s="2" t="str">
        <x:v>merged_1185</x:v>
      </x:c>
      <x:c r="D146" s="2" t="str">
        <x:v>Reviewer_A</x:v>
      </x:c>
      <x:c r="E146" s="2" t="str">
        <x:v>Reviewer_A</x:v>
      </x:c>
      <x:c r="F146" s="2" t="str">
        <x:v>S25-CF01</x:v>
      </x:c>
      <x:c r="G146" s="2" t="str">
        <x:v>S25-MU01</x:v>
      </x:c>
      <x:c r="H146" s="2" t="str">
        <x:v>S25-O01</x:v>
      </x:c>
      <x:c r="I146" s="2" t="str">
        <x:v>Prompting</x:v>
      </x:c>
      <x:c r="J146" s="2" t="str">
        <x:v>Multi-Layer Prompt Architecture</x:v>
      </x:c>
      <x:c r="K146" s="2" t="str">
        <x:v>MultiLayerPrompt</x:v>
      </x:c>
      <x:c r="L146" s="6" t="str">
        <x:v>层次化提示结构，包含上下文层、规范层、模板层、验证层和增强层五层。</x:v>
      </x:c>
      <x:c r="M146" s="2" t="str">
        <x:v>No</x:v>
      </x:c>
      <x:c r="N146" s="2" t="str">
        <x:v>Partial description</x:v>
      </x:c>
      <x:c r="O146" s="2" t="str">
        <x:v>NR</x:v>
      </x:c>
      <x:c r="P146" s="2" t="str">
        <x:v>Yes</x:v>
      </x:c>
      <x:c r="Q146" s="2" t="str">
        <x:v>No</x:v>
      </x:c>
      <x:c r="R146" s="2" t="str">
        <x:v>No</x:v>
      </x:c>
      <x:c r="S146" s="2" t="str">
        <x:v>NR</x:v>
      </x:c>
      <x:c r="T146" s="6" t="str">
        <x:v>p. 5; Section III.F Prompt Engineering Framework</x:v>
      </x:c>
      <x:c r="U146" s="6" t="str">
        <x:v>Multi-Layer Prompt Architecture: The system employs a hierarchical prompt structure with five distinct layers:</x:v>
      </x:c>
      <x:c r="V146" s="6" t="str">
        <x:v>系统使用多层提示架构来指导LLM生成测试用例，该架构可能包含可追溯性相关的指令。</x:v>
      </x:c>
      <x:c r="W146" s="2" t="str">
        <x:v>Accepted</x:v>
      </x:c>
      <x:c r="X146" s="6" t="str">
        <x:v>此提示特征应用于所有LLM操作，此处仅关联M1。</x:v>
      </x:c>
    </x:row>
    <x:row r="147" ht="76" customHeight="1">
      <x:c r="A147" s="2" t="str">
        <x:v>S25-FEATURE-R02</x:v>
      </x:c>
      <x:c r="B147" s="2" t="str">
        <x:v>S25</x:v>
      </x:c>
      <x:c r="C147" s="2" t="str">
        <x:v>merged_1185</x:v>
      </x:c>
      <x:c r="D147" s="2" t="str">
        <x:v>Reviewer_A</x:v>
      </x:c>
      <x:c r="E147" s="2" t="str">
        <x:v>Reviewer_A</x:v>
      </x:c>
      <x:c r="F147" s="2" t="str">
        <x:v>S25-CF02</x:v>
      </x:c>
      <x:c r="G147" s="2" t="str">
        <x:v>S25-MU01</x:v>
      </x:c>
      <x:c r="H147" s="2" t="str">
        <x:v>S25-O01</x:v>
      </x:c>
      <x:c r="I147" s="2" t="str">
        <x:v>Calling and orchestration</x:v>
      </x:c>
      <x:c r="J147" s="2" t="str">
        <x:v>Dynamic Model Routing</x:v>
      </x:c>
      <x:c r="K147" s="2" t="str">
        <x:v>DynamicModelRouting</x:v>
      </x:c>
      <x:c r="L147" s="6" t="str">
        <x:v>根据任务复杂度、上下文需求和性能优化动态选择模型。</x:v>
      </x:c>
      <x:c r="M147" s="2" t="str">
        <x:v>NA</x:v>
      </x:c>
      <x:c r="N147" s="2" t="str">
        <x:v>NA</x:v>
      </x:c>
      <x:c r="O147" s="2" t="str">
        <x:v>NA</x:v>
      </x:c>
      <x:c r="P147" s="2" t="str">
        <x:v>No</x:v>
      </x:c>
      <x:c r="Q147" s="2" t="str">
        <x:v>No</x:v>
      </x:c>
      <x:c r="R147" s="2" t="str">
        <x:v>No</x:v>
      </x:c>
      <x:c r="S147" s="2" t="str">
        <x:v>Dynamic routing between Mistral 7B and Gemini Pro based on complexity</x:v>
      </x:c>
      <x:c r="T147" s="6" t="str">
        <x:v>p. 5; Section III.C Model Selection Strategy</x:v>
      </x:c>
      <x:c r="U147" s="6" t="str">
        <x:v>Dynamic model routing based on task complexity, context requirements, and performance optimization.</x:v>
      </x:c>
      <x:c r="V147" s="6" t="str">
        <x:v>系统根据任务复杂性动态路由到不同的LLM，简单任务用Mistral 7B，复杂任务用Gemini Pro。</x:v>
      </x:c>
      <x:c r="W147" s="2" t="str">
        <x:v>Accepted</x:v>
      </x:c>
      <x:c r="X147" s="6" t="str">
        <x:v>此特征影响模型选择，适用于整个系统。</x:v>
      </x:c>
    </x:row>
    <x:row r="148" ht="76" customHeight="1">
      <x:c r="A148" s="2" t="str">
        <x:v>S25-FEATURE-R03</x:v>
      </x:c>
      <x:c r="B148" s="2" t="str">
        <x:v>S25</x:v>
      </x:c>
      <x:c r="C148" s="2" t="str">
        <x:v>merged_1185</x:v>
      </x:c>
      <x:c r="D148" s="2" t="str">
        <x:v>Reviewer_A</x:v>
      </x:c>
      <x:c r="E148" s="2" t="str">
        <x:v>Reviewer_A</x:v>
      </x:c>
      <x:c r="F148" s="2" t="str">
        <x:v>S25-CF03</x:v>
      </x:c>
      <x:c r="G148" s="2" t="str">
        <x:v>S25-MU01</x:v>
      </x:c>
      <x:c r="H148" s="2" t="str">
        <x:v>S25-O01</x:v>
      </x:c>
      <x:c r="I148" s="2" t="str">
        <x:v>Context construction</x:v>
      </x:c>
      <x:c r="J148" s="2" t="str">
        <x:v>Hybrid Vector-Graph Retrieval</x:v>
      </x:c>
      <x:c r="K148" s="2" t="str">
        <x:v>HybridVectorGraphRetrieval</x:v>
      </x:c>
      <x:c r="L148" s="6" t="str">
        <x:v>结合向量数据库的语义相似性搜索和图数据库的关系遍历来构建上下文。</x:v>
      </x:c>
      <x:c r="M148" s="2" t="str">
        <x:v>NA</x:v>
      </x:c>
      <x:c r="N148" s="2" t="str">
        <x:v>NA</x:v>
      </x:c>
      <x:c r="O148" s="2" t="str">
        <x:v>NA</x:v>
      </x:c>
      <x:c r="P148" s="2" t="str">
        <x:v>Yes</x:v>
      </x:c>
      <x:c r="Q148" s="2" t="str">
        <x:v>No</x:v>
      </x:c>
      <x:c r="R148" s="2" t="str">
        <x:v>No</x:v>
      </x:c>
      <x:c r="S148" s="2" t="str">
        <x:v>NR</x:v>
      </x:c>
      <x:c r="T148" s="6" t="str">
        <x:v>p. 4; Section II.C Hybrid Vector-Graph Knowledge System</x:v>
      </x:c>
      <x:c r="U148" s="6" t="str">
        <x:v>The knowledge system combines the semantic similarity capabilities of vector databases with the relationship-aware traversal of graph databases</x:v>
      </x:c>
      <x:c r="V148" s="6" t="str">
        <x:v>检索增强生成通过混合向量-图系统为LLM提供丰富上下文，有助于生成可追溯的测试用例。</x:v>
      </x:c>
      <x:c r="W148" s="2" t="str">
        <x:v>Accepted</x:v>
      </x:c>
      <x:c r="X148" s="6" t="str">
        <x:v>此特征为所有LLM操作提供上下文。</x:v>
      </x:c>
    </x:row>
    <x:row r="149" ht="76" customHeight="1">
      <x:c r="A149" s="2" t="str">
        <x:v>S25-FEATURE-R04</x:v>
      </x:c>
      <x:c r="B149" s="2" t="str">
        <x:v>S25</x:v>
      </x:c>
      <x:c r="C149" s="2" t="str">
        <x:v>merged_1185</x:v>
      </x:c>
      <x:c r="D149" s="2" t="str">
        <x:v>Reviewer_A</x:v>
      </x:c>
      <x:c r="E149" s="2" t="str">
        <x:v>Reviewer_A</x:v>
      </x:c>
      <x:c r="F149" s="2" t="str">
        <x:v>S25-CF04</x:v>
      </x:c>
      <x:c r="G149" s="2" t="str">
        <x:v>S25-MU01</x:v>
      </x:c>
      <x:c r="H149" s="2" t="str">
        <x:v>S25-O01</x:v>
      </x:c>
      <x:c r="I149" s="2" t="str">
        <x:v>Calling and orchestration</x:v>
      </x:c>
      <x:c r="J149" s="2" t="str">
        <x:v>Multi-Agent Orchestration</x:v>
      </x:c>
      <x:c r="K149" s="2" t="str">
        <x:v>MultiAgentOrchestration</x:v>
      </x:c>
      <x:c r="L149" s="6" t="str">
        <x:v>采用专门化自主代理协调软件测试的不同方面，包括代理如Modernized Test Case Agent用于生成测试用例。</x:v>
      </x:c>
      <x:c r="M149" s="2" t="str">
        <x:v>NA</x:v>
      </x:c>
      <x:c r="N149" s="2" t="str">
        <x:v>NA</x:v>
      </x:c>
      <x:c r="O149" s="2" t="str">
        <x:v>NA</x:v>
      </x:c>
      <x:c r="P149" s="2" t="str">
        <x:v>No</x:v>
      </x:c>
      <x:c r="Q149" s="2" t="str">
        <x:v>No</x:v>
      </x:c>
      <x:c r="R149" s="2" t="str">
        <x:v>Yes, specialized agents for test planning, case creation, and validation</x:v>
      </x:c>
      <x:c r="S149" s="2" t="str">
        <x:v>Multi-agent workflow coordination using autonomous agents</x:v>
      </x:c>
      <x:c r="T149" s="6" t="str">
        <x:v>p. 3; Section II.B Multi-Agent Orchestration Layer</x:v>
      </x:c>
      <x:c r="U149" s="6" t="str">
        <x:v>The orchestration layer employs specialized autonomous agents, each optimized for specific aspects of software testing artifact generation:</x:v>
      </x:c>
      <x:c r="V149" s="6" t="str">
        <x:v>多代理编排协调多个专门化代理，其中测试用例生成代理直接参与可追溯性任务。</x:v>
      </x:c>
      <x:c r="W149" s="2" t="str">
        <x:v>Accepted</x:v>
      </x:c>
      <x:c r="X149" s="6" t="str">
        <x:v>此编排特征涉及LLM调用的协调。</x:v>
      </x:c>
    </x:row>
    <x:row r="150" ht="76" customHeight="1">
      <x:c r="A150" s="2" t="str">
        <x:v>S26-FEATURE-R01</x:v>
      </x:c>
      <x:c r="B150" s="2" t="str">
        <x:v>S26</x:v>
      </x:c>
      <x:c r="C150" s="2" t="str">
        <x:v>merged_1212</x:v>
      </x:c>
      <x:c r="D150" s="2" t="str">
        <x:v>Reviewer_A</x:v>
      </x:c>
      <x:c r="E150" s="2" t="str">
        <x:v>Reviewer_A</x:v>
      </x:c>
      <x:c r="F150" s="2" t="str">
        <x:v>S26-CF01</x:v>
      </x:c>
      <x:c r="G150" s="2" t="str">
        <x:v>S26-MU05</x:v>
      </x:c>
      <x:c r="H150" s="2" t="str">
        <x:v>S26-O01</x:v>
      </x:c>
      <x:c r="I150" s="2" t="str">
        <x:v>Prompting</x:v>
      </x:c>
      <x:c r="J150" s="2" t="str">
        <x:v>prompt engineering strategies</x:v>
      </x:c>
      <x:c r="K150" s="2" t="str">
        <x:v>LLM_Prompt_Engineering</x:v>
      </x:c>
      <x:c r="L150" s="6" t="str">
        <x:v>通过迭代提示词优化，引入思维链推理、任务分解、抽象层次对齐、系统上下文澄清等策略，提升零样本下的链接预测准确率。</x:v>
      </x:c>
      <x:c r="M150" s="2" t="str">
        <x:v>No</x:v>
      </x:c>
      <x:c r="N150" s="2" t="str">
        <x:v>Not reported</x:v>
      </x:c>
      <x:c r="O150" s="2" t="str">
        <x:v>NR</x:v>
      </x:c>
      <x:c r="P150" s="2" t="str">
        <x:v>No</x:v>
      </x:c>
      <x:c r="Q150" s="2" t="str">
        <x:v>No</x:v>
      </x:c>
      <x:c r="R150" s="2" t="str">
        <x:v>No</x:v>
      </x:c>
      <x:c r="S150" s="2" t="str">
        <x:v>NA</x:v>
      </x:c>
      <x:c r="T150" s="6" t="str">
        <x:v>p. 3; Section III-A</x:v>
      </x:c>
      <x:c r="U150" s="6" t="str">
        <x:v>Key improvements came from addressing abstraction mismatches, clarifying system context, and incorporating various traceability perspectives</x:v>
      </x:c>
      <x:c r="V150" s="6" t="str">
        <x:v>论文报告了一系列提示工程技巧，但未展示具体提示模板。</x:v>
      </x:c>
      <x:c r="W150" s="2" t="str">
        <x:v>Accepted</x:v>
      </x:c>
      <x:c r="X150" s="6" t="str">
        <x:v>NR</x:v>
      </x:c>
    </x:row>
    <x:row r="151" ht="76" customHeight="1">
      <x:c r="A151" s="2" t="str">
        <x:v>S26-FEATURE-R02</x:v>
      </x:c>
      <x:c r="B151" s="2" t="str">
        <x:v>S26</x:v>
      </x:c>
      <x:c r="C151" s="2" t="str">
        <x:v>merged_1212</x:v>
      </x:c>
      <x:c r="D151" s="2" t="str">
        <x:v>Reviewer_A</x:v>
      </x:c>
      <x:c r="E151" s="2" t="str">
        <x:v>Reviewer_A</x:v>
      </x:c>
      <x:c r="F151" s="2" t="str">
        <x:v>S26-CF02</x:v>
      </x:c>
      <x:c r="G151" s="2" t="str">
        <x:v>S26-MU05</x:v>
      </x:c>
      <x:c r="H151" s="2" t="str">
        <x:v>S26-O02</x:v>
      </x:c>
      <x:c r="I151" s="2" t="str">
        <x:v>Calling and orchestration</x:v>
      </x:c>
      <x:c r="J151" s="2" t="str">
        <x:v>VSM-LLM pipeline</x:v>
      </x:c>
      <x:c r="K151" s="2" t="str">
        <x:v>VSM_LLM_Orchestration</x:v>
      </x:c>
      <x:c r="L151" s="6" t="str">
        <x:v>先使用 VSM 生成初选链接列表，再将其作为上下文输入 LLM 进行精炼，形成两步式流程。</x:v>
      </x:c>
      <x:c r="M151" s="2" t="str">
        <x:v>No</x:v>
      </x:c>
      <x:c r="N151" s="2" t="str">
        <x:v>Not reported</x:v>
      </x:c>
      <x:c r="O151" s="2" t="str">
        <x:v>NR</x:v>
      </x:c>
      <x:c r="P151" s="2" t="str">
        <x:v>No</x:v>
      </x:c>
      <x:c r="Q151" s="2" t="str">
        <x:v>No</x:v>
      </x:c>
      <x:c r="R151" s="2" t="str">
        <x:v>No</x:v>
      </x:c>
      <x:c r="S151" s="2" t="str">
        <x:v>VSM → LLM refinement</x:v>
      </x:c>
      <x:c r="T151" s="6" t="str">
        <x:v>p. 3; Section III-A</x:v>
      </x:c>
      <x:c r="U151" s="6" t="str">
        <x:v>to generate an initial set of predictions that the LLM could then refine</x:v>
      </x:c>
      <x:c r="V151" s="6" t="str">
        <x:v>该配置特征体现了 LLM 与传统 IR 组件的协同工作流。</x:v>
      </x:c>
      <x:c r="W151" s="2" t="str">
        <x:v>Accepted</x:v>
      </x:c>
      <x:c r="X151" s="6" t="str">
        <x:v>NR</x:v>
      </x:c>
    </x:row>
    <x:row r="152" ht="76" customHeight="1">
      <x:c r="A152" s="2" t="str">
        <x:v>S26-FEATURE-R03</x:v>
      </x:c>
      <x:c r="B152" s="2" t="str">
        <x:v>S26</x:v>
      </x:c>
      <x:c r="C152" s="2" t="str">
        <x:v>merged_1212</x:v>
      </x:c>
      <x:c r="D152" s="2" t="str">
        <x:v>Reviewer_A</x:v>
      </x:c>
      <x:c r="E152" s="2" t="str">
        <x:v>Reviewer_A</x:v>
      </x:c>
      <x:c r="F152" s="2" t="str">
        <x:v>S26-CF03</x:v>
      </x:c>
      <x:c r="G152" s="2" t="str">
        <x:v>S26-MU05</x:v>
      </x:c>
      <x:c r="H152" s="2" t="str">
        <x:v>S26-O03</x:v>
      </x:c>
      <x:c r="I152" s="2" t="str">
        <x:v>Calling and orchestration</x:v>
      </x:c>
      <x:c r="J152" s="2" t="str">
        <x:v>hierarchy generation pipeline</x:v>
      </x:c>
      <x:c r="K152" s="2" t="str">
        <x:v>Pipeline_Orchestration</x:v>
      </x:c>
      <x:c r="L152" s="6" t="str">
        <x:v>通过聚类→LLM 生成→精炼→动态追溯链接的多步流水线，从代码构建多层文档体系。</x:v>
      </x:c>
      <x:c r="M152" s="2" t="str">
        <x:v>No</x:v>
      </x:c>
      <x:c r="N152" s="2" t="str">
        <x:v>Not reported</x:v>
      </x:c>
      <x:c r="O152" s="2" t="str">
        <x:v>NR</x:v>
      </x:c>
      <x:c r="P152" s="2" t="str">
        <x:v>No</x:v>
      </x:c>
      <x:c r="Q152" s="2" t="str">
        <x:v>No</x:v>
      </x:c>
      <x:c r="R152" s="2" t="str">
        <x:v>No</x:v>
      </x:c>
      <x:c r="S152" s="2" t="str">
        <x:v>Clustering → LLM generation → refinement → link creation</x:v>
      </x:c>
      <x:c r="T152" s="6" t="str">
        <x:v>p. 3; Section III-B</x:v>
      </x:c>
      <x:c r="U152" s="6" t="str">
        <x:v>The pipeline includes a refinement step and then dynamically creates trace links</x:v>
      </x:c>
      <x:c r="V152" s="6" t="str">
        <x:v>围绕 LLM 生成能力设计的管道式编排，是 RQ2 的核心技术特征。</x:v>
      </x:c>
      <x:c r="W152" s="2" t="str">
        <x:v>Accepted</x:v>
      </x:c>
      <x:c r="X152" s="6" t="str">
        <x:v>NR</x:v>
      </x:c>
    </x:row>
    <x:row r="153" ht="76" customHeight="1">
      <x:c r="A153" s="2" t="str">
        <x:v>S26-FEATURE-R04</x:v>
      </x:c>
      <x:c r="B153" s="2" t="str">
        <x:v>S26</x:v>
      </x:c>
      <x:c r="C153" s="2" t="str">
        <x:v>merged_1212</x:v>
      </x:c>
      <x:c r="D153" s="2" t="str">
        <x:v>Reviewer_A</x:v>
      </x:c>
      <x:c r="E153" s="2" t="str">
        <x:v>Reviewer_A</x:v>
      </x:c>
      <x:c r="F153" s="2" t="str">
        <x:v>S26-CF04</x:v>
      </x:c>
      <x:c r="G153" s="2" t="str">
        <x:v>S26-MU05</x:v>
      </x:c>
      <x:c r="H153" s="2" t="str">
        <x:v>S26-O04</x:v>
      </x:c>
      <x:c r="I153" s="2" t="str">
        <x:v>Calling and orchestration</x:v>
      </x:c>
      <x:c r="J153" s="2" t="str">
        <x:v>QUEST-RL framework</x:v>
      </x:c>
      <x:c r="K153" s="2" t="str">
        <x:v>QUEST_RL_Framework</x:v>
      </x:c>
      <x:c r="L153" s="6" t="str">
        <x:v>框架先将安全标准分解为引导性问题，收集工程师的设计决策后，调用 LLM 自动生成可追溯需求。</x:v>
      </x:c>
      <x:c r="M153" s="2" t="str">
        <x:v>No</x:v>
      </x:c>
      <x:c r="N153" s="2" t="str">
        <x:v>Not reported</x:v>
      </x:c>
      <x:c r="O153" s="2" t="str">
        <x:v>NR</x:v>
      </x:c>
      <x:c r="P153" s="2" t="str">
        <x:v>No</x:v>
      </x:c>
      <x:c r="Q153" s="2" t="str">
        <x:v>No</x:v>
      </x:c>
      <x:c r="R153" s="2" t="str">
        <x:v>No</x:v>
      </x:c>
      <x:c r="S153" s="2" t="str">
        <x:v>Guided questions → LLM transformation → traceable requirements</x:v>
      </x:c>
      <x:c r="T153" s="6" t="str">
        <x:v>p. 4; Section III-C</x:v>
      </x:c>
      <x:c r="U153" s="6" t="str">
        <x:v>These decisions are then automatically transformed into traceable, safety-focused requirements</x:v>
      </x:c>
      <x:c r="V153" s="6" t="str">
        <x:v>以人为中心、LLM 为执行器的编排框架，实现受监管环境下的需求自动生成。</x:v>
      </x:c>
      <x:c r="W153" s="2" t="str">
        <x:v>Accepted</x:v>
      </x:c>
      <x:c r="X153" s="6" t="str">
        <x:v>NR</x:v>
      </x:c>
    </x:row>
    <x:row r="154" ht="76" customHeight="1">
      <x:c r="A154" s="2" t="str">
        <x:v>S26-FEATURE-R05</x:v>
      </x:c>
      <x:c r="B154" s="2" t="str">
        <x:v>S26</x:v>
      </x:c>
      <x:c r="C154" s="2" t="str">
        <x:v>merged_1212</x:v>
      </x:c>
      <x:c r="D154" s="2" t="str">
        <x:v>Reviewer_A</x:v>
      </x:c>
      <x:c r="E154" s="2" t="str">
        <x:v>Reviewer_A</x:v>
      </x:c>
      <x:c r="F154" s="2" t="str">
        <x:v>S26-CF05</x:v>
      </x:c>
      <x:c r="G154" s="2" t="str">
        <x:v>S26-MU05</x:v>
      </x:c>
      <x:c r="H154" s="2" t="str">
        <x:v>S26-O05</x:v>
      </x:c>
      <x:c r="I154" s="2" t="str">
        <x:v>Calling and orchestration</x:v>
      </x:c>
      <x:c r="J154" s="2" t="str">
        <x:v>multi-tool orchestration</x:v>
      </x:c>
      <x:c r="K154" s="2" t="str">
        <x:v>Tool_Orchestration</x:v>
      </x:c>
      <x:c r="L154" s="6" t="str">
        <x:v>计划采用 Graph-RAG 检索文档、代码搜索定位代码段，并通过模型上下文协议（MCP）让 LLM 协调这些工具。</x:v>
      </x:c>
      <x:c r="M154" s="2" t="str">
        <x:v>NR</x:v>
      </x:c>
      <x:c r="N154" s="2" t="str">
        <x:v>Not reported</x:v>
      </x:c>
      <x:c r="O154" s="2" t="str">
        <x:v>NR</x:v>
      </x:c>
      <x:c r="P154" s="2" t="str">
        <x:v>Yes</x:v>
      </x:c>
      <x:c r="Q154" s="2" t="str">
        <x:v>No</x:v>
      </x:c>
      <x:c r="R154" s="2" t="str">
        <x:v>Planned</x:v>
      </x:c>
      <x:c r="S154" s="2" t="str">
        <x:v>LLM + Graph-RAG + code search via MCP</x:v>
      </x:c>
      <x:c r="T154" s="6" t="str">
        <x:v>p. 4; Section III-D</x:v>
      </x:c>
      <x:c r="U154" s="6" t="str">
        <x:v>used to retrieve relevant contextual documentation, while code search strategies [33] will help identify pertinent segments of</x:v>
      </x:c>
      <x:c r="V154" s="6" t="str">
        <x:v>RQ4 尚在计划阶段，但清晰地规划了多工具协同的 LLM 代理工作流。</x:v>
      </x:c>
      <x:c r="W154" s="2" t="str">
        <x:v>Accepted</x:v>
      </x:c>
      <x:c r="X154" s="6" t="str">
        <x:v>RQ4 尚未实施</x:v>
      </x:c>
    </x:row>
    <x:row r="155" ht="76" customHeight="1">
      <x:c r="A155" s="2" t="str">
        <x:v>S27-FEATURE-R01</x:v>
      </x:c>
      <x:c r="B155" s="2" t="str">
        <x:v>S27</x:v>
      </x:c>
      <x:c r="C155" s="2" t="str">
        <x:v>merged_1213</x:v>
      </x:c>
      <x:c r="D155" s="2" t="str">
        <x:v>Reviewer_A</x:v>
      </x:c>
      <x:c r="E155" s="2" t="str">
        <x:v>Reviewer_A</x:v>
      </x:c>
      <x:c r="F155" s="2" t="str">
        <x:v>S27-CF01</x:v>
      </x:c>
      <x:c r="G155" s="2" t="str">
        <x:v>S27-MU01</x:v>
      </x:c>
      <x:c r="H155" s="2" t="str">
        <x:v>S27-O01</x:v>
      </x:c>
      <x:c r="I155" s="2" t="str">
        <x:v>Prompting</x:v>
      </x:c>
      <x:c r="J155" s="2" t="str">
        <x:v>KISS prompt (Prompt 1)</x:v>
      </x:c>
      <x:c r="K155" s="2" t="str">
        <x:v>KISS_prompt</x:v>
      </x:c>
      <x:c r="L155" s="6" t="str">
        <x:v>一个简单的零样本分类提示，询问LLM两个制品是否相关，回答yes或no。</x:v>
      </x:c>
      <x:c r="M155" s="2" t="str">
        <x:v>Yes</x:v>
      </x:c>
      <x:c r="N155" s="2" t="str">
        <x:v>Full prompt reported</x:v>
      </x:c>
      <x:c r="O155" s="2" t="str">
        <x:v>NA</x:v>
      </x:c>
      <x:c r="P155" s="2" t="str">
        <x:v>No</x:v>
      </x:c>
      <x:c r="Q155" s="2" t="str">
        <x:v>No</x:v>
      </x:c>
      <x:c r="R155" s="2" t="str">
        <x:v>No</x:v>
      </x:c>
      <x:c r="S155" s="2" t="str">
        <x:v>NA</x:v>
      </x:c>
      <x:c r="T155" s="6" t="str">
        <x:v>p. 2; Section III-A</x:v>
      </x:c>
      <x:c r="U155" s="6" t="str">
        <x:v>Question: Here are two parts of software development artifacts. source type: '''source content'''</x:v>
      </x:c>
      <x:c r="V155" s="6" t="str">
        <x:v>论文直接给出了完整的KISS提示模板，用于过滤步骤。</x:v>
      </x:c>
      <x:c r="W155" s="2" t="str">
        <x:v>Accepted</x:v>
      </x:c>
      <x:c r="X155" s="6" t="str">
        <x:v>NA</x:v>
      </x:c>
    </x:row>
    <x:row r="156" ht="76" customHeight="1">
      <x:c r="A156" s="2" t="str">
        <x:v>S27-FEATURE-R02</x:v>
      </x:c>
      <x:c r="B156" s="2" t="str">
        <x:v>S27</x:v>
      </x:c>
      <x:c r="C156" s="2" t="str">
        <x:v>merged_1213</x:v>
      </x:c>
      <x:c r="D156" s="2" t="str">
        <x:v>Reviewer_A</x:v>
      </x:c>
      <x:c r="E156" s="2" t="str">
        <x:v>Reviewer_A</x:v>
      </x:c>
      <x:c r="F156" s="2" t="str">
        <x:v>S27-CF02</x:v>
      </x:c>
      <x:c r="G156" s="2" t="str">
        <x:v>S27-MU01</x:v>
      </x:c>
      <x:c r="H156" s="2" t="str">
        <x:v>S27-O01</x:v>
      </x:c>
      <x:c r="I156" s="2" t="str">
        <x:v>Calling and orchestration</x:v>
      </x:c>
      <x:c r="J156" s="2" t="str">
        <x:v>Chaining Approach</x:v>
      </x:c>
      <x:c r="K156" s="2" t="str">
        <x:v>chaining</x:v>
      </x:c>
      <x:c r="L156" s="6" t="str">
        <x:v>多个LLM按参数规模从小到大顺序执行，每个LLM过滤候选对并传递给下一个，逐步收缩搜索空间。</x:v>
      </x:c>
      <x:c r="M156" s="2" t="str">
        <x:v>NA</x:v>
      </x:c>
      <x:c r="N156" s="2" t="str">
        <x:v>NA</x:v>
      </x:c>
      <x:c r="O156" s="2" t="str">
        <x:v>NR</x:v>
      </x:c>
      <x:c r="P156" s="2" t="str">
        <x:v>No</x:v>
      </x:c>
      <x:c r="Q156" s="2" t="str">
        <x:v>No</x:v>
      </x:c>
      <x:c r="R156" s="2" t="str">
        <x:v>No</x:v>
      </x:c>
      <x:c r="S156" s="2" t="str">
        <x:v>sequential chaining</x:v>
      </x:c>
      <x:c r="T156" s="6" t="str">
        <x:v>p. 3; Section III-B1</x:v>
      </x:c>
      <x:c r="U156" s="6" t="str">
        <x:v>This method uses the LLMs sequentially to consecutively filter the set of candidate requirements. Each LLM forwards only those identified as potential matches to the next LLM in the chain. The models are arranged in order of increasing parameter size</x:v>
      </x:c>
      <x:c r="V156" s="6" t="str">
        <x:v>链式策略通过多个LLM顺序过滤，在保持高召回的同时减少候选对数量。</x:v>
      </x:c>
      <x:c r="W156" s="2" t="str">
        <x:v>Accepted</x:v>
      </x:c>
      <x:c r="X156" s="6" t="str">
        <x:v>NA</x:v>
      </x:c>
    </x:row>
    <x:row r="157" ht="76" customHeight="1">
      <x:c r="A157" s="2" t="str">
        <x:v>S27-FEATURE-R03</x:v>
      </x:c>
      <x:c r="B157" s="2" t="str">
        <x:v>S27</x:v>
      </x:c>
      <x:c r="C157" s="2" t="str">
        <x:v>merged_1213</x:v>
      </x:c>
      <x:c r="D157" s="2" t="str">
        <x:v>Reviewer_A</x:v>
      </x:c>
      <x:c r="E157" s="2" t="str">
        <x:v>Reviewer_A</x:v>
      </x:c>
      <x:c r="F157" s="2" t="str">
        <x:v>S27-CF03</x:v>
      </x:c>
      <x:c r="G157" s="2" t="str">
        <x:v>S27-MU01</x:v>
      </x:c>
      <x:c r="H157" s="2" t="str">
        <x:v>S27-O01</x:v>
      </x:c>
      <x:c r="I157" s="2" t="str">
        <x:v>Calling and orchestration</x:v>
      </x:c>
      <x:c r="J157" s="2" t="str">
        <x:v>Majority Voting Approach</x:v>
      </x:c>
      <x:c r="K157" s="2" t="str">
        <x:v>majority_voting</x:v>
      </x:c>
      <x:c r="L157" s="6" t="str">
        <x:v>分层投票策略：先由小型LLM预过滤，再由三个LLM独立分类，多数票决定是否保留候选对。</x:v>
      </x:c>
      <x:c r="M157" s="2" t="str">
        <x:v>NA</x:v>
      </x:c>
      <x:c r="N157" s="2" t="str">
        <x:v>NA</x:v>
      </x:c>
      <x:c r="O157" s="2" t="str">
        <x:v>NR</x:v>
      </x:c>
      <x:c r="P157" s="2" t="str">
        <x:v>No</x:v>
      </x:c>
      <x:c r="Q157" s="2" t="str">
        <x:v>No</x:v>
      </x:c>
      <x:c r="R157" s="2" t="str">
        <x:v>No</x:v>
      </x:c>
      <x:c r="S157" s="2" t="str">
        <x:v>layered majority voting</x:v>
      </x:c>
      <x:c r="T157" s="6" t="str">
        <x:v>p. 3; Section III-B2</x:v>
      </x:c>
      <x:c r="U157" s="6" t="str">
        <x:v>we adopt a layered approach: a small, fast LLM first filters the candidate pairs, and only the reduced set is passed to the other models. In the second layer, three LLMs evaluate the remaining pairs, and a candidate is accepted as linked if at least two out of three models agree.</x:v>
      </x:c>
      <x:c r="V157" s="6" t="str">
        <x:v>多数投票策略结合了分层过滤，以提升过滤质量。</x:v>
      </x:c>
      <x:c r="W157" s="2" t="str">
        <x:v>Accepted</x:v>
      </x:c>
      <x:c r="X157" s="6" t="str">
        <x:v>NA</x:v>
      </x:c>
    </x:row>
    <x:row r="158" ht="76" customHeight="1">
      <x:c r="A158" s="2" t="str">
        <x:v>S27-FEATURE-R04</x:v>
      </x:c>
      <x:c r="B158" s="2" t="str">
        <x:v>S27</x:v>
      </x:c>
      <x:c r="C158" s="2" t="str">
        <x:v>merged_1213</x:v>
      </x:c>
      <x:c r="D158" s="2" t="str">
        <x:v>Reviewer_A</x:v>
      </x:c>
      <x:c r="E158" s="2" t="str">
        <x:v>Reviewer_A</x:v>
      </x:c>
      <x:c r="F158" s="2" t="str">
        <x:v>S27-CF04</x:v>
      </x:c>
      <x:c r="G158" s="2" t="str">
        <x:v>S27-MU05</x:v>
      </x:c>
      <x:c r="H158" s="2" t="str">
        <x:v>S27-O02</x:v>
      </x:c>
      <x:c r="I158" s="2" t="str">
        <x:v>Prompting</x:v>
      </x:c>
      <x:c r="J158" s="2" t="str">
        <x:v>Chain-of-thought prompt (Prompt 2)</x:v>
      </x:c>
      <x:c r="K158" s="2" t="str">
        <x:v>CoT_prompt</x:v>
      </x:c>
      <x:c r="L158" s="6" t="str">
        <x:v>要求LLM先推理两个制品间是否存在可追溯性链接，再将yes/no答案放入&lt;trace&gt;标签中。</x:v>
      </x:c>
      <x:c r="M158" s="2" t="str">
        <x:v>Yes</x:v>
      </x:c>
      <x:c r="N158" s="2" t="str">
        <x:v>Full prompt reported</x:v>
      </x:c>
      <x:c r="O158" s="2" t="str">
        <x:v>NA</x:v>
      </x:c>
      <x:c r="P158" s="2" t="str">
        <x:v>No</x:v>
      </x:c>
      <x:c r="Q158" s="2" t="str">
        <x:v>No</x:v>
      </x:c>
      <x:c r="R158" s="2" t="str">
        <x:v>No</x:v>
      </x:c>
      <x:c r="S158" s="2" t="str">
        <x:v>NA</x:v>
      </x:c>
      <x:c r="T158" s="6" t="str">
        <x:v>p. 2; Section III-A</x:v>
      </x:c>
      <x:c r="U158" s="6" t="str">
        <x:v>Prompt 2: Chain-of-thought Below are two artifacts from the same software system. Is there a traceability link between (1) and (2)? Give your reasoning and then answer with 'yes' or 'no' enclosed in &lt;trace&gt; &lt;/trace&gt;.</x:v>
      </x:c>
      <x:c r="V158" s="6" t="str">
        <x:v>CoT提示引导LLM进行逐步推理，提高分类的准确性。</x:v>
      </x:c>
      <x:c r="W158" s="2" t="str">
        <x:v>Accepted</x:v>
      </x:c>
      <x:c r="X158" s="6" t="str">
        <x:v>NA</x:v>
      </x:c>
    </x:row>
    <x:row r="159" ht="76" customHeight="1">
      <x:c r="A159" s="2" t="str">
        <x:v>S28-FEATURE-R01</x:v>
      </x:c>
      <x:c r="B159" s="2" t="str">
        <x:v>S28</x:v>
      </x:c>
      <x:c r="C159" s="2" t="str">
        <x:v>merged_1214</x:v>
      </x:c>
      <x:c r="D159" s="2" t="str">
        <x:v>Reviewer_A</x:v>
      </x:c>
      <x:c r="E159" s="2" t="str">
        <x:v>Reviewer_A</x:v>
      </x:c>
      <x:c r="F159" s="2" t="str">
        <x:v>S28-CF01</x:v>
      </x:c>
      <x:c r="G159" s="2" t="str">
        <x:v>S28-MU03</x:v>
      </x:c>
      <x:c r="H159" s="2" t="str">
        <x:v>S28-O01</x:v>
      </x:c>
      <x:c r="I159" s="2" t="str">
        <x:v>Prompting</x:v>
      </x:c>
      <x:c r="J159" s="2" t="str">
        <x:v>code summarization prompt</x:v>
      </x:c>
      <x:c r="K159" s="2" t="str">
        <x:v>prompt_code_summary</x:v>
      </x:c>
      <x:c r="L159" s="6" t="str">
        <x:v>包含角色设定、输出格式、示例代码和文档模板的提示，引导LLM生成类摘要。</x:v>
      </x:c>
      <x:c r="M159" s="2" t="str">
        <x:v>Yes</x:v>
      </x:c>
      <x:c r="N159" s="2" t="str">
        <x:v>Full prompt reported</x:v>
      </x:c>
      <x:c r="O159" s="2" t="n">
        <x:v>1</x:v>
      </x:c>
      <x:c r="P159" s="2" t="str">
        <x:v>No</x:v>
      </x:c>
      <x:c r="Q159" s="2" t="str">
        <x:v>No</x:v>
      </x:c>
      <x:c r="R159" s="2" t="str">
        <x:v>No</x:v>
      </x:c>
      <x:c r="S159" s="2" t="str">
        <x:v>NA</x:v>
      </x:c>
      <x:c r="T159" s="6" t="str">
        <x:v>p. 8; Section 4.1 Code Summary Generation</x:v>
      </x:c>
      <x:c r="U159" s="6" t="str">
        <x:v>You are an expert in summarizing code. Given a class in a Java code file, generate a class summary that can be used to map the code to a given use case requirement of the provided java code. The summary should capture the purpose of the class and its attributes and methods. Given a doc with the following structure that will be useful for use case requirements with code elements traceability: ⟨DOC_TEMPLATE⟩. Code example: ⟨CODE_EXAMPLE⟩ Provide the summary in simple abstract use case scenario language in the following format: Class Name: &lt;Class Summary&gt; Method Name: &lt;Method Summary&gt; . . Method Name N: &lt;Method Summary N&gt; Here is the code - ⟨code⟩</x:v>
      </x:c>
      <x:c r="V159" s="6" t="str">
        <x:v>提示工程，提供详细的代码摘要指令和输出格式，属于提示特征，包含一个少示例。</x:v>
      </x:c>
      <x:c r="W159" s="2" t="str">
        <x:v>Accepted</x:v>
      </x:c>
      <x:c r="X159" s="6" t="str">
        <x:v>NR</x:v>
      </x:c>
    </x:row>
    <x:row r="160" ht="76" customHeight="1">
      <x:c r="A160" s="2" t="str">
        <x:v>S28-FEATURE-R02</x:v>
      </x:c>
      <x:c r="B160" s="2" t="str">
        <x:v>S28</x:v>
      </x:c>
      <x:c r="C160" s="2" t="str">
        <x:v>merged_1214</x:v>
      </x:c>
      <x:c r="D160" s="2" t="str">
        <x:v>Reviewer_A</x:v>
      </x:c>
      <x:c r="E160" s="2" t="str">
        <x:v>Reviewer_A</x:v>
      </x:c>
      <x:c r="F160" s="2" t="str">
        <x:v>S28-CF02</x:v>
      </x:c>
      <x:c r="G160" s="2" t="str">
        <x:v>S28-MU03</x:v>
      </x:c>
      <x:c r="H160" s="2" t="str">
        <x:v>S28-O02</x:v>
      </x:c>
      <x:c r="I160" s="2" t="str">
        <x:v>Prompting</x:v>
      </x:c>
      <x:c r="J160" s="2" t="str">
        <x:v>query expansion generation prompt</x:v>
      </x:c>
      <x:c r="K160" s="2" t="str">
        <x:v>prompt_query_exp</x:v>
      </x:c>
      <x:c r="L160" s="6" t="str">
        <x:v>LLM使用未公开的提示生成语义相似需求。</x:v>
      </x:c>
      <x:c r="M160" s="2" t="str">
        <x:v>Unclear</x:v>
      </x:c>
      <x:c r="N160" s="2" t="str">
        <x:v>Not reported</x:v>
      </x:c>
      <x:c r="O160" s="2" t="str">
        <x:v>NR</x:v>
      </x:c>
      <x:c r="P160" s="2" t="str">
        <x:v>No</x:v>
      </x:c>
      <x:c r="Q160" s="2" t="str">
        <x:v>No</x:v>
      </x:c>
      <x:c r="R160" s="2" t="str">
        <x:v>No</x:v>
      </x:c>
      <x:c r="S160" s="2" t="str">
        <x:v>NA</x:v>
      </x:c>
      <x:c r="T160" s="6" t="str">
        <x:v>p. 10; Section 4.2 second paragraph</x:v>
      </x:c>
      <x:c r="U160" s="6" t="str">
        <x:v>we employ query expansion by generating semantically similar requirements. We use LLM to generate these similar requirements</x:v>
      </x:c>
      <x:c r="V160" s="6" t="str">
        <x:v>查询扩展提示未报告，但提及使用LLM生成。</x:v>
      </x:c>
      <x:c r="W160" s="2" t="str">
        <x:v>Accepted</x:v>
      </x:c>
      <x:c r="X160" s="6" t="str">
        <x:v>NR</x:v>
      </x:c>
    </x:row>
    <x:row r="161" ht="76" customHeight="1">
      <x:c r="A161" s="2" t="str">
        <x:v>S28-FEATURE-R03</x:v>
      </x:c>
      <x:c r="B161" s="2" t="str">
        <x:v>S28</x:v>
      </x:c>
      <x:c r="C161" s="2" t="str">
        <x:v>merged_1214</x:v>
      </x:c>
      <x:c r="D161" s="2" t="str">
        <x:v>Reviewer_A</x:v>
      </x:c>
      <x:c r="E161" s="2" t="str">
        <x:v>Reviewer_A</x:v>
      </x:c>
      <x:c r="F161" s="2" t="str">
        <x:v>S28-CF03</x:v>
      </x:c>
      <x:c r="G161" s="2" t="str">
        <x:v>S28-MU03</x:v>
      </x:c>
      <x:c r="H161" s="2" t="str">
        <x:v>S28-O03</x:v>
      </x:c>
      <x:c r="I161" s="2" t="str">
        <x:v>Prompting</x:v>
      </x:c>
      <x:c r="J161" s="2" t="str">
        <x:v>requirement traceability prompt</x:v>
      </x:c>
      <x:c r="K161" s="2" t="str">
        <x:v>prompt_trace</x:v>
      </x:c>
      <x:c r="L161" s="6" t="str">
        <x:v>包含需求占位符和输出格式（JSON列表）的提示模板。</x:v>
      </x:c>
      <x:c r="M161" s="2" t="str">
        <x:v>Yes</x:v>
      </x:c>
      <x:c r="N161" s="2" t="str">
        <x:v>Full prompt reported</x:v>
      </x:c>
      <x:c r="O161" s="2" t="n">
        <x:v>0</x:v>
      </x:c>
      <x:c r="P161" s="2" t="str">
        <x:v>Yes</x:v>
      </x:c>
      <x:c r="Q161" s="2" t="str">
        <x:v>No</x:v>
      </x:c>
      <x:c r="R161" s="2" t="str">
        <x:v>No</x:v>
      </x:c>
      <x:c r="S161" s="2" t="str">
        <x:v>NA</x:v>
      </x:c>
      <x:c r="T161" s="6" t="str">
        <x:v>p. 10; Section 4.2 Requirement Traceability Prompt Generation</x:v>
      </x:c>
      <x:c r="U161" s="6" t="str">
        <x:v>What are the names of the classes that are related to the following use case requirement? ⟨requirement⟩ Provide the answer in a list format and provide ONLY the list of class names as a JSON list. [&lt;"Class 1 Name"&gt;, &lt;"Class 2 Name"&gt;,</x:v>
      </x:c>
      <x:c r="V161" s="6" t="str">
        <x:v>提示模板包含查询指令和输出约束，属于提示特征，无少示例。</x:v>
      </x:c>
      <x:c r="W161" s="2" t="str">
        <x:v>Accepted</x:v>
      </x:c>
      <x:c r="X161" s="6" t="str">
        <x:v>NR</x:v>
      </x:c>
    </x:row>
    <x:row r="162" ht="76" customHeight="1">
      <x:c r="A162" s="2" t="str">
        <x:v>S28-FEATURE-R04</x:v>
      </x:c>
      <x:c r="B162" s="2" t="str">
        <x:v>S28</x:v>
      </x:c>
      <x:c r="C162" s="2" t="str">
        <x:v>merged_1214</x:v>
      </x:c>
      <x:c r="D162" s="2" t="str">
        <x:v>Reviewer_A</x:v>
      </x:c>
      <x:c r="E162" s="2" t="str">
        <x:v>Reviewer_A</x:v>
      </x:c>
      <x:c r="F162" s="2" t="str">
        <x:v>S28-CF04</x:v>
      </x:c>
      <x:c r="G162" s="2" t="str">
        <x:v>S28-MU03</x:v>
      </x:c>
      <x:c r="H162" s="2" t="str">
        <x:v>S28-O03</x:v>
      </x:c>
      <x:c r="I162" s="2" t="str">
        <x:v>Context construction</x:v>
      </x:c>
      <x:c r="J162" s="2" t="str">
        <x:v>RAG context construction</x:v>
      </x:c>
      <x:c r="K162" s="2" t="str">
        <x:v>rag_context</x:v>
      </x:c>
      <x:c r="L162" s="6" t="str">
        <x:v>通过多索引检索（关键词、向量、知识图谱）组合构建上下文，以增强LLM的追溯能力。</x:v>
      </x:c>
      <x:c r="M162" s="2" t="str">
        <x:v>NA</x:v>
      </x:c>
      <x:c r="N162" s="2" t="str">
        <x:v>NA</x:v>
      </x:c>
      <x:c r="O162" s="2" t="str">
        <x:v>NA</x:v>
      </x:c>
      <x:c r="P162" s="2" t="str">
        <x:v>Yes</x:v>
      </x:c>
      <x:c r="Q162" s="2" t="str">
        <x:v>No</x:v>
      </x:c>
      <x:c r="R162" s="2" t="str">
        <x:v>No</x:v>
      </x:c>
      <x:c r="S162" s="2" t="str">
        <x:v>Multi-stage retrieval: RS1 keyword/vector, RS2 KG neighbors, RS3 semantic filter</x:v>
      </x:c>
      <x:c r="T162" s="6" t="str">
        <x:v>p. 11; Section 4.2 Response Generation</x:v>
      </x:c>
      <x:c r="U162" s="6" t="str">
        <x:v>the LLM receives the contextualized prompt, which includes the query, i.e., the natural language requirement and the relevant code elements and documentation.</x:v>
      </x:c>
      <x:c r="V162" s="6" t="str">
        <x:v>RAG上下文构建特征，结合多种索引检索相关文档。</x:v>
      </x:c>
      <x:c r="W162" s="2" t="str">
        <x:v>Accepted</x:v>
      </x:c>
      <x:c r="X162" s="6" t="str">
        <x:v>NR</x:v>
      </x:c>
    </x:row>
    <x:row r="163" ht="76" customHeight="1">
      <x:c r="A163" s="2" t="str">
        <x:v>S29-FEATURE-R01</x:v>
      </x:c>
      <x:c r="B163" s="2" t="str">
        <x:v>S29</x:v>
      </x:c>
      <x:c r="C163" s="2" t="str">
        <x:v>merged_1215-v4</x:v>
      </x:c>
      <x:c r="D163" s="2" t="str">
        <x:v>Reviewer_A</x:v>
      </x:c>
      <x:c r="E163" s="2" t="str">
        <x:v>Reviewer_A</x:v>
      </x:c>
      <x:c r="F163" s="2" t="str">
        <x:v>S29-CF01</x:v>
      </x:c>
      <x:c r="G163" s="2" t="str">
        <x:v>S29-MU01</x:v>
      </x:c>
      <x:c r="H163" s="2" t="str">
        <x:v>S29-O01</x:v>
      </x:c>
      <x:c r="I163" s="2" t="str">
        <x:v>Prompting</x:v>
      </x:c>
      <x:c r="J163" s="2" t="str">
        <x:v>Prompt</x:v>
      </x:c>
      <x:c r="K163" s="2" t="str">
        <x:v>TVR-Prompt</x:v>
      </x:c>
      <x:c r="L163" s="6" t="str">
        <x:v>包含任务指令、XML标签分隔的输入和检索示例、输出要求为仅'Yes'或'No'的提示模板</x:v>
      </x:c>
      <x:c r="M163" s="2" t="str">
        <x:v>Yes</x:v>
      </x:c>
      <x:c r="N163" s="2" t="str">
        <x:v>Full prompt reported</x:v>
      </x:c>
      <x:c r="O163" s="2" t="n">
        <x:v>6</x:v>
      </x:c>
      <x:c r="P163" s="2" t="str">
        <x:v>Yes</x:v>
      </x:c>
      <x:c r="Q163" s="2" t="str">
        <x:v>No</x:v>
      </x:c>
      <x:c r="R163" s="2" t="str">
        <x:v>No</x:v>
      </x:c>
      <x:c r="S163" s="2" t="str">
        <x:v>NA</x:v>
      </x:c>
      <x:c r="T163" s="6" t="str">
        <x:v>p. 10; Figure 4</x:v>
      </x:c>
      <x:c r="U163" s="6" t="str">
        <x:v>Please check if the message or signal from the stakeholder requirement is correctly covered by the system requirement.</x:v>
      </x:c>
      <x:c r="V163" s="6" t="str">
        <x:v>提示清晰地定义了任务、约束和输出格式，并包含了检索到的6个示例。</x:v>
      </x:c>
      <x:c r="W163" s="2" t="str">
        <x:v>Accepted</x:v>
      </x:c>
      <x:c r="X163" s="6" t="str">
        <x:v>few_shot_count=6是因为K=3，检索3个正例和3个负例。</x:v>
      </x:c>
    </x:row>
    <x:row r="164" ht="76" customHeight="1">
      <x:c r="A164" s="2" t="str">
        <x:v>S29-FEATURE-R02</x:v>
      </x:c>
      <x:c r="B164" s="2" t="str">
        <x:v>S29</x:v>
      </x:c>
      <x:c r="C164" s="2" t="str">
        <x:v>merged_1215-v4</x:v>
      </x:c>
      <x:c r="D164" s="2" t="str">
        <x:v>Reviewer_A</x:v>
      </x:c>
      <x:c r="E164" s="2" t="str">
        <x:v>Reviewer_A</x:v>
      </x:c>
      <x:c r="F164" s="2" t="str">
        <x:v>S29-CF02</x:v>
      </x:c>
      <x:c r="G164" s="2" t="str">
        <x:v>S29-MU01</x:v>
      </x:c>
      <x:c r="H164" s="2" t="str">
        <x:v>S29-O01</x:v>
      </x:c>
      <x:c r="I164" s="2" t="str">
        <x:v>Context construction</x:v>
      </x:c>
      <x:c r="J164" s="2" t="str">
        <x:v>RAG</x:v>
      </x:c>
      <x:c r="K164" s="2" t="str">
        <x:v>TVR-RAG</x:v>
      </x:c>
      <x:c r="L164" s="6" t="str">
        <x:v>利用Amazon Titan生成需求对嵌入，通过FAISS和余弦相似度检索最相似的k个正例和k个负例（k=3），作为提示中的上下文示例。</x:v>
      </x:c>
      <x:c r="M164" s="2" t="str">
        <x:v>NA</x:v>
      </x:c>
      <x:c r="N164" s="2" t="str">
        <x:v>NA</x:v>
      </x:c>
      <x:c r="O164" s="2" t="n">
        <x:v>6</x:v>
      </x:c>
      <x:c r="P164" s="2" t="str">
        <x:v>Yes</x:v>
      </x:c>
      <x:c r="Q164" s="2" t="str">
        <x:v>No</x:v>
      </x:c>
      <x:c r="R164" s="2" t="str">
        <x:v>No</x:v>
      </x:c>
      <x:c r="S164" s="2" t="str">
        <x:v>NA</x:v>
      </x:c>
      <x:c r="T164" s="6" t="str">
        <x:v>p. 8; Section 3.1</x:v>
      </x:c>
      <x:c r="U164" s="6" t="str">
        <x:v>TVR retrieves similar examples from Dtrain</x:v>
      </x:c>
      <x:c r="V164" s="6" t="str">
        <x:v>RAG是TVR的核心，通过检索相似示例增强LLM的上下文学习。</x:v>
      </x:c>
      <x:c r="W164" s="2" t="str">
        <x:v>Accepted</x:v>
      </x:c>
      <x:c r="X164" s="6" t="str">
        <x:v>最佳配置k=3且余弦相似度来自p.18 Figure 5。</x:v>
      </x:c>
    </x:row>
    <x:row r="165" ht="76" customHeight="1">
      <x:c r="A165" s="2" t="str">
        <x:v>S29-FEATURE-R03</x:v>
      </x:c>
      <x:c r="B165" s="2" t="str">
        <x:v>S29</x:v>
      </x:c>
      <x:c r="C165" s="2" t="str">
        <x:v>merged_1215-v4</x:v>
      </x:c>
      <x:c r="D165" s="2" t="str">
        <x:v>Reviewer_A</x:v>
      </x:c>
      <x:c r="E165" s="2" t="str">
        <x:v>Reviewer_A</x:v>
      </x:c>
      <x:c r="F165" s="2" t="str">
        <x:v>S29-CF03</x:v>
      </x:c>
      <x:c r="G165" s="2" t="str">
        <x:v>S29-MU02</x:v>
      </x:c>
      <x:c r="H165" s="2" t="str">
        <x:v>S29-O02</x:v>
      </x:c>
      <x:c r="I165" s="2" t="str">
        <x:v>Prompting</x:v>
      </x:c>
      <x:c r="J165" s="2" t="str">
        <x:v>Prompt</x:v>
      </x:c>
      <x:c r="K165" s="2" t="str">
        <x:v>TVR-Prompt</x:v>
      </x:c>
      <x:c r="L165" s="6" t="str">
        <x:v>与验证任务相同的提示模板，包含任务指令、XML标签和输出约束。</x:v>
      </x:c>
      <x:c r="M165" s="2" t="str">
        <x:v>Yes</x:v>
      </x:c>
      <x:c r="N165" s="2" t="str">
        <x:v>Full prompt reported</x:v>
      </x:c>
      <x:c r="O165" s="2" t="n">
        <x:v>6</x:v>
      </x:c>
      <x:c r="P165" s="2" t="str">
        <x:v>Yes</x:v>
      </x:c>
      <x:c r="Q165" s="2" t="str">
        <x:v>No</x:v>
      </x:c>
      <x:c r="R165" s="2" t="str">
        <x:v>No</x:v>
      </x:c>
      <x:c r="S165" s="2" t="str">
        <x:v>NA</x:v>
      </x:c>
      <x:c r="T165" s="6" t="str">
        <x:v>p. 10; Figure 4</x:v>
      </x:c>
      <x:c r="U165" s="6" t="str">
        <x:v>Please check if the message or signal</x:v>
      </x:c>
      <x:c r="V165" s="6" t="str">
        <x:v>恢复任务使用完全相同的提示，LLM输出'Yes'即认为存在缺失链接。</x:v>
      </x:c>
      <x:c r="W165" s="2" t="str">
        <x:v>Accepted</x:v>
      </x:c>
      <x:c r="X165" s="6" t="str">
        <x:v>同F1，但应用于O2。</x:v>
      </x:c>
    </x:row>
    <x:row r="166" ht="76" customHeight="1">
      <x:c r="A166" s="2" t="str">
        <x:v>S29-FEATURE-R04</x:v>
      </x:c>
      <x:c r="B166" s="2" t="str">
        <x:v>S29</x:v>
      </x:c>
      <x:c r="C166" s="2" t="str">
        <x:v>merged_1215-v4</x:v>
      </x:c>
      <x:c r="D166" s="2" t="str">
        <x:v>Reviewer_A</x:v>
      </x:c>
      <x:c r="E166" s="2" t="str">
        <x:v>Reviewer_A</x:v>
      </x:c>
      <x:c r="F166" s="2" t="str">
        <x:v>S29-CF04</x:v>
      </x:c>
      <x:c r="G166" s="2" t="str">
        <x:v>S29-MU02</x:v>
      </x:c>
      <x:c r="H166" s="2" t="str">
        <x:v>S29-O02</x:v>
      </x:c>
      <x:c r="I166" s="2" t="str">
        <x:v>Context construction</x:v>
      </x:c>
      <x:c r="J166" s="2" t="str">
        <x:v>RAG</x:v>
      </x:c>
      <x:c r="K166" s="2" t="str">
        <x:v>TVR-RAG</x:v>
      </x:c>
      <x:c r="L166" s="6" t="str">
        <x:v>与验证任务相同的RAG配置：使用Amazon Titan和FAISS检索k=3正负例，余弦相似度。</x:v>
      </x:c>
      <x:c r="M166" s="2" t="str">
        <x:v>NA</x:v>
      </x:c>
      <x:c r="N166" s="2" t="str">
        <x:v>NA</x:v>
      </x:c>
      <x:c r="O166" s="2" t="n">
        <x:v>6</x:v>
      </x:c>
      <x:c r="P166" s="2" t="str">
        <x:v>Yes</x:v>
      </x:c>
      <x:c r="Q166" s="2" t="str">
        <x:v>No</x:v>
      </x:c>
      <x:c r="R166" s="2" t="str">
        <x:v>No</x:v>
      </x:c>
      <x:c r="S166" s="2" t="str">
        <x:v>NA</x:v>
      </x:c>
      <x:c r="T166" s="6" t="str">
        <x:v>p. 8; Section 3.1; Section 5.2</x:v>
      </x:c>
      <x:c r="U166" s="6" t="str">
        <x:v>TVR retrieves similar examples from Dtrain</x:v>
      </x:c>
      <x:c r="V166" s="6" t="str">
        <x:v>恢复任务中的RAG配置与验证任务一致。</x:v>
      </x:c>
      <x:c r="W166" s="2" t="str">
        <x:v>Accepted</x:v>
      </x:c>
      <x:c r="X166" s="6" t="str">
        <x:v>同F2，但应用于O2。</x:v>
      </x:c>
    </x:row>
    <x:row r="167" ht="76" customHeight="1">
      <x:c r="A167" s="2" t="str">
        <x:v>S30-FEATURE-R01</x:v>
      </x:c>
      <x:c r="B167" s="2" t="str">
        <x:v>S30</x:v>
      </x:c>
      <x:c r="C167" s="2" t="str">
        <x:v>merged_1218</x:v>
      </x:c>
      <x:c r="D167" s="2" t="str">
        <x:v>Reviewer_A</x:v>
      </x:c>
      <x:c r="E167" s="2" t="str">
        <x:v>Reviewer_A</x:v>
      </x:c>
      <x:c r="F167" s="2" t="str">
        <x:v>S30-CF01</x:v>
      </x:c>
      <x:c r="G167" s="2" t="str">
        <x:v>S30-MU04</x:v>
      </x:c>
      <x:c r="H167" s="2" t="str">
        <x:v>S30-O03</x:v>
      </x:c>
      <x:c r="I167" s="2" t="str">
        <x:v>Prompting</x:v>
      </x:c>
      <x:c r="J167" s="2" t="str">
        <x:v>query generation prompt template</x:v>
      </x:c>
      <x:c r="K167" s="2" t="str">
        <x:v>query_gen_prompt</x:v>
      </x:c>
      <x:c r="L167" s="6" t="str">
        <x:v>用于生成Cypher查询的提示模板，包含知识图谱schema和用户问题；在入职用例初始版中未使用少样本示例</x:v>
      </x:c>
      <x:c r="M167" s="2" t="str">
        <x:v>Yes</x:v>
      </x:c>
      <x:c r="N167" s="2" t="str">
        <x:v>Partial description</x:v>
      </x:c>
      <x:c r="O167" s="2" t="n">
        <x:v>0</x:v>
      </x:c>
      <x:c r="P167" s="2" t="str">
        <x:v>No</x:v>
      </x:c>
      <x:c r="Q167" s="2" t="str">
        <x:v>No</x:v>
      </x:c>
      <x:c r="R167" s="2" t="str">
        <x:v>No</x:v>
      </x:c>
      <x:c r="S167" s="2" t="str">
        <x:v>NR</x:v>
      </x:c>
      <x:c r="T167" s="6" t="str">
        <x:v>p. 3; Section III-B</x:v>
      </x:c>
      <x:c r="U167" s="6" t="str">
        <x:v>The first template is used to create the query generation prompt, which incorporates the schema of the knowledge graph and the user’s question.</x:v>
      </x:c>
      <x:c r="V167" s="6" t="str">
        <x:v>该模板是查询生成的关键配置，未嵌入少样本，依赖零样本能力</x:v>
      </x:c>
      <x:c r="W167" s="2" t="str">
        <x:v>Accepted</x:v>
      </x:c>
      <x:c r="X167" s="6" t="str">
        <x:v>NA</x:v>
      </x:c>
    </x:row>
    <x:row r="168" ht="76" customHeight="1">
      <x:c r="A168" s="2" t="str">
        <x:v>S30-FEATURE-R02</x:v>
      </x:c>
      <x:c r="B168" s="2" t="str">
        <x:v>S30</x:v>
      </x:c>
      <x:c r="C168" s="2" t="str">
        <x:v>merged_1218</x:v>
      </x:c>
      <x:c r="D168" s="2" t="str">
        <x:v>Reviewer_A</x:v>
      </x:c>
      <x:c r="E168" s="2" t="str">
        <x:v>Reviewer_A</x:v>
      </x:c>
      <x:c r="F168" s="2" t="str">
        <x:v>S30-CF02</x:v>
      </x:c>
      <x:c r="G168" s="2" t="str">
        <x:v>S30-MU04</x:v>
      </x:c>
      <x:c r="H168" s="2" t="str">
        <x:v>S30-O04</x:v>
      </x:c>
      <x:c r="I168" s="2" t="str">
        <x:v>Prompting</x:v>
      </x:c>
      <x:c r="J168" s="2" t="str">
        <x:v>NL response prompt template (software engineer persona)</x:v>
      </x:c>
      <x:c r="K168" s="2" t="str">
        <x:v>nl_response_prompt_SE</x:v>
      </x:c>
      <x:c r="L168" s="6" t="str">
        <x:v>用于生成最终自然语言回答的提示模板，包含软件工程师persona、用户问题及检索上下文，如图2所示</x:v>
      </x:c>
      <x:c r="M168" s="2" t="str">
        <x:v>Yes</x:v>
      </x:c>
      <x:c r="N168" s="2" t="str">
        <x:v>Full prompt reported</x:v>
      </x:c>
      <x:c r="O168" s="2" t="n">
        <x:v>0</x:v>
      </x:c>
      <x:c r="P168" s="2" t="str">
        <x:v>No</x:v>
      </x:c>
      <x:c r="Q168" s="2" t="str">
        <x:v>No</x:v>
      </x:c>
      <x:c r="R168" s="2" t="str">
        <x:v>No</x:v>
      </x:c>
      <x:c r="S168" s="2" t="str">
        <x:v>NR</x:v>
      </x:c>
      <x:c r="T168" s="6" t="str">
        <x:v>p. 5; Section IV</x:v>
      </x:c>
      <x:c r="U168" s="6" t="str">
        <x:v>We selected the software engineer prompt template with Llama 3.1 (8B)</x:v>
      </x:c>
      <x:c r="V168" s="6" t="str">
        <x:v>入职用例中指定了软件工程师persona，模板全文可见于图2</x:v>
      </x:c>
      <x:c r="W168" s="2" t="str">
        <x:v>Accepted</x:v>
      </x:c>
      <x:c r="X168" s="6" t="str">
        <x:v>FP2 corresponds to Fig. 2 template</x:v>
      </x:c>
    </x:row>
    <x:row r="169" ht="76" customHeight="1">
      <x:c r="A169" s="2" t="str">
        <x:v>S30-FEATURE-R03</x:v>
      </x:c>
      <x:c r="B169" s="2" t="str">
        <x:v>S30</x:v>
      </x:c>
      <x:c r="C169" s="2" t="str">
        <x:v>merged_1218</x:v>
      </x:c>
      <x:c r="D169" s="2" t="str">
        <x:v>Reviewer_A</x:v>
      </x:c>
      <x:c r="E169" s="2" t="str">
        <x:v>Reviewer_A</x:v>
      </x:c>
      <x:c r="F169" s="2" t="str">
        <x:v>S30-CF03</x:v>
      </x:c>
      <x:c r="G169" s="2" t="str">
        <x:v>S30-MU04</x:v>
      </x:c>
      <x:c r="H169" s="2" t="str">
        <x:v>S30-O03</x:v>
      </x:c>
      <x:c r="I169" s="2" t="str">
        <x:v>Prompting</x:v>
      </x:c>
      <x:c r="J169" s="2" t="str">
        <x:v>improved query generation prompt template with few-shot examples</x:v>
      </x:c>
      <x:c r="K169" s="2" t="str">
        <x:v>query_gen_prompt_fewshot</x:v>
      </x:c>
      <x:c r="L169" s="6" t="str">
        <x:v>改进后的查询生成提示模板，在原有基础上添加了5个少样本示例（PQ1-PQ5），以提升查询准确性</x:v>
      </x:c>
      <x:c r="M169" s="2" t="str">
        <x:v>Yes</x:v>
      </x:c>
      <x:c r="N169" s="2" t="str">
        <x:v>Partial description</x:v>
      </x:c>
      <x:c r="O169" s="2" t="n">
        <x:v>5</x:v>
      </x:c>
      <x:c r="P169" s="2" t="str">
        <x:v>No</x:v>
      </x:c>
      <x:c r="Q169" s="2" t="str">
        <x:v>No</x:v>
      </x:c>
      <x:c r="R169" s="2" t="str">
        <x:v>No</x:v>
      </x:c>
      <x:c r="S169" s="2" t="str">
        <x:v>NR</x:v>
      </x:c>
      <x:c r="T169" s="6" t="str">
        <x:v>p. 7; Section IV (GDI Improvements)</x:v>
      </x:c>
      <x:c r="U169" s="6" t="str">
        <x:v>We used these questions as input for few-shot prompting and incorporated them into the query generation prompt template.</x:v>
      </x:c>
      <x:c r="V169" s="6" t="str">
        <x:v>TLR用例使用了入职用例改进后的版本，引入了5个示例以缓解查询错误</x:v>
      </x:c>
      <x:c r="W169" s="2" t="str">
        <x:v>Accepted</x:v>
      </x:c>
      <x:c r="X169" s="6" t="str">
        <x:v>TLR采用改进版，包含PQ1-PQ5</x:v>
      </x:c>
    </x:row>
    <x:row r="170" ht="76" customHeight="1">
      <x:c r="A170" s="2" t="str">
        <x:v>S30-FEATURE-R04</x:v>
      </x:c>
      <x:c r="B170" s="2" t="str">
        <x:v>S30</x:v>
      </x:c>
      <x:c r="C170" s="2" t="str">
        <x:v>merged_1218</x:v>
      </x:c>
      <x:c r="D170" s="2" t="str">
        <x:v>Reviewer_A</x:v>
      </x:c>
      <x:c r="E170" s="2" t="str">
        <x:v>Reviewer_A</x:v>
      </x:c>
      <x:c r="F170" s="2" t="str">
        <x:v>S30-CF04</x:v>
      </x:c>
      <x:c r="G170" s="2" t="str">
        <x:v>S30-MU04</x:v>
      </x:c>
      <x:c r="H170" s="2" t="str">
        <x:v>S30-O04</x:v>
      </x:c>
      <x:c r="I170" s="2" t="str">
        <x:v>Prompting</x:v>
      </x:c>
      <x:c r="J170" s="2" t="str">
        <x:v>NL response prompt template (various stakeholder personas)</x:v>
      </x:c>
      <x:c r="K170" s="2" t="str">
        <x:v>nl_response_prompt_various</x:v>
      </x:c>
      <x:c r="L170" s="6" t="str">
        <x:v>TLR用例中使用多种干系人persona（如全栈开发、DevOps工程师等）的NL响应模板，基本结构与图2一致</x:v>
      </x:c>
      <x:c r="M170" s="2" t="str">
        <x:v>Yes</x:v>
      </x:c>
      <x:c r="N170" s="2" t="str">
        <x:v>Full prompt reported</x:v>
      </x:c>
      <x:c r="O170" s="2" t="n">
        <x:v>0</x:v>
      </x:c>
      <x:c r="P170" s="2" t="str">
        <x:v>No</x:v>
      </x:c>
      <x:c r="Q170" s="2" t="str">
        <x:v>No</x:v>
      </x:c>
      <x:c r="R170" s="2" t="str">
        <x:v>No</x:v>
      </x:c>
      <x:c r="S170" s="2" t="str">
        <x:v>NR</x:v>
      </x:c>
      <x:c r="T170" s="6" t="str">
        <x:v>p. 7; Section V</x:v>
      </x:c>
      <x:c r="U170" s="6" t="str">
        <x:v>We used various stakeholder persona prompt templates with Llama3.1</x:v>
      </x:c>
      <x:c r="V170" s="6" t="str">
        <x:v>根据参与者角色选择不同的persona模板，但提示框架与图2一致</x:v>
      </x:c>
      <x:c r="W170" s="2" t="str">
        <x:v>Accepted</x:v>
      </x:c>
      <x:c r="X170" s="6" t="str">
        <x:v>NA</x:v>
      </x:c>
    </x:row>
    <x:row r="171" ht="76" customHeight="1">
      <x:c r="A171" s="2" t="str">
        <x:v>S31-FEATURE-R01</x:v>
      </x:c>
      <x:c r="B171" s="2" t="str">
        <x:v>S31</x:v>
      </x:c>
      <x:c r="C171" s="2" t="str">
        <x:v>merged_1219</x:v>
      </x:c>
      <x:c r="D171" s="2" t="str">
        <x:v>Reviewer_A</x:v>
      </x:c>
      <x:c r="E171" s="2" t="str">
        <x:v>Reviewer_A</x:v>
      </x:c>
      <x:c r="F171" s="2" t="str">
        <x:v>S31-CF01</x:v>
      </x:c>
      <x:c r="G171" s="2" t="str">
        <x:v>S31-MU01</x:v>
      </x:c>
      <x:c r="H171" s="2" t="str">
        <x:v>S31-O01</x:v>
      </x:c>
      <x:c r="I171" s="2" t="str">
        <x:v>Calling and orchestration</x:v>
      </x:c>
      <x:c r="J171" s="2" t="str">
        <x:v>CrewAI multi-agent orchestration</x:v>
      </x:c>
      <x:c r="K171" s="2" t="str">
        <x:v>crewai-orchestration</x:v>
      </x:c>
      <x:c r="L171" s="6" t="str">
        <x:v>使用CrewAI框架编排多个LLM代理有序协作</x:v>
      </x:c>
      <x:c r="M171" s="2" t="str">
        <x:v>No</x:v>
      </x:c>
      <x:c r="N171" s="2" t="str">
        <x:v>Not reported</x:v>
      </x:c>
      <x:c r="O171" s="2" t="str">
        <x:v>NR</x:v>
      </x:c>
      <x:c r="P171" s="2" t="str">
        <x:v>Unclear</x:v>
      </x:c>
      <x:c r="Q171" s="2" t="str">
        <x:v>No</x:v>
      </x:c>
      <x:c r="R171" s="2" t="str">
        <x:v>Sequential</x:v>
      </x:c>
      <x:c r="S171" s="2" t="str">
        <x:v>CrewAI coordinates sequential agent execution with shared memory</x:v>
      </x:c>
      <x:c r="T171" s="6" t="str">
        <x:v>p. 3; Section III-B</x:v>
      </x:c>
      <x:c r="U171" s="6" t="str">
        <x:v>orchestrated with CrewAI</x:v>
      </x:c>
      <x:c r="V171" s="6" t="str">
        <x:v>原型利用CrewAI实现多代理的顺序协作，是核心的调用与编排特性</x:v>
      </x:c>
      <x:c r="W171" s="2" t="str">
        <x:v>Accepted</x:v>
      </x:c>
      <x:c r="X171" s="6" t="str">
        <x:v>代理具体prompt未公开</x:v>
      </x:c>
    </x:row>
    <x:row r="172" ht="76" customHeight="1">
      <x:c r="A172" s="2" t="str">
        <x:v>S31-FEATURE-R02</x:v>
      </x:c>
      <x:c r="B172" s="2" t="str">
        <x:v>S31</x:v>
      </x:c>
      <x:c r="C172" s="2" t="str">
        <x:v>merged_1219</x:v>
      </x:c>
      <x:c r="D172" s="2" t="str">
        <x:v>Reviewer_A</x:v>
      </x:c>
      <x:c r="E172" s="2" t="str">
        <x:v>Reviewer_A</x:v>
      </x:c>
      <x:c r="F172" s="2" t="str">
        <x:v>S31-CF02</x:v>
      </x:c>
      <x:c r="G172" s="2" t="str">
        <x:v>S31-MU01</x:v>
      </x:c>
      <x:c r="H172" s="2" t="str">
        <x:v>S31-O01</x:v>
      </x:c>
      <x:c r="I172" s="2" t="str">
        <x:v>Calling and orchestration</x:v>
      </x:c>
      <x:c r="J172" s="2" t="str">
        <x:v>Sequential execution with shared memory</x:v>
      </x:c>
      <x:c r="K172" s="2" t="str">
        <x:v>sequential-shared-memory</x:v>
      </x:c>
      <x:c r="L172" s="6" t="str">
        <x:v>代理按顺序执行，通过共享内存传递中间产物以避免覆盖前序工作</x:v>
      </x:c>
      <x:c r="M172" s="2" t="str">
        <x:v>NA</x:v>
      </x:c>
      <x:c r="N172" s="2" t="str">
        <x:v>NA</x:v>
      </x:c>
      <x:c r="O172" s="2" t="str">
        <x:v>NR</x:v>
      </x:c>
      <x:c r="P172" s="2" t="str">
        <x:v>NR</x:v>
      </x:c>
      <x:c r="Q172" s="2" t="str">
        <x:v>NA</x:v>
      </x:c>
      <x:c r="R172" s="2" t="str">
        <x:v>Sequential</x:v>
      </x:c>
      <x:c r="S172" s="2" t="str">
        <x:v>Shared memory store enables sequential refinement</x:v>
      </x:c>
      <x:c r="T172" s="6" t="str">
        <x:v>p. 3; Section III-B</x:v>
      </x:c>
      <x:c r="U172" s="6" t="str">
        <x:v>the agents run sequentially, passing intermediate outputs such as the research done by the Researcher agent, through a shared memory store so that later agents refine, rather than overwrite, earlier work</x:v>
      </x:c>
      <x:c r="V172" s="6" t="str">
        <x:v>顺序执行和共享内存确保了代理间的信息无损传递，是协调多步LLM操作的关键编排特性</x:v>
      </x:c>
      <x:c r="W172" s="2" t="str">
        <x:v>Accepted</x:v>
      </x:c>
      <x:c r="X172" s="6" t="str">
        <x:v>NA</x:v>
      </x:c>
    </x:row>
    <x:row r="173" ht="76" customHeight="1">
      <x:c r="A173" s="2" t="str">
        <x:v>S32-FEATURE-R01</x:v>
      </x:c>
      <x:c r="B173" s="2" t="str">
        <x:v>S32</x:v>
      </x:c>
      <x:c r="C173" s="2" t="str">
        <x:v>merged_1220</x:v>
      </x:c>
      <x:c r="D173" s="2" t="str">
        <x:v>Reviewer_A</x:v>
      </x:c>
      <x:c r="E173" s="2" t="str">
        <x:v>Reviewer_A</x:v>
      </x:c>
      <x:c r="F173" s="2" t="str">
        <x:v>S32-CF01</x:v>
      </x:c>
      <x:c r="G173" s="2" t="str">
        <x:v>S32-MU01</x:v>
      </x:c>
      <x:c r="H173" s="2" t="str">
        <x:v>S32-O01</x:v>
      </x:c>
      <x:c r="I173" s="2" t="str">
        <x:v>Prompting</x:v>
      </x:c>
      <x:c r="J173" s="2" t="str">
        <x:v>Prompt engineering with metamodel and contextual examples</x:v>
      </x:c>
      <x:c r="K173" s="2" t="str">
        <x:v>prompt-engineering</x:v>
      </x:c>
      <x:c r="L173" s="6" t="str">
        <x:v>使用领域特定元模型和上下文示例的提示工程，引导LLM按照元模型定义提取结构化信息。</x:v>
      </x:c>
      <x:c r="M173" s="2" t="str">
        <x:v>Yes</x:v>
      </x:c>
      <x:c r="N173" s="2" t="str">
        <x:v>Partial description</x:v>
      </x:c>
      <x:c r="O173" s="2" t="str">
        <x:v>NR</x:v>
      </x:c>
      <x:c r="P173" s="2" t="str">
        <x:v>No</x:v>
      </x:c>
      <x:c r="Q173" s="2" t="str">
        <x:v>No</x:v>
      </x:c>
      <x:c r="R173" s="2" t="str">
        <x:v>No</x:v>
      </x:c>
      <x:c r="S173" s="2" t="str">
        <x:v>NR</x:v>
      </x:c>
      <x:c r="T173" s="6" t="str">
        <x:v>p. 4; section IV.A</x:v>
      </x:c>
      <x:c r="U173" s="6" t="str">
        <x:v>JSON/XML format that conforms to the metamodel semantics. Prompt templates embed the metamodel definition via &lt;metamodel-definition&gt; to enforce structural consistency and guide the model to act as a ”requirements analyst.”</x:v>
      </x:c>
      <x:c r="V173" s="6" t="str">
        <x:v>提示模板包含元模型定义和少量示例，但未提供完整提示文本或示例数量，属于部分描述。</x:v>
      </x:c>
      <x:c r="W173" s="2" t="str">
        <x:v>Accepted</x:v>
      </x:c>
      <x:c r="X173" s="6" t="str">
        <x:v>NA</x:v>
      </x:c>
    </x:row>
    <x:row r="174" ht="76" customHeight="1">
      <x:c r="A174" s="2" t="str">
        <x:v>S33-FEATURE-R01</x:v>
      </x:c>
      <x:c r="B174" s="2" t="str">
        <x:v>S33</x:v>
      </x:c>
      <x:c r="C174" s="2" t="str">
        <x:v>merged_1222</x:v>
      </x:c>
      <x:c r="D174" s="2" t="str">
        <x:v>Reviewer_A</x:v>
      </x:c>
      <x:c r="E174" s="2" t="str">
        <x:v>Reviewer_A</x:v>
      </x:c>
      <x:c r="F174" s="2" t="str">
        <x:v>S33-CF01</x:v>
      </x:c>
      <x:c r="G174" s="2" t="str">
        <x:v>S33-MU01</x:v>
      </x:c>
      <x:c r="H174" s="2" t="str">
        <x:v>S33-O01</x:v>
      </x:c>
      <x:c r="I174" s="2" t="str">
        <x:v>Prompting</x:v>
      </x:c>
      <x:c r="J174" s="2" t="str">
        <x:v>System prompt</x:v>
      </x:c>
      <x:c r="K174" s="2" t="str">
        <x:v>SYSPROMPT</x:v>
      </x:c>
      <x:c r="L174" s="6" t="str">
        <x:v>固定的系统提示，概述任务、输入格式、评估指南和JSON输出规范。</x:v>
      </x:c>
      <x:c r="M174" s="2" t="str">
        <x:v>Yes</x:v>
      </x:c>
      <x:c r="N174" s="2" t="str">
        <x:v>Full prompt reported</x:v>
      </x:c>
      <x:c r="O174" s="2" t="n">
        <x:v>0</x:v>
      </x:c>
      <x:c r="P174" s="2" t="str">
        <x:v>No</x:v>
      </x:c>
      <x:c r="Q174" s="2" t="str">
        <x:v>No</x:v>
      </x:c>
      <x:c r="R174" s="2" t="str">
        <x:v>No</x:v>
      </x:c>
      <x:c r="S174" s="2" t="str">
        <x:v>NA</x:v>
      </x:c>
      <x:c r="T174" s="6" t="str">
        <x:v>p. 5; Figure 5 and Section IV.D</x:v>
      </x:c>
      <x:c r="U174" s="6" t="str">
        <x:v>The system prompt for the LLM contains the general instruction, which is shown in Figure 5.</x:v>
      </x:c>
      <x:c r="V174" s="6" t="str">
        <x:v>Figure 5完整呈现了系统提示，属于全量报告。</x:v>
      </x:c>
      <x:c r="W174" s="2" t="str">
        <x:v>Accepted</x:v>
      </x:c>
      <x:c r="X174" s="6" t="str">
        <x:v>NA</x:v>
      </x:c>
    </x:row>
    <x:row r="175" ht="76" customHeight="1">
      <x:c r="A175" s="2" t="str">
        <x:v>S33-FEATURE-R02</x:v>
      </x:c>
      <x:c r="B175" s="2" t="str">
        <x:v>S33</x:v>
      </x:c>
      <x:c r="C175" s="2" t="str">
        <x:v>merged_1222</x:v>
      </x:c>
      <x:c r="D175" s="2" t="str">
        <x:v>Reviewer_A</x:v>
      </x:c>
      <x:c r="E175" s="2" t="str">
        <x:v>Reviewer_A</x:v>
      </x:c>
      <x:c r="F175" s="2" t="str">
        <x:v>S33-CF02</x:v>
      </x:c>
      <x:c r="G175" s="2" t="str">
        <x:v>S33-MU01</x:v>
      </x:c>
      <x:c r="H175" s="2" t="str">
        <x:v>S33-O01</x:v>
      </x:c>
      <x:c r="I175" s="2" t="str">
        <x:v>Output constraint</x:v>
      </x:c>
      <x:c r="J175" s="2" t="str">
        <x:v>JSON output format</x:v>
      </x:c>
      <x:c r="K175" s="2" t="str">
        <x:v>JSONOUT</x:v>
      </x:c>
      <x:c r="L175" s="6" t="str">
        <x:v>要求LLM输出结构化的JSON对象，包含分数和注释。</x:v>
      </x:c>
      <x:c r="M175" s="2" t="str">
        <x:v>NA</x:v>
      </x:c>
      <x:c r="N175" s="2" t="str">
        <x:v>NA</x:v>
      </x:c>
      <x:c r="O175" s="2" t="str">
        <x:v>NR</x:v>
      </x:c>
      <x:c r="P175" s="2" t="str">
        <x:v>No</x:v>
      </x:c>
      <x:c r="Q175" s="2" t="str">
        <x:v>No</x:v>
      </x:c>
      <x:c r="R175" s="2" t="str">
        <x:v>No</x:v>
      </x:c>
      <x:c r="S175" s="2" t="str">
        <x:v>NA</x:v>
      </x:c>
      <x:c r="T175" s="6" t="str">
        <x:v>p. 5; Section IV.D</x:v>
      </x:c>
      <x:c r="U175" s="6" t="str">
        <x:v>Lines 7 and onward address the output structure, which must be in JSON format with specified data types.</x:v>
      </x:c>
      <x:c r="V175" s="6" t="str">
        <x:v>通过输出约束确保结果可解析，降低后处理复杂度。</x:v>
      </x:c>
      <x:c r="W175" s="2" t="str">
        <x:v>Accepted</x:v>
      </x:c>
      <x:c r="X175" s="6" t="str">
        <x:v>NA</x:v>
      </x:c>
    </x:row>
    <x:row r="176" ht="76" customHeight="1">
      <x:c r="A176" s="2" t="str">
        <x:v>S33-FEATURE-R03</x:v>
      </x:c>
      <x:c r="B176" s="2" t="str">
        <x:v>S33</x:v>
      </x:c>
      <x:c r="C176" s="2" t="str">
        <x:v>merged_1222</x:v>
      </x:c>
      <x:c r="D176" s="2" t="str">
        <x:v>Reviewer_A</x:v>
      </x:c>
      <x:c r="E176" s="2" t="str">
        <x:v>Reviewer_A</x:v>
      </x:c>
      <x:c r="F176" s="2" t="str">
        <x:v>S33-CF03</x:v>
      </x:c>
      <x:c r="G176" s="2" t="str">
        <x:v>S33-MU02</x:v>
      </x:c>
      <x:c r="H176" s="2" t="str">
        <x:v>S33-O02</x:v>
      </x:c>
      <x:c r="I176" s="2" t="str">
        <x:v>Prompting</x:v>
      </x:c>
      <x:c r="J176" s="2" t="str">
        <x:v>System prompt</x:v>
      </x:c>
      <x:c r="K176" s="2" t="str">
        <x:v>SYSPROMPT</x:v>
      </x:c>
      <x:c r="L176" s="6" t="str">
        <x:v>与M1相同的系统提示，用于评估场景。</x:v>
      </x:c>
      <x:c r="M176" s="2" t="str">
        <x:v>Yes</x:v>
      </x:c>
      <x:c r="N176" s="2" t="str">
        <x:v>Full prompt reported</x:v>
      </x:c>
      <x:c r="O176" s="2" t="n">
        <x:v>0</x:v>
      </x:c>
      <x:c r="P176" s="2" t="str">
        <x:v>No</x:v>
      </x:c>
      <x:c r="Q176" s="2" t="str">
        <x:v>No</x:v>
      </x:c>
      <x:c r="R176" s="2" t="str">
        <x:v>No</x:v>
      </x:c>
      <x:c r="S176" s="2" t="str">
        <x:v>NA</x:v>
      </x:c>
      <x:c r="T176" s="6" t="str">
        <x:v>p. 5; Figure 5 and Section IV.D</x:v>
      </x:c>
      <x:c r="U176" s="6" t="str">
        <x:v>The system prompt for the LLM contains the general instruction, which is shown in Figure 5.</x:v>
      </x:c>
      <x:c r="V176" s="6" t="str">
        <x:v>提示复用，保持任务一致性。</x:v>
      </x:c>
      <x:c r="W176" s="2" t="str">
        <x:v>Accepted</x:v>
      </x:c>
      <x:c r="X176" s="6" t="str">
        <x:v>NA</x:v>
      </x:c>
    </x:row>
    <x:row r="177" ht="76" customHeight="1">
      <x:c r="A177" s="2" t="str">
        <x:v>S33-FEATURE-R04</x:v>
      </x:c>
      <x:c r="B177" s="2" t="str">
        <x:v>S33</x:v>
      </x:c>
      <x:c r="C177" s="2" t="str">
        <x:v>merged_1222</x:v>
      </x:c>
      <x:c r="D177" s="2" t="str">
        <x:v>Reviewer_A</x:v>
      </x:c>
      <x:c r="E177" s="2" t="str">
        <x:v>Reviewer_A</x:v>
      </x:c>
      <x:c r="F177" s="2" t="str">
        <x:v>S33-CF04</x:v>
      </x:c>
      <x:c r="G177" s="2" t="str">
        <x:v>S33-MU02</x:v>
      </x:c>
      <x:c r="H177" s="2" t="str">
        <x:v>S33-O02</x:v>
      </x:c>
      <x:c r="I177" s="2" t="str">
        <x:v>Output constraint</x:v>
      </x:c>
      <x:c r="J177" s="2" t="str">
        <x:v>Boolean JSON without comment</x:v>
      </x:c>
      <x:c r="K177" s="2" t="str">
        <x:v>BOOLJSON</x:v>
      </x:c>
      <x:c r="L177" s="6" t="str">
        <x:v>输出仅含布尔值，省略评论，以减少输出token并提高解析成功率。</x:v>
      </x:c>
      <x:c r="M177" s="2" t="str">
        <x:v>NA</x:v>
      </x:c>
      <x:c r="N177" s="2" t="str">
        <x:v>NA</x:v>
      </x:c>
      <x:c r="O177" s="2" t="str">
        <x:v>NR</x:v>
      </x:c>
      <x:c r="P177" s="2" t="str">
        <x:v>No</x:v>
      </x:c>
      <x:c r="Q177" s="2" t="str">
        <x:v>No</x:v>
      </x:c>
      <x:c r="R177" s="2" t="str">
        <x:v>No</x:v>
      </x:c>
      <x:c r="S177" s="2" t="str">
        <x:v>NA</x:v>
      </x:c>
      <x:c r="T177" s="6" t="str">
        <x:v>p. 6; Section IV.D</x:v>
      </x:c>
      <x:c r="U177" s="6" t="str">
        <x:v>the comment was omitted and only the choice (true or false) were compared with the expected result.</x:v>
      </x:c>
      <x:c r="V177" s="6" t="str">
        <x:v>因输出令牌过多导致无效数据，故简化输出。</x:v>
      </x:c>
      <x:c r="W177" s="2" t="str">
        <x:v>Accepted</x:v>
      </x:c>
      <x:c r="X177" s="6" t="str">
        <x:v>NA</x:v>
      </x:c>
    </x:row>
    <x:row r="178" ht="76" customHeight="1">
      <x:c r="A178" s="2" t="str">
        <x:v>S33-FEATURE-R05</x:v>
      </x:c>
      <x:c r="B178" s="2" t="str">
        <x:v>S33</x:v>
      </x:c>
      <x:c r="C178" s="2" t="str">
        <x:v>merged_1222</x:v>
      </x:c>
      <x:c r="D178" s="2" t="str">
        <x:v>Reviewer_A</x:v>
      </x:c>
      <x:c r="E178" s="2" t="str">
        <x:v>Reviewer_A</x:v>
      </x:c>
      <x:c r="F178" s="2" t="str">
        <x:v>S33-CF05</x:v>
      </x:c>
      <x:c r="G178" s="2" t="str">
        <x:v>S33-MU02</x:v>
      </x:c>
      <x:c r="H178" s="2" t="str">
        <x:v>S33-O02</x:v>
      </x:c>
      <x:c r="I178" s="2" t="str">
        <x:v>Other</x:v>
      </x:c>
      <x:c r="J178" s="2" t="str">
        <x:v>Temperature minimized</x:v>
      </x:c>
      <x:c r="K178" s="2" t="str">
        <x:v>TEMP_MIN</x:v>
      </x:c>
      <x:c r="L178" s="6" t="str">
        <x:v>温度参数设为最小值以增强输出确定性。</x:v>
      </x:c>
      <x:c r="M178" s="2" t="str">
        <x:v>NA</x:v>
      </x:c>
      <x:c r="N178" s="2" t="str">
        <x:v>NA</x:v>
      </x:c>
      <x:c r="O178" s="2" t="str">
        <x:v>NR</x:v>
      </x:c>
      <x:c r="P178" s="2" t="str">
        <x:v>No</x:v>
      </x:c>
      <x:c r="Q178" s="2" t="str">
        <x:v>No</x:v>
      </x:c>
      <x:c r="R178" s="2" t="str">
        <x:v>No</x:v>
      </x:c>
      <x:c r="S178" s="2" t="str">
        <x:v>NA</x:v>
      </x:c>
      <x:c r="T178" s="6" t="str">
        <x:v>p. 5; Section IV.C</x:v>
      </x:c>
      <x:c r="U178" s="6" t="str">
        <x:v>the temperature of the models was set to a minimum to achieve the most deterministic results.</x:v>
      </x:c>
      <x:c r="V178" s="6" t="str">
        <x:v>通过最小化温度减少随机性，使评估结果可复现。</x:v>
      </x:c>
      <x:c r="W178" s="2" t="str">
        <x:v>Accepted</x:v>
      </x:c>
      <x:c r="X178" s="6" t="str">
        <x:v>未给出具体数值，但‘minimum’通常理解为接近0。</x:v>
      </x:c>
    </x:row>
    <x:row r="179" ht="76" customHeight="1">
      <x:c r="A179" s="2" t="str">
        <x:v>S33-FEATURE-R06</x:v>
      </x:c>
      <x:c r="B179" s="2" t="str">
        <x:v>S33</x:v>
      </x:c>
      <x:c r="C179" s="2" t="str">
        <x:v>merged_1222</x:v>
      </x:c>
      <x:c r="D179" s="2" t="str">
        <x:v>Reviewer_A</x:v>
      </x:c>
      <x:c r="E179" s="2" t="str">
        <x:v>Reviewer_A</x:v>
      </x:c>
      <x:c r="F179" s="2" t="str">
        <x:v>S33-CF06</x:v>
      </x:c>
      <x:c r="G179" s="2" t="str">
        <x:v>S33-MU02</x:v>
      </x:c>
      <x:c r="H179" s="2" t="str">
        <x:v>S33-O02</x:v>
      </x:c>
      <x:c r="I179" s="2" t="str">
        <x:v>Context construction</x:v>
      </x:c>
      <x:c r="J179" s="2" t="str">
        <x:v>Pair evaluation mode</x:v>
      </x:c>
      <x:c r="K179" s="2" t="str">
        <x:v>PAIRMODE</x:v>
      </x:c>
      <x:c r="L179" s="6" t="str">
        <x:v>将多个需求与多个实现以不同方式分组为1:1、1:M、N:1、N:M对，作为单次请求的输入。</x:v>
      </x:c>
      <x:c r="M179" s="2" t="str">
        <x:v>NA</x:v>
      </x:c>
      <x:c r="N179" s="2" t="str">
        <x:v>NA</x:v>
      </x:c>
      <x:c r="O179" s="2" t="str">
        <x:v>NR</x:v>
      </x:c>
      <x:c r="P179" s="2" t="str">
        <x:v>No</x:v>
      </x:c>
      <x:c r="Q179" s="2" t="str">
        <x:v>No</x:v>
      </x:c>
      <x:c r="R179" s="2" t="str">
        <x:v>No</x:v>
      </x:c>
      <x:c r="S179" s="2" t="str">
        <x:v>NA</x:v>
      </x:c>
      <x:c r="T179" s="6" t="str">
        <x:v>p. 5; Section IV.C</x:v>
      </x:c>
      <x:c r="U179" s="6" t="str">
        <x:v>Starting simple with one requirement - one implementation (1:1), there could also be pairs of one requirement - all implementations (1:M) or all requirement - one implementations (N:1). Finally, you can also create only one pair all requirement - all implementations (N:M)</x:v>
      </x:c>
      <x:c r="V179" s="6" t="str">
        <x:v>不同的配对模式直接影响LLM接收的上下文量，N:M提供最多上下文。</x:v>
      </x:c>
      <x:c r="W179" s="2" t="str">
        <x:v>Accepted</x:v>
      </x:c>
      <x:c r="X179" s="6" t="str">
        <x:v>NA</x:v>
      </x:c>
    </x:row>
    <x:row r="180" ht="76" customHeight="1">
      <x:c r="A180" s="2" t="str">
        <x:v>S33-FEATURE-R07</x:v>
      </x:c>
      <x:c r="B180" s="2" t="str">
        <x:v>S33</x:v>
      </x:c>
      <x:c r="C180" s="2" t="str">
        <x:v>merged_1222</x:v>
      </x:c>
      <x:c r="D180" s="2" t="str">
        <x:v>Reviewer_A</x:v>
      </x:c>
      <x:c r="E180" s="2" t="str">
        <x:v>Reviewer_A</x:v>
      </x:c>
      <x:c r="F180" s="2" t="str">
        <x:v>S33-CF07</x:v>
      </x:c>
      <x:c r="G180" s="2" t="str">
        <x:v>S33-MU03</x:v>
      </x:c>
      <x:c r="H180" s="2" t="str">
        <x:v>S33-O02</x:v>
      </x:c>
      <x:c r="I180" s="2" t="str">
        <x:v>Prompting</x:v>
      </x:c>
      <x:c r="J180" s="2" t="str">
        <x:v>System prompt</x:v>
      </x:c>
      <x:c r="K180" s="2" t="str">
        <x:v>SYSPROMPT</x:v>
      </x:c>
      <x:c r="L180" s="6" t="str">
        <x:v>与M1/M2相同的系统提示。</x:v>
      </x:c>
      <x:c r="M180" s="2" t="str">
        <x:v>Yes</x:v>
      </x:c>
      <x:c r="N180" s="2" t="str">
        <x:v>Full prompt reported</x:v>
      </x:c>
      <x:c r="O180" s="2" t="n">
        <x:v>0</x:v>
      </x:c>
      <x:c r="P180" s="2" t="str">
        <x:v>No</x:v>
      </x:c>
      <x:c r="Q180" s="2" t="str">
        <x:v>No</x:v>
      </x:c>
      <x:c r="R180" s="2" t="str">
        <x:v>No</x:v>
      </x:c>
      <x:c r="S180" s="2" t="str">
        <x:v>NA</x:v>
      </x:c>
      <x:c r="T180" s="6" t="str">
        <x:v>p. 5; Figure 5 and Section IV.D</x:v>
      </x:c>
      <x:c r="U180" s="6" t="str">
        <x:v>The system prompt for the LLM contains the general instruction, which is shown in Figure 5.</x:v>
      </x:c>
      <x:c r="V180" s="6" t="str">
        <x:v>提示复用。</x:v>
      </x:c>
      <x:c r="W180" s="2" t="str">
        <x:v>Accepted</x:v>
      </x:c>
      <x:c r="X180" s="6" t="str">
        <x:v>NA</x:v>
      </x:c>
    </x:row>
    <x:row r="181" ht="76" customHeight="1">
      <x:c r="A181" s="2" t="str">
        <x:v>S33-FEATURE-R08</x:v>
      </x:c>
      <x:c r="B181" s="2" t="str">
        <x:v>S33</x:v>
      </x:c>
      <x:c r="C181" s="2" t="str">
        <x:v>merged_1222</x:v>
      </x:c>
      <x:c r="D181" s="2" t="str">
        <x:v>Reviewer_A</x:v>
      </x:c>
      <x:c r="E181" s="2" t="str">
        <x:v>Reviewer_A</x:v>
      </x:c>
      <x:c r="F181" s="2" t="str">
        <x:v>S33-CF08</x:v>
      </x:c>
      <x:c r="G181" s="2" t="str">
        <x:v>S33-MU03</x:v>
      </x:c>
      <x:c r="H181" s="2" t="str">
        <x:v>S33-O02</x:v>
      </x:c>
      <x:c r="I181" s="2" t="str">
        <x:v>Output constraint</x:v>
      </x:c>
      <x:c r="J181" s="2" t="str">
        <x:v>Boolean JSON without comment</x:v>
      </x:c>
      <x:c r="K181" s="2" t="str">
        <x:v>BOOLJSON</x:v>
      </x:c>
      <x:c r="L181" s="6" t="str">
        <x:v>仅输出布尔值。</x:v>
      </x:c>
      <x:c r="M181" s="2" t="str">
        <x:v>NA</x:v>
      </x:c>
      <x:c r="N181" s="2" t="str">
        <x:v>NA</x:v>
      </x:c>
      <x:c r="O181" s="2" t="str">
        <x:v>NR</x:v>
      </x:c>
      <x:c r="P181" s="2" t="str">
        <x:v>No</x:v>
      </x:c>
      <x:c r="Q181" s="2" t="str">
        <x:v>No</x:v>
      </x:c>
      <x:c r="R181" s="2" t="str">
        <x:v>No</x:v>
      </x:c>
      <x:c r="S181" s="2" t="str">
        <x:v>NA</x:v>
      </x:c>
      <x:c r="T181" s="6" t="str">
        <x:v>p. 6; Section IV.D</x:v>
      </x:c>
      <x:c r="U181" s="6" t="str">
        <x:v>the comment was omitted and only the choice (true or false) were compared with the expected result.</x:v>
      </x:c>
      <x:c r="V181" s="6" t="str">
        <x:v>简化输出以提高可靠性。</x:v>
      </x:c>
      <x:c r="W181" s="2" t="str">
        <x:v>Accepted</x:v>
      </x:c>
      <x:c r="X181" s="6" t="str">
        <x:v>NA</x:v>
      </x:c>
    </x:row>
    <x:row r="182" ht="76" customHeight="1">
      <x:c r="A182" s="2" t="str">
        <x:v>S33-FEATURE-R09</x:v>
      </x:c>
      <x:c r="B182" s="2" t="str">
        <x:v>S33</x:v>
      </x:c>
      <x:c r="C182" s="2" t="str">
        <x:v>merged_1222</x:v>
      </x:c>
      <x:c r="D182" s="2" t="str">
        <x:v>Reviewer_A</x:v>
      </x:c>
      <x:c r="E182" s="2" t="str">
        <x:v>Reviewer_A</x:v>
      </x:c>
      <x:c r="F182" s="2" t="str">
        <x:v>S33-CF09</x:v>
      </x:c>
      <x:c r="G182" s="2" t="str">
        <x:v>S33-MU03</x:v>
      </x:c>
      <x:c r="H182" s="2" t="str">
        <x:v>S33-O02</x:v>
      </x:c>
      <x:c r="I182" s="2" t="str">
        <x:v>Other</x:v>
      </x:c>
      <x:c r="J182" s="2" t="str">
        <x:v>Temperature minimized</x:v>
      </x:c>
      <x:c r="K182" s="2" t="str">
        <x:v>TEMP_MIN</x:v>
      </x:c>
      <x:c r="L182" s="6" t="str">
        <x:v>温度设为最小值。</x:v>
      </x:c>
      <x:c r="M182" s="2" t="str">
        <x:v>NA</x:v>
      </x:c>
      <x:c r="N182" s="2" t="str">
        <x:v>NA</x:v>
      </x:c>
      <x:c r="O182" s="2" t="str">
        <x:v>NR</x:v>
      </x:c>
      <x:c r="P182" s="2" t="str">
        <x:v>No</x:v>
      </x:c>
      <x:c r="Q182" s="2" t="str">
        <x:v>No</x:v>
      </x:c>
      <x:c r="R182" s="2" t="str">
        <x:v>No</x:v>
      </x:c>
      <x:c r="S182" s="2" t="str">
        <x:v>NA</x:v>
      </x:c>
      <x:c r="T182" s="6" t="str">
        <x:v>p. 5; Section IV.C</x:v>
      </x:c>
      <x:c r="U182" s="6" t="str">
        <x:v>the temperature of the models was set to a minimum to achieve the most deterministic results.</x:v>
      </x:c>
      <x:c r="V182" s="6" t="str">
        <x:v>最小化随机性。</x:v>
      </x:c>
      <x:c r="W182" s="2" t="str">
        <x:v>Accepted</x:v>
      </x:c>
      <x:c r="X182" s="6" t="str">
        <x:v>NA</x:v>
      </x:c>
    </x:row>
    <x:row r="183" ht="76" customHeight="1">
      <x:c r="A183" s="2" t="str">
        <x:v>S33-FEATURE-R10</x:v>
      </x:c>
      <x:c r="B183" s="2" t="str">
        <x:v>S33</x:v>
      </x:c>
      <x:c r="C183" s="2" t="str">
        <x:v>merged_1222</x:v>
      </x:c>
      <x:c r="D183" s="2" t="str">
        <x:v>Reviewer_A</x:v>
      </x:c>
      <x:c r="E183" s="2" t="str">
        <x:v>Reviewer_A</x:v>
      </x:c>
      <x:c r="F183" s="2" t="str">
        <x:v>S33-CF10</x:v>
      </x:c>
      <x:c r="G183" s="2" t="str">
        <x:v>S33-MU03</x:v>
      </x:c>
      <x:c r="H183" s="2" t="str">
        <x:v>S33-O02</x:v>
      </x:c>
      <x:c r="I183" s="2" t="str">
        <x:v>Context construction</x:v>
      </x:c>
      <x:c r="J183" s="2" t="str">
        <x:v>Pair evaluation mode</x:v>
      </x:c>
      <x:c r="K183" s="2" t="str">
        <x:v>PAIRMODE</x:v>
      </x:c>
      <x:c r="L183" s="6" t="str">
        <x:v>不同需求-实现分组方式。</x:v>
      </x:c>
      <x:c r="M183" s="2" t="str">
        <x:v>NA</x:v>
      </x:c>
      <x:c r="N183" s="2" t="str">
        <x:v>NA</x:v>
      </x:c>
      <x:c r="O183" s="2" t="str">
        <x:v>NR</x:v>
      </x:c>
      <x:c r="P183" s="2" t="str">
        <x:v>No</x:v>
      </x:c>
      <x:c r="Q183" s="2" t="str">
        <x:v>No</x:v>
      </x:c>
      <x:c r="R183" s="2" t="str">
        <x:v>No</x:v>
      </x:c>
      <x:c r="S183" s="2" t="str">
        <x:v>NA</x:v>
      </x:c>
      <x:c r="T183" s="6" t="str">
        <x:v>p. 5; Section IV.C</x:v>
      </x:c>
      <x:c r="U183" s="6" t="str">
        <x:v>Starting simple with one requirement - one implementation (1:1), there could also be pairs of one requirement - all implementations (1:M) or all requirement - one implementations (N:1). Finally, you can also create only one pair all requirement - all implementations (N:M)</x:v>
      </x:c>
      <x:c r="V183" s="6" t="str">
        <x:v>影响输入上下文。</x:v>
      </x:c>
      <x:c r="W183" s="2" t="str">
        <x:v>Accepted</x:v>
      </x:c>
      <x:c r="X183" s="6" t="str">
        <x:v>NA</x:v>
      </x:c>
    </x:row>
    <x:row r="184" ht="76" customHeight="1">
      <x:c r="A184" s="2" t="str">
        <x:v>S34-FEATURE-R01</x:v>
      </x:c>
      <x:c r="B184" s="2" t="str">
        <x:v>S34</x:v>
      </x:c>
      <x:c r="C184" s="2" t="str">
        <x:v>merged_1224-v1</x:v>
      </x:c>
      <x:c r="D184" s="2" t="str">
        <x:v>Reviewer_A</x:v>
      </x:c>
      <x:c r="E184" s="2" t="str">
        <x:v>Reviewer_A</x:v>
      </x:c>
      <x:c r="F184" s="2" t="str">
        <x:v>S34-CF01</x:v>
      </x:c>
      <x:c r="G184" s="2" t="str">
        <x:v>S34-MU01</x:v>
      </x:c>
      <x:c r="H184" s="2" t="str">
        <x:v>S34-O01</x:v>
      </x:c>
      <x:c r="I184" s="2" t="str">
        <x:v>Prompting</x:v>
      </x:c>
      <x:c r="J184" s="2" t="str">
        <x:v>Tripartite prompt with constraints</x:v>
      </x:c>
      <x:c r="K184" s="2" t="str">
        <x:v>tripartite_prompt</x:v>
      </x:c>
      <x:c r="L184" s="6" t="str">
        <x:v>三部分提示策略：主指令、UML类图和使用用例，并包含生成约束，如单次生成、方法原子性、仅限核心业务、命名约定、类分配规则和内联溯源注释要求。</x:v>
      </x:c>
      <x:c r="M184" s="2" t="str">
        <x:v>Yes</x:v>
      </x:c>
      <x:c r="N184" s="2" t="str">
        <x:v>Full prompt reported</x:v>
      </x:c>
      <x:c r="O184" s="2" t="n">
        <x:v>0</x:v>
      </x:c>
      <x:c r="P184" s="2" t="str">
        <x:v>No</x:v>
      </x:c>
      <x:c r="Q184" s="2" t="str">
        <x:v>No</x:v>
      </x:c>
      <x:c r="R184" s="2" t="str">
        <x:v>No</x:v>
      </x:c>
      <x:c r="S184" s="2" t="str">
        <x:v>NA</x:v>
      </x:c>
      <x:c r="T184" s="6" t="str">
        <x:v>p. 7; Section 3.2</x:v>
      </x:c>
      <x:c r="U184" s="6" t="str">
        <x:v>a consistent three-prompt strategy was adopted.</x:v>
      </x:c>
      <x:c r="V184" s="6" t="str">
        <x:v>该研究采用了一种固定的三部分提示方法，其中包含明确的指令和约束，以引导LLM生成一致的带注释的输出。</x:v>
      </x:c>
      <x:c r="W184" s="2" t="str">
        <x:v>Accepted</x:v>
      </x:c>
      <x:c r="X184" s="6" t="str">
        <x:v>该提示策略统一应用于所有9个LLM。</x:v>
      </x:c>
    </x:row>
    <x:row r="185" ht="76" customHeight="1">
      <x:c r="A185" s="2" t="str">
        <x:v>S35-FEATURE-R01</x:v>
      </x:c>
      <x:c r="B185" s="2" t="str">
        <x:v>S35</x:v>
      </x:c>
      <x:c r="C185" s="2" t="str">
        <x:v>merged_1225</x:v>
      </x:c>
      <x:c r="D185" s="2" t="str">
        <x:v>Reviewer_A</x:v>
      </x:c>
      <x:c r="E185" s="2" t="str">
        <x:v>Reviewer_A</x:v>
      </x:c>
      <x:c r="F185" s="2" t="str">
        <x:v>S35-CF01</x:v>
      </x:c>
      <x:c r="G185" s="2" t="str">
        <x:v>S35-MU01</x:v>
      </x:c>
      <x:c r="H185" s="2" t="str">
        <x:v>S35-O01</x:v>
      </x:c>
      <x:c r="I185" s="2" t="str">
        <x:v>Prompting</x:v>
      </x:c>
      <x:c r="J185" s="2" t="str">
        <x:v>baseline</x:v>
      </x:c>
      <x:c r="K185" s="2" t="str">
        <x:v>baseline_prompt</x:v>
      </x:c>
      <x:c r="L185" s="6" t="str">
        <x:v>直接要求ChatGPT为提供的代码提供功能描述。</x:v>
      </x:c>
      <x:c r="M185" s="2" t="str">
        <x:v>Yes</x:v>
      </x:c>
      <x:c r="N185" s="2" t="str">
        <x:v>Full prompt reported</x:v>
      </x:c>
      <x:c r="O185" s="2" t="str">
        <x:v>NA</x:v>
      </x:c>
      <x:c r="P185" s="2" t="str">
        <x:v>No</x:v>
      </x:c>
      <x:c r="Q185" s="2" t="str">
        <x:v>No</x:v>
      </x:c>
      <x:c r="R185" s="2" t="str">
        <x:v>No</x:v>
      </x:c>
      <x:c r="S185" s="2" t="str">
        <x:v>NA</x:v>
      </x:c>
      <x:c r="T185" s="6" t="str">
        <x:v>p. 3; Section II</x:v>
      </x:c>
      <x:c r="U185" s="6" t="str">
        <x:v>as “baseline”, invokes ChatGPT with the request: “Can you please suggest a feature description for the above code?”</x:v>
      </x:c>
      <x:c r="V185" s="6" t="str">
        <x:v>基准提示词，简单直接地要求生成描述。</x:v>
      </x:c>
      <x:c r="W185" s="2" t="str">
        <x:v>Accepted</x:v>
      </x:c>
      <x:c r="X185" s="6" t="str">
        <x:v>NA</x:v>
      </x:c>
    </x:row>
    <x:row r="186" ht="76" customHeight="1">
      <x:c r="A186" s="2" t="str">
        <x:v>S35-FEATURE-R02</x:v>
      </x:c>
      <x:c r="B186" s="2" t="str">
        <x:v>S35</x:v>
      </x:c>
      <x:c r="C186" s="2" t="str">
        <x:v>merged_1225</x:v>
      </x:c>
      <x:c r="D186" s="2" t="str">
        <x:v>Reviewer_A</x:v>
      </x:c>
      <x:c r="E186" s="2" t="str">
        <x:v>Reviewer_A</x:v>
      </x:c>
      <x:c r="F186" s="2" t="str">
        <x:v>S35-CF02</x:v>
      </x:c>
      <x:c r="G186" s="2" t="str">
        <x:v>S35-MU01</x:v>
      </x:c>
      <x:c r="H186" s="2" t="str">
        <x:v>S35-O01</x:v>
      </x:c>
      <x:c r="I186" s="2" t="str">
        <x:v>Prompting</x:v>
      </x:c>
      <x:c r="J186" s="2" t="str">
        <x:v>pattern-enriched</x:v>
      </x:c>
      <x:c r="K186" s="2" t="str">
        <x:v>pattern_enriched_prompt</x:v>
      </x:c>
      <x:c r="L186" s="6" t="str">
        <x:v>使用White等人的提示模式，强调expect关键字作为测试预言，融入响应。</x:v>
      </x:c>
      <x:c r="M186" s="2" t="str">
        <x:v>Yes</x:v>
      </x:c>
      <x:c r="N186" s="2" t="str">
        <x:v>Full prompt reported</x:v>
      </x:c>
      <x:c r="O186" s="2" t="str">
        <x:v>NA</x:v>
      </x:c>
      <x:c r="P186" s="2" t="str">
        <x:v>No</x:v>
      </x:c>
      <x:c r="Q186" s="2" t="str">
        <x:v>No</x:v>
      </x:c>
      <x:c r="R186" s="2" t="str">
        <x:v>No</x:v>
      </x:c>
      <x:c r="S186" s="2" t="str">
        <x:v>NA</x:v>
      </x:c>
      <x:c r="T186" s="6" t="str">
        <x:v>p. 3; Section II</x:v>
      </x:c>
      <x:c r="U186" s="6" t="str">
        <x:v>complete sentence and when you see the keyword ‘expect’, it deﬁnes the test oracle. Try to incorporate the test oracle or test</x:v>
      </x:c>
      <x:c r="V186" s="6" t="str">
        <x:v>模式丰富提示词，指导LLM关注测试预言。</x:v>
      </x:c>
      <x:c r="W186" s="2" t="str">
        <x:v>Accepted</x:v>
      </x:c>
      <x:c r="X186" s="6" t="str">
        <x:v>NA</x:v>
      </x:c>
    </x:row>
    <x:row r="187" ht="76" customHeight="1">
      <x:c r="A187" s="2" t="str">
        <x:v>S36-FEATURE-R01</x:v>
      </x:c>
      <x:c r="B187" s="2" t="str">
        <x:v>S36</x:v>
      </x:c>
      <x:c r="C187" s="2" t="str">
        <x:v>merged_1236</x:v>
      </x:c>
      <x:c r="D187" s="2" t="str">
        <x:v>Reviewer_A</x:v>
      </x:c>
      <x:c r="E187" s="2" t="str">
        <x:v>Reviewer_A</x:v>
      </x:c>
      <x:c r="F187" s="2" t="str">
        <x:v>S36-CF01</x:v>
      </x:c>
      <x:c r="G187" s="2" t="str">
        <x:v>S36-MU01</x:v>
      </x:c>
      <x:c r="H187" s="2" t="str">
        <x:v>S36-O01</x:v>
      </x:c>
      <x:c r="I187" s="2" t="str">
        <x:v>Calling and orchestration</x:v>
      </x:c>
      <x:c r="J187" s="2" t="str">
        <x:v>four-stage multi-agent architecture</x:v>
      </x:c>
      <x:c r="K187" s="2" t="str">
        <x:v>multi_agent_pipeline</x:v>
      </x:c>
      <x:c r="L187" s="6" t="str">
        <x:v>Scout、Architect、Specialist和Synthesizer四阶段编排。</x:v>
      </x:c>
      <x:c r="M187" s="2" t="str">
        <x:v>NR</x:v>
      </x:c>
      <x:c r="N187" s="2" t="str">
        <x:v>NA</x:v>
      </x:c>
      <x:c r="O187" s="2" t="str">
        <x:v>NA</x:v>
      </x:c>
      <x:c r="P187" s="2" t="str">
        <x:v>No</x:v>
      </x:c>
      <x:c r="Q187" s="2" t="str">
        <x:v>No</x:v>
      </x:c>
      <x:c r="R187" s="2" t="str">
        <x:v>四阶段流水线</x:v>
      </x:c>
      <x:c r="S187" s="2" t="str">
        <x:v>multi-stage; batched API calls</x:v>
      </x:c>
      <x:c r="T187" s="6" t="str">
        <x:v>p. 2; Section III.B</x:v>
      </x:c>
      <x:c r="U187" s="6" t="str">
        <x:v>The domain model generation employs a four-stage agentic architecture</x:v>
      </x:c>
      <x:c r="V187" s="6" t="str">
        <x:v>多Agent编排支撑领域模型生成。</x:v>
      </x:c>
      <x:c r="W187" s="2" t="str">
        <x:v>Accepted</x:v>
      </x:c>
      <x:c r="X187" s="6" t="str">
        <x:v>NR</x:v>
      </x:c>
    </x:row>
    <x:row r="188" ht="76" customHeight="1">
      <x:c r="A188" s="2" t="str">
        <x:v>S36-FEATURE-R02</x:v>
      </x:c>
      <x:c r="B188" s="2" t="str">
        <x:v>S36</x:v>
      </x:c>
      <x:c r="C188" s="2" t="str">
        <x:v>merged_1236</x:v>
      </x:c>
      <x:c r="D188" s="2" t="str">
        <x:v>Reviewer_A</x:v>
      </x:c>
      <x:c r="E188" s="2" t="str">
        <x:v>Reviewer_A</x:v>
      </x:c>
      <x:c r="F188" s="2" t="str">
        <x:v>S36-CF02</x:v>
      </x:c>
      <x:c r="G188" s="2" t="str">
        <x:v>S36-MU01</x:v>
      </x:c>
      <x:c r="H188" s="2" t="str">
        <x:v>S36-O01</x:v>
      </x:c>
      <x:c r="I188" s="2" t="str">
        <x:v>Output constraint</x:v>
      </x:c>
      <x:c r="J188" s="2" t="str">
        <x:v>Pydantic-enforced structured outputs</x:v>
      </x:c>
      <x:c r="K188" s="2" t="str">
        <x:v>schema_validated_output</x:v>
      </x:c>
      <x:c r="L188" s="6" t="str">
        <x:v>使用Pydantic模型约束DomainModel JSON结构。</x:v>
      </x:c>
      <x:c r="M188" s="2" t="str">
        <x:v>NR</x:v>
      </x:c>
      <x:c r="N188" s="2" t="str">
        <x:v>NA</x:v>
      </x:c>
      <x:c r="O188" s="2" t="str">
        <x:v>NA</x:v>
      </x:c>
      <x:c r="P188" s="2" t="str">
        <x:v>No</x:v>
      </x:c>
      <x:c r="Q188" s="2" t="str">
        <x:v>No</x:v>
      </x:c>
      <x:c r="R188" s="2" t="str">
        <x:v>No</x:v>
      </x:c>
      <x:c r="S188" s="2" t="str">
        <x:v>NR</x:v>
      </x:c>
      <x:c r="T188" s="6" t="str">
        <x:v>p. 1; Contributions</x:v>
      </x:c>
      <x:c r="U188" s="6" t="str">
        <x:v>Pydantic-enforced structured outputs ensuring consistent and reliable LLM responses</x:v>
      </x:c>
      <x:c r="V188" s="6" t="str">
        <x:v>结构化输出约束降低中间表示格式不一致。</x:v>
      </x:c>
      <x:c r="W188" s="2" t="str">
        <x:v>Accepted</x:v>
      </x:c>
      <x:c r="X188" s="6" t="str">
        <x:v>NR</x:v>
      </x:c>
    </x:row>
    <x:row r="189" ht="76" customHeight="1">
      <x:c r="A189" s="2" t="str">
        <x:v>S36-FEATURE-R03</x:v>
      </x:c>
      <x:c r="B189" s="2" t="str">
        <x:v>S36</x:v>
      </x:c>
      <x:c r="C189" s="2" t="str">
        <x:v>merged_1236</x:v>
      </x:c>
      <x:c r="D189" s="2" t="str">
        <x:v>Reviewer_A</x:v>
      </x:c>
      <x:c r="E189" s="2" t="str">
        <x:v>Reviewer_A</x:v>
      </x:c>
      <x:c r="F189" s="2" t="str">
        <x:v>S36-CF03</x:v>
      </x:c>
      <x:c r="G189" s="2" t="str">
        <x:v>S36-MU02</x:v>
      </x:c>
      <x:c r="H189" s="2" t="str">
        <x:v>S36-O02</x:v>
      </x:c>
      <x:c r="I189" s="2" t="str">
        <x:v>Output constraint</x:v>
      </x:c>
      <x:c r="J189" s="2" t="str">
        <x:v>Pydantic-enforced structured outputs</x:v>
      </x:c>
      <x:c r="K189" s="2" t="str">
        <x:v>schema_validated_output</x:v>
      </x:c>
      <x:c r="L189" s="6" t="str">
        <x:v>使用Pydantic约束违规检测响应。</x:v>
      </x:c>
      <x:c r="M189" s="2" t="str">
        <x:v>NR</x:v>
      </x:c>
      <x:c r="N189" s="2" t="str">
        <x:v>NA</x:v>
      </x:c>
      <x:c r="O189" s="2" t="str">
        <x:v>NA</x:v>
      </x:c>
      <x:c r="P189" s="2" t="str">
        <x:v>No</x:v>
      </x:c>
      <x:c r="Q189" s="2" t="str">
        <x:v>No</x:v>
      </x:c>
      <x:c r="R189" s="2" t="str">
        <x:v>No</x:v>
      </x:c>
      <x:c r="S189" s="2" t="str">
        <x:v>single API call</x:v>
      </x:c>
      <x:c r="T189" s="6" t="str">
        <x:v>p. 3; Section III.D</x:v>
      </x:c>
      <x:c r="U189" s="6" t="str">
        <x:v>to DDD principles. Responses are returned as Pydanticenforced structured outputs, as illustrated in Listing 1.</x:v>
      </x:c>
      <x:c r="V189" s="6" t="str">
        <x:v>结构化违规输出供RAG构造查询。</x:v>
      </x:c>
      <x:c r="W189" s="2" t="str">
        <x:v>Accepted</x:v>
      </x:c>
      <x:c r="X189" s="6" t="str">
        <x:v>NR</x:v>
      </x:c>
    </x:row>
    <x:row r="190" ht="76" customHeight="1">
      <x:c r="A190" s="2" t="str">
        <x:v>S37-FEATURE-R01</x:v>
      </x:c>
      <x:c r="B190" s="2" t="str">
        <x:v>S37</x:v>
      </x:c>
      <x:c r="C190" s="2" t="str">
        <x:v>merged_1238</x:v>
      </x:c>
      <x:c r="D190" s="2" t="str">
        <x:v>Reviewer_A</x:v>
      </x:c>
      <x:c r="E190" s="2" t="str">
        <x:v>Reviewer_A</x:v>
      </x:c>
      <x:c r="F190" s="2" t="str">
        <x:v>S37-CF01</x:v>
      </x:c>
      <x:c r="G190" s="2" t="str">
        <x:v>S37-MU01</x:v>
      </x:c>
      <x:c r="H190" s="2" t="str">
        <x:v>S37-O01</x:v>
      </x:c>
      <x:c r="I190" s="2" t="str">
        <x:v>Prompting</x:v>
      </x:c>
      <x:c r="J190" s="2" t="str">
        <x:v>Prompt template of input (Table 2)</x:v>
      </x:c>
      <x:c r="K190" s="2" t="str">
        <x:v>chat_prompt_T2</x:v>
      </x:c>
      <x:c r="L190" s="6" t="str">
        <x:v>为聊天模块设计的提示模板，定义了角色、目标、技能、工作流和输出格式。</x:v>
      </x:c>
      <x:c r="M190" s="2" t="str">
        <x:v>Yes</x:v>
      </x:c>
      <x:c r="N190" s="2" t="str">
        <x:v>Template reported</x:v>
      </x:c>
      <x:c r="O190" s="2" t="str">
        <x:v>NA</x:v>
      </x:c>
      <x:c r="P190" s="2" t="str">
        <x:v>No</x:v>
      </x:c>
      <x:c r="Q190" s="2" t="str">
        <x:v>No</x:v>
      </x:c>
      <x:c r="R190" s="2" t="str">
        <x:v>No</x:v>
      </x:c>
      <x:c r="S190" s="2" t="str">
        <x:v>NR</x:v>
      </x:c>
      <x:c r="T190" s="6" t="str">
        <x:v>p. 12; Section 4.1</x:v>
      </x:c>
      <x:c r="U190" s="6" t="str">
        <x:v>mediated by prompt input in Table 2</x:v>
      </x:c>
      <x:c r="V190" s="6" t="str">
        <x:v>使用模板化提示引导LLM与用户对话并提取信息，未使用少样本示例。</x:v>
      </x:c>
      <x:c r="W190" s="2" t="str">
        <x:v>Accepted</x:v>
      </x:c>
      <x:c r="X190" s="6" t="str">
        <x:v>NA</x:v>
      </x:c>
    </x:row>
    <x:row r="191" ht="76" customHeight="1">
      <x:c r="A191" s="2" t="str">
        <x:v>S37-FEATURE-R02</x:v>
      </x:c>
      <x:c r="B191" s="2" t="str">
        <x:v>S37</x:v>
      </x:c>
      <x:c r="C191" s="2" t="str">
        <x:v>merged_1238</x:v>
      </x:c>
      <x:c r="D191" s="2" t="str">
        <x:v>Reviewer_A</x:v>
      </x:c>
      <x:c r="E191" s="2" t="str">
        <x:v>Reviewer_A</x:v>
      </x:c>
      <x:c r="F191" s="2" t="str">
        <x:v>S37-CF02</x:v>
      </x:c>
      <x:c r="G191" s="2" t="str">
        <x:v>S37-MU02</x:v>
      </x:c>
      <x:c r="H191" s="2" t="str">
        <x:v>S37-O02</x:v>
      </x:c>
      <x:c r="I191" s="2" t="str">
        <x:v>Prompting</x:v>
      </x:c>
      <x:c r="J191" s="2" t="str">
        <x:v>Zero-shot and few-shot Chain-of-Thought prompt decomposition</x:v>
      </x:c>
      <x:c r="K191" s="2" t="str">
        <x:v>CoT_prompt_T4</x:v>
      </x:c>
      <x:c r="L191" s="6" t="str">
        <x:v>使用零样本和少样本思维链提示，通过分解提示（表4）生成PFM模型。</x:v>
      </x:c>
      <x:c r="M191" s="2" t="str">
        <x:v>Yes</x:v>
      </x:c>
      <x:c r="N191" s="2" t="str">
        <x:v>Template reported</x:v>
      </x:c>
      <x:c r="O191" s="2" t="str">
        <x:v>Unclear</x:v>
      </x:c>
      <x:c r="P191" s="2" t="str">
        <x:v>NA</x:v>
      </x:c>
      <x:c r="Q191" s="2" t="str">
        <x:v>No</x:v>
      </x:c>
      <x:c r="R191" s="2" t="str">
        <x:v>No</x:v>
      </x:c>
      <x:c r="S191" s="2" t="str">
        <x:v>NR</x:v>
      </x:c>
      <x:c r="T191" s="6" t="str">
        <x:v>p. 12; Section 4.1</x:v>
      </x:c>
      <x:c r="U191" s="6" t="str">
        <x:v>the reasoning module leveraging the generation ability of zero-shot and few-shot Chain-of-Thought (CoT) of LLMs, accomplished through the prompt decomposition shown in Table 4.</x:v>
      </x:c>
      <x:c r="V191" s="6" t="str">
        <x:v>CoT提示增强推理能力，具体少量样本数量未明确。</x:v>
      </x:c>
      <x:c r="W191" s="2" t="str">
        <x:v>Accepted</x:v>
      </x:c>
      <x:c r="X191" s="6" t="str">
        <x:v>few_shot_count是否为少量未明确说明</x:v>
      </x:c>
    </x:row>
    <x:row r="192" ht="76" customHeight="1">
      <x:c r="A192" s="2" t="str">
        <x:v>S37-FEATURE-R03</x:v>
      </x:c>
      <x:c r="B192" s="2" t="str">
        <x:v>S37</x:v>
      </x:c>
      <x:c r="C192" s="2" t="str">
        <x:v>merged_1238</x:v>
      </x:c>
      <x:c r="D192" s="2" t="str">
        <x:v>Reviewer_A</x:v>
      </x:c>
      <x:c r="E192" s="2" t="str">
        <x:v>Reviewer_A</x:v>
      </x:c>
      <x:c r="F192" s="2" t="str">
        <x:v>S37-CF03</x:v>
      </x:c>
      <x:c r="G192" s="2" t="str">
        <x:v>S37-MU02</x:v>
      </x:c>
      <x:c r="H192" s="2" t="str">
        <x:v>S37-O02</x:v>
      </x:c>
      <x:c r="I192" s="2" t="str">
        <x:v>Context construction</x:v>
      </x:c>
      <x:c r="J192" s="2" t="str">
        <x:v>Retrieve-and-reason loop with external repository</x:v>
      </x:c>
      <x:c r="K192" s="2" t="str">
        <x:v>RAG_BM25_web</x:v>
      </x:c>
      <x:c r="L192" s="6" t="str">
        <x:v>通过检索相关段落（BM25、网络搜索）构建上下文，结合推理循环生成模型。</x:v>
      </x:c>
      <x:c r="M192" s="2" t="str">
        <x:v>NA</x:v>
      </x:c>
      <x:c r="N192" s="2" t="str">
        <x:v>NA</x:v>
      </x:c>
      <x:c r="O192" s="2" t="str">
        <x:v>NA</x:v>
      </x:c>
      <x:c r="P192" s="2" t="str">
        <x:v>Yes</x:v>
      </x:c>
      <x:c r="Q192" s="2" t="str">
        <x:v>No</x:v>
      </x:c>
      <x:c r="R192" s="2" t="str">
        <x:v>No</x:v>
      </x:c>
      <x:c r="S192" s="2" t="str">
        <x:v>NR</x:v>
      </x:c>
      <x:c r="T192" s="6" t="str">
        <x:v>p. 13; Table 4, Workflow</x:v>
      </x:c>
      <x:c r="U192" s="6" t="str">
        <x:v>First, you need to search for the top 15 paragraphs most closely related to &lt;RD&gt; through an applicable retrieval strategy.</x:v>
      </x:c>
      <x:c r="V192" s="6" t="str">
        <x:v>使用检索增强生成，检索前15个最相关段落作为上下文。</x:v>
      </x:c>
      <x:c r="W192" s="2" t="str">
        <x:v>Accepted</x:v>
      </x:c>
      <x:c r="X192" s="6" t="str">
        <x:v>还包括网络搜索功能，但未在模板中详细描述</x:v>
      </x:c>
    </x:row>
    <x:row r="193" ht="76" customHeight="1">
      <x:c r="A193" s="2" t="str">
        <x:v>S37-FEATURE-R04</x:v>
      </x:c>
      <x:c r="B193" s="2" t="str">
        <x:v>S37</x:v>
      </x:c>
      <x:c r="C193" s="2" t="str">
        <x:v>merged_1238</x:v>
      </x:c>
      <x:c r="D193" s="2" t="str">
        <x:v>Reviewer_A</x:v>
      </x:c>
      <x:c r="E193" s="2" t="str">
        <x:v>Reviewer_A</x:v>
      </x:c>
      <x:c r="F193" s="2" t="str">
        <x:v>S37-CF04</x:v>
      </x:c>
      <x:c r="G193" s="2" t="str">
        <x:v>S37-MU03</x:v>
      </x:c>
      <x:c r="H193" s="2" t="str">
        <x:v>S37-O03</x:v>
      </x:c>
      <x:c r="I193" s="2" t="str">
        <x:v>Prompting</x:v>
      </x:c>
      <x:c r="J193" s="2" t="str">
        <x:v>Output prompt template for model trimmer (Table 3)</x:v>
      </x:c>
      <x:c r="K193" s="2" t="str">
        <x:v>trim_prompt_T3</x:v>
      </x:c>
      <x:c r="L193" s="6" t="str">
        <x:v>用于模型修整器的提示模板，包含验证规则和输出格式。</x:v>
      </x:c>
      <x:c r="M193" s="2" t="str">
        <x:v>Yes</x:v>
      </x:c>
      <x:c r="N193" s="2" t="str">
        <x:v>Template reported</x:v>
      </x:c>
      <x:c r="O193" s="2" t="str">
        <x:v>NA</x:v>
      </x:c>
      <x:c r="P193" s="2" t="str">
        <x:v>No</x:v>
      </x:c>
      <x:c r="Q193" s="2" t="str">
        <x:v>No</x:v>
      </x:c>
      <x:c r="R193" s="2" t="str">
        <x:v>No</x:v>
      </x:c>
      <x:c r="S193" s="2" t="str">
        <x:v>NR</x:v>
      </x:c>
      <x:c r="T193" s="6" t="str">
        <x:v>p. 13; Table 3, Workflow</x:v>
      </x:c>
      <x:c r="U193" s="6" t="str">
        <x:v>Third, check the linked fPRh , fRhS , fShV amount, to ensure their numbers conform to the three proportions</x:v>
      </x:c>
      <x:c r="V193" s="6" t="str">
        <x:v>提示中嵌入了验证规则，指导LLM检查模型元素比例。</x:v>
      </x:c>
      <x:c r="W193" s="2" t="str">
        <x:v>Accepted</x:v>
      </x:c>
      <x:c r="X193" s="6" t="str">
        <x:v>NA</x:v>
      </x:c>
    </x:row>
    <x:row r="194" ht="76" customHeight="1">
      <x:c r="A194" s="2" t="str">
        <x:v>S38-FEATURE-R01</x:v>
      </x:c>
      <x:c r="B194" s="2" t="str">
        <x:v>S38</x:v>
      </x:c>
      <x:c r="C194" s="2" t="str">
        <x:v>merged_1241</x:v>
      </x:c>
      <x:c r="D194" s="2" t="str">
        <x:v>Reviewer_A</x:v>
      </x:c>
      <x:c r="E194" s="2" t="str">
        <x:v>Reviewer_A</x:v>
      </x:c>
      <x:c r="F194" s="2" t="str">
        <x:v>S38-CF01</x:v>
      </x:c>
      <x:c r="G194" s="2" t="str">
        <x:v>S38-MU01</x:v>
      </x:c>
      <x:c r="H194" s="2" t="str">
        <x:v>S38-O01</x:v>
      </x:c>
      <x:c r="I194" s="2" t="str">
        <x:v>Prompting</x:v>
      </x:c>
      <x:c r="J194" s="2" t="str">
        <x:v>Prompt Template of Requirements Traceability Generation</x:v>
      </x:c>
      <x:c r="K194" s="2" t="str">
        <x:v>F1</x:v>
      </x:c>
      <x:c r="L194" s="6" t="str">
        <x:v>包含角色分配、DO-178C领域知识、任务定义、结构化输入和单样本示例的领域特定提示。</x:v>
      </x:c>
      <x:c r="M194" s="2" t="str">
        <x:v>Yes</x:v>
      </x:c>
      <x:c r="N194" s="2" t="str">
        <x:v>Partial description</x:v>
      </x:c>
      <x:c r="O194" s="2" t="n">
        <x:v>1</x:v>
      </x:c>
      <x:c r="P194" s="2" t="str">
        <x:v>No</x:v>
      </x:c>
      <x:c r="Q194" s="2" t="str">
        <x:v>No</x:v>
      </x:c>
      <x:c r="R194" s="2" t="str">
        <x:v>No</x:v>
      </x:c>
      <x:c r="S194" s="2" t="str">
        <x:v>Single LLM call</x:v>
      </x:c>
      <x:c r="T194" s="6" t="str">
        <x:v>p. 11; Section 3.4</x:v>
      </x:c>
      <x:c r="U194" s="6" t="str">
        <x:v>As shown in Figure 8, our domain-specific prompt includes five components: (1) Role assignment as a senior software engineer; (2) DO-178C-based domain knowledge (e.g., completeness, bidirectionality); (3) Clear task definition; (4) Structured input with requirements and Lustre model; and (5) A one-shot example.</x:v>
      </x:c>
      <x:c r="V194" s="6" t="str">
        <x:v>通过结构化提示引导LLM生成追溯矩阵。</x:v>
      </x:c>
      <x:c r="W194" s="2" t="str">
        <x:v>Accepted</x:v>
      </x:c>
      <x:c r="X194" s="6" t="str">
        <x:v>NA</x:v>
      </x:c>
    </x:row>
    <x:row r="195" ht="76" customHeight="1">
      <x:c r="A195" s="2" t="str">
        <x:v>S38-FEATURE-R02</x:v>
      </x:c>
      <x:c r="B195" s="2" t="str">
        <x:v>S38</x:v>
      </x:c>
      <x:c r="C195" s="2" t="str">
        <x:v>merged_1241</x:v>
      </x:c>
      <x:c r="D195" s="2" t="str">
        <x:v>Reviewer_A</x:v>
      </x:c>
      <x:c r="E195" s="2" t="str">
        <x:v>Reviewer_A</x:v>
      </x:c>
      <x:c r="F195" s="2" t="str">
        <x:v>S38-CF02</x:v>
      </x:c>
      <x:c r="G195" s="2" t="str">
        <x:v>S38-MU01</x:v>
      </x:c>
      <x:c r="H195" s="2" t="str">
        <x:v>S38-O01</x:v>
      </x:c>
      <x:c r="I195" s="2" t="str">
        <x:v>Context construction</x:v>
      </x:c>
      <x:c r="J195" s="2" t="str">
        <x:v>ID assignment for structured input</x:v>
      </x:c>
      <x:c r="K195" s="2" t="str">
        <x:v>F2</x:v>
      </x:c>
      <x:c r="L195" s="6" t="str">
        <x:v>为需求和Lustre模型的每一行分配唯一ID，以构建结构化输入。</x:v>
      </x:c>
      <x:c r="M195" s="2" t="str">
        <x:v>NA</x:v>
      </x:c>
      <x:c r="N195" s="2" t="str">
        <x:v>NA</x:v>
      </x:c>
      <x:c r="O195" s="2" t="str">
        <x:v>NA</x:v>
      </x:c>
      <x:c r="P195" s="2" t="str">
        <x:v>NA</x:v>
      </x:c>
      <x:c r="Q195" s="2" t="str">
        <x:v>NA</x:v>
      </x:c>
      <x:c r="R195" s="2" t="str">
        <x:v>NA</x:v>
      </x:c>
      <x:c r="S195" s="2" t="str">
        <x:v>NA</x:v>
      </x:c>
      <x:c r="T195" s="6" t="str">
        <x:v>p. 11; Section 3.4</x:v>
      </x:c>
      <x:c r="U195" s="6" t="str">
        <x:v>we assign unique IDs to each requirement and line of Lustre model—essential for correct mapping</x:v>
      </x:c>
      <x:c r="V195" s="6" t="str">
        <x:v>通过分配唯一ID结构化输入数据，辅助LLM生成准确映射。</x:v>
      </x:c>
      <x:c r="W195" s="2" t="str">
        <x:v>Accepted</x:v>
      </x:c>
      <x:c r="X195" s="6" t="str">
        <x:v>NA</x:v>
      </x:c>
    </x:row>
    <x:row r="196" ht="76" customHeight="1">
      <x:c r="A196" s="2" t="str">
        <x:v>S39-FEATURE-R01</x:v>
      </x:c>
      <x:c r="B196" s="2" t="str">
        <x:v>S39</x:v>
      </x:c>
      <x:c r="C196" s="2" t="str">
        <x:v>merged_1245</x:v>
      </x:c>
      <x:c r="D196" s="2" t="str">
        <x:v>Reviewer_A</x:v>
      </x:c>
      <x:c r="E196" s="2" t="str">
        <x:v>Reviewer_A</x:v>
      </x:c>
      <x:c r="F196" s="2" t="str">
        <x:v>S39-CF01</x:v>
      </x:c>
      <x:c r="G196" s="2" t="str">
        <x:v>S39-MU01</x:v>
      </x:c>
      <x:c r="H196" s="2" t="str">
        <x:v>S39-O01</x:v>
      </x:c>
      <x:c r="I196" s="2" t="str">
        <x:v>Prompting</x:v>
      </x:c>
      <x:c r="J196" s="2" t="str">
        <x:v>prompt</x:v>
      </x:c>
      <x:c r="K196" s="2" t="str">
        <x:v>basic-prompting</x:v>
      </x:c>
      <x:c r="L196" s="6" t="str">
        <x:v>使用需求文本作为提示，让LLM执行追踪任务</x:v>
      </x:c>
      <x:c r="M196" s="2" t="str">
        <x:v>No</x:v>
      </x:c>
      <x:c r="N196" s="2" t="str">
        <x:v>Not reported</x:v>
      </x:c>
      <x:c r="O196" s="2" t="str">
        <x:v>NR</x:v>
      </x:c>
      <x:c r="P196" s="2" t="str">
        <x:v>No</x:v>
      </x:c>
      <x:c r="Q196" s="2" t="str">
        <x:v>No</x:v>
      </x:c>
      <x:c r="R196" s="2" t="str">
        <x:v>No</x:v>
      </x:c>
      <x:c r="S196" s="2" t="str">
        <x:v>NR</x:v>
      </x:c>
      <x:c r="T196" s="6" t="str">
        <x:v>p. 2; Section IV-A</x:v>
      </x:c>
      <x:c r="U196" s="6" t="str">
        <x:v>Each variant is used to prompt an LLM to perform a specific SE task</x:v>
      </x:c>
      <x:c r="V196" s="6" t="str">
        <x:v>论文未透露任何提示词内容，仅提及使用提示方式调用LLM。</x:v>
      </x:c>
      <x:c r="W196" s="2" t="str">
        <x:v>Accepted</x:v>
      </x:c>
      <x:c r="X196" s="6" t="str">
        <x:v>NR</x:v>
      </x:c>
    </x:row>
    <x:row r="197" ht="76" customHeight="1">
      <x:c r="A197" s="2" t="str">
        <x:v>S40-FEATURE-R01</x:v>
      </x:c>
      <x:c r="B197" s="2" t="str">
        <x:v>S40</x:v>
      </x:c>
      <x:c r="C197" s="2" t="str">
        <x:v>merged_1263</x:v>
      </x:c>
      <x:c r="D197" s="2" t="str">
        <x:v>Reviewer_A</x:v>
      </x:c>
      <x:c r="E197" s="2" t="str">
        <x:v>Reviewer_A</x:v>
      </x:c>
      <x:c r="F197" s="2" t="str">
        <x:v>S40-CF01</x:v>
      </x:c>
      <x:c r="G197" s="2" t="str">
        <x:v>S40-MU01</x:v>
      </x:c>
      <x:c r="H197" s="2" t="str">
        <x:v>S40-O01</x:v>
      </x:c>
      <x:c r="I197" s="2" t="str">
        <x:v>Prompting</x:v>
      </x:c>
      <x:c r="J197" s="2" t="str">
        <x:v>structural validation prompt template with evidence paths</x:v>
      </x:c>
      <x:c r="K197" s="2" t="str">
        <x:v>prompt_with_evidence_paths</x:v>
      </x:c>
      <x:c r="L197" s="6" t="str">
        <x:v>使用包含需求文本、候选代码和最高排名的结构化证据路径的固定模板，要求LLM逐步推理并输出yes/no</x:v>
      </x:c>
      <x:c r="M197" s="2" t="str">
        <x:v>Yes</x:v>
      </x:c>
      <x:c r="N197" s="2" t="str">
        <x:v>Template reported</x:v>
      </x:c>
      <x:c r="O197" s="2" t="n">
        <x:v>0</x:v>
      </x:c>
      <x:c r="P197" s="2" t="str">
        <x:v>No</x:v>
      </x:c>
      <x:c r="Q197" s="2" t="str">
        <x:v>No</x:v>
      </x:c>
      <x:c r="R197" s="2" t="str">
        <x:v>No</x:v>
      </x:c>
      <x:c r="S197" s="2" t="str">
        <x:v>NR</x:v>
      </x:c>
      <x:c r="T197" s="6" t="str">
        <x:v>p. 11; Section 3.3 (Figure 2)</x:v>
      </x:c>
      <x:c r="U197" s="6" t="str">
        <x:v>Figure 2 shows the fixed structural validation template used for all validator calls in the main DSDR pipeline.</x:v>
      </x:c>
      <x:c r="V197" s="6" t="str">
        <x:v>提示模板包含需求文本、代码和证据路径，结构如图2所示。</x:v>
      </x:c>
      <x:c r="W197" s="2" t="str">
        <x:v>Accepted</x:v>
      </x:c>
      <x:c r="X197" s="6" t="str">
        <x:v>NR</x:v>
      </x:c>
    </x:row>
    <x:row r="198" ht="76" customHeight="1">
      <x:c r="A198" s="2" t="str">
        <x:v>S40-FEATURE-R02</x:v>
      </x:c>
      <x:c r="B198" s="2" t="str">
        <x:v>S40</x:v>
      </x:c>
      <x:c r="C198" s="2" t="str">
        <x:v>merged_1263</x:v>
      </x:c>
      <x:c r="D198" s="2" t="str">
        <x:v>Reviewer_A</x:v>
      </x:c>
      <x:c r="E198" s="2" t="str">
        <x:v>Reviewer_A</x:v>
      </x:c>
      <x:c r="F198" s="2" t="str">
        <x:v>S40-CF02</x:v>
      </x:c>
      <x:c r="G198" s="2" t="str">
        <x:v>S40-MU02</x:v>
      </x:c>
      <x:c r="H198" s="2" t="str">
        <x:v>S40-O01</x:v>
      </x:c>
      <x:c r="I198" s="2" t="str">
        <x:v>Prompting</x:v>
      </x:c>
      <x:c r="J198" s="2" t="str">
        <x:v>structural validation prompt template with evidence paths</x:v>
      </x:c>
      <x:c r="K198" s="2" t="str">
        <x:v>prompt_with_evidence_paths</x:v>
      </x:c>
      <x:c r="L198" s="6" t="str">
        <x:v>与M1相同的路径提示模板</x:v>
      </x:c>
      <x:c r="M198" s="2" t="str">
        <x:v>Yes</x:v>
      </x:c>
      <x:c r="N198" s="2" t="str">
        <x:v>Template reported</x:v>
      </x:c>
      <x:c r="O198" s="2" t="n">
        <x:v>0</x:v>
      </x:c>
      <x:c r="P198" s="2" t="str">
        <x:v>No</x:v>
      </x:c>
      <x:c r="Q198" s="2" t="str">
        <x:v>No</x:v>
      </x:c>
      <x:c r="R198" s="2" t="str">
        <x:v>No</x:v>
      </x:c>
      <x:c r="S198" s="2" t="str">
        <x:v>NR</x:v>
      </x:c>
      <x:c r="T198" s="6" t="str">
        <x:v>p. 11; Section 3.3</x:v>
      </x:c>
      <x:c r="U198" s="6" t="str">
        <x:v>Figure 2 shows the fixed structural validation template used for all validator calls in the main DSDR pipeline.</x:v>
      </x:c>
      <x:c r="V198" s="6" t="str">
        <x:v>GPT-4o-mini路径提示变体使用相同的提示模板。</x:v>
      </x:c>
      <x:c r="W198" s="2" t="str">
        <x:v>Accepted</x:v>
      </x:c>
      <x:c r="X198" s="6" t="str">
        <x:v>NR</x:v>
      </x:c>
    </x:row>
    <x:row r="199" ht="76" customHeight="1">
      <x:c r="A199" s="2" t="str">
        <x:v>S40-FEATURE-R03</x:v>
      </x:c>
      <x:c r="B199" s="2" t="str">
        <x:v>S40</x:v>
      </x:c>
      <x:c r="C199" s="2" t="str">
        <x:v>merged_1263</x:v>
      </x:c>
      <x:c r="D199" s="2" t="str">
        <x:v>Reviewer_A</x:v>
      </x:c>
      <x:c r="E199" s="2" t="str">
        <x:v>Reviewer_A</x:v>
      </x:c>
      <x:c r="F199" s="2" t="str">
        <x:v>S40-CF03</x:v>
      </x:c>
      <x:c r="G199" s="2" t="str">
        <x:v>S40-MU03</x:v>
      </x:c>
      <x:c r="H199" s="2" t="str">
        <x:v>S40-O01</x:v>
      </x:c>
      <x:c r="I199" s="2" t="str">
        <x:v>Prompting</x:v>
      </x:c>
      <x:c r="J199" s="2" t="str">
        <x:v>simple prompt without evidence paths</x:v>
      </x:c>
      <x:c r="K199" s="2" t="str">
        <x:v>prompt_without_evidence_paths</x:v>
      </x:c>
      <x:c r="L199" s="6" t="str">
        <x:v>移除证据路径字段的简化提示，仅提供需求文本和候选代码，要求LLM输出yes/no</x:v>
      </x:c>
      <x:c r="M199" s="2" t="str">
        <x:v>Yes</x:v>
      </x:c>
      <x:c r="N199" s="2" t="str">
        <x:v>Template reported</x:v>
      </x:c>
      <x:c r="O199" s="2" t="n">
        <x:v>0</x:v>
      </x:c>
      <x:c r="P199" s="2" t="str">
        <x:v>No</x:v>
      </x:c>
      <x:c r="Q199" s="2" t="str">
        <x:v>No</x:v>
      </x:c>
      <x:c r="R199" s="2" t="str">
        <x:v>No</x:v>
      </x:c>
      <x:c r="S199" s="2" t="str">
        <x:v>NR</x:v>
      </x:c>
      <x:c r="T199" s="6" t="str">
        <x:v>p. 14; Section 3.4.3</x:v>
      </x:c>
      <x:c r="U199" s="6" t="str">
        <x:v>a GPT-4o-mini simple-prompt variant that uses the same retrieved Top-20 candidates but omits the evidence-path field from the validator prompt</x:v>
      </x:c>
      <x:c r="V199" s="6" t="str">
        <x:v>简单提示变体不包含证据路径，作为消融对比。</x:v>
      </x:c>
      <x:c r="W199" s="2" t="str">
        <x:v>Accepted</x:v>
      </x:c>
      <x:c r="X199" s="6" t="str">
        <x:v>NR</x:v>
      </x:c>
    </x:row>
    <x:row r="200" ht="76" customHeight="1">
      <x:c r="A200" s="2" t="str">
        <x:v>S41-FEATURE-R01</x:v>
      </x:c>
      <x:c r="B200" s="2" t="str">
        <x:v>S41</x:v>
      </x:c>
      <x:c r="C200" s="2" t="str">
        <x:v>merged_1264</x:v>
      </x:c>
      <x:c r="D200" s="2" t="str">
        <x:v>Reviewer_A</x:v>
      </x:c>
      <x:c r="E200" s="2" t="str">
        <x:v>Reviewer_A</x:v>
      </x:c>
      <x:c r="F200" s="2" t="str">
        <x:v>S41-CF01</x:v>
      </x:c>
      <x:c r="G200" s="2" t="str">
        <x:v>S41-MU02</x:v>
      </x:c>
      <x:c r="H200" s="2" t="str">
        <x:v>S41-O01</x:v>
      </x:c>
      <x:c r="I200" s="2" t="str">
        <x:v>Prompting</x:v>
      </x:c>
      <x:c r="J200" s="2" t="str">
        <x:v>Prompt Generation for Semantic Summarization</x:v>
      </x:c>
      <x:c r="K200" s="2" t="str">
        <x:v>zero-shot-summarization-prompt</x:v>
      </x:c>
      <x:c r="L200" s="6" t="str">
        <x:v>LLM通过包含系统指令和任务定义的提示，对问题/提交文本进行摘要生成，输出限制在35-45词。</x:v>
      </x:c>
      <x:c r="M200" s="2" t="str">
        <x:v>Yes</x:v>
      </x:c>
      <x:c r="N200" s="2" t="str">
        <x:v>Full prompt reported</x:v>
      </x:c>
      <x:c r="O200" s="2" t="n">
        <x:v>0</x:v>
      </x:c>
      <x:c r="P200" s="2" t="str">
        <x:v>No</x:v>
      </x:c>
      <x:c r="Q200" s="2" t="str">
        <x:v>No</x:v>
      </x:c>
      <x:c r="R200" s="2" t="str">
        <x:v>No</x:v>
      </x:c>
      <x:c r="S200" s="2" t="str">
        <x:v>NR</x:v>
      </x:c>
      <x:c r="T200" s="6" t="str">
        <x:v>p. 7; Figure 4</x:v>
      </x:c>
      <x:c r="U200" s="6" t="str">
        <x:v>Figure 4: The Prompt for Semantic Summarization.</x:v>
      </x:c>
      <x:c r="V200" s="6" t="str">
        <x:v>语义摘要模块采用零样本提示，提供明确的系统角色和任务描述，约束输出为35-45词的摘要。</x:v>
      </x:c>
      <x:c r="W200" s="2" t="str">
        <x:v>Accepted</x:v>
      </x:c>
      <x:c r="X200" s="6" t="str">
        <x:v>NA</x:v>
      </x:c>
    </x:row>
    <x:row r="201" ht="76" customHeight="1">
      <x:c r="A201" s="2" t="str">
        <x:v>S41-FEATURE-R02</x:v>
      </x:c>
      <x:c r="B201" s="2" t="str">
        <x:v>S41</x:v>
      </x:c>
      <x:c r="C201" s="2" t="str">
        <x:v>merged_1264</x:v>
      </x:c>
      <x:c r="D201" s="2" t="str">
        <x:v>Reviewer_A</x:v>
      </x:c>
      <x:c r="E201" s="2" t="str">
        <x:v>Reviewer_A</x:v>
      </x:c>
      <x:c r="F201" s="2" t="str">
        <x:v>S41-CF02</x:v>
      </x:c>
      <x:c r="G201" s="2" t="str">
        <x:v>S41-MU02</x:v>
      </x:c>
      <x:c r="H201" s="2" t="str">
        <x:v>S41-O02</x:v>
      </x:c>
      <x:c r="I201" s="2" t="str">
        <x:v>Prompting</x:v>
      </x:c>
      <x:c r="J201" s="2" t="str">
        <x:v>Prompt Generation for Semantic Re-ranking</x:v>
      </x:c>
      <x:c r="K201" s="2" t="str">
        <x:v>zero-shot-re-ranking-prompt</x:v>
      </x:c>
      <x:c r="L201" s="6" t="str">
        <x:v>LLM被提示分析问题与候选提交的相关性，返回排序后的提交ID列表。</x:v>
      </x:c>
      <x:c r="M201" s="2" t="str">
        <x:v>Yes</x:v>
      </x:c>
      <x:c r="N201" s="2" t="str">
        <x:v>Full prompt reported</x:v>
      </x:c>
      <x:c r="O201" s="2" t="n">
        <x:v>0</x:v>
      </x:c>
      <x:c r="P201" s="2" t="str">
        <x:v>No</x:v>
      </x:c>
      <x:c r="Q201" s="2" t="str">
        <x:v>No</x:v>
      </x:c>
      <x:c r="R201" s="2" t="str">
        <x:v>No</x:v>
      </x:c>
      <x:c r="S201" s="2" t="str">
        <x:v>NR</x:v>
      </x:c>
      <x:c r="T201" s="6" t="str">
        <x:v>p. 8; Figure 6</x:v>
      </x:c>
      <x:c r="U201" s="6" t="str">
        <x:v>Figure 6: The Prompt for Semantic Re-ranking.</x:v>
      </x:c>
      <x:c r="V201" s="6" t="str">
        <x:v>语义重排序模块采用零样本提示，要求LLM综合分析并输出排序列表。</x:v>
      </x:c>
      <x:c r="W201" s="2" t="str">
        <x:v>Accepted</x:v>
      </x:c>
      <x:c r="X201" s="6" t="str">
        <x:v>NA</x:v>
      </x:c>
    </x:row>
    <x:row r="202" ht="76" customHeight="1">
      <x:c r="A202" s="2" t="str">
        <x:v>S41-FEATURE-R03</x:v>
      </x:c>
      <x:c r="B202" s="2" t="str">
        <x:v>S41</x:v>
      </x:c>
      <x:c r="C202" s="2" t="str">
        <x:v>merged_1264</x:v>
      </x:c>
      <x:c r="D202" s="2" t="str">
        <x:v>Reviewer_A</x:v>
      </x:c>
      <x:c r="E202" s="2" t="str">
        <x:v>Reviewer_A</x:v>
      </x:c>
      <x:c r="F202" s="2" t="str">
        <x:v>S41-CF03</x:v>
      </x:c>
      <x:c r="G202" s="2" t="str">
        <x:v>S41-MU04</x:v>
      </x:c>
      <x:c r="H202" s="2" t="str">
        <x:v>S41-O01</x:v>
      </x:c>
      <x:c r="I202" s="2" t="str">
        <x:v>Prompting</x:v>
      </x:c>
      <x:c r="J202" s="2" t="str">
        <x:v>Prompt Generation for Semantic Summarization</x:v>
      </x:c>
      <x:c r="K202" s="2" t="str">
        <x:v>zero-shot-summarization-prompt-chatgpt</x:v>
      </x:c>
      <x:c r="L202" s="6" t="str">
        <x:v>与F1相同，ChatGPT-4o-mini使用相同的摘要提示。</x:v>
      </x:c>
      <x:c r="M202" s="2" t="str">
        <x:v>Yes</x:v>
      </x:c>
      <x:c r="N202" s="2" t="str">
        <x:v>Full prompt reported</x:v>
      </x:c>
      <x:c r="O202" s="2" t="n">
        <x:v>0</x:v>
      </x:c>
      <x:c r="P202" s="2" t="str">
        <x:v>No</x:v>
      </x:c>
      <x:c r="Q202" s="2" t="str">
        <x:v>No</x:v>
      </x:c>
      <x:c r="R202" s="2" t="str">
        <x:v>No</x:v>
      </x:c>
      <x:c r="S202" s="2" t="str">
        <x:v>NR</x:v>
      </x:c>
      <x:c r="T202" s="6" t="str">
        <x:v>p. 7; Figure 4</x:v>
      </x:c>
      <x:c r="U202" s="6" t="str">
        <x:v>Figure 4: The Prompt for Semantic Summarization.</x:v>
      </x:c>
      <x:c r="V202" s="6" t="str">
        <x:v>ChatGPT-4o-mini在语义摘要模块采用相同的零样本提示。</x:v>
      </x:c>
      <x:c r="W202" s="2" t="str">
        <x:v>Accepted</x:v>
      </x:c>
      <x:c r="X202" s="6" t="str">
        <x:v>NA</x:v>
      </x:c>
    </x:row>
    <x:row r="203" ht="76" customHeight="1">
      <x:c r="A203" s="2" t="str">
        <x:v>S41-FEATURE-R04</x:v>
      </x:c>
      <x:c r="B203" s="2" t="str">
        <x:v>S41</x:v>
      </x:c>
      <x:c r="C203" s="2" t="str">
        <x:v>merged_1264</x:v>
      </x:c>
      <x:c r="D203" s="2" t="str">
        <x:v>Reviewer_A</x:v>
      </x:c>
      <x:c r="E203" s="2" t="str">
        <x:v>Reviewer_A</x:v>
      </x:c>
      <x:c r="F203" s="2" t="str">
        <x:v>S41-CF04</x:v>
      </x:c>
      <x:c r="G203" s="2" t="str">
        <x:v>S41-MU04</x:v>
      </x:c>
      <x:c r="H203" s="2" t="str">
        <x:v>S41-O02</x:v>
      </x:c>
      <x:c r="I203" s="2" t="str">
        <x:v>Prompting</x:v>
      </x:c>
      <x:c r="J203" s="2" t="str">
        <x:v>Prompt Generation for Semantic Re-ranking</x:v>
      </x:c>
      <x:c r="K203" s="2" t="str">
        <x:v>zero-shot-re-ranking-prompt-chatgpt</x:v>
      </x:c>
      <x:c r="L203" s="6" t="str">
        <x:v>与F2相同，ChatGPT-4o-mini使用相同的重排序提示。</x:v>
      </x:c>
      <x:c r="M203" s="2" t="str">
        <x:v>Yes</x:v>
      </x:c>
      <x:c r="N203" s="2" t="str">
        <x:v>Full prompt reported</x:v>
      </x:c>
      <x:c r="O203" s="2" t="n">
        <x:v>0</x:v>
      </x:c>
      <x:c r="P203" s="2" t="str">
        <x:v>No</x:v>
      </x:c>
      <x:c r="Q203" s="2" t="str">
        <x:v>No</x:v>
      </x:c>
      <x:c r="R203" s="2" t="str">
        <x:v>No</x:v>
      </x:c>
      <x:c r="S203" s="2" t="str">
        <x:v>NR</x:v>
      </x:c>
      <x:c r="T203" s="6" t="str">
        <x:v>p. 8; Figure 6</x:v>
      </x:c>
      <x:c r="U203" s="6" t="str">
        <x:v>Figure 6: The Prompt for Semantic Re-ranking.</x:v>
      </x:c>
      <x:c r="V203" s="6" t="str">
        <x:v>ChatGPT-4o-mini在语义重排序模块采用相同的零样本提示。</x:v>
      </x:c>
      <x:c r="W203" s="2" t="str">
        <x:v>Accepted</x:v>
      </x:c>
      <x:c r="X203" s="6" t="str">
        <x:v>NA</x:v>
      </x:c>
    </x:row>
    <x:row r="204" ht="76" customHeight="1">
      <x:c r="A204" s="2" t="str">
        <x:v>S41-FEATURE-R05</x:v>
      </x:c>
      <x:c r="B204" s="2" t="str">
        <x:v>S41</x:v>
      </x:c>
      <x:c r="C204" s="2" t="str">
        <x:v>merged_1264</x:v>
      </x:c>
      <x:c r="D204" s="2" t="str">
        <x:v>Reviewer_A</x:v>
      </x:c>
      <x:c r="E204" s="2" t="str">
        <x:v>Reviewer_A</x:v>
      </x:c>
      <x:c r="F204" s="2" t="str">
        <x:v>S41-CF05</x:v>
      </x:c>
      <x:c r="G204" s="2" t="str">
        <x:v>S41-MU06</x:v>
      </x:c>
      <x:c r="H204" s="2" t="str">
        <x:v>S41-O01</x:v>
      </x:c>
      <x:c r="I204" s="2" t="str">
        <x:v>Prompting</x:v>
      </x:c>
      <x:c r="J204" s="2" t="str">
        <x:v>Prompt Generation for Semantic Summarization</x:v>
      </x:c>
      <x:c r="K204" s="2" t="str">
        <x:v>zero-shot-summarization-prompt-claude</x:v>
      </x:c>
      <x:c r="L204" s="6" t="str">
        <x:v>与F1相同，Claude-3.7-Sonnet使用相同的摘要提示。</x:v>
      </x:c>
      <x:c r="M204" s="2" t="str">
        <x:v>Yes</x:v>
      </x:c>
      <x:c r="N204" s="2" t="str">
        <x:v>Full prompt reported</x:v>
      </x:c>
      <x:c r="O204" s="2" t="n">
        <x:v>0</x:v>
      </x:c>
      <x:c r="P204" s="2" t="str">
        <x:v>No</x:v>
      </x:c>
      <x:c r="Q204" s="2" t="str">
        <x:v>No</x:v>
      </x:c>
      <x:c r="R204" s="2" t="str">
        <x:v>No</x:v>
      </x:c>
      <x:c r="S204" s="2" t="str">
        <x:v>NR</x:v>
      </x:c>
      <x:c r="T204" s="6" t="str">
        <x:v>p. 7; Figure 4</x:v>
      </x:c>
      <x:c r="U204" s="6" t="str">
        <x:v>Figure 4: The Prompt for Semantic Summarization.</x:v>
      </x:c>
      <x:c r="V204" s="6" t="str">
        <x:v>Claude-3.7-Sonnet在语义摘要模块采用相同的零样本提示。</x:v>
      </x:c>
      <x:c r="W204" s="2" t="str">
        <x:v>Accepted</x:v>
      </x:c>
      <x:c r="X204" s="6" t="str">
        <x:v>NA</x:v>
      </x:c>
    </x:row>
    <x:row r="205" ht="76" customHeight="1">
      <x:c r="A205" s="2" t="str">
        <x:v>S41-FEATURE-R06</x:v>
      </x:c>
      <x:c r="B205" s="2" t="str">
        <x:v>S41</x:v>
      </x:c>
      <x:c r="C205" s="2" t="str">
        <x:v>merged_1264</x:v>
      </x:c>
      <x:c r="D205" s="2" t="str">
        <x:v>Reviewer_A</x:v>
      </x:c>
      <x:c r="E205" s="2" t="str">
        <x:v>Reviewer_A</x:v>
      </x:c>
      <x:c r="F205" s="2" t="str">
        <x:v>S41-CF06</x:v>
      </x:c>
      <x:c r="G205" s="2" t="str">
        <x:v>S41-MU06</x:v>
      </x:c>
      <x:c r="H205" s="2" t="str">
        <x:v>S41-O02</x:v>
      </x:c>
      <x:c r="I205" s="2" t="str">
        <x:v>Prompting</x:v>
      </x:c>
      <x:c r="J205" s="2" t="str">
        <x:v>Prompt Generation for Semantic Re-ranking</x:v>
      </x:c>
      <x:c r="K205" s="2" t="str">
        <x:v>zero-shot-re-ranking-prompt-claude</x:v>
      </x:c>
      <x:c r="L205" s="6" t="str">
        <x:v>与F2相同，Claude-3.7-Sonnet使用相同的重排序提示。</x:v>
      </x:c>
      <x:c r="M205" s="2" t="str">
        <x:v>Yes</x:v>
      </x:c>
      <x:c r="N205" s="2" t="str">
        <x:v>Full prompt reported</x:v>
      </x:c>
      <x:c r="O205" s="2" t="n">
        <x:v>0</x:v>
      </x:c>
      <x:c r="P205" s="2" t="str">
        <x:v>No</x:v>
      </x:c>
      <x:c r="Q205" s="2" t="str">
        <x:v>No</x:v>
      </x:c>
      <x:c r="R205" s="2" t="str">
        <x:v>No</x:v>
      </x:c>
      <x:c r="S205" s="2" t="str">
        <x:v>NR</x:v>
      </x:c>
      <x:c r="T205" s="6" t="str">
        <x:v>p. 8; Figure 6</x:v>
      </x:c>
      <x:c r="U205" s="6" t="str">
        <x:v>Figure 6: The Prompt for Semantic Re-ranking.</x:v>
      </x:c>
      <x:c r="V205" s="6" t="str">
        <x:v>Claude-3.7-Sonnet在语义重排序模块采用相同的零样本提示。</x:v>
      </x:c>
      <x:c r="W205" s="2" t="str">
        <x:v>Accepted</x:v>
      </x:c>
      <x:c r="X205" s="6" t="str">
        <x:v>NA</x:v>
      </x:c>
    </x:row>
    <x:row r="206" ht="76" customHeight="1">
      <x:c r="A206" s="2" t="str">
        <x:v>S42-FEATURE-R01</x:v>
      </x:c>
      <x:c r="B206" s="2" t="str">
        <x:v>S42</x:v>
      </x:c>
      <x:c r="C206" s="2" t="str">
        <x:v>merged_1266</x:v>
      </x:c>
      <x:c r="D206" s="2" t="str">
        <x:v>Reviewer_A</x:v>
      </x:c>
      <x:c r="E206" s="2" t="str">
        <x:v>Reviewer_A</x:v>
      </x:c>
      <x:c r="F206" s="2" t="str">
        <x:v>S42-CF01</x:v>
      </x:c>
      <x:c r="G206" s="2" t="str">
        <x:v>S42-MU01</x:v>
      </x:c>
      <x:c r="H206" s="2" t="str">
        <x:v>S42-O01</x:v>
      </x:c>
      <x:c r="I206" s="2" t="str">
        <x:v>Context construction</x:v>
      </x:c>
      <x:c r="J206" s="2" t="str">
        <x:v>Retrieval-augmented generation (RAG)</x:v>
      </x:c>
      <x:c r="K206" s="2" t="str">
        <x:v>RAG-CONTEXT</x:v>
      </x:c>
      <x:c r="L206" s="6" t="str">
        <x:v>通过嵌入检索从目标需求集中获取Top-k个最相似的候选目标需求，作为LLM提示的上下文。</x:v>
      </x:c>
      <x:c r="M206" s="2" t="str">
        <x:v>NA</x:v>
      </x:c>
      <x:c r="N206" s="2" t="str">
        <x:v>NA</x:v>
      </x:c>
      <x:c r="O206" s="2" t="str">
        <x:v>NA</x:v>
      </x:c>
      <x:c r="P206" s="2" t="str">
        <x:v>Yes</x:v>
      </x:c>
      <x:c r="Q206" s="2" t="str">
        <x:v>No</x:v>
      </x:c>
      <x:c r="R206" s="2" t="str">
        <x:v>No</x:v>
      </x:c>
      <x:c r="S206" s="2" t="str">
        <x:v>NA</x:v>
      </x:c>
      <x:c r="T206" s="6" t="str">
        <x:v>p. 3; Section 3</x:v>
      </x:c>
      <x:c r="U206" s="6" t="str">
        <x:v>relevant documents are requirements from the set of target artifacts that might be candidates for having a trace link</x:v>
      </x:c>
      <x:c r="V206" s="6" t="str">
        <x:v>RAG的检索步骤为每个源需求构造候选目标需求集合，作为分类LLM的上下文输入。</x:v>
      </x:c>
      <x:c r="W206" s="2" t="str">
        <x:v>Accepted</x:v>
      </x:c>
      <x:c r="X206" s="6" t="str">
        <x:v>Used by all configurations.</x:v>
      </x:c>
    </x:row>
    <x:row r="207" ht="76" customHeight="1">
      <x:c r="A207" s="2" t="str">
        <x:v>S42-FEATURE-R02</x:v>
      </x:c>
      <x:c r="B207" s="2" t="str">
        <x:v>S42</x:v>
      </x:c>
      <x:c r="C207" s="2" t="str">
        <x:v>merged_1266</x:v>
      </x:c>
      <x:c r="D207" s="2" t="str">
        <x:v>Reviewer_A</x:v>
      </x:c>
      <x:c r="E207" s="2" t="str">
        <x:v>Reviewer_A</x:v>
      </x:c>
      <x:c r="F207" s="2" t="str">
        <x:v>S42-CF02</x:v>
      </x:c>
      <x:c r="G207" s="2" t="str">
        <x:v>S42-MU01</x:v>
      </x:c>
      <x:c r="H207" s="2" t="str">
        <x:v>S42-O01</x:v>
      </x:c>
      <x:c r="I207" s="2" t="str">
        <x:v>Prompting</x:v>
      </x:c>
      <x:c r="J207" s="2" t="str">
        <x:v>KISS prompt</x:v>
      </x:c>
      <x:c r="K207" s="2" t="str">
        <x:v>KISS</x:v>
      </x:c>
      <x:c r="L207" s="6" t="str">
        <x:v>简单零样本分类提示，直接询问源需求与目标需求是否相关，要求回答yes/no。</x:v>
      </x:c>
      <x:c r="M207" s="2" t="str">
        <x:v>Yes</x:v>
      </x:c>
      <x:c r="N207" s="2" t="str">
        <x:v>Full prompt reported</x:v>
      </x:c>
      <x:c r="O207" s="2" t="n">
        <x:v>0</x:v>
      </x:c>
      <x:c r="P207" s="2" t="str">
        <x:v>Yes</x:v>
      </x:c>
      <x:c r="Q207" s="2" t="str">
        <x:v>No</x:v>
      </x:c>
      <x:c r="R207" s="2" t="str">
        <x:v>No</x:v>
      </x:c>
      <x:c r="S207" s="2" t="str">
        <x:v>NA</x:v>
      </x:c>
      <x:c r="T207" s="6" t="str">
        <x:v>p. 5; Prompt 1</x:v>
      </x:c>
      <x:c r="U207" s="6" t="str">
        <x:v>Are they related? Answer with 'yes' or 'no'.</x:v>
      </x:c>
      <x:c r="V207" s="6" t="str">
        <x:v>KISS提示是一种零样本的二元分类提示，不提供示例或推理要求。</x:v>
      </x:c>
      <x:c r="W207" s="2" t="str">
        <x:v>Accepted</x:v>
      </x:c>
      <x:c r="X207" s="6" t="str">
        <x:v>Zero-shot prompt.</x:v>
      </x:c>
    </x:row>
    <x:row r="208" ht="76" customHeight="1">
      <x:c r="A208" s="2" t="str">
        <x:v>S42-FEATURE-R03</x:v>
      </x:c>
      <x:c r="B208" s="2" t="str">
        <x:v>S42</x:v>
      </x:c>
      <x:c r="C208" s="2" t="str">
        <x:v>merged_1266</x:v>
      </x:c>
      <x:c r="D208" s="2" t="str">
        <x:v>Reviewer_A</x:v>
      </x:c>
      <x:c r="E208" s="2" t="str">
        <x:v>Reviewer_A</x:v>
      </x:c>
      <x:c r="F208" s="2" t="str">
        <x:v>S42-CF03</x:v>
      </x:c>
      <x:c r="G208" s="2" t="str">
        <x:v>S42-MU02</x:v>
      </x:c>
      <x:c r="H208" s="2" t="str">
        <x:v>S42-O01</x:v>
      </x:c>
      <x:c r="I208" s="2" t="str">
        <x:v>Context construction</x:v>
      </x:c>
      <x:c r="J208" s="2" t="str">
        <x:v>Retrieval-augmented generation (RAG)</x:v>
      </x:c>
      <x:c r="K208" s="2" t="str">
        <x:v>RAG-CONTEXT</x:v>
      </x:c>
      <x:c r="L208" s="6" t="str">
        <x:v>通过嵌入检索从目标需求集中获取Top-k个最相似的候选目标需求，作为LLM提示的上下文。</x:v>
      </x:c>
      <x:c r="M208" s="2" t="str">
        <x:v>NA</x:v>
      </x:c>
      <x:c r="N208" s="2" t="str">
        <x:v>NA</x:v>
      </x:c>
      <x:c r="O208" s="2" t="str">
        <x:v>NA</x:v>
      </x:c>
      <x:c r="P208" s="2" t="str">
        <x:v>Yes</x:v>
      </x:c>
      <x:c r="Q208" s="2" t="str">
        <x:v>No</x:v>
      </x:c>
      <x:c r="R208" s="2" t="str">
        <x:v>No</x:v>
      </x:c>
      <x:c r="S208" s="2" t="str">
        <x:v>NA</x:v>
      </x:c>
      <x:c r="T208" s="6" t="str">
        <x:v>p. 3; Section 3</x:v>
      </x:c>
      <x:c r="U208" s="6" t="str">
        <x:v>relevant documents are requirements from the set of target artifacts that might be candidates for having a trace link</x:v>
      </x:c>
      <x:c r="V208" s="6" t="str">
        <x:v>RAG的检索步骤为每个源需求构造候选目标需求集合，作为分类LLM的上下文输入。</x:v>
      </x:c>
      <x:c r="W208" s="2" t="str">
        <x:v>Accepted</x:v>
      </x:c>
      <x:c r="X208" s="6" t="str">
        <x:v>Used by all configurations.</x:v>
      </x:c>
    </x:row>
    <x:row r="209" ht="76" customHeight="1">
      <x:c r="A209" s="2" t="str">
        <x:v>S42-FEATURE-R04</x:v>
      </x:c>
      <x:c r="B209" s="2" t="str">
        <x:v>S42</x:v>
      </x:c>
      <x:c r="C209" s="2" t="str">
        <x:v>merged_1266</x:v>
      </x:c>
      <x:c r="D209" s="2" t="str">
        <x:v>Reviewer_A</x:v>
      </x:c>
      <x:c r="E209" s="2" t="str">
        <x:v>Reviewer_A</x:v>
      </x:c>
      <x:c r="F209" s="2" t="str">
        <x:v>S42-CF04</x:v>
      </x:c>
      <x:c r="G209" s="2" t="str">
        <x:v>S42-MU02</x:v>
      </x:c>
      <x:c r="H209" s="2" t="str">
        <x:v>S42-O01</x:v>
      </x:c>
      <x:c r="I209" s="2" t="str">
        <x:v>Prompting</x:v>
      </x:c>
      <x:c r="J209" s="2" t="str">
        <x:v>KISS prompt</x:v>
      </x:c>
      <x:c r="K209" s="2" t="str">
        <x:v>KISS</x:v>
      </x:c>
      <x:c r="L209" s="6" t="str">
        <x:v>简单零样本分类提示，直接询问源需求与目标需求是否相关，要求回答yes/no。</x:v>
      </x:c>
      <x:c r="M209" s="2" t="str">
        <x:v>Yes</x:v>
      </x:c>
      <x:c r="N209" s="2" t="str">
        <x:v>Full prompt reported</x:v>
      </x:c>
      <x:c r="O209" s="2" t="n">
        <x:v>0</x:v>
      </x:c>
      <x:c r="P209" s="2" t="str">
        <x:v>Yes</x:v>
      </x:c>
      <x:c r="Q209" s="2" t="str">
        <x:v>No</x:v>
      </x:c>
      <x:c r="R209" s="2" t="str">
        <x:v>No</x:v>
      </x:c>
      <x:c r="S209" s="2" t="str">
        <x:v>NA</x:v>
      </x:c>
      <x:c r="T209" s="6" t="str">
        <x:v>p. 5; Prompt 1</x:v>
      </x:c>
      <x:c r="U209" s="6" t="str">
        <x:v>Are they related? Answer with 'yes' or 'no'.</x:v>
      </x:c>
      <x:c r="V209" s="6" t="str">
        <x:v>KISS提示是一种零样本的二元分类提示，不提供示例或推理要求。</x:v>
      </x:c>
      <x:c r="W209" s="2" t="str">
        <x:v>Accepted</x:v>
      </x:c>
      <x:c r="X209" s="6" t="str">
        <x:v>Zero-shot prompt.</x:v>
      </x:c>
    </x:row>
    <x:row r="210" ht="76" customHeight="1">
      <x:c r="A210" s="2" t="str">
        <x:v>S42-FEATURE-R05</x:v>
      </x:c>
      <x:c r="B210" s="2" t="str">
        <x:v>S42</x:v>
      </x:c>
      <x:c r="C210" s="2" t="str">
        <x:v>merged_1266</x:v>
      </x:c>
      <x:c r="D210" s="2" t="str">
        <x:v>Reviewer_A</x:v>
      </x:c>
      <x:c r="E210" s="2" t="str">
        <x:v>Reviewer_A</x:v>
      </x:c>
      <x:c r="F210" s="2" t="str">
        <x:v>S42-CF05</x:v>
      </x:c>
      <x:c r="G210" s="2" t="str">
        <x:v>S42-MU03</x:v>
      </x:c>
      <x:c r="H210" s="2" t="str">
        <x:v>S42-O01</x:v>
      </x:c>
      <x:c r="I210" s="2" t="str">
        <x:v>Context construction</x:v>
      </x:c>
      <x:c r="J210" s="2" t="str">
        <x:v>Retrieval-augmented generation (RAG)</x:v>
      </x:c>
      <x:c r="K210" s="2" t="str">
        <x:v>RAG-CONTEXT</x:v>
      </x:c>
      <x:c r="L210" s="6" t="str">
        <x:v>通过嵌入检索从目标需求集中获取Top-k个最相似的候选目标需求，作为LLM提示的上下文。</x:v>
      </x:c>
      <x:c r="M210" s="2" t="str">
        <x:v>NA</x:v>
      </x:c>
      <x:c r="N210" s="2" t="str">
        <x:v>NA</x:v>
      </x:c>
      <x:c r="O210" s="2" t="str">
        <x:v>NA</x:v>
      </x:c>
      <x:c r="P210" s="2" t="str">
        <x:v>Yes</x:v>
      </x:c>
      <x:c r="Q210" s="2" t="str">
        <x:v>No</x:v>
      </x:c>
      <x:c r="R210" s="2" t="str">
        <x:v>No</x:v>
      </x:c>
      <x:c r="S210" s="2" t="str">
        <x:v>NA</x:v>
      </x:c>
      <x:c r="T210" s="6" t="str">
        <x:v>p. 3; Section 3</x:v>
      </x:c>
      <x:c r="U210" s="6" t="str">
        <x:v>relevant documents are requirements from the set of target artifacts that might be candidates for having a trace link</x:v>
      </x:c>
      <x:c r="V210" s="6" t="str">
        <x:v>RAG的检索步骤为每个源需求构造候选目标需求集合，作为分类LLM的上下文输入。</x:v>
      </x:c>
      <x:c r="W210" s="2" t="str">
        <x:v>Accepted</x:v>
      </x:c>
      <x:c r="X210" s="6" t="str">
        <x:v>Used by all configurations.</x:v>
      </x:c>
    </x:row>
    <x:row r="211" ht="76" customHeight="1">
      <x:c r="A211" s="2" t="str">
        <x:v>S42-FEATURE-R06</x:v>
      </x:c>
      <x:c r="B211" s="2" t="str">
        <x:v>S42</x:v>
      </x:c>
      <x:c r="C211" s="2" t="str">
        <x:v>merged_1266</x:v>
      </x:c>
      <x:c r="D211" s="2" t="str">
        <x:v>Reviewer_A</x:v>
      </x:c>
      <x:c r="E211" s="2" t="str">
        <x:v>Reviewer_A</x:v>
      </x:c>
      <x:c r="F211" s="2" t="str">
        <x:v>S42-CF06</x:v>
      </x:c>
      <x:c r="G211" s="2" t="str">
        <x:v>S42-MU03</x:v>
      </x:c>
      <x:c r="H211" s="2" t="str">
        <x:v>S42-O01</x:v>
      </x:c>
      <x:c r="I211" s="2" t="str">
        <x:v>Prompting</x:v>
      </x:c>
      <x:c r="J211" s="2" t="str">
        <x:v>KISS prompt</x:v>
      </x:c>
      <x:c r="K211" s="2" t="str">
        <x:v>KISS</x:v>
      </x:c>
      <x:c r="L211" s="6" t="str">
        <x:v>简单零样本分类提示，直接询问源需求与目标需求是否相关，要求回答yes/no。</x:v>
      </x:c>
      <x:c r="M211" s="2" t="str">
        <x:v>Yes</x:v>
      </x:c>
      <x:c r="N211" s="2" t="str">
        <x:v>Full prompt reported</x:v>
      </x:c>
      <x:c r="O211" s="2" t="n">
        <x:v>0</x:v>
      </x:c>
      <x:c r="P211" s="2" t="str">
        <x:v>Yes</x:v>
      </x:c>
      <x:c r="Q211" s="2" t="str">
        <x:v>No</x:v>
      </x:c>
      <x:c r="R211" s="2" t="str">
        <x:v>No</x:v>
      </x:c>
      <x:c r="S211" s="2" t="str">
        <x:v>NA</x:v>
      </x:c>
      <x:c r="T211" s="6" t="str">
        <x:v>p. 5; Prompt 1</x:v>
      </x:c>
      <x:c r="U211" s="6" t="str">
        <x:v>Are they related? Answer with 'yes' or 'no'.</x:v>
      </x:c>
      <x:c r="V211" s="6" t="str">
        <x:v>KISS提示是一种零样本的二元分类提示，不提供示例或推理要求。</x:v>
      </x:c>
      <x:c r="W211" s="2" t="str">
        <x:v>Accepted</x:v>
      </x:c>
      <x:c r="X211" s="6" t="str">
        <x:v>Zero-shot prompt.</x:v>
      </x:c>
    </x:row>
    <x:row r="212" ht="76" customHeight="1">
      <x:c r="A212" s="2" t="str">
        <x:v>S42-FEATURE-R07</x:v>
      </x:c>
      <x:c r="B212" s="2" t="str">
        <x:v>S42</x:v>
      </x:c>
      <x:c r="C212" s="2" t="str">
        <x:v>merged_1266</x:v>
      </x:c>
      <x:c r="D212" s="2" t="str">
        <x:v>Reviewer_A</x:v>
      </x:c>
      <x:c r="E212" s="2" t="str">
        <x:v>Reviewer_A</x:v>
      </x:c>
      <x:c r="F212" s="2" t="str">
        <x:v>S42-CF07</x:v>
      </x:c>
      <x:c r="G212" s="2" t="str">
        <x:v>S42-MU04</x:v>
      </x:c>
      <x:c r="H212" s="2" t="str">
        <x:v>S42-O01</x:v>
      </x:c>
      <x:c r="I212" s="2" t="str">
        <x:v>Context construction</x:v>
      </x:c>
      <x:c r="J212" s="2" t="str">
        <x:v>Retrieval-augmented generation (RAG)</x:v>
      </x:c>
      <x:c r="K212" s="2" t="str">
        <x:v>RAG-CONTEXT</x:v>
      </x:c>
      <x:c r="L212" s="6" t="str">
        <x:v>通过嵌入检索从目标需求集中获取Top-k个最相似的候选目标需求，作为LLM提示的上下文。</x:v>
      </x:c>
      <x:c r="M212" s="2" t="str">
        <x:v>NA</x:v>
      </x:c>
      <x:c r="N212" s="2" t="str">
        <x:v>NA</x:v>
      </x:c>
      <x:c r="O212" s="2" t="str">
        <x:v>NA</x:v>
      </x:c>
      <x:c r="P212" s="2" t="str">
        <x:v>Yes</x:v>
      </x:c>
      <x:c r="Q212" s="2" t="str">
        <x:v>No</x:v>
      </x:c>
      <x:c r="R212" s="2" t="str">
        <x:v>No</x:v>
      </x:c>
      <x:c r="S212" s="2" t="str">
        <x:v>NA</x:v>
      </x:c>
      <x:c r="T212" s="6" t="str">
        <x:v>p. 3; Section 3</x:v>
      </x:c>
      <x:c r="U212" s="6" t="str">
        <x:v>relevant documents are requirements from the set of target artifacts that might be candidates for having a trace link</x:v>
      </x:c>
      <x:c r="V212" s="6" t="str">
        <x:v>RAG的检索步骤为每个源需求构造候选目标需求集合，作为分类LLM的上下文输入。</x:v>
      </x:c>
      <x:c r="W212" s="2" t="str">
        <x:v>Accepted</x:v>
      </x:c>
      <x:c r="X212" s="6" t="str">
        <x:v>Used by all configurations.</x:v>
      </x:c>
    </x:row>
    <x:row r="213" ht="76" customHeight="1">
      <x:c r="A213" s="2" t="str">
        <x:v>S42-FEATURE-R08</x:v>
      </x:c>
      <x:c r="B213" s="2" t="str">
        <x:v>S42</x:v>
      </x:c>
      <x:c r="C213" s="2" t="str">
        <x:v>merged_1266</x:v>
      </x:c>
      <x:c r="D213" s="2" t="str">
        <x:v>Reviewer_A</x:v>
      </x:c>
      <x:c r="E213" s="2" t="str">
        <x:v>Reviewer_A</x:v>
      </x:c>
      <x:c r="F213" s="2" t="str">
        <x:v>S42-CF08</x:v>
      </x:c>
      <x:c r="G213" s="2" t="str">
        <x:v>S42-MU04</x:v>
      </x:c>
      <x:c r="H213" s="2" t="str">
        <x:v>S42-O01</x:v>
      </x:c>
      <x:c r="I213" s="2" t="str">
        <x:v>Prompting</x:v>
      </x:c>
      <x:c r="J213" s="2" t="str">
        <x:v>KISS prompt</x:v>
      </x:c>
      <x:c r="K213" s="2" t="str">
        <x:v>KISS</x:v>
      </x:c>
      <x:c r="L213" s="6" t="str">
        <x:v>简单零样本分类提示，直接询问源需求与目标需求是否相关，要求回答yes/no。</x:v>
      </x:c>
      <x:c r="M213" s="2" t="str">
        <x:v>Yes</x:v>
      </x:c>
      <x:c r="N213" s="2" t="str">
        <x:v>Full prompt reported</x:v>
      </x:c>
      <x:c r="O213" s="2" t="n">
        <x:v>0</x:v>
      </x:c>
      <x:c r="P213" s="2" t="str">
        <x:v>Yes</x:v>
      </x:c>
      <x:c r="Q213" s="2" t="str">
        <x:v>No</x:v>
      </x:c>
      <x:c r="R213" s="2" t="str">
        <x:v>No</x:v>
      </x:c>
      <x:c r="S213" s="2" t="str">
        <x:v>NA</x:v>
      </x:c>
      <x:c r="T213" s="6" t="str">
        <x:v>p. 5; Prompt 1</x:v>
      </x:c>
      <x:c r="U213" s="6" t="str">
        <x:v>Are they related? Answer with 'yes' or 'no'.</x:v>
      </x:c>
      <x:c r="V213" s="6" t="str">
        <x:v>KISS提示是一种零样本的二元分类提示，不提供示例或推理要求。</x:v>
      </x:c>
      <x:c r="W213" s="2" t="str">
        <x:v>Accepted</x:v>
      </x:c>
      <x:c r="X213" s="6" t="str">
        <x:v>Zero-shot prompt.</x:v>
      </x:c>
    </x:row>
    <x:row r="214" ht="76" customHeight="1">
      <x:c r="A214" s="2" t="str">
        <x:v>S42-FEATURE-R09</x:v>
      </x:c>
      <x:c r="B214" s="2" t="str">
        <x:v>S42</x:v>
      </x:c>
      <x:c r="C214" s="2" t="str">
        <x:v>merged_1266</x:v>
      </x:c>
      <x:c r="D214" s="2" t="str">
        <x:v>Reviewer_A</x:v>
      </x:c>
      <x:c r="E214" s="2" t="str">
        <x:v>Reviewer_A</x:v>
      </x:c>
      <x:c r="F214" s="2" t="str">
        <x:v>S42-CF09</x:v>
      </x:c>
      <x:c r="G214" s="2" t="str">
        <x:v>S42-MU05</x:v>
      </x:c>
      <x:c r="H214" s="2" t="str">
        <x:v>S42-O01</x:v>
      </x:c>
      <x:c r="I214" s="2" t="str">
        <x:v>Context construction</x:v>
      </x:c>
      <x:c r="J214" s="2" t="str">
        <x:v>Retrieval-augmented generation (RAG)</x:v>
      </x:c>
      <x:c r="K214" s="2" t="str">
        <x:v>RAG-CONTEXT</x:v>
      </x:c>
      <x:c r="L214" s="6" t="str">
        <x:v>通过嵌入检索从目标需求集中获取Top-k个最相似的候选目标需求，作为LLM提示的上下文。</x:v>
      </x:c>
      <x:c r="M214" s="2" t="str">
        <x:v>NA</x:v>
      </x:c>
      <x:c r="N214" s="2" t="str">
        <x:v>NA</x:v>
      </x:c>
      <x:c r="O214" s="2" t="str">
        <x:v>NA</x:v>
      </x:c>
      <x:c r="P214" s="2" t="str">
        <x:v>Yes</x:v>
      </x:c>
      <x:c r="Q214" s="2" t="str">
        <x:v>No</x:v>
      </x:c>
      <x:c r="R214" s="2" t="str">
        <x:v>No</x:v>
      </x:c>
      <x:c r="S214" s="2" t="str">
        <x:v>NA</x:v>
      </x:c>
      <x:c r="T214" s="6" t="str">
        <x:v>p. 3; Section 3</x:v>
      </x:c>
      <x:c r="U214" s="6" t="str">
        <x:v>relevant documents are requirements from the set of target artifacts that might be candidates for having a trace link</x:v>
      </x:c>
      <x:c r="V214" s="6" t="str">
        <x:v>RAG的检索步骤为每个源需求构造候选目标需求集合，作为分类LLM的上下文输入。</x:v>
      </x:c>
      <x:c r="W214" s="2" t="str">
        <x:v>Accepted</x:v>
      </x:c>
      <x:c r="X214" s="6" t="str">
        <x:v>Used by all configurations.</x:v>
      </x:c>
    </x:row>
    <x:row r="215" ht="76" customHeight="1">
      <x:c r="A215" s="2" t="str">
        <x:v>S42-FEATURE-R10</x:v>
      </x:c>
      <x:c r="B215" s="2" t="str">
        <x:v>S42</x:v>
      </x:c>
      <x:c r="C215" s="2" t="str">
        <x:v>merged_1266</x:v>
      </x:c>
      <x:c r="D215" s="2" t="str">
        <x:v>Reviewer_A</x:v>
      </x:c>
      <x:c r="E215" s="2" t="str">
        <x:v>Reviewer_A</x:v>
      </x:c>
      <x:c r="F215" s="2" t="str">
        <x:v>S42-CF10</x:v>
      </x:c>
      <x:c r="G215" s="2" t="str">
        <x:v>S42-MU05</x:v>
      </x:c>
      <x:c r="H215" s="2" t="str">
        <x:v>S42-O01</x:v>
      </x:c>
      <x:c r="I215" s="2" t="str">
        <x:v>Prompting</x:v>
      </x:c>
      <x:c r="J215" s="2" t="str">
        <x:v>CoT prompt</x:v>
      </x:c>
      <x:c r="K215" s="2" t="str">
        <x:v>CoT</x:v>
      </x:c>
      <x:c r="L215" s="6" t="str">
        <x:v>链式思维零样本提示，要求LLM在判断是否存在可追溯链接前先给出推理，并以&lt;trace&gt;标签包含答案。</x:v>
      </x:c>
      <x:c r="M215" s="2" t="str">
        <x:v>Yes</x:v>
      </x:c>
      <x:c r="N215" s="2" t="str">
        <x:v>Full prompt reported</x:v>
      </x:c>
      <x:c r="O215" s="2" t="n">
        <x:v>0</x:v>
      </x:c>
      <x:c r="P215" s="2" t="str">
        <x:v>Yes</x:v>
      </x:c>
      <x:c r="Q215" s="2" t="str">
        <x:v>No</x:v>
      </x:c>
      <x:c r="R215" s="2" t="str">
        <x:v>No</x:v>
      </x:c>
      <x:c r="S215" s="2" t="str">
        <x:v>NA</x:v>
      </x:c>
      <x:c r="T215" s="6" t="str">
        <x:v>p. 5; Prompt 2</x:v>
      </x:c>
      <x:c r="U215" s="6" t="str">
        <x:v>Give your reasoning and then answer with 'yes' or 'no' enclosed in &lt;trace&gt; &lt;/trace&gt;.</x:v>
      </x:c>
      <x:c r="V215" s="6" t="str">
        <x:v>CoT提示要求模型先推理后回答，是一种零样本链式思维提示技术。</x:v>
      </x:c>
      <x:c r="W215" s="2" t="str">
        <x:v>Accepted</x:v>
      </x:c>
      <x:c r="X215" s="6" t="str">
        <x:v>Zero-shot CoT prompt.</x:v>
      </x:c>
    </x:row>
    <x:row r="216" ht="76" customHeight="1">
      <x:c r="A216" s="2" t="str">
        <x:v>S42-FEATURE-R11</x:v>
      </x:c>
      <x:c r="B216" s="2" t="str">
        <x:v>S42</x:v>
      </x:c>
      <x:c r="C216" s="2" t="str">
        <x:v>merged_1266</x:v>
      </x:c>
      <x:c r="D216" s="2" t="str">
        <x:v>Reviewer_A</x:v>
      </x:c>
      <x:c r="E216" s="2" t="str">
        <x:v>Reviewer_A</x:v>
      </x:c>
      <x:c r="F216" s="2" t="str">
        <x:v>S42-CF11</x:v>
      </x:c>
      <x:c r="G216" s="2" t="str">
        <x:v>S42-MU06</x:v>
      </x:c>
      <x:c r="H216" s="2" t="str">
        <x:v>S42-O01</x:v>
      </x:c>
      <x:c r="I216" s="2" t="str">
        <x:v>Context construction</x:v>
      </x:c>
      <x:c r="J216" s="2" t="str">
        <x:v>Retrieval-augmented generation (RAG)</x:v>
      </x:c>
      <x:c r="K216" s="2" t="str">
        <x:v>RAG-CONTEXT</x:v>
      </x:c>
      <x:c r="L216" s="6" t="str">
        <x:v>通过嵌入检索从目标需求集中获取Top-k个最相似的候选目标需求，作为LLM提示的上下文。</x:v>
      </x:c>
      <x:c r="M216" s="2" t="str">
        <x:v>NA</x:v>
      </x:c>
      <x:c r="N216" s="2" t="str">
        <x:v>NA</x:v>
      </x:c>
      <x:c r="O216" s="2" t="str">
        <x:v>NA</x:v>
      </x:c>
      <x:c r="P216" s="2" t="str">
        <x:v>Yes</x:v>
      </x:c>
      <x:c r="Q216" s="2" t="str">
        <x:v>No</x:v>
      </x:c>
      <x:c r="R216" s="2" t="str">
        <x:v>No</x:v>
      </x:c>
      <x:c r="S216" s="2" t="str">
        <x:v>NA</x:v>
      </x:c>
      <x:c r="T216" s="6" t="str">
        <x:v>p. 3; Section 3</x:v>
      </x:c>
      <x:c r="U216" s="6" t="str">
        <x:v>relevant documents are requirements from the set of target artifacts that might be candidates for having a trace link</x:v>
      </x:c>
      <x:c r="V216" s="6" t="str">
        <x:v>RAG的检索步骤为每个源需求构造候选目标需求集合，作为分类LLM的上下文输入。</x:v>
      </x:c>
      <x:c r="W216" s="2" t="str">
        <x:v>Accepted</x:v>
      </x:c>
      <x:c r="X216" s="6" t="str">
        <x:v>Used by all configurations.</x:v>
      </x:c>
    </x:row>
    <x:row r="217" ht="76" customHeight="1">
      <x:c r="A217" s="2" t="str">
        <x:v>S42-FEATURE-R12</x:v>
      </x:c>
      <x:c r="B217" s="2" t="str">
        <x:v>S42</x:v>
      </x:c>
      <x:c r="C217" s="2" t="str">
        <x:v>merged_1266</x:v>
      </x:c>
      <x:c r="D217" s="2" t="str">
        <x:v>Reviewer_A</x:v>
      </x:c>
      <x:c r="E217" s="2" t="str">
        <x:v>Reviewer_A</x:v>
      </x:c>
      <x:c r="F217" s="2" t="str">
        <x:v>S42-CF12</x:v>
      </x:c>
      <x:c r="G217" s="2" t="str">
        <x:v>S42-MU06</x:v>
      </x:c>
      <x:c r="H217" s="2" t="str">
        <x:v>S42-O01</x:v>
      </x:c>
      <x:c r="I217" s="2" t="str">
        <x:v>Prompting</x:v>
      </x:c>
      <x:c r="J217" s="2" t="str">
        <x:v>CoT prompt</x:v>
      </x:c>
      <x:c r="K217" s="2" t="str">
        <x:v>CoT</x:v>
      </x:c>
      <x:c r="L217" s="6" t="str">
        <x:v>链式思维零样本提示，要求LLM在判断是否存在可追溯链接前先给出推理，并以&lt;trace&gt;标签包含答案。</x:v>
      </x:c>
      <x:c r="M217" s="2" t="str">
        <x:v>Yes</x:v>
      </x:c>
      <x:c r="N217" s="2" t="str">
        <x:v>Full prompt reported</x:v>
      </x:c>
      <x:c r="O217" s="2" t="n">
        <x:v>0</x:v>
      </x:c>
      <x:c r="P217" s="2" t="str">
        <x:v>Yes</x:v>
      </x:c>
      <x:c r="Q217" s="2" t="str">
        <x:v>No</x:v>
      </x:c>
      <x:c r="R217" s="2" t="str">
        <x:v>No</x:v>
      </x:c>
      <x:c r="S217" s="2" t="str">
        <x:v>NA</x:v>
      </x:c>
      <x:c r="T217" s="6" t="str">
        <x:v>p. 5; Prompt 2</x:v>
      </x:c>
      <x:c r="U217" s="6" t="str">
        <x:v>Give your reasoning and then answer with 'yes' or 'no' enclosed in &lt;trace&gt; &lt;/trace&gt;.</x:v>
      </x:c>
      <x:c r="V217" s="6" t="str">
        <x:v>CoT提示要求模型先推理后回答，是一种零样本链式思维提示技术。</x:v>
      </x:c>
      <x:c r="W217" s="2" t="str">
        <x:v>Accepted</x:v>
      </x:c>
      <x:c r="X217" s="6" t="str">
        <x:v>Zero-shot CoT prompt.</x:v>
      </x:c>
    </x:row>
    <x:row r="218" ht="76" customHeight="1">
      <x:c r="A218" s="2" t="str">
        <x:v>S42-FEATURE-R13</x:v>
      </x:c>
      <x:c r="B218" s="2" t="str">
        <x:v>S42</x:v>
      </x:c>
      <x:c r="C218" s="2" t="str">
        <x:v>merged_1266</x:v>
      </x:c>
      <x:c r="D218" s="2" t="str">
        <x:v>Reviewer_A</x:v>
      </x:c>
      <x:c r="E218" s="2" t="str">
        <x:v>Reviewer_A</x:v>
      </x:c>
      <x:c r="F218" s="2" t="str">
        <x:v>S42-CF13</x:v>
      </x:c>
      <x:c r="G218" s="2" t="str">
        <x:v>S42-MU07</x:v>
      </x:c>
      <x:c r="H218" s="2" t="str">
        <x:v>S42-O01</x:v>
      </x:c>
      <x:c r="I218" s="2" t="str">
        <x:v>Context construction</x:v>
      </x:c>
      <x:c r="J218" s="2" t="str">
        <x:v>Retrieval-augmented generation (RAG)</x:v>
      </x:c>
      <x:c r="K218" s="2" t="str">
        <x:v>RAG-CONTEXT</x:v>
      </x:c>
      <x:c r="L218" s="6" t="str">
        <x:v>通过嵌入检索从目标需求集中获取Top-k个最相似的候选目标需求，作为LLM提示的上下文。</x:v>
      </x:c>
      <x:c r="M218" s="2" t="str">
        <x:v>NA</x:v>
      </x:c>
      <x:c r="N218" s="2" t="str">
        <x:v>NA</x:v>
      </x:c>
      <x:c r="O218" s="2" t="str">
        <x:v>NA</x:v>
      </x:c>
      <x:c r="P218" s="2" t="str">
        <x:v>Yes</x:v>
      </x:c>
      <x:c r="Q218" s="2" t="str">
        <x:v>No</x:v>
      </x:c>
      <x:c r="R218" s="2" t="str">
        <x:v>No</x:v>
      </x:c>
      <x:c r="S218" s="2" t="str">
        <x:v>NA</x:v>
      </x:c>
      <x:c r="T218" s="6" t="str">
        <x:v>p. 3; Section 3</x:v>
      </x:c>
      <x:c r="U218" s="6" t="str">
        <x:v>relevant documents are requirements from the set of target artifacts that might be candidates for having a trace link</x:v>
      </x:c>
      <x:c r="V218" s="6" t="str">
        <x:v>RAG的检索步骤为每个源需求构造候选目标需求集合，作为分类LLM的上下文输入。</x:v>
      </x:c>
      <x:c r="W218" s="2" t="str">
        <x:v>Accepted</x:v>
      </x:c>
      <x:c r="X218" s="6" t="str">
        <x:v>Used by all configurations.</x:v>
      </x:c>
    </x:row>
    <x:row r="219" ht="76" customHeight="1">
      <x:c r="A219" s="2" t="str">
        <x:v>S42-FEATURE-R14</x:v>
      </x:c>
      <x:c r="B219" s="2" t="str">
        <x:v>S42</x:v>
      </x:c>
      <x:c r="C219" s="2" t="str">
        <x:v>merged_1266</x:v>
      </x:c>
      <x:c r="D219" s="2" t="str">
        <x:v>Reviewer_A</x:v>
      </x:c>
      <x:c r="E219" s="2" t="str">
        <x:v>Reviewer_A</x:v>
      </x:c>
      <x:c r="F219" s="2" t="str">
        <x:v>S42-CF14</x:v>
      </x:c>
      <x:c r="G219" s="2" t="str">
        <x:v>S42-MU07</x:v>
      </x:c>
      <x:c r="H219" s="2" t="str">
        <x:v>S42-O01</x:v>
      </x:c>
      <x:c r="I219" s="2" t="str">
        <x:v>Prompting</x:v>
      </x:c>
      <x:c r="J219" s="2" t="str">
        <x:v>CoT prompt</x:v>
      </x:c>
      <x:c r="K219" s="2" t="str">
        <x:v>CoT</x:v>
      </x:c>
      <x:c r="L219" s="6" t="str">
        <x:v>链式思维零样本提示，要求LLM在判断是否存在可追溯链接前先给出推理，并以&lt;trace&gt;标签包含答案。</x:v>
      </x:c>
      <x:c r="M219" s="2" t="str">
        <x:v>Yes</x:v>
      </x:c>
      <x:c r="N219" s="2" t="str">
        <x:v>Full prompt reported</x:v>
      </x:c>
      <x:c r="O219" s="2" t="n">
        <x:v>0</x:v>
      </x:c>
      <x:c r="P219" s="2" t="str">
        <x:v>Yes</x:v>
      </x:c>
      <x:c r="Q219" s="2" t="str">
        <x:v>No</x:v>
      </x:c>
      <x:c r="R219" s="2" t="str">
        <x:v>No</x:v>
      </x:c>
      <x:c r="S219" s="2" t="str">
        <x:v>NA</x:v>
      </x:c>
      <x:c r="T219" s="6" t="str">
        <x:v>p. 5; Prompt 2</x:v>
      </x:c>
      <x:c r="U219" s="6" t="str">
        <x:v>Give your reasoning and then answer with 'yes' or 'no' enclosed in &lt;trace&gt; &lt;/trace&gt;.</x:v>
      </x:c>
      <x:c r="V219" s="6" t="str">
        <x:v>CoT提示要求模型先推理后回答，是一种零样本链式思维提示技术。</x:v>
      </x:c>
      <x:c r="W219" s="2" t="str">
        <x:v>Accepted</x:v>
      </x:c>
      <x:c r="X219" s="6" t="str">
        <x:v>Zero-shot CoT prompt.</x:v>
      </x:c>
    </x:row>
    <x:row r="220" ht="76" customHeight="1">
      <x:c r="A220" s="2" t="str">
        <x:v>S42-FEATURE-R15</x:v>
      </x:c>
      <x:c r="B220" s="2" t="str">
        <x:v>S42</x:v>
      </x:c>
      <x:c r="C220" s="2" t="str">
        <x:v>merged_1266</x:v>
      </x:c>
      <x:c r="D220" s="2" t="str">
        <x:v>Reviewer_A</x:v>
      </x:c>
      <x:c r="E220" s="2" t="str">
        <x:v>Reviewer_A</x:v>
      </x:c>
      <x:c r="F220" s="2" t="str">
        <x:v>S42-CF15</x:v>
      </x:c>
      <x:c r="G220" s="2" t="str">
        <x:v>S42-MU08</x:v>
      </x:c>
      <x:c r="H220" s="2" t="str">
        <x:v>S42-O01</x:v>
      </x:c>
      <x:c r="I220" s="2" t="str">
        <x:v>Context construction</x:v>
      </x:c>
      <x:c r="J220" s="2" t="str">
        <x:v>Retrieval-augmented generation (RAG)</x:v>
      </x:c>
      <x:c r="K220" s="2" t="str">
        <x:v>RAG-CONTEXT</x:v>
      </x:c>
      <x:c r="L220" s="6" t="str">
        <x:v>通过嵌入检索从目标需求集中获取Top-k个最相似的候选目标需求，作为LLM提示的上下文。</x:v>
      </x:c>
      <x:c r="M220" s="2" t="str">
        <x:v>NA</x:v>
      </x:c>
      <x:c r="N220" s="2" t="str">
        <x:v>NA</x:v>
      </x:c>
      <x:c r="O220" s="2" t="str">
        <x:v>NA</x:v>
      </x:c>
      <x:c r="P220" s="2" t="str">
        <x:v>Yes</x:v>
      </x:c>
      <x:c r="Q220" s="2" t="str">
        <x:v>No</x:v>
      </x:c>
      <x:c r="R220" s="2" t="str">
        <x:v>No</x:v>
      </x:c>
      <x:c r="S220" s="2" t="str">
        <x:v>NA</x:v>
      </x:c>
      <x:c r="T220" s="6" t="str">
        <x:v>p. 3; Section 3</x:v>
      </x:c>
      <x:c r="U220" s="6" t="str">
        <x:v>relevant documents are requirements from the set of target artifacts that might be candidates for having a trace link</x:v>
      </x:c>
      <x:c r="V220" s="6" t="str">
        <x:v>RAG的检索步骤为每个源需求构造候选目标需求集合，作为分类LLM的上下文输入。</x:v>
      </x:c>
      <x:c r="W220" s="2" t="str">
        <x:v>Accepted</x:v>
      </x:c>
      <x:c r="X220" s="6" t="str">
        <x:v>Used by all configurations.</x:v>
      </x:c>
    </x:row>
    <x:row r="221" ht="76" customHeight="1">
      <x:c r="A221" s="2" t="str">
        <x:v>S42-FEATURE-R16</x:v>
      </x:c>
      <x:c r="B221" s="2" t="str">
        <x:v>S42</x:v>
      </x:c>
      <x:c r="C221" s="2" t="str">
        <x:v>merged_1266</x:v>
      </x:c>
      <x:c r="D221" s="2" t="str">
        <x:v>Reviewer_A</x:v>
      </x:c>
      <x:c r="E221" s="2" t="str">
        <x:v>Reviewer_A</x:v>
      </x:c>
      <x:c r="F221" s="2" t="str">
        <x:v>S42-CF16</x:v>
      </x:c>
      <x:c r="G221" s="2" t="str">
        <x:v>S42-MU08</x:v>
      </x:c>
      <x:c r="H221" s="2" t="str">
        <x:v>S42-O01</x:v>
      </x:c>
      <x:c r="I221" s="2" t="str">
        <x:v>Prompting</x:v>
      </x:c>
      <x:c r="J221" s="2" t="str">
        <x:v>CoT prompt</x:v>
      </x:c>
      <x:c r="K221" s="2" t="str">
        <x:v>CoT</x:v>
      </x:c>
      <x:c r="L221" s="6" t="str">
        <x:v>链式思维零样本提示，要求LLM在判断是否存在可追溯链接前先给出推理，并以&lt;trace&gt;标签包含答案。</x:v>
      </x:c>
      <x:c r="M221" s="2" t="str">
        <x:v>Yes</x:v>
      </x:c>
      <x:c r="N221" s="2" t="str">
        <x:v>Full prompt reported</x:v>
      </x:c>
      <x:c r="O221" s="2" t="n">
        <x:v>0</x:v>
      </x:c>
      <x:c r="P221" s="2" t="str">
        <x:v>Yes</x:v>
      </x:c>
      <x:c r="Q221" s="2" t="str">
        <x:v>No</x:v>
      </x:c>
      <x:c r="R221" s="2" t="str">
        <x:v>No</x:v>
      </x:c>
      <x:c r="S221" s="2" t="str">
        <x:v>NA</x:v>
      </x:c>
      <x:c r="T221" s="6" t="str">
        <x:v>p. 5; Prompt 2</x:v>
      </x:c>
      <x:c r="U221" s="6" t="str">
        <x:v>Give your reasoning and then answer with 'yes' or 'no' enclosed in &lt;trace&gt; &lt;/trace&gt;.</x:v>
      </x:c>
      <x:c r="V221" s="6" t="str">
        <x:v>CoT提示要求模型先推理后回答，是一种零样本链式思维提示技术。</x:v>
      </x:c>
      <x:c r="W221" s="2" t="str">
        <x:v>Accepted</x:v>
      </x:c>
      <x:c r="X221" s="6" t="str">
        <x:v>Zero-shot CoT prompt.</x:v>
      </x:c>
    </x:row>
    <x:row r="222" ht="76" customHeight="1">
      <x:c r="A222" s="2" t="str">
        <x:v>S43-FEATURE-R01</x:v>
      </x:c>
      <x:c r="B222" s="2" t="str">
        <x:v>S43</x:v>
      </x:c>
      <x:c r="C222" s="2" t="str">
        <x:v>merged_1270</x:v>
      </x:c>
      <x:c r="D222" s="2" t="str">
        <x:v>Reviewer_A</x:v>
      </x:c>
      <x:c r="E222" s="2" t="str">
        <x:v>Reviewer_A</x:v>
      </x:c>
      <x:c r="F222" s="2" t="str">
        <x:v>S43-CF01</x:v>
      </x:c>
      <x:c r="G222" s="2" t="str">
        <x:v>S43-MU01</x:v>
      </x:c>
      <x:c r="H222" s="2" t="str">
        <x:v>S43-O01</x:v>
      </x:c>
      <x:c r="I222" s="2" t="str">
        <x:v>Prompting</x:v>
      </x:c>
      <x:c r="J222" s="2" t="str">
        <x:v>structured prompt template</x:v>
      </x:c>
      <x:c r="K222" s="2" t="str">
        <x:v>ATTRIBUTION_PROMPT</x:v>
      </x:c>
      <x:c r="L222" s="6" t="str">
        <x:v>设计了结构化提示模板，包含需求、代码文本和关联标签，要求LLM生成不超过60词的技术解释。</x:v>
      </x:c>
      <x:c r="M222" s="2" t="str">
        <x:v>Yes</x:v>
      </x:c>
      <x:c r="N222" s="2" t="str">
        <x:v>Full prompt reported</x:v>
      </x:c>
      <x:c r="O222" s="2" t="n">
        <x:v>0</x:v>
      </x:c>
      <x:c r="P222" s="2" t="str">
        <x:v>No</x:v>
      </x:c>
      <x:c r="Q222" s="2" t="str">
        <x:v>No</x:v>
      </x:c>
      <x:c r="R222" s="2" t="str">
        <x:v>No</x:v>
      </x:c>
      <x:c r="S222" s="2" t="str">
        <x:v>NA</x:v>
      </x:c>
      <x:c r="T222" s="6" t="str">
        <x:v>p. 4; Section III-A</x:v>
      </x:c>
      <x:c r="U222" s="6" t="str">
        <x:v>f"Analyze this requirement-code pair and explain why they are 'related' if l else 'unrelated' " f"based on their actual content. Focus on technical implementation details.\n\n"</x:v>
      </x:c>
      <x:c r="V222" s="6" t="str">
        <x:v>提示模板明确指定了任务、上下文和输出格式，引导LLM进行归因推理。</x:v>
      </x:c>
      <x:c r="W222" s="2" t="str">
        <x:v>Accepted</x:v>
      </x:c>
      <x:c r="X222" s="6" t="str">
        <x:v>该提示为单轮、零样本设计，输入文本截断至2000字符。</x:v>
      </x:c>
    </x:row>
    <x:row r="223" ht="76" customHeight="1">
      <x:c r="A223" s="2" t="str">
        <x:v>S44-FEATURE-R01</x:v>
      </x:c>
      <x:c r="B223" s="2" t="str">
        <x:v>S44</x:v>
      </x:c>
      <x:c r="C223" s="2" t="str">
        <x:v>merged_1274</x:v>
      </x:c>
      <x:c r="D223" s="2" t="str">
        <x:v>Reviewer_A</x:v>
      </x:c>
      <x:c r="E223" s="2" t="str">
        <x:v>Reviewer_A</x:v>
      </x:c>
      <x:c r="F223" s="2" t="str">
        <x:v>S44-CF01</x:v>
      </x:c>
      <x:c r="G223" s="2" t="str">
        <x:v>S44-MU02</x:v>
      </x:c>
      <x:c r="H223" s="2" t="str">
        <x:v>S44-O01</x:v>
      </x:c>
      <x:c r="I223" s="2" t="str">
        <x:v>Prompting</x:v>
      </x:c>
      <x:c r="J223" s="2" t="str">
        <x:v>Translation prompt</x:v>
      </x:c>
      <x:c r="K223" s="2" t="str">
        <x:v>translation_prompt</x:v>
      </x:c>
      <x:c r="L223" s="6" t="str">
        <x:v>用于指导GPT-3.5将非英文需求翻译为英文的提示，但论文未提供具体提示内容。</x:v>
      </x:c>
      <x:c r="M223" s="2" t="str">
        <x:v>No</x:v>
      </x:c>
      <x:c r="N223" s="2" t="str">
        <x:v>Not reported</x:v>
      </x:c>
      <x:c r="O223" s="2" t="str">
        <x:v>NR</x:v>
      </x:c>
      <x:c r="P223" s="2" t="str">
        <x:v>No</x:v>
      </x:c>
      <x:c r="Q223" s="2" t="str">
        <x:v>No</x:v>
      </x:c>
      <x:c r="R223" s="2" t="str">
        <x:v>No</x:v>
      </x:c>
      <x:c r="S223" s="2" t="str">
        <x:v>NR</x:v>
      </x:c>
      <x:c r="T223" s="6" t="str">
        <x:v>p. 2; B. Preprocessing</x:v>
      </x:c>
      <x:c r="U223" s="6" t="str">
        <x:v>non-English requirements were translated into English using GPT-3.5</x:v>
      </x:c>
      <x:c r="V223" s="6" t="str">
        <x:v>翻译提示的存在是隐含的，但论文未报告任何提示细节，因此无法确定提示的结构。</x:v>
      </x:c>
      <x:c r="W223" s="2" t="str">
        <x:v>Accepted</x:v>
      </x:c>
      <x:c r="X223" s="6" t="str">
        <x:v>NR</x:v>
      </x:c>
    </x:row>
    <x:row r="224" ht="76" customHeight="1">
      <x:c r="A224" s="2" t="str">
        <x:v>S44-FEATURE-R02</x:v>
      </x:c>
      <x:c r="B224" s="2" t="str">
        <x:v>S44</x:v>
      </x:c>
      <x:c r="C224" s="2" t="str">
        <x:v>merged_1274</x:v>
      </x:c>
      <x:c r="D224" s="2" t="str">
        <x:v>Reviewer_A</x:v>
      </x:c>
      <x:c r="E224" s="2" t="str">
        <x:v>Reviewer_A</x:v>
      </x:c>
      <x:c r="F224" s="2" t="str">
        <x:v>S44-CF02</x:v>
      </x:c>
      <x:c r="G224" s="2" t="str">
        <x:v>S44-MU02</x:v>
      </x:c>
      <x:c r="H224" s="2" t="str">
        <x:v>S44-O02</x:v>
      </x:c>
      <x:c r="I224" s="2" t="str">
        <x:v>Prompting</x:v>
      </x:c>
      <x:c r="J224" s="2" t="str">
        <x:v>CoT prompt</x:v>
      </x:c>
      <x:c r="K224" s="2" t="str">
        <x:v>cot_prompt</x:v>
      </x:c>
      <x:c r="L224" s="6" t="str">
        <x:v>链式思维提示模板，将代码理解任务分解为五个递增步骤：编程语言识别、注释检查、基于命名的推理、代码功能解释、业务需求描述，最终输出业务需求文本。</x:v>
      </x:c>
      <x:c r="M224" s="2" t="str">
        <x:v>Yes</x:v>
      </x:c>
      <x:c r="N224" s="2" t="str">
        <x:v>Template reported</x:v>
      </x:c>
      <x:c r="O224" s="2" t="n">
        <x:v>0</x:v>
      </x:c>
      <x:c r="P224" s="2" t="str">
        <x:v>No</x:v>
      </x:c>
      <x:c r="Q224" s="2" t="str">
        <x:v>No</x:v>
      </x:c>
      <x:c r="R224" s="2" t="str">
        <x:v>No</x:v>
      </x:c>
      <x:c r="S224" s="2" t="str">
        <x:v>NR</x:v>
      </x:c>
      <x:c r="T224" s="6" t="str">
        <x:v>p. 2; C. Prompt Design and Figure 2</x:v>
      </x:c>
      <x:c r="U224" s="6" t="str">
        <x:v>We have subdivided this process into the following five progressive steps following the CoT prompt, as illustrated in Figure 2 for the specific prompt content.</x:v>
      </x:c>
      <x:c r="V224" s="6" t="str">
        <x:v>CoT提示是方法的核心配置，其模板在Figure 2中明确展示，属于零样本CoT风格，无示例，仅通过步骤指令引导推理。</x:v>
      </x:c>
      <x:c r="W224" s="2" t="str">
        <x:v>Accepted</x:v>
      </x:c>
      <x:c r="X224" s="6" t="str">
        <x:v>Figure 2显示了提示模板及示例输出，提示末尾附加源代码。</x:v>
      </x:c>
    </x:row>
    <x:row r="225" ht="76" customHeight="1">
      <x:c r="A225" s="2" t="str">
        <x:v>S45-FEATURE-R01</x:v>
      </x:c>
      <x:c r="B225" s="2" t="str">
        <x:v>S45</x:v>
      </x:c>
      <x:c r="C225" s="2" t="str">
        <x:v>merged_1275</x:v>
      </x:c>
      <x:c r="D225" s="2" t="str">
        <x:v>Reviewer_A</x:v>
      </x:c>
      <x:c r="E225" s="2" t="str">
        <x:v>Reviewer_A</x:v>
      </x:c>
      <x:c r="F225" s="2" t="str">
        <x:v>S45-CF01</x:v>
      </x:c>
      <x:c r="G225" s="2" t="str">
        <x:v>S45-MU01</x:v>
      </x:c>
      <x:c r="H225" s="2" t="str">
        <x:v>S45-O01</x:v>
      </x:c>
      <x:c r="I225" s="2" t="str">
        <x:v>Prompting</x:v>
      </x:c>
      <x:c r="J225" s="2" t="str">
        <x:v>trace link quality assessment prompt</x:v>
      </x:c>
      <x:c r="K225" s="2" t="str">
        <x:v>prompt_trace_quality</x:v>
      </x:c>
      <x:c r="L225" s="6" t="str">
        <x:v>提示要求 ChatGPT-4o 从有意义性和完整性两个维度评估系统需求与软件需求之间的追溯链接质量。</x:v>
      </x:c>
      <x:c r="M225" s="2" t="str">
        <x:v>Yes</x:v>
      </x:c>
      <x:c r="N225" s="2" t="str">
        <x:v>Partial description</x:v>
      </x:c>
      <x:c r="O225" s="2" t="str">
        <x:v>NR</x:v>
      </x:c>
      <x:c r="P225" s="2" t="str">
        <x:v>No</x:v>
      </x:c>
      <x:c r="Q225" s="2" t="str">
        <x:v>No</x:v>
      </x:c>
      <x:c r="R225" s="2" t="str">
        <x:v>No</x:v>
      </x:c>
      <x:c r="S225" s="2" t="str">
        <x:v>NA</x:v>
      </x:c>
      <x:c r="T225" s="6" t="str">
        <x:v>p. 2; Study 1 section</x:v>
      </x:c>
      <x:c r="U225" s="6" t="str">
        <x:v>ChatGPT-4o was prompted to assess and comment on the quality of the trace link with regards to two</x:v>
      </x:c>
      <x:c r="V225" s="6" t="str">
        <x:v>提示内容描述了任务目标，完整提示可在 GitHub 上获取，论文中只给出了部分描述。</x:v>
      </x:c>
      <x:c r="W225" s="2" t="str">
        <x:v>Accepted</x:v>
      </x:c>
      <x:c r="X225" s="6" t="str">
        <x:v>NA</x:v>
      </x:c>
    </x:row>
    <x:row r="226" ht="76" customHeight="1">
      <x:c r="A226" s="2" t="str">
        <x:v>S45-FEATURE-R02</x:v>
      </x:c>
      <x:c r="B226" s="2" t="str">
        <x:v>S45</x:v>
      </x:c>
      <x:c r="C226" s="2" t="str">
        <x:v>merged_1275</x:v>
      </x:c>
      <x:c r="D226" s="2" t="str">
        <x:v>Reviewer_A</x:v>
      </x:c>
      <x:c r="E226" s="2" t="str">
        <x:v>Reviewer_A</x:v>
      </x:c>
      <x:c r="F226" s="2" t="str">
        <x:v>S45-CF02</x:v>
      </x:c>
      <x:c r="G226" s="2" t="str">
        <x:v>S45-MU02</x:v>
      </x:c>
      <x:c r="H226" s="2" t="str">
        <x:v>S45-O02</x:v>
      </x:c>
      <x:c r="I226" s="2" t="str">
        <x:v>Context construction</x:v>
      </x:c>
      <x:c r="J226" s="2" t="str">
        <x:v>parameter knowledge in memory</x:v>
      </x:c>
      <x:c r="K226" s="2" t="str">
        <x:v>context_parameter_combos</x:v>
      </x:c>
      <x:c r="L226" s="6" t="str">
        <x:v>在评估前，ChatGPT-4o 被提供软件需求中参数值的可能组合及其解释，并存储在记忆中以供后续引用。</x:v>
      </x:c>
      <x:c r="M226" s="2" t="str">
        <x:v>NA</x:v>
      </x:c>
      <x:c r="N226" s="2" t="str">
        <x:v>NA</x:v>
      </x:c>
      <x:c r="O226" s="2" t="str">
        <x:v>NA</x:v>
      </x:c>
      <x:c r="P226" s="2" t="str">
        <x:v>No</x:v>
      </x:c>
      <x:c r="Q226" s="2" t="str">
        <x:v>No</x:v>
      </x:c>
      <x:c r="R226" s="2" t="str">
        <x:v>No</x:v>
      </x:c>
      <x:c r="S226" s="2" t="str">
        <x:v>NA</x:v>
      </x:c>
      <x:c r="T226" s="6" t="str">
        <x:v>p. 3; Study 2 section</x:v>
      </x:c>
      <x:c r="U226" s="6" t="str">
        <x:v>ChatGPT-4o was initially provided with possible combinations of parameter values and their interpretations from the software requirements to store in its memory.</x:v>
      </x:c>
      <x:c r="V226" s="6" t="str">
        <x:v>这是一种上下文构造策略，将领域知识预载入模型记忆，辅助后续的测试用例覆盖度评估。</x:v>
      </x:c>
      <x:c r="W226" s="2" t="str">
        <x:v>Accepted</x:v>
      </x:c>
      <x:c r="X226" s="6" t="str">
        <x:v>NA</x:v>
      </x:c>
    </x:row>
    <x:row r="227" ht="76" customHeight="1">
      <x:c r="A227" s="2" t="str">
        <x:v>S45-FEATURE-R03</x:v>
      </x:c>
      <x:c r="B227" s="2" t="str">
        <x:v>S45</x:v>
      </x:c>
      <x:c r="C227" s="2" t="str">
        <x:v>merged_1275</x:v>
      </x:c>
      <x:c r="D227" s="2" t="str">
        <x:v>Reviewer_A</x:v>
      </x:c>
      <x:c r="E227" s="2" t="str">
        <x:v>Reviewer_A</x:v>
      </x:c>
      <x:c r="F227" s="2" t="str">
        <x:v>S45-CF03</x:v>
      </x:c>
      <x:c r="G227" s="2" t="str">
        <x:v>S45-MU02</x:v>
      </x:c>
      <x:c r="H227" s="2" t="str">
        <x:v>S45-O02</x:v>
      </x:c>
      <x:c r="I227" s="2" t="str">
        <x:v>Prompting</x:v>
      </x:c>
      <x:c r="J227" s="2" t="str">
        <x:v>test case coverage assessment prompt</x:v>
      </x:c>
      <x:c r="K227" s="2" t="str">
        <x:v>prompt_test_coverage</x:v>
      </x:c>
      <x:c r="L227" s="6" t="str">
        <x:v>提示要求 ChatGPT-4o 评估测试用例是否完全覆盖软件需求，并建议缺失的测试用例。</x:v>
      </x:c>
      <x:c r="M227" s="2" t="str">
        <x:v>Yes</x:v>
      </x:c>
      <x:c r="N227" s="2" t="str">
        <x:v>Partial description</x:v>
      </x:c>
      <x:c r="O227" s="2" t="str">
        <x:v>NR</x:v>
      </x:c>
      <x:c r="P227" s="2" t="str">
        <x:v>No</x:v>
      </x:c>
      <x:c r="Q227" s="2" t="str">
        <x:v>No</x:v>
      </x:c>
      <x:c r="R227" s="2" t="str">
        <x:v>No</x:v>
      </x:c>
      <x:c r="S227" s="2" t="str">
        <x:v>NA</x:v>
      </x:c>
      <x:c r="T227" s="6" t="str">
        <x:v>p. 3; Study 2 section</x:v>
      </x:c>
      <x:c r="U227" s="6" t="str">
        <x:v>prompted to assess whether or not the test cases entirely covered its linked software requirement and also suggest any missing cases</x:v>
      </x:c>
      <x:c r="V227" s="6" t="str">
        <x:v>提示描述了评估任务，完整提示可在 GitHub 上获取。</x:v>
      </x:c>
      <x:c r="W227" s="2" t="str">
        <x:v>Accepted</x:v>
      </x:c>
      <x:c r="X227" s="6" t="str">
        <x:v>NA</x:v>
      </x:c>
    </x:row>
    <x:row r="228" ht="76" customHeight="1">
      <x:c r="A228" s="2" t="str">
        <x:v>S45-FEATURE-R04</x:v>
      </x:c>
      <x:c r="B228" s="2" t="str">
        <x:v>S45</x:v>
      </x:c>
      <x:c r="C228" s="2" t="str">
        <x:v>merged_1275</x:v>
      </x:c>
      <x:c r="D228" s="2" t="str">
        <x:v>Reviewer_A</x:v>
      </x:c>
      <x:c r="E228" s="2" t="str">
        <x:v>Reviewer_A</x:v>
      </x:c>
      <x:c r="F228" s="2" t="str">
        <x:v>S45-CF04</x:v>
      </x:c>
      <x:c r="G228" s="2" t="str">
        <x:v>S45-MU03</x:v>
      </x:c>
      <x:c r="H228" s="2" t="str">
        <x:v>S45-O03</x:v>
      </x:c>
      <x:c r="I228" s="2" t="str">
        <x:v>Prompting</x:v>
      </x:c>
      <x:c r="J228" s="2" t="str">
        <x:v>trace link prediction prompt</x:v>
      </x:c>
      <x:c r="K228" s="2" t="str">
        <x:v>prompt_link_prediction</x:v>
      </x:c>
      <x:c r="L228" s="6" t="str">
        <x:v>提示请求 ChatGPT-4o 预测系统需求与软件需求之间的追溯链接，输入列表顺序随机化。</x:v>
      </x:c>
      <x:c r="M228" s="2" t="str">
        <x:v>Yes</x:v>
      </x:c>
      <x:c r="N228" s="2" t="str">
        <x:v>Partial description</x:v>
      </x:c>
      <x:c r="O228" s="2" t="str">
        <x:v>NR</x:v>
      </x:c>
      <x:c r="P228" s="2" t="str">
        <x:v>No</x:v>
      </x:c>
      <x:c r="Q228" s="2" t="str">
        <x:v>No</x:v>
      </x:c>
      <x:c r="R228" s="2" t="str">
        <x:v>No</x:v>
      </x:c>
      <x:c r="S228" s="2" t="str">
        <x:v>NA</x:v>
      </x:c>
      <x:c r="T228" s="6" t="str">
        <x:v>p. 4; Study 3 section</x:v>
      </x:c>
      <x:c r="U228" s="6" t="str">
        <x:v>The process involves providing a prompt and presenting SYSRS and SWRS in randomized order.</x:v>
      </x:c>
      <x:c r="V228" s="6" t="str">
        <x:v>提示指导模型进行链接预测，完整提示在 GitHub 上。</x:v>
      </x:c>
      <x:c r="W228" s="2" t="str">
        <x:v>Accepted</x:v>
      </x:c>
      <x:c r="X228" s="6" t="str">
        <x:v>NA</x:v>
      </x:c>
    </x:row>
    <x:row r="229" ht="76" customHeight="1">
      <x:c r="A229" s="2" t="str">
        <x:v>S45-FEATURE-R05</x:v>
      </x:c>
      <x:c r="B229" s="2" t="str">
        <x:v>S45</x:v>
      </x:c>
      <x:c r="C229" s="2" t="str">
        <x:v>merged_1275</x:v>
      </x:c>
      <x:c r="D229" s="2" t="str">
        <x:v>Reviewer_A</x:v>
      </x:c>
      <x:c r="E229" s="2" t="str">
        <x:v>Reviewer_A</x:v>
      </x:c>
      <x:c r="F229" s="2" t="str">
        <x:v>S45-CF05</x:v>
      </x:c>
      <x:c r="G229" s="2" t="str">
        <x:v>S45-MU04</x:v>
      </x:c>
      <x:c r="H229" s="2" t="str">
        <x:v>S45-O04</x:v>
      </x:c>
      <x:c r="I229" s="2" t="str">
        <x:v>Prompting</x:v>
      </x:c>
      <x:c r="J229" s="2" t="str">
        <x:v>ambiguity detection prompt</x:v>
      </x:c>
      <x:c r="K229" s="2" t="str">
        <x:v>prompt_ambiguity_detect</x:v>
      </x:c>
      <x:c r="L229" s="6" t="str">
        <x:v>提示指示 ChatGPT-4o 标记需求中的语言和内容歧义，包括词汇、语义、噪声、矛盾等类型。</x:v>
      </x:c>
      <x:c r="M229" s="2" t="str">
        <x:v>Yes</x:v>
      </x:c>
      <x:c r="N229" s="2" t="str">
        <x:v>Partial description</x:v>
      </x:c>
      <x:c r="O229" s="2" t="str">
        <x:v>NR</x:v>
      </x:c>
      <x:c r="P229" s="2" t="str">
        <x:v>No</x:v>
      </x:c>
      <x:c r="Q229" s="2" t="str">
        <x:v>No</x:v>
      </x:c>
      <x:c r="R229" s="2" t="str">
        <x:v>No</x:v>
      </x:c>
      <x:c r="S229" s="2" t="str">
        <x:v>NA</x:v>
      </x:c>
      <x:c r="T229" s="6" t="str">
        <x:v>p. 4; Study 4 section</x:v>
      </x:c>
      <x:c r="U229" s="6" t="str">
        <x:v>ChatGPT-4o was instructed to flag any linguistic or content-based ambiguities that may exist within the requirements.</x:v>
      </x:c>
      <x:c r="V229" s="6" t="str">
        <x:v>提示指定了歧义检测的范畴，完整提示在 GitHub 上。</x:v>
      </x:c>
      <x:c r="W229" s="2" t="str">
        <x:v>Accepted</x:v>
      </x:c>
      <x:c r="X229" s="6" t="str">
        <x:v>NA</x:v>
      </x:c>
    </x:row>
    <x:row r="230" ht="76" customHeight="1">
      <x:c r="A230" s="2" t="str">
        <x:v>S45-FEATURE-R06</x:v>
      </x:c>
      <x:c r="B230" s="2" t="str">
        <x:v>S45</x:v>
      </x:c>
      <x:c r="C230" s="2" t="str">
        <x:v>merged_1275</x:v>
      </x:c>
      <x:c r="D230" s="2" t="str">
        <x:v>Reviewer_A</x:v>
      </x:c>
      <x:c r="E230" s="2" t="str">
        <x:v>Reviewer_A</x:v>
      </x:c>
      <x:c r="F230" s="2" t="str">
        <x:v>S45-CF06</x:v>
      </x:c>
      <x:c r="G230" s="2" t="str">
        <x:v>S45-MU05</x:v>
      </x:c>
      <x:c r="H230" s="2" t="str">
        <x:v>S45-O05</x:v>
      </x:c>
      <x:c r="I230" s="2" t="str">
        <x:v>Prompting</x:v>
      </x:c>
      <x:c r="J230" s="2" t="str">
        <x:v>inconsistency detection prompt</x:v>
      </x:c>
      <x:c r="K230" s="2" t="str">
        <x:v>prompt_inconsistency_detect</x:v>
      </x:c>
      <x:c r="L230" s="6" t="str">
        <x:v>提示要求 ChatGPT-4o 判断软件需求是否充分详细描述系统需求，指出不一致并给出修订建议。</x:v>
      </x:c>
      <x:c r="M230" s="2" t="str">
        <x:v>Yes</x:v>
      </x:c>
      <x:c r="N230" s="2" t="str">
        <x:v>Full prompt reported</x:v>
      </x:c>
      <x:c r="O230" s="2" t="str">
        <x:v>NR</x:v>
      </x:c>
      <x:c r="P230" s="2" t="str">
        <x:v>No</x:v>
      </x:c>
      <x:c r="Q230" s="2" t="str">
        <x:v>No</x:v>
      </x:c>
      <x:c r="R230" s="2" t="str">
        <x:v>No</x:v>
      </x:c>
      <x:c r="S230" s="2" t="str">
        <x:v>NA</x:v>
      </x:c>
      <x:c r="T230" s="6" t="str">
        <x:v>p. 5; Study 5 section</x:v>
      </x:c>
      <x:c r="U230" s="6" t="str">
        <x:v>I will provide you a system and its linked software requirement. Can you tell me if the latter sufficiently details the former? if not, please explain the issue and suggest revisions.</x:v>
      </x:c>
      <x:c r="V230" s="6" t="str">
        <x:v>提示直接复制了论文中给出的完整提示词，因此标记为 Full prompt reported。</x:v>
      </x:c>
      <x:c r="W230" s="2" t="str">
        <x:v>Accepted</x:v>
      </x:c>
      <x:c r="X230" s="6" t="str">
        <x:v>NA</x:v>
      </x:c>
    </x:row>
    <x:row r="231" ht="76" customHeight="1">
      <x:c r="A231" s="2" t="str">
        <x:v>S46-FEATURE-R01</x:v>
      </x:c>
      <x:c r="B231" s="2" t="str">
        <x:v>S46</x:v>
      </x:c>
      <x:c r="C231" s="2" t="str">
        <x:v>merged_1293</x:v>
      </x:c>
      <x:c r="D231" s="2" t="str">
        <x:v>Reviewer_A</x:v>
      </x:c>
      <x:c r="E231" s="2" t="str">
        <x:v>Reviewer_A</x:v>
      </x:c>
      <x:c r="F231" s="2" t="str">
        <x:v>S46-CF01</x:v>
      </x:c>
      <x:c r="G231" s="2" t="str">
        <x:v>S46-MU01</x:v>
      </x:c>
      <x:c r="H231" s="2" t="str">
        <x:v>S46-O01</x:v>
      </x:c>
      <x:c r="I231" s="2" t="str">
        <x:v>Prompting</x:v>
      </x:c>
      <x:c r="J231" s="2" t="str">
        <x:v>Structured Prompt Design</x:v>
      </x:c>
      <x:c r="K231" s="2" t="str">
        <x:v>StructuredPrompting</x:v>
      </x:c>
      <x:c r="L231" s="6" t="str">
        <x:v>采用结构化提示模板，包含Prompt ID、Context、Input Data、Prompt和Expected Outcome五个部分，以增强软件制品的可追溯性。</x:v>
      </x:c>
      <x:c r="M231" s="2" t="str">
        <x:v>Yes</x:v>
      </x:c>
      <x:c r="N231" s="2" t="str">
        <x:v>Full prompt reported</x:v>
      </x:c>
      <x:c r="O231" s="2" t="str">
        <x:v>NR</x:v>
      </x:c>
      <x:c r="P231" s="2" t="str">
        <x:v>No</x:v>
      </x:c>
      <x:c r="Q231" s="2" t="str">
        <x:v>No</x:v>
      </x:c>
      <x:c r="R231" s="2" t="str">
        <x:v>No</x:v>
      </x:c>
      <x:c r="S231" s="2" t="str">
        <x:v>NR</x:v>
      </x:c>
      <x:c r="T231" s="6" t="str">
        <x:v>p. 5; Structured Prompt Design section</x:v>
      </x:c>
      <x:c r="U23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31" s="6" t="str">
        <x:v>结构化提示设计是核心配置特征，所有LLM调用均采用此模板以提高可追溯性。</x:v>
      </x:c>
      <x:c r="W231" s="2" t="str">
        <x:v>Accepted</x:v>
      </x:c>
      <x:c r="X231" s="6" t="str">
        <x:v>Appendix提供了所有活动的完整结构化提示。; shared feature split by model use and operation</x:v>
      </x:c>
    </x:row>
    <x:row r="232" ht="76" customHeight="1">
      <x:c r="A232" s="2" t="str">
        <x:v>S46-FEATURE-R02</x:v>
      </x:c>
      <x:c r="B232" s="2" t="str">
        <x:v>S46</x:v>
      </x:c>
      <x:c r="C232" s="2" t="str">
        <x:v>merged_1293</x:v>
      </x:c>
      <x:c r="D232" s="2" t="str">
        <x:v>Reviewer_A</x:v>
      </x:c>
      <x:c r="E232" s="2" t="str">
        <x:v>Reviewer_A</x:v>
      </x:c>
      <x:c r="F232" s="2" t="str">
        <x:v>S46-CF02</x:v>
      </x:c>
      <x:c r="G232" s="2" t="str">
        <x:v>S46-MU02</x:v>
      </x:c>
      <x:c r="H232" s="2" t="str">
        <x:v>S46-O02</x:v>
      </x:c>
      <x:c r="I232" s="2" t="str">
        <x:v>Prompting</x:v>
      </x:c>
      <x:c r="J232" s="2" t="str">
        <x:v>Structured Prompt Design</x:v>
      </x:c>
      <x:c r="K232" s="2" t="str">
        <x:v>StructuredPrompting</x:v>
      </x:c>
      <x:c r="L232" s="6" t="str">
        <x:v>采用结构化提示模板，包含Prompt ID、Context、Input Data、Prompt和Expected Outcome五个部分，以增强软件制品的可追溯性。</x:v>
      </x:c>
      <x:c r="M232" s="2" t="str">
        <x:v>Yes</x:v>
      </x:c>
      <x:c r="N232" s="2" t="str">
        <x:v>Full prompt reported</x:v>
      </x:c>
      <x:c r="O232" s="2" t="str">
        <x:v>NR</x:v>
      </x:c>
      <x:c r="P232" s="2" t="str">
        <x:v>No</x:v>
      </x:c>
      <x:c r="Q232" s="2" t="str">
        <x:v>No</x:v>
      </x:c>
      <x:c r="R232" s="2" t="str">
        <x:v>No</x:v>
      </x:c>
      <x:c r="S232" s="2" t="str">
        <x:v>NR</x:v>
      </x:c>
      <x:c r="T232" s="6" t="str">
        <x:v>p. 5; Structured Prompt Design section</x:v>
      </x:c>
      <x:c r="U23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32" s="6" t="str">
        <x:v>结构化提示设计是核心配置特征，所有LLM调用均采用此模板以提高可追溯性。</x:v>
      </x:c>
      <x:c r="W232" s="2" t="str">
        <x:v>Accepted</x:v>
      </x:c>
      <x:c r="X232" s="6" t="str">
        <x:v>Appendix提供了所有活动的完整结构化提示。; shared feature split by model use and operation</x:v>
      </x:c>
    </x:row>
    <x:row r="233" ht="76" customHeight="1">
      <x:c r="A233" s="2" t="str">
        <x:v>S46-FEATURE-R03</x:v>
      </x:c>
      <x:c r="B233" s="2" t="str">
        <x:v>S46</x:v>
      </x:c>
      <x:c r="C233" s="2" t="str">
        <x:v>merged_1293</x:v>
      </x:c>
      <x:c r="D233" s="2" t="str">
        <x:v>Reviewer_A</x:v>
      </x:c>
      <x:c r="E233" s="2" t="str">
        <x:v>Reviewer_A</x:v>
      </x:c>
      <x:c r="F233" s="2" t="str">
        <x:v>S46-CF03</x:v>
      </x:c>
      <x:c r="G233" s="2" t="str">
        <x:v>S46-MU03</x:v>
      </x:c>
      <x:c r="H233" s="2" t="str">
        <x:v>S46-O03</x:v>
      </x:c>
      <x:c r="I233" s="2" t="str">
        <x:v>Prompting</x:v>
      </x:c>
      <x:c r="J233" s="2" t="str">
        <x:v>Structured Prompt Design</x:v>
      </x:c>
      <x:c r="K233" s="2" t="str">
        <x:v>StructuredPrompting</x:v>
      </x:c>
      <x:c r="L233" s="6" t="str">
        <x:v>采用结构化提示模板，包含Prompt ID、Context、Input Data、Prompt和Expected Outcome五个部分，以增强软件制品的可追溯性。</x:v>
      </x:c>
      <x:c r="M233" s="2" t="str">
        <x:v>Yes</x:v>
      </x:c>
      <x:c r="N233" s="2" t="str">
        <x:v>Full prompt reported</x:v>
      </x:c>
      <x:c r="O233" s="2" t="str">
        <x:v>NR</x:v>
      </x:c>
      <x:c r="P233" s="2" t="str">
        <x:v>No</x:v>
      </x:c>
      <x:c r="Q233" s="2" t="str">
        <x:v>No</x:v>
      </x:c>
      <x:c r="R233" s="2" t="str">
        <x:v>No</x:v>
      </x:c>
      <x:c r="S233" s="2" t="str">
        <x:v>NR</x:v>
      </x:c>
      <x:c r="T233" s="6" t="str">
        <x:v>p. 5; Structured Prompt Design section</x:v>
      </x:c>
      <x:c r="U23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33" s="6" t="str">
        <x:v>结构化提示设计是核心配置特征，所有LLM调用均采用此模板以提高可追溯性。</x:v>
      </x:c>
      <x:c r="W233" s="2" t="str">
        <x:v>Accepted</x:v>
      </x:c>
      <x:c r="X233" s="6" t="str">
        <x:v>Appendix提供了所有活动的完整结构化提示。; shared feature split by model use and operation</x:v>
      </x:c>
    </x:row>
    <x:row r="234" ht="76" customHeight="1">
      <x:c r="A234" s="2" t="str">
        <x:v>S46-FEATURE-R04</x:v>
      </x:c>
      <x:c r="B234" s="2" t="str">
        <x:v>S46</x:v>
      </x:c>
      <x:c r="C234" s="2" t="str">
        <x:v>merged_1293</x:v>
      </x:c>
      <x:c r="D234" s="2" t="str">
        <x:v>Reviewer_A</x:v>
      </x:c>
      <x:c r="E234" s="2" t="str">
        <x:v>Reviewer_A</x:v>
      </x:c>
      <x:c r="F234" s="2" t="str">
        <x:v>S46-CF04</x:v>
      </x:c>
      <x:c r="G234" s="2" t="str">
        <x:v>S46-MU04</x:v>
      </x:c>
      <x:c r="H234" s="2" t="str">
        <x:v>S46-O04</x:v>
      </x:c>
      <x:c r="I234" s="2" t="str">
        <x:v>Prompting</x:v>
      </x:c>
      <x:c r="J234" s="2" t="str">
        <x:v>Structured Prompt Design</x:v>
      </x:c>
      <x:c r="K234" s="2" t="str">
        <x:v>StructuredPrompting</x:v>
      </x:c>
      <x:c r="L234" s="6" t="str">
        <x:v>采用结构化提示模板，包含Prompt ID、Context、Input Data、Prompt和Expected Outcome五个部分，以增强软件制品的可追溯性。</x:v>
      </x:c>
      <x:c r="M234" s="2" t="str">
        <x:v>Yes</x:v>
      </x:c>
      <x:c r="N234" s="2" t="str">
        <x:v>Full prompt reported</x:v>
      </x:c>
      <x:c r="O234" s="2" t="str">
        <x:v>NR</x:v>
      </x:c>
      <x:c r="P234" s="2" t="str">
        <x:v>No</x:v>
      </x:c>
      <x:c r="Q234" s="2" t="str">
        <x:v>No</x:v>
      </x:c>
      <x:c r="R234" s="2" t="str">
        <x:v>No</x:v>
      </x:c>
      <x:c r="S234" s="2" t="str">
        <x:v>NR</x:v>
      </x:c>
      <x:c r="T234" s="6" t="str">
        <x:v>p. 5; Structured Prompt Design section</x:v>
      </x:c>
      <x:c r="U23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34" s="6" t="str">
        <x:v>结构化提示设计是核心配置特征，所有LLM调用均采用此模板以提高可追溯性。</x:v>
      </x:c>
      <x:c r="W234" s="2" t="str">
        <x:v>Accepted</x:v>
      </x:c>
      <x:c r="X234" s="6" t="str">
        <x:v>Appendix提供了所有活动的完整结构化提示。; shared feature split by model use and operation</x:v>
      </x:c>
    </x:row>
    <x:row r="235" ht="76" customHeight="1">
      <x:c r="A235" s="2" t="str">
        <x:v>S46-FEATURE-R05</x:v>
      </x:c>
      <x:c r="B235" s="2" t="str">
        <x:v>S46</x:v>
      </x:c>
      <x:c r="C235" s="2" t="str">
        <x:v>merged_1293</x:v>
      </x:c>
      <x:c r="D235" s="2" t="str">
        <x:v>Reviewer_A</x:v>
      </x:c>
      <x:c r="E235" s="2" t="str">
        <x:v>Reviewer_A</x:v>
      </x:c>
      <x:c r="F235" s="2" t="str">
        <x:v>S46-CF05</x:v>
      </x:c>
      <x:c r="G235" s="2" t="str">
        <x:v>S46-MU05</x:v>
      </x:c>
      <x:c r="H235" s="2" t="str">
        <x:v>S46-O05</x:v>
      </x:c>
      <x:c r="I235" s="2" t="str">
        <x:v>Prompting</x:v>
      </x:c>
      <x:c r="J235" s="2" t="str">
        <x:v>Structured Prompt Design</x:v>
      </x:c>
      <x:c r="K235" s="2" t="str">
        <x:v>StructuredPrompting</x:v>
      </x:c>
      <x:c r="L235" s="6" t="str">
        <x:v>采用结构化提示模板，包含Prompt ID、Context、Input Data、Prompt和Expected Outcome五个部分，以增强软件制品的可追溯性。</x:v>
      </x:c>
      <x:c r="M235" s="2" t="str">
        <x:v>Yes</x:v>
      </x:c>
      <x:c r="N235" s="2" t="str">
        <x:v>Full prompt reported</x:v>
      </x:c>
      <x:c r="O235" s="2" t="str">
        <x:v>NR</x:v>
      </x:c>
      <x:c r="P235" s="2" t="str">
        <x:v>No</x:v>
      </x:c>
      <x:c r="Q235" s="2" t="str">
        <x:v>No</x:v>
      </x:c>
      <x:c r="R235" s="2" t="str">
        <x:v>No</x:v>
      </x:c>
      <x:c r="S235" s="2" t="str">
        <x:v>NR</x:v>
      </x:c>
      <x:c r="T235" s="6" t="str">
        <x:v>p. 5; Structured Prompt Design section</x:v>
      </x:c>
      <x:c r="U23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35" s="6" t="str">
        <x:v>结构化提示设计是核心配置特征，所有LLM调用均采用此模板以提高可追溯性。</x:v>
      </x:c>
      <x:c r="W235" s="2" t="str">
        <x:v>Accepted</x:v>
      </x:c>
      <x:c r="X235" s="6" t="str">
        <x:v>Appendix提供了所有活动的完整结构化提示。; shared feature split by model use and operation</x:v>
      </x:c>
    </x:row>
    <x:row r="236" ht="76" customHeight="1">
      <x:c r="A236" s="2" t="str">
        <x:v>S46-FEATURE-R06</x:v>
      </x:c>
      <x:c r="B236" s="2" t="str">
        <x:v>S46</x:v>
      </x:c>
      <x:c r="C236" s="2" t="str">
        <x:v>merged_1293</x:v>
      </x:c>
      <x:c r="D236" s="2" t="str">
        <x:v>Reviewer_A</x:v>
      </x:c>
      <x:c r="E236" s="2" t="str">
        <x:v>Reviewer_A</x:v>
      </x:c>
      <x:c r="F236" s="2" t="str">
        <x:v>S46-CF06</x:v>
      </x:c>
      <x:c r="G236" s="2" t="str">
        <x:v>S46-MU06</x:v>
      </x:c>
      <x:c r="H236" s="2" t="str">
        <x:v>S46-O06</x:v>
      </x:c>
      <x:c r="I236" s="2" t="str">
        <x:v>Prompting</x:v>
      </x:c>
      <x:c r="J236" s="2" t="str">
        <x:v>Structured Prompt Design</x:v>
      </x:c>
      <x:c r="K236" s="2" t="str">
        <x:v>StructuredPrompting</x:v>
      </x:c>
      <x:c r="L236" s="6" t="str">
        <x:v>采用结构化提示模板，包含Prompt ID、Context、Input Data、Prompt和Expected Outcome五个部分，以增强软件制品的可追溯性。</x:v>
      </x:c>
      <x:c r="M236" s="2" t="str">
        <x:v>Yes</x:v>
      </x:c>
      <x:c r="N236" s="2" t="str">
        <x:v>Full prompt reported</x:v>
      </x:c>
      <x:c r="O236" s="2" t="str">
        <x:v>NR</x:v>
      </x:c>
      <x:c r="P236" s="2" t="str">
        <x:v>No</x:v>
      </x:c>
      <x:c r="Q236" s="2" t="str">
        <x:v>No</x:v>
      </x:c>
      <x:c r="R236" s="2" t="str">
        <x:v>No</x:v>
      </x:c>
      <x:c r="S236" s="2" t="str">
        <x:v>NR</x:v>
      </x:c>
      <x:c r="T236" s="6" t="str">
        <x:v>p. 5; Structured Prompt Design section</x:v>
      </x:c>
      <x:c r="U23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36" s="6" t="str">
        <x:v>结构化提示设计是核心配置特征，所有LLM调用均采用此模板以提高可追溯性。</x:v>
      </x:c>
      <x:c r="W236" s="2" t="str">
        <x:v>Accepted</x:v>
      </x:c>
      <x:c r="X236" s="6" t="str">
        <x:v>Appendix提供了所有活动的完整结构化提示。; shared feature split by model use and operation</x:v>
      </x:c>
    </x:row>
    <x:row r="237" ht="76" customHeight="1">
      <x:c r="A237" s="2" t="str">
        <x:v>S46-FEATURE-R07</x:v>
      </x:c>
      <x:c r="B237" s="2" t="str">
        <x:v>S46</x:v>
      </x:c>
      <x:c r="C237" s="2" t="str">
        <x:v>merged_1293</x:v>
      </x:c>
      <x:c r="D237" s="2" t="str">
        <x:v>Reviewer_A</x:v>
      </x:c>
      <x:c r="E237" s="2" t="str">
        <x:v>Reviewer_A</x:v>
      </x:c>
      <x:c r="F237" s="2" t="str">
        <x:v>S46-CF07</x:v>
      </x:c>
      <x:c r="G237" s="2" t="str">
        <x:v>S46-MU07</x:v>
      </x:c>
      <x:c r="H237" s="2" t="str">
        <x:v>S46-O07</x:v>
      </x:c>
      <x:c r="I237" s="2" t="str">
        <x:v>Prompting</x:v>
      </x:c>
      <x:c r="J237" s="2" t="str">
        <x:v>Structured Prompt Design</x:v>
      </x:c>
      <x:c r="K237" s="2" t="str">
        <x:v>StructuredPrompting</x:v>
      </x:c>
      <x:c r="L237" s="6" t="str">
        <x:v>采用结构化提示模板，包含Prompt ID、Context、Input Data、Prompt和Expected Outcome五个部分，以增强软件制品的可追溯性。</x:v>
      </x:c>
      <x:c r="M237" s="2" t="str">
        <x:v>Yes</x:v>
      </x:c>
      <x:c r="N237" s="2" t="str">
        <x:v>Full prompt reported</x:v>
      </x:c>
      <x:c r="O237" s="2" t="str">
        <x:v>NR</x:v>
      </x:c>
      <x:c r="P237" s="2" t="str">
        <x:v>No</x:v>
      </x:c>
      <x:c r="Q237" s="2" t="str">
        <x:v>No</x:v>
      </x:c>
      <x:c r="R237" s="2" t="str">
        <x:v>No</x:v>
      </x:c>
      <x:c r="S237" s="2" t="str">
        <x:v>NR</x:v>
      </x:c>
      <x:c r="T237" s="6" t="str">
        <x:v>p. 5; Structured Prompt Design section</x:v>
      </x:c>
      <x:c r="U23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37" s="6" t="str">
        <x:v>结构化提示设计是核心配置特征，所有LLM调用均采用此模板以提高可追溯性。</x:v>
      </x:c>
      <x:c r="W237" s="2" t="str">
        <x:v>Accepted</x:v>
      </x:c>
      <x:c r="X237" s="6" t="str">
        <x:v>Appendix提供了所有活动的完整结构化提示。; shared feature split by model use and operation</x:v>
      </x:c>
    </x:row>
    <x:row r="238" ht="76" customHeight="1">
      <x:c r="A238" s="2" t="str">
        <x:v>S46-FEATURE-R08</x:v>
      </x:c>
      <x:c r="B238" s="2" t="str">
        <x:v>S46</x:v>
      </x:c>
      <x:c r="C238" s="2" t="str">
        <x:v>merged_1293</x:v>
      </x:c>
      <x:c r="D238" s="2" t="str">
        <x:v>Reviewer_A</x:v>
      </x:c>
      <x:c r="E238" s="2" t="str">
        <x:v>Reviewer_A</x:v>
      </x:c>
      <x:c r="F238" s="2" t="str">
        <x:v>S46-CF08</x:v>
      </x:c>
      <x:c r="G238" s="2" t="str">
        <x:v>S46-MU08</x:v>
      </x:c>
      <x:c r="H238" s="2" t="str">
        <x:v>S46-O08</x:v>
      </x:c>
      <x:c r="I238" s="2" t="str">
        <x:v>Prompting</x:v>
      </x:c>
      <x:c r="J238" s="2" t="str">
        <x:v>Structured Prompt Design</x:v>
      </x:c>
      <x:c r="K238" s="2" t="str">
        <x:v>StructuredPrompting</x:v>
      </x:c>
      <x:c r="L238" s="6" t="str">
        <x:v>采用结构化提示模板，包含Prompt ID、Context、Input Data、Prompt和Expected Outcome五个部分，以增强软件制品的可追溯性。</x:v>
      </x:c>
      <x:c r="M238" s="2" t="str">
        <x:v>Yes</x:v>
      </x:c>
      <x:c r="N238" s="2" t="str">
        <x:v>Full prompt reported</x:v>
      </x:c>
      <x:c r="O238" s="2" t="str">
        <x:v>NR</x:v>
      </x:c>
      <x:c r="P238" s="2" t="str">
        <x:v>No</x:v>
      </x:c>
      <x:c r="Q238" s="2" t="str">
        <x:v>No</x:v>
      </x:c>
      <x:c r="R238" s="2" t="str">
        <x:v>No</x:v>
      </x:c>
      <x:c r="S238" s="2" t="str">
        <x:v>NR</x:v>
      </x:c>
      <x:c r="T238" s="6" t="str">
        <x:v>p. 5; Structured Prompt Design section</x:v>
      </x:c>
      <x:c r="U23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38" s="6" t="str">
        <x:v>结构化提示设计是核心配置特征，所有LLM调用均采用此模板以提高可追溯性。</x:v>
      </x:c>
      <x:c r="W238" s="2" t="str">
        <x:v>Accepted</x:v>
      </x:c>
      <x:c r="X238" s="6" t="str">
        <x:v>Appendix提供了所有活动的完整结构化提示。; shared feature split by model use and operation</x:v>
      </x:c>
    </x:row>
    <x:row r="239" ht="76" customHeight="1">
      <x:c r="A239" s="2" t="str">
        <x:v>S46-FEATURE-R09</x:v>
      </x:c>
      <x:c r="B239" s="2" t="str">
        <x:v>S46</x:v>
      </x:c>
      <x:c r="C239" s="2" t="str">
        <x:v>merged_1293</x:v>
      </x:c>
      <x:c r="D239" s="2" t="str">
        <x:v>Reviewer_A</x:v>
      </x:c>
      <x:c r="E239" s="2" t="str">
        <x:v>Reviewer_A</x:v>
      </x:c>
      <x:c r="F239" s="2" t="str">
        <x:v>S46-CF09</x:v>
      </x:c>
      <x:c r="G239" s="2" t="str">
        <x:v>S46-MU09</x:v>
      </x:c>
      <x:c r="H239" s="2" t="str">
        <x:v>S46-O09</x:v>
      </x:c>
      <x:c r="I239" s="2" t="str">
        <x:v>Prompting</x:v>
      </x:c>
      <x:c r="J239" s="2" t="str">
        <x:v>Structured Prompt Design</x:v>
      </x:c>
      <x:c r="K239" s="2" t="str">
        <x:v>StructuredPrompting</x:v>
      </x:c>
      <x:c r="L239" s="6" t="str">
        <x:v>采用结构化提示模板，包含Prompt ID、Context、Input Data、Prompt和Expected Outcome五个部分，以增强软件制品的可追溯性。</x:v>
      </x:c>
      <x:c r="M239" s="2" t="str">
        <x:v>Yes</x:v>
      </x:c>
      <x:c r="N239" s="2" t="str">
        <x:v>Full prompt reported</x:v>
      </x:c>
      <x:c r="O239" s="2" t="str">
        <x:v>NR</x:v>
      </x:c>
      <x:c r="P239" s="2" t="str">
        <x:v>No</x:v>
      </x:c>
      <x:c r="Q239" s="2" t="str">
        <x:v>No</x:v>
      </x:c>
      <x:c r="R239" s="2" t="str">
        <x:v>No</x:v>
      </x:c>
      <x:c r="S239" s="2" t="str">
        <x:v>NR</x:v>
      </x:c>
      <x:c r="T239" s="6" t="str">
        <x:v>p. 5; Structured Prompt Design section</x:v>
      </x:c>
      <x:c r="U23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39" s="6" t="str">
        <x:v>结构化提示设计是核心配置特征，所有LLM调用均采用此模板以提高可追溯性。</x:v>
      </x:c>
      <x:c r="W239" s="2" t="str">
        <x:v>Accepted</x:v>
      </x:c>
      <x:c r="X239" s="6" t="str">
        <x:v>Appendix提供了所有活动的完整结构化提示。; shared feature split by model use and operation</x:v>
      </x:c>
    </x:row>
    <x:row r="240" ht="76" customHeight="1">
      <x:c r="A240" s="2" t="str">
        <x:v>S46-FEATURE-R10</x:v>
      </x:c>
      <x:c r="B240" s="2" t="str">
        <x:v>S46</x:v>
      </x:c>
      <x:c r="C240" s="2" t="str">
        <x:v>merged_1293</x:v>
      </x:c>
      <x:c r="D240" s="2" t="str">
        <x:v>Reviewer_A</x:v>
      </x:c>
      <x:c r="E240" s="2" t="str">
        <x:v>Reviewer_A</x:v>
      </x:c>
      <x:c r="F240" s="2" t="str">
        <x:v>S46-CF10</x:v>
      </x:c>
      <x:c r="G240" s="2" t="str">
        <x:v>S46-MU10</x:v>
      </x:c>
      <x:c r="H240" s="2" t="str">
        <x:v>S46-O10</x:v>
      </x:c>
      <x:c r="I240" s="2" t="str">
        <x:v>Prompting</x:v>
      </x:c>
      <x:c r="J240" s="2" t="str">
        <x:v>Structured Prompt Design</x:v>
      </x:c>
      <x:c r="K240" s="2" t="str">
        <x:v>StructuredPrompting</x:v>
      </x:c>
      <x:c r="L240" s="6" t="str">
        <x:v>采用结构化提示模板，包含Prompt ID、Context、Input Data、Prompt和Expected Outcome五个部分，以增强软件制品的可追溯性。</x:v>
      </x:c>
      <x:c r="M240" s="2" t="str">
        <x:v>Yes</x:v>
      </x:c>
      <x:c r="N240" s="2" t="str">
        <x:v>Full prompt reported</x:v>
      </x:c>
      <x:c r="O240" s="2" t="str">
        <x:v>NR</x:v>
      </x:c>
      <x:c r="P240" s="2" t="str">
        <x:v>No</x:v>
      </x:c>
      <x:c r="Q240" s="2" t="str">
        <x:v>No</x:v>
      </x:c>
      <x:c r="R240" s="2" t="str">
        <x:v>No</x:v>
      </x:c>
      <x:c r="S240" s="2" t="str">
        <x:v>NR</x:v>
      </x:c>
      <x:c r="T240" s="6" t="str">
        <x:v>p. 5; Structured Prompt Design section</x:v>
      </x:c>
      <x:c r="U24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0" s="6" t="str">
        <x:v>结构化提示设计是核心配置特征，所有LLM调用均采用此模板以提高可追溯性。</x:v>
      </x:c>
      <x:c r="W240" s="2" t="str">
        <x:v>Accepted</x:v>
      </x:c>
      <x:c r="X240" s="6" t="str">
        <x:v>Appendix提供了所有活动的完整结构化提示。; shared feature split by model use and operation</x:v>
      </x:c>
    </x:row>
    <x:row r="241" ht="76" customHeight="1">
      <x:c r="A241" s="2" t="str">
        <x:v>S46-FEATURE-R11</x:v>
      </x:c>
      <x:c r="B241" s="2" t="str">
        <x:v>S46</x:v>
      </x:c>
      <x:c r="C241" s="2" t="str">
        <x:v>merged_1293</x:v>
      </x:c>
      <x:c r="D241" s="2" t="str">
        <x:v>Reviewer_A</x:v>
      </x:c>
      <x:c r="E241" s="2" t="str">
        <x:v>Reviewer_A</x:v>
      </x:c>
      <x:c r="F241" s="2" t="str">
        <x:v>S46-CF11</x:v>
      </x:c>
      <x:c r="G241" s="2" t="str">
        <x:v>S46-MU11</x:v>
      </x:c>
      <x:c r="H241" s="2" t="str">
        <x:v>S46-O01</x:v>
      </x:c>
      <x:c r="I241" s="2" t="str">
        <x:v>Prompting</x:v>
      </x:c>
      <x:c r="J241" s="2" t="str">
        <x:v>Structured Prompt Design</x:v>
      </x:c>
      <x:c r="K241" s="2" t="str">
        <x:v>StructuredPrompting</x:v>
      </x:c>
      <x:c r="L241" s="6" t="str">
        <x:v>采用结构化提示模板，包含Prompt ID、Context、Input Data、Prompt和Expected Outcome五个部分，以增强软件制品的可追溯性。</x:v>
      </x:c>
      <x:c r="M241" s="2" t="str">
        <x:v>Yes</x:v>
      </x:c>
      <x:c r="N241" s="2" t="str">
        <x:v>Full prompt reported</x:v>
      </x:c>
      <x:c r="O241" s="2" t="str">
        <x:v>NR</x:v>
      </x:c>
      <x:c r="P241" s="2" t="str">
        <x:v>No</x:v>
      </x:c>
      <x:c r="Q241" s="2" t="str">
        <x:v>No</x:v>
      </x:c>
      <x:c r="R241" s="2" t="str">
        <x:v>No</x:v>
      </x:c>
      <x:c r="S241" s="2" t="str">
        <x:v>NR</x:v>
      </x:c>
      <x:c r="T241" s="6" t="str">
        <x:v>p. 5; Structured Prompt Design section</x:v>
      </x:c>
      <x:c r="U24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1" s="6" t="str">
        <x:v>结构化提示设计是核心配置特征，所有LLM调用均采用此模板以提高可追溯性。</x:v>
      </x:c>
      <x:c r="W241" s="2" t="str">
        <x:v>Accepted</x:v>
      </x:c>
      <x:c r="X241" s="6" t="str">
        <x:v>Appendix提供了所有活动的完整结构化提示。; shared feature split by model use and operation</x:v>
      </x:c>
    </x:row>
    <x:row r="242" ht="76" customHeight="1">
      <x:c r="A242" s="2" t="str">
        <x:v>S46-FEATURE-R12</x:v>
      </x:c>
      <x:c r="B242" s="2" t="str">
        <x:v>S46</x:v>
      </x:c>
      <x:c r="C242" s="2" t="str">
        <x:v>merged_1293</x:v>
      </x:c>
      <x:c r="D242" s="2" t="str">
        <x:v>Reviewer_A</x:v>
      </x:c>
      <x:c r="E242" s="2" t="str">
        <x:v>Reviewer_A</x:v>
      </x:c>
      <x:c r="F242" s="2" t="str">
        <x:v>S46-CF12</x:v>
      </x:c>
      <x:c r="G242" s="2" t="str">
        <x:v>S46-MU12</x:v>
      </x:c>
      <x:c r="H242" s="2" t="str">
        <x:v>S46-O02</x:v>
      </x:c>
      <x:c r="I242" s="2" t="str">
        <x:v>Prompting</x:v>
      </x:c>
      <x:c r="J242" s="2" t="str">
        <x:v>Structured Prompt Design</x:v>
      </x:c>
      <x:c r="K242" s="2" t="str">
        <x:v>StructuredPrompting</x:v>
      </x:c>
      <x:c r="L242" s="6" t="str">
        <x:v>采用结构化提示模板，包含Prompt ID、Context、Input Data、Prompt和Expected Outcome五个部分，以增强软件制品的可追溯性。</x:v>
      </x:c>
      <x:c r="M242" s="2" t="str">
        <x:v>Yes</x:v>
      </x:c>
      <x:c r="N242" s="2" t="str">
        <x:v>Full prompt reported</x:v>
      </x:c>
      <x:c r="O242" s="2" t="str">
        <x:v>NR</x:v>
      </x:c>
      <x:c r="P242" s="2" t="str">
        <x:v>No</x:v>
      </x:c>
      <x:c r="Q242" s="2" t="str">
        <x:v>No</x:v>
      </x:c>
      <x:c r="R242" s="2" t="str">
        <x:v>No</x:v>
      </x:c>
      <x:c r="S242" s="2" t="str">
        <x:v>NR</x:v>
      </x:c>
      <x:c r="T242" s="6" t="str">
        <x:v>p. 5; Structured Prompt Design section</x:v>
      </x:c>
      <x:c r="U24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2" s="6" t="str">
        <x:v>结构化提示设计是核心配置特征，所有LLM调用均采用此模板以提高可追溯性。</x:v>
      </x:c>
      <x:c r="W242" s="2" t="str">
        <x:v>Accepted</x:v>
      </x:c>
      <x:c r="X242" s="6" t="str">
        <x:v>Appendix提供了所有活动的完整结构化提示。; shared feature split by model use and operation</x:v>
      </x:c>
    </x:row>
    <x:row r="243" ht="76" customHeight="1">
      <x:c r="A243" s="2" t="str">
        <x:v>S46-FEATURE-R13</x:v>
      </x:c>
      <x:c r="B243" s="2" t="str">
        <x:v>S46</x:v>
      </x:c>
      <x:c r="C243" s="2" t="str">
        <x:v>merged_1293</x:v>
      </x:c>
      <x:c r="D243" s="2" t="str">
        <x:v>Reviewer_A</x:v>
      </x:c>
      <x:c r="E243" s="2" t="str">
        <x:v>Reviewer_A</x:v>
      </x:c>
      <x:c r="F243" s="2" t="str">
        <x:v>S46-CF13</x:v>
      </x:c>
      <x:c r="G243" s="2" t="str">
        <x:v>S46-MU13</x:v>
      </x:c>
      <x:c r="H243" s="2" t="str">
        <x:v>S46-O03</x:v>
      </x:c>
      <x:c r="I243" s="2" t="str">
        <x:v>Prompting</x:v>
      </x:c>
      <x:c r="J243" s="2" t="str">
        <x:v>Structured Prompt Design</x:v>
      </x:c>
      <x:c r="K243" s="2" t="str">
        <x:v>StructuredPrompting</x:v>
      </x:c>
      <x:c r="L243" s="6" t="str">
        <x:v>采用结构化提示模板，包含Prompt ID、Context、Input Data、Prompt和Expected Outcome五个部分，以增强软件制品的可追溯性。</x:v>
      </x:c>
      <x:c r="M243" s="2" t="str">
        <x:v>Yes</x:v>
      </x:c>
      <x:c r="N243" s="2" t="str">
        <x:v>Full prompt reported</x:v>
      </x:c>
      <x:c r="O243" s="2" t="str">
        <x:v>NR</x:v>
      </x:c>
      <x:c r="P243" s="2" t="str">
        <x:v>No</x:v>
      </x:c>
      <x:c r="Q243" s="2" t="str">
        <x:v>No</x:v>
      </x:c>
      <x:c r="R243" s="2" t="str">
        <x:v>No</x:v>
      </x:c>
      <x:c r="S243" s="2" t="str">
        <x:v>NR</x:v>
      </x:c>
      <x:c r="T243" s="6" t="str">
        <x:v>p. 5; Structured Prompt Design section</x:v>
      </x:c>
      <x:c r="U24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3" s="6" t="str">
        <x:v>结构化提示设计是核心配置特征，所有LLM调用均采用此模板以提高可追溯性。</x:v>
      </x:c>
      <x:c r="W243" s="2" t="str">
        <x:v>Accepted</x:v>
      </x:c>
      <x:c r="X243" s="6" t="str">
        <x:v>Appendix提供了所有活动的完整结构化提示。; shared feature split by model use and operation</x:v>
      </x:c>
    </x:row>
    <x:row r="244" ht="76" customHeight="1">
      <x:c r="A244" s="2" t="str">
        <x:v>S46-FEATURE-R14</x:v>
      </x:c>
      <x:c r="B244" s="2" t="str">
        <x:v>S46</x:v>
      </x:c>
      <x:c r="C244" s="2" t="str">
        <x:v>merged_1293</x:v>
      </x:c>
      <x:c r="D244" s="2" t="str">
        <x:v>Reviewer_A</x:v>
      </x:c>
      <x:c r="E244" s="2" t="str">
        <x:v>Reviewer_A</x:v>
      </x:c>
      <x:c r="F244" s="2" t="str">
        <x:v>S46-CF14</x:v>
      </x:c>
      <x:c r="G244" s="2" t="str">
        <x:v>S46-MU14</x:v>
      </x:c>
      <x:c r="H244" s="2" t="str">
        <x:v>S46-O04</x:v>
      </x:c>
      <x:c r="I244" s="2" t="str">
        <x:v>Prompting</x:v>
      </x:c>
      <x:c r="J244" s="2" t="str">
        <x:v>Structured Prompt Design</x:v>
      </x:c>
      <x:c r="K244" s="2" t="str">
        <x:v>StructuredPrompting</x:v>
      </x:c>
      <x:c r="L244" s="6" t="str">
        <x:v>采用结构化提示模板，包含Prompt ID、Context、Input Data、Prompt和Expected Outcome五个部分，以增强软件制品的可追溯性。</x:v>
      </x:c>
      <x:c r="M244" s="2" t="str">
        <x:v>Yes</x:v>
      </x:c>
      <x:c r="N244" s="2" t="str">
        <x:v>Full prompt reported</x:v>
      </x:c>
      <x:c r="O244" s="2" t="str">
        <x:v>NR</x:v>
      </x:c>
      <x:c r="P244" s="2" t="str">
        <x:v>No</x:v>
      </x:c>
      <x:c r="Q244" s="2" t="str">
        <x:v>No</x:v>
      </x:c>
      <x:c r="R244" s="2" t="str">
        <x:v>No</x:v>
      </x:c>
      <x:c r="S244" s="2" t="str">
        <x:v>NR</x:v>
      </x:c>
      <x:c r="T244" s="6" t="str">
        <x:v>p. 5; Structured Prompt Design section</x:v>
      </x:c>
      <x:c r="U24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4" s="6" t="str">
        <x:v>结构化提示设计是核心配置特征，所有LLM调用均采用此模板以提高可追溯性。</x:v>
      </x:c>
      <x:c r="W244" s="2" t="str">
        <x:v>Accepted</x:v>
      </x:c>
      <x:c r="X244" s="6" t="str">
        <x:v>Appendix提供了所有活动的完整结构化提示。; shared feature split by model use and operation</x:v>
      </x:c>
    </x:row>
    <x:row r="245" ht="76" customHeight="1">
      <x:c r="A245" s="2" t="str">
        <x:v>S46-FEATURE-R15</x:v>
      </x:c>
      <x:c r="B245" s="2" t="str">
        <x:v>S46</x:v>
      </x:c>
      <x:c r="C245" s="2" t="str">
        <x:v>merged_1293</x:v>
      </x:c>
      <x:c r="D245" s="2" t="str">
        <x:v>Reviewer_A</x:v>
      </x:c>
      <x:c r="E245" s="2" t="str">
        <x:v>Reviewer_A</x:v>
      </x:c>
      <x:c r="F245" s="2" t="str">
        <x:v>S46-CF15</x:v>
      </x:c>
      <x:c r="G245" s="2" t="str">
        <x:v>S46-MU15</x:v>
      </x:c>
      <x:c r="H245" s="2" t="str">
        <x:v>S46-O05</x:v>
      </x:c>
      <x:c r="I245" s="2" t="str">
        <x:v>Prompting</x:v>
      </x:c>
      <x:c r="J245" s="2" t="str">
        <x:v>Structured Prompt Design</x:v>
      </x:c>
      <x:c r="K245" s="2" t="str">
        <x:v>StructuredPrompting</x:v>
      </x:c>
      <x:c r="L245" s="6" t="str">
        <x:v>采用结构化提示模板，包含Prompt ID、Context、Input Data、Prompt和Expected Outcome五个部分，以增强软件制品的可追溯性。</x:v>
      </x:c>
      <x:c r="M245" s="2" t="str">
        <x:v>Yes</x:v>
      </x:c>
      <x:c r="N245" s="2" t="str">
        <x:v>Full prompt reported</x:v>
      </x:c>
      <x:c r="O245" s="2" t="str">
        <x:v>NR</x:v>
      </x:c>
      <x:c r="P245" s="2" t="str">
        <x:v>No</x:v>
      </x:c>
      <x:c r="Q245" s="2" t="str">
        <x:v>No</x:v>
      </x:c>
      <x:c r="R245" s="2" t="str">
        <x:v>No</x:v>
      </x:c>
      <x:c r="S245" s="2" t="str">
        <x:v>NR</x:v>
      </x:c>
      <x:c r="T245" s="6" t="str">
        <x:v>p. 5; Structured Prompt Design section</x:v>
      </x:c>
      <x:c r="U24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5" s="6" t="str">
        <x:v>结构化提示设计是核心配置特征，所有LLM调用均采用此模板以提高可追溯性。</x:v>
      </x:c>
      <x:c r="W245" s="2" t="str">
        <x:v>Accepted</x:v>
      </x:c>
      <x:c r="X245" s="6" t="str">
        <x:v>Appendix提供了所有活动的完整结构化提示。; shared feature split by model use and operation</x:v>
      </x:c>
    </x:row>
    <x:row r="246" ht="76" customHeight="1">
      <x:c r="A246" s="2" t="str">
        <x:v>S46-FEATURE-R16</x:v>
      </x:c>
      <x:c r="B246" s="2" t="str">
        <x:v>S46</x:v>
      </x:c>
      <x:c r="C246" s="2" t="str">
        <x:v>merged_1293</x:v>
      </x:c>
      <x:c r="D246" s="2" t="str">
        <x:v>Reviewer_A</x:v>
      </x:c>
      <x:c r="E246" s="2" t="str">
        <x:v>Reviewer_A</x:v>
      </x:c>
      <x:c r="F246" s="2" t="str">
        <x:v>S46-CF16</x:v>
      </x:c>
      <x:c r="G246" s="2" t="str">
        <x:v>S46-MU16</x:v>
      </x:c>
      <x:c r="H246" s="2" t="str">
        <x:v>S46-O06</x:v>
      </x:c>
      <x:c r="I246" s="2" t="str">
        <x:v>Prompting</x:v>
      </x:c>
      <x:c r="J246" s="2" t="str">
        <x:v>Structured Prompt Design</x:v>
      </x:c>
      <x:c r="K246" s="2" t="str">
        <x:v>StructuredPrompting</x:v>
      </x:c>
      <x:c r="L246" s="6" t="str">
        <x:v>采用结构化提示模板，包含Prompt ID、Context、Input Data、Prompt和Expected Outcome五个部分，以增强软件制品的可追溯性。</x:v>
      </x:c>
      <x:c r="M246" s="2" t="str">
        <x:v>Yes</x:v>
      </x:c>
      <x:c r="N246" s="2" t="str">
        <x:v>Full prompt reported</x:v>
      </x:c>
      <x:c r="O246" s="2" t="str">
        <x:v>NR</x:v>
      </x:c>
      <x:c r="P246" s="2" t="str">
        <x:v>No</x:v>
      </x:c>
      <x:c r="Q246" s="2" t="str">
        <x:v>No</x:v>
      </x:c>
      <x:c r="R246" s="2" t="str">
        <x:v>No</x:v>
      </x:c>
      <x:c r="S246" s="2" t="str">
        <x:v>NR</x:v>
      </x:c>
      <x:c r="T246" s="6" t="str">
        <x:v>p. 5; Structured Prompt Design section</x:v>
      </x:c>
      <x:c r="U24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6" s="6" t="str">
        <x:v>结构化提示设计是核心配置特征，所有LLM调用均采用此模板以提高可追溯性。</x:v>
      </x:c>
      <x:c r="W246" s="2" t="str">
        <x:v>Accepted</x:v>
      </x:c>
      <x:c r="X246" s="6" t="str">
        <x:v>Appendix提供了所有活动的完整结构化提示。; shared feature split by model use and operation</x:v>
      </x:c>
    </x:row>
    <x:row r="247" ht="76" customHeight="1">
      <x:c r="A247" s="2" t="str">
        <x:v>S46-FEATURE-R17</x:v>
      </x:c>
      <x:c r="B247" s="2" t="str">
        <x:v>S46</x:v>
      </x:c>
      <x:c r="C247" s="2" t="str">
        <x:v>merged_1293</x:v>
      </x:c>
      <x:c r="D247" s="2" t="str">
        <x:v>Reviewer_A</x:v>
      </x:c>
      <x:c r="E247" s="2" t="str">
        <x:v>Reviewer_A</x:v>
      </x:c>
      <x:c r="F247" s="2" t="str">
        <x:v>S46-CF17</x:v>
      </x:c>
      <x:c r="G247" s="2" t="str">
        <x:v>S46-MU17</x:v>
      </x:c>
      <x:c r="H247" s="2" t="str">
        <x:v>S46-O07</x:v>
      </x:c>
      <x:c r="I247" s="2" t="str">
        <x:v>Prompting</x:v>
      </x:c>
      <x:c r="J247" s="2" t="str">
        <x:v>Structured Prompt Design</x:v>
      </x:c>
      <x:c r="K247" s="2" t="str">
        <x:v>StructuredPrompting</x:v>
      </x:c>
      <x:c r="L247" s="6" t="str">
        <x:v>采用结构化提示模板，包含Prompt ID、Context、Input Data、Prompt和Expected Outcome五个部分，以增强软件制品的可追溯性。</x:v>
      </x:c>
      <x:c r="M247" s="2" t="str">
        <x:v>Yes</x:v>
      </x:c>
      <x:c r="N247" s="2" t="str">
        <x:v>Full prompt reported</x:v>
      </x:c>
      <x:c r="O247" s="2" t="str">
        <x:v>NR</x:v>
      </x:c>
      <x:c r="P247" s="2" t="str">
        <x:v>No</x:v>
      </x:c>
      <x:c r="Q247" s="2" t="str">
        <x:v>No</x:v>
      </x:c>
      <x:c r="R247" s="2" t="str">
        <x:v>No</x:v>
      </x:c>
      <x:c r="S247" s="2" t="str">
        <x:v>NR</x:v>
      </x:c>
      <x:c r="T247" s="6" t="str">
        <x:v>p. 5; Structured Prompt Design section</x:v>
      </x:c>
      <x:c r="U24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7" s="6" t="str">
        <x:v>结构化提示设计是核心配置特征，所有LLM调用均采用此模板以提高可追溯性。</x:v>
      </x:c>
      <x:c r="W247" s="2" t="str">
        <x:v>Accepted</x:v>
      </x:c>
      <x:c r="X247" s="6" t="str">
        <x:v>Appendix提供了所有活动的完整结构化提示。; shared feature split by model use and operation</x:v>
      </x:c>
    </x:row>
    <x:row r="248" ht="76" customHeight="1">
      <x:c r="A248" s="2" t="str">
        <x:v>S46-FEATURE-R18</x:v>
      </x:c>
      <x:c r="B248" s="2" t="str">
        <x:v>S46</x:v>
      </x:c>
      <x:c r="C248" s="2" t="str">
        <x:v>merged_1293</x:v>
      </x:c>
      <x:c r="D248" s="2" t="str">
        <x:v>Reviewer_A</x:v>
      </x:c>
      <x:c r="E248" s="2" t="str">
        <x:v>Reviewer_A</x:v>
      </x:c>
      <x:c r="F248" s="2" t="str">
        <x:v>S46-CF18</x:v>
      </x:c>
      <x:c r="G248" s="2" t="str">
        <x:v>S46-MU18</x:v>
      </x:c>
      <x:c r="H248" s="2" t="str">
        <x:v>S46-O08</x:v>
      </x:c>
      <x:c r="I248" s="2" t="str">
        <x:v>Prompting</x:v>
      </x:c>
      <x:c r="J248" s="2" t="str">
        <x:v>Structured Prompt Design</x:v>
      </x:c>
      <x:c r="K248" s="2" t="str">
        <x:v>StructuredPrompting</x:v>
      </x:c>
      <x:c r="L248" s="6" t="str">
        <x:v>采用结构化提示模板，包含Prompt ID、Context、Input Data、Prompt和Expected Outcome五个部分，以增强软件制品的可追溯性。</x:v>
      </x:c>
      <x:c r="M248" s="2" t="str">
        <x:v>Yes</x:v>
      </x:c>
      <x:c r="N248" s="2" t="str">
        <x:v>Full prompt reported</x:v>
      </x:c>
      <x:c r="O248" s="2" t="str">
        <x:v>NR</x:v>
      </x:c>
      <x:c r="P248" s="2" t="str">
        <x:v>No</x:v>
      </x:c>
      <x:c r="Q248" s="2" t="str">
        <x:v>No</x:v>
      </x:c>
      <x:c r="R248" s="2" t="str">
        <x:v>No</x:v>
      </x:c>
      <x:c r="S248" s="2" t="str">
        <x:v>NR</x:v>
      </x:c>
      <x:c r="T248" s="6" t="str">
        <x:v>p. 5; Structured Prompt Design section</x:v>
      </x:c>
      <x:c r="U24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8" s="6" t="str">
        <x:v>结构化提示设计是核心配置特征，所有LLM调用均采用此模板以提高可追溯性。</x:v>
      </x:c>
      <x:c r="W248" s="2" t="str">
        <x:v>Accepted</x:v>
      </x:c>
      <x:c r="X248" s="6" t="str">
        <x:v>Appendix提供了所有活动的完整结构化提示。; shared feature split by model use and operation</x:v>
      </x:c>
    </x:row>
    <x:row r="249" ht="76" customHeight="1">
      <x:c r="A249" s="2" t="str">
        <x:v>S46-FEATURE-R19</x:v>
      </x:c>
      <x:c r="B249" s="2" t="str">
        <x:v>S46</x:v>
      </x:c>
      <x:c r="C249" s="2" t="str">
        <x:v>merged_1293</x:v>
      </x:c>
      <x:c r="D249" s="2" t="str">
        <x:v>Reviewer_A</x:v>
      </x:c>
      <x:c r="E249" s="2" t="str">
        <x:v>Reviewer_A</x:v>
      </x:c>
      <x:c r="F249" s="2" t="str">
        <x:v>S46-CF19</x:v>
      </x:c>
      <x:c r="G249" s="2" t="str">
        <x:v>S46-MU19</x:v>
      </x:c>
      <x:c r="H249" s="2" t="str">
        <x:v>S46-O09</x:v>
      </x:c>
      <x:c r="I249" s="2" t="str">
        <x:v>Prompting</x:v>
      </x:c>
      <x:c r="J249" s="2" t="str">
        <x:v>Structured Prompt Design</x:v>
      </x:c>
      <x:c r="K249" s="2" t="str">
        <x:v>StructuredPrompting</x:v>
      </x:c>
      <x:c r="L249" s="6" t="str">
        <x:v>采用结构化提示模板，包含Prompt ID、Context、Input Data、Prompt和Expected Outcome五个部分，以增强软件制品的可追溯性。</x:v>
      </x:c>
      <x:c r="M249" s="2" t="str">
        <x:v>Yes</x:v>
      </x:c>
      <x:c r="N249" s="2" t="str">
        <x:v>Full prompt reported</x:v>
      </x:c>
      <x:c r="O249" s="2" t="str">
        <x:v>NR</x:v>
      </x:c>
      <x:c r="P249" s="2" t="str">
        <x:v>No</x:v>
      </x:c>
      <x:c r="Q249" s="2" t="str">
        <x:v>No</x:v>
      </x:c>
      <x:c r="R249" s="2" t="str">
        <x:v>No</x:v>
      </x:c>
      <x:c r="S249" s="2" t="str">
        <x:v>NR</x:v>
      </x:c>
      <x:c r="T249" s="6" t="str">
        <x:v>p. 5; Structured Prompt Design section</x:v>
      </x:c>
      <x:c r="U24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49" s="6" t="str">
        <x:v>结构化提示设计是核心配置特征，所有LLM调用均采用此模板以提高可追溯性。</x:v>
      </x:c>
      <x:c r="W249" s="2" t="str">
        <x:v>Accepted</x:v>
      </x:c>
      <x:c r="X249" s="6" t="str">
        <x:v>Appendix提供了所有活动的完整结构化提示。; shared feature split by model use and operation</x:v>
      </x:c>
    </x:row>
    <x:row r="250" ht="76" customHeight="1">
      <x:c r="A250" s="2" t="str">
        <x:v>S46-FEATURE-R20</x:v>
      </x:c>
      <x:c r="B250" s="2" t="str">
        <x:v>S46</x:v>
      </x:c>
      <x:c r="C250" s="2" t="str">
        <x:v>merged_1293</x:v>
      </x:c>
      <x:c r="D250" s="2" t="str">
        <x:v>Reviewer_A</x:v>
      </x:c>
      <x:c r="E250" s="2" t="str">
        <x:v>Reviewer_A</x:v>
      </x:c>
      <x:c r="F250" s="2" t="str">
        <x:v>S46-CF20</x:v>
      </x:c>
      <x:c r="G250" s="2" t="str">
        <x:v>S46-MU20</x:v>
      </x:c>
      <x:c r="H250" s="2" t="str">
        <x:v>S46-O10</x:v>
      </x:c>
      <x:c r="I250" s="2" t="str">
        <x:v>Prompting</x:v>
      </x:c>
      <x:c r="J250" s="2" t="str">
        <x:v>Structured Prompt Design</x:v>
      </x:c>
      <x:c r="K250" s="2" t="str">
        <x:v>StructuredPrompting</x:v>
      </x:c>
      <x:c r="L250" s="6" t="str">
        <x:v>采用结构化提示模板，包含Prompt ID、Context、Input Data、Prompt和Expected Outcome五个部分，以增强软件制品的可追溯性。</x:v>
      </x:c>
      <x:c r="M250" s="2" t="str">
        <x:v>Yes</x:v>
      </x:c>
      <x:c r="N250" s="2" t="str">
        <x:v>Full prompt reported</x:v>
      </x:c>
      <x:c r="O250" s="2" t="str">
        <x:v>NR</x:v>
      </x:c>
      <x:c r="P250" s="2" t="str">
        <x:v>No</x:v>
      </x:c>
      <x:c r="Q250" s="2" t="str">
        <x:v>No</x:v>
      </x:c>
      <x:c r="R250" s="2" t="str">
        <x:v>No</x:v>
      </x:c>
      <x:c r="S250" s="2" t="str">
        <x:v>NR</x:v>
      </x:c>
      <x:c r="T250" s="6" t="str">
        <x:v>p. 5; Structured Prompt Design section</x:v>
      </x:c>
      <x:c r="U25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0" s="6" t="str">
        <x:v>结构化提示设计是核心配置特征，所有LLM调用均采用此模板以提高可追溯性。</x:v>
      </x:c>
      <x:c r="W250" s="2" t="str">
        <x:v>Accepted</x:v>
      </x:c>
      <x:c r="X250" s="6" t="str">
        <x:v>Appendix提供了所有活动的完整结构化提示。; shared feature split by model use and operation</x:v>
      </x:c>
    </x:row>
    <x:row r="251" ht="76" customHeight="1">
      <x:c r="A251" s="2" t="str">
        <x:v>S46-FEATURE-R21</x:v>
      </x:c>
      <x:c r="B251" s="2" t="str">
        <x:v>S46</x:v>
      </x:c>
      <x:c r="C251" s="2" t="str">
        <x:v>merged_1293</x:v>
      </x:c>
      <x:c r="D251" s="2" t="str">
        <x:v>Reviewer_A</x:v>
      </x:c>
      <x:c r="E251" s="2" t="str">
        <x:v>Reviewer_A</x:v>
      </x:c>
      <x:c r="F251" s="2" t="str">
        <x:v>S46-CF21</x:v>
      </x:c>
      <x:c r="G251" s="2" t="str">
        <x:v>S46-MU21</x:v>
      </x:c>
      <x:c r="H251" s="2" t="str">
        <x:v>S46-O01</x:v>
      </x:c>
      <x:c r="I251" s="2" t="str">
        <x:v>Prompting</x:v>
      </x:c>
      <x:c r="J251" s="2" t="str">
        <x:v>Structured Prompt Design</x:v>
      </x:c>
      <x:c r="K251" s="2" t="str">
        <x:v>StructuredPrompting</x:v>
      </x:c>
      <x:c r="L251" s="6" t="str">
        <x:v>采用结构化提示模板，包含Prompt ID、Context、Input Data、Prompt和Expected Outcome五个部分，以增强软件制品的可追溯性。</x:v>
      </x:c>
      <x:c r="M251" s="2" t="str">
        <x:v>Yes</x:v>
      </x:c>
      <x:c r="N251" s="2" t="str">
        <x:v>Full prompt reported</x:v>
      </x:c>
      <x:c r="O251" s="2" t="str">
        <x:v>NR</x:v>
      </x:c>
      <x:c r="P251" s="2" t="str">
        <x:v>No</x:v>
      </x:c>
      <x:c r="Q251" s="2" t="str">
        <x:v>No</x:v>
      </x:c>
      <x:c r="R251" s="2" t="str">
        <x:v>No</x:v>
      </x:c>
      <x:c r="S251" s="2" t="str">
        <x:v>NR</x:v>
      </x:c>
      <x:c r="T251" s="6" t="str">
        <x:v>p. 5; Structured Prompt Design section</x:v>
      </x:c>
      <x:c r="U25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1" s="6" t="str">
        <x:v>结构化提示设计是核心配置特征，所有LLM调用均采用此模板以提高可追溯性。</x:v>
      </x:c>
      <x:c r="W251" s="2" t="str">
        <x:v>Accepted</x:v>
      </x:c>
      <x:c r="X251" s="6" t="str">
        <x:v>Appendix提供了所有活动的完整结构化提示。; shared feature split by model use and operation</x:v>
      </x:c>
    </x:row>
    <x:row r="252" ht="76" customHeight="1">
      <x:c r="A252" s="2" t="str">
        <x:v>S46-FEATURE-R22</x:v>
      </x:c>
      <x:c r="B252" s="2" t="str">
        <x:v>S46</x:v>
      </x:c>
      <x:c r="C252" s="2" t="str">
        <x:v>merged_1293</x:v>
      </x:c>
      <x:c r="D252" s="2" t="str">
        <x:v>Reviewer_A</x:v>
      </x:c>
      <x:c r="E252" s="2" t="str">
        <x:v>Reviewer_A</x:v>
      </x:c>
      <x:c r="F252" s="2" t="str">
        <x:v>S46-CF22</x:v>
      </x:c>
      <x:c r="G252" s="2" t="str">
        <x:v>S46-MU22</x:v>
      </x:c>
      <x:c r="H252" s="2" t="str">
        <x:v>S46-O02</x:v>
      </x:c>
      <x:c r="I252" s="2" t="str">
        <x:v>Prompting</x:v>
      </x:c>
      <x:c r="J252" s="2" t="str">
        <x:v>Structured Prompt Design</x:v>
      </x:c>
      <x:c r="K252" s="2" t="str">
        <x:v>StructuredPrompting</x:v>
      </x:c>
      <x:c r="L252" s="6" t="str">
        <x:v>采用结构化提示模板，包含Prompt ID、Context、Input Data、Prompt和Expected Outcome五个部分，以增强软件制品的可追溯性。</x:v>
      </x:c>
      <x:c r="M252" s="2" t="str">
        <x:v>Yes</x:v>
      </x:c>
      <x:c r="N252" s="2" t="str">
        <x:v>Full prompt reported</x:v>
      </x:c>
      <x:c r="O252" s="2" t="str">
        <x:v>NR</x:v>
      </x:c>
      <x:c r="P252" s="2" t="str">
        <x:v>No</x:v>
      </x:c>
      <x:c r="Q252" s="2" t="str">
        <x:v>No</x:v>
      </x:c>
      <x:c r="R252" s="2" t="str">
        <x:v>No</x:v>
      </x:c>
      <x:c r="S252" s="2" t="str">
        <x:v>NR</x:v>
      </x:c>
      <x:c r="T252" s="6" t="str">
        <x:v>p. 5; Structured Prompt Design section</x:v>
      </x:c>
      <x:c r="U25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2" s="6" t="str">
        <x:v>结构化提示设计是核心配置特征，所有LLM调用均采用此模板以提高可追溯性。</x:v>
      </x:c>
      <x:c r="W252" s="2" t="str">
        <x:v>Accepted</x:v>
      </x:c>
      <x:c r="X252" s="6" t="str">
        <x:v>Appendix提供了所有活动的完整结构化提示。; shared feature split by model use and operation</x:v>
      </x:c>
    </x:row>
    <x:row r="253" ht="76" customHeight="1">
      <x:c r="A253" s="2" t="str">
        <x:v>S46-FEATURE-R23</x:v>
      </x:c>
      <x:c r="B253" s="2" t="str">
        <x:v>S46</x:v>
      </x:c>
      <x:c r="C253" s="2" t="str">
        <x:v>merged_1293</x:v>
      </x:c>
      <x:c r="D253" s="2" t="str">
        <x:v>Reviewer_A</x:v>
      </x:c>
      <x:c r="E253" s="2" t="str">
        <x:v>Reviewer_A</x:v>
      </x:c>
      <x:c r="F253" s="2" t="str">
        <x:v>S46-CF23</x:v>
      </x:c>
      <x:c r="G253" s="2" t="str">
        <x:v>S46-MU23</x:v>
      </x:c>
      <x:c r="H253" s="2" t="str">
        <x:v>S46-O03</x:v>
      </x:c>
      <x:c r="I253" s="2" t="str">
        <x:v>Prompting</x:v>
      </x:c>
      <x:c r="J253" s="2" t="str">
        <x:v>Structured Prompt Design</x:v>
      </x:c>
      <x:c r="K253" s="2" t="str">
        <x:v>StructuredPrompting</x:v>
      </x:c>
      <x:c r="L253" s="6" t="str">
        <x:v>采用结构化提示模板，包含Prompt ID、Context、Input Data、Prompt和Expected Outcome五个部分，以增强软件制品的可追溯性。</x:v>
      </x:c>
      <x:c r="M253" s="2" t="str">
        <x:v>Yes</x:v>
      </x:c>
      <x:c r="N253" s="2" t="str">
        <x:v>Full prompt reported</x:v>
      </x:c>
      <x:c r="O253" s="2" t="str">
        <x:v>NR</x:v>
      </x:c>
      <x:c r="P253" s="2" t="str">
        <x:v>No</x:v>
      </x:c>
      <x:c r="Q253" s="2" t="str">
        <x:v>No</x:v>
      </x:c>
      <x:c r="R253" s="2" t="str">
        <x:v>No</x:v>
      </x:c>
      <x:c r="S253" s="2" t="str">
        <x:v>NR</x:v>
      </x:c>
      <x:c r="T253" s="6" t="str">
        <x:v>p. 5; Structured Prompt Design section</x:v>
      </x:c>
      <x:c r="U25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3" s="6" t="str">
        <x:v>结构化提示设计是核心配置特征，所有LLM调用均采用此模板以提高可追溯性。</x:v>
      </x:c>
      <x:c r="W253" s="2" t="str">
        <x:v>Accepted</x:v>
      </x:c>
      <x:c r="X253" s="6" t="str">
        <x:v>Appendix提供了所有活动的完整结构化提示。; shared feature split by model use and operation</x:v>
      </x:c>
    </x:row>
    <x:row r="254" ht="76" customHeight="1">
      <x:c r="A254" s="2" t="str">
        <x:v>S46-FEATURE-R24</x:v>
      </x:c>
      <x:c r="B254" s="2" t="str">
        <x:v>S46</x:v>
      </x:c>
      <x:c r="C254" s="2" t="str">
        <x:v>merged_1293</x:v>
      </x:c>
      <x:c r="D254" s="2" t="str">
        <x:v>Reviewer_A</x:v>
      </x:c>
      <x:c r="E254" s="2" t="str">
        <x:v>Reviewer_A</x:v>
      </x:c>
      <x:c r="F254" s="2" t="str">
        <x:v>S46-CF24</x:v>
      </x:c>
      <x:c r="G254" s="2" t="str">
        <x:v>S46-MU24</x:v>
      </x:c>
      <x:c r="H254" s="2" t="str">
        <x:v>S46-O04</x:v>
      </x:c>
      <x:c r="I254" s="2" t="str">
        <x:v>Prompting</x:v>
      </x:c>
      <x:c r="J254" s="2" t="str">
        <x:v>Structured Prompt Design</x:v>
      </x:c>
      <x:c r="K254" s="2" t="str">
        <x:v>StructuredPrompting</x:v>
      </x:c>
      <x:c r="L254" s="6" t="str">
        <x:v>采用结构化提示模板，包含Prompt ID、Context、Input Data、Prompt和Expected Outcome五个部分，以增强软件制品的可追溯性。</x:v>
      </x:c>
      <x:c r="M254" s="2" t="str">
        <x:v>Yes</x:v>
      </x:c>
      <x:c r="N254" s="2" t="str">
        <x:v>Full prompt reported</x:v>
      </x:c>
      <x:c r="O254" s="2" t="str">
        <x:v>NR</x:v>
      </x:c>
      <x:c r="P254" s="2" t="str">
        <x:v>No</x:v>
      </x:c>
      <x:c r="Q254" s="2" t="str">
        <x:v>No</x:v>
      </x:c>
      <x:c r="R254" s="2" t="str">
        <x:v>No</x:v>
      </x:c>
      <x:c r="S254" s="2" t="str">
        <x:v>NR</x:v>
      </x:c>
      <x:c r="T254" s="6" t="str">
        <x:v>p. 5; Structured Prompt Design section</x:v>
      </x:c>
      <x:c r="U25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4" s="6" t="str">
        <x:v>结构化提示设计是核心配置特征，所有LLM调用均采用此模板以提高可追溯性。</x:v>
      </x:c>
      <x:c r="W254" s="2" t="str">
        <x:v>Accepted</x:v>
      </x:c>
      <x:c r="X254" s="6" t="str">
        <x:v>Appendix提供了所有活动的完整结构化提示。; shared feature split by model use and operation</x:v>
      </x:c>
    </x:row>
    <x:row r="255" ht="76" customHeight="1">
      <x:c r="A255" s="2" t="str">
        <x:v>S46-FEATURE-R25</x:v>
      </x:c>
      <x:c r="B255" s="2" t="str">
        <x:v>S46</x:v>
      </x:c>
      <x:c r="C255" s="2" t="str">
        <x:v>merged_1293</x:v>
      </x:c>
      <x:c r="D255" s="2" t="str">
        <x:v>Reviewer_A</x:v>
      </x:c>
      <x:c r="E255" s="2" t="str">
        <x:v>Reviewer_A</x:v>
      </x:c>
      <x:c r="F255" s="2" t="str">
        <x:v>S46-CF25</x:v>
      </x:c>
      <x:c r="G255" s="2" t="str">
        <x:v>S46-MU25</x:v>
      </x:c>
      <x:c r="H255" s="2" t="str">
        <x:v>S46-O05</x:v>
      </x:c>
      <x:c r="I255" s="2" t="str">
        <x:v>Prompting</x:v>
      </x:c>
      <x:c r="J255" s="2" t="str">
        <x:v>Structured Prompt Design</x:v>
      </x:c>
      <x:c r="K255" s="2" t="str">
        <x:v>StructuredPrompting</x:v>
      </x:c>
      <x:c r="L255" s="6" t="str">
        <x:v>采用结构化提示模板，包含Prompt ID、Context、Input Data、Prompt和Expected Outcome五个部分，以增强软件制品的可追溯性。</x:v>
      </x:c>
      <x:c r="M255" s="2" t="str">
        <x:v>Yes</x:v>
      </x:c>
      <x:c r="N255" s="2" t="str">
        <x:v>Full prompt reported</x:v>
      </x:c>
      <x:c r="O255" s="2" t="str">
        <x:v>NR</x:v>
      </x:c>
      <x:c r="P255" s="2" t="str">
        <x:v>No</x:v>
      </x:c>
      <x:c r="Q255" s="2" t="str">
        <x:v>No</x:v>
      </x:c>
      <x:c r="R255" s="2" t="str">
        <x:v>No</x:v>
      </x:c>
      <x:c r="S255" s="2" t="str">
        <x:v>NR</x:v>
      </x:c>
      <x:c r="T255" s="6" t="str">
        <x:v>p. 5; Structured Prompt Design section</x:v>
      </x:c>
      <x:c r="U25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5" s="6" t="str">
        <x:v>结构化提示设计是核心配置特征，所有LLM调用均采用此模板以提高可追溯性。</x:v>
      </x:c>
      <x:c r="W255" s="2" t="str">
        <x:v>Accepted</x:v>
      </x:c>
      <x:c r="X255" s="6" t="str">
        <x:v>Appendix提供了所有活动的完整结构化提示。; shared feature split by model use and operation</x:v>
      </x:c>
    </x:row>
    <x:row r="256" ht="76" customHeight="1">
      <x:c r="A256" s="2" t="str">
        <x:v>S46-FEATURE-R26</x:v>
      </x:c>
      <x:c r="B256" s="2" t="str">
        <x:v>S46</x:v>
      </x:c>
      <x:c r="C256" s="2" t="str">
        <x:v>merged_1293</x:v>
      </x:c>
      <x:c r="D256" s="2" t="str">
        <x:v>Reviewer_A</x:v>
      </x:c>
      <x:c r="E256" s="2" t="str">
        <x:v>Reviewer_A</x:v>
      </x:c>
      <x:c r="F256" s="2" t="str">
        <x:v>S46-CF26</x:v>
      </x:c>
      <x:c r="G256" s="2" t="str">
        <x:v>S46-MU26</x:v>
      </x:c>
      <x:c r="H256" s="2" t="str">
        <x:v>S46-O06</x:v>
      </x:c>
      <x:c r="I256" s="2" t="str">
        <x:v>Prompting</x:v>
      </x:c>
      <x:c r="J256" s="2" t="str">
        <x:v>Structured Prompt Design</x:v>
      </x:c>
      <x:c r="K256" s="2" t="str">
        <x:v>StructuredPrompting</x:v>
      </x:c>
      <x:c r="L256" s="6" t="str">
        <x:v>采用结构化提示模板，包含Prompt ID、Context、Input Data、Prompt和Expected Outcome五个部分，以增强软件制品的可追溯性。</x:v>
      </x:c>
      <x:c r="M256" s="2" t="str">
        <x:v>Yes</x:v>
      </x:c>
      <x:c r="N256" s="2" t="str">
        <x:v>Full prompt reported</x:v>
      </x:c>
      <x:c r="O256" s="2" t="str">
        <x:v>NR</x:v>
      </x:c>
      <x:c r="P256" s="2" t="str">
        <x:v>No</x:v>
      </x:c>
      <x:c r="Q256" s="2" t="str">
        <x:v>No</x:v>
      </x:c>
      <x:c r="R256" s="2" t="str">
        <x:v>No</x:v>
      </x:c>
      <x:c r="S256" s="2" t="str">
        <x:v>NR</x:v>
      </x:c>
      <x:c r="T256" s="6" t="str">
        <x:v>p. 5; Structured Prompt Design section</x:v>
      </x:c>
      <x:c r="U25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6" s="6" t="str">
        <x:v>结构化提示设计是核心配置特征，所有LLM调用均采用此模板以提高可追溯性。</x:v>
      </x:c>
      <x:c r="W256" s="2" t="str">
        <x:v>Accepted</x:v>
      </x:c>
      <x:c r="X256" s="6" t="str">
        <x:v>Appendix提供了所有活动的完整结构化提示。; shared feature split by model use and operation</x:v>
      </x:c>
    </x:row>
    <x:row r="257" ht="76" customHeight="1">
      <x:c r="A257" s="2" t="str">
        <x:v>S46-FEATURE-R27</x:v>
      </x:c>
      <x:c r="B257" s="2" t="str">
        <x:v>S46</x:v>
      </x:c>
      <x:c r="C257" s="2" t="str">
        <x:v>merged_1293</x:v>
      </x:c>
      <x:c r="D257" s="2" t="str">
        <x:v>Reviewer_A</x:v>
      </x:c>
      <x:c r="E257" s="2" t="str">
        <x:v>Reviewer_A</x:v>
      </x:c>
      <x:c r="F257" s="2" t="str">
        <x:v>S46-CF27</x:v>
      </x:c>
      <x:c r="G257" s="2" t="str">
        <x:v>S46-MU27</x:v>
      </x:c>
      <x:c r="H257" s="2" t="str">
        <x:v>S46-O07</x:v>
      </x:c>
      <x:c r="I257" s="2" t="str">
        <x:v>Prompting</x:v>
      </x:c>
      <x:c r="J257" s="2" t="str">
        <x:v>Structured Prompt Design</x:v>
      </x:c>
      <x:c r="K257" s="2" t="str">
        <x:v>StructuredPrompting</x:v>
      </x:c>
      <x:c r="L257" s="6" t="str">
        <x:v>采用结构化提示模板，包含Prompt ID、Context、Input Data、Prompt和Expected Outcome五个部分，以增强软件制品的可追溯性。</x:v>
      </x:c>
      <x:c r="M257" s="2" t="str">
        <x:v>Yes</x:v>
      </x:c>
      <x:c r="N257" s="2" t="str">
        <x:v>Full prompt reported</x:v>
      </x:c>
      <x:c r="O257" s="2" t="str">
        <x:v>NR</x:v>
      </x:c>
      <x:c r="P257" s="2" t="str">
        <x:v>No</x:v>
      </x:c>
      <x:c r="Q257" s="2" t="str">
        <x:v>No</x:v>
      </x:c>
      <x:c r="R257" s="2" t="str">
        <x:v>No</x:v>
      </x:c>
      <x:c r="S257" s="2" t="str">
        <x:v>NR</x:v>
      </x:c>
      <x:c r="T257" s="6" t="str">
        <x:v>p. 5; Structured Prompt Design section</x:v>
      </x:c>
      <x:c r="U25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7" s="6" t="str">
        <x:v>结构化提示设计是核心配置特征，所有LLM调用均采用此模板以提高可追溯性。</x:v>
      </x:c>
      <x:c r="W257" s="2" t="str">
        <x:v>Accepted</x:v>
      </x:c>
      <x:c r="X257" s="6" t="str">
        <x:v>Appendix提供了所有活动的完整结构化提示。; shared feature split by model use and operation</x:v>
      </x:c>
    </x:row>
    <x:row r="258" ht="76" customHeight="1">
      <x:c r="A258" s="2" t="str">
        <x:v>S46-FEATURE-R28</x:v>
      </x:c>
      <x:c r="B258" s="2" t="str">
        <x:v>S46</x:v>
      </x:c>
      <x:c r="C258" s="2" t="str">
        <x:v>merged_1293</x:v>
      </x:c>
      <x:c r="D258" s="2" t="str">
        <x:v>Reviewer_A</x:v>
      </x:c>
      <x:c r="E258" s="2" t="str">
        <x:v>Reviewer_A</x:v>
      </x:c>
      <x:c r="F258" s="2" t="str">
        <x:v>S46-CF28</x:v>
      </x:c>
      <x:c r="G258" s="2" t="str">
        <x:v>S46-MU28</x:v>
      </x:c>
      <x:c r="H258" s="2" t="str">
        <x:v>S46-O08</x:v>
      </x:c>
      <x:c r="I258" s="2" t="str">
        <x:v>Prompting</x:v>
      </x:c>
      <x:c r="J258" s="2" t="str">
        <x:v>Structured Prompt Design</x:v>
      </x:c>
      <x:c r="K258" s="2" t="str">
        <x:v>StructuredPrompting</x:v>
      </x:c>
      <x:c r="L258" s="6" t="str">
        <x:v>采用结构化提示模板，包含Prompt ID、Context、Input Data、Prompt和Expected Outcome五个部分，以增强软件制品的可追溯性。</x:v>
      </x:c>
      <x:c r="M258" s="2" t="str">
        <x:v>Yes</x:v>
      </x:c>
      <x:c r="N258" s="2" t="str">
        <x:v>Full prompt reported</x:v>
      </x:c>
      <x:c r="O258" s="2" t="str">
        <x:v>NR</x:v>
      </x:c>
      <x:c r="P258" s="2" t="str">
        <x:v>No</x:v>
      </x:c>
      <x:c r="Q258" s="2" t="str">
        <x:v>No</x:v>
      </x:c>
      <x:c r="R258" s="2" t="str">
        <x:v>No</x:v>
      </x:c>
      <x:c r="S258" s="2" t="str">
        <x:v>NR</x:v>
      </x:c>
      <x:c r="T258" s="6" t="str">
        <x:v>p. 5; Structured Prompt Design section</x:v>
      </x:c>
      <x:c r="U25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8" s="6" t="str">
        <x:v>结构化提示设计是核心配置特征，所有LLM调用均采用此模板以提高可追溯性。</x:v>
      </x:c>
      <x:c r="W258" s="2" t="str">
        <x:v>Accepted</x:v>
      </x:c>
      <x:c r="X258" s="6" t="str">
        <x:v>Appendix提供了所有活动的完整结构化提示。; shared feature split by model use and operation</x:v>
      </x:c>
    </x:row>
    <x:row r="259" ht="76" customHeight="1">
      <x:c r="A259" s="2" t="str">
        <x:v>S46-FEATURE-R29</x:v>
      </x:c>
      <x:c r="B259" s="2" t="str">
        <x:v>S46</x:v>
      </x:c>
      <x:c r="C259" s="2" t="str">
        <x:v>merged_1293</x:v>
      </x:c>
      <x:c r="D259" s="2" t="str">
        <x:v>Reviewer_A</x:v>
      </x:c>
      <x:c r="E259" s="2" t="str">
        <x:v>Reviewer_A</x:v>
      </x:c>
      <x:c r="F259" s="2" t="str">
        <x:v>S46-CF29</x:v>
      </x:c>
      <x:c r="G259" s="2" t="str">
        <x:v>S46-MU29</x:v>
      </x:c>
      <x:c r="H259" s="2" t="str">
        <x:v>S46-O09</x:v>
      </x:c>
      <x:c r="I259" s="2" t="str">
        <x:v>Prompting</x:v>
      </x:c>
      <x:c r="J259" s="2" t="str">
        <x:v>Structured Prompt Design</x:v>
      </x:c>
      <x:c r="K259" s="2" t="str">
        <x:v>StructuredPrompting</x:v>
      </x:c>
      <x:c r="L259" s="6" t="str">
        <x:v>采用结构化提示模板，包含Prompt ID、Context、Input Data、Prompt和Expected Outcome五个部分，以增强软件制品的可追溯性。</x:v>
      </x:c>
      <x:c r="M259" s="2" t="str">
        <x:v>Yes</x:v>
      </x:c>
      <x:c r="N259" s="2" t="str">
        <x:v>Full prompt reported</x:v>
      </x:c>
      <x:c r="O259" s="2" t="str">
        <x:v>NR</x:v>
      </x:c>
      <x:c r="P259" s="2" t="str">
        <x:v>No</x:v>
      </x:c>
      <x:c r="Q259" s="2" t="str">
        <x:v>No</x:v>
      </x:c>
      <x:c r="R259" s="2" t="str">
        <x:v>No</x:v>
      </x:c>
      <x:c r="S259" s="2" t="str">
        <x:v>NR</x:v>
      </x:c>
      <x:c r="T259" s="6" t="str">
        <x:v>p. 5; Structured Prompt Design section</x:v>
      </x:c>
      <x:c r="U25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59" s="6" t="str">
        <x:v>结构化提示设计是核心配置特征，所有LLM调用均采用此模板以提高可追溯性。</x:v>
      </x:c>
      <x:c r="W259" s="2" t="str">
        <x:v>Accepted</x:v>
      </x:c>
      <x:c r="X259" s="6" t="str">
        <x:v>Appendix提供了所有活动的完整结构化提示。; shared feature split by model use and operation</x:v>
      </x:c>
    </x:row>
    <x:row r="260" ht="76" customHeight="1">
      <x:c r="A260" s="2" t="str">
        <x:v>S46-FEATURE-R30</x:v>
      </x:c>
      <x:c r="B260" s="2" t="str">
        <x:v>S46</x:v>
      </x:c>
      <x:c r="C260" s="2" t="str">
        <x:v>merged_1293</x:v>
      </x:c>
      <x:c r="D260" s="2" t="str">
        <x:v>Reviewer_A</x:v>
      </x:c>
      <x:c r="E260" s="2" t="str">
        <x:v>Reviewer_A</x:v>
      </x:c>
      <x:c r="F260" s="2" t="str">
        <x:v>S46-CF30</x:v>
      </x:c>
      <x:c r="G260" s="2" t="str">
        <x:v>S46-MU30</x:v>
      </x:c>
      <x:c r="H260" s="2" t="str">
        <x:v>S46-O10</x:v>
      </x:c>
      <x:c r="I260" s="2" t="str">
        <x:v>Prompting</x:v>
      </x:c>
      <x:c r="J260" s="2" t="str">
        <x:v>Structured Prompt Design</x:v>
      </x:c>
      <x:c r="K260" s="2" t="str">
        <x:v>StructuredPrompting</x:v>
      </x:c>
      <x:c r="L260" s="6" t="str">
        <x:v>采用结构化提示模板，包含Prompt ID、Context、Input Data、Prompt和Expected Outcome五个部分，以增强软件制品的可追溯性。</x:v>
      </x:c>
      <x:c r="M260" s="2" t="str">
        <x:v>Yes</x:v>
      </x:c>
      <x:c r="N260" s="2" t="str">
        <x:v>Full prompt reported</x:v>
      </x:c>
      <x:c r="O260" s="2" t="str">
        <x:v>NR</x:v>
      </x:c>
      <x:c r="P260" s="2" t="str">
        <x:v>No</x:v>
      </x:c>
      <x:c r="Q260" s="2" t="str">
        <x:v>No</x:v>
      </x:c>
      <x:c r="R260" s="2" t="str">
        <x:v>No</x:v>
      </x:c>
      <x:c r="S260" s="2" t="str">
        <x:v>NR</x:v>
      </x:c>
      <x:c r="T260" s="6" t="str">
        <x:v>p. 5; Structured Prompt Design section</x:v>
      </x:c>
      <x:c r="U26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0" s="6" t="str">
        <x:v>结构化提示设计是核心配置特征，所有LLM调用均采用此模板以提高可追溯性。</x:v>
      </x:c>
      <x:c r="W260" s="2" t="str">
        <x:v>Accepted</x:v>
      </x:c>
      <x:c r="X260" s="6" t="str">
        <x:v>Appendix提供了所有活动的完整结构化提示。; shared feature split by model use and operation</x:v>
      </x:c>
    </x:row>
    <x:row r="261" ht="76" customHeight="1">
      <x:c r="A261" s="2" t="str">
        <x:v>S46-FEATURE-R31</x:v>
      </x:c>
      <x:c r="B261" s="2" t="str">
        <x:v>S46</x:v>
      </x:c>
      <x:c r="C261" s="2" t="str">
        <x:v>merged_1293</x:v>
      </x:c>
      <x:c r="D261" s="2" t="str">
        <x:v>Reviewer_A</x:v>
      </x:c>
      <x:c r="E261" s="2" t="str">
        <x:v>Reviewer_A</x:v>
      </x:c>
      <x:c r="F261" s="2" t="str">
        <x:v>S46-CF31</x:v>
      </x:c>
      <x:c r="G261" s="2" t="str">
        <x:v>S46-MU31</x:v>
      </x:c>
      <x:c r="H261" s="2" t="str">
        <x:v>S46-O01</x:v>
      </x:c>
      <x:c r="I261" s="2" t="str">
        <x:v>Prompting</x:v>
      </x:c>
      <x:c r="J261" s="2" t="str">
        <x:v>Structured Prompt Design</x:v>
      </x:c>
      <x:c r="K261" s="2" t="str">
        <x:v>StructuredPrompting</x:v>
      </x:c>
      <x:c r="L261" s="6" t="str">
        <x:v>采用结构化提示模板，包含Prompt ID、Context、Input Data、Prompt和Expected Outcome五个部分，以增强软件制品的可追溯性。</x:v>
      </x:c>
      <x:c r="M261" s="2" t="str">
        <x:v>Yes</x:v>
      </x:c>
      <x:c r="N261" s="2" t="str">
        <x:v>Full prompt reported</x:v>
      </x:c>
      <x:c r="O261" s="2" t="str">
        <x:v>NR</x:v>
      </x:c>
      <x:c r="P261" s="2" t="str">
        <x:v>No</x:v>
      </x:c>
      <x:c r="Q261" s="2" t="str">
        <x:v>No</x:v>
      </x:c>
      <x:c r="R261" s="2" t="str">
        <x:v>No</x:v>
      </x:c>
      <x:c r="S261" s="2" t="str">
        <x:v>NR</x:v>
      </x:c>
      <x:c r="T261" s="6" t="str">
        <x:v>p. 5; Structured Prompt Design section</x:v>
      </x:c>
      <x:c r="U26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1" s="6" t="str">
        <x:v>结构化提示设计是核心配置特征，所有LLM调用均采用此模板以提高可追溯性。</x:v>
      </x:c>
      <x:c r="W261" s="2" t="str">
        <x:v>Accepted</x:v>
      </x:c>
      <x:c r="X261" s="6" t="str">
        <x:v>Appendix提供了所有活动的完整结构化提示。; shared feature split by model use and operation</x:v>
      </x:c>
    </x:row>
    <x:row r="262" ht="76" customHeight="1">
      <x:c r="A262" s="2" t="str">
        <x:v>S46-FEATURE-R32</x:v>
      </x:c>
      <x:c r="B262" s="2" t="str">
        <x:v>S46</x:v>
      </x:c>
      <x:c r="C262" s="2" t="str">
        <x:v>merged_1293</x:v>
      </x:c>
      <x:c r="D262" s="2" t="str">
        <x:v>Reviewer_A</x:v>
      </x:c>
      <x:c r="E262" s="2" t="str">
        <x:v>Reviewer_A</x:v>
      </x:c>
      <x:c r="F262" s="2" t="str">
        <x:v>S46-CF32</x:v>
      </x:c>
      <x:c r="G262" s="2" t="str">
        <x:v>S46-MU32</x:v>
      </x:c>
      <x:c r="H262" s="2" t="str">
        <x:v>S46-O02</x:v>
      </x:c>
      <x:c r="I262" s="2" t="str">
        <x:v>Prompting</x:v>
      </x:c>
      <x:c r="J262" s="2" t="str">
        <x:v>Structured Prompt Design</x:v>
      </x:c>
      <x:c r="K262" s="2" t="str">
        <x:v>StructuredPrompting</x:v>
      </x:c>
      <x:c r="L262" s="6" t="str">
        <x:v>采用结构化提示模板，包含Prompt ID、Context、Input Data、Prompt和Expected Outcome五个部分，以增强软件制品的可追溯性。</x:v>
      </x:c>
      <x:c r="M262" s="2" t="str">
        <x:v>Yes</x:v>
      </x:c>
      <x:c r="N262" s="2" t="str">
        <x:v>Full prompt reported</x:v>
      </x:c>
      <x:c r="O262" s="2" t="str">
        <x:v>NR</x:v>
      </x:c>
      <x:c r="P262" s="2" t="str">
        <x:v>No</x:v>
      </x:c>
      <x:c r="Q262" s="2" t="str">
        <x:v>No</x:v>
      </x:c>
      <x:c r="R262" s="2" t="str">
        <x:v>No</x:v>
      </x:c>
      <x:c r="S262" s="2" t="str">
        <x:v>NR</x:v>
      </x:c>
      <x:c r="T262" s="6" t="str">
        <x:v>p. 5; Structured Prompt Design section</x:v>
      </x:c>
      <x:c r="U26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2" s="6" t="str">
        <x:v>结构化提示设计是核心配置特征，所有LLM调用均采用此模板以提高可追溯性。</x:v>
      </x:c>
      <x:c r="W262" s="2" t="str">
        <x:v>Accepted</x:v>
      </x:c>
      <x:c r="X262" s="6" t="str">
        <x:v>Appendix提供了所有活动的完整结构化提示。; shared feature split by model use and operation</x:v>
      </x:c>
    </x:row>
    <x:row r="263" ht="76" customHeight="1">
      <x:c r="A263" s="2" t="str">
        <x:v>S46-FEATURE-R33</x:v>
      </x:c>
      <x:c r="B263" s="2" t="str">
        <x:v>S46</x:v>
      </x:c>
      <x:c r="C263" s="2" t="str">
        <x:v>merged_1293</x:v>
      </x:c>
      <x:c r="D263" s="2" t="str">
        <x:v>Reviewer_A</x:v>
      </x:c>
      <x:c r="E263" s="2" t="str">
        <x:v>Reviewer_A</x:v>
      </x:c>
      <x:c r="F263" s="2" t="str">
        <x:v>S46-CF33</x:v>
      </x:c>
      <x:c r="G263" s="2" t="str">
        <x:v>S46-MU33</x:v>
      </x:c>
      <x:c r="H263" s="2" t="str">
        <x:v>S46-O03</x:v>
      </x:c>
      <x:c r="I263" s="2" t="str">
        <x:v>Prompting</x:v>
      </x:c>
      <x:c r="J263" s="2" t="str">
        <x:v>Structured Prompt Design</x:v>
      </x:c>
      <x:c r="K263" s="2" t="str">
        <x:v>StructuredPrompting</x:v>
      </x:c>
      <x:c r="L263" s="6" t="str">
        <x:v>采用结构化提示模板，包含Prompt ID、Context、Input Data、Prompt和Expected Outcome五个部分，以增强软件制品的可追溯性。</x:v>
      </x:c>
      <x:c r="M263" s="2" t="str">
        <x:v>Yes</x:v>
      </x:c>
      <x:c r="N263" s="2" t="str">
        <x:v>Full prompt reported</x:v>
      </x:c>
      <x:c r="O263" s="2" t="str">
        <x:v>NR</x:v>
      </x:c>
      <x:c r="P263" s="2" t="str">
        <x:v>No</x:v>
      </x:c>
      <x:c r="Q263" s="2" t="str">
        <x:v>No</x:v>
      </x:c>
      <x:c r="R263" s="2" t="str">
        <x:v>No</x:v>
      </x:c>
      <x:c r="S263" s="2" t="str">
        <x:v>NR</x:v>
      </x:c>
      <x:c r="T263" s="6" t="str">
        <x:v>p. 5; Structured Prompt Design section</x:v>
      </x:c>
      <x:c r="U26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3" s="6" t="str">
        <x:v>结构化提示设计是核心配置特征，所有LLM调用均采用此模板以提高可追溯性。</x:v>
      </x:c>
      <x:c r="W263" s="2" t="str">
        <x:v>Accepted</x:v>
      </x:c>
      <x:c r="X263" s="6" t="str">
        <x:v>Appendix提供了所有活动的完整结构化提示。; shared feature split by model use and operation</x:v>
      </x:c>
    </x:row>
    <x:row r="264" ht="76" customHeight="1">
      <x:c r="A264" s="2" t="str">
        <x:v>S46-FEATURE-R34</x:v>
      </x:c>
      <x:c r="B264" s="2" t="str">
        <x:v>S46</x:v>
      </x:c>
      <x:c r="C264" s="2" t="str">
        <x:v>merged_1293</x:v>
      </x:c>
      <x:c r="D264" s="2" t="str">
        <x:v>Reviewer_A</x:v>
      </x:c>
      <x:c r="E264" s="2" t="str">
        <x:v>Reviewer_A</x:v>
      </x:c>
      <x:c r="F264" s="2" t="str">
        <x:v>S46-CF34</x:v>
      </x:c>
      <x:c r="G264" s="2" t="str">
        <x:v>S46-MU34</x:v>
      </x:c>
      <x:c r="H264" s="2" t="str">
        <x:v>S46-O04</x:v>
      </x:c>
      <x:c r="I264" s="2" t="str">
        <x:v>Prompting</x:v>
      </x:c>
      <x:c r="J264" s="2" t="str">
        <x:v>Structured Prompt Design</x:v>
      </x:c>
      <x:c r="K264" s="2" t="str">
        <x:v>StructuredPrompting</x:v>
      </x:c>
      <x:c r="L264" s="6" t="str">
        <x:v>采用结构化提示模板，包含Prompt ID、Context、Input Data、Prompt和Expected Outcome五个部分，以增强软件制品的可追溯性。</x:v>
      </x:c>
      <x:c r="M264" s="2" t="str">
        <x:v>Yes</x:v>
      </x:c>
      <x:c r="N264" s="2" t="str">
        <x:v>Full prompt reported</x:v>
      </x:c>
      <x:c r="O264" s="2" t="str">
        <x:v>NR</x:v>
      </x:c>
      <x:c r="P264" s="2" t="str">
        <x:v>No</x:v>
      </x:c>
      <x:c r="Q264" s="2" t="str">
        <x:v>No</x:v>
      </x:c>
      <x:c r="R264" s="2" t="str">
        <x:v>No</x:v>
      </x:c>
      <x:c r="S264" s="2" t="str">
        <x:v>NR</x:v>
      </x:c>
      <x:c r="T264" s="6" t="str">
        <x:v>p. 5; Structured Prompt Design section</x:v>
      </x:c>
      <x:c r="U26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4" s="6" t="str">
        <x:v>结构化提示设计是核心配置特征，所有LLM调用均采用此模板以提高可追溯性。</x:v>
      </x:c>
      <x:c r="W264" s="2" t="str">
        <x:v>Accepted</x:v>
      </x:c>
      <x:c r="X264" s="6" t="str">
        <x:v>Appendix提供了所有活动的完整结构化提示。; shared feature split by model use and operation</x:v>
      </x:c>
    </x:row>
    <x:row r="265" ht="76" customHeight="1">
      <x:c r="A265" s="2" t="str">
        <x:v>S46-FEATURE-R35</x:v>
      </x:c>
      <x:c r="B265" s="2" t="str">
        <x:v>S46</x:v>
      </x:c>
      <x:c r="C265" s="2" t="str">
        <x:v>merged_1293</x:v>
      </x:c>
      <x:c r="D265" s="2" t="str">
        <x:v>Reviewer_A</x:v>
      </x:c>
      <x:c r="E265" s="2" t="str">
        <x:v>Reviewer_A</x:v>
      </x:c>
      <x:c r="F265" s="2" t="str">
        <x:v>S46-CF35</x:v>
      </x:c>
      <x:c r="G265" s="2" t="str">
        <x:v>S46-MU35</x:v>
      </x:c>
      <x:c r="H265" s="2" t="str">
        <x:v>S46-O05</x:v>
      </x:c>
      <x:c r="I265" s="2" t="str">
        <x:v>Prompting</x:v>
      </x:c>
      <x:c r="J265" s="2" t="str">
        <x:v>Structured Prompt Design</x:v>
      </x:c>
      <x:c r="K265" s="2" t="str">
        <x:v>StructuredPrompting</x:v>
      </x:c>
      <x:c r="L265" s="6" t="str">
        <x:v>采用结构化提示模板，包含Prompt ID、Context、Input Data、Prompt和Expected Outcome五个部分，以增强软件制品的可追溯性。</x:v>
      </x:c>
      <x:c r="M265" s="2" t="str">
        <x:v>Yes</x:v>
      </x:c>
      <x:c r="N265" s="2" t="str">
        <x:v>Full prompt reported</x:v>
      </x:c>
      <x:c r="O265" s="2" t="str">
        <x:v>NR</x:v>
      </x:c>
      <x:c r="P265" s="2" t="str">
        <x:v>No</x:v>
      </x:c>
      <x:c r="Q265" s="2" t="str">
        <x:v>No</x:v>
      </x:c>
      <x:c r="R265" s="2" t="str">
        <x:v>No</x:v>
      </x:c>
      <x:c r="S265" s="2" t="str">
        <x:v>NR</x:v>
      </x:c>
      <x:c r="T265" s="6" t="str">
        <x:v>p. 5; Structured Prompt Design section</x:v>
      </x:c>
      <x:c r="U26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5" s="6" t="str">
        <x:v>结构化提示设计是核心配置特征，所有LLM调用均采用此模板以提高可追溯性。</x:v>
      </x:c>
      <x:c r="W265" s="2" t="str">
        <x:v>Accepted</x:v>
      </x:c>
      <x:c r="X265" s="6" t="str">
        <x:v>Appendix提供了所有活动的完整结构化提示。; shared feature split by model use and operation</x:v>
      </x:c>
    </x:row>
    <x:row r="266" ht="76" customHeight="1">
      <x:c r="A266" s="2" t="str">
        <x:v>S46-FEATURE-R36</x:v>
      </x:c>
      <x:c r="B266" s="2" t="str">
        <x:v>S46</x:v>
      </x:c>
      <x:c r="C266" s="2" t="str">
        <x:v>merged_1293</x:v>
      </x:c>
      <x:c r="D266" s="2" t="str">
        <x:v>Reviewer_A</x:v>
      </x:c>
      <x:c r="E266" s="2" t="str">
        <x:v>Reviewer_A</x:v>
      </x:c>
      <x:c r="F266" s="2" t="str">
        <x:v>S46-CF36</x:v>
      </x:c>
      <x:c r="G266" s="2" t="str">
        <x:v>S46-MU36</x:v>
      </x:c>
      <x:c r="H266" s="2" t="str">
        <x:v>S46-O06</x:v>
      </x:c>
      <x:c r="I266" s="2" t="str">
        <x:v>Prompting</x:v>
      </x:c>
      <x:c r="J266" s="2" t="str">
        <x:v>Structured Prompt Design</x:v>
      </x:c>
      <x:c r="K266" s="2" t="str">
        <x:v>StructuredPrompting</x:v>
      </x:c>
      <x:c r="L266" s="6" t="str">
        <x:v>采用结构化提示模板，包含Prompt ID、Context、Input Data、Prompt和Expected Outcome五个部分，以增强软件制品的可追溯性。</x:v>
      </x:c>
      <x:c r="M266" s="2" t="str">
        <x:v>Yes</x:v>
      </x:c>
      <x:c r="N266" s="2" t="str">
        <x:v>Full prompt reported</x:v>
      </x:c>
      <x:c r="O266" s="2" t="str">
        <x:v>NR</x:v>
      </x:c>
      <x:c r="P266" s="2" t="str">
        <x:v>No</x:v>
      </x:c>
      <x:c r="Q266" s="2" t="str">
        <x:v>No</x:v>
      </x:c>
      <x:c r="R266" s="2" t="str">
        <x:v>No</x:v>
      </x:c>
      <x:c r="S266" s="2" t="str">
        <x:v>NR</x:v>
      </x:c>
      <x:c r="T266" s="6" t="str">
        <x:v>p. 5; Structured Prompt Design section</x:v>
      </x:c>
      <x:c r="U26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6" s="6" t="str">
        <x:v>结构化提示设计是核心配置特征，所有LLM调用均采用此模板以提高可追溯性。</x:v>
      </x:c>
      <x:c r="W266" s="2" t="str">
        <x:v>Accepted</x:v>
      </x:c>
      <x:c r="X266" s="6" t="str">
        <x:v>Appendix提供了所有活动的完整结构化提示。; shared feature split by model use and operation</x:v>
      </x:c>
    </x:row>
    <x:row r="267" ht="76" customHeight="1">
      <x:c r="A267" s="2" t="str">
        <x:v>S46-FEATURE-R37</x:v>
      </x:c>
      <x:c r="B267" s="2" t="str">
        <x:v>S46</x:v>
      </x:c>
      <x:c r="C267" s="2" t="str">
        <x:v>merged_1293</x:v>
      </x:c>
      <x:c r="D267" s="2" t="str">
        <x:v>Reviewer_A</x:v>
      </x:c>
      <x:c r="E267" s="2" t="str">
        <x:v>Reviewer_A</x:v>
      </x:c>
      <x:c r="F267" s="2" t="str">
        <x:v>S46-CF37</x:v>
      </x:c>
      <x:c r="G267" s="2" t="str">
        <x:v>S46-MU37</x:v>
      </x:c>
      <x:c r="H267" s="2" t="str">
        <x:v>S46-O07</x:v>
      </x:c>
      <x:c r="I267" s="2" t="str">
        <x:v>Prompting</x:v>
      </x:c>
      <x:c r="J267" s="2" t="str">
        <x:v>Structured Prompt Design</x:v>
      </x:c>
      <x:c r="K267" s="2" t="str">
        <x:v>StructuredPrompting</x:v>
      </x:c>
      <x:c r="L267" s="6" t="str">
        <x:v>采用结构化提示模板，包含Prompt ID、Context、Input Data、Prompt和Expected Outcome五个部分，以增强软件制品的可追溯性。</x:v>
      </x:c>
      <x:c r="M267" s="2" t="str">
        <x:v>Yes</x:v>
      </x:c>
      <x:c r="N267" s="2" t="str">
        <x:v>Full prompt reported</x:v>
      </x:c>
      <x:c r="O267" s="2" t="str">
        <x:v>NR</x:v>
      </x:c>
      <x:c r="P267" s="2" t="str">
        <x:v>No</x:v>
      </x:c>
      <x:c r="Q267" s="2" t="str">
        <x:v>No</x:v>
      </x:c>
      <x:c r="R267" s="2" t="str">
        <x:v>No</x:v>
      </x:c>
      <x:c r="S267" s="2" t="str">
        <x:v>NR</x:v>
      </x:c>
      <x:c r="T267" s="6" t="str">
        <x:v>p. 5; Structured Prompt Design section</x:v>
      </x:c>
      <x:c r="U26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7" s="6" t="str">
        <x:v>结构化提示设计是核心配置特征，所有LLM调用均采用此模板以提高可追溯性。</x:v>
      </x:c>
      <x:c r="W267" s="2" t="str">
        <x:v>Accepted</x:v>
      </x:c>
      <x:c r="X267" s="6" t="str">
        <x:v>Appendix提供了所有活动的完整结构化提示。; shared feature split by model use and operation</x:v>
      </x:c>
    </x:row>
    <x:row r="268" ht="76" customHeight="1">
      <x:c r="A268" s="2" t="str">
        <x:v>S46-FEATURE-R38</x:v>
      </x:c>
      <x:c r="B268" s="2" t="str">
        <x:v>S46</x:v>
      </x:c>
      <x:c r="C268" s="2" t="str">
        <x:v>merged_1293</x:v>
      </x:c>
      <x:c r="D268" s="2" t="str">
        <x:v>Reviewer_A</x:v>
      </x:c>
      <x:c r="E268" s="2" t="str">
        <x:v>Reviewer_A</x:v>
      </x:c>
      <x:c r="F268" s="2" t="str">
        <x:v>S46-CF38</x:v>
      </x:c>
      <x:c r="G268" s="2" t="str">
        <x:v>S46-MU38</x:v>
      </x:c>
      <x:c r="H268" s="2" t="str">
        <x:v>S46-O08</x:v>
      </x:c>
      <x:c r="I268" s="2" t="str">
        <x:v>Prompting</x:v>
      </x:c>
      <x:c r="J268" s="2" t="str">
        <x:v>Structured Prompt Design</x:v>
      </x:c>
      <x:c r="K268" s="2" t="str">
        <x:v>StructuredPrompting</x:v>
      </x:c>
      <x:c r="L268" s="6" t="str">
        <x:v>采用结构化提示模板，包含Prompt ID、Context、Input Data、Prompt和Expected Outcome五个部分，以增强软件制品的可追溯性。</x:v>
      </x:c>
      <x:c r="M268" s="2" t="str">
        <x:v>Yes</x:v>
      </x:c>
      <x:c r="N268" s="2" t="str">
        <x:v>Full prompt reported</x:v>
      </x:c>
      <x:c r="O268" s="2" t="str">
        <x:v>NR</x:v>
      </x:c>
      <x:c r="P268" s="2" t="str">
        <x:v>No</x:v>
      </x:c>
      <x:c r="Q268" s="2" t="str">
        <x:v>No</x:v>
      </x:c>
      <x:c r="R268" s="2" t="str">
        <x:v>No</x:v>
      </x:c>
      <x:c r="S268" s="2" t="str">
        <x:v>NR</x:v>
      </x:c>
      <x:c r="T268" s="6" t="str">
        <x:v>p. 5; Structured Prompt Design section</x:v>
      </x:c>
      <x:c r="U26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8" s="6" t="str">
        <x:v>结构化提示设计是核心配置特征，所有LLM调用均采用此模板以提高可追溯性。</x:v>
      </x:c>
      <x:c r="W268" s="2" t="str">
        <x:v>Accepted</x:v>
      </x:c>
      <x:c r="X268" s="6" t="str">
        <x:v>Appendix提供了所有活动的完整结构化提示。; shared feature split by model use and operation</x:v>
      </x:c>
    </x:row>
    <x:row r="269" ht="76" customHeight="1">
      <x:c r="A269" s="2" t="str">
        <x:v>S46-FEATURE-R39</x:v>
      </x:c>
      <x:c r="B269" s="2" t="str">
        <x:v>S46</x:v>
      </x:c>
      <x:c r="C269" s="2" t="str">
        <x:v>merged_1293</x:v>
      </x:c>
      <x:c r="D269" s="2" t="str">
        <x:v>Reviewer_A</x:v>
      </x:c>
      <x:c r="E269" s="2" t="str">
        <x:v>Reviewer_A</x:v>
      </x:c>
      <x:c r="F269" s="2" t="str">
        <x:v>S46-CF39</x:v>
      </x:c>
      <x:c r="G269" s="2" t="str">
        <x:v>S46-MU39</x:v>
      </x:c>
      <x:c r="H269" s="2" t="str">
        <x:v>S46-O09</x:v>
      </x:c>
      <x:c r="I269" s="2" t="str">
        <x:v>Prompting</x:v>
      </x:c>
      <x:c r="J269" s="2" t="str">
        <x:v>Structured Prompt Design</x:v>
      </x:c>
      <x:c r="K269" s="2" t="str">
        <x:v>StructuredPrompting</x:v>
      </x:c>
      <x:c r="L269" s="6" t="str">
        <x:v>采用结构化提示模板，包含Prompt ID、Context、Input Data、Prompt和Expected Outcome五个部分，以增强软件制品的可追溯性。</x:v>
      </x:c>
      <x:c r="M269" s="2" t="str">
        <x:v>Yes</x:v>
      </x:c>
      <x:c r="N269" s="2" t="str">
        <x:v>Full prompt reported</x:v>
      </x:c>
      <x:c r="O269" s="2" t="str">
        <x:v>NR</x:v>
      </x:c>
      <x:c r="P269" s="2" t="str">
        <x:v>No</x:v>
      </x:c>
      <x:c r="Q269" s="2" t="str">
        <x:v>No</x:v>
      </x:c>
      <x:c r="R269" s="2" t="str">
        <x:v>No</x:v>
      </x:c>
      <x:c r="S269" s="2" t="str">
        <x:v>NR</x:v>
      </x:c>
      <x:c r="T269" s="6" t="str">
        <x:v>p. 5; Structured Prompt Design section</x:v>
      </x:c>
      <x:c r="U26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69" s="6" t="str">
        <x:v>结构化提示设计是核心配置特征，所有LLM调用均采用此模板以提高可追溯性。</x:v>
      </x:c>
      <x:c r="W269" s="2" t="str">
        <x:v>Accepted</x:v>
      </x:c>
      <x:c r="X269" s="6" t="str">
        <x:v>Appendix提供了所有活动的完整结构化提示。; shared feature split by model use and operation</x:v>
      </x:c>
    </x:row>
    <x:row r="270" ht="76" customHeight="1">
      <x:c r="A270" s="2" t="str">
        <x:v>S46-FEATURE-R40</x:v>
      </x:c>
      <x:c r="B270" s="2" t="str">
        <x:v>S46</x:v>
      </x:c>
      <x:c r="C270" s="2" t="str">
        <x:v>merged_1293</x:v>
      </x:c>
      <x:c r="D270" s="2" t="str">
        <x:v>Reviewer_A</x:v>
      </x:c>
      <x:c r="E270" s="2" t="str">
        <x:v>Reviewer_A</x:v>
      </x:c>
      <x:c r="F270" s="2" t="str">
        <x:v>S46-CF40</x:v>
      </x:c>
      <x:c r="G270" s="2" t="str">
        <x:v>S46-MU40</x:v>
      </x:c>
      <x:c r="H270" s="2" t="str">
        <x:v>S46-O10</x:v>
      </x:c>
      <x:c r="I270" s="2" t="str">
        <x:v>Prompting</x:v>
      </x:c>
      <x:c r="J270" s="2" t="str">
        <x:v>Structured Prompt Design</x:v>
      </x:c>
      <x:c r="K270" s="2" t="str">
        <x:v>StructuredPrompting</x:v>
      </x:c>
      <x:c r="L270" s="6" t="str">
        <x:v>采用结构化提示模板，包含Prompt ID、Context、Input Data、Prompt和Expected Outcome五个部分，以增强软件制品的可追溯性。</x:v>
      </x:c>
      <x:c r="M270" s="2" t="str">
        <x:v>Yes</x:v>
      </x:c>
      <x:c r="N270" s="2" t="str">
        <x:v>Full prompt reported</x:v>
      </x:c>
      <x:c r="O270" s="2" t="str">
        <x:v>NR</x:v>
      </x:c>
      <x:c r="P270" s="2" t="str">
        <x:v>No</x:v>
      </x:c>
      <x:c r="Q270" s="2" t="str">
        <x:v>No</x:v>
      </x:c>
      <x:c r="R270" s="2" t="str">
        <x:v>No</x:v>
      </x:c>
      <x:c r="S270" s="2" t="str">
        <x:v>NR</x:v>
      </x:c>
      <x:c r="T270" s="6" t="str">
        <x:v>p. 5; Structured Prompt Design section</x:v>
      </x:c>
      <x:c r="U27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0" s="6" t="str">
        <x:v>结构化提示设计是核心配置特征，所有LLM调用均采用此模板以提高可追溯性。</x:v>
      </x:c>
      <x:c r="W270" s="2" t="str">
        <x:v>Accepted</x:v>
      </x:c>
      <x:c r="X270" s="6" t="str">
        <x:v>Appendix提供了所有活动的完整结构化提示。; shared feature split by model use and operation</x:v>
      </x:c>
    </x:row>
    <x:row r="271" ht="76" customHeight="1">
      <x:c r="A271" s="2" t="str">
        <x:v>S46-FEATURE-R41</x:v>
      </x:c>
      <x:c r="B271" s="2" t="str">
        <x:v>S46</x:v>
      </x:c>
      <x:c r="C271" s="2" t="str">
        <x:v>merged_1293</x:v>
      </x:c>
      <x:c r="D271" s="2" t="str">
        <x:v>Reviewer_A</x:v>
      </x:c>
      <x:c r="E271" s="2" t="str">
        <x:v>Reviewer_A</x:v>
      </x:c>
      <x:c r="F271" s="2" t="str">
        <x:v>S46-CF41</x:v>
      </x:c>
      <x:c r="G271" s="2" t="str">
        <x:v>S46-MU41</x:v>
      </x:c>
      <x:c r="H271" s="2" t="str">
        <x:v>S46-O01</x:v>
      </x:c>
      <x:c r="I271" s="2" t="str">
        <x:v>Prompting</x:v>
      </x:c>
      <x:c r="J271" s="2" t="str">
        <x:v>Structured Prompt Design</x:v>
      </x:c>
      <x:c r="K271" s="2" t="str">
        <x:v>StructuredPrompting</x:v>
      </x:c>
      <x:c r="L271" s="6" t="str">
        <x:v>采用结构化提示模板，包含Prompt ID、Context、Input Data、Prompt和Expected Outcome五个部分，以增强软件制品的可追溯性。</x:v>
      </x:c>
      <x:c r="M271" s="2" t="str">
        <x:v>Yes</x:v>
      </x:c>
      <x:c r="N271" s="2" t="str">
        <x:v>Full prompt reported</x:v>
      </x:c>
      <x:c r="O271" s="2" t="str">
        <x:v>NR</x:v>
      </x:c>
      <x:c r="P271" s="2" t="str">
        <x:v>No</x:v>
      </x:c>
      <x:c r="Q271" s="2" t="str">
        <x:v>No</x:v>
      </x:c>
      <x:c r="R271" s="2" t="str">
        <x:v>No</x:v>
      </x:c>
      <x:c r="S271" s="2" t="str">
        <x:v>NR</x:v>
      </x:c>
      <x:c r="T271" s="6" t="str">
        <x:v>p. 5; Structured Prompt Design section</x:v>
      </x:c>
      <x:c r="U271"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1" s="6" t="str">
        <x:v>结构化提示设计是核心配置特征，所有LLM调用均采用此模板以提高可追溯性。</x:v>
      </x:c>
      <x:c r="W271" s="2" t="str">
        <x:v>Accepted</x:v>
      </x:c>
      <x:c r="X271" s="6" t="str">
        <x:v>Appendix提供了所有活动的完整结构化提示。; shared feature split by model use and operation</x:v>
      </x:c>
    </x:row>
    <x:row r="272" ht="76" customHeight="1">
      <x:c r="A272" s="2" t="str">
        <x:v>S46-FEATURE-R42</x:v>
      </x:c>
      <x:c r="B272" s="2" t="str">
        <x:v>S46</x:v>
      </x:c>
      <x:c r="C272" s="2" t="str">
        <x:v>merged_1293</x:v>
      </x:c>
      <x:c r="D272" s="2" t="str">
        <x:v>Reviewer_A</x:v>
      </x:c>
      <x:c r="E272" s="2" t="str">
        <x:v>Reviewer_A</x:v>
      </x:c>
      <x:c r="F272" s="2" t="str">
        <x:v>S46-CF42</x:v>
      </x:c>
      <x:c r="G272" s="2" t="str">
        <x:v>S46-MU42</x:v>
      </x:c>
      <x:c r="H272" s="2" t="str">
        <x:v>S46-O02</x:v>
      </x:c>
      <x:c r="I272" s="2" t="str">
        <x:v>Prompting</x:v>
      </x:c>
      <x:c r="J272" s="2" t="str">
        <x:v>Structured Prompt Design</x:v>
      </x:c>
      <x:c r="K272" s="2" t="str">
        <x:v>StructuredPrompting</x:v>
      </x:c>
      <x:c r="L272" s="6" t="str">
        <x:v>采用结构化提示模板，包含Prompt ID、Context、Input Data、Prompt和Expected Outcome五个部分，以增强软件制品的可追溯性。</x:v>
      </x:c>
      <x:c r="M272" s="2" t="str">
        <x:v>Yes</x:v>
      </x:c>
      <x:c r="N272" s="2" t="str">
        <x:v>Full prompt reported</x:v>
      </x:c>
      <x:c r="O272" s="2" t="str">
        <x:v>NR</x:v>
      </x:c>
      <x:c r="P272" s="2" t="str">
        <x:v>No</x:v>
      </x:c>
      <x:c r="Q272" s="2" t="str">
        <x:v>No</x:v>
      </x:c>
      <x:c r="R272" s="2" t="str">
        <x:v>No</x:v>
      </x:c>
      <x:c r="S272" s="2" t="str">
        <x:v>NR</x:v>
      </x:c>
      <x:c r="T272" s="6" t="str">
        <x:v>p. 5; Structured Prompt Design section</x:v>
      </x:c>
      <x:c r="U272"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2" s="6" t="str">
        <x:v>结构化提示设计是核心配置特征，所有LLM调用均采用此模板以提高可追溯性。</x:v>
      </x:c>
      <x:c r="W272" s="2" t="str">
        <x:v>Accepted</x:v>
      </x:c>
      <x:c r="X272" s="6" t="str">
        <x:v>Appendix提供了所有活动的完整结构化提示。; shared feature split by model use and operation</x:v>
      </x:c>
    </x:row>
    <x:row r="273" ht="76" customHeight="1">
      <x:c r="A273" s="2" t="str">
        <x:v>S46-FEATURE-R43</x:v>
      </x:c>
      <x:c r="B273" s="2" t="str">
        <x:v>S46</x:v>
      </x:c>
      <x:c r="C273" s="2" t="str">
        <x:v>merged_1293</x:v>
      </x:c>
      <x:c r="D273" s="2" t="str">
        <x:v>Reviewer_A</x:v>
      </x:c>
      <x:c r="E273" s="2" t="str">
        <x:v>Reviewer_A</x:v>
      </x:c>
      <x:c r="F273" s="2" t="str">
        <x:v>S46-CF43</x:v>
      </x:c>
      <x:c r="G273" s="2" t="str">
        <x:v>S46-MU43</x:v>
      </x:c>
      <x:c r="H273" s="2" t="str">
        <x:v>S46-O03</x:v>
      </x:c>
      <x:c r="I273" s="2" t="str">
        <x:v>Prompting</x:v>
      </x:c>
      <x:c r="J273" s="2" t="str">
        <x:v>Structured Prompt Design</x:v>
      </x:c>
      <x:c r="K273" s="2" t="str">
        <x:v>StructuredPrompting</x:v>
      </x:c>
      <x:c r="L273" s="6" t="str">
        <x:v>采用结构化提示模板，包含Prompt ID、Context、Input Data、Prompt和Expected Outcome五个部分，以增强软件制品的可追溯性。</x:v>
      </x:c>
      <x:c r="M273" s="2" t="str">
        <x:v>Yes</x:v>
      </x:c>
      <x:c r="N273" s="2" t="str">
        <x:v>Full prompt reported</x:v>
      </x:c>
      <x:c r="O273" s="2" t="str">
        <x:v>NR</x:v>
      </x:c>
      <x:c r="P273" s="2" t="str">
        <x:v>No</x:v>
      </x:c>
      <x:c r="Q273" s="2" t="str">
        <x:v>No</x:v>
      </x:c>
      <x:c r="R273" s="2" t="str">
        <x:v>No</x:v>
      </x:c>
      <x:c r="S273" s="2" t="str">
        <x:v>NR</x:v>
      </x:c>
      <x:c r="T273" s="6" t="str">
        <x:v>p. 5; Structured Prompt Design section</x:v>
      </x:c>
      <x:c r="U273"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3" s="6" t="str">
        <x:v>结构化提示设计是核心配置特征，所有LLM调用均采用此模板以提高可追溯性。</x:v>
      </x:c>
      <x:c r="W273" s="2" t="str">
        <x:v>Accepted</x:v>
      </x:c>
      <x:c r="X273" s="6" t="str">
        <x:v>Appendix提供了所有活动的完整结构化提示。; shared feature split by model use and operation</x:v>
      </x:c>
    </x:row>
    <x:row r="274" ht="76" customHeight="1">
      <x:c r="A274" s="2" t="str">
        <x:v>S46-FEATURE-R44</x:v>
      </x:c>
      <x:c r="B274" s="2" t="str">
        <x:v>S46</x:v>
      </x:c>
      <x:c r="C274" s="2" t="str">
        <x:v>merged_1293</x:v>
      </x:c>
      <x:c r="D274" s="2" t="str">
        <x:v>Reviewer_A</x:v>
      </x:c>
      <x:c r="E274" s="2" t="str">
        <x:v>Reviewer_A</x:v>
      </x:c>
      <x:c r="F274" s="2" t="str">
        <x:v>S46-CF44</x:v>
      </x:c>
      <x:c r="G274" s="2" t="str">
        <x:v>S46-MU44</x:v>
      </x:c>
      <x:c r="H274" s="2" t="str">
        <x:v>S46-O04</x:v>
      </x:c>
      <x:c r="I274" s="2" t="str">
        <x:v>Prompting</x:v>
      </x:c>
      <x:c r="J274" s="2" t="str">
        <x:v>Structured Prompt Design</x:v>
      </x:c>
      <x:c r="K274" s="2" t="str">
        <x:v>StructuredPrompting</x:v>
      </x:c>
      <x:c r="L274" s="6" t="str">
        <x:v>采用结构化提示模板，包含Prompt ID、Context、Input Data、Prompt和Expected Outcome五个部分，以增强软件制品的可追溯性。</x:v>
      </x:c>
      <x:c r="M274" s="2" t="str">
        <x:v>Yes</x:v>
      </x:c>
      <x:c r="N274" s="2" t="str">
        <x:v>Full prompt reported</x:v>
      </x:c>
      <x:c r="O274" s="2" t="str">
        <x:v>NR</x:v>
      </x:c>
      <x:c r="P274" s="2" t="str">
        <x:v>No</x:v>
      </x:c>
      <x:c r="Q274" s="2" t="str">
        <x:v>No</x:v>
      </x:c>
      <x:c r="R274" s="2" t="str">
        <x:v>No</x:v>
      </x:c>
      <x:c r="S274" s="2" t="str">
        <x:v>NR</x:v>
      </x:c>
      <x:c r="T274" s="6" t="str">
        <x:v>p. 5; Structured Prompt Design section</x:v>
      </x:c>
      <x:c r="U274"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4" s="6" t="str">
        <x:v>结构化提示设计是核心配置特征，所有LLM调用均采用此模板以提高可追溯性。</x:v>
      </x:c>
      <x:c r="W274" s="2" t="str">
        <x:v>Accepted</x:v>
      </x:c>
      <x:c r="X274" s="6" t="str">
        <x:v>Appendix提供了所有活动的完整结构化提示。; shared feature split by model use and operation</x:v>
      </x:c>
    </x:row>
    <x:row r="275" ht="76" customHeight="1">
      <x:c r="A275" s="2" t="str">
        <x:v>S46-FEATURE-R45</x:v>
      </x:c>
      <x:c r="B275" s="2" t="str">
        <x:v>S46</x:v>
      </x:c>
      <x:c r="C275" s="2" t="str">
        <x:v>merged_1293</x:v>
      </x:c>
      <x:c r="D275" s="2" t="str">
        <x:v>Reviewer_A</x:v>
      </x:c>
      <x:c r="E275" s="2" t="str">
        <x:v>Reviewer_A</x:v>
      </x:c>
      <x:c r="F275" s="2" t="str">
        <x:v>S46-CF45</x:v>
      </x:c>
      <x:c r="G275" s="2" t="str">
        <x:v>S46-MU45</x:v>
      </x:c>
      <x:c r="H275" s="2" t="str">
        <x:v>S46-O05</x:v>
      </x:c>
      <x:c r="I275" s="2" t="str">
        <x:v>Prompting</x:v>
      </x:c>
      <x:c r="J275" s="2" t="str">
        <x:v>Structured Prompt Design</x:v>
      </x:c>
      <x:c r="K275" s="2" t="str">
        <x:v>StructuredPrompting</x:v>
      </x:c>
      <x:c r="L275" s="6" t="str">
        <x:v>采用结构化提示模板，包含Prompt ID、Context、Input Data、Prompt和Expected Outcome五个部分，以增强软件制品的可追溯性。</x:v>
      </x:c>
      <x:c r="M275" s="2" t="str">
        <x:v>Yes</x:v>
      </x:c>
      <x:c r="N275" s="2" t="str">
        <x:v>Full prompt reported</x:v>
      </x:c>
      <x:c r="O275" s="2" t="str">
        <x:v>NR</x:v>
      </x:c>
      <x:c r="P275" s="2" t="str">
        <x:v>No</x:v>
      </x:c>
      <x:c r="Q275" s="2" t="str">
        <x:v>No</x:v>
      </x:c>
      <x:c r="R275" s="2" t="str">
        <x:v>No</x:v>
      </x:c>
      <x:c r="S275" s="2" t="str">
        <x:v>NR</x:v>
      </x:c>
      <x:c r="T275" s="6" t="str">
        <x:v>p. 5; Structured Prompt Design section</x:v>
      </x:c>
      <x:c r="U275"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5" s="6" t="str">
        <x:v>结构化提示设计是核心配置特征，所有LLM调用均采用此模板以提高可追溯性。</x:v>
      </x:c>
      <x:c r="W275" s="2" t="str">
        <x:v>Accepted</x:v>
      </x:c>
      <x:c r="X275" s="6" t="str">
        <x:v>Appendix提供了所有活动的完整结构化提示。; shared feature split by model use and operation</x:v>
      </x:c>
    </x:row>
    <x:row r="276" ht="76" customHeight="1">
      <x:c r="A276" s="2" t="str">
        <x:v>S46-FEATURE-R46</x:v>
      </x:c>
      <x:c r="B276" s="2" t="str">
        <x:v>S46</x:v>
      </x:c>
      <x:c r="C276" s="2" t="str">
        <x:v>merged_1293</x:v>
      </x:c>
      <x:c r="D276" s="2" t="str">
        <x:v>Reviewer_A</x:v>
      </x:c>
      <x:c r="E276" s="2" t="str">
        <x:v>Reviewer_A</x:v>
      </x:c>
      <x:c r="F276" s="2" t="str">
        <x:v>S46-CF46</x:v>
      </x:c>
      <x:c r="G276" s="2" t="str">
        <x:v>S46-MU46</x:v>
      </x:c>
      <x:c r="H276" s="2" t="str">
        <x:v>S46-O06</x:v>
      </x:c>
      <x:c r="I276" s="2" t="str">
        <x:v>Prompting</x:v>
      </x:c>
      <x:c r="J276" s="2" t="str">
        <x:v>Structured Prompt Design</x:v>
      </x:c>
      <x:c r="K276" s="2" t="str">
        <x:v>StructuredPrompting</x:v>
      </x:c>
      <x:c r="L276" s="6" t="str">
        <x:v>采用结构化提示模板，包含Prompt ID、Context、Input Data、Prompt和Expected Outcome五个部分，以增强软件制品的可追溯性。</x:v>
      </x:c>
      <x:c r="M276" s="2" t="str">
        <x:v>Yes</x:v>
      </x:c>
      <x:c r="N276" s="2" t="str">
        <x:v>Full prompt reported</x:v>
      </x:c>
      <x:c r="O276" s="2" t="str">
        <x:v>NR</x:v>
      </x:c>
      <x:c r="P276" s="2" t="str">
        <x:v>No</x:v>
      </x:c>
      <x:c r="Q276" s="2" t="str">
        <x:v>No</x:v>
      </x:c>
      <x:c r="R276" s="2" t="str">
        <x:v>No</x:v>
      </x:c>
      <x:c r="S276" s="2" t="str">
        <x:v>NR</x:v>
      </x:c>
      <x:c r="T276" s="6" t="str">
        <x:v>p. 5; Structured Prompt Design section</x:v>
      </x:c>
      <x:c r="U276"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6" s="6" t="str">
        <x:v>结构化提示设计是核心配置特征，所有LLM调用均采用此模板以提高可追溯性。</x:v>
      </x:c>
      <x:c r="W276" s="2" t="str">
        <x:v>Accepted</x:v>
      </x:c>
      <x:c r="X276" s="6" t="str">
        <x:v>Appendix提供了所有活动的完整结构化提示。; shared feature split by model use and operation</x:v>
      </x:c>
    </x:row>
    <x:row r="277" ht="76" customHeight="1">
      <x:c r="A277" s="2" t="str">
        <x:v>S46-FEATURE-R47</x:v>
      </x:c>
      <x:c r="B277" s="2" t="str">
        <x:v>S46</x:v>
      </x:c>
      <x:c r="C277" s="2" t="str">
        <x:v>merged_1293</x:v>
      </x:c>
      <x:c r="D277" s="2" t="str">
        <x:v>Reviewer_A</x:v>
      </x:c>
      <x:c r="E277" s="2" t="str">
        <x:v>Reviewer_A</x:v>
      </x:c>
      <x:c r="F277" s="2" t="str">
        <x:v>S46-CF47</x:v>
      </x:c>
      <x:c r="G277" s="2" t="str">
        <x:v>S46-MU47</x:v>
      </x:c>
      <x:c r="H277" s="2" t="str">
        <x:v>S46-O07</x:v>
      </x:c>
      <x:c r="I277" s="2" t="str">
        <x:v>Prompting</x:v>
      </x:c>
      <x:c r="J277" s="2" t="str">
        <x:v>Structured Prompt Design</x:v>
      </x:c>
      <x:c r="K277" s="2" t="str">
        <x:v>StructuredPrompting</x:v>
      </x:c>
      <x:c r="L277" s="6" t="str">
        <x:v>采用结构化提示模板，包含Prompt ID、Context、Input Data、Prompt和Expected Outcome五个部分，以增强软件制品的可追溯性。</x:v>
      </x:c>
      <x:c r="M277" s="2" t="str">
        <x:v>Yes</x:v>
      </x:c>
      <x:c r="N277" s="2" t="str">
        <x:v>Full prompt reported</x:v>
      </x:c>
      <x:c r="O277" s="2" t="str">
        <x:v>NR</x:v>
      </x:c>
      <x:c r="P277" s="2" t="str">
        <x:v>No</x:v>
      </x:c>
      <x:c r="Q277" s="2" t="str">
        <x:v>No</x:v>
      </x:c>
      <x:c r="R277" s="2" t="str">
        <x:v>No</x:v>
      </x:c>
      <x:c r="S277" s="2" t="str">
        <x:v>NR</x:v>
      </x:c>
      <x:c r="T277" s="6" t="str">
        <x:v>p. 5; Structured Prompt Design section</x:v>
      </x:c>
      <x:c r="U277"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7" s="6" t="str">
        <x:v>结构化提示设计是核心配置特征，所有LLM调用均采用此模板以提高可追溯性。</x:v>
      </x:c>
      <x:c r="W277" s="2" t="str">
        <x:v>Accepted</x:v>
      </x:c>
      <x:c r="X277" s="6" t="str">
        <x:v>Appendix提供了所有活动的完整结构化提示。; shared feature split by model use and operation</x:v>
      </x:c>
    </x:row>
    <x:row r="278" ht="76" customHeight="1">
      <x:c r="A278" s="2" t="str">
        <x:v>S46-FEATURE-R48</x:v>
      </x:c>
      <x:c r="B278" s="2" t="str">
        <x:v>S46</x:v>
      </x:c>
      <x:c r="C278" s="2" t="str">
        <x:v>merged_1293</x:v>
      </x:c>
      <x:c r="D278" s="2" t="str">
        <x:v>Reviewer_A</x:v>
      </x:c>
      <x:c r="E278" s="2" t="str">
        <x:v>Reviewer_A</x:v>
      </x:c>
      <x:c r="F278" s="2" t="str">
        <x:v>S46-CF48</x:v>
      </x:c>
      <x:c r="G278" s="2" t="str">
        <x:v>S46-MU48</x:v>
      </x:c>
      <x:c r="H278" s="2" t="str">
        <x:v>S46-O08</x:v>
      </x:c>
      <x:c r="I278" s="2" t="str">
        <x:v>Prompting</x:v>
      </x:c>
      <x:c r="J278" s="2" t="str">
        <x:v>Structured Prompt Design</x:v>
      </x:c>
      <x:c r="K278" s="2" t="str">
        <x:v>StructuredPrompting</x:v>
      </x:c>
      <x:c r="L278" s="6" t="str">
        <x:v>采用结构化提示模板，包含Prompt ID、Context、Input Data、Prompt和Expected Outcome五个部分，以增强软件制品的可追溯性。</x:v>
      </x:c>
      <x:c r="M278" s="2" t="str">
        <x:v>Yes</x:v>
      </x:c>
      <x:c r="N278" s="2" t="str">
        <x:v>Full prompt reported</x:v>
      </x:c>
      <x:c r="O278" s="2" t="str">
        <x:v>NR</x:v>
      </x:c>
      <x:c r="P278" s="2" t="str">
        <x:v>No</x:v>
      </x:c>
      <x:c r="Q278" s="2" t="str">
        <x:v>No</x:v>
      </x:c>
      <x:c r="R278" s="2" t="str">
        <x:v>No</x:v>
      </x:c>
      <x:c r="S278" s="2" t="str">
        <x:v>NR</x:v>
      </x:c>
      <x:c r="T278" s="6" t="str">
        <x:v>p. 5; Structured Prompt Design section</x:v>
      </x:c>
      <x:c r="U278"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8" s="6" t="str">
        <x:v>结构化提示设计是核心配置特征，所有LLM调用均采用此模板以提高可追溯性。</x:v>
      </x:c>
      <x:c r="W278" s="2" t="str">
        <x:v>Accepted</x:v>
      </x:c>
      <x:c r="X278" s="6" t="str">
        <x:v>Appendix提供了所有活动的完整结构化提示。; shared feature split by model use and operation</x:v>
      </x:c>
    </x:row>
    <x:row r="279" ht="76" customHeight="1">
      <x:c r="A279" s="2" t="str">
        <x:v>S46-FEATURE-R49</x:v>
      </x:c>
      <x:c r="B279" s="2" t="str">
        <x:v>S46</x:v>
      </x:c>
      <x:c r="C279" s="2" t="str">
        <x:v>merged_1293</x:v>
      </x:c>
      <x:c r="D279" s="2" t="str">
        <x:v>Reviewer_A</x:v>
      </x:c>
      <x:c r="E279" s="2" t="str">
        <x:v>Reviewer_A</x:v>
      </x:c>
      <x:c r="F279" s="2" t="str">
        <x:v>S46-CF49</x:v>
      </x:c>
      <x:c r="G279" s="2" t="str">
        <x:v>S46-MU49</x:v>
      </x:c>
      <x:c r="H279" s="2" t="str">
        <x:v>S46-O09</x:v>
      </x:c>
      <x:c r="I279" s="2" t="str">
        <x:v>Prompting</x:v>
      </x:c>
      <x:c r="J279" s="2" t="str">
        <x:v>Structured Prompt Design</x:v>
      </x:c>
      <x:c r="K279" s="2" t="str">
        <x:v>StructuredPrompting</x:v>
      </x:c>
      <x:c r="L279" s="6" t="str">
        <x:v>采用结构化提示模板，包含Prompt ID、Context、Input Data、Prompt和Expected Outcome五个部分，以增强软件制品的可追溯性。</x:v>
      </x:c>
      <x:c r="M279" s="2" t="str">
        <x:v>Yes</x:v>
      </x:c>
      <x:c r="N279" s="2" t="str">
        <x:v>Full prompt reported</x:v>
      </x:c>
      <x:c r="O279" s="2" t="str">
        <x:v>NR</x:v>
      </x:c>
      <x:c r="P279" s="2" t="str">
        <x:v>No</x:v>
      </x:c>
      <x:c r="Q279" s="2" t="str">
        <x:v>No</x:v>
      </x:c>
      <x:c r="R279" s="2" t="str">
        <x:v>No</x:v>
      </x:c>
      <x:c r="S279" s="2" t="str">
        <x:v>NR</x:v>
      </x:c>
      <x:c r="T279" s="6" t="str">
        <x:v>p. 5; Structured Prompt Design section</x:v>
      </x:c>
      <x:c r="U279"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79" s="6" t="str">
        <x:v>结构化提示设计是核心配置特征，所有LLM调用均采用此模板以提高可追溯性。</x:v>
      </x:c>
      <x:c r="W279" s="2" t="str">
        <x:v>Accepted</x:v>
      </x:c>
      <x:c r="X279" s="6" t="str">
        <x:v>Appendix提供了所有活动的完整结构化提示。; shared feature split by model use and operation</x:v>
      </x:c>
    </x:row>
    <x:row r="280" ht="76" customHeight="1">
      <x:c r="A280" s="2" t="str">
        <x:v>S46-FEATURE-R50</x:v>
      </x:c>
      <x:c r="B280" s="2" t="str">
        <x:v>S46</x:v>
      </x:c>
      <x:c r="C280" s="2" t="str">
        <x:v>merged_1293</x:v>
      </x:c>
      <x:c r="D280" s="2" t="str">
        <x:v>Reviewer_A</x:v>
      </x:c>
      <x:c r="E280" s="2" t="str">
        <x:v>Reviewer_A</x:v>
      </x:c>
      <x:c r="F280" s="2" t="str">
        <x:v>S46-CF50</x:v>
      </x:c>
      <x:c r="G280" s="2" t="str">
        <x:v>S46-MU50</x:v>
      </x:c>
      <x:c r="H280" s="2" t="str">
        <x:v>S46-O10</x:v>
      </x:c>
      <x:c r="I280" s="2" t="str">
        <x:v>Prompting</x:v>
      </x:c>
      <x:c r="J280" s="2" t="str">
        <x:v>Structured Prompt Design</x:v>
      </x:c>
      <x:c r="K280" s="2" t="str">
        <x:v>StructuredPrompting</x:v>
      </x:c>
      <x:c r="L280" s="6" t="str">
        <x:v>采用结构化提示模板，包含Prompt ID、Context、Input Data、Prompt和Expected Outcome五个部分，以增强软件制品的可追溯性。</x:v>
      </x:c>
      <x:c r="M280" s="2" t="str">
        <x:v>Yes</x:v>
      </x:c>
      <x:c r="N280" s="2" t="str">
        <x:v>Full prompt reported</x:v>
      </x:c>
      <x:c r="O280" s="2" t="str">
        <x:v>NR</x:v>
      </x:c>
      <x:c r="P280" s="2" t="str">
        <x:v>No</x:v>
      </x:c>
      <x:c r="Q280" s="2" t="str">
        <x:v>No</x:v>
      </x:c>
      <x:c r="R280" s="2" t="str">
        <x:v>No</x:v>
      </x:c>
      <x:c r="S280" s="2" t="str">
        <x:v>NR</x:v>
      </x:c>
      <x:c r="T280" s="6" t="str">
        <x:v>p. 5; Structured Prompt Design section</x:v>
      </x:c>
      <x:c r="U280" s="6" t="str">
        <x:v>Based on the principles, we propose the structured prompt design as shown in Figure 1 which aims to enhance traceability in software development using AI models. The design structure includes sections for Prompt ID, Context, Input Data, Prompt, and Expected Outcome.</x:v>
      </x:c>
      <x:c r="V280" s="6" t="str">
        <x:v>结构化提示设计是核心配置特征，所有LLM调用均采用此模板以提高可追溯性。</x:v>
      </x:c>
      <x:c r="W280" s="2" t="str">
        <x:v>Accepted</x:v>
      </x:c>
      <x:c r="X280" s="6" t="str">
        <x:v>Appendix提供了所有活动的完整结构化提示。; shared feature split by model use and operation</x:v>
      </x:c>
    </x:row>
    <x:row r="281" ht="76" customHeight="1">
      <x:c r="A281" s="2" t="str">
        <x:v>S47-FEATURE-R01</x:v>
      </x:c>
      <x:c r="B281" s="2" t="str">
        <x:v>S47</x:v>
      </x:c>
      <x:c r="C281" s="2" t="str">
        <x:v>merged_1302-v1</x:v>
      </x:c>
      <x:c r="D281" s="2" t="str">
        <x:v>Reviewer_A</x:v>
      </x:c>
      <x:c r="E281" s="2" t="str">
        <x:v>Reviewer_A</x:v>
      </x:c>
      <x:c r="F281" s="2" t="str">
        <x:v>S47-CF01</x:v>
      </x:c>
      <x:c r="G281" s="2" t="str">
        <x:v>S47-MU05</x:v>
      </x:c>
      <x:c r="H281" s="2" t="str">
        <x:v>S47-O01</x:v>
      </x:c>
      <x:c r="I281" s="2" t="str">
        <x:v>Output constraint</x:v>
      </x:c>
      <x:c r="J281" s="2" t="str">
        <x:v>Markdown structure generation</x:v>
      </x:c>
      <x:c r="K281" s="2" t="str">
        <x:v>output_constraint_md</x:v>
      </x:c>
      <x:c r="L281" s="6" t="str">
        <x:v>LLM 被约束以生成特定格式的 Markdown 文件（如 folder_structure.md），其中包含每个文件的详细描述，作为后续步骤的标准化输入</x:v>
      </x:c>
      <x:c r="M281" s="2" t="str">
        <x:v>No</x:v>
      </x:c>
      <x:c r="N281" s="2" t="str">
        <x:v>Not reported</x:v>
      </x:c>
      <x:c r="O281" s="2" t="str">
        <x:v>NR</x:v>
      </x:c>
      <x:c r="P281" s="2" t="str">
        <x:v>NA</x:v>
      </x:c>
      <x:c r="Q281" s="2" t="str">
        <x:v>NA</x:v>
      </x:c>
      <x:c r="R281" s="2" t="str">
        <x:v>No</x:v>
      </x:c>
      <x:c r="S281" s="2" t="str">
        <x:v>NR</x:v>
      </x:c>
      <x:c r="T281" s="6" t="str">
        <x:v>p. 8; Section 4.3 File Discovery</x:v>
      </x:c>
      <x:c r="U281" s="6" t="str">
        <x:v>LLM-based analysis using models such as Gemini 2.5 Flash [15] generates folder_structure.md files containing detailed descriptions of each file’s purpose and functionality.</x:v>
      </x:c>
      <x:c r="V281" s="6" t="str">
        <x:v>输出被明确指定为结构化的 Markdown 文件，以确保信息的一致性和下游处理</x:v>
      </x:c>
      <x:c r="W281" s="2" t="str">
        <x:v>Accepted</x:v>
      </x:c>
      <x:c r="X281" s="6" t="str">
        <x:v>NR</x:v>
      </x:c>
    </x:row>
    <x:row r="282" ht="76" customHeight="1">
      <x:c r="A282" s="2" t="str">
        <x:v>S47-FEATURE-R02</x:v>
      </x:c>
      <x:c r="B282" s="2" t="str">
        <x:v>S47</x:v>
      </x:c>
      <x:c r="C282" s="2" t="str">
        <x:v>merged_1302-v1</x:v>
      </x:c>
      <x:c r="D282" s="2" t="str">
        <x:v>Reviewer_A</x:v>
      </x:c>
      <x:c r="E282" s="2" t="str">
        <x:v>Reviewer_A</x:v>
      </x:c>
      <x:c r="F282" s="2" t="str">
        <x:v>S47-CF02</x:v>
      </x:c>
      <x:c r="G282" s="2" t="str">
        <x:v>S47-MU05</x:v>
      </x:c>
      <x:c r="H282" s="2" t="str">
        <x:v>S47-O01</x:v>
      </x:c>
      <x:c r="I282" s="2" t="str">
        <x:v>Calling and orchestration</x:v>
      </x:c>
      <x:c r="J282" s="2" t="str">
        <x:v>Caching of generated structures</x:v>
      </x:c>
      <x:c r="K282" s="2" t="str">
        <x:v>caching_optimization</x:v>
      </x:c>
      <x:c r="L282" s="6" t="str">
        <x:v>采用缓存机制避免对已生成的结构文件重复调用 LLM，减少计算开销</x:v>
      </x:c>
      <x:c r="M282" s="2" t="str">
        <x:v>NA</x:v>
      </x:c>
      <x:c r="N282" s="2" t="str">
        <x:v>NA</x:v>
      </x:c>
      <x:c r="O282" s="2" t="str">
        <x:v>NR</x:v>
      </x:c>
      <x:c r="P282" s="2" t="str">
        <x:v>NA</x:v>
      </x:c>
      <x:c r="Q282" s="2" t="str">
        <x:v>NA</x:v>
      </x:c>
      <x:c r="R282" s="2" t="str">
        <x:v>No</x:v>
      </x:c>
      <x:c r="S282" s="2" t="str">
        <x:v>缓存策略减少了冗余的 LLM 调用</x:v>
      </x:c>
      <x:c r="T282" s="6" t="str">
        <x:v>p. 8; Section 4.3 File Discovery</x:v>
      </x:c>
      <x:c r="U282" s="6" t="str">
        <x:v>A caching mechanism avoids regenerating existing structure files, while thread-safe processing handles concurrent folder analysis efficiently.</x:v>
      </x:c>
      <x:c r="V282" s="6" t="str">
        <x:v>该特征属于编排优化，直接减少了 LLM 的调用次数和总体 token 消耗</x:v>
      </x:c>
      <x:c r="W282" s="2" t="str">
        <x:v>Accepted</x:v>
      </x:c>
      <x:c r="X282" s="6" t="str">
        <x:v>NR</x:v>
      </x:c>
    </x:row>
    <x:row r="283" ht="76" customHeight="1">
      <x:c r="A283" s="2" t="str">
        <x:v>S47-FEATURE-R03</x:v>
      </x:c>
      <x:c r="B283" s="2" t="str">
        <x:v>S47</x:v>
      </x:c>
      <x:c r="C283" s="2" t="str">
        <x:v>merged_1302-v1</x:v>
      </x:c>
      <x:c r="D283" s="2" t="str">
        <x:v>Reviewer_A</x:v>
      </x:c>
      <x:c r="E283" s="2" t="str">
        <x:v>Reviewer_A</x:v>
      </x:c>
      <x:c r="F283" s="2" t="str">
        <x:v>S47-CF03</x:v>
      </x:c>
      <x:c r="G283" s="2" t="str">
        <x:v>S47-MU05</x:v>
      </x:c>
      <x:c r="H283" s="2" t="str">
        <x:v>S47-O05</x:v>
      </x:c>
      <x:c r="I283" s="2" t="str">
        <x:v>Context construction</x:v>
      </x:c>
      <x:c r="J283" s="2" t="str">
        <x:v>Sequential validation with context</x:v>
      </x:c>
      <x:c r="K283" s="2" t="str">
        <x:v>sequential_context_validation</x:v>
      </x:c>
      <x:c r="L283" s="6" t="str">
        <x:v>验证步骤依序处理各规范章节，并利用前一章节的上下文信息（context_{i-1}）来辅助当前章节的验证决策</x:v>
      </x:c>
      <x:c r="M283" s="2" t="str">
        <x:v>NA</x:v>
      </x:c>
      <x:c r="N283" s="2" t="str">
        <x:v>NA</x:v>
      </x:c>
      <x:c r="O283" s="2" t="str">
        <x:v>NR</x:v>
      </x:c>
      <x:c r="P283" s="2" t="str">
        <x:v>NA</x:v>
      </x:c>
      <x:c r="Q283" s="2" t="str">
        <x:v>NA</x:v>
      </x:c>
      <x:c r="R283" s="2" t="str">
        <x:v>No</x:v>
      </x:c>
      <x:c r="S283" s="2" t="str">
        <x:v>NR</x:v>
      </x:c>
      <x:c r="T283" s="6" t="str">
        <x:v>p. 9; Section 4.5 Validation &amp; Gap Analysis</x:v>
      </x:c>
      <x:c r="U283" s="6" t="str">
        <x:v>Formal Definition: The validation function processes mapping sequentially to maintain context: M4(si,Ei,contexti−1) = (E′</x:v>
      </x:c>
      <x:c r="V283" s="6" t="str">
        <x:v>通过传递上下文，提升了验证的连贯性和准确性，属于上下文构建策略</x:v>
      </x:c>
      <x:c r="W283" s="2" t="str">
        <x:v>Accepted</x:v>
      </x:c>
      <x:c r="X283" s="6" t="str">
        <x:v>NR</x:v>
      </x:c>
    </x:row>
    <x:row r="284" ht="76" customHeight="1">
      <x:c r="A284" s="2" t="str">
        <x:v>S48-FEATURE-R01</x:v>
      </x:c>
      <x:c r="B284" s="2" t="str">
        <x:v>S48</x:v>
      </x:c>
      <x:c r="C284" s="2" t="str">
        <x:v>merged_1441</x:v>
      </x:c>
      <x:c r="D284" s="2" t="str">
        <x:v>Reviewer_A</x:v>
      </x:c>
      <x:c r="E284" s="2" t="str">
        <x:v>Reviewer_A</x:v>
      </x:c>
      <x:c r="F284" s="2" t="str">
        <x:v>S48-CF01</x:v>
      </x:c>
      <x:c r="G284" s="2" t="str">
        <x:v>S48-MU01</x:v>
      </x:c>
      <x:c r="H284" s="2" t="str">
        <x:v>S48-O01</x:v>
      </x:c>
      <x:c r="I284" s="2" t="str">
        <x:v>Prompting</x:v>
      </x:c>
      <x:c r="J284" s="2" t="str">
        <x:v>Prompt for Text Enhancement</x:v>
      </x:c>
      <x:c r="K284" s="2" t="str">
        <x:v>text_enhancement_prompt</x:v>
      </x:c>
      <x:c r="L284" s="6" t="str">
        <x:v>设计了一个分层提示，指导LLM进行总结、关键信息提取、语义扩展和用户意图分析，并限制输出不超过250词。</x:v>
      </x:c>
      <x:c r="M284" s="2" t="str">
        <x:v>Yes</x:v>
      </x:c>
      <x:c r="N284" s="2" t="str">
        <x:v>Template reported</x:v>
      </x:c>
      <x:c r="O284" s="2" t="str">
        <x:v>NA</x:v>
      </x:c>
      <x:c r="P284" s="2" t="str">
        <x:v>No</x:v>
      </x:c>
      <x:c r="Q284" s="2" t="str">
        <x:v>No</x:v>
      </x:c>
      <x:c r="R284" s="2" t="str">
        <x:v>No</x:v>
      </x:c>
      <x:c r="S284" s="2" t="str">
        <x:v>No</x:v>
      </x:c>
      <x:c r="T284" s="6" t="str">
        <x:v>p. 4; Section III-A.1, Figure 3</x:v>
      </x:c>
      <x:c r="U284" s="6" t="str">
        <x:v>As illustrated in Fig. 3, the enhancement process adopts a hierarchical understanding strategy that enables the LLM to progressively refine the issue text. In addition, we enforce a strict length constraint of fewer than 250 words on the generated output.</x:v>
      </x:c>
      <x:c r="V284" s="6" t="str">
        <x:v>通过结构化提示和长度约束控制LLM输出质量。</x:v>
      </x:c>
      <x:c r="W284" s="2" t="str">
        <x:v>Accepted</x:v>
      </x:c>
      <x:c r="X284" s="6" t="str">
        <x:v>Prompt template shown in Figure 3.</x:v>
      </x:c>
    </x:row>
    <x:row r="285" ht="76" customHeight="1">
      <x:c r="A285" s="2" t="str">
        <x:v>S48-FEATURE-R02</x:v>
      </x:c>
      <x:c r="B285" s="2" t="str">
        <x:v>S48</x:v>
      </x:c>
      <x:c r="C285" s="2" t="str">
        <x:v>merged_1441</x:v>
      </x:c>
      <x:c r="D285" s="2" t="str">
        <x:v>Reviewer_A</x:v>
      </x:c>
      <x:c r="E285" s="2" t="str">
        <x:v>Reviewer_A</x:v>
      </x:c>
      <x:c r="F285" s="2" t="str">
        <x:v>S48-CF02</x:v>
      </x:c>
      <x:c r="G285" s="2" t="str">
        <x:v>S48-MU02</x:v>
      </x:c>
      <x:c r="H285" s="2" t="str">
        <x:v>S48-O02</x:v>
      </x:c>
      <x:c r="I285" s="2" t="str">
        <x:v>Adaptation</x:v>
      </x:c>
      <x:c r="J285" s="2" t="str">
        <x:v>Hidden Layer Embedding Extraction</x:v>
      </x:c>
      <x:c r="K285" s="2" t="str">
        <x:v>hidden_layer_embedding</x:v>
      </x:c>
      <x:c r="L285" s="6" t="str">
        <x:v>不从LLM生成文本，而是提取中间隐藏层的输出作为固定长度的语义嵌入向量。</x:v>
      </x:c>
      <x:c r="M285" s="2" t="str">
        <x:v>NA</x:v>
      </x:c>
      <x:c r="N285" s="2" t="str">
        <x:v>NA</x:v>
      </x:c>
      <x:c r="O285" s="2" t="str">
        <x:v>NA</x:v>
      </x:c>
      <x:c r="P285" s="2" t="str">
        <x:v>NA</x:v>
      </x:c>
      <x:c r="Q285" s="2" t="str">
        <x:v>NA</x:v>
      </x:c>
      <x:c r="R285" s="2" t="str">
        <x:v>NA</x:v>
      </x:c>
      <x:c r="S285" s="2" t="str">
        <x:v>NA</x:v>
      </x:c>
      <x:c r="T285" s="6" t="str">
        <x:v>p. 4; Section III-A.2</x:v>
      </x:c>
      <x:c r="U285" s="6" t="str">
        <x:v>representations from an intermediate hidden layer are extracted as the semantic embedding of each issue.</x:v>
      </x:c>
      <x:c r="V285" s="6" t="str">
        <x:v>通过提取隐藏层特征的方式适配LLM用于嵌入生成。</x:v>
      </x:c>
      <x:c r="W285" s="2" t="str">
        <x:v>Accepted</x:v>
      </x:c>
      <x:c r="X285" s="6" t="str">
        <x:v>NR</x:v>
      </x:c>
    </x:row>
    <x:row r="286" ht="76" customHeight="1">
      <x:c r="A286" s="2" t="str">
        <x:v>S49-FEATURE-R01</x:v>
      </x:c>
      <x:c r="B286" s="2" t="str">
        <x:v>S49</x:v>
      </x:c>
      <x:c r="C286" s="2" t="str">
        <x:v>merged_1486</x:v>
      </x:c>
      <x:c r="D286" s="2" t="str">
        <x:v>Reviewer_A</x:v>
      </x:c>
      <x:c r="E286" s="2" t="str">
        <x:v>Reviewer_A</x:v>
      </x:c>
      <x:c r="F286" s="2" t="str">
        <x:v>S49-CF01</x:v>
      </x:c>
      <x:c r="G286" s="2" t="str">
        <x:v>S49-MU01</x:v>
      </x:c>
      <x:c r="H286" s="2" t="str">
        <x:v>S49-O01</x:v>
      </x:c>
      <x:c r="I286" s="2" t="str">
        <x:v>Prompting</x:v>
      </x:c>
      <x:c r="J286" s="2" t="str">
        <x:v>Cognitive Verifier</x:v>
      </x:c>
      <x:c r="K286" s="2" t="str">
        <x:v>cognitive_verifier</x:v>
      </x:c>
      <x:c r="L286" s="6" t="str">
        <x:v>使用 Cognitive Verifier 提示模式，要求模型先分解任務為子任務並組合後輸出最終答案。</x:v>
      </x:c>
      <x:c r="M286" s="2" t="str">
        <x:v>Yes</x:v>
      </x:c>
      <x:c r="N286" s="2" t="str">
        <x:v>Full prompt reported</x:v>
      </x:c>
      <x:c r="O286" s="2" t="str">
        <x:v>NA</x:v>
      </x:c>
      <x:c r="P286" s="2" t="str">
        <x:v>No</x:v>
      </x:c>
      <x:c r="Q286" s="2" t="str">
        <x:v>No</x:v>
      </x:c>
      <x:c r="R286" s="2" t="str">
        <x:v>No</x:v>
      </x:c>
      <x:c r="S286" s="2" t="str">
        <x:v>NA</x:v>
      </x:c>
      <x:c r="T286" s="6" t="str">
        <x:v>p. 6; Table 1, Cognitive Verifier (Tracing column)</x:v>
      </x:c>
      <x:c r="U286" s="6" t="str">
        <x:v>List the IDs of requirements that are related to the [deprecated] feature in the requirements specification document below. Ask me questions if needed to break down the given task into smaller subtasks. All the outputs to the smaller subtasks must be combined before you generate the final output.</x:v>
      </x:c>
      <x:c r="V286" s="6" t="str">
        <x:v>提示中包含要求模型自我提問並分解任務的指令，屬於 Cognitive Verifier 模式。</x:v>
      </x:c>
      <x:c r="W286" s="2" t="str">
        <x:v>Accepted</x:v>
      </x:c>
      <x:c r="X286" s="6" t="str">
        <x:v>NA</x:v>
      </x:c>
    </x:row>
    <x:row r="287" ht="76" customHeight="1">
      <x:c r="A287" s="2" t="str">
        <x:v>S49-FEATURE-R02</x:v>
      </x:c>
      <x:c r="B287" s="2" t="str">
        <x:v>S49</x:v>
      </x:c>
      <x:c r="C287" s="2" t="str">
        <x:v>merged_1486</x:v>
      </x:c>
      <x:c r="D287" s="2" t="str">
        <x:v>Reviewer_A</x:v>
      </x:c>
      <x:c r="E287" s="2" t="str">
        <x:v>Reviewer_A</x:v>
      </x:c>
      <x:c r="F287" s="2" t="str">
        <x:v>S49-CF02</x:v>
      </x:c>
      <x:c r="G287" s="2" t="str">
        <x:v>S49-MU02</x:v>
      </x:c>
      <x:c r="H287" s="2" t="str">
        <x:v>S49-O01</x:v>
      </x:c>
      <x:c r="I287" s="2" t="str">
        <x:v>Prompting</x:v>
      </x:c>
      <x:c r="J287" s="2" t="str">
        <x:v>Context Manager</x:v>
      </x:c>
      <x:c r="K287" s="2" t="str">
        <x:v>context_manager</x:v>
      </x:c>
      <x:c r="L287" s="6" t="str">
        <x:v>使用 Context Manager 提示模式，要求模型解釋推理和假設，並處理潛在歧義。</x:v>
      </x:c>
      <x:c r="M287" s="2" t="str">
        <x:v>Yes</x:v>
      </x:c>
      <x:c r="N287" s="2" t="str">
        <x:v>Full prompt reported</x:v>
      </x:c>
      <x:c r="O287" s="2" t="str">
        <x:v>NA</x:v>
      </x:c>
      <x:c r="P287" s="2" t="str">
        <x:v>No</x:v>
      </x:c>
      <x:c r="Q287" s="2" t="str">
        <x:v>No</x:v>
      </x:c>
      <x:c r="R287" s="2" t="str">
        <x:v>No</x:v>
      </x:c>
      <x:c r="S287" s="2" t="str">
        <x:v>NA</x:v>
      </x:c>
      <x:c r="T287" s="6" t="str">
        <x:v>p. 6; Table 1, Context Manager (Tracing column)</x:v>
      </x:c>
      <x:c r="U287" s="6" t="str">
        <x:v>List the IDs of requirements that are related to the [deprecated] feature from the requirements specification document below. When you provide an answer, please explain the reasoning and assumptions behind your response. If possible, address any potential ambiguities or limitations in your answer in order to provide a more complete and accurate response.</x:v>
      </x:c>
      <x:c r="V287" s="6" t="str">
        <x:v>提示中要求模型提供解釋和處理歧義，屬於 Context Manager 模式。</x:v>
      </x:c>
      <x:c r="W287" s="2" t="str">
        <x:v>Accepted</x:v>
      </x:c>
      <x:c r="X287" s="6" t="str">
        <x:v>NA</x:v>
      </x:c>
    </x:row>
    <x:row r="288" ht="76" customHeight="1">
      <x:c r="A288" s="2" t="str">
        <x:v>S49-FEATURE-R03</x:v>
      </x:c>
      <x:c r="B288" s="2" t="str">
        <x:v>S49</x:v>
      </x:c>
      <x:c r="C288" s="2" t="str">
        <x:v>merged_1486</x:v>
      </x:c>
      <x:c r="D288" s="2" t="str">
        <x:v>Reviewer_A</x:v>
      </x:c>
      <x:c r="E288" s="2" t="str">
        <x:v>Reviewer_A</x:v>
      </x:c>
      <x:c r="F288" s="2" t="str">
        <x:v>S49-CF03</x:v>
      </x:c>
      <x:c r="G288" s="2" t="str">
        <x:v>S49-MU03</x:v>
      </x:c>
      <x:c r="H288" s="2" t="str">
        <x:v>S49-O01</x:v>
      </x:c>
      <x:c r="I288" s="2" t="str">
        <x:v>Prompting</x:v>
      </x:c>
      <x:c r="J288" s="2" t="str">
        <x:v>Persona</x:v>
      </x:c>
      <x:c r="K288" s="2" t="str">
        <x:v>persona</x:v>
      </x:c>
      <x:c r="L288" s="6" t="str">
        <x:v>使用 Persona 提示模式，要求模型扮演需求工程領域專家。</x:v>
      </x:c>
      <x:c r="M288" s="2" t="str">
        <x:v>Yes</x:v>
      </x:c>
      <x:c r="N288" s="2" t="str">
        <x:v>Full prompt reported</x:v>
      </x:c>
      <x:c r="O288" s="2" t="str">
        <x:v>NA</x:v>
      </x:c>
      <x:c r="P288" s="2" t="str">
        <x:v>No</x:v>
      </x:c>
      <x:c r="Q288" s="2" t="str">
        <x:v>No</x:v>
      </x:c>
      <x:c r="R288" s="2" t="str">
        <x:v>No</x:v>
      </x:c>
      <x:c r="S288" s="2" t="str">
        <x:v>NA</x:v>
      </x:c>
      <x:c r="T288" s="6" t="str">
        <x:v>p. 6; Table 1, Persona (Tracing column)</x:v>
      </x:c>
      <x:c r="U288" s="6" t="str">
        <x:v>Act as a requirements engineering domain expert and list the IDs of requirements that are dependent on the [deprecated] feature in the following requirements specification document:</x:v>
      </x:c>
      <x:c r="V288" s="6" t="str">
        <x:v>提示中要求模型扮演專家角色，屬於 Persona 模式。</x:v>
      </x:c>
      <x:c r="W288" s="2" t="str">
        <x:v>Accepted</x:v>
      </x:c>
      <x:c r="X288" s="6" t="str">
        <x:v>NA</x:v>
      </x:c>
    </x:row>
    <x:row r="289" ht="76" customHeight="1">
      <x:c r="A289" s="2" t="str">
        <x:v>S49-FEATURE-R04</x:v>
      </x:c>
      <x:c r="B289" s="2" t="str">
        <x:v>S49</x:v>
      </x:c>
      <x:c r="C289" s="2" t="str">
        <x:v>merged_1486</x:v>
      </x:c>
      <x:c r="D289" s="2" t="str">
        <x:v>Reviewer_A</x:v>
      </x:c>
      <x:c r="E289" s="2" t="str">
        <x:v>Reviewer_A</x:v>
      </x:c>
      <x:c r="F289" s="2" t="str">
        <x:v>S49-CF04</x:v>
      </x:c>
      <x:c r="G289" s="2" t="str">
        <x:v>S49-MU04</x:v>
      </x:c>
      <x:c r="H289" s="2" t="str">
        <x:v>S49-O01</x:v>
      </x:c>
      <x:c r="I289" s="2" t="str">
        <x:v>Prompting</x:v>
      </x:c>
      <x:c r="J289" s="2" t="str">
        <x:v>Question Refinement</x:v>
      </x:c>
      <x:c r="K289" s="2" t="str">
        <x:v>question_refinement</x:v>
      </x:c>
      <x:c r="L289" s="6" t="str">
        <x:v>使用 Question Refinement 提示模式，要求模型必要時建議更好的問題版本。</x:v>
      </x:c>
      <x:c r="M289" s="2" t="str">
        <x:v>Yes</x:v>
      </x:c>
      <x:c r="N289" s="2" t="str">
        <x:v>Full prompt reported</x:v>
      </x:c>
      <x:c r="O289" s="2" t="str">
        <x:v>NA</x:v>
      </x:c>
      <x:c r="P289" s="2" t="str">
        <x:v>No</x:v>
      </x:c>
      <x:c r="Q289" s="2" t="str">
        <x:v>No</x:v>
      </x:c>
      <x:c r="R289" s="2" t="str">
        <x:v>No</x:v>
      </x:c>
      <x:c r="S289" s="2" t="str">
        <x:v>NA</x:v>
      </x:c>
      <x:c r="T289" s="6" t="str">
        <x:v>p. 6; Table 1, Question Refinement (Tracing column)</x:v>
      </x:c>
      <x:c r="U289" s="6" t="str">
        <x:v>List the IDs of requirements that are related to the [deprecated] feature from the requirements specification document below. If needed, suggest a better version of the question to use that incorporates information specific to this task and ask me if I would like to use your question instead.</x:v>
      </x:c>
      <x:c r="V289" s="6" t="str">
        <x:v>提示中允許模型改進問題，屬於 Question Refinement 模式。</x:v>
      </x:c>
      <x:c r="W289" s="2" t="str">
        <x:v>Accepted</x:v>
      </x:c>
      <x:c r="X289" s="6" t="str">
        <x:v>NA</x:v>
      </x:c>
    </x:row>
    <x:row r="290" ht="76" customHeight="1">
      <x:c r="A290" s="2" t="str">
        <x:v>S49-FEATURE-R05</x:v>
      </x:c>
      <x:c r="B290" s="2" t="str">
        <x:v>S49</x:v>
      </x:c>
      <x:c r="C290" s="2" t="str">
        <x:v>merged_1486</x:v>
      </x:c>
      <x:c r="D290" s="2" t="str">
        <x:v>Reviewer_A</x:v>
      </x:c>
      <x:c r="E290" s="2" t="str">
        <x:v>Reviewer_A</x:v>
      </x:c>
      <x:c r="F290" s="2" t="str">
        <x:v>S49-CF05</x:v>
      </x:c>
      <x:c r="G290" s="2" t="str">
        <x:v>S49-MU05</x:v>
      </x:c>
      <x:c r="H290" s="2" t="str">
        <x:v>S49-O01</x:v>
      </x:c>
      <x:c r="I290" s="2" t="str">
        <x:v>Prompting</x:v>
      </x:c>
      <x:c r="J290" s="2" t="str">
        <x:v>Template</x:v>
      </x:c>
      <x:c r="K290" s="2" t="str">
        <x:v>template</x:v>
      </x:c>
      <x:c r="L290" s="6" t="str">
        <x:v>使用 Template 提示模式，要求模型按照特定模板格式輸出結果。</x:v>
      </x:c>
      <x:c r="M290" s="2" t="str">
        <x:v>Yes</x:v>
      </x:c>
      <x:c r="N290" s="2" t="str">
        <x:v>Full prompt reported</x:v>
      </x:c>
      <x:c r="O290" s="2" t="str">
        <x:v>NA</x:v>
      </x:c>
      <x:c r="P290" s="2" t="str">
        <x:v>No</x:v>
      </x:c>
      <x:c r="Q290" s="2" t="str">
        <x:v>No</x:v>
      </x:c>
      <x:c r="R290" s="2" t="str">
        <x:v>No</x:v>
      </x:c>
      <x:c r="S290" s="2" t="str">
        <x:v>NA</x:v>
      </x:c>
      <x:c r="T290" s="6" t="str">
        <x:v>p. 6; Table 1, Template (Tracing column)</x:v>
      </x:c>
      <x:c r="U290" s="6" t="str">
        <x:v>List the IDs of requirements that are related to the [deprecated] feature in the requirements specification document below. Follow the provided template when generating the output: ID list: X.X.X.X; X.X.X; X.X.X.X etc.</x:v>
      </x:c>
      <x:c r="V290" s="6" t="str">
        <x:v>提示中指定了輸出格式模板，屬於 Template 模式。</x:v>
      </x:c>
      <x:c r="W290" s="2" t="str">
        <x:v>Accepted</x:v>
      </x:c>
      <x:c r="X290" s="6" t="str">
        <x:v>NA</x:v>
      </x:c>
    </x:row>
    <x:row r="291" ht="76" customHeight="1">
      <x:c r="A291" s="2" t="str">
        <x:v>S50-FEATURE-R01</x:v>
      </x:c>
      <x:c r="B291" s="2" t="str">
        <x:v>S50</x:v>
      </x:c>
      <x:c r="C291" s="2" t="str">
        <x:v>snowball_00068</x:v>
      </x:c>
      <x:c r="D291" s="2" t="str">
        <x:v>Reviewer_A</x:v>
      </x:c>
      <x:c r="E291" s="2" t="str">
        <x:v>Reviewer_A</x:v>
      </x:c>
      <x:c r="F291" s="2" t="str">
        <x:v>S50-CF01</x:v>
      </x:c>
      <x:c r="G291" s="2" t="str">
        <x:v>S50-MU01</x:v>
      </x:c>
      <x:c r="H291" s="2" t="str">
        <x:v>S50-O01</x:v>
      </x:c>
      <x:c r="I291" s="2" t="str">
        <x:v>Prompting</x:v>
      </x:c>
      <x:c r="J291" s="2" t="str">
        <x:v>zero-shot prompting</x:v>
      </x:c>
      <x:c r="K291" s="2" t="str">
        <x:v>zero-shot</x:v>
      </x:c>
      <x:c r="L291" s="6" t="str">
        <x:v>使用零样本提示，让LLM从本体类列表中选出与用户问题相关的类。</x:v>
      </x:c>
      <x:c r="M291" s="2" t="str">
        <x:v>No</x:v>
      </x:c>
      <x:c r="N291" s="2" t="str">
        <x:v>Partial description</x:v>
      </x:c>
      <x:c r="O291" s="2" t="n">
        <x:v>0</x:v>
      </x:c>
      <x:c r="P291" s="2" t="str">
        <x:v>No</x:v>
      </x:c>
      <x:c r="Q291" s="2" t="str">
        <x:v>No</x:v>
      </x:c>
      <x:c r="R291" s="2" t="str">
        <x:v>No</x:v>
      </x:c>
      <x:c r="S291" s="2" t="str">
        <x:v>NA</x:v>
      </x:c>
      <x:c r="T291" s="6" t="str">
        <x:v>p. 6; Section IV-A</x:v>
      </x:c>
      <x:c r="U291" s="6" t="str">
        <x:v>Zero-shot prompting (when an LLM answers a question without any specific training examples or prior demonstrations of that task, it is called zero-shot prompt- ing) is utilized to identify which segments of the knowledge graph are relevant to the question.</x:v>
      </x:c>
      <x:c r="V291" s="6" t="str">
        <x:v>零样本提示用于从本体类中识别相关部分，不提供示例。</x:v>
      </x:c>
      <x:c r="W291" s="2" t="str">
        <x:v>Accepted</x:v>
      </x:c>
      <x:c r="X291" s="6" t="str">
        <x:v>NA</x:v>
      </x:c>
    </x:row>
    <x:row r="292" ht="76" customHeight="1">
      <x:c r="A292" s="2" t="str">
        <x:v>S50-FEATURE-R02</x:v>
      </x:c>
      <x:c r="B292" s="2" t="str">
        <x:v>S50</x:v>
      </x:c>
      <x:c r="C292" s="2" t="str">
        <x:v>snowball_00068</x:v>
      </x:c>
      <x:c r="D292" s="2" t="str">
        <x:v>Reviewer_A</x:v>
      </x:c>
      <x:c r="E292" s="2" t="str">
        <x:v>Reviewer_A</x:v>
      </x:c>
      <x:c r="F292" s="2" t="str">
        <x:v>S50-CF02</x:v>
      </x:c>
      <x:c r="G292" s="2" t="str">
        <x:v>S50-MU02</x:v>
      </x:c>
      <x:c r="H292" s="2" t="str">
        <x:v>S50-O02</x:v>
      </x:c>
      <x:c r="I292" s="2" t="str">
        <x:v>Context construction</x:v>
      </x:c>
      <x:c r="J292" s="2" t="str">
        <x:v>transforming information to human natural language</x:v>
      </x:c>
      <x:c r="K292" s="2" t="str">
        <x:v>sentence-templates</x:v>
      </x:c>
      <x:c r="L292" s="6" t="str">
        <x:v>使用预定义的句子模板将知识图谱的RDF三元组转换为自然语言句子，以便LLM理解。</x:v>
      </x:c>
      <x:c r="M292" s="2" t="str">
        <x:v>No</x:v>
      </x:c>
      <x:c r="N292" s="2" t="str">
        <x:v>Partial description</x:v>
      </x:c>
      <x:c r="O292" s="2" t="str">
        <x:v>NA</x:v>
      </x:c>
      <x:c r="P292" s="2" t="str">
        <x:v>No</x:v>
      </x:c>
      <x:c r="Q292" s="2" t="str">
        <x:v>No</x:v>
      </x:c>
      <x:c r="R292" s="2" t="str">
        <x:v>No</x:v>
      </x:c>
      <x:c r="S292" s="2" t="str">
        <x:v>NA</x:v>
      </x:c>
      <x:c r="T292" s="6" t="str">
        <x:v>p. 7; Section IV-B, Table 2</x:v>
      </x:c>
      <x:c r="U292" s="6" t="str">
        <x:v>we transform the RDF triples retrieved in the previous step into sentences using the sentence template shown in Table 2.</x:v>
      </x:c>
      <x:c r="V292" s="6" t="str">
        <x:v>句子模板用于将结构化知识图谱数据转换为LLM可处理的自然语言文本。</x:v>
      </x:c>
      <x:c r="W292" s="2" t="str">
        <x:v>Accepted</x:v>
      </x:c>
      <x:c r="X292" s="6" t="str">
        <x:v>NA</x:v>
      </x:c>
    </x:row>
    <x:row r="293" ht="76" customHeight="1">
      <x:c r="A293" s="2" t="str">
        <x:v>S50-FEATURE-R03</x:v>
      </x:c>
      <x:c r="B293" s="2" t="str">
        <x:v>S50</x:v>
      </x:c>
      <x:c r="C293" s="2" t="str">
        <x:v>snowball_00068</x:v>
      </x:c>
      <x:c r="D293" s="2" t="str">
        <x:v>Reviewer_A</x:v>
      </x:c>
      <x:c r="E293" s="2" t="str">
        <x:v>Reviewer_A</x:v>
      </x:c>
      <x:c r="F293" s="2" t="str">
        <x:v>S50-CF03</x:v>
      </x:c>
      <x:c r="G293" s="2" t="str">
        <x:v>S50-MU02</x:v>
      </x:c>
      <x:c r="H293" s="2" t="str">
        <x:v>S50-O02</x:v>
      </x:c>
      <x:c r="I293" s="2" t="str">
        <x:v>Context construction</x:v>
      </x:c>
      <x:c r="J293" s="2" t="str">
        <x:v>cosine similarity search</x:v>
      </x:c>
      <x:c r="K293" s="2" t="str">
        <x:v>similarity-search-context</x:v>
      </x:c>
      <x:c r="L293" s="6" t="str">
        <x:v>使用句子转换器嵌入生成句子和标准定义，通过余弦相似度检索最相关的IEC 62443-3-3术语和定义。</x:v>
      </x:c>
      <x:c r="M293" s="2" t="str">
        <x:v>NA</x:v>
      </x:c>
      <x:c r="N293" s="2" t="str">
        <x:v>NA</x:v>
      </x:c>
      <x:c r="O293" s="2" t="str">
        <x:v>NA</x:v>
      </x:c>
      <x:c r="P293" s="2" t="str">
        <x:v>Yes</x:v>
      </x:c>
      <x:c r="Q293" s="2" t="str">
        <x:v>No</x:v>
      </x:c>
      <x:c r="R293" s="2" t="str">
        <x:v>No</x:v>
      </x:c>
      <x:c r="S293" s="2" t="str">
        <x:v>NA</x:v>
      </x:c>
      <x:c r="T293" s="6" t="str">
        <x:v>p. 9; Algorithm 1 and Section IV-C</x:v>
      </x:c>
      <x:c r="U293" s="6" t="str">
        <x:v>Perform cosine similarity search on generated sentences S and IEC 62443-3-3’s terms and definitions to find relevant terms and definitions using FAISS [48] D</x:v>
      </x:c>
      <x:c r="V293" s="6" t="str">
        <x:v>通过向量相似度检索，从IEC 62443-3-3中获取相关定义，增强提示的上下文。</x:v>
      </x:c>
      <x:c r="W293" s="2" t="str">
        <x:v>Accepted</x:v>
      </x:c>
      <x:c r="X293" s="6" t="str">
        <x:v>NA</x:v>
      </x:c>
    </x:row>
    <x:row r="294" ht="76" customHeight="1">
      <x:c r="A294" s="2" t="str">
        <x:v>S50-FEATURE-R04</x:v>
      </x:c>
      <x:c r="B294" s="2" t="str">
        <x:v>S50</x:v>
      </x:c>
      <x:c r="C294" s="2" t="str">
        <x:v>snowball_00068</x:v>
      </x:c>
      <x:c r="D294" s="2" t="str">
        <x:v>Reviewer_A</x:v>
      </x:c>
      <x:c r="E294" s="2" t="str">
        <x:v>Reviewer_A</x:v>
      </x:c>
      <x:c r="F294" s="2" t="str">
        <x:v>S50-CF04</x:v>
      </x:c>
      <x:c r="G294" s="2" t="str">
        <x:v>S50-MU02</x:v>
      </x:c>
      <x:c r="H294" s="2" t="str">
        <x:v>S50-O02</x:v>
      </x:c>
      <x:c r="I294" s="2" t="str">
        <x:v>Output constraint</x:v>
      </x:c>
      <x:c r="J294" s="2" t="str">
        <x:v>closeness centrality filtering</x:v>
      </x:c>
      <x:c r="K294" s="2" t="str">
        <x:v>token-limit-centrality</x:v>
      </x:c>
      <x:c r="L294" s="6" t="str">
        <x:v>当检索到的信息超过令牌限制时，根据紧密度中心性指标移除最不重要的句子，以控制上下文大小。</x:v>
      </x:c>
      <x:c r="M294" s="2" t="str">
        <x:v>NA</x:v>
      </x:c>
      <x:c r="N294" s="2" t="str">
        <x:v>NA</x:v>
      </x:c>
      <x:c r="O294" s="2" t="str">
        <x:v>NA</x:v>
      </x:c>
      <x:c r="P294" s="2" t="str">
        <x:v>No</x:v>
      </x:c>
      <x:c r="Q294" s="2" t="str">
        <x:v>No</x:v>
      </x:c>
      <x:c r="R294" s="2" t="str">
        <x:v>No</x:v>
      </x:c>
      <x:c r="S294" s="2" t="str">
        <x:v>NA</x:v>
      </x:c>
      <x:c r="T294" s="6" t="str">
        <x:v>p. 9; Algorithm 1 and Section IV-A</x:v>
      </x:c>
      <x:c r="U294" s="6" t="str">
        <x:v>If the token size limit Tokl is violated, remove the sentence related instance with the least closeness centrality until the number of tokens are less than threshold Tokl</x:v>
      </x:c>
      <x:c r="V294" s="6" t="str">
        <x:v>利用图中心性指标修剪上下文，确保不超过LLM的令牌限制。</x:v>
      </x:c>
      <x:c r="W294" s="2" t="str">
        <x:v>Accepted</x:v>
      </x:c>
      <x:c r="X294" s="6" t="str">
        <x:v>NA</x:v>
      </x:c>
    </x:row>
    <x:row r="295" ht="76" customHeight="1">
      <x:c r="A295" s="2" t="str">
        <x:v>S50-FEATURE-R05</x:v>
      </x:c>
      <x:c r="B295" s="2" t="str">
        <x:v>S50</x:v>
      </x:c>
      <x:c r="C295" s="2" t="str">
        <x:v>snowball_00068</x:v>
      </x:c>
      <x:c r="D295" s="2" t="str">
        <x:v>Reviewer_A</x:v>
      </x:c>
      <x:c r="E295" s="2" t="str">
        <x:v>Reviewer_A</x:v>
      </x:c>
      <x:c r="F295" s="2" t="str">
        <x:v>S50-CF05</x:v>
      </x:c>
      <x:c r="G295" s="2" t="str">
        <x:v>S50-MU02</x:v>
      </x:c>
      <x:c r="H295" s="2" t="str">
        <x:v>S50-O02</x:v>
      </x:c>
      <x:c r="I295" s="2" t="str">
        <x:v>Prompting</x:v>
      </x:c>
      <x:c r="J295" s="2" t="str">
        <x:v>final prompt</x:v>
      </x:c>
      <x:c r="K295" s="2" t="str">
        <x:v>final-prompt-assembly</x:v>
      </x:c>
      <x:c r="L295" s="6" t="str">
        <x:v>将用户查询、知识图谱句子和IEC 62443术语定义组合成最终提示，作为LLM输入。</x:v>
      </x:c>
      <x:c r="M295" s="2" t="str">
        <x:v>No</x:v>
      </x:c>
      <x:c r="N295" s="2" t="str">
        <x:v>Partial description</x:v>
      </x:c>
      <x:c r="O295" s="2" t="n">
        <x:v>0</x:v>
      </x:c>
      <x:c r="P295" s="2" t="str">
        <x:v>NA</x:v>
      </x:c>
      <x:c r="Q295" s="2" t="str">
        <x:v>No</x:v>
      </x:c>
      <x:c r="R295" s="2" t="str">
        <x:v>No</x:v>
      </x:c>
      <x:c r="S295" s="2" t="str">
        <x:v>NA</x:v>
      </x:c>
      <x:c r="T295" s="6" t="str">
        <x:v>p. 7; Section IV-C</x:v>
      </x:c>
      <x:c r="U295" s="6" t="str">
        <x:v>The final prompt consists of three elements: (1) the user query, (2) information retrieved from the knowledge graph and transformed into natural language using Table 2, and (3) additional context obtained by searching for relevant terms and definitions from IEC 62443-3-3.</x:v>
      </x:c>
      <x:c r="V295" s="6" t="str">
        <x:v>最终提示将知识图谱上下文和标准定义与用户问题结合，引导LLM生成回答。</x:v>
      </x:c>
      <x:c r="W295" s="2" t="str">
        <x:v>Accepted</x:v>
      </x:c>
      <x:c r="X295" s="6" t="str">
        <x:v>NA</x:v>
      </x:c>
    </x:row>
    <x:row r="296" ht="76" customHeight="1">
      <x:c r="A296" s="2" t="str">
        <x:v>S51-FEATURE-R01</x:v>
      </x:c>
      <x:c r="B296" s="2" t="str">
        <x:v>S51</x:v>
      </x:c>
      <x:c r="C296" s="2" t="str">
        <x:v>snowball_00085</x:v>
      </x:c>
      <x:c r="D296" s="2" t="str">
        <x:v>Reviewer_A</x:v>
      </x:c>
      <x:c r="E296" s="2" t="str">
        <x:v>Reviewer_A</x:v>
      </x:c>
      <x:c r="F296" s="2" t="str">
        <x:v>S51-CF01</x:v>
      </x:c>
      <x:c r="G296" s="2" t="str">
        <x:v>S51-MU01</x:v>
      </x:c>
      <x:c r="H296" s="2" t="str">
        <x:v>S51-O01</x:v>
      </x:c>
      <x:c r="I296" s="2" t="str">
        <x:v>Prompting</x:v>
      </x:c>
      <x:c r="J296" s="2" t="str">
        <x:v>base prompt</x:v>
      </x:c>
      <x:c r="K296" s="2" t="str">
        <x:v>base_prompt</x:v>
      </x:c>
      <x:c r="L296" s="6" t="str">
        <x:v>一个基础提示，指示LLM评估系统规格是否有效，即判断需求是否满足。</x:v>
      </x:c>
      <x:c r="M296" s="2" t="str">
        <x:v>Yes</x:v>
      </x:c>
      <x:c r="N296" s="2" t="str">
        <x:v>Partial description</x:v>
      </x:c>
      <x:c r="O296" s="2" t="n">
        <x:v>0</x:v>
      </x:c>
      <x:c r="P296" s="2" t="str">
        <x:v>No</x:v>
      </x:c>
      <x:c r="Q296" s="2" t="str">
        <x:v>No</x:v>
      </x:c>
      <x:c r="R296" s="2" t="str">
        <x:v>No</x:v>
      </x:c>
      <x:c r="S296" s="2" t="str">
        <x:v>NR</x:v>
      </x:c>
      <x:c r="T296" s="6" t="str">
        <x:v>p. 4; Section III-C. Experimental Variables</x:v>
      </x:c>
      <x:c r="U296" s="6" t="str">
        <x:v>a base prompt, instructing the LLMs to evaluate whether the system specification is valid</x:v>
      </x:c>
      <x:c r="V296" s="6" t="str">
        <x:v>基础提示策略，直接要求LLM评估系统规格的合规性。</x:v>
      </x:c>
      <x:c r="W296" s="2" t="str">
        <x:v>Accepted</x:v>
      </x:c>
      <x:c r="X296" s="6" t="str">
        <x:v>Same base prompt used for all models.</x:v>
      </x:c>
    </x:row>
    <x:row r="297" ht="76" customHeight="1">
      <x:c r="A297" s="2" t="str">
        <x:v>S51-FEATURE-R02</x:v>
      </x:c>
      <x:c r="B297" s="2" t="str">
        <x:v>S51</x:v>
      </x:c>
      <x:c r="C297" s="2" t="str">
        <x:v>snowball_00085</x:v>
      </x:c>
      <x:c r="D297" s="2" t="str">
        <x:v>Reviewer_A</x:v>
      </x:c>
      <x:c r="E297" s="2" t="str">
        <x:v>Reviewer_A</x:v>
      </x:c>
      <x:c r="F297" s="2" t="str">
        <x:v>S51-CF02</x:v>
      </x:c>
      <x:c r="G297" s="2" t="str">
        <x:v>S51-MU01</x:v>
      </x:c>
      <x:c r="H297" s="2" t="str">
        <x:v>S51-O01</x:v>
      </x:c>
      <x:c r="I297" s="2" t="str">
        <x:v>Prompting</x:v>
      </x:c>
      <x:c r="J297" s="2" t="str">
        <x:v>chain-of-thought (COT) prompt</x:v>
      </x:c>
      <x:c r="K297" s="2" t="str">
        <x:v>cot_prompt</x:v>
      </x:c>
      <x:c r="L297" s="6" t="str">
        <x:v>思维链提示，为LLM提供如何构建评估过程并详细描述其推理的详细指令。</x:v>
      </x:c>
      <x:c r="M297" s="2" t="str">
        <x:v>Yes</x:v>
      </x:c>
      <x:c r="N297" s="2" t="str">
        <x:v>Partial description</x:v>
      </x:c>
      <x:c r="O297" s="2" t="n">
        <x:v>0</x:v>
      </x:c>
      <x:c r="P297" s="2" t="str">
        <x:v>No</x:v>
      </x:c>
      <x:c r="Q297" s="2" t="str">
        <x:v>No</x:v>
      </x:c>
      <x:c r="R297" s="2" t="str">
        <x:v>No</x:v>
      </x:c>
      <x:c r="S297" s="2" t="str">
        <x:v>NR</x:v>
      </x:c>
      <x:c r="T297" s="6" t="str">
        <x:v>p. 4; Section III-C. Experimental Variables</x:v>
      </x:c>
      <x:c r="U297" s="6" t="str">
        <x:v>a chain-of-thought (COT) prompt providing the LLMs with detailed instructions on how to structure the evaluation and describe their inferences in detail</x:v>
      </x:c>
      <x:c r="V297" s="6" t="str">
        <x:v>思维链提示策略，引导LLM逐步推理并结构化输出评估过程。</x:v>
      </x:c>
      <x:c r="W297" s="2" t="str">
        <x:v>Accepted</x:v>
      </x:c>
      <x:c r="X297" s="6" t="str">
        <x:v>Same COT prompt used for all models.</x:v>
      </x:c>
    </x:row>
    <x:row r="298" ht="76" customHeight="1">
      <x:c r="A298" s="2" t="str">
        <x:v>S51-FEATURE-R03</x:v>
      </x:c>
      <x:c r="B298" s="2" t="str">
        <x:v>S51</x:v>
      </x:c>
      <x:c r="C298" s="2" t="str">
        <x:v>snowball_00085</x:v>
      </x:c>
      <x:c r="D298" s="2" t="str">
        <x:v>Reviewer_A</x:v>
      </x:c>
      <x:c r="E298" s="2" t="str">
        <x:v>Reviewer_A</x:v>
      </x:c>
      <x:c r="F298" s="2" t="str">
        <x:v>S51-CF03</x:v>
      </x:c>
      <x:c r="G298" s="2" t="str">
        <x:v>S51-MU01</x:v>
      </x:c>
      <x:c r="H298" s="2" t="str">
        <x:v>S51-O01</x:v>
      </x:c>
      <x:c r="I298" s="2" t="str">
        <x:v>Prompting</x:v>
      </x:c>
      <x:c r="J298" s="2" t="str">
        <x:v>few-shot prompt</x:v>
      </x:c>
      <x:c r="K298" s="2" t="str">
        <x:v>few_shot_prompt</x:v>
      </x:c>
      <x:c r="L298" s="6" t="str">
        <x:v>少样本提示，包含一个描述完全不同动作、参与者和对象的示例。</x:v>
      </x:c>
      <x:c r="M298" s="2" t="str">
        <x:v>Yes</x:v>
      </x:c>
      <x:c r="N298" s="2" t="str">
        <x:v>Partial description</x:v>
      </x:c>
      <x:c r="O298" s="2" t="n">
        <x:v>1</x:v>
      </x:c>
      <x:c r="P298" s="2" t="str">
        <x:v>No</x:v>
      </x:c>
      <x:c r="Q298" s="2" t="str">
        <x:v>No</x:v>
      </x:c>
      <x:c r="R298" s="2" t="str">
        <x:v>No</x:v>
      </x:c>
      <x:c r="S298" s="2" t="str">
        <x:v>NR</x:v>
      </x:c>
      <x:c r="T298" s="6" t="str">
        <x:v>p. 4; Section III-C. Experimental Variables</x:v>
      </x:c>
      <x:c r="U298" s="6" t="str">
        <x:v>a few-shot prompt featuring one example describing entirely different actions, actors, and objects</x:v>
      </x:c>
      <x:c r="V298" s="6" t="str">
        <x:v>少样本提示策略，通过一个示例演示评估任务，提升LLM性能。</x:v>
      </x:c>
      <x:c r="W298" s="2" t="str">
        <x:v>Accepted</x:v>
      </x:c>
      <x:c r="X298" s="6" t="str">
        <x:v>Same few-shot prompt used for all models.</x:v>
      </x:c>
    </x:row>
    <x:row r="299" ht="76" customHeight="1">
      <x:c r="A299" s="2" t="str">
        <x:v>S52-FEATURE-R01</x:v>
      </x:c>
      <x:c r="B299" s="2" t="str">
        <x:v>S52</x:v>
      </x:c>
      <x:c r="C299" s="2" t="str">
        <x:v>snowball_00095</x:v>
      </x:c>
      <x:c r="D299" s="2" t="str">
        <x:v>Reviewer_A</x:v>
      </x:c>
      <x:c r="E299" s="2" t="str">
        <x:v>Reviewer_A</x:v>
      </x:c>
      <x:c r="F299" s="2" t="str">
        <x:v>S52-CF01</x:v>
      </x:c>
      <x:c r="G299" s="2" t="str">
        <x:v>S52-MU01</x:v>
      </x:c>
      <x:c r="H299" s="2" t="str">
        <x:v>S52-O01</x:v>
      </x:c>
      <x:c r="I299" s="2" t="str">
        <x:v>Prompting</x:v>
      </x:c>
      <x:c r="J299" s="2" t="str">
        <x:v>two-step summarization prompt</x:v>
      </x:c>
      <x:c r="K299" s="2" t="str">
        <x:v>two_step_summarization_prompt</x:v>
      </x:c>
      <x:c r="L299" s="6" t="str">
        <x:v>提示Claude 2.0分两步总结源代码：首先概述功能，然后生成详细摘要。</x:v>
      </x:c>
      <x:c r="M299" s="2" t="str">
        <x:v>No</x:v>
      </x:c>
      <x:c r="N299" s="2" t="str">
        <x:v>Partial description</x:v>
      </x:c>
      <x:c r="O299" s="2" t="str">
        <x:v>NA</x:v>
      </x:c>
      <x:c r="P299" s="2" t="str">
        <x:v>No</x:v>
      </x:c>
      <x:c r="Q299" s="2" t="str">
        <x:v>No</x:v>
      </x:c>
      <x:c r="R299" s="2" t="str">
        <x:v>No</x:v>
      </x:c>
      <x:c r="S299" s="2" t="str">
        <x:v>NA</x:v>
      </x:c>
      <x:c r="T299" s="6" t="str">
        <x:v>p. 3; Section II-A, Stage 0: Code Summarization</x:v>
      </x:c>
      <x:c r="U299" s="6" t="str">
        <x:v>We prompted Claude to summarize the source code by (i) initially outlining the functionality provided to the user by the code, and (ii) then creating a polished summary that explains how the code supports the described user behavior.</x:v>
      </x:c>
      <x:c r="V299" s="6" t="str">
        <x:v>提示策略分为两步，先提取功能概述，再生成完善摘要，以增强代码理解。</x:v>
      </x:c>
      <x:c r="W299" s="2" t="str">
        <x:v>Accepted</x:v>
      </x:c>
      <x:c r="X299" s="6" t="str">
        <x:v>NA</x:v>
      </x:c>
    </x:row>
    <x:row r="300" ht="76" customHeight="1">
      <x:c r="A300" s="2" t="str">
        <x:v>S52-FEATURE-R02</x:v>
      </x:c>
      <x:c r="B300" s="2" t="str">
        <x:v>S52</x:v>
      </x:c>
      <x:c r="C300" s="2" t="str">
        <x:v>snowball_00095</x:v>
      </x:c>
      <x:c r="D300" s="2" t="str">
        <x:v>Reviewer_A</x:v>
      </x:c>
      <x:c r="E300" s="2" t="str">
        <x:v>Reviewer_A</x:v>
      </x:c>
      <x:c r="F300" s="2" t="str">
        <x:v>S52-CF02</x:v>
      </x:c>
      <x:c r="G300" s="2" t="str">
        <x:v>S52-MU02</x:v>
      </x:c>
      <x:c r="H300" s="2" t="str">
        <x:v>S52-O02</x:v>
      </x:c>
      <x:c r="I300" s="2" t="str">
        <x:v>Context construction</x:v>
      </x:c>
      <x:c r="J300" s="2" t="str">
        <x:v>LLM-generated format</x:v>
      </x:c>
      <x:c r="K300" s="2" t="str">
        <x:v>llm_generated_format</x:v>
      </x:c>
      <x:c r="L300" s="6" t="str">
        <x:v>使用单独的LLM调用生成标准化工件格式模板，作为后续文档生成的上下文。</x:v>
      </x:c>
      <x:c r="M300" s="2" t="str">
        <x:v>No</x:v>
      </x:c>
      <x:c r="N300" s="2" t="str">
        <x:v>Partial description</x:v>
      </x:c>
      <x:c r="O300" s="2" t="str">
        <x:v>NA</x:v>
      </x:c>
      <x:c r="P300" s="2" t="str">
        <x:v>No</x:v>
      </x:c>
      <x:c r="Q300" s="2" t="str">
        <x:v>No</x:v>
      </x:c>
      <x:c r="R300" s="2" t="str">
        <x:v>No</x:v>
      </x:c>
      <x:c r="S300" s="2" t="str">
        <x:v>Separate LLM call to generate format, then main call uses it.</x:v>
      </x:c>
      <x:c r="T300" s="6" t="str">
        <x:v>p. 4; Section II-C, Stage 2: Generate Documentation Content</x:v>
      </x:c>
      <x:c r="U300" s="6" t="str">
        <x:v>the format can either be predefined by the user or generated by the LLM in a separate context window. In this study, we used the latter approach to increase the degree of automation. Given that most LLM’s pre-training data contains examples of diverse common artifact types, we can simply prompt Claude to generate a standardized format for the artifact type.</x:v>
      </x:c>
      <x:c r="V300" s="6" t="str">
        <x:v>通过单独的LLM调用生成工件格式模板，为后续主生成任务提供结构化上下文。</x:v>
      </x:c>
      <x:c r="W300" s="2" t="str">
        <x:v>Accepted</x:v>
      </x:c>
      <x:c r="X300" s="6" t="str">
        <x:v>NA</x:v>
      </x:c>
    </x:row>
    <x:row r="301" ht="76" customHeight="1">
      <x:c r="A301" s="2" t="str">
        <x:v>S52-FEATURE-R03</x:v>
      </x:c>
      <x:c r="B301" s="2" t="str">
        <x:v>S52</x:v>
      </x:c>
      <x:c r="C301" s="2" t="str">
        <x:v>snowball_00095</x:v>
      </x:c>
      <x:c r="D301" s="2" t="str">
        <x:v>Reviewer_A</x:v>
      </x:c>
      <x:c r="E301" s="2" t="str">
        <x:v>Reviewer_A</x:v>
      </x:c>
      <x:c r="F301" s="2" t="str">
        <x:v>S52-CF03</x:v>
      </x:c>
      <x:c r="G301" s="2" t="str">
        <x:v>S52-MU02</x:v>
      </x:c>
      <x:c r="H301" s="2" t="str">
        <x:v>S52-O02</x:v>
      </x:c>
      <x:c r="I301" s="2" t="str">
        <x:v>Prompting</x:v>
      </x:c>
      <x:c r="J301" s="2" t="str">
        <x:v>artifact generation prompt with type, format, and target count</x:v>
      </x:c>
      <x:c r="K301" s="2" t="str">
        <x:v>artifact_gen_prompt</x:v>
      </x:c>
      <x:c r="L301" s="6" t="str">
        <x:v>提示LLM根据工件类型、格式模板和目标数量，从聚类内容生成高层文档。</x:v>
      </x:c>
      <x:c r="M301" s="2" t="str">
        <x:v>No</x:v>
      </x:c>
      <x:c r="N301" s="2" t="str">
        <x:v>Partial description</x:v>
      </x:c>
      <x:c r="O301" s="2" t="str">
        <x:v>NA</x:v>
      </x:c>
      <x:c r="P301" s="2" t="str">
        <x:v>No</x:v>
      </x:c>
      <x:c r="Q301" s="2" t="str">
        <x:v>No</x:v>
      </x:c>
      <x:c r="R301" s="2" t="str">
        <x:v>No</x:v>
      </x:c>
      <x:c r="S301" s="2" t="str">
        <x:v>Uses format generated in separate LLM call</x:v>
      </x:c>
      <x:c r="T301" s="6" t="str">
        <x:v>p. 4; Section II-C, Stage 2: Generate Documentation Content</x:v>
      </x:c>
      <x:c r="U301" s="6" t="str">
        <x:v>we prompt the LLM to format the output of the desired artifacts by specifying (i) the output artifact type, (ii) the desired format of the artifact, and (iii) the targeted number of document artifacts to be generated from the current cluster.</x:v>
      </x:c>
      <x:c r="V301" s="6" t="str">
        <x:v>主要生成提示包含工件类型、格式和数量，指导LLM生成结构化文档。</x:v>
      </x:c>
      <x:c r="W301" s="2" t="str">
        <x:v>Accepted</x:v>
      </x:c>
      <x:c r="X301" s="6" t="str">
        <x:v>NA</x:v>
      </x:c>
    </x:row>
    <x:row r="302" ht="76" customHeight="1">
      <x:c r="A302" s="2" t="str">
        <x:v>S53-CONFIG-R01</x:v>
      </x:c>
      <x:c r="B302" s="2" t="str">
        <x:v>S53</x:v>
      </x:c>
      <x:c r="C302" s="2" t="str">
        <x:v>merged_1229</x:v>
      </x:c>
      <x:c r="D302" s="2" t="str">
        <x:v>Reviewer_A</x:v>
      </x:c>
      <x:c r="E302" s="2" t="str">
        <x:v>Reviewer_A</x:v>
      </x:c>
      <x:c r="F302" s="2" t="str">
        <x:v>S53-CF01</x:v>
      </x:c>
      <x:c r="G302" s="2" t="str">
        <x:v>S53-MU01</x:v>
      </x:c>
      <x:c r="H302" s="2" t="str">
        <x:v>S53-O01</x:v>
      </x:c>
      <x:c r="I302" s="2" t="str">
        <x:v>Prompting</x:v>
      </x:c>
      <x:c r="J302" s="2" t="str">
        <x:v>User Requirements Generation Prompt</x:v>
      </x:c>
      <x:c r="K302" s="2" t="str">
        <x:v>zero-shot prompting</x:v>
      </x:c>
      <x:c r="L302" s="6" t="str">
        <x:v>Generate a user requirements document from a sketch.</x:v>
      </x:c>
      <x:c r="M302" s="2" t="str">
        <x:v>Yes</x:v>
      </x:c>
      <x:c r="N302" s="2" t="str">
        <x:v>Full text</x:v>
      </x:c>
      <x:c r="O302" s="2" t="n">
        <x:v>0</x:v>
      </x:c>
      <x:c r="P302" s="2" t="str">
        <x:v>No</x:v>
      </x:c>
      <x:c r="Q302" s="2" t="str">
        <x:v>No</x:v>
      </x:c>
      <x:c r="R302" s="2" t="str">
        <x:v>No</x:v>
      </x:c>
      <x:c r="S302" s="2" t="str">
        <x:v>The same prompt was applied independently to GPT-4, Claude Sonnet 4, and Gemini 2.5 Flash.</x:v>
      </x:c>
      <x:c r="T302" s="6" t="str">
        <x:v>p. 3; Section III-A</x:v>
      </x:c>
      <x:c r="U302" s="6" t="str">
        <x:v>I want to create a User Requirements Document for a Track Surveillance Drone starting from the attached sketch.</x:v>
      </x:c>
      <x:c r="V302" s="6" t="str">
        <x:v>The full task prompt is printed in the paper and no demonstrations, retrieval, fine tuning, or agent workflow are reported.</x:v>
      </x:c>
      <x:c r="W302" s="2" t="str">
        <x:v>Accepted</x:v>
      </x:c>
      <x:c r="X302" s="6" t="str">
        <x:v>The representative model_use_id anchors a prompt shared by all three model uses for the operation.</x:v>
      </x:c>
    </x:row>
    <x:row r="303" ht="76" customHeight="1">
      <x:c r="A303" s="2" t="str">
        <x:v>S53-CONFIG-R02</x:v>
      </x:c>
      <x:c r="B303" s="2" t="str">
        <x:v>S53</x:v>
      </x:c>
      <x:c r="C303" s="2" t="str">
        <x:v>merged_1229</x:v>
      </x:c>
      <x:c r="D303" s="2" t="str">
        <x:v>Reviewer_A</x:v>
      </x:c>
      <x:c r="E303" s="2" t="str">
        <x:v>Reviewer_A</x:v>
      </x:c>
      <x:c r="F303" s="2" t="str">
        <x:v>S53-CF02</x:v>
      </x:c>
      <x:c r="G303" s="2" t="str">
        <x:v>S53-MU04</x:v>
      </x:c>
      <x:c r="H303" s="2" t="str">
        <x:v>S53-O02</x:v>
      </x:c>
      <x:c r="I303" s="2" t="str">
        <x:v>Prompting</x:v>
      </x:c>
      <x:c r="J303" s="2" t="str">
        <x:v>System Requirements Generation Prompt</x:v>
      </x:c>
      <x:c r="K303" s="2" t="str">
        <x:v>zero-shot prompting</x:v>
      </x:c>
      <x:c r="L303" s="6" t="str">
        <x:v>Derive technical system requirements from user requirements and link them.</x:v>
      </x:c>
      <x:c r="M303" s="2" t="str">
        <x:v>Yes</x:v>
      </x:c>
      <x:c r="N303" s="2" t="str">
        <x:v>Full text</x:v>
      </x:c>
      <x:c r="O303" s="2" t="n">
        <x:v>0</x:v>
      </x:c>
      <x:c r="P303" s="2" t="str">
        <x:v>No</x:v>
      </x:c>
      <x:c r="Q303" s="2" t="str">
        <x:v>No</x:v>
      </x:c>
      <x:c r="R303" s="2" t="str">
        <x:v>No</x:v>
      </x:c>
      <x:c r="S303" s="2" t="str">
        <x:v>The same prompt was applied independently to GPT-4, Claude Sonnet 4, and Gemini 2.5 Flash.</x:v>
      </x:c>
      <x:c r="T303" s="6" t="str">
        <x:v>p. 4; Section III-B</x:v>
      </x:c>
      <x:c r="U303" s="6" t="str">
        <x:v>More system requirements can and is expected to be linked to one user requirement.</x:v>
      </x:c>
      <x:c r="V303" s="6" t="str">
        <x:v>The full task prompt is printed in the paper and no demonstrations, retrieval, fine tuning, or agent workflow are reported.</x:v>
      </x:c>
      <x:c r="W303" s="2" t="str">
        <x:v>Accepted</x:v>
      </x:c>
      <x:c r="X303" s="6" t="str">
        <x:v>The representative model_use_id anchors a prompt shared by all three model uses for the operation.</x:v>
      </x:c>
    </x:row>
    <x:row r="304" ht="76" customHeight="1">
      <x:c r="A304" s="2" t="str">
        <x:v>S53-CONFIG-R03</x:v>
      </x:c>
      <x:c r="B304" s="2" t="str">
        <x:v>S53</x:v>
      </x:c>
      <x:c r="C304" s="2" t="str">
        <x:v>merged_1229</x:v>
      </x:c>
      <x:c r="D304" s="2" t="str">
        <x:v>Reviewer_A</x:v>
      </x:c>
      <x:c r="E304" s="2" t="str">
        <x:v>Reviewer_A</x:v>
      </x:c>
      <x:c r="F304" s="2" t="str">
        <x:v>S53-CF03</x:v>
      </x:c>
      <x:c r="G304" s="2" t="str">
        <x:v>S53-MU07</x:v>
      </x:c>
      <x:c r="H304" s="2" t="str">
        <x:v>S53-O03</x:v>
      </x:c>
      <x:c r="I304" s="2" t="str">
        <x:v>Prompting</x:v>
      </x:c>
      <x:c r="J304" s="2" t="str">
        <x:v>Requirements Refinement Prompt</x:v>
      </x:c>
      <x:c r="K304" s="2" t="str">
        <x:v>zero-shot prompting</x:v>
      </x:c>
      <x:c r="L304" s="6" t="str">
        <x:v>Detect and correct any error in the supplied system requirements.</x:v>
      </x:c>
      <x:c r="M304" s="2" t="str">
        <x:v>Yes</x:v>
      </x:c>
      <x:c r="N304" s="2" t="str">
        <x:v>Full text</x:v>
      </x:c>
      <x:c r="O304" s="2" t="n">
        <x:v>0</x:v>
      </x:c>
      <x:c r="P304" s="2" t="str">
        <x:v>No</x:v>
      </x:c>
      <x:c r="Q304" s="2" t="str">
        <x:v>No</x:v>
      </x:c>
      <x:c r="R304" s="2" t="str">
        <x:v>No</x:v>
      </x:c>
      <x:c r="S304" s="2" t="str">
        <x:v>The same prompt was applied independently to GPT-4, Claude Sonnet 4, and Gemini 2.5 Flash.</x:v>
      </x:c>
      <x:c r="T304" s="6" t="str">
        <x:v>p. 4; Section III-C</x:v>
      </x:c>
      <x:c r="U304" s="6" t="str">
        <x:v>Please observe and correct any kind of error that you encounter.</x:v>
      </x:c>
      <x:c r="V304" s="6" t="str">
        <x:v>The full task prompt is printed in the paper and no demonstrations, retrieval, fine tuning, or agent workflow are reported.</x:v>
      </x:c>
      <x:c r="W304" s="2" t="str">
        <x:v>Accepted</x:v>
      </x:c>
      <x:c r="X304" s="6" t="str">
        <x:v>The representative model_use_id anchors a prompt shared by all three model uses for the operation.</x:v>
      </x:c>
    </x:row>
    <x:row r="305" ht="76" customHeight="1">
      <x:c r="A305" s="2" t="str">
        <x:v>S53-CONFIG-R04</x:v>
      </x:c>
      <x:c r="B305" s="2" t="str">
        <x:v>S53</x:v>
      </x:c>
      <x:c r="C305" s="2" t="str">
        <x:v>merged_1229</x:v>
      </x:c>
      <x:c r="D305" s="2" t="str">
        <x:v>Reviewer_A</x:v>
      </x:c>
      <x:c r="E305" s="2" t="str">
        <x:v>Reviewer_A</x:v>
      </x:c>
      <x:c r="F305" s="2" t="str">
        <x:v>S53-CF04</x:v>
      </x:c>
      <x:c r="G305" s="2" t="str">
        <x:v>S53-MU10</x:v>
      </x:c>
      <x:c r="H305" s="2" t="str">
        <x:v>S53-O04</x:v>
      </x:c>
      <x:c r="I305" s="2" t="str">
        <x:v>Prompting</x:v>
      </x:c>
      <x:c r="J305" s="2" t="str">
        <x:v>Product Test Specification Generation Prompt</x:v>
      </x:c>
      <x:c r="K305" s="2" t="str">
        <x:v>zero-shot prompting</x:v>
      </x:c>
      <x:c r="L305" s="6" t="str">
        <x:v>Generate requirement-linked test cases with steps and expected evaluations.</x:v>
      </x:c>
      <x:c r="M305" s="2" t="str">
        <x:v>Yes</x:v>
      </x:c>
      <x:c r="N305" s="2" t="str">
        <x:v>Full text</x:v>
      </x:c>
      <x:c r="O305" s="2" t="n">
        <x:v>0</x:v>
      </x:c>
      <x:c r="P305" s="2" t="str">
        <x:v>No</x:v>
      </x:c>
      <x:c r="Q305" s="2" t="str">
        <x:v>No</x:v>
      </x:c>
      <x:c r="R305" s="2" t="str">
        <x:v>No</x:v>
      </x:c>
      <x:c r="S305" s="2" t="str">
        <x:v>The same prompt was applied independently to GPT-4, Claude Sonnet 4, and Gemini 2.5 Flash.</x:v>
      </x:c>
      <x:c r="T305" s="6" t="str">
        <x:v>pp. 4-5; Section III-D</x:v>
      </x:c>
      <x:c r="U305" s="6" t="str">
        <x:v>generate the derived product test cases specification to cover all these requirements</x:v>
      </x:c>
      <x:c r="V305" s="6" t="str">
        <x:v>The full task prompt is printed in the paper and no demonstrations, retrieval, fine tuning, or agent workflow are reported.</x:v>
      </x:c>
      <x:c r="W305" s="2" t="str">
        <x:v>Accepted</x:v>
      </x:c>
      <x:c r="X305" s="6" t="str">
        <x:v>The representative model_use_id anchors a prompt shared by all three model uses for the operation.</x:v>
      </x:c>
    </x:row>
    <x:row r="306" ht="76" customHeight="1">
      <x:c r="A306" s="2" t="str">
        <x:v>G1-CF-R01</x:v>
      </x:c>
      <x:c r="B306" s="2" t="str">
        <x:v>G1</x:v>
      </x:c>
      <x:c r="C306" s="2" t="str">
        <x:v>v1</x:v>
      </x:c>
      <x:c r="D306" s="2" t="str">
        <x:v>Reviewer_A</x:v>
      </x:c>
      <x:c r="E306" s="2" t="str">
        <x:v>Reviewer_A</x:v>
      </x:c>
      <x:c r="F306" s="2" t="str">
        <x:v>G1-CF01</x:v>
      </x:c>
      <x:c r="G306" s="2" t="str">
        <x:v>G1-MU01</x:v>
      </x:c>
      <x:c r="H306" s="2" t="str">
        <x:v>G1-O01</x:v>
      </x:c>
      <x:c r="I306" s="2" t="str">
        <x:v>Prompting</x:v>
      </x:c>
      <x:c r="J306" s="2" t="str">
        <x:v>in-chat instructions</x:v>
      </x:c>
      <x:c r="K306" s="2" t="str">
        <x:v>prompt_in_chat</x:v>
      </x:c>
      <x:c r="L306" s="6" t="str">
        <x:v>the requirement and the scenario list are typed into the chat window together with a plain-language instruction such as perform requirement traceability of the above requirement with the below scenario</x:v>
      </x:c>
      <x:c r="M306" s="2" t="str">
        <x:v>Yes</x:v>
      </x:c>
      <x:c r="N306" s="2" t="str">
        <x:v>Partial description</x:v>
      </x:c>
      <x:c r="O306" s="2" t="str">
        <x:v>NR</x:v>
      </x:c>
      <x:c r="P306" s="2" t="str">
        <x:v>NR</x:v>
      </x:c>
      <x:c r="Q306" s="2" t="str">
        <x:v>NR</x:v>
      </x:c>
      <x:c r="R306" s="2" t="str">
        <x:v>No</x:v>
      </x:c>
      <x:c r="S306" s="2" t="str">
        <x:v>Single instruction per turn; the instruction is re-typed when the coverage verdict requires another round.</x:v>
      </x:c>
      <x:c r="T306" s="6" t="str">
        <x:v>G1_video_page.png (upload date field, title, view count, likes) ; G1_page_description.png (view count, description text, hashtags, Udemy course links and coupon code) ; [00:00] ; [00:33] ; [00:37] ; [00:50] ; [01:18] ; [02:27] ; [02:33] ; [02:55] ; [03:17] ; [03:41] ; [03:52] ; [04:27] ; [05:04] ; [06:46] </x:v>
      </x:c>
      <x:c r="U306" s="6" t="str">
        <x:v>perform requirement traceability of the above requirement with the below scenario</x:v>
      </x:c>
      <x:c r="V306" s="6" t="str">
        <x:v>Only one instruction is quoted in the material; the remaining prompts are typed off screen, so the prompt detail level is partial.</x:v>
      </x:c>
      <x:c r="W306" s="2" t="str">
        <x:v>Accepted</x:v>
      </x:c>
      <x:c r="X306" s="6" t="str">
        <x:v>NR</x:v>
      </x:c>
    </x:row>
    <x:row r="307" ht="76" customHeight="1">
      <x:c r="A307" s="2" t="str">
        <x:v>G1-CF-R02</x:v>
      </x:c>
      <x:c r="B307" s="2" t="str">
        <x:v>G1</x:v>
      </x:c>
      <x:c r="C307" s="2" t="str">
        <x:v>v1</x:v>
      </x:c>
      <x:c r="D307" s="2" t="str">
        <x:v>Reviewer_A</x:v>
      </x:c>
      <x:c r="E307" s="2" t="str">
        <x:v>Reviewer_A</x:v>
      </x:c>
      <x:c r="F307" s="2" t="str">
        <x:v>G1-CF02</x:v>
      </x:c>
      <x:c r="G307" s="2" t="str">
        <x:v>G1-MU02</x:v>
      </x:c>
      <x:c r="H307" s="2" t="str">
        <x:v>G1-O02</x:v>
      </x:c>
      <x:c r="I307" s="2" t="str">
        <x:v>Calling and orchestration</x:v>
      </x:c>
      <x:c r="J307" s="2" t="str">
        <x:v>two-model hand-off</x:v>
      </x:c>
      <x:c r="K307" s="2" t="str">
        <x:v>two_model_handoff</x:v>
      </x:c>
      <x:c r="L307" s="6" t="str">
        <x:v>the scenarios written with version 3.5 are pasted into version 4, which performs the verification and the matrix construction</x:v>
      </x:c>
      <x:c r="M307" s="2" t="str">
        <x:v>Yes</x:v>
      </x:c>
      <x:c r="N307" s="2" t="str">
        <x:v>Partial description</x:v>
      </x:c>
      <x:c r="O307" s="2" t="str">
        <x:v>NR</x:v>
      </x:c>
      <x:c r="P307" s="2" t="str">
        <x:v>No</x:v>
      </x:c>
      <x:c r="Q307" s="2" t="str">
        <x:v>No</x:v>
      </x:c>
      <x:c r="R307" s="2" t="str">
        <x:v>No</x:v>
      </x:c>
      <x:c r="S307" s="2" t="str">
        <x:v>Multi-model hand-off across two chat sessions, repeated whenever the verification reports an uncovered requirement.</x:v>
      </x:c>
      <x:c r="T307" s="6" t="str">
        <x:v>G1_video_page.png (upload date field, title, view count, likes) ; G1_page_description.png (view count, description text, hashtags, Udemy course links and coupon code) ; [00:00] ; [00:33] ; [00:37] ; [00:50] ; [01:18] ; [02:27] ; [02:33] ; [02:55] ; [03:17] ; [03:41] ; [03:52] ; [04:27] ; [05:04] ; [06:46] </x:v>
      </x:c>
      <x:c r="U307" s="6" t="str">
        <x:v>we're going to ask chat gpd to write the scenarios for us in version 3.5 ; paste it into chat gpd4 to ask us to verify if there requirement matches the test cases</x:v>
      </x:c>
      <x:c r="V307" s="6" t="str">
        <x:v>The workflow chains two model versions rather than one model with several prompts, and the hand-off is manual.</x:v>
      </x:c>
      <x:c r="W307" s="2" t="str">
        <x:v>Accepted</x:v>
      </x:c>
      <x:c r="X307" s="6" t="str">
        <x:v>NR</x:v>
      </x:c>
    </x:row>
    <x:row r="308" ht="76" customHeight="1">
      <x:c r="A308" s="2" t="str">
        <x:v>G2-CF-R01</x:v>
      </x:c>
      <x:c r="B308" s="2" t="str">
        <x:v>G2</x:v>
      </x:c>
      <x:c r="C308" s="2" t="str">
        <x:v>v1</x:v>
      </x:c>
      <x:c r="D308" s="2" t="str">
        <x:v>Reviewer_A</x:v>
      </x:c>
      <x:c r="E308" s="2" t="str">
        <x:v>Reviewer_A</x:v>
      </x:c>
      <x:c r="F308" s="2" t="str">
        <x:v>G2-CF01</x:v>
      </x:c>
      <x:c r="G308" s="2" t="str">
        <x:v>G2-MU01</x:v>
      </x:c>
      <x:c r="H308" s="2" t="str">
        <x:v>G2-O01</x:v>
      </x:c>
      <x:c r="I308" s="2" t="str">
        <x:v>Context construction</x:v>
      </x:c>
      <x:c r="J308" s="2" t="str">
        <x:v>retrieval augmented generation system</x:v>
      </x:c>
      <x:c r="K308" s="2" t="str">
        <x:v>rag_context</x:v>
      </x:c>
      <x:c r="L308" s="6" t="str">
        <x:v>a retrieval layer supplies the traceability information for the relevant variables and data sets so that the model answers from the graph instead of from the whole code base</x:v>
      </x:c>
      <x:c r="M308" s="2" t="str">
        <x:v>NR</x:v>
      </x:c>
      <x:c r="N308" s="2" t="str">
        <x:v>NR</x:v>
      </x:c>
      <x:c r="O308" s="2" t="str">
        <x:v>NR</x:v>
      </x:c>
      <x:c r="P308" s="2" t="str">
        <x:v>Yes</x:v>
      </x:c>
      <x:c r="Q308" s="2" t="str">
        <x:v>No</x:v>
      </x:c>
      <x:c r="R308" s="2" t="str">
        <x:v>Yes</x:v>
      </x:c>
      <x:c r="S308" s="2" t="str">
        <x:v>Retrieval feeds a prompt that is enriched before the call, and the answer carries a confidence indication.</x:v>
      </x:c>
      <x:c r="T308" s="6" t="str">
        <x:v>G2_video_page.png (title, speaker and affiliation slide, channel, view count, likes) ; G2_page_description.png (page date, speaker attribution, description text, links) ; [00:59] ; [07:19] ; [07:32] ; [09:38] ; [10:14] ; [12:17] ; [12:24] ; [14:08] ; [17:39] ; [21:09] ; [26:46] ; [32:49] ; [37:01] ; [38:58] ; [39:01] ; [39:17] ; [40:47] </x:v>
      </x:c>
      <x:c r="U308" s="6" t="str">
        <x:v>what we do is we use a rag system which provides additional context and we generate prompts</x:v>
      </x:c>
      <x:c r="V308" s="6" t="str">
        <x:v>Retrieval is the mechanism the presenter gives for keeping the model on traceable evidence rather than on the whole code base.</x:v>
      </x:c>
      <x:c r="W308" s="2" t="str">
        <x:v>Accepted</x:v>
      </x:c>
      <x:c r="X308" s="6" t="str">
        <x:v>NR</x:v>
      </x:c>
    </x:row>
    <x:row r="309" ht="76" customHeight="1">
      <x:c r="A309" s="2" t="str">
        <x:v>G2-CF-R02</x:v>
      </x:c>
      <x:c r="B309" s="2" t="str">
        <x:v>G2</x:v>
      </x:c>
      <x:c r="C309" s="2" t="str">
        <x:v>v1</x:v>
      </x:c>
      <x:c r="D309" s="2" t="str">
        <x:v>Reviewer_A</x:v>
      </x:c>
      <x:c r="E309" s="2" t="str">
        <x:v>Reviewer_A</x:v>
      </x:c>
      <x:c r="F309" s="2" t="str">
        <x:v>G2-CF02</x:v>
      </x:c>
      <x:c r="G309" s="2" t="str">
        <x:v>G2-MU02</x:v>
      </x:c>
      <x:c r="H309" s="2" t="str">
        <x:v>G2-O02</x:v>
      </x:c>
      <x:c r="I309" s="2" t="str">
        <x:v>Prompting</x:v>
      </x:c>
      <x:c r="J309" s="2" t="str">
        <x:v>prompt enrichment layer</x:v>
      </x:c>
      <x:c r="K309" s="2" t="str">
        <x:v>prompt_enrichment</x:v>
      </x:c>
      <x:c r="L309" s="6" t="str">
        <x:v>the generated prompts carry only the traceable code lines and metadata that are needed to answer, so the information density is high and the prompt stays inside the statically derived evidence</x:v>
      </x:c>
      <x:c r="M309" s="2" t="str">
        <x:v>NR</x:v>
      </x:c>
      <x:c r="N309" s="2" t="str">
        <x:v>NR</x:v>
      </x:c>
      <x:c r="O309" s="2" t="str">
        <x:v>NR</x:v>
      </x:c>
      <x:c r="P309" s="2" t="str">
        <x:v>Yes</x:v>
      </x:c>
      <x:c r="Q309" s="2" t="str">
        <x:v>No</x:v>
      </x:c>
      <x:c r="R309" s="2" t="str">
        <x:v>Yes</x:v>
      </x:c>
      <x:c r="S309" s="2" t="str">
        <x:v>One enriched prompt per question, built from the retrieval result.</x:v>
      </x:c>
      <x:c r="T309" s="6" t="str">
        <x:v>G2_video_page.png (title, speaker and affiliation slide, channel, view count, likes) ; G2_page_description.png (page date, speaker attribution, description text, links) ; [00:59] ; [07:19] ; [07:32] ; [09:38] ; [10:14] ; [12:17] ; [12:24] ; [14:08] ; [17:39] ; [21:09] ; [26:46] ; [32:49] ; [37:01] ; [38:58] ; [39:01] ; [39:17] ; [40:47] </x:v>
      </x:c>
      <x:c r="U309" s="6" t="str">
        <x:v>we generate prompts where the information density is so dense that it only contains the information that it needs to answer</x:v>
      </x:c>
      <x:c r="V309" s="6" t="str">
        <x:v>The prompt is constructed by the platform from the graph rather than written by the user, which is why the prompt availability field stays NR.</x:v>
      </x:c>
      <x:c r="W309" s="2" t="str">
        <x:v>Accepted</x:v>
      </x:c>
      <x:c r="X309" s="6" t="str">
        <x:v>NR</x:v>
      </x:c>
    </x:row>
    <x:row r="310" ht="76" customHeight="1">
      <x:c r="A310" s="2" t="str">
        <x:v>G2-CF-R03</x:v>
      </x:c>
      <x:c r="B310" s="2" t="str">
        <x:v>G2</x:v>
      </x:c>
      <x:c r="C310" s="2" t="str">
        <x:v>v1</x:v>
      </x:c>
      <x:c r="D310" s="2" t="str">
        <x:v>Reviewer_A</x:v>
      </x:c>
      <x:c r="E310" s="2" t="str">
        <x:v>Reviewer_A</x:v>
      </x:c>
      <x:c r="F310" s="2" t="str">
        <x:v>G2-CF03</x:v>
      </x:c>
      <x:c r="G310" s="2" t="str">
        <x:v>G2-MU03</x:v>
      </x:c>
      <x:c r="H310" s="2" t="str">
        <x:v>G2-O03</x:v>
      </x:c>
      <x:c r="I310" s="2" t="str">
        <x:v>Adaptation</x:v>
      </x:c>
      <x:c r="J310" s="2" t="str">
        <x:v>training the pre-trained models on SAS specifics</x:v>
      </x:c>
      <x:c r="K310" s="2" t="str">
        <x:v>domain_adaptation_planned</x:v>
      </x:c>
      <x:c r="L310" s="6" t="str">
        <x:v>the talk states that the largely pre-trained models will now be trained on SAS specifics</x:v>
      </x:c>
      <x:c r="M310" s="2" t="str">
        <x:v>NR</x:v>
      </x:c>
      <x:c r="N310" s="2" t="str">
        <x:v>NR</x:v>
      </x:c>
      <x:c r="O310" s="2" t="str">
        <x:v>NR</x:v>
      </x:c>
      <x:c r="P310" s="2" t="str">
        <x:v>Yes</x:v>
      </x:c>
      <x:c r="Q310" s="2" t="str">
        <x:v>No</x:v>
      </x:c>
      <x:c r="R310" s="2" t="str">
        <x:v>Yes</x:v>
      </x:c>
      <x:c r="S310" s="2" t="str">
        <x:v>Adaptation is stated as a next step rather than as part of the demonstrated configuration.</x:v>
      </x:c>
      <x:c r="T310" s="6" t="str">
        <x:v>G2_video_page.png (title, speaker and affiliation slide, channel, view count, likes) ; G2_page_description.png (page date, speaker attribution, description text, links) ; [00:59] ; [07:19] ; [07:32] ; [09:38] ; [10:14] ; [12:17] ; [12:24] ; [14:08] ; [17:39] ; [21:09] ; [26:46] ; [32:49] ; [37:01] ; [38:58] ; [39:01] ; [39:17] ; [40:47] </x:v>
      </x:c>
      <x:c r="U310" s="6" t="str">
        <x:v>we use largely pre-trained models but we will now train them on sas specifics mostly</x:v>
      </x:c>
      <x:c r="V310" s="6" t="str">
        <x:v>Recorded as an adaptation feature with fine tuning marked No because the talk presents the training as about to start.</x:v>
      </x:c>
      <x:c r="W310" s="2" t="str">
        <x:v>Accepted</x:v>
      </x:c>
      <x:c r="X310" s="6" t="str">
        <x:v>NR</x:v>
      </x:c>
    </x:row>
    <x:row r="311" ht="76" customHeight="1">
      <x:c r="A311" s="2" t="str">
        <x:v>G3-CF-R01</x:v>
      </x:c>
      <x:c r="B311" s="2" t="str">
        <x:v>G3</x:v>
      </x:c>
      <x:c r="C311" s="2" t="str">
        <x:v>v1</x:v>
      </x:c>
      <x:c r="D311" s="2" t="str">
        <x:v>Reviewer_A</x:v>
      </x:c>
      <x:c r="E311" s="2" t="str">
        <x:v>Reviewer_A</x:v>
      </x:c>
      <x:c r="F311" s="2" t="str">
        <x:v>G3-CF01</x:v>
      </x:c>
      <x:c r="G311" s="2" t="str">
        <x:v>G3-MU02</x:v>
      </x:c>
      <x:c r="H311" s="2" t="str">
        <x:v>G3-O02</x:v>
      </x:c>
      <x:c r="I311" s="2" t="str">
        <x:v>Context construction</x:v>
      </x:c>
      <x:c r="J311" s="2" t="str">
        <x:v>vector service powered by phase embeddings</x:v>
      </x:c>
      <x:c r="K311" s="2" t="str">
        <x:v>transcript_embedding</x:v>
      </x:c>
      <x:c r="L311" s="6" t="str">
        <x:v>the transcript is embedded through the vector service before entity and relationship extraction</x:v>
      </x:c>
      <x:c r="M311" s="2" t="str">
        <x:v>NR</x:v>
      </x:c>
      <x:c r="N311" s="2" t="str">
        <x:v>NR</x:v>
      </x:c>
      <x:c r="O311" s="2" t="str">
        <x:v>NR</x:v>
      </x:c>
      <x:c r="P311" s="2" t="str">
        <x:v>NR</x:v>
      </x:c>
      <x:c r="Q311" s="2" t="str">
        <x:v>NR</x:v>
      </x:c>
      <x:c r="R311" s="2" t="str">
        <x:v>NR</x:v>
      </x:c>
      <x:c r="S311" s="2" t="str">
        <x:v>One embedding pass per uploaded recording.</x:v>
      </x:c>
      <x:c r="T311" s="6" t="str">
        <x:v>G3_video_page.png (title, channel, view count, likes) ; G3_page_description.png (page date, description text, feature list, uploading account) ; [00:01] ; [00:10] ; [00:30] ; [00:45] ; [00:54] ; [01:04] ; [01:14] ; [01:26] ; [01:32] ; [01:39] ; [02:05] ; [02:15] ; [02:56] ; [03:13] </x:v>
      </x:c>
      <x:c r="U311" s="6" t="str">
        <x:v>next, we pass this transcript through our vector service powered by phase embeddings</x:v>
      </x:c>
      <x:c r="V311" s="6" t="str">
        <x:v>The embedding step is what gives the pipeline semantic access to the transcript, and the material reports no retrieval over it.</x:v>
      </x:c>
      <x:c r="W311" s="2" t="str">
        <x:v>Accepted</x:v>
      </x:c>
      <x:c r="X311" s="6" t="str">
        <x:v>NR</x:v>
      </x:c>
    </x:row>
    <x:row r="312" ht="76" customHeight="1">
      <x:c r="A312" s="2" t="str">
        <x:v>G4-CF-R01</x:v>
      </x:c>
      <x:c r="B312" s="2" t="str">
        <x:v>G4</x:v>
      </x:c>
      <x:c r="C312" s="2" t="str">
        <x:v>v1</x:v>
      </x:c>
      <x:c r="D312" s="2" t="str">
        <x:v>Reviewer_A</x:v>
      </x:c>
      <x:c r="E312" s="2" t="str">
        <x:v>Reviewer_A</x:v>
      </x:c>
      <x:c r="F312" s="2" t="str">
        <x:v>G4-CF01</x:v>
      </x:c>
      <x:c r="G312" s="2" t="str">
        <x:v>G4-MU01</x:v>
      </x:c>
      <x:c r="H312" s="2" t="str">
        <x:v>G4-O01</x:v>
      </x:c>
      <x:c r="I312" s="2" t="str">
        <x:v>Calling and orchestration</x:v>
      </x:c>
      <x:c r="J312" s="2" t="str">
        <x:v>modular task-specific micro-agents</x:v>
      </x:c>
      <x:c r="K312" s="2" t="str">
        <x:v>micro_agents</x:v>
      </x:c>
      <x:c r="L312" s="6" t="str">
        <x:v>the approach uses modular, task-specific micro-agents designed for precisely defined use cases within controlled contexts, so each step runs with a narrow purpose</x:v>
      </x:c>
      <x:c r="M312" s="2" t="str">
        <x:v>NR</x:v>
      </x:c>
      <x:c r="N312" s="2" t="str">
        <x:v>NR</x:v>
      </x:c>
      <x:c r="O312" s="2" t="str">
        <x:v>NR</x:v>
      </x:c>
      <x:c r="P312" s="2" t="str">
        <x:v>NR</x:v>
      </x:c>
      <x:c r="Q312" s="2" t="str">
        <x:v>NR</x:v>
      </x:c>
      <x:c r="R312" s="2" t="str">
        <x:v>Yes</x:v>
      </x:c>
      <x:c r="S312" s="2" t="str">
        <x:v>Each micro-agent covers one precisely defined task inside a controlled context.</x:v>
      </x:c>
      <x:c r="T312"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U312" s="6" t="str">
        <x:v>Vector's approach is based on modular, task-specific micro-agents designed for precisely defined use cases within controlled contexts.</x:v>
      </x:c>
      <x:c r="V312" s="6" t="str">
        <x:v>The orchestration is scoped by design, and the page presents the narrow agent context as the safety argument.</x:v>
      </x:c>
      <x:c r="W312" s="2" t="str">
        <x:v>Accepted</x:v>
      </x:c>
      <x:c r="X312" s="6" t="str">
        <x:v>NR</x:v>
      </x:c>
    </x:row>
    <x:row r="313" ht="76" customHeight="1">
      <x:c r="A313" s="2" t="str">
        <x:v>G4-CF-R02</x:v>
      </x:c>
      <x:c r="B313" s="2" t="str">
        <x:v>G4</x:v>
      </x:c>
      <x:c r="C313" s="2" t="str">
        <x:v>v1</x:v>
      </x:c>
      <x:c r="D313" s="2" t="str">
        <x:v>Reviewer_A</x:v>
      </x:c>
      <x:c r="E313" s="2" t="str">
        <x:v>Reviewer_A</x:v>
      </x:c>
      <x:c r="F313" s="2" t="str">
        <x:v>G4-CF02</x:v>
      </x:c>
      <x:c r="G313" s="2" t="str">
        <x:v>G4-MU01</x:v>
      </x:c>
      <x:c r="H313" s="2" t="str">
        <x:v>G4-O01</x:v>
      </x:c>
      <x:c r="I313" s="2" t="str">
        <x:v>Other</x:v>
      </x:c>
      <x:c r="J313" s="2" t="str">
        <x:v>Bring Your Own Model</x:v>
      </x:c>
      <x:c r="K313" s="2" t="str">
        <x:v>byom</x:v>
      </x:c>
      <x:c r="L313" s="6" t="str">
        <x:v>the customer selects the model and on-premises, cloud and hybrid deployment are all stated</x:v>
      </x:c>
      <x:c r="M313" s="2" t="str">
        <x:v>NR</x:v>
      </x:c>
      <x:c r="N313" s="2" t="str">
        <x:v>NR</x:v>
      </x:c>
      <x:c r="O313" s="2" t="str">
        <x:v>NR</x:v>
      </x:c>
      <x:c r="P313" s="2" t="str">
        <x:v>NR</x:v>
      </x:c>
      <x:c r="Q313" s="2" t="str">
        <x:v>NR</x:v>
      </x:c>
      <x:c r="R313" s="2" t="str">
        <x:v>Yes</x:v>
      </x:c>
      <x:c r="S313" s="2" t="str">
        <x:v>The model choice is left to the customer, so the configuration is not fixed by the vendor.</x:v>
      </x:c>
      <x:c r="T313"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U313" s="6" t="str">
        <x:v>Bring Your Own Model</x:v>
      </x:c>
      <x:c r="V313" s="6" t="str">
        <x:v>The model-selection freedom is recorded as a configuration feature because it determines how the tool is deployed.</x:v>
      </x:c>
      <x:c r="W313" s="2" t="str">
        <x:v>Accepted</x:v>
      </x:c>
      <x:c r="X313" s="6" t="str">
        <x:v>NR</x:v>
      </x:c>
    </x:row>
    <x:row r="314" ht="76" customHeight="1">
      <x:c r="A314" s="2" t="str">
        <x:v>G5-CF-R01</x:v>
      </x:c>
      <x:c r="B314" s="2" t="str">
        <x:v>G5</x:v>
      </x:c>
      <x:c r="C314" s="2" t="str">
        <x:v>v1</x:v>
      </x:c>
      <x:c r="D314" s="2" t="str">
        <x:v>Reviewer_A</x:v>
      </x:c>
      <x:c r="E314" s="2" t="str">
        <x:v>Reviewer_A</x:v>
      </x:c>
      <x:c r="F314" s="2" t="str">
        <x:v>G5-CF01</x:v>
      </x:c>
      <x:c r="G314" s="2" t="str">
        <x:v>G5-MU01</x:v>
      </x:c>
      <x:c r="H314" s="2" t="str">
        <x:v>G5-O01</x:v>
      </x:c>
      <x:c r="I314" s="2" t="str">
        <x:v>Context construction</x:v>
      </x:c>
      <x:c r="J314" s="2" t="str">
        <x:v>RAG and vector databases</x:v>
      </x:c>
      <x:c r="K314" s="2" t="str">
        <x:v>rag_context</x:v>
      </x:c>
      <x:c r="L314" s="6" t="str">
        <x:v>retrieval augmented generation over vector databases adds context to the requirement and code scope information before the model answers</x:v>
      </x:c>
      <x:c r="M314" s="2" t="str">
        <x:v>NR</x:v>
      </x:c>
      <x:c r="N314" s="2" t="str">
        <x:v>NR</x:v>
      </x:c>
      <x:c r="O314" s="2" t="str">
        <x:v>NR</x:v>
      </x:c>
      <x:c r="P314" s="2" t="str">
        <x:v>Yes</x:v>
      </x:c>
      <x:c r="Q314" s="2" t="str">
        <x:v>NR</x:v>
      </x:c>
      <x:c r="R314" s="2" t="str">
        <x:v>Yes</x:v>
      </x:c>
      <x:c r="S314" s="2" t="str">
        <x:v>Retrieval is part of the described approach; the talk does not describe how many retrieval rounds are used.</x:v>
      </x:c>
      <x:c r="T314"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U314" s="6" t="str">
        <x:v>RAG and vector databases add context</x:v>
      </x:c>
      <x:c r="V314" s="6" t="str">
        <x:v>The talk presents retrieval as the way to give the model enough context, and it also warns that insufficient context causes hallucination.</x:v>
      </x:c>
      <x:c r="W314" s="2" t="str">
        <x:v>Accepted</x:v>
      </x:c>
      <x:c r="X314" s="6" t="str">
        <x:v>NR</x:v>
      </x:c>
    </x:row>
    <x:row r="315" ht="76" customHeight="1">
      <x:c r="A315" s="2" t="str">
        <x:v>G5-CF-R02</x:v>
      </x:c>
      <x:c r="B315" s="2" t="str">
        <x:v>G5</x:v>
      </x:c>
      <x:c r="C315" s="2" t="str">
        <x:v>v1</x:v>
      </x:c>
      <x:c r="D315" s="2" t="str">
        <x:v>Reviewer_A</x:v>
      </x:c>
      <x:c r="E315" s="2" t="str">
        <x:v>Reviewer_A</x:v>
      </x:c>
      <x:c r="F315" s="2" t="str">
        <x:v>G5-CF02</x:v>
      </x:c>
      <x:c r="G315" s="2" t="str">
        <x:v>G5-MU03</x:v>
      </x:c>
      <x:c r="H315" s="2" t="str">
        <x:v>G5-O03</x:v>
      </x:c>
      <x:c r="I315" s="2" t="str">
        <x:v>Calling and orchestration</x:v>
      </x:c>
      <x:c r="J315" s="2" t="str">
        <x:v>MCP protocol and command-line interfaces</x:v>
      </x:c>
      <x:c r="K315" s="2" t="str">
        <x:v>tool_orchestration</x:v>
      </x:c>
      <x:c r="L315" s="6" t="str">
        <x:v>the MCP protocol and command-line interfaces let the model reach the local test and analysis tools and the target</x:v>
      </x:c>
      <x:c r="M315" s="2" t="str">
        <x:v>NR</x:v>
      </x:c>
      <x:c r="N315" s="2" t="str">
        <x:v>NR</x:v>
      </x:c>
      <x:c r="O315" s="2" t="str">
        <x:v>NR</x:v>
      </x:c>
      <x:c r="P315" s="2" t="str">
        <x:v>Yes</x:v>
      </x:c>
      <x:c r="Q315" s="2" t="str">
        <x:v>NR</x:v>
      </x:c>
      <x:c r="R315" s="2" t="str">
        <x:v>Yes</x:v>
      </x:c>
      <x:c r="S315" s="2" t="str">
        <x:v>Tool calls are issued from the model side and the target execution stays with the deterministic tools.</x:v>
      </x:c>
      <x:c r="T31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U315" s="6" t="str">
        <x:v>mcp protocols which is a you know an http based protocol that allows llms to access local tools</x:v>
      </x:c>
      <x:c r="V315" s="6" t="str">
        <x:v>The protocol is the integration boundary between the model and the tool chain, and it is what keeps execution deterministic.</x:v>
      </x:c>
      <x:c r="W315" s="2" t="str">
        <x:v>Accepted</x:v>
      </x:c>
      <x:c r="X315" s="6" t="str">
        <x:v>NR</x:v>
      </x:c>
    </x:row>
    <x:row r="316" ht="76" customHeight="1">
      <x:c r="A316" s="2" t="str">
        <x:v>G6-CF-R01</x:v>
      </x:c>
      <x:c r="B316" s="2" t="str">
        <x:v>G6</x:v>
      </x:c>
      <x:c r="C316" s="2" t="str">
        <x:v>v1</x:v>
      </x:c>
      <x:c r="D316" s="2" t="str">
        <x:v>Reviewer_A</x:v>
      </x:c>
      <x:c r="E316" s="2" t="str">
        <x:v>Reviewer_A</x:v>
      </x:c>
      <x:c r="F316" s="2" t="str">
        <x:v>G6-CF01</x:v>
      </x:c>
      <x:c r="G316" s="2" t="str">
        <x:v>G6-MU02</x:v>
      </x:c>
      <x:c r="H316" s="2" t="str">
        <x:v>G6-O02</x:v>
      </x:c>
      <x:c r="I316" s="2" t="str">
        <x:v>Context construction</x:v>
      </x:c>
      <x:c r="J316" s="2" t="str">
        <x:v>MC/DC truth table and test case template fed to the model</x:v>
      </x:c>
      <x:c r="K316" s="2" t="str">
        <x:v>constrained_input</x:v>
      </x:c>
      <x:c r="L316" s="6" t="str">
        <x:v>the truth table and the test case template are supplied together with the requirements and previously written test cases so that the answer space is constrained and hallucination is reduced</x:v>
      </x:c>
      <x:c r="M316" s="2" t="str">
        <x:v>NR</x:v>
      </x:c>
      <x:c r="N316" s="2" t="str">
        <x:v>NR</x:v>
      </x:c>
      <x:c r="O316" s="2" t="str">
        <x:v>NR</x:v>
      </x:c>
      <x:c r="P316" s="2" t="str">
        <x:v>NR</x:v>
      </x:c>
      <x:c r="Q316" s="2" t="str">
        <x:v>NR</x:v>
      </x:c>
      <x:c r="R316" s="2" t="str">
        <x:v>NR</x:v>
      </x:c>
      <x:c r="S316" s="2" t="str">
        <x:v>One constrained request per decision under test, with the template fixing the output shape.</x:v>
      </x:c>
      <x:c r="T316"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U316" s="6" t="str">
        <x:v>we can feed this truth table as well as the test case template</x:v>
      </x:c>
      <x:c r="V316" s="6" t="str">
        <x:v>Supplying deterministic structure with the request is the mitigation the speaker describes for hallucination in this step.</x:v>
      </x:c>
      <x:c r="W316" s="2" t="str">
        <x:v>Accepted</x:v>
      </x:c>
      <x:c r="X316" s="6" t="str">
        <x:v>NR</x:v>
      </x:c>
    </x:row>
    <x:row r="317" ht="76" customHeight="1">
      <x:c r="A317" s="2" t="str">
        <x:v>G7-CF-R01</x:v>
      </x:c>
      <x:c r="B317" s="2" t="str">
        <x:v>G7</x:v>
      </x:c>
      <x:c r="C317" s="2" t="str">
        <x:v>v1</x:v>
      </x:c>
      <x:c r="D317" s="2" t="str">
        <x:v>Reviewer_A</x:v>
      </x:c>
      <x:c r="E317" s="2" t="str">
        <x:v>Reviewer_A</x:v>
      </x:c>
      <x:c r="F317" s="2" t="str">
        <x:v>G7-CF01</x:v>
      </x:c>
      <x:c r="G317" s="2" t="str">
        <x:v>G7-MU02</x:v>
      </x:c>
      <x:c r="H317" s="2" t="str">
        <x:v>G7-O02</x:v>
      </x:c>
      <x:c r="I317" s="2" t="str">
        <x:v>Context construction</x:v>
      </x:c>
      <x:c r="J317" s="2" t="str">
        <x:v>MCP query interface and command-line tools over the traceability graph</x:v>
      </x:c>
      <x:c r="K317" s="2" t="str">
        <x:v>filtered_retrieval</x:v>
      </x:c>
      <x:c r="L317" s="6" t="str">
        <x:v>the agent retrieves only the needs and links that the query exposes instead of indexing the whole document and code base</x:v>
      </x:c>
      <x:c r="M317" s="2" t="str">
        <x:v>NR</x:v>
      </x:c>
      <x:c r="N317" s="2" t="str">
        <x:v>NR</x:v>
      </x:c>
      <x:c r="O317" s="2" t="str">
        <x:v>NR</x:v>
      </x:c>
      <x:c r="P317" s="2" t="str">
        <x:v>Yes</x:v>
      </x:c>
      <x:c r="Q317" s="2" t="str">
        <x:v>NR</x:v>
      </x:c>
      <x:c r="R317" s="2" t="str">
        <x:v>Yes</x:v>
      </x:c>
      <x:c r="S317" s="2" t="str">
        <x:v>The retrieval scope is fixed by the query and the tool filtering before the model is called.</x:v>
      </x:c>
      <x:c r="T317"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U317" s="6" t="str">
        <x:v>so, therefore sphinx needs also can be filtered and by tools ; so that at the end we have full control about 100% of the input data which really goes to an llm</x:v>
      </x:c>
      <x:c r="V317" s="6" t="str">
        <x:v>Retrieval is used as a governance mechanism rather than only as a relevance mechanism.</x:v>
      </x:c>
      <x:c r="W317" s="2" t="str">
        <x:v>Accepted</x:v>
      </x:c>
      <x:c r="X317" s="6" t="str">
        <x:v>NR</x:v>
      </x:c>
    </x:row>
    <x:row r="318" ht="76" customHeight="1">
      <x:c r="A318" s="2" t="str">
        <x:v>G7-CF-R02</x:v>
      </x:c>
      <x:c r="B318" s="2" t="str">
        <x:v>G7</x:v>
      </x:c>
      <x:c r="C318" s="2" t="str">
        <x:v>v1</x:v>
      </x:c>
      <x:c r="D318" s="2" t="str">
        <x:v>Reviewer_A</x:v>
      </x:c>
      <x:c r="E318" s="2" t="str">
        <x:v>Reviewer_A</x:v>
      </x:c>
      <x:c r="F318" s="2" t="str">
        <x:v>G7-CF02</x:v>
      </x:c>
      <x:c r="G318" s="2" t="str">
        <x:v>G7-MU01</x:v>
      </x:c>
      <x:c r="H318" s="2" t="str">
        <x:v>G7-O01</x:v>
      </x:c>
      <x:c r="I318" s="2" t="str">
        <x:v>Calling and orchestration</x:v>
      </x:c>
      <x:c r="J318" s="2" t="str">
        <x:v>Pharaoh agentic framework</x:v>
      </x:c>
      <x:c r="K318" s="2" t="str">
        <x:v>agent_scaffold</x:v>
      </x:c>
      <x:c r="L318" s="6" t="str">
        <x:v>agents are defined with instructions, skills and tools and operate on the graph through the MCP server, so the agent definition itself is a versioned project artefact</x:v>
      </x:c>
      <x:c r="M318" s="2" t="str">
        <x:v>NR</x:v>
      </x:c>
      <x:c r="N318" s="2" t="str">
        <x:v>NR</x:v>
      </x:c>
      <x:c r="O318" s="2" t="str">
        <x:v>NR</x:v>
      </x:c>
      <x:c r="P318" s="2" t="str">
        <x:v>Yes</x:v>
      </x:c>
      <x:c r="Q318" s="2" t="str">
        <x:v>NR</x:v>
      </x:c>
      <x:c r="R318" s="2" t="str">
        <x:v>Yes</x:v>
      </x:c>
      <x:c r="S318" s="2" t="str">
        <x:v>The agent runs as a scaffold around the model, and the talk reports that instructions can be lost across repeated runs.</x:v>
      </x:c>
      <x:c r="T318"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U318" s="6" t="str">
        <x:v>we have created an agentic system called pharaoh, which is able ; respected by the llm call</x:v>
      </x:c>
      <x:c r="V318" s="6" t="str">
        <x:v>The agent definition is treated as configuration that should be traceable like any other artefact.</x:v>
      </x:c>
      <x:c r="W318" s="2" t="str">
        <x:v>Accepted</x:v>
      </x:c>
      <x:c r="X318" s="6" t="str">
        <x:v>NR</x:v>
      </x:c>
    </x:row>
    <x:row r="319" ht="76" customHeight="1">
      <x:c r="A319" s="2" t="str">
        <x:v>G8-CF-R01</x:v>
      </x:c>
      <x:c r="B319" s="2" t="str">
        <x:v>G8</x:v>
      </x:c>
      <x:c r="C319" s="2" t="str">
        <x:v>v1</x:v>
      </x:c>
      <x:c r="D319" s="2" t="str">
        <x:v>Reviewer_A</x:v>
      </x:c>
      <x:c r="E319" s="2" t="str">
        <x:v>Reviewer_A</x:v>
      </x:c>
      <x:c r="F319" s="2" t="str">
        <x:v>G8-CF01</x:v>
      </x:c>
      <x:c r="G319" s="2" t="str">
        <x:v>G8-MU01</x:v>
      </x:c>
      <x:c r="H319" s="2" t="str">
        <x:v>G8-O01</x:v>
      </x:c>
      <x:c r="I319" s="2" t="str">
        <x:v>Calling and orchestration</x:v>
      </x:c>
      <x:c r="J319" s="2" t="str">
        <x:v>per-requirement call to Claude</x:v>
      </x:c>
      <x:c r="K319" s="2" t="str">
        <x:v>per_requirement_call</x:v>
      </x:c>
      <x:c r="L319" s="6" t="str">
        <x:v>each requirement is processed in its own call, with the relevant source file selected before the call</x:v>
      </x:c>
      <x:c r="M319" s="2" t="str">
        <x:v>NR</x:v>
      </x:c>
      <x:c r="N319" s="2" t="str">
        <x:v>NR</x:v>
      </x:c>
      <x:c r="O319" s="2" t="str">
        <x:v>NR</x:v>
      </x:c>
      <x:c r="P319" s="2" t="str">
        <x:v>No</x:v>
      </x:c>
      <x:c r="Q319" s="2" t="str">
        <x:v>NR</x:v>
      </x:c>
      <x:c r="R319" s="2" t="str">
        <x:v>Yes</x:v>
      </x:c>
      <x:c r="S319" s="2" t="str">
        <x:v>One model call per requirement, with no retrieval in the demonstrated configuration.</x:v>
      </x:c>
      <x:c r="T319"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U319" s="6" t="str">
        <x:v>for each requirement um it selects the relevant c file and calls claude and maps the requirement to code</x:v>
      </x:c>
      <x:c r="V319" s="6" t="str">
        <x:v>The per-requirement loop is what makes the run slow, and the material states that retrieval is planned to remove the delay.</x:v>
      </x:c>
      <x:c r="W319" s="2" t="str">
        <x:v>Accepted</x:v>
      </x:c>
      <x:c r="X319" s="6" t="str">
        <x:v>NR</x:v>
      </x:c>
    </x:row>
    <x:row r="320" ht="76" customHeight="1">
      <x:c r="A320" s="2" t="str">
        <x:v>G8-CF-R02</x:v>
      </x:c>
      <x:c r="B320" s="2" t="str">
        <x:v>G8</x:v>
      </x:c>
      <x:c r="C320" s="2" t="str">
        <x:v>v1</x:v>
      </x:c>
      <x:c r="D320" s="2" t="str">
        <x:v>Reviewer_A</x:v>
      </x:c>
      <x:c r="E320" s="2" t="str">
        <x:v>Reviewer_A</x:v>
      </x:c>
      <x:c r="F320" s="2" t="str">
        <x:v>G8-CF02</x:v>
      </x:c>
      <x:c r="G320" s="2" t="str">
        <x:v>G8-MU01</x:v>
      </x:c>
      <x:c r="H320" s="2" t="str">
        <x:v>G8-O01</x:v>
      </x:c>
      <x:c r="I320" s="2" t="str">
        <x:v>Context construction</x:v>
      </x:c>
      <x:c r="J320" s="2" t="str">
        <x:v>per-application json configuration file</x:v>
      </x:c>
      <x:c r="K320" s="2" t="str">
        <x:v>context_scoping</x:v>
      </x:c>
      <x:c r="L320" s="6" t="str">
        <x:v>a short per-application configuration file tells the RTM generator which source files to load for each requirement</x:v>
      </x:c>
      <x:c r="M320" s="2" t="str">
        <x:v>NR</x:v>
      </x:c>
      <x:c r="N320" s="2" t="str">
        <x:v>NR</x:v>
      </x:c>
      <x:c r="O320" s="2" t="str">
        <x:v>NR</x:v>
      </x:c>
      <x:c r="P320" s="2" t="str">
        <x:v>No</x:v>
      </x:c>
      <x:c r="Q320" s="2" t="str">
        <x:v>NR</x:v>
      </x:c>
      <x:c r="R320" s="2" t="str">
        <x:v>Yes</x:v>
      </x:c>
      <x:c r="S320" s="2" t="str">
        <x:v>The file selection is re-read for every requirement, and no retrieval layer is used in the demonstrated configuration.</x:v>
      </x:c>
      <x:c r="T320"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U320" s="6" t="str">
        <x:v>this file tells the rtm generator which source files to load for each requirement</x:v>
      </x:c>
      <x:c r="V320" s="6" t="str">
        <x:v>Context is scoped by configuration rather than by retrieval, which keeps the input small but requires the file list to be maintained.</x:v>
      </x:c>
      <x:c r="W320" s="2" t="str">
        <x:v>Accepted</x:v>
      </x:c>
      <x:c r="X320" s="6" t="str">
        <x:v>NR</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19" hidden="0" customWidth="1"/>
    <x:col min="8" max="8" width="19" hidden="0" customWidth="1"/>
    <x:col min="9" max="9" width="20" hidden="0" customWidth="1"/>
    <x:col min="10" max="10" width="52" hidden="0" customWidth="1"/>
    <x:col min="11" max="11" width="52" hidden="0" customWidth="1"/>
    <x:col min="12" max="12" width="52" hidden="0" customWidth="1"/>
    <x:col min="13" max="13" width="20" hidden="0" customWidth="1"/>
    <x:col min="14" max="14" width="20" hidden="0" customWidth="1"/>
    <x:col min="15" max="15" width="20" hidden="0" customWidth="1"/>
    <x:col min="16" max="16" width="20" hidden="0" customWidth="1"/>
    <x:col min="17" max="17" width="52" hidden="0" customWidth="1"/>
    <x:col min="18" max="18" width="52" hidden="0" customWidth="1"/>
    <x:col min="19" max="19" width="52" hidden="0" customWidth="1"/>
    <x:col min="20" max="20" width="20" hidden="0" customWidth="1"/>
    <x:col min="21" max="21" width="52" hidden="0" customWidth="1"/>
  </x:cols>
  <x:sheetData>
    <x:row r="1" ht="38" customHeight="1">
      <x:c r="A1" s="5" t="str">
        <x:v>record_id</x:v>
      </x:c>
      <x:c r="B1" s="5" t="str">
        <x:v>study_id</x:v>
      </x:c>
      <x:c r="C1" s="5" t="str">
        <x:v>version_id</x:v>
      </x:c>
      <x:c r="D1" s="5" t="str">
        <x:v>review_stage</x:v>
      </x:c>
      <x:c r="E1" s="5" t="str">
        <x:v>reviewer_id</x:v>
      </x:c>
      <x:c r="F1" s="5" t="str">
        <x:v>component_id</x:v>
      </x:c>
      <x:c r="G1" s="5" t="str">
        <x:v>task_id</x:v>
      </x:c>
      <x:c r="H1" s="5" t="str">
        <x:v>operation_id</x:v>
      </x:c>
      <x:c r="I1" s="5" t="str">
        <x:v>component_name</x:v>
      </x:c>
      <x:c r="J1" s="5" t="str">
        <x:v>component_category</x:v>
      </x:c>
      <x:c r="K1" s="5" t="str">
        <x:v>workflow_position</x:v>
      </x:c>
      <x:c r="L1" s="5" t="str">
        <x:v>component_function</x:v>
      </x:c>
      <x:c r="M1" s="5" t="str">
        <x:v>interaction_with_llm</x:v>
      </x:c>
      <x:c r="N1" s="5" t="str">
        <x:v>is_workflow_component</x:v>
      </x:c>
      <x:c r="O1" s="5" t="str">
        <x:v>ablation_reported</x:v>
      </x:c>
      <x:c r="P1" s="5" t="str">
        <x:v>component_contribution</x:v>
      </x:c>
      <x:c r="Q1" s="5" t="str">
        <x:v>evidence_location</x:v>
      </x:c>
      <x:c r="R1" s="5" t="str">
        <x:v>evidence_verbatim</x:v>
      </x:c>
      <x:c r="S1" s="5" t="str">
        <x:v>reviewer_interpretation</x:v>
      </x:c>
      <x:c r="T1" s="5" t="str">
        <x:v>record_status</x:v>
      </x:c>
      <x:c r="U1" s="5" t="str">
        <x:v>notes</x:v>
      </x:c>
    </x:row>
    <x:row r="2" ht="76" customHeight="1">
      <x:c r="A2" s="2" t="str">
        <x:v>S01-COMP-R01</x:v>
      </x:c>
      <x:c r="B2" s="2" t="str">
        <x:v>S01</x:v>
      </x:c>
      <x:c r="C2" s="2" t="str">
        <x:v>merged_0002</x:v>
      </x:c>
      <x:c r="D2" s="2" t="str">
        <x:v>Reviewer_A</x:v>
      </x:c>
      <x:c r="E2" s="2" t="str">
        <x:v>Reviewer_A</x:v>
      </x:c>
      <x:c r="F2" s="2" t="str">
        <x:v>S01-CMP01</x:v>
      </x:c>
      <x:c r="G2" s="2" t="str">
        <x:v>S01-T01</x:v>
      </x:c>
      <x:c r="H2" s="2" t="str">
        <x:v>NA</x:v>
      </x:c>
      <x:c r="I2" s="2" t="str">
        <x:v>Sentence Preprocessor</x:v>
      </x:c>
      <x:c r="J2" s="6" t="str">
        <x:v>Other</x:v>
      </x:c>
      <x:c r="K2" s="6" t="str">
        <x:v>Feature augmentation</x:v>
      </x:c>
      <x:c r="L2" s="6" t="str">
        <x:v>将自然语言工件按句子分割为句子级别的可追溯元素。</x:v>
      </x:c>
      <x:c r="M2" s="2" t="str">
        <x:v>为LLM分类提供更细粒度的源元素文本输入。</x:v>
      </x:c>
      <x:c r="N2" s="2" t="str">
        <x:v>Yes</x:v>
      </x:c>
      <x:c r="O2" s="2" t="str">
        <x:v>Yes</x:v>
      </x:c>
      <x:c r="P2" s="2" t="str">
        <x:v>NR</x:v>
      </x:c>
      <x:c r="Q2" s="6" t="str">
        <x:v>p. 4; Section III-A</x:v>
      </x:c>
      <x:c r="R2" s="6" t="str">
        <x:v>The artifact can be split into sentences and each sentence is then defined as an element.</x:v>
      </x:c>
      <x:c r="S2" s="6" t="str">
        <x:v>该预处理器用于所有自然语言工件（需求、文档），旨在支持句子级的细粒度追溯。</x:v>
      </x:c>
      <x:c r="T2" s="2" t="str">
        <x:v>Accepted</x:v>
      </x:c>
      <x:c r="U2" s="6" t="str">
        <x:v>NA</x:v>
      </x:c>
    </x:row>
    <x:row r="3" ht="76" customHeight="1">
      <x:c r="A3" s="2" t="str">
        <x:v>S01-COMP-R02</x:v>
      </x:c>
      <x:c r="B3" s="2" t="str">
        <x:v>S01</x:v>
      </x:c>
      <x:c r="C3" s="2" t="str">
        <x:v>merged_0002</x:v>
      </x:c>
      <x:c r="D3" s="2" t="str">
        <x:v>Reviewer_A</x:v>
      </x:c>
      <x:c r="E3" s="2" t="str">
        <x:v>Reviewer_A</x:v>
      </x:c>
      <x:c r="F3" s="2" t="str">
        <x:v>S01-CMP02</x:v>
      </x:c>
      <x:c r="G3" s="2" t="str">
        <x:v>S01-T02</x:v>
      </x:c>
      <x:c r="H3" s="2" t="str">
        <x:v>NA</x:v>
      </x:c>
      <x:c r="I3" s="2" t="str">
        <x:v>Sentence Preprocessor</x:v>
      </x:c>
      <x:c r="J3" s="6" t="str">
        <x:v>Other</x:v>
      </x:c>
      <x:c r="K3" s="6" t="str">
        <x:v>Feature augmentation</x:v>
      </x:c>
      <x:c r="L3" s="6" t="str">
        <x:v>将自然语言工件按句子分割为句子级别的可追溯元素。</x:v>
      </x:c>
      <x:c r="M3" s="2" t="str">
        <x:v>为LLM分类提供更细粒度的源元素文本输入。</x:v>
      </x:c>
      <x:c r="N3" s="2" t="str">
        <x:v>Yes</x:v>
      </x:c>
      <x:c r="O3" s="2" t="str">
        <x:v>Yes</x:v>
      </x:c>
      <x:c r="P3" s="2" t="str">
        <x:v>NR</x:v>
      </x:c>
      <x:c r="Q3" s="6" t="str">
        <x:v>p. 4; Section III-A</x:v>
      </x:c>
      <x:c r="R3" s="6" t="str">
        <x:v>The artifact can be split into sentences and each sentence is then defined as an element.</x:v>
      </x:c>
      <x:c r="S3" s="6" t="str">
        <x:v>该预处理器用于架构文档，实现句子到代码的追溯。</x:v>
      </x:c>
      <x:c r="T3" s="2" t="str">
        <x:v>Accepted</x:v>
      </x:c>
      <x:c r="U3" s="6" t="str">
        <x:v>NA</x:v>
      </x:c>
    </x:row>
    <x:row r="4" ht="76" customHeight="1">
      <x:c r="A4" s="2" t="str">
        <x:v>S01-COMP-R03</x:v>
      </x:c>
      <x:c r="B4" s="2" t="str">
        <x:v>S01</x:v>
      </x:c>
      <x:c r="C4" s="2" t="str">
        <x:v>merged_0002</x:v>
      </x:c>
      <x:c r="D4" s="2" t="str">
        <x:v>Reviewer_A</x:v>
      </x:c>
      <x:c r="E4" s="2" t="str">
        <x:v>Reviewer_A</x:v>
      </x:c>
      <x:c r="F4" s="2" t="str">
        <x:v>S01-CMP03</x:v>
      </x:c>
      <x:c r="G4" s="2" t="str">
        <x:v>S01-T03</x:v>
      </x:c>
      <x:c r="H4" s="2" t="str">
        <x:v>NA</x:v>
      </x:c>
      <x:c r="I4" s="2" t="str">
        <x:v>Sentence Preprocessor</x:v>
      </x:c>
      <x:c r="J4" s="6" t="str">
        <x:v>Other</x:v>
      </x:c>
      <x:c r="K4" s="6" t="str">
        <x:v>Feature augmentation</x:v>
      </x:c>
      <x:c r="L4" s="6" t="str">
        <x:v>将自然语言工件按句子分割为句子级别的可追溯元素。</x:v>
      </x:c>
      <x:c r="M4" s="2" t="str">
        <x:v>为LLM分类提供更细粒度的源元素文本输入。</x:v>
      </x:c>
      <x:c r="N4" s="2" t="str">
        <x:v>Yes</x:v>
      </x:c>
      <x:c r="O4" s="2" t="str">
        <x:v>Yes</x:v>
      </x:c>
      <x:c r="P4" s="2" t="str">
        <x:v>NR</x:v>
      </x:c>
      <x:c r="Q4" s="6" t="str">
        <x:v>p. 4; Section III-A</x:v>
      </x:c>
      <x:c r="R4" s="6" t="str">
        <x:v>The artifact can be split into sentences and each sentence is then defined as an element.</x:v>
      </x:c>
      <x:c r="S4" s="6" t="str">
        <x:v>该预处理器用于架构文档，实现句子到模型元素的追溯。</x:v>
      </x:c>
      <x:c r="T4" s="2" t="str">
        <x:v>Accepted</x:v>
      </x:c>
      <x:c r="U4" s="6" t="str">
        <x:v>NA</x:v>
      </x:c>
    </x:row>
    <x:row r="5" ht="76" customHeight="1">
      <x:c r="A5" s="2" t="str">
        <x:v>S01-COMP-R04</x:v>
      </x:c>
      <x:c r="B5" s="2" t="str">
        <x:v>S01</x:v>
      </x:c>
      <x:c r="C5" s="2" t="str">
        <x:v>merged_0002</x:v>
      </x:c>
      <x:c r="D5" s="2" t="str">
        <x:v>Reviewer_A</x:v>
      </x:c>
      <x:c r="E5" s="2" t="str">
        <x:v>Reviewer_A</x:v>
      </x:c>
      <x:c r="F5" s="2" t="str">
        <x:v>S01-CMP04</x:v>
      </x:c>
      <x:c r="G5" s="2" t="str">
        <x:v>S01-T01</x:v>
      </x:c>
      <x:c r="H5" s="2" t="str">
        <x:v>NA</x:v>
      </x:c>
      <x:c r="I5" s="2" t="str">
        <x:v>Chunk(200) Preprocessor</x:v>
      </x:c>
      <x:c r="J5" s="6" t="str">
        <x:v>Other</x:v>
      </x:c>
      <x:c r="K5" s="6" t="str">
        <x:v>Feature augmentation</x:v>
      </x:c>
      <x:c r="L5" s="6" t="str">
        <x:v>将代码工件按约200字符的块进行分割，尽量在语言关键字处分割。</x:v>
      </x:c>
      <x:c r="M5" s="2" t="str">
        <x:v>为LLM提供代码块作为目标元素文本。</x:v>
      </x:c>
      <x:c r="N5" s="2" t="str">
        <x:v>Yes</x:v>
      </x:c>
      <x:c r="O5" s="2" t="str">
        <x:v>Yes</x:v>
      </x:c>
      <x:c r="P5" s="2" t="str">
        <x:v>NR</x:v>
      </x:c>
      <x:c r="Q5" s="6" t="str">
        <x:v>p. 4; Section III-A</x:v>
      </x:c>
      <x:c r="R5" s="6" t="str">
        <x:v>the text is divided into chunks of a given size N</x:v>
      </x:c>
      <x:c r="S5" s="6" t="str">
        <x:v>该预处理器用于代码工件，实现块级的检索和分类。</x:v>
      </x:c>
      <x:c r="T5" s="2" t="str">
        <x:v>Accepted</x:v>
      </x:c>
      <x:c r="U5" s="6" t="str">
        <x:v>T1中使用的块大小为200字符，见表III</x:v>
      </x:c>
    </x:row>
    <x:row r="6" ht="76" customHeight="1">
      <x:c r="A6" s="2" t="str">
        <x:v>S01-COMP-R05</x:v>
      </x:c>
      <x:c r="B6" s="2" t="str">
        <x:v>S01</x:v>
      </x:c>
      <x:c r="C6" s="2" t="str">
        <x:v>merged_0002</x:v>
      </x:c>
      <x:c r="D6" s="2" t="str">
        <x:v>Reviewer_A</x:v>
      </x:c>
      <x:c r="E6" s="2" t="str">
        <x:v>Reviewer_A</x:v>
      </x:c>
      <x:c r="F6" s="2" t="str">
        <x:v>S01-CMP05</x:v>
      </x:c>
      <x:c r="G6" s="2" t="str">
        <x:v>S01-T02</x:v>
      </x:c>
      <x:c r="H6" s="2" t="str">
        <x:v>NA</x:v>
      </x:c>
      <x:c r="I6" s="2" t="str">
        <x:v>Chunk(200) Preprocessor</x:v>
      </x:c>
      <x:c r="J6" s="6" t="str">
        <x:v>Other</x:v>
      </x:c>
      <x:c r="K6" s="6" t="str">
        <x:v>Feature augmentation</x:v>
      </x:c>
      <x:c r="L6" s="6" t="str">
        <x:v>将代码工件按约200字符的块进行分割。</x:v>
      </x:c>
      <x:c r="M6" s="2" t="str">
        <x:v>为LLM提供代码块作为目标元素文本。</x:v>
      </x:c>
      <x:c r="N6" s="2" t="str">
        <x:v>Yes</x:v>
      </x:c>
      <x:c r="O6" s="2" t="str">
        <x:v>Yes</x:v>
      </x:c>
      <x:c r="P6" s="2" t="str">
        <x:v>NR</x:v>
      </x:c>
      <x:c r="Q6" s="6" t="str">
        <x:v>p. 4; Section III-A</x:v>
      </x:c>
      <x:c r="R6" s="6" t="str">
        <x:v>the text is divided into chunks of a given size N</x:v>
      </x:c>
      <x:c r="S6" s="6" t="str">
        <x:v>T2中评估了小块的配置，参见表VI。</x:v>
      </x:c>
      <x:c r="T6" s="2" t="str">
        <x:v>Accepted</x:v>
      </x:c>
      <x:c r="U6" s="6" t="str">
        <x:v>T2中Chunk(200)见p.9 'small chunks with 200 characters'</x:v>
      </x:c>
    </x:row>
    <x:row r="7" ht="76" customHeight="1">
      <x:c r="A7" s="2" t="str">
        <x:v>S01-COMP-R06</x:v>
      </x:c>
      <x:c r="B7" s="2" t="str">
        <x:v>S01</x:v>
      </x:c>
      <x:c r="C7" s="2" t="str">
        <x:v>merged_0002</x:v>
      </x:c>
      <x:c r="D7" s="2" t="str">
        <x:v>Reviewer_A</x:v>
      </x:c>
      <x:c r="E7" s="2" t="str">
        <x:v>Reviewer_A</x:v>
      </x:c>
      <x:c r="F7" s="2" t="str">
        <x:v>S01-CMP06</x:v>
      </x:c>
      <x:c r="G7" s="2" t="str">
        <x:v>S01-T02</x:v>
      </x:c>
      <x:c r="H7" s="2" t="str">
        <x:v>NA</x:v>
      </x:c>
      <x:c r="I7" s="2" t="str">
        <x:v>Chunk(1000) Preprocessor</x:v>
      </x:c>
      <x:c r="J7" s="6" t="str">
        <x:v>Other</x:v>
      </x:c>
      <x:c r="K7" s="6" t="str">
        <x:v>Feature augmentation</x:v>
      </x:c>
      <x:c r="L7" s="6" t="str">
        <x:v>将代码工件按约1000字符的块进行分割。</x:v>
      </x:c>
      <x:c r="M7" s="2" t="str">
        <x:v>为LLM提供更大的代码块作为目标元素文本。</x:v>
      </x:c>
      <x:c r="N7" s="2" t="str">
        <x:v>Yes</x:v>
      </x:c>
      <x:c r="O7" s="2" t="str">
        <x:v>Yes</x:v>
      </x:c>
      <x:c r="P7" s="2" t="str">
        <x:v>NR</x:v>
      </x:c>
      <x:c r="Q7" s="6" t="str">
        <x:v>p. 9; Section IV-F2</x:v>
      </x:c>
      <x:c r="R7" s="6" t="str">
        <x:v>larger chunks with 1000 characters</x:v>
      </x:c>
      <x:c r="S7" s="6" t="str">
        <x:v>T2中评估了大块的配置，参见表VI。</x:v>
      </x:c>
      <x:c r="T7" s="2" t="str">
        <x:v>Accepted</x:v>
      </x:c>
      <x:c r="U7" s="6" t="str">
        <x:v>NA</x:v>
      </x:c>
    </x:row>
    <x:row r="8" ht="76" customHeight="1">
      <x:c r="A8" s="2" t="str">
        <x:v>S01-COMP-R07</x:v>
      </x:c>
      <x:c r="B8" s="2" t="str">
        <x:v>S01</x:v>
      </x:c>
      <x:c r="C8" s="2" t="str">
        <x:v>merged_0002</x:v>
      </x:c>
      <x:c r="D8" s="2" t="str">
        <x:v>Reviewer_A</x:v>
      </x:c>
      <x:c r="E8" s="2" t="str">
        <x:v>Reviewer_A</x:v>
      </x:c>
      <x:c r="F8" s="2" t="str">
        <x:v>S01-CMP07</x:v>
      </x:c>
      <x:c r="G8" s="2" t="str">
        <x:v>S01-T01</x:v>
      </x:c>
      <x:c r="H8" s="2" t="str">
        <x:v>NA</x:v>
      </x:c>
      <x:c r="I8" s="2" t="str">
        <x:v>Method Preprocessor</x:v>
      </x:c>
      <x:c r="J8" s="6" t="str">
        <x:v>Program analysis</x:v>
      </x:c>
      <x:c r="K8" s="6" t="str">
        <x:v>Feature augmentation</x:v>
      </x:c>
      <x:c r="L8" s="6" t="str">
        <x:v>将Java代码按方法声明分割，包括方法体、签名和文档注释。</x:v>
      </x:c>
      <x:c r="M8" s="2" t="str">
        <x:v>为LLM提供方法级别的目标元素文本。</x:v>
      </x:c>
      <x:c r="N8" s="2" t="str">
        <x:v>Yes</x:v>
      </x:c>
      <x:c r="O8" s="2" t="str">
        <x:v>Yes</x:v>
      </x:c>
      <x:c r="P8" s="2" t="str">
        <x:v>NR</x:v>
      </x:c>
      <x:c r="Q8" s="6" t="str">
        <x:v>p. 4; Section III-A</x:v>
      </x:c>
      <x:c r="R8" s="6" t="str">
        <x:v>A second way to split source code is to split it based on method declarations. Methods including their body, signature, and documentation define a unit that shall fulfill a certain task.</x:v>
      </x:c>
      <x:c r="S8" s="6" t="str">
        <x:v>该方法预处理器仅用于T1，试图将代码分割为语义更完整的方法单元。</x:v>
      </x:c>
      <x:c r="T8" s="2" t="str">
        <x:v>Accepted</x:v>
      </x:c>
      <x:c r="U8" s="6" t="str">
        <x:v>NA</x:v>
      </x:c>
    </x:row>
    <x:row r="9" ht="76" customHeight="1">
      <x:c r="A9" s="2" t="str">
        <x:v>S01-COMP-R08</x:v>
      </x:c>
      <x:c r="B9" s="2" t="str">
        <x:v>S01</x:v>
      </x:c>
      <x:c r="C9" s="2" t="str">
        <x:v>merged_0002</x:v>
      </x:c>
      <x:c r="D9" s="2" t="str">
        <x:v>Reviewer_A</x:v>
      </x:c>
      <x:c r="E9" s="2" t="str">
        <x:v>Reviewer_A</x:v>
      </x:c>
      <x:c r="F9" s="2" t="str">
        <x:v>S01-CMP08</x:v>
      </x:c>
      <x:c r="G9" s="2" t="str">
        <x:v>S01-T03</x:v>
      </x:c>
      <x:c r="H9" s="2" t="str">
        <x:v>NA</x:v>
      </x:c>
      <x:c r="I9" s="2" t="str">
        <x:v>Model Feature Extractor</x:v>
      </x:c>
      <x:c r="J9" s="6" t="str">
        <x:v>Other</x:v>
      </x:c>
      <x:c r="K9" s="6" t="str">
        <x:v>Feature augmentation</x:v>
      </x:c>
      <x:c r="L9" s="6" t="str">
        <x:v>从UML组件模型中提取组件、接口、操作和依赖关系，并生成文本表示。</x:v>
      </x:c>
      <x:c r="M9" s="2" t="str">
        <x:v>为LLM提供模型元素的标准化文本描述，用于分类。</x:v>
      </x:c>
      <x:c r="N9" s="2" t="str">
        <x:v>Yes</x:v>
      </x:c>
      <x:c r="O9" s="2" t="str">
        <x:v>Yes</x:v>
      </x:c>
      <x:c r="P9" s="2" t="str">
        <x:v>NR</x:v>
      </x:c>
      <x:c r="Q9" s="6" t="str">
        <x:v>p. 4; Section III-A</x:v>
      </x:c>
      <x:c r="R9" s="6" t="str">
        <x:v>The model preprocessor is tailored to this specific type of model and extracts features from a given model instance. The extractor identifies components, interfaces, their operations (methods), and their dependencies (realizations and usages).</x:v>
      </x:c>
      <x:c r="S9" s="6" t="str">
        <x:v>该特征提取器用于T3，将模型元素转换为文本以供检索和LLM处理。</x:v>
      </x:c>
      <x:c r="T9" s="2" t="str">
        <x:v>Accepted</x:v>
      </x:c>
      <x:c r="U9" s="6" t="str">
        <x:v>参见 Fig.4 示例</x:v>
      </x:c>
    </x:row>
    <x:row r="10" ht="76" customHeight="1">
      <x:c r="A10" s="2" t="str">
        <x:v>S01-COMP-R09</x:v>
      </x:c>
      <x:c r="B10" s="2" t="str">
        <x:v>S01</x:v>
      </x:c>
      <x:c r="C10" s="2" t="str">
        <x:v>merged_0002</x:v>
      </x:c>
      <x:c r="D10" s="2" t="str">
        <x:v>Reviewer_A</x:v>
      </x:c>
      <x:c r="E10" s="2" t="str">
        <x:v>Reviewer_A</x:v>
      </x:c>
      <x:c r="F10" s="2" t="str">
        <x:v>S01-CMP09</x:v>
      </x:c>
      <x:c r="G10" s="2" t="str">
        <x:v>S01-T01</x:v>
      </x:c>
      <x:c r="H10" s="2" t="str">
        <x:v>NA</x:v>
      </x:c>
      <x:c r="I10" s="2" t="str">
        <x:v>None Preprocessor</x:v>
      </x:c>
      <x:c r="J10" s="6" t="str">
        <x:v>Other</x:v>
      </x:c>
      <x:c r="K10" s="6" t="str">
        <x:v>Feature augmentation</x:v>
      </x:c>
      <x:c r="L10" s="6" t="str">
        <x:v>不对工件进行任何分割，将完整工件作为单个元素处理。</x:v>
      </x:c>
      <x:c r="M10" s="2" t="str">
        <x:v>为LLM提供完整工件文本（可能截断至模型最大输入长度）。</x:v>
      </x:c>
      <x:c r="N10" s="2" t="str">
        <x:v>Yes</x:v>
      </x:c>
      <x:c r="O10" s="2" t="str">
        <x:v>Yes</x:v>
      </x:c>
      <x:c r="P10" s="2" t="str">
        <x:v>NR</x:v>
      </x:c>
      <x:c r="Q10" s="6" t="str">
        <x:v>p. 4; Section III-A</x:v>
      </x:c>
      <x:c r="R10" s="6" t="str">
        <x:v>The first preprocessor does not change the artifact and only creates the embedding. This means that no splitting is done, and the whole artifact is used as one element.</x:v>
      </x:c>
      <x:c r="S10" s="6" t="str">
        <x:v>None预处理器作为一种基线，用于评估细粒度分割的效果。</x:v>
      </x:c>
      <x:c r="T10" s="2" t="str">
        <x:v>Accepted</x:v>
      </x:c>
      <x:c r="U10" s="6" t="str">
        <x:v>在T1和T2中用于代码工件，T1中也用于需求工件（None/None配置）。</x:v>
      </x:c>
    </x:row>
    <x:row r="11" ht="76" customHeight="1">
      <x:c r="A11" s="2" t="str">
        <x:v>S01-COMP-R10</x:v>
      </x:c>
      <x:c r="B11" s="2" t="str">
        <x:v>S01</x:v>
      </x:c>
      <x:c r="C11" s="2" t="str">
        <x:v>merged_0002</x:v>
      </x:c>
      <x:c r="D11" s="2" t="str">
        <x:v>Reviewer_A</x:v>
      </x:c>
      <x:c r="E11" s="2" t="str">
        <x:v>Reviewer_A</x:v>
      </x:c>
      <x:c r="F11" s="2" t="str">
        <x:v>S01-CMP10</x:v>
      </x:c>
      <x:c r="G11" s="2" t="str">
        <x:v>S01-T02</x:v>
      </x:c>
      <x:c r="H11" s="2" t="str">
        <x:v>NA</x:v>
      </x:c>
      <x:c r="I11" s="2" t="str">
        <x:v>None Preprocessor</x:v>
      </x:c>
      <x:c r="J11" s="6" t="str">
        <x:v>Other</x:v>
      </x:c>
      <x:c r="K11" s="6" t="str">
        <x:v>Feature augmentation</x:v>
      </x:c>
      <x:c r="L11" s="6" t="str">
        <x:v>不对工件进行任何分割，将完整工件作为单个元素处理。</x:v>
      </x:c>
      <x:c r="M11" s="2" t="str">
        <x:v>为LLM提供完整工件文本（可能截断至模型最大输入长度）。</x:v>
      </x:c>
      <x:c r="N11" s="2" t="str">
        <x:v>Yes</x:v>
      </x:c>
      <x:c r="O11" s="2" t="str">
        <x:v>Yes</x:v>
      </x:c>
      <x:c r="P11" s="2" t="str">
        <x:v>NR</x:v>
      </x:c>
      <x:c r="Q11" s="6" t="str">
        <x:v>p. 4; Section III-A</x:v>
      </x:c>
      <x:c r="R11" s="6" t="str">
        <x:v>The first preprocessor does not change the artifact and only creates the embedding. This means that no splitting is done, and the whole artifact is used as one element.</x:v>
      </x:c>
      <x:c r="S11" s="6" t="str">
        <x:v>在T2中，None预处理器用于代码工件，与Sentence预处理器配合使用于文档。</x:v>
      </x:c>
      <x:c r="T11" s="2" t="str">
        <x:v>Accepted</x:v>
      </x:c>
      <x:c r="U11" s="6" t="str">
        <x:v>参见 p.9 'no preprocessing'</x:v>
      </x:c>
    </x:row>
    <x:row r="12" ht="76" customHeight="1">
      <x:c r="A12" s="2" t="str">
        <x:v>S01-COMP-R11</x:v>
      </x:c>
      <x:c r="B12" s="2" t="str">
        <x:v>S01</x:v>
      </x:c>
      <x:c r="C12" s="2" t="str">
        <x:v>merged_0002</x:v>
      </x:c>
      <x:c r="D12" s="2" t="str">
        <x:v>Reviewer_A</x:v>
      </x:c>
      <x:c r="E12" s="2" t="str">
        <x:v>Reviewer_A</x:v>
      </x:c>
      <x:c r="F12" s="2" t="str">
        <x:v>S01-CMP11</x:v>
      </x:c>
      <x:c r="G12" s="2" t="str">
        <x:v>S01-T01</x:v>
      </x:c>
      <x:c r="H12" s="2" t="str">
        <x:v>NA</x:v>
      </x:c>
      <x:c r="I12" s="2" t="str">
        <x:v>text-embedding-3-large</x:v>
      </x:c>
      <x:c r="J12" s="6" t="str">
        <x:v>Embedding model</x:v>
      </x:c>
      <x:c r="K12" s="6" t="str">
        <x:v>Context construction</x:v>
      </x:c>
      <x:c r="L12" s="6" t="str">
        <x:v>将预处理后的元素文本转换为向量表示，用于相似度检索。</x:v>
      </x:c>
      <x:c r="M12" s="2" t="str">
        <x:v>为检索阶段提供元素的向量嵌入，间接影响LLM输入的候选集。</x:v>
      </x:c>
      <x:c r="N12" s="2" t="str">
        <x:v>Yes</x:v>
      </x:c>
      <x:c r="O12" s="2" t="str">
        <x:v>No</x:v>
      </x:c>
      <x:c r="P12" s="2" t="str">
        <x:v>NR</x:v>
      </x:c>
      <x:c r="Q12" s="6" t="str">
        <x:v>p. 7; Section IV-D</x:v>
      </x:c>
      <x:c r="R12" s="6" t="str">
        <x:v>We use text-embedding-3-large as the embedding model.</x:v>
      </x:c>
      <x:c r="S12" s="6" t="str">
        <x:v>该嵌入模型为OpenAI最新且性能最好的嵌入模型，用于生成所有元素的向量。</x:v>
      </x:c>
      <x:c r="T12" s="2" t="str">
        <x:v>Accepted</x:v>
      </x:c>
      <x:c r="U12" s="6" t="str">
        <x:v>NA</x:v>
      </x:c>
    </x:row>
    <x:row r="13" ht="76" customHeight="1">
      <x:c r="A13" s="2" t="str">
        <x:v>S01-COMP-R12</x:v>
      </x:c>
      <x:c r="B13" s="2" t="str">
        <x:v>S01</x:v>
      </x:c>
      <x:c r="C13" s="2" t="str">
        <x:v>merged_0002</x:v>
      </x:c>
      <x:c r="D13" s="2" t="str">
        <x:v>Reviewer_A</x:v>
      </x:c>
      <x:c r="E13" s="2" t="str">
        <x:v>Reviewer_A</x:v>
      </x:c>
      <x:c r="F13" s="2" t="str">
        <x:v>S01-CMP12</x:v>
      </x:c>
      <x:c r="G13" s="2" t="str">
        <x:v>S01-T02</x:v>
      </x:c>
      <x:c r="H13" s="2" t="str">
        <x:v>NA</x:v>
      </x:c>
      <x:c r="I13" s="2" t="str">
        <x:v>text-embedding-3-large</x:v>
      </x:c>
      <x:c r="J13" s="6" t="str">
        <x:v>Embedding model</x:v>
      </x:c>
      <x:c r="K13" s="6" t="str">
        <x:v>Context construction</x:v>
      </x:c>
      <x:c r="L13" s="6" t="str">
        <x:v>将预处理后的元素文本转换为向量表示。</x:v>
      </x:c>
      <x:c r="M13" s="2" t="str">
        <x:v>为检索阶段提供元素的向量嵌入。</x:v>
      </x:c>
      <x:c r="N13" s="2" t="str">
        <x:v>Yes</x:v>
      </x:c>
      <x:c r="O13" s="2" t="str">
        <x:v>No</x:v>
      </x:c>
      <x:c r="P13" s="2" t="str">
        <x:v>NR</x:v>
      </x:c>
      <x:c r="Q13" s="6" t="str">
        <x:v>p. 7; Section IV-D</x:v>
      </x:c>
      <x:c r="R13" s="6" t="str">
        <x:v>We use text-embedding-3-large as the embedding model.</x:v>
      </x:c>
      <x:c r="S13" s="6" t="str">
        <x:v>用于T2任务中的所有工件。</x:v>
      </x:c>
      <x:c r="T13" s="2" t="str">
        <x:v>Accepted</x:v>
      </x:c>
      <x:c r="U13" s="6" t="str">
        <x:v>NA</x:v>
      </x:c>
    </x:row>
    <x:row r="14" ht="76" customHeight="1">
      <x:c r="A14" s="2" t="str">
        <x:v>S01-COMP-R13</x:v>
      </x:c>
      <x:c r="B14" s="2" t="str">
        <x:v>S01</x:v>
      </x:c>
      <x:c r="C14" s="2" t="str">
        <x:v>merged_0002</x:v>
      </x:c>
      <x:c r="D14" s="2" t="str">
        <x:v>Reviewer_A</x:v>
      </x:c>
      <x:c r="E14" s="2" t="str">
        <x:v>Reviewer_A</x:v>
      </x:c>
      <x:c r="F14" s="2" t="str">
        <x:v>S01-CMP13</x:v>
      </x:c>
      <x:c r="G14" s="2" t="str">
        <x:v>S01-T03</x:v>
      </x:c>
      <x:c r="H14" s="2" t="str">
        <x:v>NA</x:v>
      </x:c>
      <x:c r="I14" s="2" t="str">
        <x:v>text-embedding-3-large</x:v>
      </x:c>
      <x:c r="J14" s="6" t="str">
        <x:v>Embedding model</x:v>
      </x:c>
      <x:c r="K14" s="6" t="str">
        <x:v>Context construction</x:v>
      </x:c>
      <x:c r="L14" s="6" t="str">
        <x:v>将预处理后的元素文本转换为向量表示。</x:v>
      </x:c>
      <x:c r="M14" s="2" t="str">
        <x:v>为检索阶段提供元素的向量嵌入。</x:v>
      </x:c>
      <x:c r="N14" s="2" t="str">
        <x:v>Yes</x:v>
      </x:c>
      <x:c r="O14" s="2" t="str">
        <x:v>No</x:v>
      </x:c>
      <x:c r="P14" s="2" t="str">
        <x:v>NR</x:v>
      </x:c>
      <x:c r="Q14" s="6" t="str">
        <x:v>p. 7; Section IV-D</x:v>
      </x:c>
      <x:c r="R14" s="6" t="str">
        <x:v>We use text-embedding-3-large as the embedding model.</x:v>
      </x:c>
      <x:c r="S14" s="6" t="str">
        <x:v>用于T3任务中的所有工件。</x:v>
      </x:c>
      <x:c r="T14" s="2" t="str">
        <x:v>Accepted</x:v>
      </x:c>
      <x:c r="U14" s="6" t="str">
        <x:v>NA</x:v>
      </x:c>
    </x:row>
    <x:row r="15" ht="76" customHeight="1">
      <x:c r="A15" s="2" t="str">
        <x:v>S01-COMP-R14</x:v>
      </x:c>
      <x:c r="B15" s="2" t="str">
        <x:v>S01</x:v>
      </x:c>
      <x:c r="C15" s="2" t="str">
        <x:v>merged_0002</x:v>
      </x:c>
      <x:c r="D15" s="2" t="str">
        <x:v>Reviewer_A</x:v>
      </x:c>
      <x:c r="E15" s="2" t="str">
        <x:v>Reviewer_A</x:v>
      </x:c>
      <x:c r="F15" s="2" t="str">
        <x:v>S01-CMP14</x:v>
      </x:c>
      <x:c r="G15" s="2" t="str">
        <x:v>S01-T01</x:v>
      </x:c>
      <x:c r="H15" s="2" t="str">
        <x:v>NA</x:v>
      </x:c>
      <x:c r="I15" s="2" t="str">
        <x:v>Vector Store</x:v>
      </x:c>
      <x:c r="J15" s="6" t="str">
        <x:v>Vector database</x:v>
      </x:c>
      <x:c r="K15" s="6" t="str">
        <x:v>Candidate retrieval</x:v>
      </x:c>
      <x:c r="L15" s="6" t="str">
        <x:v>存储目标元素的向量嵌入，并支持基于余弦相似度的最近邻检索。</x:v>
      </x:c>
      <x:c r="M15" s="2" t="str">
        <x:v>为LLM映射步骤提供候选目标元素，构成提示的上下文。</x:v>
      </x:c>
      <x:c r="N15" s="2" t="str">
        <x:v>Yes</x:v>
      </x:c>
      <x:c r="O15" s="2" t="str">
        <x:v>No</x:v>
      </x:c>
      <x:c r="P15" s="2" t="str">
        <x:v>NR</x:v>
      </x:c>
      <x:c r="Q15" s="6" t="str">
        <x:v>p. 4; Section III-A</x:v>
      </x:c>
      <x:c r="R15" s="6" t="str">
        <x:v>The embeddings of elements from artifacts are stored in a vector store.</x:v>
      </x:c>
      <x:c r="S15" s="6" t="str">
        <x:v>向量存储是RAG流程的关键部分，用于快速检索相似元素。</x:v>
      </x:c>
      <x:c r="T15" s="2" t="str">
        <x:v>Accepted</x:v>
      </x:c>
      <x:c r="U15" s="6" t="str">
        <x:v>NA</x:v>
      </x:c>
    </x:row>
    <x:row r="16" ht="76" customHeight="1">
      <x:c r="A16" s="2" t="str">
        <x:v>S01-COMP-R15</x:v>
      </x:c>
      <x:c r="B16" s="2" t="str">
        <x:v>S01</x:v>
      </x:c>
      <x:c r="C16" s="2" t="str">
        <x:v>merged_0002</x:v>
      </x:c>
      <x:c r="D16" s="2" t="str">
        <x:v>Reviewer_A</x:v>
      </x:c>
      <x:c r="E16" s="2" t="str">
        <x:v>Reviewer_A</x:v>
      </x:c>
      <x:c r="F16" s="2" t="str">
        <x:v>S01-CMP15</x:v>
      </x:c>
      <x:c r="G16" s="2" t="str">
        <x:v>S01-T02</x:v>
      </x:c>
      <x:c r="H16" s="2" t="str">
        <x:v>NA</x:v>
      </x:c>
      <x:c r="I16" s="2" t="str">
        <x:v>Vector Store</x:v>
      </x:c>
      <x:c r="J16" s="6" t="str">
        <x:v>Vector database</x:v>
      </x:c>
      <x:c r="K16" s="6" t="str">
        <x:v>Candidate retrieval</x:v>
      </x:c>
      <x:c r="L16" s="6" t="str">
        <x:v>存储目标元素的向量嵌入。</x:v>
      </x:c>
      <x:c r="M16" s="2" t="str">
        <x:v>为LLM提供候选目标元素。</x:v>
      </x:c>
      <x:c r="N16" s="2" t="str">
        <x:v>Yes</x:v>
      </x:c>
      <x:c r="O16" s="2" t="str">
        <x:v>No</x:v>
      </x:c>
      <x:c r="P16" s="2" t="str">
        <x:v>NR</x:v>
      </x:c>
      <x:c r="Q16" s="6" t="str">
        <x:v>p. 4; Section III-A</x:v>
      </x:c>
      <x:c r="R16" s="6" t="str">
        <x:v>The embeddings of elements from artifacts are stored in a vector store.</x:v>
      </x:c>
      <x:c r="S16" s="6" t="str">
        <x:v>用于T2任务。</x:v>
      </x:c>
      <x:c r="T16" s="2" t="str">
        <x:v>Accepted</x:v>
      </x:c>
      <x:c r="U16" s="6" t="str">
        <x:v>NA</x:v>
      </x:c>
    </x:row>
    <x:row r="17" ht="76" customHeight="1">
      <x:c r="A17" s="2" t="str">
        <x:v>S01-COMP-R16</x:v>
      </x:c>
      <x:c r="B17" s="2" t="str">
        <x:v>S01</x:v>
      </x:c>
      <x:c r="C17" s="2" t="str">
        <x:v>merged_0002</x:v>
      </x:c>
      <x:c r="D17" s="2" t="str">
        <x:v>Reviewer_A</x:v>
      </x:c>
      <x:c r="E17" s="2" t="str">
        <x:v>Reviewer_A</x:v>
      </x:c>
      <x:c r="F17" s="2" t="str">
        <x:v>S01-CMP16</x:v>
      </x:c>
      <x:c r="G17" s="2" t="str">
        <x:v>S01-T03</x:v>
      </x:c>
      <x:c r="H17" s="2" t="str">
        <x:v>NA</x:v>
      </x:c>
      <x:c r="I17" s="2" t="str">
        <x:v>Vector Store</x:v>
      </x:c>
      <x:c r="J17" s="6" t="str">
        <x:v>Vector database</x:v>
      </x:c>
      <x:c r="K17" s="6" t="str">
        <x:v>Candidate retrieval</x:v>
      </x:c>
      <x:c r="L17" s="6" t="str">
        <x:v>存储目标元素的向量嵌入。</x:v>
      </x:c>
      <x:c r="M17" s="2" t="str">
        <x:v>为LLM提供候选目标元素。</x:v>
      </x:c>
      <x:c r="N17" s="2" t="str">
        <x:v>Yes</x:v>
      </x:c>
      <x:c r="O17" s="2" t="str">
        <x:v>No</x:v>
      </x:c>
      <x:c r="P17" s="2" t="str">
        <x:v>NR</x:v>
      </x:c>
      <x:c r="Q17" s="6" t="str">
        <x:v>p. 4; Section III-A</x:v>
      </x:c>
      <x:c r="R17" s="6" t="str">
        <x:v>The embeddings of elements from artifacts are stored in a vector store.</x:v>
      </x:c>
      <x:c r="S17" s="6" t="str">
        <x:v>用于T3任务。</x:v>
      </x:c>
      <x:c r="T17" s="2" t="str">
        <x:v>Accepted</x:v>
      </x:c>
      <x:c r="U17" s="6" t="str">
        <x:v>NA</x:v>
      </x:c>
    </x:row>
    <x:row r="18" ht="76" customHeight="1">
      <x:c r="A18" s="2" t="str">
        <x:v>S01-COMP-R17</x:v>
      </x:c>
      <x:c r="B18" s="2" t="str">
        <x:v>S01</x:v>
      </x:c>
      <x:c r="C18" s="2" t="str">
        <x:v>merged_0002</x:v>
      </x:c>
      <x:c r="D18" s="2" t="str">
        <x:v>Reviewer_A</x:v>
      </x:c>
      <x:c r="E18" s="2" t="str">
        <x:v>Reviewer_A</x:v>
      </x:c>
      <x:c r="F18" s="2" t="str">
        <x:v>S01-CMP17</x:v>
      </x:c>
      <x:c r="G18" s="2" t="str">
        <x:v>S01-T01</x:v>
      </x:c>
      <x:c r="H18" s="2" t="str">
        <x:v>NA</x:v>
      </x:c>
      <x:c r="I18" s="2" t="str">
        <x:v>Cosine Similarity Retrieval</x:v>
      </x:c>
      <x:c r="J18" s="6" t="str">
        <x:v>Dense retrieval</x:v>
      </x:c>
      <x:c r="K18" s="6" t="str">
        <x:v>Candidate retrieval</x:v>
      </x:c>
      <x:c r="L18" s="6" t="str">
        <x:v>计算源元素与所有目标元素向量的余弦相似度，返回Top-k最相似目标元素作为候选。</x:v>
      </x:c>
      <x:c r="M18" s="2" t="str">
        <x:v>为LLM映射步骤提供候选目标元素集。</x:v>
      </x:c>
      <x:c r="N18" s="2" t="str">
        <x:v>Yes</x:v>
      </x:c>
      <x:c r="O18" s="2" t="str">
        <x:v>No</x:v>
      </x:c>
      <x:c r="P18" s="2" t="str">
        <x:v>NR</x:v>
      </x:c>
      <x:c r="Q18" s="6" t="str">
        <x:v>p. 5; Section III-B</x:v>
      </x:c>
      <x:c r="R18" s="6" t="str">
        <x:v>For the comparison of embeddings, the approach uses the cosine similarity of vectors. These most similar elements are then used as target element candidates.</x:v>
      </x:c>
      <x:c r="S18" s="6" t="str">
        <x:v>检索步骤定义了一个源元素可能链接的目标元素候选集，其效果直接影响可追溯性的召回上限。</x:v>
      </x:c>
      <x:c r="T18" s="2" t="str">
        <x:v>Accepted</x:v>
      </x:c>
      <x:c r="U18" s="6" t="str">
        <x:v>NA</x:v>
      </x:c>
    </x:row>
    <x:row r="19" ht="76" customHeight="1">
      <x:c r="A19" s="2" t="str">
        <x:v>S01-COMP-R18</x:v>
      </x:c>
      <x:c r="B19" s="2" t="str">
        <x:v>S01</x:v>
      </x:c>
      <x:c r="C19" s="2" t="str">
        <x:v>merged_0002</x:v>
      </x:c>
      <x:c r="D19" s="2" t="str">
        <x:v>Reviewer_A</x:v>
      </x:c>
      <x:c r="E19" s="2" t="str">
        <x:v>Reviewer_A</x:v>
      </x:c>
      <x:c r="F19" s="2" t="str">
        <x:v>S01-CMP18</x:v>
      </x:c>
      <x:c r="G19" s="2" t="str">
        <x:v>S01-T02</x:v>
      </x:c>
      <x:c r="H19" s="2" t="str">
        <x:v>NA</x:v>
      </x:c>
      <x:c r="I19" s="2" t="str">
        <x:v>Cosine Similarity Retrieval</x:v>
      </x:c>
      <x:c r="J19" s="6" t="str">
        <x:v>Dense retrieval</x:v>
      </x:c>
      <x:c r="K19" s="6" t="str">
        <x:v>Candidate retrieval</x:v>
      </x:c>
      <x:c r="L19" s="6" t="str">
        <x:v>基于余弦相似度检索Top-k目标元素候选。</x:v>
      </x:c>
      <x:c r="M19" s="2" t="str">
        <x:v>为LLM提供候选目标元素集。</x:v>
      </x:c>
      <x:c r="N19" s="2" t="str">
        <x:v>Yes</x:v>
      </x:c>
      <x:c r="O19" s="2" t="str">
        <x:v>No</x:v>
      </x:c>
      <x:c r="P19" s="2" t="str">
        <x:v>NR</x:v>
      </x:c>
      <x:c r="Q19" s="6" t="str">
        <x:v>p. 5; Section III-B</x:v>
      </x:c>
      <x:c r="R19" s="6" t="str">
        <x:v>For the comparison of embeddings, the approach uses the cosine similarity of vectors. These most similar elements are then used as target element candidates.</x:v>
      </x:c>
      <x:c r="S19" s="6" t="str">
        <x:v>用于T2任务，k=20。</x:v>
      </x:c>
      <x:c r="T19" s="2" t="str">
        <x:v>Accepted</x:v>
      </x:c>
      <x:c r="U19" s="6" t="str">
        <x:v>NA</x:v>
      </x:c>
    </x:row>
    <x:row r="20" ht="76" customHeight="1">
      <x:c r="A20" s="2" t="str">
        <x:v>S01-COMP-R19</x:v>
      </x:c>
      <x:c r="B20" s="2" t="str">
        <x:v>S01</x:v>
      </x:c>
      <x:c r="C20" s="2" t="str">
        <x:v>merged_0002</x:v>
      </x:c>
      <x:c r="D20" s="2" t="str">
        <x:v>Reviewer_A</x:v>
      </x:c>
      <x:c r="E20" s="2" t="str">
        <x:v>Reviewer_A</x:v>
      </x:c>
      <x:c r="F20" s="2" t="str">
        <x:v>S01-CMP19</x:v>
      </x:c>
      <x:c r="G20" s="2" t="str">
        <x:v>S01-T03</x:v>
      </x:c>
      <x:c r="H20" s="2" t="str">
        <x:v>NA</x:v>
      </x:c>
      <x:c r="I20" s="2" t="str">
        <x:v>Cosine Similarity Retrieval</x:v>
      </x:c>
      <x:c r="J20" s="6" t="str">
        <x:v>Dense retrieval</x:v>
      </x:c>
      <x:c r="K20" s="6" t="str">
        <x:v>Candidate retrieval</x:v>
      </x:c>
      <x:c r="L20" s="6" t="str">
        <x:v>基于余弦相似度检索Top-k目标元素候选。</x:v>
      </x:c>
      <x:c r="M20" s="2" t="str">
        <x:v>为LLM提供候选目标元素集。</x:v>
      </x:c>
      <x:c r="N20" s="2" t="str">
        <x:v>Yes</x:v>
      </x:c>
      <x:c r="O20" s="2" t="str">
        <x:v>No</x:v>
      </x:c>
      <x:c r="P20" s="2" t="str">
        <x:v>NR</x:v>
      </x:c>
      <x:c r="Q20" s="6" t="str">
        <x:v>p. 5; Section III-B</x:v>
      </x:c>
      <x:c r="R20" s="6" t="str">
        <x:v>For the comparison of embeddings, the approach uses the cosine similarity of vectors. These most similar elements are then used as target element candidates.</x:v>
      </x:c>
      <x:c r="S20" s="6" t="str">
        <x:v>用于T3任务，k=10。</x:v>
      </x:c>
      <x:c r="T20" s="2" t="str">
        <x:v>Accepted</x:v>
      </x:c>
      <x:c r="U20" s="6" t="str">
        <x:v>NA</x:v>
      </x:c>
    </x:row>
    <x:row r="21" ht="76" customHeight="1">
      <x:c r="A21" s="2" t="str">
        <x:v>S01-COMP-R20</x:v>
      </x:c>
      <x:c r="B21" s="2" t="str">
        <x:v>S01</x:v>
      </x:c>
      <x:c r="C21" s="2" t="str">
        <x:v>merged_0002</x:v>
      </x:c>
      <x:c r="D21" s="2" t="str">
        <x:v>Reviewer_A</x:v>
      </x:c>
      <x:c r="E21" s="2" t="str">
        <x:v>Reviewer_A</x:v>
      </x:c>
      <x:c r="F21" s="2" t="str">
        <x:v>S01-CMP20</x:v>
      </x:c>
      <x:c r="G21" s="2" t="str">
        <x:v>S01-T01</x:v>
      </x:c>
      <x:c r="H21" s="2" t="str">
        <x:v>NA</x:v>
      </x:c>
      <x:c r="I21" s="2" t="str">
        <x:v>Aggregator</x:v>
      </x:c>
      <x:c r="J21" s="6" t="str">
        <x:v>Rule or heuristic</x:v>
      </x:c>
      <x:c r="K21" s="6" t="str">
        <x:v>Post-processing</x:v>
      </x:c>
      <x:c r="L21" s="6" t="str">
        <x:v>将LLM判断的元素级链接聚合为所需抽象级别的工件级追溯链接（如文件级）。</x:v>
      </x:c>
      <x:c r="M21" s="2" t="str">
        <x:v>接收LLM的分类输出（yes/no），并基于规则生成最终追溯链接。</x:v>
      </x:c>
      <x:c r="N21" s="2" t="str">
        <x:v>Yes</x:v>
      </x:c>
      <x:c r="O21" s="2" t="str">
        <x:v>No</x:v>
      </x:c>
      <x:c r="P21" s="2" t="str">
        <x:v>NR</x:v>
      </x:c>
      <x:c r="Q21" s="6" t="str">
        <x:v>p. 6; Section III-C2</x:v>
      </x:c>
      <x:c r="R21" s="6" t="str">
        <x:v>The final step of the mapping is the aggregation. In this step, the traced pairs of source and target elements are combined to trace links that match the defined level of abstraction.</x:v>
      </x:c>
      <x:c r="S21" s="6" t="str">
        <x:v>聚合器使用简单规则：只要源工件中的任一元素与目标工件中的任一元素存在链接，就建立工件间链接。</x:v>
      </x:c>
      <x:c r="T21" s="2" t="str">
        <x:v>Accepted</x:v>
      </x:c>
      <x:c r="U21" s="6" t="str">
        <x:v>例如，需求文件中的任一句子与方法所在类的方法有链接，则建立需求到类的链接。</x:v>
      </x:c>
    </x:row>
    <x:row r="22" ht="76" customHeight="1">
      <x:c r="A22" s="2" t="str">
        <x:v>S01-COMP-R21</x:v>
      </x:c>
      <x:c r="B22" s="2" t="str">
        <x:v>S01</x:v>
      </x:c>
      <x:c r="C22" s="2" t="str">
        <x:v>merged_0002</x:v>
      </x:c>
      <x:c r="D22" s="2" t="str">
        <x:v>Reviewer_A</x:v>
      </x:c>
      <x:c r="E22" s="2" t="str">
        <x:v>Reviewer_A</x:v>
      </x:c>
      <x:c r="F22" s="2" t="str">
        <x:v>S01-CMP21</x:v>
      </x:c>
      <x:c r="G22" s="2" t="str">
        <x:v>S01-T02</x:v>
      </x:c>
      <x:c r="H22" s="2" t="str">
        <x:v>NA</x:v>
      </x:c>
      <x:c r="I22" s="2" t="str">
        <x:v>Aggregator</x:v>
      </x:c>
      <x:c r="J22" s="6" t="str">
        <x:v>Rule or heuristic</x:v>
      </x:c>
      <x:c r="K22" s="6" t="str">
        <x:v>Post-processing</x:v>
      </x:c>
      <x:c r="L22" s="6" t="str">
        <x:v>将元素级链接聚合为工件级链接。</x:v>
      </x:c>
      <x:c r="M22" s="2" t="str">
        <x:v>接收LLM的输出并生成最终结果。</x:v>
      </x:c>
      <x:c r="N22" s="2" t="str">
        <x:v>Yes</x:v>
      </x:c>
      <x:c r="O22" s="2" t="str">
        <x:v>No</x:v>
      </x:c>
      <x:c r="P22" s="2" t="str">
        <x:v>NR</x:v>
      </x:c>
      <x:c r="Q22" s="6" t="str">
        <x:v>p. 6; Section III-C2</x:v>
      </x:c>
      <x:c r="R22" s="6" t="str">
        <x:v>The final step of the mapping is the aggregation. In this step, the traced pairs of source and target elements are combined to trace links that match the defined level of abstraction.</x:v>
      </x:c>
      <x:c r="S22" s="6" t="str">
        <x:v>T2中聚合句子到代码文件的链接。</x:v>
      </x:c>
      <x:c r="T22" s="2" t="str">
        <x:v>Accepted</x:v>
      </x:c>
      <x:c r="U22" s="6" t="str">
        <x:v>NA</x:v>
      </x:c>
    </x:row>
    <x:row r="23" ht="76" customHeight="1">
      <x:c r="A23" s="2" t="str">
        <x:v>S01-COMP-R22</x:v>
      </x:c>
      <x:c r="B23" s="2" t="str">
        <x:v>S01</x:v>
      </x:c>
      <x:c r="C23" s="2" t="str">
        <x:v>merged_0002</x:v>
      </x:c>
      <x:c r="D23" s="2" t="str">
        <x:v>Reviewer_A</x:v>
      </x:c>
      <x:c r="E23" s="2" t="str">
        <x:v>Reviewer_A</x:v>
      </x:c>
      <x:c r="F23" s="2" t="str">
        <x:v>S01-CMP22</x:v>
      </x:c>
      <x:c r="G23" s="2" t="str">
        <x:v>S01-T03</x:v>
      </x:c>
      <x:c r="H23" s="2" t="str">
        <x:v>NA</x:v>
      </x:c>
      <x:c r="I23" s="2" t="str">
        <x:v>Aggregator</x:v>
      </x:c>
      <x:c r="J23" s="6" t="str">
        <x:v>Rule or heuristic</x:v>
      </x:c>
      <x:c r="K23" s="6" t="str">
        <x:v>Post-processing</x:v>
      </x:c>
      <x:c r="L23" s="6" t="str">
        <x:v>将元素级链接聚合为工件级链接。</x:v>
      </x:c>
      <x:c r="M23" s="2" t="str">
        <x:v>接收LLM的输出并生成最终结果。</x:v>
      </x:c>
      <x:c r="N23" s="2" t="str">
        <x:v>Yes</x:v>
      </x:c>
      <x:c r="O23" s="2" t="str">
        <x:v>No</x:v>
      </x:c>
      <x:c r="P23" s="2" t="str">
        <x:v>NR</x:v>
      </x:c>
      <x:c r="Q23" s="6" t="str">
        <x:v>p. 6; Section III-C2</x:v>
      </x:c>
      <x:c r="R23" s="6" t="str">
        <x:v>The final step of the mapping is the aggregation. In this step, the traced pairs of source and target elements are combined to trace links that match the defined level of abstraction.</x:v>
      </x:c>
      <x:c r="S23" s="6" t="str">
        <x:v>T3中聚合句子到模型元素的链接。</x:v>
      </x:c>
      <x:c r="T23" s="2" t="str">
        <x:v>Accepted</x:v>
      </x:c>
      <x:c r="U23" s="6" t="str">
        <x:v>NA</x:v>
      </x:c>
    </x:row>
    <x:row r="24" ht="76" customHeight="1">
      <x:c r="A24" s="2" t="str">
        <x:v>S02-COMP-R01</x:v>
      </x:c>
      <x:c r="B24" s="2" t="str">
        <x:v>S02</x:v>
      </x:c>
      <x:c r="C24" s="2" t="str">
        <x:v>merged_0007</x:v>
      </x:c>
      <x:c r="D24" s="2" t="str">
        <x:v>Reviewer_A</x:v>
      </x:c>
      <x:c r="E24" s="2" t="str">
        <x:v>Reviewer_A</x:v>
      </x:c>
      <x:c r="F24" s="2" t="str">
        <x:v>S02-CMP01</x:v>
      </x:c>
      <x:c r="G24" s="2" t="str">
        <x:v>S02-T01</x:v>
      </x:c>
      <x:c r="H24" s="2" t="str">
        <x:v>S02-O01</x:v>
      </x:c>
      <x:c r="I24" s="2" t="str">
        <x:v>Package Feature Extraction</x:v>
      </x:c>
      <x:c r="J24" s="6" t="str">
        <x:v>Static analysis</x:v>
      </x:c>
      <x:c r="K24" s="6" t="str">
        <x:v>Feature augmentation</x:v>
      </x:c>
      <x:c r="L24" s="6" t="str">
        <x:v>从Java源代码中提取非空包名列表，作为ExArch的代码特征输入。</x:v>
      </x:c>
      <x:c r="M24" s="2" t="str">
        <x:v>提取的包名作为LLM提示的一部分，帮助模型理解高层架构。</x:v>
      </x:c>
      <x:c r="N24" s="2" t="str">
        <x:v>Yes</x:v>
      </x:c>
      <x:c r="O24" s="2" t="str">
        <x:v>No</x:v>
      </x:c>
      <x:c r="P24" s="2" t="str">
        <x:v>NR</x:v>
      </x:c>
      <x:c r="Q24" s="6" t="str">
        <x:v>p. 6; Section 3.1</x:v>
      </x:c>
      <x:c r="R24" s="6" t="str">
        <x:v>Thus, we extract the package structure from the source code.</x:v>
      </x:c>
      <x:c r="S24" s="6" t="str">
        <x:v>包名提取是静态分析步骤，为LLM提供代码特征。</x:v>
      </x:c>
      <x:c r="T24" s="2" t="str">
        <x:v>Accepted</x:v>
      </x:c>
      <x:c r="U24" s="6" t="str">
        <x:v>NR</x:v>
      </x:c>
    </x:row>
    <x:row r="25" ht="76" customHeight="1">
      <x:c r="A25" s="2" t="str">
        <x:v>S02-COMP-R02</x:v>
      </x:c>
      <x:c r="B25" s="2" t="str">
        <x:v>S02</x:v>
      </x:c>
      <x:c r="C25" s="2" t="str">
        <x:v>merged_0007</x:v>
      </x:c>
      <x:c r="D25" s="2" t="str">
        <x:v>Reviewer_A</x:v>
      </x:c>
      <x:c r="E25" s="2" t="str">
        <x:v>Reviewer_A</x:v>
      </x:c>
      <x:c r="F25" s="2" t="str">
        <x:v>S02-CMP02</x:v>
      </x:c>
      <x:c r="G25" s="2" t="str">
        <x:v>S02-T01</x:v>
      </x:c>
      <x:c r="H25" s="2" t="str">
        <x:v>NA</x:v>
      </x:c>
      <x:c r="I25" s="2" t="str">
        <x:v>TransArC</x:v>
      </x:c>
      <x:c r="J25" s="6" t="str">
        <x:v>Tool framework</x:v>
      </x:c>
      <x:c r="K25" s="6" t="str">
        <x:v>Candidate generation</x:v>
      </x:c>
      <x:c r="L25" s="6" t="str">
        <x:v>使用提取的简单SAM，通过启发式方法恢复SAD与源代码之间的追踪链接。</x:v>
      </x:c>
      <x:c r="M25" s="2" t="str">
        <x:v>TransArC不直接与LLM交互，而是使用LLM生成的SAM作为输入。</x:v>
      </x:c>
      <x:c r="N25" s="2" t="str">
        <x:v>Yes</x:v>
      </x:c>
      <x:c r="O25" s="2" t="str">
        <x:v>No</x:v>
      </x:c>
      <x:c r="P25" s="2" t="str">
        <x:v>NR</x:v>
      </x:c>
      <x:c r="Q25" s="6" t="str">
        <x:v>p. 8; Section 3.3</x:v>
      </x:c>
      <x:c r="R25" s="6" t="str">
        <x:v>To be able to analyze the effect of LLM-extracted intermediate models on transitive TLR between SAD and code, we make use of the TransArC approach</x:v>
      </x:c>
      <x:c r="S25" s="6" t="str">
        <x:v>TransArC是一个独立的启发式工具框架，用于从SAM和代码生成追踪链接。</x:v>
      </x:c>
      <x:c r="T25" s="2" t="str">
        <x:v>Accepted</x:v>
      </x:c>
      <x:c r="U25" s="6" t="str">
        <x:v>NR</x:v>
      </x:c>
    </x:row>
    <x:row r="26" ht="76" customHeight="1">
      <x:c r="A26" s="2" t="str">
        <x:v>S02-COMP-R03</x:v>
      </x:c>
      <x:c r="B26" s="2" t="str">
        <x:v>S02</x:v>
      </x:c>
      <x:c r="C26" s="2" t="str">
        <x:v>merged_0007</x:v>
      </x:c>
      <x:c r="D26" s="2" t="str">
        <x:v>Reviewer_A</x:v>
      </x:c>
      <x:c r="E26" s="2" t="str">
        <x:v>Reviewer_A</x:v>
      </x:c>
      <x:c r="F26" s="2" t="str">
        <x:v>S02-CMP03</x:v>
      </x:c>
      <x:c r="G26" s="2" t="str">
        <x:v>S02-T01</x:v>
      </x:c>
      <x:c r="H26" s="2" t="str">
        <x:v>S02-O01</x:v>
      </x:c>
      <x:c r="I26" s="2" t="str">
        <x:v>Response Interpretation Rules</x:v>
      </x:c>
      <x:c r="J26" s="6" t="str">
        <x:v>Rule or heuristic</x:v>
      </x:c>
      <x:c r="K26" s="6" t="str">
        <x:v>Post-processing</x:v>
      </x:c>
      <x:c r="L26" s="6" t="str">
        <x:v>解析LLM生成的响应，提取组件名称，去除无关文本，并应用驼峰命名转换。</x:v>
      </x:c>
      <x:c r="M26" s="2" t="str">
        <x:v>直接作用于LLM的文本输出，将其标准化为组件名称列表。</x:v>
      </x:c>
      <x:c r="N26" s="2" t="str">
        <x:v>Yes</x:v>
      </x:c>
      <x:c r="O26" s="2" t="str">
        <x:v>No</x:v>
      </x:c>
      <x:c r="P26" s="2" t="str">
        <x:v>NR</x:v>
      </x:c>
      <x:c r="Q26" s="6" t="str">
        <x:v>p. 7; Section 3.2, Interpretation of Responses</x:v>
      </x:c>
      <x:c r="R26" s="6" t="str">
        <x:v>To parse the responses, we consider every line of the final response. First, we check that the trimmed line starts with the character ‘-’.</x:v>
      </x:c>
      <x:c r="S26" s="6" t="str">
        <x:v>后处理规则用于清洗和规范化LLM输出，确保可用的组件名称。</x:v>
      </x:c>
      <x:c r="T26" s="2" t="str">
        <x:v>Accepted</x:v>
      </x:c>
      <x:c r="U26" s="6" t="str">
        <x:v>NR</x:v>
      </x:c>
    </x:row>
    <x:row r="27" ht="76" customHeight="1">
      <x:c r="A27" s="2" t="str">
        <x:v>S02-COMP-R04</x:v>
      </x:c>
      <x:c r="B27" s="2" t="str">
        <x:v>S02</x:v>
      </x:c>
      <x:c r="C27" s="2" t="str">
        <x:v>merged_0007</x:v>
      </x:c>
      <x:c r="D27" s="2" t="str">
        <x:v>Reviewer_A</x:v>
      </x:c>
      <x:c r="E27" s="2" t="str">
        <x:v>Reviewer_A</x:v>
      </x:c>
      <x:c r="F27" s="2" t="str">
        <x:v>S02-CMP04</x:v>
      </x:c>
      <x:c r="G27" s="2" t="str">
        <x:v>S02-T02</x:v>
      </x:c>
      <x:c r="H27" s="2" t="str">
        <x:v>NA</x:v>
      </x:c>
      <x:c r="I27" s="2" t="str">
        <x:v>OpenAI text-embedding-3-large</x:v>
      </x:c>
      <x:c r="J27" s="6" t="str">
        <x:v>Embedding model</x:v>
      </x:c>
      <x:c r="K27" s="6" t="str">
        <x:v>Candidate generation</x:v>
      </x:c>
      <x:c r="L27" s="6" t="str">
        <x:v>计算SAD中实体名称和SAM实体名称的向量嵌入，用于余弦相似度匹配。</x:v>
      </x:c>
      <x:c r="M27" s="2" t="str">
        <x:v>与LLM实体识别结果结合，提供额外的相似度评分用于链接。</x:v>
      </x:c>
      <x:c r="N27" s="2" t="str">
        <x:v>Yes</x:v>
      </x:c>
      <x:c r="O27" s="2" t="str">
        <x:v>No</x:v>
      </x:c>
      <x:c r="P27" s="2" t="str">
        <x:v>NR</x:v>
      </x:c>
      <x:c r="Q27" s="6" t="str">
        <x:v>p. 9; Section 4</x:v>
      </x:c>
      <x:c r="R27" s="6" t="str">
        <x:v>For vector embeddings similarity, we use OpenAI’s model “text-embedding-3-large” to embed each of the name and alternative names</x:v>
      </x:c>
      <x:c r="S27" s="6" t="str">
        <x:v>嵌入模型作为外部组件，用于增强ArTEMiS的实体匹配。</x:v>
      </x:c>
      <x:c r="T27" s="2" t="str">
        <x:v>Accepted</x:v>
      </x:c>
      <x:c r="U27" s="6" t="str">
        <x:v>NR</x:v>
      </x:c>
    </x:row>
    <x:row r="28" ht="76" customHeight="1">
      <x:c r="A28" s="2" t="str">
        <x:v>S02-COMP-R05</x:v>
      </x:c>
      <x:c r="B28" s="2" t="str">
        <x:v>S02</x:v>
      </x:c>
      <x:c r="C28" s="2" t="str">
        <x:v>merged_0007</x:v>
      </x:c>
      <x:c r="D28" s="2" t="str">
        <x:v>Reviewer_A</x:v>
      </x:c>
      <x:c r="E28" s="2" t="str">
        <x:v>Reviewer_A</x:v>
      </x:c>
      <x:c r="F28" s="2" t="str">
        <x:v>S02-CMP05</x:v>
      </x:c>
      <x:c r="G28" s="2" t="str">
        <x:v>S02-T02</x:v>
      </x:c>
      <x:c r="H28" s="2" t="str">
        <x:v>NA</x:v>
      </x:c>
      <x:c r="I28" s="2" t="str">
        <x:v>String Similarity Metrics (Jaro-Winkler, Levenshtein)</x:v>
      </x:c>
      <x:c r="J28" s="6" t="str">
        <x:v>Rule or heuristic</x:v>
      </x:c>
      <x:c r="K28" s="6" t="str">
        <x:v>Candidate generation</x:v>
      </x:c>
      <x:c r="L28" s="6" t="str">
        <x:v>使用Jaro-Winkler和Levenshtein字符串相似度算法计算SAD实体与SAM实体名称的匹配分数。</x:v>
      </x:c>
      <x:c r="M28" s="2" t="str">
        <x:v>与LLM提取的实体名称配合，在匹配步骤中与嵌入相似度组合使用。</x:v>
      </x:c>
      <x:c r="N28" s="2" t="str">
        <x:v>Yes</x:v>
      </x:c>
      <x:c r="O28" s="2" t="str">
        <x:v>No</x:v>
      </x:c>
      <x:c r="P28" s="2" t="str">
        <x:v>NR</x:v>
      </x:c>
      <x:c r="Q28" s="6" t="str">
        <x:v>p. 9; Section 4</x:v>
      </x:c>
      <x:c r="R28" s="6" t="str">
        <x:v>process uses both string similarity metrics (Jaro-Winkler [65] and Levenshtein [38]) and vector embeddings similarity.</x:v>
      </x:c>
      <x:c r="S28" s="6" t="str">
        <x:v>字符串相似度度量是启发式组件，用于实体匹配。</x:v>
      </x:c>
      <x:c r="T28" s="2" t="str">
        <x:v>Accepted</x:v>
      </x:c>
      <x:c r="U28" s="6" t="str">
        <x:v>NR</x:v>
      </x:c>
    </x:row>
    <x:row r="29" ht="76" customHeight="1">
      <x:c r="A29" s="2" t="str">
        <x:v>S02-COMP-R06</x:v>
      </x:c>
      <x:c r="B29" s="2" t="str">
        <x:v>S02</x:v>
      </x:c>
      <x:c r="C29" s="2" t="str">
        <x:v>merged_0007</x:v>
      </x:c>
      <x:c r="D29" s="2" t="str">
        <x:v>Reviewer_A</x:v>
      </x:c>
      <x:c r="E29" s="2" t="str">
        <x:v>Reviewer_A</x:v>
      </x:c>
      <x:c r="F29" s="2" t="str">
        <x:v>S02-CMP06</x:v>
      </x:c>
      <x:c r="G29" s="2" t="str">
        <x:v>S02-T03</x:v>
      </x:c>
      <x:c r="H29" s="2" t="str">
        <x:v>S02-O01</x:v>
      </x:c>
      <x:c r="I29" s="2" t="str">
        <x:v>Package Feature Extraction</x:v>
      </x:c>
      <x:c r="J29" s="6" t="str">
        <x:v>Static analysis</x:v>
      </x:c>
      <x:c r="K29" s="6" t="str">
        <x:v>Feature augmentation</x:v>
      </x:c>
      <x:c r="L29" s="6" t="str">
        <x:v>同C1，为ExArch提供代码特征。</x:v>
      </x:c>
      <x:c r="M29" s="2" t="str">
        <x:v>同C1。</x:v>
      </x:c>
      <x:c r="N29" s="2" t="str">
        <x:v>Yes</x:v>
      </x:c>
      <x:c r="O29" s="2" t="str">
        <x:v>No</x:v>
      </x:c>
      <x:c r="P29" s="2" t="str">
        <x:v>NR</x:v>
      </x:c>
      <x:c r="Q29" s="6" t="str">
        <x:v>p. 6; Section 3.1</x:v>
      </x:c>
      <x:c r="R29" s="6" t="str">
        <x:v>Thus, we extract the package structure from the source code.</x:v>
      </x:c>
      <x:c r="S29" s="6" t="str">
        <x:v>在T3中仍然使用包名提取作为特征输入。</x:v>
      </x:c>
      <x:c r="T29" s="2" t="str">
        <x:v>Accepted</x:v>
      </x:c>
      <x:c r="U29" s="6" t="str">
        <x:v>NR</x:v>
      </x:c>
    </x:row>
    <x:row r="30" ht="76" customHeight="1">
      <x:c r="A30" s="2" t="str">
        <x:v>S02-COMP-R07</x:v>
      </x:c>
      <x:c r="B30" s="2" t="str">
        <x:v>S02</x:v>
      </x:c>
      <x:c r="C30" s="2" t="str">
        <x:v>merged_0007</x:v>
      </x:c>
      <x:c r="D30" s="2" t="str">
        <x:v>Reviewer_A</x:v>
      </x:c>
      <x:c r="E30" s="2" t="str">
        <x:v>Reviewer_A</x:v>
      </x:c>
      <x:c r="F30" s="2" t="str">
        <x:v>S02-CMP07</x:v>
      </x:c>
      <x:c r="G30" s="2" t="str">
        <x:v>S02-T03</x:v>
      </x:c>
      <x:c r="H30" s="2" t="str">
        <x:v>NA</x:v>
      </x:c>
      <x:c r="I30" s="2" t="str">
        <x:v>TransArC</x:v>
      </x:c>
      <x:c r="J30" s="6" t="str">
        <x:v>Tool framework</x:v>
      </x:c>
      <x:c r="K30" s="6" t="str">
        <x:v>Candidate generation</x:v>
      </x:c>
      <x:c r="L30" s="6" t="str">
        <x:v>同C2，结合ExArch和/或ArTEMiS进行追踪链接恢复。</x:v>
      </x:c>
      <x:c r="M30" s="2" t="str">
        <x:v>同C2。</x:v>
      </x:c>
      <x:c r="N30" s="2" t="str">
        <x:v>Yes</x:v>
      </x:c>
      <x:c r="O30" s="2" t="str">
        <x:v>No</x:v>
      </x:c>
      <x:c r="P30" s="2" t="str">
        <x:v>NR</x:v>
      </x:c>
      <x:c r="Q30" s="6" t="str">
        <x:v>p. 8; Section 3.3</x:v>
      </x:c>
      <x:c r="R30" s="6" t="str">
        <x:v>To be able to analyze the effect of LLM-extracted intermediate models on transitive TLR between SAD and code, we make use of the TransArC approach</x:v>
      </x:c>
      <x:c r="S30" s="6" t="str">
        <x:v>TransArC在T3组合中仍作为核心链接工具。</x:v>
      </x:c>
      <x:c r="T30" s="2" t="str">
        <x:v>Accepted</x:v>
      </x:c>
      <x:c r="U30" s="6" t="str">
        <x:v>NR</x:v>
      </x:c>
    </x:row>
    <x:row r="31" ht="76" customHeight="1">
      <x:c r="A31" s="2" t="str">
        <x:v>S02-COMP-R08</x:v>
      </x:c>
      <x:c r="B31" s="2" t="str">
        <x:v>S02</x:v>
      </x:c>
      <x:c r="C31" s="2" t="str">
        <x:v>merged_0007</x:v>
      </x:c>
      <x:c r="D31" s="2" t="str">
        <x:v>Reviewer_A</x:v>
      </x:c>
      <x:c r="E31" s="2" t="str">
        <x:v>Reviewer_A</x:v>
      </x:c>
      <x:c r="F31" s="2" t="str">
        <x:v>S02-CMP08</x:v>
      </x:c>
      <x:c r="G31" s="2" t="str">
        <x:v>S02-T03</x:v>
      </x:c>
      <x:c r="H31" s="2" t="str">
        <x:v>S02-O01</x:v>
      </x:c>
      <x:c r="I31" s="2" t="str">
        <x:v>Response Interpretation Rules</x:v>
      </x:c>
      <x:c r="J31" s="6" t="str">
        <x:v>Rule or heuristic</x:v>
      </x:c>
      <x:c r="K31" s="6" t="str">
        <x:v>Post-processing</x:v>
      </x:c>
      <x:c r="L31" s="6" t="str">
        <x:v>同C3，用于ExArch输出解析。</x:v>
      </x:c>
      <x:c r="M31" s="2" t="str">
        <x:v>同C3。</x:v>
      </x:c>
      <x:c r="N31" s="2" t="str">
        <x:v>Yes</x:v>
      </x:c>
      <x:c r="O31" s="2" t="str">
        <x:v>No</x:v>
      </x:c>
      <x:c r="P31" s="2" t="str">
        <x:v>NR</x:v>
      </x:c>
      <x:c r="Q31" s="6" t="str">
        <x:v>p. 7; Section 3.2, Interpretation of Responses</x:v>
      </x:c>
      <x:c r="R31" s="6" t="str">
        <x:v>To parse the responses, we consider every line of the final response. First, we check that the trimmed line starts with the character ‘-’.</x:v>
      </x:c>
      <x:c r="S31" s="6" t="str">
        <x:v>后处理规则在T3中用于ExArch的输出清理。</x:v>
      </x:c>
      <x:c r="T31" s="2" t="str">
        <x:v>Accepted</x:v>
      </x:c>
      <x:c r="U31" s="6" t="str">
        <x:v>NR</x:v>
      </x:c>
    </x:row>
    <x:row r="32" ht="76" customHeight="1">
      <x:c r="A32" s="2" t="str">
        <x:v>S02-COMP-R09</x:v>
      </x:c>
      <x:c r="B32" s="2" t="str">
        <x:v>S02</x:v>
      </x:c>
      <x:c r="C32" s="2" t="str">
        <x:v>merged_0007</x:v>
      </x:c>
      <x:c r="D32" s="2" t="str">
        <x:v>Reviewer_A</x:v>
      </x:c>
      <x:c r="E32" s="2" t="str">
        <x:v>Reviewer_A</x:v>
      </x:c>
      <x:c r="F32" s="2" t="str">
        <x:v>S02-CMP09</x:v>
      </x:c>
      <x:c r="G32" s="2" t="str">
        <x:v>S02-T03</x:v>
      </x:c>
      <x:c r="H32" s="2" t="str">
        <x:v>NA</x:v>
      </x:c>
      <x:c r="I32" s="2" t="str">
        <x:v>OpenAI text-embedding-3-large</x:v>
      </x:c>
      <x:c r="J32" s="6" t="str">
        <x:v>Embedding model</x:v>
      </x:c>
      <x:c r="K32" s="6" t="str">
        <x:v>Candidate generation</x:v>
      </x:c>
      <x:c r="L32" s="6" t="str">
        <x:v>同C4，为ArTEMiS匹配提供嵌入相似度。</x:v>
      </x:c>
      <x:c r="M32" s="2" t="str">
        <x:v>同C4。</x:v>
      </x:c>
      <x:c r="N32" s="2" t="str">
        <x:v>Yes</x:v>
      </x:c>
      <x:c r="O32" s="2" t="str">
        <x:v>No</x:v>
      </x:c>
      <x:c r="P32" s="2" t="str">
        <x:v>NR</x:v>
      </x:c>
      <x:c r="Q32" s="6" t="str">
        <x:v>p. 9; Section 4</x:v>
      </x:c>
      <x:c r="R32" s="6" t="str">
        <x:v>For vector embeddings similarity, we use OpenAI’s model “text-embedding-3-large” to embed each of the name and alternative names</x:v>
      </x:c>
      <x:c r="S32" s="6" t="str">
        <x:v>嵌入模型在T3中用于ArTEMiS的匹配。</x:v>
      </x:c>
      <x:c r="T32" s="2" t="str">
        <x:v>Accepted</x:v>
      </x:c>
      <x:c r="U32" s="6" t="str">
        <x:v>NR</x:v>
      </x:c>
    </x:row>
    <x:row r="33" ht="76" customHeight="1">
      <x:c r="A33" s="2" t="str">
        <x:v>S02-COMP-R10</x:v>
      </x:c>
      <x:c r="B33" s="2" t="str">
        <x:v>S02</x:v>
      </x:c>
      <x:c r="C33" s="2" t="str">
        <x:v>merged_0007</x:v>
      </x:c>
      <x:c r="D33" s="2" t="str">
        <x:v>Reviewer_A</x:v>
      </x:c>
      <x:c r="E33" s="2" t="str">
        <x:v>Reviewer_A</x:v>
      </x:c>
      <x:c r="F33" s="2" t="str">
        <x:v>S02-CMP10</x:v>
      </x:c>
      <x:c r="G33" s="2" t="str">
        <x:v>S02-T03</x:v>
      </x:c>
      <x:c r="H33" s="2" t="str">
        <x:v>NA</x:v>
      </x:c>
      <x:c r="I33" s="2" t="str">
        <x:v>String Similarity Metrics (Jaro-Winkler, Levenshtein)</x:v>
      </x:c>
      <x:c r="J33" s="6" t="str">
        <x:v>Rule or heuristic</x:v>
      </x:c>
      <x:c r="K33" s="6" t="str">
        <x:v>Candidate generation</x:v>
      </x:c>
      <x:c r="L33" s="6" t="str">
        <x:v>同C5，用于ArTEMiS匹配。</x:v>
      </x:c>
      <x:c r="M33" s="2" t="str">
        <x:v>同C5。</x:v>
      </x:c>
      <x:c r="N33" s="2" t="str">
        <x:v>Yes</x:v>
      </x:c>
      <x:c r="O33" s="2" t="str">
        <x:v>No</x:v>
      </x:c>
      <x:c r="P33" s="2" t="str">
        <x:v>NR</x:v>
      </x:c>
      <x:c r="Q33" s="6" t="str">
        <x:v>p. 9; Section 4</x:v>
      </x:c>
      <x:c r="R33" s="6" t="str">
        <x:v>process uses both string similarity metrics (Jaro-Winkler [65] and Levenshtein [38]) and vector embeddings similarity.</x:v>
      </x:c>
      <x:c r="S33" s="6" t="str">
        <x:v>字符串相似度在T3中用于ArTEMiS匹配。</x:v>
      </x:c>
      <x:c r="T33" s="2" t="str">
        <x:v>Accepted</x:v>
      </x:c>
      <x:c r="U33" s="6" t="str">
        <x:v>NR</x:v>
      </x:c>
    </x:row>
    <x:row r="34" ht="76" customHeight="1">
      <x:c r="A34" s="2" t="str">
        <x:v>S03-COMP-R01</x:v>
      </x:c>
      <x:c r="B34" s="2" t="str">
        <x:v>S03</x:v>
      </x:c>
      <x:c r="C34" s="2" t="str">
        <x:v>merged_0014</x:v>
      </x:c>
      <x:c r="D34" s="2" t="str">
        <x:v>Reviewer_A</x:v>
      </x:c>
      <x:c r="E34" s="2" t="str">
        <x:v>Reviewer_A</x:v>
      </x:c>
      <x:c r="F34" s="2" t="str">
        <x:v>S03-CMP01</x:v>
      </x:c>
      <x:c r="G34" s="2" t="str">
        <x:v>S03-T01</x:v>
      </x:c>
      <x:c r="H34" s="2" t="str">
        <x:v>S03-O01</x:v>
      </x:c>
      <x:c r="I34" s="2" t="str">
        <x:v>Domain Services Extractor</x:v>
      </x:c>
      <x:c r="J34" s="6" t="str">
        <x:v>Other</x:v>
      </x:c>
      <x:c r="K34" s="6" t="str">
        <x:v>Pre-filtering</x:v>
      </x:c>
      <x:c r="L34" s="6" t="str">
        <x:v>从领域模型中提取服务及其文本描述</x:v>
      </x:c>
      <x:c r="M34" s="2" t="str">
        <x:v>为LLM提供上下文中的领域服务列表</x:v>
      </x:c>
      <x:c r="N34" s="2" t="str">
        <x:v>Yes</x:v>
      </x:c>
      <x:c r="O34" s="2" t="str">
        <x:v>No</x:v>
      </x:c>
      <x:c r="P34" s="2" t="str">
        <x:v>NR</x:v>
      </x:c>
      <x:c r="Q34" s="6" t="str">
        <x:v>p. 2; Section 3.1 A</x:v>
      </x:c>
      <x:c r="R34" s="6" t="str">
        <x:v>From a domain model, we extract a set of domain services along with their textual descriptions.</x:v>
      </x:c>
      <x:c r="S34" s="6" t="str">
        <x:v>提取领域服务描述，作为后续步骤的输入</x:v>
      </x:c>
      <x:c r="T34" s="2" t="str">
        <x:v>Accepted</x:v>
      </x:c>
      <x:c r="U34" s="6" t="str">
        <x:v>NA</x:v>
      </x:c>
    </x:row>
    <x:row r="35" ht="76" customHeight="1">
      <x:c r="A35" s="2" t="str">
        <x:v>S03-COMP-R02</x:v>
      </x:c>
      <x:c r="B35" s="2" t="str">
        <x:v>S03</x:v>
      </x:c>
      <x:c r="C35" s="2" t="str">
        <x:v>merged_0014</x:v>
      </x:c>
      <x:c r="D35" s="2" t="str">
        <x:v>Reviewer_A</x:v>
      </x:c>
      <x:c r="E35" s="2" t="str">
        <x:v>Reviewer_A</x:v>
      </x:c>
      <x:c r="F35" s="2" t="str">
        <x:v>S03-CMP02</x:v>
      </x:c>
      <x:c r="G35" s="2" t="str">
        <x:v>S03-T01</x:v>
      </x:c>
      <x:c r="H35" s="2" t="str">
        <x:v>S03-O01</x:v>
      </x:c>
      <x:c r="I35" s="2" t="str">
        <x:v>Application Classes Identification</x:v>
      </x:c>
      <x:c r="J35" s="6" t="str">
        <x:v>Rule or heuristic</x:v>
      </x:c>
      <x:c r="K35" s="6" t="str">
        <x:v>Pre-filtering</x:v>
      </x:c>
      <x:c r="L35" s="6" t="str">
        <x:v>根据类名模式或注解识别应用类</x:v>
      </x:c>
      <x:c r="M35" s="2" t="str">
        <x:v>识别的类作为LLM生成领域意图的输入</x:v>
      </x:c>
      <x:c r="N35" s="2" t="str">
        <x:v>Yes</x:v>
      </x:c>
      <x:c r="O35" s="2" t="str">
        <x:v>No</x:v>
      </x:c>
      <x:c r="P35" s="2" t="str">
        <x:v>NR</x:v>
      </x:c>
      <x:c r="Q35" s="6" t="str">
        <x:v>p. 2; Section 3.1 B</x:v>
      </x:c>
      <x:c r="R35" s="6" t="str">
        <x:v>These application classes are identified by exploiting the programming paradigms used by the programmer, or filtering out using certain class name patterns such as classes with "Action" as a keyword or application annotations such as "@Service" for Spring-based Java Applications.</x:v>
      </x:c>
      <x:c r="S35" s="6" t="str">
        <x:v>使用规则或启发式方法筛选应用类</x:v>
      </x:c>
      <x:c r="T35" s="2" t="str">
        <x:v>Accepted</x:v>
      </x:c>
      <x:c r="U35" s="6" t="str">
        <x:v>NA</x:v>
      </x:c>
    </x:row>
    <x:row r="36" ht="76" customHeight="1">
      <x:c r="A36" s="2" t="str">
        <x:v>S03-COMP-R03</x:v>
      </x:c>
      <x:c r="B36" s="2" t="str">
        <x:v>S03</x:v>
      </x:c>
      <x:c r="C36" s="2" t="str">
        <x:v>merged_0014</x:v>
      </x:c>
      <x:c r="D36" s="2" t="str">
        <x:v>Reviewer_A</x:v>
      </x:c>
      <x:c r="E36" s="2" t="str">
        <x:v>Reviewer_A</x:v>
      </x:c>
      <x:c r="F36" s="2" t="str">
        <x:v>S03-CMP03</x:v>
      </x:c>
      <x:c r="G36" s="2" t="str">
        <x:v>S03-T01</x:v>
      </x:c>
      <x:c r="H36" s="2" t="str">
        <x:v>S03-O01</x:v>
      </x:c>
      <x:c r="I36" s="2" t="str">
        <x:v>all-mpnet-base-v2</x:v>
      </x:c>
      <x:c r="J36" s="6" t="str">
        <x:v>Embedding model</x:v>
      </x:c>
      <x:c r="K36" s="6" t="str">
        <x:v>Context construction</x:v>
      </x:c>
      <x:c r="L36" s="6" t="str">
        <x:v>生成领域意图和服务描述的句子嵌入</x:v>
      </x:c>
      <x:c r="M36" s="2" t="str">
        <x:v>使用LLM生成的领域意图作为输入，生成嵌入向量</x:v>
      </x:c>
      <x:c r="N36" s="2" t="str">
        <x:v>Yes</x:v>
      </x:c>
      <x:c r="O36" s="2" t="str">
        <x:v>No</x:v>
      </x:c>
      <x:c r="P36" s="2" t="str">
        <x:v>NR</x:v>
      </x:c>
      <x:c r="Q36" s="6" t="str">
        <x:v>p. 3; Section 4</x:v>
      </x:c>
      <x:c r="R36" s="6" t="str">
        <x:v>It uses all-mpnet-base-v2 [13] for generating the sentence embeddings of the domain intents of application classes and extracted domain service descriptions</x:v>
      </x:c>
      <x:c r="S36" s="6" t="str">
        <x:v>句子嵌入模型，将文本转换为高维向量</x:v>
      </x:c>
      <x:c r="T36" s="2" t="str">
        <x:v>Accepted</x:v>
      </x:c>
      <x:c r="U36" s="6" t="str">
        <x:v>NA</x:v>
      </x:c>
    </x:row>
    <x:row r="37" ht="76" customHeight="1">
      <x:c r="A37" s="2" t="str">
        <x:v>S03-COMP-R04</x:v>
      </x:c>
      <x:c r="B37" s="2" t="str">
        <x:v>S03</x:v>
      </x:c>
      <x:c r="C37" s="2" t="str">
        <x:v>merged_0014</x:v>
      </x:c>
      <x:c r="D37" s="2" t="str">
        <x:v>Reviewer_A</x:v>
      </x:c>
      <x:c r="E37" s="2" t="str">
        <x:v>Reviewer_A</x:v>
      </x:c>
      <x:c r="F37" s="2" t="str">
        <x:v>S03-CMP04</x:v>
      </x:c>
      <x:c r="G37" s="2" t="str">
        <x:v>S03-T01</x:v>
      </x:c>
      <x:c r="H37" s="2" t="str">
        <x:v>S03-O01</x:v>
      </x:c>
      <x:c r="I37" s="2" t="str">
        <x:v>SLSQP Optimizer</x:v>
      </x:c>
      <x:c r="J37" s="6" t="str">
        <x:v>Other</x:v>
      </x:c>
      <x:c r="K37" s="6" t="str">
        <x:v>Post-processing</x:v>
      </x:c>
      <x:c r="L37" s="6" t="str">
        <x:v>根据应用和领域工作流关系优化相似度矩阵</x:v>
      </x:c>
      <x:c r="M37" s="2" t="str">
        <x:v>不直接与LLM交互，作用于相似度矩阵</x:v>
      </x:c>
      <x:c r="N37" s="2" t="str">
        <x:v>Yes</x:v>
      </x:c>
      <x:c r="O37" s="2" t="str">
        <x:v>Yes</x:v>
      </x:c>
      <x:c r="P37" s="2" t="str">
        <x:v>优化后部分指标提升，但平均F1未改善</x:v>
      </x:c>
      <x:c r="Q37" s="6" t="str">
        <x:v>p. 3; Section 4</x:v>
      </x:c>
      <x:c r="R37" s="6" t="str">
        <x:v>In the optimization stage, we used Sequential Least Squares Programming (SLSQP)[5] of SciPy’s python library.</x:v>
      </x:c>
      <x:c r="S37" s="6" t="str">
        <x:v>使用SLSQP优化器调整相似度分数</x:v>
      </x:c>
      <x:c r="T37" s="2" t="str">
        <x:v>Accepted</x:v>
      </x:c>
      <x:c r="U37" s="6" t="str">
        <x:v>NA</x:v>
      </x:c>
    </x:row>
    <x:row r="38" ht="76" customHeight="1">
      <x:c r="A38" s="2" t="str">
        <x:v>S03-COMP-R05</x:v>
      </x:c>
      <x:c r="B38" s="2" t="str">
        <x:v>S03</x:v>
      </x:c>
      <x:c r="C38" s="2" t="str">
        <x:v>merged_0014</x:v>
      </x:c>
      <x:c r="D38" s="2" t="str">
        <x:v>Reviewer_A</x:v>
      </x:c>
      <x:c r="E38" s="2" t="str">
        <x:v>Reviewer_A</x:v>
      </x:c>
      <x:c r="F38" s="2" t="str">
        <x:v>S03-CMP05</x:v>
      </x:c>
      <x:c r="G38" s="2" t="str">
        <x:v>S03-T01</x:v>
      </x:c>
      <x:c r="H38" s="2" t="str">
        <x:v>S03-O01</x:v>
      </x:c>
      <x:c r="I38" s="2" t="str">
        <x:v>Expert Feedback</x:v>
      </x:c>
      <x:c r="J38" s="6" t="str">
        <x:v>Human review</x:v>
      </x:c>
      <x:c r="K38" s="6" t="str">
        <x:v>Human correction</x:v>
      </x:c>
      <x:c r="L38" s="6" t="str">
        <x:v>专家手动调整相似度矩阵以改善匹配</x:v>
      </x:c>
      <x:c r="M38" s="2" t="str">
        <x:v>不直接与LLM交互，修改相似度矩阵后重新优化</x:v>
      </x:c>
      <x:c r="N38" s="2" t="str">
        <x:v>Yes</x:v>
      </x:c>
      <x:c r="O38" s="2" t="str">
        <x:v>No</x:v>
      </x:c>
      <x:c r="P38" s="2" t="str">
        <x:v>with feedback，所有k值的平均服务级召回率升至100%，k=1时精度和F1均达100%</x:v>
      </x:c>
      <x:c r="Q38" s="6" t="str">
        <x:v>p. 3; Section 3.1 F</x:v>
      </x:c>
      <x:c r="R38" s="6" t="str">
        <x:v>F. Expert Feedback-based refinement. To incorporate expert feedback into the matching process, users can override the similarity values for enforcing a specific match between domain service 𝑑𝑖</x:v>
      </x:c>
      <x:c r="S38" s="6" t="str">
        <x:v>专家反馈用于纠正错误匹配</x:v>
      </x:c>
      <x:c r="T38" s="2" t="str">
        <x:v>Accepted</x:v>
      </x:c>
      <x:c r="U38" s="6" t="str">
        <x:v>NA</x:v>
      </x:c>
    </x:row>
    <x:row r="39" ht="76" customHeight="1">
      <x:c r="A39" s="2" t="str">
        <x:v>S03-COMP-R06</x:v>
      </x:c>
      <x:c r="B39" s="2" t="str">
        <x:v>S03</x:v>
      </x:c>
      <x:c r="C39" s="2" t="str">
        <x:v>merged_0014</x:v>
      </x:c>
      <x:c r="D39" s="2" t="str">
        <x:v>Reviewer_A</x:v>
      </x:c>
      <x:c r="E39" s="2" t="str">
        <x:v>Reviewer_A</x:v>
      </x:c>
      <x:c r="F39" s="2" t="str">
        <x:v>S03-CMP06</x:v>
      </x:c>
      <x:c r="G39" s="2" t="str">
        <x:v>S03-T01</x:v>
      </x:c>
      <x:c r="H39" s="2" t="str">
        <x:v>NA</x:v>
      </x:c>
      <x:c r="I39" s="2" t="str">
        <x:v>Baseline VSM tool</x:v>
      </x:c>
      <x:c r="J39" s="6" t="str">
        <x:v>Traditional IR</x:v>
      </x:c>
      <x:c r="K39" s="6" t="str">
        <x:v>Evaluation only</x:v>
      </x:c>
      <x:c r="L39" s="6" t="str">
        <x:v>传统VSM方法用于基线比较</x:v>
      </x:c>
      <x:c r="M39" s="2" t="str">
        <x:v>无</x:v>
      </x:c>
      <x:c r="N39" s="2" t="str">
        <x:v>No</x:v>
      </x:c>
      <x:c r="O39" s="2" t="str">
        <x:v>No</x:v>
      </x:c>
      <x:c r="P39" s="2" t="str">
        <x:v>NR</x:v>
      </x:c>
      <x:c r="Q39" s="6" t="str">
        <x:v>p. 4; Section 5.2</x:v>
      </x:c>
      <x:c r="R39" s="6" t="str">
        <x:v>As a baseline, we employed VSM-based tool created by [11] and executed it on our dataset without changing any parameters</x:v>
      </x:c>
      <x:c r="S39" s="6" t="str">
        <x:v>基线工具，不参与所提方法的流程</x:v>
      </x:c>
      <x:c r="T39" s="2" t="str">
        <x:v>Accepted</x:v>
      </x:c>
      <x:c r="U39" s="6" t="str">
        <x:v>NA</x:v>
      </x:c>
    </x:row>
    <x:row r="40" ht="76" customHeight="1">
      <x:c r="A40" s="2" t="str">
        <x:v>S04-COMP-R01</x:v>
      </x:c>
      <x:c r="B40" s="2" t="str">
        <x:v>S04</x:v>
      </x:c>
      <x:c r="C40" s="2" t="str">
        <x:v>merged_0075</x:v>
      </x:c>
      <x:c r="D40" s="2" t="str">
        <x:v>Reviewer_A</x:v>
      </x:c>
      <x:c r="E40" s="2" t="str">
        <x:v>Reviewer_A</x:v>
      </x:c>
      <x:c r="F40" s="2" t="str">
        <x:v>S04-CMP01</x:v>
      </x:c>
      <x:c r="G40" s="2" t="str">
        <x:v>S04-T01</x:v>
      </x:c>
      <x:c r="H40" s="2" t="str">
        <x:v>S04-O01</x:v>
      </x:c>
      <x:c r="I40" s="2" t="str">
        <x:v>Prototype tool</x:v>
      </x:c>
      <x:c r="J40" s="6" t="str">
        <x:v>Tool framework</x:v>
      </x:c>
      <x:c r="K40" s="6" t="str">
        <x:v>Tool orchestration</x:v>
      </x:c>
      <x:c r="L40" s="6" t="str">
        <x:v>读取需求文件和TGRL模型，构建提示并调用GPT-3.5-turbo，将返回的追溯链接和理由展示给用户</x:v>
      </x:c>
      <x:c r="M40" s="2" t="str">
        <x:v>工具通过API调用GPT-3.5-turbo，发送构建好的提示消息，接收并解析LLM的响应</x:v>
      </x:c>
      <x:c r="N40" s="2" t="str">
        <x:v>Yes</x:v>
      </x:c>
      <x:c r="O40" s="2" t="str">
        <x:v>No</x:v>
      </x:c>
      <x:c r="P40" s="2" t="str">
        <x:v>NR</x:v>
      </x:c>
      <x:c r="Q40" s="6" t="str">
        <x:v>p. 5; Section 4 and Figure 4</x:v>
      </x:c>
      <x:c r="R40" s="6" t="str">
        <x:v>The approach is implemented in a prototype tool, developed using Gradio Python library 2. Figure 4 shows the tool interface.</x:v>
      </x:c>
      <x:c r="S40" s="6" t="str">
        <x:v>原型工具作为端到端的工作流组件，整合了输入处理、LLM调用和结果展示功能</x:v>
      </x:c>
      <x:c r="T40" s="2" t="str">
        <x:v>Accepted</x:v>
      </x:c>
      <x:c r="U40" s="6" t="str">
        <x:v>NR</x:v>
      </x:c>
    </x:row>
    <x:row r="41" ht="76" customHeight="1">
      <x:c r="A41" s="2" t="str">
        <x:v>S05-COMP-R01</x:v>
      </x:c>
      <x:c r="B41" s="2" t="str">
        <x:v>S05</x:v>
      </x:c>
      <x:c r="C41" s="2" t="str">
        <x:v>merged_0077</x:v>
      </x:c>
      <x:c r="D41" s="2" t="str">
        <x:v>Reviewer_A</x:v>
      </x:c>
      <x:c r="E41" s="2" t="str">
        <x:v>Reviewer_A</x:v>
      </x:c>
      <x:c r="F41" s="2" t="str">
        <x:v>S05-CMP01</x:v>
      </x:c>
      <x:c r="G41" s="2" t="str">
        <x:v>S05-T01</x:v>
      </x:c>
      <x:c r="H41" s="2" t="str">
        <x:v>NA</x:v>
      </x:c>
      <x:c r="I41" s="2" t="str">
        <x:v>TF-IDF</x:v>
      </x:c>
      <x:c r="J41" s="6" t="str">
        <x:v>Traditional IR</x:v>
      </x:c>
      <x:c r="K41" s="6" t="str">
        <x:v>Evaluation only</x:v>
      </x:c>
      <x:c r="L41" s="6" t="str">
        <x:v>通过TF-IDF向量化文档和代码，计算余弦相似度来生成候选链接。</x:v>
      </x:c>
      <x:c r="M41" s="2" t="str">
        <x:v>无，仅作为对比基线</x:v>
      </x:c>
      <x:c r="N41" s="2" t="str">
        <x:v>No</x:v>
      </x:c>
      <x:c r="O41" s="2" t="str">
        <x:v>No</x:v>
      </x:c>
      <x:c r="P41" s="2" t="str">
        <x:v>NA</x:v>
      </x:c>
      <x:c r="Q41" s="6" t="str">
        <x:v>p. 14; Section 3.4</x:v>
      </x:c>
      <x:c r="R41" s="6" t="str">
        <x:v>TF-IDF: computes cosine similarity between TF-IDF vectorized documentation segment and code artifact</x:v>
      </x:c>
      <x:c r="S41" s="6" t="str">
        <x:v>传统信息检索方法，作为LLM性能的下界参考。</x:v>
      </x:c>
      <x:c r="T41" s="2" t="str">
        <x:v>Accepted</x:v>
      </x:c>
      <x:c r="U41" s="6" t="str">
        <x:v>NA</x:v>
      </x:c>
    </x:row>
    <x:row r="42" ht="76" customHeight="1">
      <x:c r="A42" s="2" t="str">
        <x:v>S05-COMP-R02</x:v>
      </x:c>
      <x:c r="B42" s="2" t="str">
        <x:v>S05</x:v>
      </x:c>
      <x:c r="C42" s="2" t="str">
        <x:v>merged_0077</x:v>
      </x:c>
      <x:c r="D42" s="2" t="str">
        <x:v>Reviewer_A</x:v>
      </x:c>
      <x:c r="E42" s="2" t="str">
        <x:v>Reviewer_A</x:v>
      </x:c>
      <x:c r="F42" s="2" t="str">
        <x:v>S05-CMP02</x:v>
      </x:c>
      <x:c r="G42" s="2" t="str">
        <x:v>S05-T01</x:v>
      </x:c>
      <x:c r="H42" s="2" t="str">
        <x:v>NA</x:v>
      </x:c>
      <x:c r="I42" s="2" t="str">
        <x:v>BM25</x:v>
      </x:c>
      <x:c r="J42" s="6" t="str">
        <x:v>Traditional IR</x:v>
      </x:c>
      <x:c r="K42" s="6" t="str">
        <x:v>Evaluation only</x:v>
      </x:c>
      <x:c r="L42" s="6" t="str">
        <x:v>采用概率性词匹配方法（Okapi BM25）对代码构件进行排序。</x:v>
      </x:c>
      <x:c r="M42" s="2" t="str">
        <x:v>无，仅作为对比基线</x:v>
      </x:c>
      <x:c r="N42" s="2" t="str">
        <x:v>No</x:v>
      </x:c>
      <x:c r="O42" s="2" t="str">
        <x:v>No</x:v>
      </x:c>
      <x:c r="P42" s="2" t="str">
        <x:v>NA</x:v>
      </x:c>
      <x:c r="Q42" s="6" t="str">
        <x:v>p. 14; Section 3.4</x:v>
      </x:c>
      <x:c r="R42" s="6" t="str">
        <x:v>BM25: employs a probabilistic token-matching approach (Okapi BM25)</x:v>
      </x:c>
      <x:c r="S42" s="6" t="str">
        <x:v>改进的TF-IDF变体，作为传统检索基线。</x:v>
      </x:c>
      <x:c r="T42" s="2" t="str">
        <x:v>Accepted</x:v>
      </x:c>
      <x:c r="U42" s="6" t="str">
        <x:v>NA</x:v>
      </x:c>
    </x:row>
    <x:row r="43" ht="76" customHeight="1">
      <x:c r="A43" s="2" t="str">
        <x:v>S05-COMP-R03</x:v>
      </x:c>
      <x:c r="B43" s="2" t="str">
        <x:v>S05</x:v>
      </x:c>
      <x:c r="C43" s="2" t="str">
        <x:v>merged_0077</x:v>
      </x:c>
      <x:c r="D43" s="2" t="str">
        <x:v>Reviewer_A</x:v>
      </x:c>
      <x:c r="E43" s="2" t="str">
        <x:v>Reviewer_A</x:v>
      </x:c>
      <x:c r="F43" s="2" t="str">
        <x:v>S05-CMP03</x:v>
      </x:c>
      <x:c r="G43" s="2" t="str">
        <x:v>S05-T01</x:v>
      </x:c>
      <x:c r="H43" s="2" t="str">
        <x:v>NA</x:v>
      </x:c>
      <x:c r="I43" s="2" t="str">
        <x:v>CodeBERT</x:v>
      </x:c>
      <x:c r="J43" s="6" t="str">
        <x:v>Non-LLM ML or DL</x:v>
      </x:c>
      <x:c r="K43" s="6" t="str">
        <x:v>Evaluation only</x:v>
      </x:c>
      <x:c r="L43" s="6" t="str">
        <x:v>使用预训练的CodeBERT嵌入进行文档和代码的向量化，并通过滑动窗口处理长文本。</x:v>
      </x:c>
      <x:c r="M43" s="2" t="str">
        <x:v>无，仅作为对比基线</x:v>
      </x:c>
      <x:c r="N43" s="2" t="str">
        <x:v>No</x:v>
      </x:c>
      <x:c r="O43" s="2" t="str">
        <x:v>No</x:v>
      </x:c>
      <x:c r="P43" s="2" t="str">
        <x:v>NA</x:v>
      </x:c>
      <x:c r="Q43" s="6" t="str">
        <x:v>p. 14; Section 3.4</x:v>
      </x:c>
      <x:c r="R43" s="6" t="str">
        <x:v>CodeBERT: utilizes pretrained CodeBERT embeddings trained specifically on software texts and code. Due to its 512-token limit, CodeBERT applies a sliding-window approach</x:v>
      </x:c>
      <x:c r="S43" s="6" t="str">
        <x:v>基于预训练的神经检索方法，作为LLM的参考。</x:v>
      </x:c>
      <x:c r="T43" s="2" t="str">
        <x:v>Accepted</x:v>
      </x:c>
      <x:c r="U43" s="6" t="str">
        <x:v>NA</x:v>
      </x:c>
    </x:row>
    <x:row r="44" ht="76" customHeight="1">
      <x:c r="A44" s="2" t="str">
        <x:v>S05-COMP-R04</x:v>
      </x:c>
      <x:c r="B44" s="2" t="str">
        <x:v>S05</x:v>
      </x:c>
      <x:c r="C44" s="2" t="str">
        <x:v>merged_0077</x:v>
      </x:c>
      <x:c r="D44" s="2" t="str">
        <x:v>Reviewer_A</x:v>
      </x:c>
      <x:c r="E44" s="2" t="str">
        <x:v>Reviewer_A</x:v>
      </x:c>
      <x:c r="F44" s="2" t="str">
        <x:v>S05-CMP04</x:v>
      </x:c>
      <x:c r="G44" s="2" t="str">
        <x:v>S05-T02</x:v>
      </x:c>
      <x:c r="H44" s="2" t="str">
        <x:v>NA</x:v>
      </x:c>
      <x:c r="I44" s="2" t="str">
        <x:v>Claude Sonnet 3.5 (claude-3-5-sonnet-20241022) as judge</x:v>
      </x:c>
      <x:c r="J44" s="6" t="str">
        <x:v>Other</x:v>
      </x:c>
      <x:c r="K44" s="6" t="str">
        <x:v>Evaluation only</x:v>
      </x:c>
      <x:c r="L44" s="6" t="str">
        <x:v>自动评估LLM生成的关系解释，将其分类为正确、部分正确或不正确。</x:v>
      </x:c>
      <x:c r="M44" s="2" t="str">
        <x:v>无，仅用于实验后自动评估</x:v>
      </x:c>
      <x:c r="N44" s="2" t="str">
        <x:v>No</x:v>
      </x:c>
      <x:c r="O44" s="2" t="str">
        <x:v>No</x:v>
      </x:c>
      <x:c r="P44" s="2" t="str">
        <x:v>NA</x:v>
      </x:c>
      <x:c r="Q44" s="6" t="str">
        <x:v>p. 21; Section 5.2</x:v>
      </x:c>
      <x:c r="R44" s="6" t="str">
        <x:v>The selected model for the LLM as a judge is Claude Sonnet 3.5 (claude-3-5-sonnet-20241022).</x:v>
      </x:c>
      <x:c r="S44" s="6" t="str">
        <x:v>使用独立的LLM作为评判者，自动化评估解释质量。</x:v>
      </x:c>
      <x:c r="T44" s="2" t="str">
        <x:v>Accepted</x:v>
      </x:c>
      <x:c r="U44" s="6" t="str">
        <x:v>NA</x:v>
      </x:c>
    </x:row>
    <x:row r="45" ht="76" customHeight="1">
      <x:c r="A45" s="2" t="str">
        <x:v>S06-COMP-R01</x:v>
      </x:c>
      <x:c r="B45" s="2" t="str">
        <x:v>S06</x:v>
      </x:c>
      <x:c r="C45" s="2" t="str">
        <x:v>merged_0079</x:v>
      </x:c>
      <x:c r="D45" s="2" t="str">
        <x:v>Reviewer_A</x:v>
      </x:c>
      <x:c r="E45" s="2" t="str">
        <x:v>Reviewer_A</x:v>
      </x:c>
      <x:c r="F45" s="2" t="str">
        <x:v>S06-CMP01</x:v>
      </x:c>
      <x:c r="G45" s="2" t="str">
        <x:v>S06-T01</x:v>
      </x:c>
      <x:c r="H45" s="2" t="str">
        <x:v>S06-O01</x:v>
      </x:c>
      <x:c r="I45" s="2" t="str">
        <x:v>LLM-Middleware</x:v>
      </x:c>
      <x:c r="J45" s="6" t="str">
        <x:v>Tool framework</x:v>
      </x:c>
      <x:c r="K45" s="6" t="str">
        <x:v>Tool orchestration</x:v>
      </x:c>
      <x:c r="L45" s="6" t="str">
        <x:v>处理与LLM的API通信，发送初始提示和工具调用结果，接收LLM的函数调用或最终答案，管理对话历史。</x:v>
      </x:c>
      <x:c r="M45" s="2" t="str">
        <x:v>将问题说明、可用函数模式、已检索的数据传递给LLM，解析LLM返回的函数调用请求并转发给数据提取器，最终接收Finish/GiveUp信号。</x:v>
      </x:c>
      <x:c r="N45" s="2" t="str">
        <x:v>Yes</x:v>
      </x:c>
      <x:c r="O45" s="2" t="str">
        <x:v>No</x:v>
      </x:c>
      <x:c r="P45" s="2" t="str">
        <x:v>NR</x:v>
      </x:c>
      <x:c r="Q45" s="6" t="str">
        <x:v>p. 4; Section IV-A Goals and Design</x:v>
      </x:c>
      <x:c r="R45" s="6" t="str">
        <x:v>The LLM-Middleware handles communication with the LLM via API calls. It first prompts the LLM with the problem explanation and the available functions</x:v>
      </x:c>
      <x:c r="S45" s="6" t="str">
        <x:v>中间件是LLM与系统其他部分之间的枢纽，负责任务编排和上下文管理，是代理架构的核心组件。</x:v>
      </x:c>
      <x:c r="T45" s="2" t="str">
        <x:v>Accepted</x:v>
      </x:c>
      <x:c r="U45" s="6" t="str">
        <x:v>NA</x:v>
      </x:c>
    </x:row>
    <x:row r="46" ht="76" customHeight="1">
      <x:c r="A46" s="2" t="str">
        <x:v>S06-COMP-R02</x:v>
      </x:c>
      <x:c r="B46" s="2" t="str">
        <x:v>S06</x:v>
      </x:c>
      <x:c r="C46" s="2" t="str">
        <x:v>merged_0079</x:v>
      </x:c>
      <x:c r="D46" s="2" t="str">
        <x:v>Reviewer_A</x:v>
      </x:c>
      <x:c r="E46" s="2" t="str">
        <x:v>Reviewer_A</x:v>
      </x:c>
      <x:c r="F46" s="2" t="str">
        <x:v>S06-CMP02</x:v>
      </x:c>
      <x:c r="G46" s="2" t="str">
        <x:v>S06-T01</x:v>
      </x:c>
      <x:c r="H46" s="2" t="str">
        <x:v>S06-O01</x:v>
      </x:c>
      <x:c r="I46" s="2" t="str">
        <x:v>Data Extractor</x:v>
      </x:c>
      <x:c r="J46" s="6" t="str">
        <x:v>Repository mining</x:v>
      </x:c>
      <x:c r="K46" s="6" t="str">
        <x:v>Context construction</x:v>
      </x:c>
      <x:c r="L46" s="6" t="str">
        <x:v>统一管理问题、Git历史和代码库的数据检索，为LLM的函数调用提供按需数据。</x:v>
      </x:c>
      <x:c r="M46" s="2" t="str">
        <x:v>接收LLM通过中间件发出的函数调用，从Jira/GitHub API、Git仓库或代码文件中拉取数据并返回，支持分页和“安全窗口”预过滤。</x:v>
      </x:c>
      <x:c r="N46" s="2" t="str">
        <x:v>Yes</x:v>
      </x:c>
      <x:c r="O46" s="2" t="str">
        <x:v>No</x:v>
      </x:c>
      <x:c r="P46" s="2" t="str">
        <x:v>NR</x:v>
      </x:c>
      <x:c r="Q46" s="6" t="str">
        <x:v>p. 4; Section IV-A Goals and Design</x:v>
      </x:c>
      <x:c r="R46" s="6" t="str">
        <x:v>LinkAnchor initializes its data-extractor module, which manages all function calls for data retrieval. Currently, the data extractor supports three sources: (i) Issue data</x:v>
      </x:c>
      <x:c r="S46" s="6" t="str">
        <x:v>数据提取器封装了对不同数据源的访问，并通过统一的函数模式供LLM调用，是数据上下文的唯一入口。</x:v>
      </x:c>
      <x:c r="T46" s="2" t="str">
        <x:v>Accepted</x:v>
      </x:c>
      <x:c r="U46" s="6" t="str">
        <x:v>NA</x:v>
      </x:c>
    </x:row>
    <x:row r="47" ht="76" customHeight="1">
      <x:c r="A47" s="2" t="str">
        <x:v>S06-COMP-R03</x:v>
      </x:c>
      <x:c r="B47" s="2" t="str">
        <x:v>S06</x:v>
      </x:c>
      <x:c r="C47" s="2" t="str">
        <x:v>merged_0079</x:v>
      </x:c>
      <x:c r="D47" s="2" t="str">
        <x:v>Reviewer_A</x:v>
      </x:c>
      <x:c r="E47" s="2" t="str">
        <x:v>Reviewer_A</x:v>
      </x:c>
      <x:c r="F47" s="2" t="str">
        <x:v>S06-CMP03</x:v>
      </x:c>
      <x:c r="G47" s="2" t="str">
        <x:v>S06-T01</x:v>
      </x:c>
      <x:c r="H47" s="2" t="str">
        <x:v>S06-O01</x:v>
      </x:c>
      <x:c r="I47" s="2" t="str">
        <x:v>Tree-sitter</x:v>
      </x:c>
      <x:c r="J47" s="6" t="str">
        <x:v>Program analysis</x:v>
      </x:c>
      <x:c r="K47" s="6" t="str">
        <x:v>Feature augmentation</x:v>
      </x:c>
      <x:c r="L47" s="6" t="str">
        <x:v>作为多语言AST解析器，支持从代码文件中提取函数定义、文档字符串和数据结构，供代码库函数使用。</x:v>
      </x:c>
      <x:c r="M47" s="2" t="str">
        <x:v>当LLM调用代码库函数（如fetch_definition）时，由数据提取器调用Tree-sitter解析指定提交点的代码并返回结果。</x:v>
      </x:c>
      <x:c r="N47" s="2" t="str">
        <x:v>Yes</x:v>
      </x:c>
      <x:c r="O47" s="2" t="str">
        <x:v>No</x:v>
      </x:c>
      <x:c r="P47" s="2" t="str">
        <x:v>NR</x:v>
      </x:c>
      <x:c r="Q47" s="6" t="str">
        <x:v>p. 5; Section IV-B2 Codebase Functions</x:v>
      </x:c>
      <x:c r="R47" s="6" t="str">
        <x:v>LinkAnchor leverages Tree-sitter [25] as an abstract syntax tree (AST) parser.</x:v>
      </x:c>
      <x:c r="S47" s="6" t="str">
        <x:v>Tree-sitter实现了语言无关的代码理解，使LLM能够检查任意语言的代码细节，增强了系统的可扩展性。</x:v>
      </x:c>
      <x:c r="T47" s="2" t="str">
        <x:v>Accepted</x:v>
      </x:c>
      <x:c r="U47" s="6" t="str">
        <x:v>NA</x:v>
      </x:c>
    </x:row>
    <x:row r="48" ht="76" customHeight="1">
      <x:c r="A48" s="2" t="str">
        <x:v>S08-COMP-R01</x:v>
      </x:c>
      <x:c r="B48" s="2" t="str">
        <x:v>S08</x:v>
      </x:c>
      <x:c r="C48" s="2" t="str">
        <x:v>merged_0256</x:v>
      </x:c>
      <x:c r="D48" s="2" t="str">
        <x:v>Reviewer_A</x:v>
      </x:c>
      <x:c r="E48" s="2" t="str">
        <x:v>Reviewer_A</x:v>
      </x:c>
      <x:c r="F48" s="2" t="str">
        <x:v>S08-CMP01</x:v>
      </x:c>
      <x:c r="G48" s="2" t="str">
        <x:v>S08-T01</x:v>
      </x:c>
      <x:c r="H48" s="2" t="str">
        <x:v>NA</x:v>
      </x:c>
      <x:c r="I48" s="2" t="str">
        <x:v>RoBERTa base model</x:v>
      </x:c>
      <x:c r="J48" s="6" t="str">
        <x:v>Embedding model</x:v>
      </x:c>
      <x:c r="K48" s="6" t="str">
        <x:v>Evaluation only</x:v>
      </x:c>
      <x:c r="L48" s="6" t="str">
        <x:v>为每个LLR生成句子嵌入，计算余弦相似度，以构建包含最相似但非正确追溯的LLR的对抗性数据集。</x:v>
      </x:c>
      <x:c r="M48" s="2" t="str">
        <x:v>间接用于评估数据准备，不与LLM直接交互。</x:v>
      </x:c>
      <x:c r="N48" s="2" t="str">
        <x:v>No</x:v>
      </x:c>
      <x:c r="O48" s="2" t="str">
        <x:v>No</x:v>
      </x:c>
      <x:c r="P48" s="2" t="str">
        <x:v>NR</x:v>
      </x:c>
      <x:c r="Q48" s="6" t="str">
        <x:v>p. 5; Section 5.2.2</x:v>
      </x:c>
      <x:c r="R48" s="6" t="str">
        <x:v>For determining LLR similarity</x:v>
      </x:c>
      <x:c r="S48" s="6" t="str">
        <x:v>用于生成对抗样本的句子相似度组件。</x:v>
      </x:c>
      <x:c r="T48" s="2" t="str">
        <x:v>Accepted</x:v>
      </x:c>
      <x:c r="U48" s="6" t="str">
        <x:v>NA</x:v>
      </x:c>
    </x:row>
    <x:row r="49" ht="76" customHeight="1">
      <x:c r="A49" s="2" t="str">
        <x:v>S09-COMP-R01</x:v>
      </x:c>
      <x:c r="B49" s="2" t="str">
        <x:v>S09</x:v>
      </x:c>
      <x:c r="C49" s="2" t="str">
        <x:v>merged_1114-v1</x:v>
      </x:c>
      <x:c r="D49" s="2" t="str">
        <x:v>Reviewer_A</x:v>
      </x:c>
      <x:c r="E49" s="2" t="str">
        <x:v>Reviewer_A</x:v>
      </x:c>
      <x:c r="F49" s="2" t="str">
        <x:v>S09-CMP01</x:v>
      </x:c>
      <x:c r="G49" s="2" t="str">
        <x:v>S09-T01</x:v>
      </x:c>
      <x:c r="H49" s="2" t="str">
        <x:v>S09-O01</x:v>
      </x:c>
      <x:c r="I49" s="2" t="str">
        <x:v>pre-trained sentence encoder Menc</x:v>
      </x:c>
      <x:c r="J49" s="6" t="str">
        <x:v>Embedding model</x:v>
      </x:c>
      <x:c r="K49" s="6" t="str">
        <x:v>Candidate retrieval</x:v>
      </x:c>
      <x:c r="L49" s="6" t="str">
        <x:v>为每个工件生成稠密向量表示，用于计算余弦相似度并检索候选工件。</x:v>
      </x:c>
      <x:c r="M49" s="2" t="str">
        <x:v>该组件在流水线第一阶段筛选出top-k候选工件对，作为第二阶段LLM分析的输入。</x:v>
      </x:c>
      <x:c r="N49" s="2" t="str">
        <x:v>Yes</x:v>
      </x:c>
      <x:c r="O49" s="2" t="str">
        <x:v>Yes</x:v>
      </x:c>
      <x:c r="P49" s="2" t="str">
        <x:v>在实验1中，仅使用该组件（Embedding-only）的F1=0.707，作为全流水线的基线；全流水线F1提升至0.769。</x:v>
      </x:c>
      <x:c r="Q49" s="6" t="str">
        <x:v>p. 6; Table II</x:v>
      </x:c>
      <x:c r="R49" s="6" t="str">
        <x:v>Embedding-only 0.829 0.637 0.707 0.913</x:v>
      </x:c>
      <x:c r="S49" s="6" t="str">
        <x:v>句子编码器是独立于LLM的语义检索组件，其消融实验通过Embedding-only基线呈现。</x:v>
      </x:c>
      <x:c r="T49" s="2" t="str">
        <x:v>Accepted</x:v>
      </x:c>
      <x:c r="U49" s="6" t="str">
        <x:v>NA</x:v>
      </x:c>
    </x:row>
    <x:row r="50" ht="76" customHeight="1">
      <x:c r="A50" s="2" t="str">
        <x:v>S10-COMP-R01</x:v>
      </x:c>
      <x:c r="B50" s="2" t="str">
        <x:v>S10</x:v>
      </x:c>
      <x:c r="C50" s="2" t="str">
        <x:v>merged_1119-v2</x:v>
      </x:c>
      <x:c r="D50" s="2" t="str">
        <x:v>Reviewer_A</x:v>
      </x:c>
      <x:c r="E50" s="2" t="str">
        <x:v>Reviewer_A</x:v>
      </x:c>
      <x:c r="F50" s="2" t="str">
        <x:v>S10-CMP01</x:v>
      </x:c>
      <x:c r="G50" s="2" t="str">
        <x:v>S10-T01</x:v>
      </x:c>
      <x:c r="H50" s="2" t="str">
        <x:v>S10-O01</x:v>
      </x:c>
      <x:c r="I50" s="2" t="str">
        <x:v>BM25</x:v>
      </x:c>
      <x:c r="J50" s="6" t="str">
        <x:v>Traditional IR</x:v>
      </x:c>
      <x:c r="K50" s="6" t="str">
        <x:v>Candidate retrieval</x:v>
      </x:c>
      <x:c r="L50" s="6" t="str">
        <x:v>基于词汇匹配的稀疏检索，为LLM重排序生成候选commit。</x:v>
      </x:c>
      <x:c r="M50" s="2" t="str">
        <x:v>为LLM提供top-K候选commit列表，作为重排序输入。</x:v>
      </x:c>
      <x:c r="N50" s="2" t="str">
        <x:v>Yes</x:v>
      </x:c>
      <x:c r="O50" s="2" t="str">
        <x:v>Yes</x:v>
      </x:c>
      <x:c r="P50" s="2" t="str">
        <x:v>BM25单独使用效果不及稠密检索，但与SBERT-SS通过RRF结合可提升召回率。</x:v>
      </x:c>
      <x:c r="Q50" s="6" t="str">
        <x:v>p. 6; Section 5.2</x:v>
      </x:c>
      <x:c r="R50" s="6" t="str">
        <x:v>Sparse retrieval was implemented using the rank-bm25 [6] library with the BM25Okapi and BM25L methods.</x:v>
      </x:c>
      <x:c r="S50" s="6" t="str">
        <x:v>BM25作为稀疏检索器，是工作流的一部分，其效果通过消融研究（对比其他检索方法）得到验证。</x:v>
      </x:c>
      <x:c r="T50" s="2" t="str">
        <x:v>Accepted</x:v>
      </x:c>
      <x:c r="U50" s="6" t="str">
        <x:v>NA</x:v>
      </x:c>
    </x:row>
    <x:row r="51" ht="76" customHeight="1">
      <x:c r="A51" s="2" t="str">
        <x:v>S10-COMP-R02</x:v>
      </x:c>
      <x:c r="B51" s="2" t="str">
        <x:v>S10</x:v>
      </x:c>
      <x:c r="C51" s="2" t="str">
        <x:v>merged_1119-v2</x:v>
      </x:c>
      <x:c r="D51" s="2" t="str">
        <x:v>Reviewer_A</x:v>
      </x:c>
      <x:c r="E51" s="2" t="str">
        <x:v>Reviewer_A</x:v>
      </x:c>
      <x:c r="F51" s="2" t="str">
        <x:v>S10-CMP02</x:v>
      </x:c>
      <x:c r="G51" s="2" t="str">
        <x:v>S10-T01</x:v>
      </x:c>
      <x:c r="H51" s="2" t="str">
        <x:v>S10-O01</x:v>
      </x:c>
      <x:c r="I51" s="2" t="str">
        <x:v>SBERT-SS</x:v>
      </x:c>
      <x:c r="J51" s="6" t="str">
        <x:v>Dense retrieval</x:v>
      </x:c>
      <x:c r="K51" s="6" t="str">
        <x:v>Candidate retrieval</x:v>
      </x:c>
      <x:c r="L51" s="6" t="str">
        <x:v>基于语义嵌入的稠密检索，使用句子变换器计算余弦相似度检索候选commit。</x:v>
      </x:c>
      <x:c r="M51" s="2" t="str">
        <x:v>为LLM提供top-K候选commit列表，作为重排序输入。</x:v>
      </x:c>
      <x:c r="N51" s="2" t="str">
        <x:v>Yes</x:v>
      </x:c>
      <x:c r="O51" s="2" t="str">
        <x:v>Yes</x:v>
      </x:c>
      <x:c r="P51" s="2" t="str">
        <x:v>SBERT-SS在所有检索方法中精度和召回率最高，是稠密检索的主要代表。</x:v>
      </x:c>
      <x:c r="Q51" s="6" t="str">
        <x:v>p. 6; Section 5.2</x:v>
      </x:c>
      <x:c r="R51" s="6" t="str">
        <x:v>SS [27] achieves the highest precision and recall for all 𝐾-Values, with R@10 being 82.4%, 88.3%, and 87.8%. Our approximate nearest</x:v>
      </x:c>
      <x:c r="S51" s="6" t="str">
        <x:v>SBERT-SS作为稠密检索器，是工作流的关键组件，消融表明确实优于其他方法。</x:v>
      </x:c>
      <x:c r="T51" s="2" t="str">
        <x:v>Accepted</x:v>
      </x:c>
      <x:c r="U51" s="6" t="str">
        <x:v>NA</x:v>
      </x:c>
    </x:row>
    <x:row r="52" ht="76" customHeight="1">
      <x:c r="A52" s="2" t="str">
        <x:v>S10-COMP-R03</x:v>
      </x:c>
      <x:c r="B52" s="2" t="str">
        <x:v>S10</x:v>
      </x:c>
      <x:c r="C52" s="2" t="str">
        <x:v>merged_1119-v2</x:v>
      </x:c>
      <x:c r="D52" s="2" t="str">
        <x:v>Reviewer_A</x:v>
      </x:c>
      <x:c r="E52" s="2" t="str">
        <x:v>Reviewer_A</x:v>
      </x:c>
      <x:c r="F52" s="2" t="str">
        <x:v>S10-CMP03</x:v>
      </x:c>
      <x:c r="G52" s="2" t="str">
        <x:v>S10-T01</x:v>
      </x:c>
      <x:c r="H52" s="2" t="str">
        <x:v>S10-O01</x:v>
      </x:c>
      <x:c r="I52" s="2" t="str">
        <x:v>Reciprocal Rank Fusion (RRF)</x:v>
      </x:c>
      <x:c r="J52" s="6" t="str">
        <x:v>Rule or heuristic</x:v>
      </x:c>
      <x:c r="K52" s="6" t="str">
        <x:v>Candidate generation</x:v>
      </x:c>
      <x:c r="L52" s="6" t="str">
        <x:v>融合稀疏（BM25）和稠密（SBERT-SS）检索排序结果，生成最终候选集。</x:v>
      </x:c>
      <x:c r="M52" s="2" t="str">
        <x:v>为LLM提供融合后的top-K候选commit列表，作为重排序输入。</x:v>
      </x:c>
      <x:c r="N52" s="2" t="str">
        <x:v>Yes</x:v>
      </x:c>
      <x:c r="O52" s="2" t="str">
        <x:v>Yes</x:v>
      </x:c>
      <x:c r="P52" s="2" t="str">
        <x:v>RRF结合两种检索的优势，在较高K值时提升召回率（如表1所示）。</x:v>
      </x:c>
      <x:c r="Q52" s="6" t="str">
        <x:v>p. 7; Section 5.2</x:v>
      </x:c>
      <x:c r="R52" s="6" t="str">
        <x:v>We combined their results using Reciprocal Rank Fusion (RRF) to leverage their complementary strengths.</x:v>
      </x:c>
      <x:c r="S52" s="6" t="str">
        <x:v>RRF作为候选生成的一部分，对召回率有正向贡献，在消融中显示略优于单独检索。</x:v>
      </x:c>
      <x:c r="T52" s="2" t="str">
        <x:v>Accepted</x:v>
      </x:c>
      <x:c r="U52" s="6" t="str">
        <x:v>NA</x:v>
      </x:c>
    </x:row>
    <x:row r="53" ht="76" customHeight="1">
      <x:c r="A53" s="2" t="str">
        <x:v>S10-COMP-R04</x:v>
      </x:c>
      <x:c r="B53" s="2" t="str">
        <x:v>S10</x:v>
      </x:c>
      <x:c r="C53" s="2" t="str">
        <x:v>merged_1119-v2</x:v>
      </x:c>
      <x:c r="D53" s="2" t="str">
        <x:v>Reviewer_A</x:v>
      </x:c>
      <x:c r="E53" s="2" t="str">
        <x:v>Reviewer_A</x:v>
      </x:c>
      <x:c r="F53" s="2" t="str">
        <x:v>S10-CMP04</x:v>
      </x:c>
      <x:c r="G53" s="2" t="str">
        <x:v>S10-T01</x:v>
      </x:c>
      <x:c r="H53" s="2" t="str">
        <x:v>S10-O01</x:v>
      </x:c>
      <x:c r="I53" s="2" t="str">
        <x:v>sentence-transformer all-MiniLM-L12-v2</x:v>
      </x:c>
      <x:c r="J53" s="6" t="str">
        <x:v>Embedding model</x:v>
      </x:c>
      <x:c r="K53" s="6" t="str">
        <x:v>Candidate generation</x:v>
      </x:c>
      <x:c r="L53" s="6" t="str">
        <x:v>将issue和commit文本编码为稠密向量，供稠密检索使用。</x:v>
      </x:c>
      <x:c r="M53" s="2" t="str">
        <x:v>为稠密检索组件提供语义嵌入，间接影响LLM的输入候选质量。</x:v>
      </x:c>
      <x:c r="N53" s="2" t="str">
        <x:v>Yes</x:v>
      </x:c>
      <x:c r="O53" s="2" t="str">
        <x:v>No</x:v>
      </x:c>
      <x:c r="P53" s="2" t="str">
        <x:v>NR</x:v>
      </x:c>
      <x:c r="Q53" s="6" t="str">
        <x:v>p. 6; Section 5.2</x:v>
      </x:c>
      <x:c r="R53" s="6" t="str">
        <x:v>retrieval system. For dense retrieval methods, we generated dense vector embeddings using the sentence transformer all-MiniLM-L12-</x:v>
      </x:c>
      <x:c r="S53" s="6" t="str">
        <x:v>该嵌入模型是稠密检索的基础，但未与其它嵌入模型进行消融比较。</x:v>
      </x:c>
      <x:c r="T53" s="2" t="str">
        <x:v>Accepted</x:v>
      </x:c>
      <x:c r="U53" s="6" t="str">
        <x:v>NA</x:v>
      </x:c>
    </x:row>
    <x:row r="54" ht="76" customHeight="1">
      <x:c r="A54" s="2" t="str">
        <x:v>S10-COMP-R05</x:v>
      </x:c>
      <x:c r="B54" s="2" t="str">
        <x:v>S10</x:v>
      </x:c>
      <x:c r="C54" s="2" t="str">
        <x:v>merged_1119-v2</x:v>
      </x:c>
      <x:c r="D54" s="2" t="str">
        <x:v>Reviewer_A</x:v>
      </x:c>
      <x:c r="E54" s="2" t="str">
        <x:v>Reviewer_A</x:v>
      </x:c>
      <x:c r="F54" s="2" t="str">
        <x:v>S10-CMP05</x:v>
      </x:c>
      <x:c r="G54" s="2" t="str">
        <x:v>S10-T01</x:v>
      </x:c>
      <x:c r="H54" s="2" t="str">
        <x:v>S10-O01</x:v>
      </x:c>
      <x:c r="I54" s="2" t="str">
        <x:v>FAISS</x:v>
      </x:c>
      <x:c r="J54" s="6" t="str">
        <x:v>Tool framework</x:v>
      </x:c>
      <x:c r="K54" s="6" t="str">
        <x:v>Candidate generation</x:v>
      </x:c>
      <x:c r="L54" s="6" t="str">
        <x:v>提供稠密向量索引和最近邻搜索功能，实现高效的稠密检索。</x:v>
      </x:c>
      <x:c r="M54" s="2" t="str">
        <x:v>支持SBERT-SS等检索器快速检索候选commit，间接为LLM提供输入。</x:v>
      </x:c>
      <x:c r="N54" s="2" t="str">
        <x:v>Yes</x:v>
      </x:c>
      <x:c r="O54" s="2" t="str">
        <x:v>No</x:v>
      </x:c>
      <x:c r="P54" s="2" t="str">
        <x:v>NR</x:v>
      </x:c>
      <x:c r="Q54" s="6" t="str">
        <x:v>p. 6; Section 5.2</x:v>
      </x:c>
      <x:c r="R54" s="6" t="str">
        <x:v>and BM25L methods. Dense retrieval indexes are built using the FAISS 4 and ANNOY 5 Libraries. SBERT-SS, HNSW, and LSH are</x:v>
      </x:c>
      <x:c r="S54" s="6" t="str">
        <x:v>FAISS作为工具框架，为稠密检索提供索引支持，但未作为独立消融因素研究。</x:v>
      </x:c>
      <x:c r="T54" s="2" t="str">
        <x:v>Accepted</x:v>
      </x:c>
      <x:c r="U54" s="6" t="str">
        <x:v>NA</x:v>
      </x:c>
    </x:row>
    <x:row r="55" ht="76" customHeight="1">
      <x:c r="A55" s="2" t="str">
        <x:v>S11-COMP-R01</x:v>
      </x:c>
      <x:c r="B55" s="2" t="str">
        <x:v>S11</x:v>
      </x:c>
      <x:c r="C55" s="2" t="str">
        <x:v>merged_1121-v1</x:v>
      </x:c>
      <x:c r="D55" s="2" t="str">
        <x:v>Reviewer_A</x:v>
      </x:c>
      <x:c r="E55" s="2" t="str">
        <x:v>Reviewer_A</x:v>
      </x:c>
      <x:c r="F55" s="2" t="str">
        <x:v>S11-CMP01</x:v>
      </x:c>
      <x:c r="G55" s="2" t="str">
        <x:v>S11-T01</x:v>
      </x:c>
      <x:c r="H55" s="2" t="str">
        <x:v>NA</x:v>
      </x:c>
      <x:c r="I55" s="2" t="str">
        <x:v>sentence-transformers/all-mpnet-base-v2</x:v>
      </x:c>
      <x:c r="J55" s="6" t="str">
        <x:v>Dense retrieval</x:v>
      </x:c>
      <x:c r="K55" s="6" t="str">
        <x:v>Evaluation only</x:v>
      </x:c>
      <x:c r="L55" s="6" t="str">
        <x:v>基线RAG管道中使用的密集检索模型，将需求和代码编码为向量，通过余弦相似度排序候选代码。</x:v>
      </x:c>
      <x:c r="M55" s="2" t="str">
        <x:v>不为R2Code框架的直接组件，仅在基线评估中为LLM提供候选代码。</x:v>
      </x:c>
      <x:c r="N55" s="2" t="str">
        <x:v>No</x:v>
      </x:c>
      <x:c r="O55" s="2" t="str">
        <x:v>No</x:v>
      </x:c>
      <x:c r="P55" s="2" t="str">
        <x:v>NR</x:v>
      </x:c>
      <x:c r="Q55" s="6" t="str">
        <x:v>p. 6; Section IV-B, 2) Model</x:v>
      </x:c>
      <x:c r="R55" s="6" t="str">
        <x:v>For the baseline RAG pipeline, dense retrieval is implemented using sentence-transformers/all-mpnet-base-v2.</x:v>
      </x:c>
      <x:c r="S55" s="6" t="str">
        <x:v>该组件仅用于评估中的基线方法，不属于R2Code框架的工作流。</x:v>
      </x:c>
      <x:c r="T55" s="2" t="str">
        <x:v>Accepted</x:v>
      </x:c>
      <x:c r="U55" s="6" t="str">
        <x:v>NA</x:v>
      </x:c>
    </x:row>
    <x:row r="56" ht="76" customHeight="1">
      <x:c r="A56" s="2" t="str">
        <x:v>S12-COMP-R01</x:v>
      </x:c>
      <x:c r="B56" s="2" t="str">
        <x:v>S12</x:v>
      </x:c>
      <x:c r="C56" s="2" t="str">
        <x:v>merged_1133</x:v>
      </x:c>
      <x:c r="D56" s="2" t="str">
        <x:v>Reviewer_A</x:v>
      </x:c>
      <x:c r="E56" s="2" t="str">
        <x:v>Reviewer_A</x:v>
      </x:c>
      <x:c r="F56" s="2" t="str">
        <x:v>S12-CMP01</x:v>
      </x:c>
      <x:c r="G56" s="2" t="str">
        <x:v>S12-T01</x:v>
      </x:c>
      <x:c r="H56" s="2" t="str">
        <x:v>S12-O01</x:v>
      </x:c>
      <x:c r="I56" s="2" t="str">
        <x:v>all-mpnet-base-v2</x:v>
      </x:c>
      <x:c r="J56" s="6" t="str">
        <x:v>Embedding model</x:v>
      </x:c>
      <x:c r="K56" s="6" t="str">
        <x:v>Candidate selection</x:v>
      </x:c>
      <x:c r="L56" s="6" t="str">
        <x:v>计算工件对的嵌入表示，用于基于语义多样性和相似性的示例选择。</x:v>
      </x:c>
      <x:c r="M56" s="2" t="str">
        <x:v>该组件在 LLM 调用前运行，根据嵌入距离选择用于少样本提示的示例，选定的示例直接插入提示中。</x:v>
      </x:c>
      <x:c r="N56" s="2" t="str">
        <x:v>Yes</x:v>
      </x:c>
      <x:c r="O56" s="2" t="str">
        <x:v>Unclear</x:v>
      </x:c>
      <x:c r="P56" s="2" t="str">
        <x:v>支持多样性基示例选择，提高少样本学习性能。</x:v>
      </x:c>
      <x:c r="Q56" s="6" t="str">
        <x:v>p. 18; Section 5.3</x:v>
      </x:c>
      <x:c r="R56" s="6" t="str">
        <x:v>For demonstration selection strategies, we used MPNet; a sentence-transformer embedding model [63], to support similarity and diversity-based selection.</x:v>
      </x:c>
      <x:c r="S56" s="6" t="str">
        <x:v>MPNet 嵌入模型是 TraceLLM 框架中实现示例选择策略的关键组件，通过对工件对进行嵌入编码来计算相似度。</x:v>
      </x:c>
      <x:c r="T56" s="2" t="str">
        <x:v>Accepted</x:v>
      </x:c>
      <x:c r="U56" s="6" t="str">
        <x:v>NA</x:v>
      </x:c>
    </x:row>
    <x:row r="57" ht="76" customHeight="1">
      <x:c r="A57" s="2" t="str">
        <x:v>S12-COMP-R02</x:v>
      </x:c>
      <x:c r="B57" s="2" t="str">
        <x:v>S12</x:v>
      </x:c>
      <x:c r="C57" s="2" t="str">
        <x:v>merged_1133</x:v>
      </x:c>
      <x:c r="D57" s="2" t="str">
        <x:v>Reviewer_A</x:v>
      </x:c>
      <x:c r="E57" s="2" t="str">
        <x:v>Reviewer_A</x:v>
      </x:c>
      <x:c r="F57" s="2" t="str">
        <x:v>S12-CMP02</x:v>
      </x:c>
      <x:c r="G57" s="2" t="str">
        <x:v>S12-T01</x:v>
      </x:c>
      <x:c r="H57" s="2" t="str">
        <x:v>NA</x:v>
      </x:c>
      <x:c r="I57" s="2" t="str">
        <x:v>Vector Space Model (VSM)</x:v>
      </x:c>
      <x:c r="J57" s="6" t="str">
        <x:v>Traditional IR</x:v>
      </x:c>
      <x:c r="K57" s="6" t="str">
        <x:v>Evaluation only</x:v>
      </x:c>
      <x:c r="L57" s="6" t="str">
        <x:v>传统 IR 基线，用于计算工件间文本相似度，作为对照。</x:v>
      </x:c>
      <x:c r="M57" s="2" t="str">
        <x:v>无交互，仅用于评估对比。</x:v>
      </x:c>
      <x:c r="N57" s="2" t="str">
        <x:v>No</x:v>
      </x:c>
      <x:c r="O57" s="2" t="str">
        <x:v>No</x:v>
      </x:c>
      <x:c r="P57" s="2" t="str">
        <x:v>NR</x:v>
      </x:c>
      <x:c r="Q57" s="6" t="str">
        <x:v>p. 20; Section 5.5</x:v>
      </x:c>
      <x:c r="R57" s="6" t="str">
        <x:v>we employed embeddings generated from several IR-based approaches</x:v>
      </x:c>
      <x:c r="S57" s="6" t="str">
        <x:v>VSM 是传统信息检索基线，用于评估 TraceLLM 的性能提升。</x:v>
      </x:c>
      <x:c r="T57" s="2" t="str">
        <x:v>Accepted</x:v>
      </x:c>
      <x:c r="U57" s="6" t="str">
        <x:v>NA</x:v>
      </x:c>
    </x:row>
    <x:row r="58" ht="76" customHeight="1">
      <x:c r="A58" s="2" t="str">
        <x:v>S12-COMP-R03</x:v>
      </x:c>
      <x:c r="B58" s="2" t="str">
        <x:v>S12</x:v>
      </x:c>
      <x:c r="C58" s="2" t="str">
        <x:v>merged_1133</x:v>
      </x:c>
      <x:c r="D58" s="2" t="str">
        <x:v>Reviewer_A</x:v>
      </x:c>
      <x:c r="E58" s="2" t="str">
        <x:v>Reviewer_A</x:v>
      </x:c>
      <x:c r="F58" s="2" t="str">
        <x:v>S12-CMP03</x:v>
      </x:c>
      <x:c r="G58" s="2" t="str">
        <x:v>S12-T01</x:v>
      </x:c>
      <x:c r="H58" s="2" t="str">
        <x:v>NA</x:v>
      </x:c>
      <x:c r="I58" s="2" t="str">
        <x:v>Latent Semantic Indexing (LSI)</x:v>
      </x:c>
      <x:c r="J58" s="6" t="str">
        <x:v>Traditional IR</x:v>
      </x:c>
      <x:c r="K58" s="6" t="str">
        <x:v>Evaluation only</x:v>
      </x:c>
      <x:c r="L58" s="6" t="str">
        <x:v>传统 IR 基线，用于计算工件间潜在语义相似度。</x:v>
      </x:c>
      <x:c r="M58" s="2" t="str">
        <x:v>无交互，仅用于评估对比。</x:v>
      </x:c>
      <x:c r="N58" s="2" t="str">
        <x:v>No</x:v>
      </x:c>
      <x:c r="O58" s="2" t="str">
        <x:v>No</x:v>
      </x:c>
      <x:c r="P58" s="2" t="str">
        <x:v>NR</x:v>
      </x:c>
      <x:c r="Q58" s="6" t="str">
        <x:v>p. 20; Section 5.5</x:v>
      </x:c>
      <x:c r="R58" s="6" t="str">
        <x:v>we employed embeddings generated from several IR-based approaches</x:v>
      </x:c>
      <x:c r="S58" s="6" t="str">
        <x:v>LSI 是传统信息检索基线，用于评估 TraceLLM 的性能提升。</x:v>
      </x:c>
      <x:c r="T58" s="2" t="str">
        <x:v>Accepted</x:v>
      </x:c>
      <x:c r="U58" s="6" t="str">
        <x:v>NA</x:v>
      </x:c>
    </x:row>
    <x:row r="59" ht="76" customHeight="1">
      <x:c r="A59" s="2" t="str">
        <x:v>S12-COMP-R04</x:v>
      </x:c>
      <x:c r="B59" s="2" t="str">
        <x:v>S12</x:v>
      </x:c>
      <x:c r="C59" s="2" t="str">
        <x:v>merged_1133</x:v>
      </x:c>
      <x:c r="D59" s="2" t="str">
        <x:v>Reviewer_A</x:v>
      </x:c>
      <x:c r="E59" s="2" t="str">
        <x:v>Reviewer_A</x:v>
      </x:c>
      <x:c r="F59" s="2" t="str">
        <x:v>S12-CMP04</x:v>
      </x:c>
      <x:c r="G59" s="2" t="str">
        <x:v>S12-T01</x:v>
      </x:c>
      <x:c r="H59" s="2" t="str">
        <x:v>NA</x:v>
      </x:c>
      <x:c r="I59" s="2" t="str">
        <x:v>Latent Dirichlet Allocation (LDA)</x:v>
      </x:c>
      <x:c r="J59" s="6" t="str">
        <x:v>Traditional IR</x:v>
      </x:c>
      <x:c r="K59" s="6" t="str">
        <x:v>Evaluation only</x:v>
      </x:c>
      <x:c r="L59" s="6" t="str">
        <x:v>传统主题模型基线，用于计算工件间主题相似度。</x:v>
      </x:c>
      <x:c r="M59" s="2" t="str">
        <x:v>无交互，仅用于评估对比。</x:v>
      </x:c>
      <x:c r="N59" s="2" t="str">
        <x:v>No</x:v>
      </x:c>
      <x:c r="O59" s="2" t="str">
        <x:v>No</x:v>
      </x:c>
      <x:c r="P59" s="2" t="str">
        <x:v>NR</x:v>
      </x:c>
      <x:c r="Q59" s="6" t="str">
        <x:v>p. 20; Section 5.5</x:v>
      </x:c>
      <x:c r="R59" s="6" t="str">
        <x:v>we employed embeddings generated from several IR-based approaches</x:v>
      </x:c>
      <x:c r="S59" s="6" t="str">
        <x:v>LDA 是传统主题模型基线，用于评估 TraceLLM 的性能提升。</x:v>
      </x:c>
      <x:c r="T59" s="2" t="str">
        <x:v>Accepted</x:v>
      </x:c>
      <x:c r="U59" s="6" t="str">
        <x:v>NA</x:v>
      </x:c>
    </x:row>
    <x:row r="60" ht="76" customHeight="1">
      <x:c r="A60" s="2" t="str">
        <x:v>S12-COMP-R05</x:v>
      </x:c>
      <x:c r="B60" s="2" t="str">
        <x:v>S12</x:v>
      </x:c>
      <x:c r="C60" s="2" t="str">
        <x:v>merged_1133</x:v>
      </x:c>
      <x:c r="D60" s="2" t="str">
        <x:v>Reviewer_A</x:v>
      </x:c>
      <x:c r="E60" s="2" t="str">
        <x:v>Reviewer_A</x:v>
      </x:c>
      <x:c r="F60" s="2" t="str">
        <x:v>S12-CMP05</x:v>
      </x:c>
      <x:c r="G60" s="2" t="str">
        <x:v>S12-T01</x:v>
      </x:c>
      <x:c r="H60" s="2" t="str">
        <x:v>NA</x:v>
      </x:c>
      <x:c r="I60" s="2" t="str">
        <x:v>BERT</x:v>
      </x:c>
      <x:c r="J60" s="6" t="str">
        <x:v>Embedding model</x:v>
      </x:c>
      <x:c r="K60" s="6" t="str">
        <x:v>Evaluation only</x:v>
      </x:c>
      <x:c r="L60" s="6" t="str">
        <x:v>深度学习基线，使用预训练的 BERT 模型生成上下文嵌入，计算工件相似度。</x:v>
      </x:c>
      <x:c r="M60" s="2" t="str">
        <x:v>无交互，仅用于评估对比。</x:v>
      </x:c>
      <x:c r="N60" s="2" t="str">
        <x:v>No</x:v>
      </x:c>
      <x:c r="O60" s="2" t="str">
        <x:v>No</x:v>
      </x:c>
      <x:c r="P60" s="2" t="str">
        <x:v>NR</x:v>
      </x:c>
      <x:c r="Q60" s="6" t="str">
        <x:v>p. 20; Section 5.5</x:v>
      </x:c>
      <x:c r="R60" s="6" t="str">
        <x:v>we used embeddings generated by BERT [67] model as a more advanced baseline.</x:v>
      </x:c>
      <x:c r="S60" s="6" t="str">
        <x:v>BERT 是预训练语言模型基线，用于评估 TraceLLM 在语义理解上的优势。</x:v>
      </x:c>
      <x:c r="T60" s="2" t="str">
        <x:v>Accepted</x:v>
      </x:c>
      <x:c r="U60" s="6" t="str">
        <x:v>NA</x:v>
      </x:c>
    </x:row>
    <x:row r="61" ht="76" customHeight="1">
      <x:c r="A61" s="2" t="str">
        <x:v>S14-COMP-R01</x:v>
      </x:c>
      <x:c r="B61" s="2" t="str">
        <x:v>S14</x:v>
      </x:c>
      <x:c r="C61" s="2" t="str">
        <x:v>merged_1142-v1</x:v>
      </x:c>
      <x:c r="D61" s="2" t="str">
        <x:v>Reviewer_A</x:v>
      </x:c>
      <x:c r="E61" s="2" t="str">
        <x:v>Reviewer_A</x:v>
      </x:c>
      <x:c r="F61" s="2" t="str">
        <x:v>S14-CMP01</x:v>
      </x:c>
      <x:c r="G61" s="2" t="str">
        <x:v>S14-T01</x:v>
      </x:c>
      <x:c r="H61" s="2" t="str">
        <x:v>S14-O01</x:v>
      </x:c>
      <x:c r="I61" s="2" t="str">
        <x:v>Spoon</x:v>
      </x:c>
      <x:c r="J61" s="6" t="str">
        <x:v>Static analysis</x:v>
      </x:c>
      <x:c r="K61" s="6" t="str">
        <x:v>Context construction</x:v>
      </x:c>
      <x:c r="L61" s="6" t="str">
        <x:v>提取Java代码中的结构依赖关系（import, extend, method call）。</x:v>
      </x:c>
      <x:c r="M61" s="2" t="str">
        <x:v>将检测到的依赖关系以文本形式注入提示的附加信息部分。</x:v>
      </x:c>
      <x:c r="N61" s="2" t="str">
        <x:v>Yes</x:v>
      </x:c>
      <x:c r="O61" s="2" t="str">
        <x:v>Yes</x:v>
      </x:c>
      <x:c r="P61" s="2" t="str">
        <x:v>Gemini-Code Dependency 平均 F1 为 0.6903，高于无策略的 0.6535。</x:v>
      </x:c>
      <x:c r="Q61" s="6" t="str">
        <x:v>p. 31; Section 6 Threats to Validity</x:v>
      </x:c>
      <x:c r="R61" s="6" t="str">
        <x:v>the iTrust project. Since the Spoon package used in this study cannot analyze the code structure within JSP files, it fails</x:v>
      </x:c>
      <x:c r="S61" s="6" t="str">
        <x:v>Spoon用于解析代码并构建依赖关系，为LLM提供结构上下文。</x:v>
      </x:c>
      <x:c r="T61" s="2" t="str">
        <x:v>Accepted</x:v>
      </x:c>
      <x:c r="U61" s="6" t="str">
        <x:v>消融结果引用自第26页：“Gemini-Code Dependency (average F1 = 0.6903)”。</x:v>
      </x:c>
    </x:row>
    <x:row r="62" ht="76" customHeight="1">
      <x:c r="A62" s="2" t="str">
        <x:v>S14-COMP-R02</x:v>
      </x:c>
      <x:c r="B62" s="2" t="str">
        <x:v>S14</x:v>
      </x:c>
      <x:c r="C62" s="2" t="str">
        <x:v>merged_1142-v1</x:v>
      </x:c>
      <x:c r="D62" s="2" t="str">
        <x:v>Reviewer_A</x:v>
      </x:c>
      <x:c r="E62" s="2" t="str">
        <x:v>Reviewer_A</x:v>
      </x:c>
      <x:c r="F62" s="2" t="str">
        <x:v>S14-CMP02</x:v>
      </x:c>
      <x:c r="G62" s="2" t="str">
        <x:v>S14-T01</x:v>
      </x:c>
      <x:c r="H62" s="2" t="str">
        <x:v>S14-O01</x:v>
      </x:c>
      <x:c r="I62" s="2" t="str">
        <x:v>Fine-Grained Semantic Relation Extractor</x:v>
      </x:c>
      <x:c r="J62" s="6" t="str">
        <x:v>Traditional IR</x:v>
      </x:c>
      <x:c r="K62" s="6" t="str">
        <x:v>Context construction</x:v>
      </x:c>
      <x:c r="L62" s="6" t="str">
        <x:v>将代码分解为七个细粒度组件，使用TF-IDF和VSM计算与需求的相似度，若排名前20%则建立关系。</x:v>
      </x:c>
      <x:c r="M62" s="2" t="str">
        <x:v>若存在细粒度关系，则在附加信息中添加肯定语句，否则添加否定语句。</x:v>
      </x:c>
      <x:c r="N62" s="2" t="str">
        <x:v>Yes</x:v>
      </x:c>
      <x:c r="O62" s="2" t="str">
        <x:v>Yes</x:v>
      </x:c>
      <x:c r="P62" s="2" t="str">
        <x:v>单独使用该策略时平均F1为0.6055，低于无策略的0.6535，引入噪声导致性能下降。</x:v>
      </x:c>
      <x:c r="Q62" s="6" t="str">
        <x:v>p. 21; Section 4.3.1 HGT-All (Fine-grained semantic edges)</x:v>
      </x:c>
      <x:c r="R62" s="6" t="str">
        <x:v>Each code file is decomposed into seven fine-grained components: class attribute, class comment, class name, method comment, method name, method parameter, method return.</x:v>
      </x:c>
      <x:c r="S62" s="6" t="str">
        <x:v>基于传统IR的方法生成语义关系，为LLM提供细粒度匹配信息，但在零样本下可能引入噪声。</x:v>
      </x:c>
      <x:c r="T62" s="2" t="str">
        <x:v>Accepted</x:v>
      </x:c>
      <x:c r="U62" s="6" t="str">
        <x:v>消融结果引用自第26页：“Gemini-Fine Grained (average F1 = 0.6055) performs the worst”。</x:v>
      </x:c>
    </x:row>
    <x:row r="63" ht="76" customHeight="1">
      <x:c r="A63" s="2" t="str">
        <x:v>S14-COMP-R03</x:v>
      </x:c>
      <x:c r="B63" s="2" t="str">
        <x:v>S14</x:v>
      </x:c>
      <x:c r="C63" s="2" t="str">
        <x:v>merged_1142-v1</x:v>
      </x:c>
      <x:c r="D63" s="2" t="str">
        <x:v>Reviewer_A</x:v>
      </x:c>
      <x:c r="E63" s="2" t="str">
        <x:v>Reviewer_A</x:v>
      </x:c>
      <x:c r="F63" s="2" t="str">
        <x:v>S14-CMP03</x:v>
      </x:c>
      <x:c r="G63" s="2" t="str">
        <x:v>S14-T01</x:v>
      </x:c>
      <x:c r="H63" s="2" t="str">
        <x:v>S14-O01</x:v>
      </x:c>
      <x:c r="I63" s="2" t="str">
        <x:v>User Feedback Simulator</x:v>
      </x:c>
      <x:c r="J63" s="6" t="str">
        <x:v>Rule or heuristic</x:v>
      </x:c>
      <x:c r="K63" s="6" t="str">
        <x:v>Context construction</x:v>
      </x:c>
      <x:c r="L63" s="6" t="str">
        <x:v>从ground truth中随机抽样10%的链接作为模拟用户反馈，标记为1或0。</x:v>
      </x:c>
      <x:c r="M63" s="2" t="str">
        <x:v>若存在用户反馈，则在附加信息中添加对应标签陈述，否则添加无反馈信息。</x:v>
      </x:c>
      <x:c r="N63" s="2" t="str">
        <x:v>Yes</x:v>
      </x:c>
      <x:c r="O63" s="2" t="str">
        <x:v>Yes</x:v>
      </x:c>
      <x:c r="P63" s="2" t="str">
        <x:v>Gemini-User Feedback 平均 F1 为 0.6901，高于无策略的 0.6535。</x:v>
      </x:c>
      <x:c r="Q63" s="6" t="str">
        <x:v>p. 21; Section 4.3.1 HGT-All (User feedback edges)</x:v>
      </x:c>
      <x:c r="R63" s="6" t="str">
        <x:v>on trace links, we randomly sample 10% of the links from the ground truth traceability set. For each sampled positive link (𝑟𝑖,𝑐𝑗), we mark it as user feedback and add a feedback edge:</x:v>
      </x:c>
      <x:c r="S63" s="6" t="str">
        <x:v>模拟人工反馈以提供高置信度监督信号，提升LLM链接预测的准确性。</x:v>
      </x:c>
      <x:c r="T63" s="2" t="str">
        <x:v>Accepted</x:v>
      </x:c>
      <x:c r="U63" s="6" t="str">
        <x:v>消融结果引用自第26页：“Gemini-User Feedback (average F1 = 0.6901)”。</x:v>
      </x:c>
    </x:row>
    <x:row r="64" ht="76" customHeight="1">
      <x:c r="A64" s="2" t="str">
        <x:v>S14-COMP-R04</x:v>
      </x:c>
      <x:c r="B64" s="2" t="str">
        <x:v>S14</x:v>
      </x:c>
      <x:c r="C64" s="2" t="str">
        <x:v>merged_1142-v1</x:v>
      </x:c>
      <x:c r="D64" s="2" t="str">
        <x:v>Reviewer_A</x:v>
      </x:c>
      <x:c r="E64" s="2" t="str">
        <x:v>Reviewer_A</x:v>
      </x:c>
      <x:c r="F64" s="2" t="str">
        <x:v>S14-CMP04</x:v>
      </x:c>
      <x:c r="G64" s="2" t="str">
        <x:v>S14-T01</x:v>
      </x:c>
      <x:c r="H64" s="2" t="str">
        <x:v>NA</x:v>
      </x:c>
      <x:c r="I64" s="2" t="str">
        <x:v>TAROT</x:v>
      </x:c>
      <x:c r="J64" s="6" t="str">
        <x:v>Traditional IR</x:v>
      </x:c>
      <x:c r="K64" s="6" t="str">
        <x:v>Evaluation only</x:v>
      </x:c>
      <x:c r="L64" s="6" t="str">
        <x:v>作为信息检索基线，使用VSM和潜在语义索引等方法进行需求-代码链接恢复。</x:v>
      </x:c>
      <x:c r="M64" s="2" t="str">
        <x:v>无直接交互，仅用于性能比较。</x:v>
      </x:c>
      <x:c r="N64" s="2" t="str">
        <x:v>No</x:v>
      </x:c>
      <x:c r="O64" s="2" t="str">
        <x:v>No</x:v>
      </x:c>
      <x:c r="P64" s="2" t="str">
        <x:v>NA</x:v>
      </x:c>
      <x:c r="Q64" s="6" t="str">
        <x:v>p. 17; Section 4.1 Baselines</x:v>
      </x:c>
      <x:c r="R64" s="6" t="str">
        <x:v>TAROT [22]: A high-performance IR method that enhances the corpus using co-occurrence bigrams.</x:v>
      </x:c>
      <x:c r="S64" s="6" t="str">
        <x:v>评估基线，非本文提出的工作流组件。</x:v>
      </x:c>
      <x:c r="T64" s="2" t="str">
        <x:v>Accepted</x:v>
      </x:c>
      <x:c r="U64" s="6" t="str">
        <x:v>NA</x:v>
      </x:c>
    </x:row>
    <x:row r="65" ht="76" customHeight="1">
      <x:c r="A65" s="2" t="str">
        <x:v>S14-COMP-R05</x:v>
      </x:c>
      <x:c r="B65" s="2" t="str">
        <x:v>S14</x:v>
      </x:c>
      <x:c r="C65" s="2" t="str">
        <x:v>merged_1142-v1</x:v>
      </x:c>
      <x:c r="D65" s="2" t="str">
        <x:v>Reviewer_A</x:v>
      </x:c>
      <x:c r="E65" s="2" t="str">
        <x:v>Reviewer_A</x:v>
      </x:c>
      <x:c r="F65" s="2" t="str">
        <x:v>S14-CMP05</x:v>
      </x:c>
      <x:c r="G65" s="2" t="str">
        <x:v>S14-T01</x:v>
      </x:c>
      <x:c r="H65" s="2" t="str">
        <x:v>NA</x:v>
      </x:c>
      <x:c r="I65" s="2" t="str">
        <x:v>GA-XWCoDe</x:v>
      </x:c>
      <x:c r="J65" s="6" t="str">
        <x:v>Non-LLM ML or DL</x:v>
      </x:c>
      <x:c r="K65" s="6" t="str">
        <x:v>Evaluation only</x:v>
      </x:c>
      <x:c r="L65" s="6" t="str">
        <x:v>基于XGBoost和遗传算法的链接预测方法，利用代码依赖特征。</x:v>
      </x:c>
      <x:c r="M65" s="2" t="str">
        <x:v>无直接交互，仅用于性能比较。</x:v>
      </x:c>
      <x:c r="N65" s="2" t="str">
        <x:v>No</x:v>
      </x:c>
      <x:c r="O65" s="2" t="str">
        <x:v>No</x:v>
      </x:c>
      <x:c r="P65" s="2" t="str">
        <x:v>NA</x:v>
      </x:c>
      <x:c r="Q65" s="6" t="str">
        <x:v>p. 17; Section 4.1 Baselines</x:v>
      </x:c>
      <x:c r="R65" s="6" t="str">
        <x:v>GA-XWCoDe [87]: This method combines the XGBoost classifier [11] with a genetic algorithm [30] for automated parameter tuning.</x:v>
      </x:c>
      <x:c r="S65" s="6" t="str">
        <x:v>评估基线，非本文提出的工作流组件。</x:v>
      </x:c>
      <x:c r="T65" s="2" t="str">
        <x:v>Accepted</x:v>
      </x:c>
      <x:c r="U65" s="6" t="str">
        <x:v>NA</x:v>
      </x:c>
    </x:row>
    <x:row r="66" ht="76" customHeight="1">
      <x:c r="A66" s="2" t="str">
        <x:v>S14-COMP-R06</x:v>
      </x:c>
      <x:c r="B66" s="2" t="str">
        <x:v>S14</x:v>
      </x:c>
      <x:c r="C66" s="2" t="str">
        <x:v>merged_1142-v1</x:v>
      </x:c>
      <x:c r="D66" s="2" t="str">
        <x:v>Reviewer_A</x:v>
      </x:c>
      <x:c r="E66" s="2" t="str">
        <x:v>Reviewer_A</x:v>
      </x:c>
      <x:c r="F66" s="2" t="str">
        <x:v>S14-CMP06</x:v>
      </x:c>
      <x:c r="G66" s="2" t="str">
        <x:v>S14-T01</x:v>
      </x:c>
      <x:c r="H66" s="2" t="str">
        <x:v>NA</x:v>
      </x:c>
      <x:c r="I66" s="2" t="str">
        <x:v>HGNNLink</x:v>
      </x:c>
      <x:c r="J66" s="6" t="str">
        <x:v>Non-LLM ML or DL</x:v>
      </x:c>
      <x:c r="K66" s="6" t="str">
        <x:v>Evaluation only</x:v>
      </x:c>
      <x:c r="L66" s="6" t="str">
        <x:v>基于异构图Transformer的最先进链接预测方法，集成代码依赖策略。</x:v>
      </x:c>
      <x:c r="M66" s="2" t="str">
        <x:v>无直接交互，仅用于性能比较。</x:v>
      </x:c>
      <x:c r="N66" s="2" t="str">
        <x:v>No</x:v>
      </x:c>
      <x:c r="O66" s="2" t="str">
        <x:v>No</x:v>
      </x:c>
      <x:c r="P66" s="2" t="str">
        <x:v>NA</x:v>
      </x:c>
      <x:c r="Q66" s="6" t="str">
        <x:v>p. 17; Section 4.1 Baselines</x:v>
      </x:c>
      <x:c r="R66" s="6" t="str">
        <x:v>HGNNLink [72]: Our previously proposed method, currently the state-of-the-art in this domain.</x:v>
      </x:c>
      <x:c r="S66" s="6" t="str">
        <x:v>评估基线，非本文提出的工作流组件。</x:v>
      </x:c>
      <x:c r="T66" s="2" t="str">
        <x:v>Accepted</x:v>
      </x:c>
      <x:c r="U66" s="6" t="str">
        <x:v>NA</x:v>
      </x:c>
    </x:row>
    <x:row r="67" ht="76" customHeight="1">
      <x:c r="A67" s="2" t="str">
        <x:v>S15-COMP-R01</x:v>
      </x:c>
      <x:c r="B67" s="2" t="str">
        <x:v>S15</x:v>
      </x:c>
      <x:c r="C67" s="2" t="str">
        <x:v>merged_1143</x:v>
      </x:c>
      <x:c r="D67" s="2" t="str">
        <x:v>Reviewer_A</x:v>
      </x:c>
      <x:c r="E67" s="2" t="str">
        <x:v>Reviewer_A</x:v>
      </x:c>
      <x:c r="F67" s="2" t="str">
        <x:v>S15-CMP01</x:v>
      </x:c>
      <x:c r="G67" s="2" t="str">
        <x:v>S15-T01</x:v>
      </x:c>
      <x:c r="H67" s="2" t="str">
        <x:v>NA</x:v>
      </x:c>
      <x:c r="I67" s="2" t="str">
        <x:v>paraphrase-MiniLM-L6-v2</x:v>
      </x:c>
      <x:c r="J67" s="6" t="str">
        <x:v>Embedding model</x:v>
      </x:c>
      <x:c r="K67" s="6" t="str">
        <x:v>Pre-filtering</x:v>
      </x:c>
      <x:c r="L67" s="6" t="str">
        <x:v>将提取的目标文本转换为向量嵌入，用于聚类时的相似性计算。</x:v>
      </x:c>
      <x:c r="M67" s="2" t="str">
        <x:v>接收O1输出的大量目标列表，生成嵌入后传递给聚类组件，其输出影响最终进入T2的目标集合。</x:v>
      </x:c>
      <x:c r="N67" s="2" t="str">
        <x:v>Yes</x:v>
      </x:c>
      <x:c r="O67" s="2" t="str">
        <x:v>No</x:v>
      </x:c>
      <x:c r="P67" s="2" t="str">
        <x:v>NR</x:v>
      </x:c>
      <x:c r="Q67" s="6" t="str">
        <x:v>p. 4; Section III-C</x:v>
      </x:c>
      <x:c r="R67" s="6" t="str">
        <x:v>we apply agglomerative clustering to group goals from all samples by computing the Euclidean distance between their text embeddings obtained using a sentence transformer.</x:v>
      </x:c>
      <x:c r="S67" s="6" t="str">
        <x:v>使用轻量级句子变换器提供语义表示，不直接与LLM交互，但决定了下游目标聚类的质量。</x:v>
      </x:c>
      <x:c r="T67" s="2" t="str">
        <x:v>Accepted</x:v>
      </x:c>
      <x:c r="U67" s="6" t="str">
        <x:v>NR</x:v>
      </x:c>
    </x:row>
    <x:row r="68" ht="76" customHeight="1">
      <x:c r="A68" s="2" t="str">
        <x:v>S15-COMP-R02</x:v>
      </x:c>
      <x:c r="B68" s="2" t="str">
        <x:v>S15</x:v>
      </x:c>
      <x:c r="C68" s="2" t="str">
        <x:v>merged_1143</x:v>
      </x:c>
      <x:c r="D68" s="2" t="str">
        <x:v>Reviewer_A</x:v>
      </x:c>
      <x:c r="E68" s="2" t="str">
        <x:v>Reviewer_A</x:v>
      </x:c>
      <x:c r="F68" s="2" t="str">
        <x:v>S15-CMP02</x:v>
      </x:c>
      <x:c r="G68" s="2" t="str">
        <x:v>S15-T01</x:v>
      </x:c>
      <x:c r="H68" s="2" t="str">
        <x:v>NA</x:v>
      </x:c>
      <x:c r="I68" s="2" t="str">
        <x:v>AgglomerativeClustering (SciKit Learn)</x:v>
      </x:c>
      <x:c r="J68" s="6" t="str">
        <x:v>Non-LLM ML or DL</x:v>
      </x:c>
      <x:c r="K68" s="6" t="str">
        <x:v>Pre-filtering</x:v>
      </x:c>
      <x:c r="L68" s="6" t="str">
        <x:v>采用聚合聚类算法（Ward linkage，欧氏距离，阈值1.5）对目标嵌入进行聚类，随后从每个簇中随机采样一个代表目标。</x:v>
      </x:c>
      <x:c r="M68" s="2" t="str">
        <x:v>基于C1提供的嵌入运行，其聚类结果用于去重和筛选，是连接O1和T2的桥梁。</x:v>
      </x:c>
      <x:c r="N68" s="2" t="str">
        <x:v>Yes</x:v>
      </x:c>
      <x:c r="O68" s="2" t="str">
        <x:v>No</x:v>
      </x:c>
      <x:c r="P68" s="2" t="str">
        <x:v>NR</x:v>
      </x:c>
      <x:c r="Q68" s="6" t="str">
        <x:v>p. 4; Section III-C</x:v>
      </x:c>
      <x:c r="R68" s="6" t="str">
        <x:v>We use Python v3.11.11 and SciKit Learn v1.6.1 with the AgglomerativeClustering class and parameters metric=euclidean, linkage=ward, and distance threshold=1.5</x:v>
      </x:c>
      <x:c r="S68" s="6" t="str">
        <x:v>聚类属于传统的无监督学习方法，用于降低重复采样引入的冗余，其参数选择直接影响最终目标集的多样性。</x:v>
      </x:c>
      <x:c r="T68" s="2" t="str">
        <x:v>Accepted</x:v>
      </x:c>
      <x:c r="U68" s="6" t="str">
        <x:v>NR</x:v>
      </x:c>
    </x:row>
    <x:row r="69" ht="76" customHeight="1">
      <x:c r="A69" s="2" t="str">
        <x:v>S15-COMP-R03</x:v>
      </x:c>
      <x:c r="B69" s="2" t="str">
        <x:v>S15</x:v>
      </x:c>
      <x:c r="C69" s="2" t="str">
        <x:v>merged_1143</x:v>
      </x:c>
      <x:c r="D69" s="2" t="str">
        <x:v>Reviewer_A</x:v>
      </x:c>
      <x:c r="E69" s="2" t="str">
        <x:v>Reviewer_A</x:v>
      </x:c>
      <x:c r="F69" s="2" t="str">
        <x:v>S15-CMP03</x:v>
      </x:c>
      <x:c r="G69" s="2" t="str">
        <x:v>S15-T02</x:v>
      </x:c>
      <x:c r="H69" s="2" t="str">
        <x:v>S15-O03</x:v>
      </x:c>
      <x:c r="I69" s="2" t="str">
        <x:v>Python code execution environment</x:v>
      </x:c>
      <x:c r="J69" s="6" t="str">
        <x:v>Other</x:v>
      </x:c>
      <x:c r="K69" s="6" t="str">
        <x:v>Output validation</x:v>
      </x:c>
      <x:c r="L69" s="6" t="str">
        <x:v>编译并检查生成的目标模型代码是否包含语法错误或环，若无效则触发重新生成。</x:v>
      </x:c>
      <x:c r="M69" s="2" t="str">
        <x:v>在O3生成代码后执行，验证失败时发起新的O3调用，形成“生成-验证-重生成”循环。</x:v>
      </x:c>
      <x:c r="N69" s="2" t="str">
        <x:v>Yes</x:v>
      </x:c>
      <x:c r="O69" s="2" t="str">
        <x:v>No</x:v>
      </x:c>
      <x:c r="P69" s="2" t="str">
        <x:v>NR</x:v>
      </x:c>
      <x:c r="Q69" s="6" t="str">
        <x:v>p. 6; Section III-D</x:v>
      </x:c>
      <x:c r="R69" s="6" t="str">
        <x:v>During each generation, if a model does not compile or the model contains cycles, we re-generate that goal model.</x:v>
      </x:c>
      <x:c r="S69" s="6" t="str">
        <x:v>利用Python编译器和图算法作为后处理过滤器，保证最终输出的目标模型符合定义良好的结构。</x:v>
      </x:c>
      <x:c r="T69" s="2" t="str">
        <x:v>Accepted</x:v>
      </x:c>
      <x:c r="U69" s="6" t="str">
        <x:v>NA</x:v>
      </x:c>
    </x:row>
    <x:row r="70" ht="76" customHeight="1">
      <x:c r="A70" s="2" t="str">
        <x:v>S15-COMP-R04</x:v>
      </x:c>
      <x:c r="B70" s="2" t="str">
        <x:v>S15</x:v>
      </x:c>
      <x:c r="C70" s="2" t="str">
        <x:v>merged_1143</x:v>
      </x:c>
      <x:c r="D70" s="2" t="str">
        <x:v>Reviewer_A</x:v>
      </x:c>
      <x:c r="E70" s="2" t="str">
        <x:v>Reviewer_A</x:v>
      </x:c>
      <x:c r="F70" s="2" t="str">
        <x:v>S15-CMP04</x:v>
      </x:c>
      <x:c r="G70" s="2" t="str">
        <x:v>S15-T01</x:v>
      </x:c>
      <x:c r="H70" s="2" t="str">
        <x:v>NA</x:v>
      </x:c>
      <x:c r="I70" s="2" t="str">
        <x:v>Human interviewer extraction</x:v>
      </x:c>
      <x:c r="J70" s="6" t="str">
        <x:v>Human review</x:v>
      </x:c>
      <x:c r="K70" s="6" t="str">
        <x:v>Evaluation only</x:v>
      </x:c>
      <x:c r="L70" s="6" t="str">
        <x:v>由访谈者在完成访谈后人工审查转录稿并列出目标，作为LLM提取的对比基准。</x:v>
      </x:c>
      <x:c r="M70" s="2" t="str">
        <x:v>不参与LLM工作流，仅在评估阶段用于计算覆盖率和正确率。</x:v>
      </x:c>
      <x:c r="N70" s="2" t="str">
        <x:v>No</x:v>
      </x:c>
      <x:c r="O70" s="2" t="str">
        <x:v>No</x:v>
      </x:c>
      <x:c r="P70" s="2" t="str">
        <x:v>NR</x:v>
      </x:c>
      <x:c r="Q70" s="6" t="str">
        <x:v>p. 7; Section IV-A (RQ2)</x:v>
      </x:c>
      <x:c r="R70" s="6" t="str">
        <x:v>We compare the interviewer-extracted and GPT-4o-extracted goals in two steps.</x:v>
      </x:c>
      <x:c r="S70" s="6" t="str">
        <x:v>人工提取的目标用于衡量LLM方法的召回率和精度，属于外部评价标准。</x:v>
      </x:c>
      <x:c r="T70" s="2" t="str">
        <x:v>Accepted</x:v>
      </x:c>
      <x:c r="U70" s="6" t="str">
        <x:v>NR</x:v>
      </x:c>
    </x:row>
    <x:row r="71" ht="76" customHeight="1">
      <x:c r="A71" s="2" t="str">
        <x:v>S16-COMP-R01</x:v>
      </x:c>
      <x:c r="B71" s="2" t="str">
        <x:v>S16</x:v>
      </x:c>
      <x:c r="C71" s="2" t="str">
        <x:v>merged_1144</x:v>
      </x:c>
      <x:c r="D71" s="2" t="str">
        <x:v>Reviewer_A</x:v>
      </x:c>
      <x:c r="E71" s="2" t="str">
        <x:v>Reviewer_A</x:v>
      </x:c>
      <x:c r="F71" s="2" t="str">
        <x:v>S16-CMP01</x:v>
      </x:c>
      <x:c r="G71" s="2" t="str">
        <x:v>S16-T01</x:v>
      </x:c>
      <x:c r="H71" s="2" t="str">
        <x:v>S16-O01</x:v>
      </x:c>
      <x:c r="I71" s="2" t="str">
        <x:v>FAISS</x:v>
      </x:c>
      <x:c r="J71" s="6" t="str">
        <x:v>Vector database</x:v>
      </x:c>
      <x:c r="K71" s="6" t="str">
        <x:v>Candidate retrieval</x:v>
      </x:c>
      <x:c r="L71" s="6" t="str">
        <x:v>对commit消息嵌入进行索引和高效最近邻检索，为每个issue返回最相似的top-k commits。</x:v>
      </x:c>
      <x:c r="M71" s="2" t="str">
        <x:v>将检索到的top-k commits作为LLM重排序的输入。</x:v>
      </x:c>
      <x:c r="N71" s="2" t="str">
        <x:v>Yes</x:v>
      </x:c>
      <x:c r="O71" s="2" t="str">
        <x:v>Yes</x:v>
      </x:c>
      <x:c r="P71" s="2" t="str">
        <x:v>仅使用向量数据库（无LLM重排序）时，Precision@1为64.03%（表4）。</x:v>
      </x:c>
      <x:c r="Q71" s="6" t="str">
        <x:v>p. 6; Section 4.1 Vector Database Indexing and Retrieval</x:v>
      </x:c>
      <x:c r="R71" s="6" t="str">
        <x:v>we use a vector database for indexing and retrieval. We use FAISS [16]—an off-the-shelf library designed for efficient nearest neighbor (NN) retrieval in high-dimensional spaces.</x:v>
      </x:c>
      <x:c r="S71" s="6" t="str">
        <x:v>FAISS用于向量索引和检索，是工作流中独立于LLM的组件，负责候选提交的初始筛选。</x:v>
      </x:c>
      <x:c r="T71" s="2" t="str">
        <x:v>Accepted</x:v>
      </x:c>
      <x:c r="U71" s="6" t="str">
        <x:v>NA</x:v>
      </x:c>
    </x:row>
    <x:row r="72" ht="76" customHeight="1">
      <x:c r="A72" s="2" t="str">
        <x:v>S16-COMP-R02</x:v>
      </x:c>
      <x:c r="B72" s="2" t="str">
        <x:v>S16</x:v>
      </x:c>
      <x:c r="C72" s="2" t="str">
        <x:v>merged_1144</x:v>
      </x:c>
      <x:c r="D72" s="2" t="str">
        <x:v>Reviewer_A</x:v>
      </x:c>
      <x:c r="E72" s="2" t="str">
        <x:v>Reviewer_A</x:v>
      </x:c>
      <x:c r="F72" s="2" t="str">
        <x:v>S16-CMP02</x:v>
      </x:c>
      <x:c r="G72" s="2" t="str">
        <x:v>S16-T01</x:v>
      </x:c>
      <x:c r="H72" s="2" t="str">
        <x:v>S16-O01</x:v>
      </x:c>
      <x:c r="I72" s="2" t="str">
        <x:v>all-MiniLM-L6-v2</x:v>
      </x:c>
      <x:c r="J72" s="6" t="str">
        <x:v>Embedding model</x:v>
      </x:c>
      <x:c r="K72" s="6" t="str">
        <x:v>Feature augmentation</x:v>
      </x:c>
      <x:c r="L72" s="6" t="str">
        <x:v>将issue和commit消息编码为384维的语义嵌入向量，用于后续相似度计算。</x:v>
      </x:c>
      <x:c r="M72" s="2" t="str">
        <x:v>嵌入向量用于向量数据库检索，检索结果作为LLM重排序的输入，但嵌入模型本身不与LLM直接交互。</x:v>
      </x:c>
      <x:c r="N72" s="2" t="str">
        <x:v>Yes</x:v>
      </x:c>
      <x:c r="O72" s="2" t="str">
        <x:v>Yes</x:v>
      </x:c>
      <x:c r="P72" s="2" t="str">
        <x:v>使用all-MiniLM-L6-v2时，向量数据库Precision@1为64.03%（表4）。</x:v>
      </x:c>
      <x:c r="Q72" s="6" t="str">
        <x:v>p. 6; Section 4.1 Vector Database Indexing and Retrieval</x:v>
      </x:c>
      <x:c r="R72" s="6" t="str">
        <x:v>we utilize the Sentence-Transformers library [51] with the all-MiniLM-L6-v2 model, a lightweight and efficient transformer based on Microsoft’s MiniLM architecture [67].</x:v>
      </x:c>
      <x:c r="S72" s="6" t="str">
        <x:v>all-MiniLM-L6-v2是一个嵌入模型，用于将文本转换为向量，是工作流的一部分。</x:v>
      </x:c>
      <x:c r="T72" s="2" t="str">
        <x:v>Accepted</x:v>
      </x:c>
      <x:c r="U72" s="6" t="str">
        <x:v>NA</x:v>
      </x:c>
    </x:row>
    <x:row r="73" ht="76" customHeight="1">
      <x:c r="A73" s="2" t="str">
        <x:v>S16-COMP-R03</x:v>
      </x:c>
      <x:c r="B73" s="2" t="str">
        <x:v>S16</x:v>
      </x:c>
      <x:c r="C73" s="2" t="str">
        <x:v>merged_1144</x:v>
      </x:c>
      <x:c r="D73" s="2" t="str">
        <x:v>Reviewer_A</x:v>
      </x:c>
      <x:c r="E73" s="2" t="str">
        <x:v>Reviewer_A</x:v>
      </x:c>
      <x:c r="F73" s="2" t="str">
        <x:v>S16-CMP03</x:v>
      </x:c>
      <x:c r="G73" s="2" t="str">
        <x:v>S16-T01</x:v>
      </x:c>
      <x:c r="H73" s="2" t="str">
        <x:v>NA</x:v>
      </x:c>
      <x:c r="I73" s="2" t="str">
        <x:v>EALink</x:v>
      </x:c>
      <x:c r="J73" s="6" t="str">
        <x:v>Non-LLM ML or DL</x:v>
      </x:c>
      <x:c r="K73" s="6" t="str">
        <x:v>Evaluation only</x:v>
      </x:c>
      <x:c r="L73" s="6" t="str">
        <x:v>基于知识蒸馏和多任务学习的深度学习方法，用于issue-commit链接恢复。</x:v>
      </x:c>
      <x:c r="M73" s="2" t="str">
        <x:v>无直接交互，仅作为基线对比。</x:v>
      </x:c>
      <x:c r="N73" s="2" t="str">
        <x:v>No</x:v>
      </x:c>
      <x:c r="O73" s="2" t="str">
        <x:v>NA</x:v>
      </x:c>
      <x:c r="P73" s="2" t="str">
        <x:v>在RDS评估下，EALink平均Precision@1为14.43%，而EasyLink为75.91%（表4）。</x:v>
      </x:c>
      <x:c r="Q73" s="6" t="str">
        <x:v>p. 3; Section 2.1 Issue-Commit Linking Recovery</x:v>
      </x:c>
      <x:c r="R73" s="6" t="str">
        <x:v>The state-of-the-art method, EALink [71], employs knowledge distillation to transfer knowledge to a smaller model and utilizes multi-task learning to improve both accuracy and efficiency.</x:v>
      </x:c>
      <x:c r="S73" s="6" t="str">
        <x:v>EALink是本文对比的基线方法，不属于LLM辅助流程的一部分。</x:v>
      </x:c>
      <x:c r="T73" s="2" t="str">
        <x:v>Accepted</x:v>
      </x:c>
      <x:c r="U73" s="6" t="str">
        <x:v>NA</x:v>
      </x:c>
    </x:row>
    <x:row r="74" ht="76" customHeight="1">
      <x:c r="A74" s="2" t="str">
        <x:v>S17-COMP-R01</x:v>
      </x:c>
      <x:c r="B74" s="2" t="str">
        <x:v>S17</x:v>
      </x:c>
      <x:c r="C74" s="2" t="str">
        <x:v>merged_1148-v1</x:v>
      </x:c>
      <x:c r="D74" s="2" t="str">
        <x:v>Reviewer_A</x:v>
      </x:c>
      <x:c r="E74" s="2" t="str">
        <x:v>Reviewer_A</x:v>
      </x:c>
      <x:c r="F74" s="2" t="str">
        <x:v>S17-CMP01</x:v>
      </x:c>
      <x:c r="G74" s="2" t="str">
        <x:v>S17-T01</x:v>
      </x:c>
      <x:c r="H74" s="2" t="str">
        <x:v>NA</x:v>
      </x:c>
      <x:c r="I74" s="2" t="str">
        <x:v>STPA Python Framework</x:v>
      </x:c>
      <x:c r="J74" s="6" t="str">
        <x:v>Tool framework</x:v>
      </x:c>
      <x:c r="K74" s="6" t="str">
        <x:v>Context construction</x:v>
      </x:c>
      <x:c r="L74" s="6" t="str">
        <x:v>管理STPA工件并提供控制结构图解析，为LLM构建结构化输入上下文。</x:v>
      </x:c>
      <x:c r="M74" s="2" t="str">
        <x:v>组装损失、危害、UCA等文本信息，并提供控制结构图图像作为LLM输入。</x:v>
      </x:c>
      <x:c r="N74" s="2" t="str">
        <x:v>Yes</x:v>
      </x:c>
      <x:c r="O74" s="2" t="str">
        <x:v>No</x:v>
      </x:c>
      <x:c r="P74" s="2" t="str">
        <x:v>NR</x:v>
      </x:c>
      <x:c r="Q74" s="6" t="str">
        <x:v>p. 4; Section III</x:v>
      </x:c>
      <x:c r="R74" s="6" t="str">
        <x:v>we have developed a structured framework that models the STPA artifacts using object-oriented programming in Python.</x:v>
      </x:c>
      <x:c r="S74" s="6" t="str">
        <x:v>该框架是工作流的必要组成部分，负责准备所有LLM输入。</x:v>
      </x:c>
      <x:c r="T74" s="2" t="str">
        <x:v>Accepted</x:v>
      </x:c>
      <x:c r="U74" s="6" t="str">
        <x:v>NA</x:v>
      </x:c>
    </x:row>
    <x:row r="75" ht="76" customHeight="1">
      <x:c r="A75" s="2" t="str">
        <x:v>S17-COMP-R02</x:v>
      </x:c>
      <x:c r="B75" s="2" t="str">
        <x:v>S17</x:v>
      </x:c>
      <x:c r="C75" s="2" t="str">
        <x:v>merged_1148-v1</x:v>
      </x:c>
      <x:c r="D75" s="2" t="str">
        <x:v>Reviewer_A</x:v>
      </x:c>
      <x:c r="E75" s="2" t="str">
        <x:v>Reviewer_A</x:v>
      </x:c>
      <x:c r="F75" s="2" t="str">
        <x:v>S17-CMP02</x:v>
      </x:c>
      <x:c r="G75" s="2" t="str">
        <x:v>S17-T01</x:v>
      </x:c>
      <x:c r="H75" s="2" t="str">
        <x:v>S17-O01</x:v>
      </x:c>
      <x:c r="I75" s="2" t="str">
        <x:v>Requirement Engineer Review</x:v>
      </x:c>
      <x:c r="J75" s="6" t="str">
        <x:v>Human review</x:v>
      </x:c>
      <x:c r="K75" s="6" t="str">
        <x:v>Output validation</x:v>
      </x:c>
      <x:c r="L75" s="6" t="str">
        <x:v>审查LLM生成的UCAs，剔除不正确或无用的条目，并添加工程师自己的UCAs。</x:v>
      </x:c>
      <x:c r="M75" s="2" t="str">
        <x:v>审核LLM输出结果，结合领域知识筛选和补充。</x:v>
      </x:c>
      <x:c r="N75" s="2" t="str">
        <x:v>Yes</x:v>
      </x:c>
      <x:c r="O75" s="2" t="str">
        <x:v>No</x:v>
      </x:c>
      <x:c r="P75" s="2" t="str">
        <x:v>NR</x:v>
      </x:c>
      <x:c r="Q75" s="6" t="str">
        <x:v>p. 5; Section IV-A</x:v>
      </x:c>
      <x:c r="R75" s="6" t="str">
        <x:v>a requirement engineer oversees this process, reviews the generated UCAs and loss scenarios, and dismisses incorrect ones.</x:v>
      </x:c>
      <x:c r="S75" s="6" t="str">
        <x:v>人在回路确保生成质量，是不可或缺的工作流环节。</x:v>
      </x:c>
      <x:c r="T75" s="2" t="str">
        <x:v>Accepted</x:v>
      </x:c>
      <x:c r="U75" s="6" t="str">
        <x:v>NA</x:v>
      </x:c>
    </x:row>
    <x:row r="76" ht="76" customHeight="1">
      <x:c r="A76" s="2" t="str">
        <x:v>S17-COMP-R03</x:v>
      </x:c>
      <x:c r="B76" s="2" t="str">
        <x:v>S17</x:v>
      </x:c>
      <x:c r="C76" s="2" t="str">
        <x:v>merged_1148-v1</x:v>
      </x:c>
      <x:c r="D76" s="2" t="str">
        <x:v>Reviewer_A</x:v>
      </x:c>
      <x:c r="E76" s="2" t="str">
        <x:v>Reviewer_A</x:v>
      </x:c>
      <x:c r="F76" s="2" t="str">
        <x:v>S17-CMP03</x:v>
      </x:c>
      <x:c r="G76" s="2" t="str">
        <x:v>S17-T02</x:v>
      </x:c>
      <x:c r="H76" s="2" t="str">
        <x:v>S17-O02</x:v>
      </x:c>
      <x:c r="I76" s="2" t="str">
        <x:v>Requirement Engineer Review</x:v>
      </x:c>
      <x:c r="J76" s="6" t="str">
        <x:v>Human review</x:v>
      </x:c>
      <x:c r="K76" s="6" t="str">
        <x:v>Output validation</x:v>
      </x:c>
      <x:c r="L76" s="6" t="str">
        <x:v>审查LLM生成的损失场景，剔除不正确的条目，并添加工程师自己的损失场景。</x:v>
      </x:c>
      <x:c r="M76" s="2" t="str">
        <x:v>审核LLM输出，确保损失场景的合理性和正确性。</x:v>
      </x:c>
      <x:c r="N76" s="2" t="str">
        <x:v>Yes</x:v>
      </x:c>
      <x:c r="O76" s="2" t="str">
        <x:v>No</x:v>
      </x:c>
      <x:c r="P76" s="2" t="str">
        <x:v>NR</x:v>
      </x:c>
      <x:c r="Q76" s="6" t="str">
        <x:v>p. 5; Section IV-A</x:v>
      </x:c>
      <x:c r="R76" s="6" t="str">
        <x:v>a requirement engineer oversees this process, reviews the generated UCAs and loss scenarios, and dismisses incorrect ones.</x:v>
      </x:c>
      <x:c r="S76" s="6" t="str">
        <x:v>与UCA审查相同，损失场景也需人工验证。</x:v>
      </x:c>
      <x:c r="T76" s="2" t="str">
        <x:v>Accepted</x:v>
      </x:c>
      <x:c r="U76" s="6" t="str">
        <x:v>NA</x:v>
      </x:c>
    </x:row>
    <x:row r="77" ht="76" customHeight="1">
      <x:c r="A77" s="2" t="str">
        <x:v>S19-COMP-R01</x:v>
      </x:c>
      <x:c r="B77" s="2" t="str">
        <x:v>S19</x:v>
      </x:c>
      <x:c r="C77" s="2" t="str">
        <x:v>merged_1150</x:v>
      </x:c>
      <x:c r="D77" s="2" t="str">
        <x:v>Reviewer_A</x:v>
      </x:c>
      <x:c r="E77" s="2" t="str">
        <x:v>Reviewer_A</x:v>
      </x:c>
      <x:c r="F77" s="2" t="str">
        <x:v>S19-CMP01</x:v>
      </x:c>
      <x:c r="G77" s="2" t="str">
        <x:v>S19-T01</x:v>
      </x:c>
      <x:c r="H77" s="2" t="str">
        <x:v>NA</x:v>
      </x:c>
      <x:c r="I77" s="2" t="str">
        <x:v>ground truth creation</x:v>
      </x:c>
      <x:c r="J77" s="6" t="str">
        <x:v>Human review</x:v>
      </x:c>
      <x:c r="K77" s="6" t="str">
        <x:v>Evaluation only</x:v>
      </x:c>
      <x:c r="L77" s="6" t="str">
        <x:v>由两位作者独立审查需求并在代码中标注实现位置，创建真实追踪链接标准</x:v>
      </x:c>
      <x:c r="M77" s="2" t="str">
        <x:v>用于评估LLM输出，不参与LLM生成过程</x:v>
      </x:c>
      <x:c r="N77" s="2" t="str">
        <x:v>No</x:v>
      </x:c>
      <x:c r="O77" s="2" t="str">
        <x:v>No</x:v>
      </x:c>
      <x:c r="P77" s="2" t="str">
        <x:v>NR</x:v>
      </x:c>
      <x:c r="Q77" s="6" t="str">
        <x:v>p. 2; Section III.A</x:v>
      </x:c>
      <x:c r="R77" s="6" t="str">
        <x:v>Two authors created a ground truth by independently reviewing the smell-free requirements and deciding which requirements are implemented in the code in which LOC</x:v>
      </x:c>
      <x:c r="S77" s="6" t="str">
        <x:v>人工标注的真实数据集，仅用于评估，非工作流组件</x:v>
      </x:c>
      <x:c r="T77" s="2" t="str">
        <x:v>Accepted</x:v>
      </x:c>
      <x:c r="U77" s="6" t="str">
        <x:v>NA</x:v>
      </x:c>
    </x:row>
    <x:row r="78" ht="76" customHeight="1">
      <x:c r="A78" s="2" t="str">
        <x:v>S20-COMP-R01</x:v>
      </x:c>
      <x:c r="B78" s="2" t="str">
        <x:v>S20</x:v>
      </x:c>
      <x:c r="C78" s="2" t="str">
        <x:v>merged_1151-v1</x:v>
      </x:c>
      <x:c r="D78" s="2" t="str">
        <x:v>Reviewer_A</x:v>
      </x:c>
      <x:c r="E78" s="2" t="str">
        <x:v>Reviewer_A</x:v>
      </x:c>
      <x:c r="F78" s="2" t="str">
        <x:v>S20-CMP01</x:v>
      </x:c>
      <x:c r="G78" s="2" t="str">
        <x:v>S20-T01</x:v>
      </x:c>
      <x:c r="H78" s="2" t="str">
        <x:v>NA</x:v>
      </x:c>
      <x:c r="I78" s="2" t="str">
        <x:v>Knowledge Graph</x:v>
      </x:c>
      <x:c r="J78" s="6" t="str">
        <x:v>Knowledge graph</x:v>
      </x:c>
      <x:c r="K78" s="6" t="str">
        <x:v>Candidate retrieval</x:v>
      </x:c>
      <x:c r="L78" s="6" t="str">
        <x:v>存储实体和关系，支持基于相似性的检索，为需求找到相关参考文本。</x:v>
      </x:c>
      <x:c r="M78" s="2" t="str">
        <x:v>LLM通过提取实体和关系构建图，并在社区摘要时使用图数据；检索阶段不直接调用LLM。</x:v>
      </x:c>
      <x:c r="N78" s="2" t="str">
        <x:v>Yes</x:v>
      </x:c>
      <x:c r="O78" s="2" t="str">
        <x:v>No</x:v>
      </x:c>
      <x:c r="P78" s="2" t="str">
        <x:v>NR</x:v>
      </x:c>
      <x:c r="Q78" s="6" t="str">
        <x:v>p. 13; Section 4.4 Search</x:v>
      </x:c>
      <x:c r="R78" s="6" t="str">
        <x:v>The graph consists of nodes (entities) and edges (relationships) enriched with metadata such as rank, weight, and direction.</x:v>
      </x:c>
      <x:c r="S78" s="6" t="str">
        <x:v>知识图谱是检索的核心结构，由LLM辅助构建。</x:v>
      </x:c>
      <x:c r="T78" s="2" t="str">
        <x:v>Accepted</x:v>
      </x:c>
      <x:c r="U78" s="6" t="str">
        <x:v>NA</x:v>
      </x:c>
    </x:row>
    <x:row r="79" ht="76" customHeight="1">
      <x:c r="A79" s="2" t="str">
        <x:v>S20-COMP-R02</x:v>
      </x:c>
      <x:c r="B79" s="2" t="str">
        <x:v>S20</x:v>
      </x:c>
      <x:c r="C79" s="2" t="str">
        <x:v>merged_1151-v1</x:v>
      </x:c>
      <x:c r="D79" s="2" t="str">
        <x:v>Reviewer_A</x:v>
      </x:c>
      <x:c r="E79" s="2" t="str">
        <x:v>Reviewer_A</x:v>
      </x:c>
      <x:c r="F79" s="2" t="str">
        <x:v>S20-CMP02</x:v>
      </x:c>
      <x:c r="G79" s="2" t="str">
        <x:v>S20-T01</x:v>
      </x:c>
      <x:c r="H79" s="2" t="str">
        <x:v>NA</x:v>
      </x:c>
      <x:c r="I79" s="2" t="str">
        <x:v>Baseline RAG</x:v>
      </x:c>
      <x:c r="J79" s="6" t="str">
        <x:v>Dense retrieval</x:v>
      </x:c>
      <x:c r="K79" s="6" t="str">
        <x:v>Candidate retrieval</x:v>
      </x:c>
      <x:c r="L79" s="6" t="str">
        <x:v>使用密集检索结合生成模型，为查询提供上下文感知的回答。</x:v>
      </x:c>
      <x:c r="M79" s="2" t="str">
        <x:v>它使用嵌入模型检索文档，然后由LLM（GPT-4o/mini）生成回答；在此作为比较基准。</x:v>
      </x:c>
      <x:c r="N79" s="2" t="str">
        <x:v>No</x:v>
      </x:c>
      <x:c r="O79" s="2" t="str">
        <x:v>No</x:v>
      </x:c>
      <x:c r="P79" s="2" t="str">
        <x:v>NR</x:v>
      </x:c>
      <x:c r="Q79" s="6" t="str">
        <x:v>p. 16; Section 5 Evaluation</x:v>
      </x:c>
      <x:c r="R79" s="6" t="str">
        <x:v>This baseline RAG implementation combines dense retrieval with a generative language model to deliver context-aware answers (Lewis et al., 2020). It begins by</x:v>
      </x:c>
      <x:c r="S79" s="6" t="str">
        <x:v>基线RAG系统用于对比，并非提出框架的一部分。</x:v>
      </x:c>
      <x:c r="T79" s="2" t="str">
        <x:v>Accepted</x:v>
      </x:c>
      <x:c r="U79" s="6" t="str">
        <x:v>NA</x:v>
      </x:c>
    </x:row>
    <x:row r="80" ht="76" customHeight="1">
      <x:c r="A80" s="2" t="str">
        <x:v>S20-COMP-R03</x:v>
      </x:c>
      <x:c r="B80" s="2" t="str">
        <x:v>S20</x:v>
      </x:c>
      <x:c r="C80" s="2" t="str">
        <x:v>merged_1151-v1</x:v>
      </x:c>
      <x:c r="D80" s="2" t="str">
        <x:v>Reviewer_A</x:v>
      </x:c>
      <x:c r="E80" s="2" t="str">
        <x:v>Reviewer_A</x:v>
      </x:c>
      <x:c r="F80" s="2" t="str">
        <x:v>S20-CMP03</x:v>
      </x:c>
      <x:c r="G80" s="2" t="str">
        <x:v>S20-T01</x:v>
      </x:c>
      <x:c r="H80" s="2" t="str">
        <x:v>NA</x:v>
      </x:c>
      <x:c r="I80" s="2" t="str">
        <x:v>all-MiniLM-L6-v2</x:v>
      </x:c>
      <x:c r="J80" s="6" t="str">
        <x:v>Embedding model</x:v>
      </x:c>
      <x:c r="K80" s="6" t="str">
        <x:v>Candidate retrieval</x:v>
      </x:c>
      <x:c r="L80" s="6" t="str">
        <x:v>将文档嵌入为密集向量，用于相似性检索。</x:v>
      </x:c>
      <x:c r="M80" s="2" t="str">
        <x:v>为基线RAG的检索器提供嵌入，不直接与LLM交互。</x:v>
      </x:c>
      <x:c r="N80" s="2" t="str">
        <x:v>No</x:v>
      </x:c>
      <x:c r="O80" s="2" t="str">
        <x:v>No</x:v>
      </x:c>
      <x:c r="P80" s="2" t="str">
        <x:v>NR</x:v>
      </x:c>
      <x:c r="Q80" s="6" t="str">
        <x:v>p. 16; Section 5</x:v>
      </x:c>
      <x:c r="R80" s="6" t="str">
        <x:v>embedding documents into dense vector representations using a pre-trained SentenceTransformer model (all-MiniLM-L6-v2). These embeddings enable efficient retrieval</x:v>
      </x:c>
      <x:c r="S80" s="6" t="str">
        <x:v>嵌入模型是基线RAG的一部分，用于评估对比。</x:v>
      </x:c>
      <x:c r="T80" s="2" t="str">
        <x:v>Accepted</x:v>
      </x:c>
      <x:c r="U80" s="6" t="str">
        <x:v>NA</x:v>
      </x:c>
    </x:row>
    <x:row r="81" ht="76" customHeight="1">
      <x:c r="A81" s="2" t="str">
        <x:v>S21-COMP-R01</x:v>
      </x:c>
      <x:c r="B81" s="2" t="str">
        <x:v>S21</x:v>
      </x:c>
      <x:c r="C81" s="2" t="str">
        <x:v>merged_1152</x:v>
      </x:c>
      <x:c r="D81" s="2" t="str">
        <x:v>Reviewer_A</x:v>
      </x:c>
      <x:c r="E81" s="2" t="str">
        <x:v>Reviewer_A</x:v>
      </x:c>
      <x:c r="F81" s="2" t="str">
        <x:v>S21-CMP01</x:v>
      </x:c>
      <x:c r="G81" s="2" t="str">
        <x:v>S21-T02</x:v>
      </x:c>
      <x:c r="H81" s="2" t="str">
        <x:v>S21-O02</x:v>
      </x:c>
      <x:c r="I81" s="2" t="str">
        <x:v>VSM similarity ranking</x:v>
      </x:c>
      <x:c r="J81" s="6" t="str">
        <x:v>Traditional IR</x:v>
      </x:c>
      <x:c r="K81" s="6" t="str">
        <x:v>Pre-filtering</x:v>
      </x:c>
      <x:c r="L81" s="6" t="str">
        <x:v>使用向量空间模型（VSM）计算工件间的文本相似度，并根据相似度对目标工件进行预排序。</x:v>
      </x:c>
      <x:c r="M81" s="2" t="str">
        <x:v>VSM预排序后的工件列表按顺序提供给LLM，作为排序的初始线索。</x:v>
      </x:c>
      <x:c r="N81" s="2" t="str">
        <x:v>Yes</x:v>
      </x:c>
      <x:c r="O81" s="2" t="str">
        <x:v>Yes</x:v>
      </x:c>
      <x:c r="P81" s="2" t="str">
        <x:v>VSM alone provides baseline MAP scores; adding LLM ranking improves MAP (e.g., CM1: 70.7% to 79.4%, DronologyNL: 82.9% to 100%).</x:v>
      </x:c>
      <x:c r="Q81" s="6" t="str">
        <x:v>p. 7; Table III</x:v>
      </x:c>
      <x:c r="R81" s="6" t="str">
        <x:v>Ranking by VSM</x:v>
      </x:c>
      <x:c r="S81" s="6" t="str">
        <x:v>VSM作为传统IR方法用于预排序，LLM在此基础上进一步优化排序，部分数据集上提升明显。</x:v>
      </x:c>
      <x:c r="T81" s="2" t="str">
        <x:v>Accepted</x:v>
      </x:c>
      <x:c r="U81" s="6" t="str">
        <x:v>NA</x:v>
      </x:c>
    </x:row>
    <x:row r="82" ht="76" customHeight="1">
      <x:c r="A82" s="2" t="str">
        <x:v>S22-COMP-R01</x:v>
      </x:c>
      <x:c r="B82" s="2" t="str">
        <x:v>S22</x:v>
      </x:c>
      <x:c r="C82" s="2" t="str">
        <x:v>merged_1154-v1</x:v>
      </x:c>
      <x:c r="D82" s="2" t="str">
        <x:v>Reviewer_A</x:v>
      </x:c>
      <x:c r="E82" s="2" t="str">
        <x:v>Reviewer_A</x:v>
      </x:c>
      <x:c r="F82" s="2" t="str">
        <x:v>S22-CMP01</x:v>
      </x:c>
      <x:c r="G82" s="2" t="str">
        <x:v>S22-T01</x:v>
      </x:c>
      <x:c r="H82" s="2" t="str">
        <x:v>S22-O01</x:v>
      </x:c>
      <x:c r="I82" s="2" t="str">
        <x:v>OWASP Threat Model Library</x:v>
      </x:c>
      <x:c r="J82" s="6" t="str">
        <x:v>Other</x:v>
      </x:c>
      <x:c r="K82" s="6" t="str">
        <x:v>Context construction</x:v>
      </x:c>
      <x:c r="L82" s="6" t="str">
        <x:v>提供结构化的系统上下文（包括参与者、信任区域、组件、数据流等），作为安全模型生成的输入。</x:v>
      </x:c>
      <x:c r="M82" s="2" t="str">
        <x:v>LLM管道从此库中获取提取出的系统上下文制品作为输入，以推导安全模型。</x:v>
      </x:c>
      <x:c r="N82" s="2" t="str">
        <x:v>Yes</x:v>
      </x:c>
      <x:c r="O82" s="2" t="str">
        <x:v>No</x:v>
      </x:c>
      <x:c r="P82" s="2" t="str">
        <x:v>NR</x:v>
      </x:c>
      <x:c r="Q82" s="6" t="str">
        <x:v>p. 7; Section VII.B</x:v>
      </x:c>
      <x:c r="R82" s="6" t="str">
        <x:v>a structured system-context artifact extracted from the OWASP Threat Model Library case</x:v>
      </x:c>
      <x:c r="S82" s="6" t="str">
        <x:v>该库提供了研究一中的系统上下文输入，是LLM生成安全模型的基础。</x:v>
      </x:c>
      <x:c r="T82" s="2" t="str">
        <x:v>Accepted</x:v>
      </x:c>
      <x:c r="U82" s="6" t="str">
        <x:v>NR</x:v>
      </x:c>
    </x:row>
    <x:row r="83" ht="76" customHeight="1">
      <x:c r="A83" s="2" t="str">
        <x:v>S24-COMP-R01</x:v>
      </x:c>
      <x:c r="B83" s="2" t="str">
        <x:v>S24</x:v>
      </x:c>
      <x:c r="C83" s="2" t="str">
        <x:v>merged_1172</x:v>
      </x:c>
      <x:c r="D83" s="2" t="str">
        <x:v>Reviewer_A</x:v>
      </x:c>
      <x:c r="E83" s="2" t="str">
        <x:v>Reviewer_A</x:v>
      </x:c>
      <x:c r="F83" s="2" t="str">
        <x:v>S24-CMP01</x:v>
      </x:c>
      <x:c r="G83" s="2" t="str">
        <x:v>S24-T01</x:v>
      </x:c>
      <x:c r="H83" s="2" t="str">
        <x:v>NA</x:v>
      </x:c>
      <x:c r="I83" s="2" t="str">
        <x:v>Regex-based requirement parser</x:v>
      </x:c>
      <x:c r="J83" s="6" t="str">
        <x:v>Rule or heuristic</x:v>
      </x:c>
      <x:c r="K83" s="6" t="str">
        <x:v>Candidate generation</x:v>
      </x:c>
      <x:c r="L83" s="6" t="str">
        <x:v>使用诱导的正则规则从PDF中提取需求块，生成包含ReqID、父链接等字段的标准化记录</x:v>
      </x:c>
      <x:c r="M83" s="2" t="str">
        <x:v>解析规则由LLM一次性生成，运行时不再调用LLM，通过编译后的正则表达式离线处理文档</x:v>
      </x:c>
      <x:c r="N83" s="2" t="str">
        <x:v>Yes</x:v>
      </x:c>
      <x:c r="O83" s="2" t="str">
        <x:v>No</x:v>
      </x:c>
      <x:c r="P83" s="2" t="str">
        <x:v>NR</x:v>
      </x:c>
      <x:c r="Q83" s="6" t="str">
        <x:v>p. 2; section 2, Overview</x:v>
      </x:c>
      <x:c r="R83" s="6" t="str">
        <x:v>these rules are then applied to parse all documents into normalized requirement blocks stored in a project database</x:v>
      </x:c>
      <x:c r="S83" s="6" t="str">
        <x:v>解析器是追溯链路的基础，负责提供结构化的父需求引用，属于规则启发式组件</x:v>
      </x:c>
      <x:c r="T83" s="2" t="str">
        <x:v>Accepted</x:v>
      </x:c>
      <x:c r="U83" s="6" t="str">
        <x:v>该组件独立于LLM运行，但高度依赖LLM生成的规则</x:v>
      </x:c>
    </x:row>
    <x:row r="84" ht="76" customHeight="1">
      <x:c r="A84" s="2" t="str">
        <x:v>S24-COMP-R02</x:v>
      </x:c>
      <x:c r="B84" s="2" t="str">
        <x:v>S24</x:v>
      </x:c>
      <x:c r="C84" s="2" t="str">
        <x:v>merged_1172</x:v>
      </x:c>
      <x:c r="D84" s="2" t="str">
        <x:v>Reviewer_A</x:v>
      </x:c>
      <x:c r="E84" s="2" t="str">
        <x:v>Reviewer_A</x:v>
      </x:c>
      <x:c r="F84" s="2" t="str">
        <x:v>S24-CMP02</x:v>
      </x:c>
      <x:c r="G84" s="2" t="str">
        <x:v>S24-T01</x:v>
      </x:c>
      <x:c r="H84" s="2" t="str">
        <x:v>NA</x:v>
      </x:c>
      <x:c r="I84" s="2" t="str">
        <x:v>Local SQLite repository</x:v>
      </x:c>
      <x:c r="J84" s="6" t="str">
        <x:v>Other</x:v>
      </x:c>
      <x:c r="K84" s="6" t="str">
        <x:v>Context construction</x:v>
      </x:c>
      <x:c r="L84" s="6" t="str">
        <x:v>存储解析后的需求数据，作为下游追溯分析和人工评审的统一数据源</x:v>
      </x:c>
      <x:c r="M84" s="2" t="str">
        <x:v>LLM不直接访问数据库，仅在规则诱导阶段利用样本数据；数据库为结构化分析提供基础</x:v>
      </x:c>
      <x:c r="N84" s="2" t="str">
        <x:v>Yes</x:v>
      </x:c>
      <x:c r="O84" s="2" t="str">
        <x:v>No</x:v>
      </x:c>
      <x:c r="P84" s="2" t="str">
        <x:v>NR</x:v>
      </x:c>
      <x:c r="Q84" s="6" t="str">
        <x:v>p. 2; section 2, Implementation note</x:v>
      </x:c>
      <x:c r="R84" s="6" t="str">
        <x:v>parsed data are stored in a local SQLite repository</x:v>
      </x:c>
      <x:c r="S84" s="6" t="str">
        <x:v>SQLite数据库是追溯构建的持久化层，确保跨文档查询和链接创建</x:v>
      </x:c>
      <x:c r="T84" s="2" t="str">
        <x:v>Accepted</x:v>
      </x:c>
      <x:c r="U84" s="6" t="str">
        <x:v>非LLM组件，但为LLM辅助解析的输出提供容器</x:v>
      </x:c>
    </x:row>
    <x:row r="85" ht="76" customHeight="1">
      <x:c r="A85" s="2" t="str">
        <x:v>S24-COMP-R03</x:v>
      </x:c>
      <x:c r="B85" s="2" t="str">
        <x:v>S24</x:v>
      </x:c>
      <x:c r="C85" s="2" t="str">
        <x:v>merged_1172</x:v>
      </x:c>
      <x:c r="D85" s="2" t="str">
        <x:v>Reviewer_A</x:v>
      </x:c>
      <x:c r="E85" s="2" t="str">
        <x:v>Reviewer_A</x:v>
      </x:c>
      <x:c r="F85" s="2" t="str">
        <x:v>S24-CMP03</x:v>
      </x:c>
      <x:c r="G85" s="2" t="str">
        <x:v>S24-T01</x:v>
      </x:c>
      <x:c r="H85" s="2" t="str">
        <x:v>NA</x:v>
      </x:c>
      <x:c r="I85" s="2" t="str">
        <x:v>Deterministic traceability builder</x:v>
      </x:c>
      <x:c r="J85" s="6" t="str">
        <x:v>Rule or heuristic</x:v>
      </x:c>
      <x:c r="K85" s="6" t="str">
        <x:v>Candidate retrieval</x:v>
      </x:c>
      <x:c r="L85" s="6" t="str">
        <x:v>检查TRD需求中引用的父需求ID，在SRD数据库中查找匹配项，建立或标记追溯链</x:v>
      </x:c>
      <x:c r="M85" s="2" t="str">
        <x:v>完全确定性算法，不涉及LLM调用，基于预提取的父ID进行精确匹配</x:v>
      </x:c>
      <x:c r="N85" s="2" t="str">
        <x:v>Yes</x:v>
      </x:c>
      <x:c r="O85" s="2" t="str">
        <x:v>No</x:v>
      </x:c>
      <x:c r="P85" s="2" t="str">
        <x:v>NR</x:v>
      </x:c>
      <x:c r="Q85" s="6" t="str">
        <x:v>p. 3; section 2, Traceability builder</x:v>
      </x:c>
      <x:c r="R85" s="6" t="str">
        <x:v>When the cited parent exists in the repository, a link is created from the TRD-Req to the SRD-Req and if a non existant parent is cited, the TRD-Req is flagged as a dangling reference</x:v>
      </x:c>
      <x:c r="S85" s="6" t="str">
        <x:v>追溯构建器是核心判断逻辑，它不依赖LLM，但依靠LLM驱动的解析输出</x:v>
      </x:c>
      <x:c r="T85" s="2" t="str">
        <x:v>Accepted</x:v>
      </x:c>
      <x:c r="U85" s="6" t="str">
        <x:v>仅当父ID已获取时才有效，属于启发式检索匹配</x:v>
      </x:c>
    </x:row>
    <x:row r="86" ht="76" customHeight="1">
      <x:c r="A86" s="2" t="str">
        <x:v>S24-COMP-R04</x:v>
      </x:c>
      <x:c r="B86" s="2" t="str">
        <x:v>S24</x:v>
      </x:c>
      <x:c r="C86" s="2" t="str">
        <x:v>merged_1172</x:v>
      </x:c>
      <x:c r="D86" s="2" t="str">
        <x:v>Reviewer_A</x:v>
      </x:c>
      <x:c r="E86" s="2" t="str">
        <x:v>Reviewer_A</x:v>
      </x:c>
      <x:c r="F86" s="2" t="str">
        <x:v>S24-CMP04</x:v>
      </x:c>
      <x:c r="G86" s="2" t="str">
        <x:v>S24-T01</x:v>
      </x:c>
      <x:c r="H86" s="2" t="str">
        <x:v>NA</x:v>
      </x:c>
      <x:c r="I86" s="2" t="str">
        <x:v>Human-in-the-loop review</x:v>
      </x:c>
      <x:c r="J86" s="6" t="str">
        <x:v>Human review</x:v>
      </x:c>
      <x:c r="K86" s="6" t="str">
        <x:v>Human correction</x:v>
      </x:c>
      <x:c r="L86" s="6" t="str">
        <x:v>评审人员验证自动发现的追溯问题，修正缺失/错误链接，并将修正反馈回数据库</x:v>
      </x:c>
      <x:c r="M86" s="2" t="str">
        <x:v>评审过程不直接与LLM交互，但评审结果可能会优化未来LLM的解析提示</x:v>
      </x:c>
      <x:c r="N86" s="2" t="str">
        <x:v>Yes</x:v>
      </x:c>
      <x:c r="O86" s="2" t="str">
        <x:v>No</x:v>
      </x:c>
      <x:c r="P86" s="2" t="str">
        <x:v>NR</x:v>
      </x:c>
      <x:c r="Q86" s="6" t="str">
        <x:v>p. 2; section 2, Overview</x:v>
      </x:c>
      <x:c r="R86" s="6" t="str">
        <x:v>A human-in-the-loop review validates findings, edit the database and feeds back improvements to rules and prompts</x:v>
      </x:c>
      <x:c r="S86" s="6" t="str">
        <x:v>人机协同是航空航天领域可靠性的关键环节，确保追溯链的最终质量</x:v>
      </x:c>
      <x:c r="T86" s="2" t="str">
        <x:v>Accepted</x:v>
      </x:c>
      <x:c r="U86" s="6" t="str">
        <x:v>人工评审组件虽非LLM，但对LLM驱动的管道至关重要</x:v>
      </x:c>
    </x:row>
    <x:row r="87" ht="76" customHeight="1">
      <x:c r="A87" s="2" t="str">
        <x:v>S25-COMP-R01</x:v>
      </x:c>
      <x:c r="B87" s="2" t="str">
        <x:v>S25</x:v>
      </x:c>
      <x:c r="C87" s="2" t="str">
        <x:v>merged_1185</x:v>
      </x:c>
      <x:c r="D87" s="2" t="str">
        <x:v>Reviewer_A</x:v>
      </x:c>
      <x:c r="E87" s="2" t="str">
        <x:v>Reviewer_A</x:v>
      </x:c>
      <x:c r="F87" s="2" t="str">
        <x:v>S25-CMP01</x:v>
      </x:c>
      <x:c r="G87" s="2" t="str">
        <x:v>S25-T01</x:v>
      </x:c>
      <x:c r="H87" s="2" t="str">
        <x:v>S25-O01</x:v>
      </x:c>
      <x:c r="I87" s="2" t="str">
        <x:v>Single Store vector database</x:v>
      </x:c>
      <x:c r="J87" s="6" t="str">
        <x:v>Vector database</x:v>
      </x:c>
      <x:c r="K87" s="6" t="str">
        <x:v>Context construction</x:v>
      </x:c>
      <x:c r="L87" s="6" t="str">
        <x:v>存储和检索高维向量嵌入，用于语义相似性搜索</x:v>
      </x:c>
      <x:c r="M87" s="2" t="str">
        <x:v>为LLM提供从非结构化文本中检索到的语义相关上下文</x:v>
      </x:c>
      <x:c r="N87" s="2" t="str">
        <x:v>Yes</x:v>
      </x:c>
      <x:c r="O87" s="2" t="str">
        <x:v>Yes</x:v>
      </x:c>
      <x:c r="P87" s="2" t="str">
        <x:v>Hybrid Vector-Graph removal causes 15.7% accuracy degradation (Table II)</x:v>
      </x:c>
      <x:c r="Q87" s="6" t="str">
        <x:v>p. 4; Section II.D.1</x:v>
      </x:c>
      <x:c r="R87" s="6" t="str">
        <x:v>Vector Database Layer: Platform: Single Store with distributed architecture supports horizontal scaling across multiple nodes</x:v>
      </x:c>
      <x:c r="S87" s="6" t="str">
        <x:v>Single Store向量数据库用于存储需求、测试用例等工件的嵌入向量，并执行相似性搜索以构建LLM上下文。</x:v>
      </x:c>
      <x:c r="T87" s="2" t="str">
        <x:v>Accepted</x:v>
      </x:c>
      <x:c r="U87" s="6" t="str">
        <x:v>作为混合向量-图系统的一部分，用于增强LLM的上下文质量。</x:v>
      </x:c>
    </x:row>
    <x:row r="88" ht="76" customHeight="1">
      <x:c r="A88" s="2" t="str">
        <x:v>S25-COMP-R02</x:v>
      </x:c>
      <x:c r="B88" s="2" t="str">
        <x:v>S25</x:v>
      </x:c>
      <x:c r="C88" s="2" t="str">
        <x:v>merged_1185</x:v>
      </x:c>
      <x:c r="D88" s="2" t="str">
        <x:v>Reviewer_A</x:v>
      </x:c>
      <x:c r="E88" s="2" t="str">
        <x:v>Reviewer_A</x:v>
      </x:c>
      <x:c r="F88" s="2" t="str">
        <x:v>S25-CMP02</x:v>
      </x:c>
      <x:c r="G88" s="2" t="str">
        <x:v>S25-T01</x:v>
      </x:c>
      <x:c r="H88" s="2" t="str">
        <x:v>S25-O01</x:v>
      </x:c>
      <x:c r="I88" s="2" t="str">
        <x:v>TigerGraph Cloud graph database</x:v>
      </x:c>
      <x:c r="J88" s="6" t="str">
        <x:v>Knowledge graph</x:v>
      </x:c>
      <x:c r="K88" s="6" t="str">
        <x:v>Context construction</x:v>
      </x:c>
      <x:c r="L88" s="6" t="str">
        <x:v>存储和维护软件工件之间的关系图，支持图遍历以扩展上下文</x:v>
      </x:c>
      <x:c r="M88" s="2" t="str">
        <x:v>通过图遍历提供与需求相关的业务逻辑和依赖关系上下文给LLM</x:v>
      </x:c>
      <x:c r="N88" s="2" t="str">
        <x:v>Yes</x:v>
      </x:c>
      <x:c r="O88" s="2" t="str">
        <x:v>Yes</x:v>
      </x:c>
      <x:c r="P88" s="2" t="str">
        <x:v>Hybrid Vector-Graph removal causes 15.7% accuracy degradation (Table II)</x:v>
      </x:c>
      <x:c r="Q88" s="6" t="str">
        <x:v>p. 4; Section II.D.2</x:v>
      </x:c>
      <x:c r="R88" s="6" t="str">
        <x:v>Graph Database Layer: Platform: TigerGraph Cloud with native parallel processing capabilities</x:v>
      </x:c>
      <x:c r="S88" s="6" t="str">
        <x:v>TigerGraph图数据库用于表示软件工件之间的关系，辅助LLM理解依赖和可追溯性关联。</x:v>
      </x:c>
      <x:c r="T88" s="2" t="str">
        <x:v>Accepted</x:v>
      </x:c>
      <x:c r="U88" s="6" t="str">
        <x:v>作为混合向量-图系统的一部分，对于维持可追溯性至关重要。</x:v>
      </x:c>
    </x:row>
    <x:row r="89" ht="76" customHeight="1">
      <x:c r="A89" s="2" t="str">
        <x:v>S26-COMP-R01</x:v>
      </x:c>
      <x:c r="B89" s="2" t="str">
        <x:v>S26</x:v>
      </x:c>
      <x:c r="C89" s="2" t="str">
        <x:v>merged_1212</x:v>
      </x:c>
      <x:c r="D89" s="2" t="str">
        <x:v>Reviewer_A</x:v>
      </x:c>
      <x:c r="E89" s="2" t="str">
        <x:v>Reviewer_A</x:v>
      </x:c>
      <x:c r="F89" s="2" t="str">
        <x:v>S26-CMP01</x:v>
      </x:c>
      <x:c r="G89" s="2" t="str">
        <x:v>S26-T01</x:v>
      </x:c>
      <x:c r="H89" s="2" t="str">
        <x:v>S26-O02</x:v>
      </x:c>
      <x:c r="I89" s="2" t="str">
        <x:v>Vector Space Models (VSM)</x:v>
      </x:c>
      <x:c r="J89" s="6" t="str">
        <x:v>Traditional IR</x:v>
      </x:c>
      <x:c r="K89" s="6" t="str">
        <x:v>Candidate generation</x:v>
      </x:c>
      <x:c r="L89" s="6" t="str">
        <x:v>利用向量空间模型计算制品相似度，生成初选追溯链接列表。</x:v>
      </x:c>
      <x:c r="M89" s="2" t="str">
        <x:v>VSM 输出作为 LLM 精炼操作的输入。</x:v>
      </x:c>
      <x:c r="N89" s="2" t="str">
        <x:v>Yes</x:v>
      </x:c>
      <x:c r="O89" s="2" t="str">
        <x:v>Unclear</x:v>
      </x:c>
      <x:c r="P89" s="2" t="str">
        <x:v>NR</x:v>
      </x:c>
      <x:c r="Q89" s="6" t="str">
        <x:v>p. 3; Section III-A</x:v>
      </x:c>
      <x:c r="R89" s="6" t="str">
        <x:v>a ranking-based approach using Vector Space Models—an established technique in traceability [5]—to generate an initial set of predictions that the LLM could then refine. The</x:v>
      </x:c>
      <x:c r="S89" s="6" t="str">
        <x:v>传统 IR 组件在 LLM 精炼步骤之前起到候选召回的作用。</x:v>
      </x:c>
      <x:c r="T89" s="2" t="str">
        <x:v>Accepted</x:v>
      </x:c>
      <x:c r="U89" s="6" t="str">
        <x:v>NR</x:v>
      </x:c>
    </x:row>
    <x:row r="90" ht="76" customHeight="1">
      <x:c r="A90" s="2" t="str">
        <x:v>S26-COMP-R02</x:v>
      </x:c>
      <x:c r="B90" s="2" t="str">
        <x:v>S26</x:v>
      </x:c>
      <x:c r="C90" s="2" t="str">
        <x:v>merged_1212</x:v>
      </x:c>
      <x:c r="D90" s="2" t="str">
        <x:v>Reviewer_A</x:v>
      </x:c>
      <x:c r="E90" s="2" t="str">
        <x:v>Reviewer_A</x:v>
      </x:c>
      <x:c r="F90" s="2" t="str">
        <x:v>S26-CMP02</x:v>
      </x:c>
      <x:c r="G90" s="2" t="str">
        <x:v>S26-T02</x:v>
      </x:c>
      <x:c r="H90" s="2" t="str">
        <x:v>S26-O03</x:v>
      </x:c>
      <x:c r="I90" s="2" t="str">
        <x:v>clustering algorithm</x:v>
      </x:c>
      <x:c r="J90" s="6" t="str">
        <x:v>Other</x:v>
      </x:c>
      <x:c r="K90" s="6" t="str">
        <x:v>Pre-filtering</x:v>
      </x:c>
      <x:c r="L90" s="6" t="str">
        <x:v>将低层制品（代码片段）聚类，识别可形成更高层文档的相关特性组。</x:v>
      </x:c>
      <x:c r="M90" s="2" t="str">
        <x:v>聚类结果被输入 LLM，为其提供紧凑的上下文。</x:v>
      </x:c>
      <x:c r="N90" s="2" t="str">
        <x:v>Yes</x:v>
      </x:c>
      <x:c r="O90" s="2" t="str">
        <x:v>Unclear</x:v>
      </x:c>
      <x:c r="P90" s="2" t="str">
        <x:v>NR</x:v>
      </x:c>
      <x:c r="Q90" s="6" t="str">
        <x:v>p. 3; Section III-B</x:v>
      </x:c>
      <x:c r="R90" s="6" t="str">
        <x:v>The pipeline begins by clustering lower-level artifacts to identify related features</x:v>
      </x:c>
      <x:c r="S90" s="6" t="str">
        <x:v>聚类步骤为 LLM 的文档生成提供了聚焦的输入来源。</x:v>
      </x:c>
      <x:c r="T90" s="2" t="str">
        <x:v>Accepted</x:v>
      </x:c>
      <x:c r="U90" s="6" t="str">
        <x:v>未说明具体聚类算法</x:v>
      </x:c>
    </x:row>
    <x:row r="91" ht="76" customHeight="1">
      <x:c r="A91" s="2" t="str">
        <x:v>S26-COMP-R03</x:v>
      </x:c>
      <x:c r="B91" s="2" t="str">
        <x:v>S26</x:v>
      </x:c>
      <x:c r="C91" s="2" t="str">
        <x:v>merged_1212</x:v>
      </x:c>
      <x:c r="D91" s="2" t="str">
        <x:v>Reviewer_A</x:v>
      </x:c>
      <x:c r="E91" s="2" t="str">
        <x:v>Reviewer_A</x:v>
      </x:c>
      <x:c r="F91" s="2" t="str">
        <x:v>S26-CMP03</x:v>
      </x:c>
      <x:c r="G91" s="2" t="str">
        <x:v>S26-T03</x:v>
      </x:c>
      <x:c r="H91" s="2" t="str">
        <x:v>S26-O04</x:v>
      </x:c>
      <x:c r="I91" s="2" t="str">
        <x:v>QUEST-RL</x:v>
      </x:c>
      <x:c r="J91" s="6" t="str">
        <x:v>Tool framework</x:v>
      </x:c>
      <x:c r="K91" s="6" t="str">
        <x:v>Tool orchestration</x:v>
      </x:c>
      <x:c r="L91" s="6" t="str">
        <x:v>一个框架，通过分解安全标准为引导性问题，收集工程师的设计决策，并调用 LLM 自动生成可追溯的安全需求。</x:v>
      </x:c>
      <x:c r="M91" s="2" t="str">
        <x:v>框架将工程师的回答作为输入，驱动 LLM 完成需求生成。</x:v>
      </x:c>
      <x:c r="N91" s="2" t="str">
        <x:v>Yes</x:v>
      </x:c>
      <x:c r="O91" s="2" t="str">
        <x:v>Unclear</x:v>
      </x:c>
      <x:c r="P91" s="2" t="str">
        <x:v>NR</x:v>
      </x:c>
      <x:c r="Q91" s="6" t="str">
        <x:v>p. 3; Section III-C</x:v>
      </x:c>
      <x:c r="R91" s="6" t="str">
        <x:v>Rather than requiring practitioners to interpret these broad guidelines independently, the framework decomposes them into targeted, RL-specific questions</x:v>
      </x:c>
      <x:c r="S91" s="6" t="str">
        <x:v>QUEST-RL 本身是一个流程编排框架，LLM 是其中的需求生成引擎。</x:v>
      </x:c>
      <x:c r="T91" s="2" t="str">
        <x:v>Accepted</x:v>
      </x:c>
      <x:c r="U91" s="6" t="str">
        <x:v>NR</x:v>
      </x:c>
    </x:row>
    <x:row r="92" ht="76" customHeight="1">
      <x:c r="A92" s="2" t="str">
        <x:v>S26-COMP-R04</x:v>
      </x:c>
      <x:c r="B92" s="2" t="str">
        <x:v>S26</x:v>
      </x:c>
      <x:c r="C92" s="2" t="str">
        <x:v>merged_1212</x:v>
      </x:c>
      <x:c r="D92" s="2" t="str">
        <x:v>Reviewer_A</x:v>
      </x:c>
      <x:c r="E92" s="2" t="str">
        <x:v>Reviewer_A</x:v>
      </x:c>
      <x:c r="F92" s="2" t="str">
        <x:v>S26-CMP04</x:v>
      </x:c>
      <x:c r="G92" s="2" t="str">
        <x:v>S26-T04</x:v>
      </x:c>
      <x:c r="H92" s="2" t="str">
        <x:v>S26-O05</x:v>
      </x:c>
      <x:c r="I92" s="2" t="str">
        <x:v>Graph-RAG</x:v>
      </x:c>
      <x:c r="J92" s="6" t="str">
        <x:v>Knowledge graph</x:v>
      </x:c>
      <x:c r="K92" s="6" t="str">
        <x:v>Context construction</x:v>
      </x:c>
      <x:c r="L92" s="6" t="str">
        <x:v>检索与差分测试结果相关的上下文文档。</x:v>
      </x:c>
      <x:c r="M92" s="2" t="str">
        <x:v>LLM 通过模型上下文协议访问 Graph-RAG 的检索结果。</x:v>
      </x:c>
      <x:c r="N92" s="2" t="str">
        <x:v>Yes</x:v>
      </x:c>
      <x:c r="O92" s="2" t="str">
        <x:v>NR</x:v>
      </x:c>
      <x:c r="P92" s="2" t="str">
        <x:v>NR</x:v>
      </x:c>
      <x:c r="Q92" s="6" t="str">
        <x:v>p. 4; Section III-D</x:v>
      </x:c>
      <x:c r="R92" s="6" t="str">
        <x:v>structured process. For example, Graph-RAG [13] will be used to retrieve relevant contextual documentation, while code</x:v>
      </x:c>
      <x:c r="S92" s="6" t="str">
        <x:v>计划中用于文档检索的组件。</x:v>
      </x:c>
      <x:c r="T92" s="2" t="str">
        <x:v>Accepted</x:v>
      </x:c>
      <x:c r="U92" s="6" t="str">
        <x:v>RQ4 计划阶段</x:v>
      </x:c>
    </x:row>
    <x:row r="93" ht="76" customHeight="1">
      <x:c r="A93" s="2" t="str">
        <x:v>S26-COMP-R05</x:v>
      </x:c>
      <x:c r="B93" s="2" t="str">
        <x:v>S26</x:v>
      </x:c>
      <x:c r="C93" s="2" t="str">
        <x:v>merged_1212</x:v>
      </x:c>
      <x:c r="D93" s="2" t="str">
        <x:v>Reviewer_A</x:v>
      </x:c>
      <x:c r="E93" s="2" t="str">
        <x:v>Reviewer_A</x:v>
      </x:c>
      <x:c r="F93" s="2" t="str">
        <x:v>S26-CMP05</x:v>
      </x:c>
      <x:c r="G93" s="2" t="str">
        <x:v>S26-T04</x:v>
      </x:c>
      <x:c r="H93" s="2" t="str">
        <x:v>S26-O05</x:v>
      </x:c>
      <x:c r="I93" s="2" t="str">
        <x:v>code search strategies</x:v>
      </x:c>
      <x:c r="J93" s="6" t="str">
        <x:v>Search engine</x:v>
      </x:c>
      <x:c r="K93" s="6" t="str">
        <x:v>Candidate retrieval</x:v>
      </x:c>
      <x:c r="L93" s="6" t="str">
        <x:v>搜索与差异相关的代码段。</x:v>
      </x:c>
      <x:c r="M93" s="2" t="str">
        <x:v>LLM 通过模型上下文协议调用代码搜索工具。</x:v>
      </x:c>
      <x:c r="N93" s="2" t="str">
        <x:v>Yes</x:v>
      </x:c>
      <x:c r="O93" s="2" t="str">
        <x:v>NR</x:v>
      </x:c>
      <x:c r="P93" s="2" t="str">
        <x:v>NR</x:v>
      </x:c>
      <x:c r="Q93" s="6" t="str">
        <x:v>p. 4; Section III-D</x:v>
      </x:c>
      <x:c r="R93" s="6" t="str">
        <x:v>search strategies [33] will help identify pertinent segments of</x:v>
      </x:c>
      <x:c r="S93" s="6" t="str">
        <x:v>计划中用于代码检索的组件。</x:v>
      </x:c>
      <x:c r="T93" s="2" t="str">
        <x:v>Accepted</x:v>
      </x:c>
      <x:c r="U93" s="6" t="str">
        <x:v>RQ4 计划阶段</x:v>
      </x:c>
    </x:row>
    <x:row r="94" ht="76" customHeight="1">
      <x:c r="A94" s="2" t="str">
        <x:v>S26-COMP-R06</x:v>
      </x:c>
      <x:c r="B94" s="2" t="str">
        <x:v>S26</x:v>
      </x:c>
      <x:c r="C94" s="2" t="str">
        <x:v>merged_1212</x:v>
      </x:c>
      <x:c r="D94" s="2" t="str">
        <x:v>Reviewer_A</x:v>
      </x:c>
      <x:c r="E94" s="2" t="str">
        <x:v>Reviewer_A</x:v>
      </x:c>
      <x:c r="F94" s="2" t="str">
        <x:v>S26-CMP06</x:v>
      </x:c>
      <x:c r="G94" s="2" t="str">
        <x:v>S26-T04</x:v>
      </x:c>
      <x:c r="H94" s="2" t="str">
        <x:v>S26-O05</x:v>
      </x:c>
      <x:c r="I94" s="2" t="str">
        <x:v>Model Context Protocols (MCP)</x:v>
      </x:c>
      <x:c r="J94" s="6" t="str">
        <x:v>Tool framework</x:v>
      </x:c>
      <x:c r="K94" s="6" t="str">
        <x:v>Tool orchestration</x:v>
      </x:c>
      <x:c r="L94" s="6" t="str">
        <x:v>一种协议，使 LLM 能够访问和协调 Graph-RAG、代码搜索等外部工具。</x:v>
      </x:c>
      <x:c r="M94" s="2" t="str">
        <x:v>MCP 作为 LLM 与工具之间的桥梁。</x:v>
      </x:c>
      <x:c r="N94" s="2" t="str">
        <x:v>Yes</x:v>
      </x:c>
      <x:c r="O94" s="2" t="str">
        <x:v>NR</x:v>
      </x:c>
      <x:c r="P94" s="2" t="str">
        <x:v>NR</x:v>
      </x:c>
      <x:c r="Q94" s="6" t="str">
        <x:v>p. 4; Section III-D</x:v>
      </x:c>
      <x:c r="R94" s="6" t="str">
        <x:v>code. Additionally, Model Context Protocols [19] will enable the LLM to access and coordinate these tools effectively.</x:v>
      </x:c>
      <x:c r="S94" s="6" t="str">
        <x:v>计划中用于工具编排的协议层。</x:v>
      </x:c>
      <x:c r="T94" s="2" t="str">
        <x:v>Accepted</x:v>
      </x:c>
      <x:c r="U94" s="6" t="str">
        <x:v>RQ4 计划阶段</x:v>
      </x:c>
    </x:row>
    <x:row r="95" ht="76" customHeight="1">
      <x:c r="A95" s="2" t="str">
        <x:v>S27-COMP-R01</x:v>
      </x:c>
      <x:c r="B95" s="2" t="str">
        <x:v>S27</x:v>
      </x:c>
      <x:c r="C95" s="2" t="str">
        <x:v>merged_1213</x:v>
      </x:c>
      <x:c r="D95" s="2" t="str">
        <x:v>Reviewer_A</x:v>
      </x:c>
      <x:c r="E95" s="2" t="str">
        <x:v>Reviewer_A</x:v>
      </x:c>
      <x:c r="F95" s="2" t="str">
        <x:v>S27-CMP01</x:v>
      </x:c>
      <x:c r="G95" s="2" t="str">
        <x:v>S27-T01</x:v>
      </x:c>
      <x:c r="H95" s="2" t="str">
        <x:v>NA</x:v>
      </x:c>
      <x:c r="I95" s="2" t="str">
        <x:v>Vector Space Model (VSM) retrieval</x:v>
      </x:c>
      <x:c r="J95" s="6" t="str">
        <x:v>Traditional IR</x:v>
      </x:c>
      <x:c r="K95" s="6" t="str">
        <x:v>Evaluation only</x:v>
      </x:c>
      <x:c r="L95" s="6" t="str">
        <x:v>使用TF-IDF向量计算需求对之间的余弦相似度，根据阈值检索候选对。</x:v>
      </x:c>
      <x:c r="M95" s="2" t="str">
        <x:v>NA</x:v>
      </x:c>
      <x:c r="N95" s="2" t="str">
        <x:v>No</x:v>
      </x:c>
      <x:c r="O95" s="2" t="str">
        <x:v>No</x:v>
      </x:c>
      <x:c r="P95" s="2" t="str">
        <x:v>NR</x:v>
      </x:c>
      <x:c r="Q95" s="6" t="str">
        <x:v>p. 4; Section IV-D1</x:v>
      </x:c>
      <x:c r="R95" s="6" t="str">
        <x:v>For the baselines VSM and LSI, we analyze the impact of the similarity threshold</x:v>
      </x:c>
      <x:c r="S95" s="6" t="str">
        <x:v>VSM作为对比基线，用于评估LLM过滤方法的性能。</x:v>
      </x:c>
      <x:c r="T95" s="2" t="str">
        <x:v>Accepted</x:v>
      </x:c>
      <x:c r="U95" s="6" t="str">
        <x:v>NA</x:v>
      </x:c>
    </x:row>
    <x:row r="96" ht="76" customHeight="1">
      <x:c r="A96" s="2" t="str">
        <x:v>S27-COMP-R02</x:v>
      </x:c>
      <x:c r="B96" s="2" t="str">
        <x:v>S27</x:v>
      </x:c>
      <x:c r="C96" s="2" t="str">
        <x:v>merged_1213</x:v>
      </x:c>
      <x:c r="D96" s="2" t="str">
        <x:v>Reviewer_A</x:v>
      </x:c>
      <x:c r="E96" s="2" t="str">
        <x:v>Reviewer_A</x:v>
      </x:c>
      <x:c r="F96" s="2" t="str">
        <x:v>S27-CMP02</x:v>
      </x:c>
      <x:c r="G96" s="2" t="str">
        <x:v>S27-T01</x:v>
      </x:c>
      <x:c r="H96" s="2" t="str">
        <x:v>NA</x:v>
      </x:c>
      <x:c r="I96" s="2" t="str">
        <x:v>Latent Semantic Indexing (LSI) retrieval</x:v>
      </x:c>
      <x:c r="J96" s="6" t="str">
        <x:v>Traditional IR</x:v>
      </x:c>
      <x:c r="K96" s="6" t="str">
        <x:v>Evaluation only</x:v>
      </x:c>
      <x:c r="L96" s="6" t="str">
        <x:v>通过潜在语义索引计算需求对的语义相似度，根据阈值检索候选对。</x:v>
      </x:c>
      <x:c r="M96" s="2" t="str">
        <x:v>NA</x:v>
      </x:c>
      <x:c r="N96" s="2" t="str">
        <x:v>No</x:v>
      </x:c>
      <x:c r="O96" s="2" t="str">
        <x:v>No</x:v>
      </x:c>
      <x:c r="P96" s="2" t="str">
        <x:v>NR</x:v>
      </x:c>
      <x:c r="Q96" s="6" t="str">
        <x:v>p. 4; Section IV-D1</x:v>
      </x:c>
      <x:c r="R96" s="6" t="str">
        <x:v>For the baselines VSM and LSI, we analyze the impact of the similarity threshold</x:v>
      </x:c>
      <x:c r="S96" s="6" t="str">
        <x:v>LSI作为传统IR基线之一，用于对比实验。</x:v>
      </x:c>
      <x:c r="T96" s="2" t="str">
        <x:v>Accepted</x:v>
      </x:c>
      <x:c r="U96" s="6" t="str">
        <x:v>NA</x:v>
      </x:c>
    </x:row>
    <x:row r="97" ht="76" customHeight="1">
      <x:c r="A97" s="2" t="str">
        <x:v>S27-COMP-R03</x:v>
      </x:c>
      <x:c r="B97" s="2" t="str">
        <x:v>S27</x:v>
      </x:c>
      <x:c r="C97" s="2" t="str">
        <x:v>merged_1213</x:v>
      </x:c>
      <x:c r="D97" s="2" t="str">
        <x:v>Reviewer_A</x:v>
      </x:c>
      <x:c r="E97" s="2" t="str">
        <x:v>Reviewer_A</x:v>
      </x:c>
      <x:c r="F97" s="2" t="str">
        <x:v>S27-CMP03</x:v>
      </x:c>
      <x:c r="G97" s="2" t="str">
        <x:v>S27-T01</x:v>
      </x:c>
      <x:c r="H97" s="2" t="str">
        <x:v>NA</x:v>
      </x:c>
      <x:c r="I97" s="2" t="str">
        <x:v>Embedding-based retrieval using text-embedding-3-large</x:v>
      </x:c>
      <x:c r="J97" s="6" t="str">
        <x:v>Dense retrieval</x:v>
      </x:c>
      <x:c r="K97" s="6" t="str">
        <x:v>Evaluation only</x:v>
      </x:c>
      <x:c r="L97" s="6" t="str">
        <x:v>利用OpenAI的text-embedding-3-large模型将需求嵌入向量空间，通过k近邻检索候选对。</x:v>
      </x:c>
      <x:c r="M97" s="2" t="str">
        <x:v>NA</x:v>
      </x:c>
      <x:c r="N97" s="2" t="str">
        <x:v>No</x:v>
      </x:c>
      <x:c r="O97" s="2" t="str">
        <x:v>No</x:v>
      </x:c>
      <x:c r="P97" s="2" t="str">
        <x:v>NR</x:v>
      </x:c>
      <x:c r="Q97" s="6" t="str">
        <x:v>p. 4; Section IV-D1</x:v>
      </x:c>
      <x:c r="R97" s="6" t="str">
        <x:v>the embedding-based TLR approach that relies on OpenAI’s text-embedding-3-large</x:v>
      </x:c>
      <x:c r="S97" s="6" t="str">
        <x:v>基于嵌入的检索是现有先进方法，作为LLM过滤方法的对比基线。</x:v>
      </x:c>
      <x:c r="T97" s="2" t="str">
        <x:v>Accepted</x:v>
      </x:c>
      <x:c r="U97" s="6" t="str">
        <x:v>NA</x:v>
      </x:c>
    </x:row>
    <x:row r="98" ht="76" customHeight="1">
      <x:c r="A98" s="2" t="str">
        <x:v>S28-COMP-R01</x:v>
      </x:c>
      <x:c r="B98" s="2" t="str">
        <x:v>S28</x:v>
      </x:c>
      <x:c r="C98" s="2" t="str">
        <x:v>merged_1214</x:v>
      </x:c>
      <x:c r="D98" s="2" t="str">
        <x:v>Reviewer_A</x:v>
      </x:c>
      <x:c r="E98" s="2" t="str">
        <x:v>Reviewer_A</x:v>
      </x:c>
      <x:c r="F98" s="2" t="str">
        <x:v>S28-CMP01</x:v>
      </x:c>
      <x:c r="G98" s="2" t="str">
        <x:v>S28-T01</x:v>
      </x:c>
      <x:c r="H98" s="2" t="str">
        <x:v>S28-O03</x:v>
      </x:c>
      <x:c r="I98" s="2" t="str">
        <x:v>M3-Embedding</x:v>
      </x:c>
      <x:c r="J98" s="6" t="str">
        <x:v>Embedding model</x:v>
      </x:c>
      <x:c r="K98" s="6" t="str">
        <x:v>Candidate retrieval</x:v>
      </x:c>
      <x:c r="L98" s="6" t="str">
        <x:v>生成代码文档和查询的多语言文本嵌入向量，用于向量索引的相似性检索。</x:v>
      </x:c>
      <x:c r="M98" s="2" t="str">
        <x:v>嵌入模型独立生成代码文档和查询的向量表示，用于检索相似文档；检索结果作为上下文传递给LLM。</x:v>
      </x:c>
      <x:c r="N98" s="2" t="str">
        <x:v>Yes</x:v>
      </x:c>
      <x:c r="O98" s="2" t="str">
        <x:v>No</x:v>
      </x:c>
      <x:c r="P98" s="2" t="str">
        <x:v>NR</x:v>
      </x:c>
      <x:c r="Q98" s="6" t="str">
        <x:v>p. 9; Section 4.1 Vector Index</x:v>
      </x:c>
      <x:c r="R98" s="6" t="str">
        <x:v>we use a multi-lingual embedding model [4]which is well suited for its versatility in Multi-Linguality to generate the text embeddings of the code documents and subsequently construct a vector index (VI).</x:v>
      </x:c>
      <x:c r="S98" s="6" t="str">
        <x:v>多语言嵌入模型用于生成向量索引，支持跨语言相似性检索。</x:v>
      </x:c>
      <x:c r="T98" s="2" t="str">
        <x:v>Accepted</x:v>
      </x:c>
      <x:c r="U98" s="6" t="str">
        <x:v>NR</x:v>
      </x:c>
    </x:row>
    <x:row r="99" ht="76" customHeight="1">
      <x:c r="A99" s="2" t="str">
        <x:v>S28-COMP-R02</x:v>
      </x:c>
      <x:c r="B99" s="2" t="str">
        <x:v>S28</x:v>
      </x:c>
      <x:c r="C99" s="2" t="str">
        <x:v>merged_1214</x:v>
      </x:c>
      <x:c r="D99" s="2" t="str">
        <x:v>Reviewer_A</x:v>
      </x:c>
      <x:c r="E99" s="2" t="str">
        <x:v>Reviewer_A</x:v>
      </x:c>
      <x:c r="F99" s="2" t="str">
        <x:v>S28-CMP02</x:v>
      </x:c>
      <x:c r="G99" s="2" t="str">
        <x:v>S28-T01</x:v>
      </x:c>
      <x:c r="H99" s="2" t="str">
        <x:v>S28-O03</x:v>
      </x:c>
      <x:c r="I99" s="2" t="str">
        <x:v>Keyword Index (KI)</x:v>
      </x:c>
      <x:c r="J99" s="6" t="str">
        <x:v>Traditional IR</x:v>
      </x:c>
      <x:c r="K99" s="6" t="str">
        <x:v>Candidate retrieval</x:v>
      </x:c>
      <x:c r="L99" s="6" t="str">
        <x:v>使用词干提取和停用词去除建立关键词索引，用于词汇级文档检索。</x:v>
      </x:c>
      <x:c r="M99" s="2" t="str">
        <x:v>关键词索引独立运行，在检索阶段提供基于词汇匹配的候选文档，作为LLM上下文的一部分。</x:v>
      </x:c>
      <x:c r="N99" s="2" t="str">
        <x:v>Yes</x:v>
      </x:c>
      <x:c r="O99" s="2" t="str">
        <x:v>Yes</x:v>
      </x:c>
      <x:c r="P99" s="2" t="str">
        <x:v>当与其他索引结合时提升F1分数（见表3）。</x:v>
      </x:c>
      <x:c r="Q99" s="6" t="str">
        <x:v>p. 8; Section 4.1 Code Documents Keyword Index</x:v>
      </x:c>
      <x:c r="R99" s="6" t="str">
        <x:v>We create a keyword-based index (KI) that treats the code documents as natural language documents and applies standard text preprocessing steps of stemming and stopwords</x:v>
      </x:c>
      <x:c r="S99" s="6" t="str">
        <x:v>传统信息检索关键词索引，基于PorterStemmer词干提取。</x:v>
      </x:c>
      <x:c r="T99" s="2" t="str">
        <x:v>Accepted</x:v>
      </x:c>
      <x:c r="U99" s="6" t="str">
        <x:v>NR</x:v>
      </x:c>
    </x:row>
    <x:row r="100" ht="76" customHeight="1">
      <x:c r="A100" s="2" t="str">
        <x:v>S28-COMP-R03</x:v>
      </x:c>
      <x:c r="B100" s="2" t="str">
        <x:v>S28</x:v>
      </x:c>
      <x:c r="C100" s="2" t="str">
        <x:v>merged_1214</x:v>
      </x:c>
      <x:c r="D100" s="2" t="str">
        <x:v>Reviewer_A</x:v>
      </x:c>
      <x:c r="E100" s="2" t="str">
        <x:v>Reviewer_A</x:v>
      </x:c>
      <x:c r="F100" s="2" t="str">
        <x:v>S28-CMP03</x:v>
      </x:c>
      <x:c r="G100" s="2" t="str">
        <x:v>S28-T01</x:v>
      </x:c>
      <x:c r="H100" s="2" t="str">
        <x:v>S28-O03</x:v>
      </x:c>
      <x:c r="I100" s="2" t="str">
        <x:v>Knowledge Graph Index (KGI)</x:v>
      </x:c>
      <x:c r="J100" s="6" t="str">
        <x:v>Knowledge graph</x:v>
      </x:c>
      <x:c r="K100" s="6" t="str">
        <x:v>Candidate retrieval</x:v>
      </x:c>
      <x:c r="L100" s="6" t="str">
        <x:v>基于函数调用关系构建知识图谱，存储类节点和调用关系，用于检索结构相关的邻居文档。</x:v>
      </x:c>
      <x:c r="M100" s="2" t="str">
        <x:v>知识图谱索引独立运行，在检索阶段根据图结构扩展候选文档集；检索结果作为LLM上下文。</x:v>
      </x:c>
      <x:c r="N100" s="2" t="str">
        <x:v>Yes</x:v>
      </x:c>
      <x:c r="O100" s="2" t="str">
        <x:v>Yes</x:v>
      </x:c>
      <x:c r="P100" s="2" t="str">
        <x:v>在多个数据集上结合VI或KI有显著正面影响（见表3）。</x:v>
      </x:c>
      <x:c r="Q100" s="6" t="str">
        <x:v>p. 9; Section 4.1 Knowledge Graph Index</x:v>
      </x:c>
      <x:c r="R100" s="6" t="str">
        <x:v>A knowledge graph index (KGI) is constructed from the dependency graph of the modules in the codebase. We refer to this knowledge graph as Function Dependency Graph (FDG).</x:v>
      </x:c>
      <x:c r="S100" s="6" t="str">
        <x:v>知识图谱索引利用代码依赖图，进行结构检索以补充语义检索。</x:v>
      </x:c>
      <x:c r="T100" s="2" t="str">
        <x:v>Accepted</x:v>
      </x:c>
      <x:c r="U100" s="6" t="str">
        <x:v>NR</x:v>
      </x:c>
    </x:row>
    <x:row r="101" ht="76" customHeight="1">
      <x:c r="A101" s="2" t="str">
        <x:v>S29-COMP-R01</x:v>
      </x:c>
      <x:c r="B101" s="2" t="str">
        <x:v>S29</x:v>
      </x:c>
      <x:c r="C101" s="2" t="str">
        <x:v>merged_1215-v4</x:v>
      </x:c>
      <x:c r="D101" s="2" t="str">
        <x:v>Reviewer_A</x:v>
      </x:c>
      <x:c r="E101" s="2" t="str">
        <x:v>Reviewer_A</x:v>
      </x:c>
      <x:c r="F101" s="2" t="str">
        <x:v>S29-CMP01</x:v>
      </x:c>
      <x:c r="G101" s="2" t="str">
        <x:v>S29-T01</x:v>
      </x:c>
      <x:c r="H101" s="2" t="str">
        <x:v>S29-O01</x:v>
      </x:c>
      <x:c r="I101" s="2" t="str">
        <x:v>Amazon Titan Embeddings</x:v>
      </x:c>
      <x:c r="J101" s="6" t="str">
        <x:v>Embedding model</x:v>
      </x:c>
      <x:c r="K101" s="6" t="str">
        <x:v>Candidate retrieval</x:v>
      </x:c>
      <x:c r="L101" s="6" t="str">
        <x:v>为需求对生成嵌入向量，用于后续相似度计算和检索。</x:v>
      </x:c>
      <x:c r="M101" s="2" t="str">
        <x:v>为LLM提供上下文示例：嵌入向量用于检索相似的需求对，这些对作为提示中的示例提供给LLM。</x:v>
      </x:c>
      <x:c r="N101" s="2" t="str">
        <x:v>Yes</x:v>
      </x:c>
      <x:c r="O101" s="2" t="str">
        <x:v>No</x:v>
      </x:c>
      <x:c r="P101" s="2" t="str">
        <x:v>NR</x:v>
      </x:c>
      <x:c r="Q101" s="6" t="str">
        <x:v>p. 9; Section 3.1</x:v>
      </x:c>
      <x:c r="R101" s="6" t="str">
        <x:v>we utilize Amazon Titan [37], the only model provided by our industry partner, to obtain embeddings</x:v>
      </x:c>
      <x:c r="S101" s="6" t="str">
        <x:v>Amazon Titan作为嵌入模型，是将需求文本转换为向量以进行相似度检索的关键组件。</x:v>
      </x:c>
      <x:c r="T101" s="2" t="str">
        <x:v>Accepted</x:v>
      </x:c>
      <x:c r="U101" s="6" t="str">
        <x:v>因数据隐私限制，仅能使用此模型。</x:v>
      </x:c>
    </x:row>
    <x:row r="102" ht="76" customHeight="1">
      <x:c r="A102" s="2" t="str">
        <x:v>S29-COMP-R02</x:v>
      </x:c>
      <x:c r="B102" s="2" t="str">
        <x:v>S29</x:v>
      </x:c>
      <x:c r="C102" s="2" t="str">
        <x:v>merged_1215-v4</x:v>
      </x:c>
      <x:c r="D102" s="2" t="str">
        <x:v>Reviewer_A</x:v>
      </x:c>
      <x:c r="E102" s="2" t="str">
        <x:v>Reviewer_A</x:v>
      </x:c>
      <x:c r="F102" s="2" t="str">
        <x:v>S29-CMP02</x:v>
      </x:c>
      <x:c r="G102" s="2" t="str">
        <x:v>S29-T01</x:v>
      </x:c>
      <x:c r="H102" s="2" t="str">
        <x:v>S29-O01</x:v>
      </x:c>
      <x:c r="I102" s="2" t="str">
        <x:v>FAISS</x:v>
      </x:c>
      <x:c r="J102" s="6" t="str">
        <x:v>Search engine</x:v>
      </x:c>
      <x:c r="K102" s="6" t="str">
        <x:v>Candidate retrieval</x:v>
      </x:c>
      <x:c r="L102" s="6" t="str">
        <x:v>使用余弦相似度在嵌入向量上执行高效的Top-k检索，获取最相似的正例和负例需求对。</x:v>
      </x:c>
      <x:c r="M102" s="2" t="str">
        <x:v>将检索到的k个正例和k个负例作为上下文示例传递给LLM。</x:v>
      </x:c>
      <x:c r="N102" s="2" t="str">
        <x:v>Yes</x:v>
      </x:c>
      <x:c r="O102" s="2" t="str">
        <x:v>No</x:v>
      </x:c>
      <x:c r="P102" s="2" t="str">
        <x:v>NR</x:v>
      </x:c>
      <x:c r="Q102" s="6" t="str">
        <x:v>p. 9; Section 3.1</x:v>
      </x:c>
      <x:c r="R102" s="6" t="str">
        <x:v>we then leverage the FAISS library [38] to compute cosine similarity and eﬀiciently retrieve the Top-k most similar data points</x:v>
      </x:c>
      <x:c r="S102" s="6" t="str">
        <x:v>FAISS负责高效的相似度搜索，是实现RAG的关键组件。</x:v>
      </x:c>
      <x:c r="T102" s="2" t="str">
        <x:v>Accepted</x:v>
      </x:c>
      <x:c r="U102" s="6" t="str">
        <x:v>NA</x:v>
      </x:c>
    </x:row>
    <x:row r="103" ht="76" customHeight="1">
      <x:c r="A103" s="2" t="str">
        <x:v>S29-COMP-R03</x:v>
      </x:c>
      <x:c r="B103" s="2" t="str">
        <x:v>S29</x:v>
      </x:c>
      <x:c r="C103" s="2" t="str">
        <x:v>merged_1215-v4</x:v>
      </x:c>
      <x:c r="D103" s="2" t="str">
        <x:v>Reviewer_A</x:v>
      </x:c>
      <x:c r="E103" s="2" t="str">
        <x:v>Reviewer_A</x:v>
      </x:c>
      <x:c r="F103" s="2" t="str">
        <x:v>S29-CMP03</x:v>
      </x:c>
      <x:c r="G103" s="2" t="str">
        <x:v>S29-T02</x:v>
      </x:c>
      <x:c r="H103" s="2" t="str">
        <x:v>S29-O02</x:v>
      </x:c>
      <x:c r="I103" s="2" t="str">
        <x:v>Amazon Titan Embeddings</x:v>
      </x:c>
      <x:c r="J103" s="6" t="str">
        <x:v>Embedding model</x:v>
      </x:c>
      <x:c r="K103" s="6" t="str">
        <x:v>Candidate retrieval</x:v>
      </x:c>
      <x:c r="L103" s="6" t="str">
        <x:v>与C1相同：为需求对生成嵌入向量。</x:v>
      </x:c>
      <x:c r="M103" s="2" t="str">
        <x:v>与C1相同。</x:v>
      </x:c>
      <x:c r="N103" s="2" t="str">
        <x:v>Yes</x:v>
      </x:c>
      <x:c r="O103" s="2" t="str">
        <x:v>No</x:v>
      </x:c>
      <x:c r="P103" s="2" t="str">
        <x:v>NR</x:v>
      </x:c>
      <x:c r="Q103" s="6" t="str">
        <x:v>p. 9; Section 3.1</x:v>
      </x:c>
      <x:c r="R103" s="6" t="str">
        <x:v>Due to data privacy constraints, we utilize Amazon Titan [37], the only model provided by our industry partner, to obtain embeddings for the concatenated require-</x:v>
      </x:c>
      <x:c r="S103" s="6" t="str">
        <x:v>恢复任务中同样使用Amazon Titan嵌入模型。</x:v>
      </x:c>
      <x:c r="T103" s="2" t="str">
        <x:v>Accepted</x:v>
      </x:c>
      <x:c r="U103" s="6" t="str">
        <x:v>同C1。</x:v>
      </x:c>
    </x:row>
    <x:row r="104" ht="76" customHeight="1">
      <x:c r="A104" s="2" t="str">
        <x:v>S29-COMP-R04</x:v>
      </x:c>
      <x:c r="B104" s="2" t="str">
        <x:v>S29</x:v>
      </x:c>
      <x:c r="C104" s="2" t="str">
        <x:v>merged_1215-v4</x:v>
      </x:c>
      <x:c r="D104" s="2" t="str">
        <x:v>Reviewer_A</x:v>
      </x:c>
      <x:c r="E104" s="2" t="str">
        <x:v>Reviewer_A</x:v>
      </x:c>
      <x:c r="F104" s="2" t="str">
        <x:v>S29-CMP04</x:v>
      </x:c>
      <x:c r="G104" s="2" t="str">
        <x:v>S29-T02</x:v>
      </x:c>
      <x:c r="H104" s="2" t="str">
        <x:v>S29-O02</x:v>
      </x:c>
      <x:c r="I104" s="2" t="str">
        <x:v>FAISS</x:v>
      </x:c>
      <x:c r="J104" s="6" t="str">
        <x:v>Search engine</x:v>
      </x:c>
      <x:c r="K104" s="6" t="str">
        <x:v>Candidate retrieval</x:v>
      </x:c>
      <x:c r="L104" s="6" t="str">
        <x:v>与C2相同：执行相似度检索。</x:v>
      </x:c>
      <x:c r="M104" s="2" t="str">
        <x:v>与C2相同。</x:v>
      </x:c>
      <x:c r="N104" s="2" t="str">
        <x:v>Yes</x:v>
      </x:c>
      <x:c r="O104" s="2" t="str">
        <x:v>No</x:v>
      </x:c>
      <x:c r="P104" s="2" t="str">
        <x:v>NR</x:v>
      </x:c>
      <x:c r="Q104" s="6" t="str">
        <x:v>p. 9; Section 3.1</x:v>
      </x:c>
      <x:c r="R104" s="6" t="str">
        <x:v>ment pairs ⟨stakeReq,sysReq⟩. We then leverage the FAISS library [38] to compute cosine similarity and eﬀiciently retrieve the Top-k most similar data points from both</x:v>
      </x:c>
      <x:c r="S104" s="6" t="str">
        <x:v>恢复任务中同样使用FAISS进行检索。</x:v>
      </x:c>
      <x:c r="T104" s="2" t="str">
        <x:v>Accepted</x:v>
      </x:c>
      <x:c r="U104" s="6" t="str">
        <x:v>同C2。</x:v>
      </x:c>
    </x:row>
    <x:row r="105" ht="76" customHeight="1">
      <x:c r="A105" s="2" t="str">
        <x:v>S29-COMP-R05</x:v>
      </x:c>
      <x:c r="B105" s="2" t="str">
        <x:v>S29</x:v>
      </x:c>
      <x:c r="C105" s="2" t="str">
        <x:v>merged_1215-v4</x:v>
      </x:c>
      <x:c r="D105" s="2" t="str">
        <x:v>Reviewer_A</x:v>
      </x:c>
      <x:c r="E105" s="2" t="str">
        <x:v>Reviewer_A</x:v>
      </x:c>
      <x:c r="F105" s="2" t="str">
        <x:v>S29-CMP05</x:v>
      </x:c>
      <x:c r="G105" s="2" t="str">
        <x:v>S29-T02</x:v>
      </x:c>
      <x:c r="H105" s="2" t="str">
        <x:v>S29-O02</x:v>
      </x:c>
      <x:c r="I105" s="2" t="str">
        <x:v>Variation Matching</x:v>
      </x:c>
      <x:c r="J105" s="6" t="str">
        <x:v>Rule or heuristic</x:v>
      </x:c>
      <x:c r="K105" s="6" t="str">
        <x:v>Pre-filtering</x:v>
      </x:c>
      <x:c r="L105" s="6" t="str">
        <x:v>根据DTC类型和需求变体模板筛选候选对，排除跨类别不匹配。</x:v>
      </x:c>
      <x:c r="M105" s="2" t="str">
        <x:v>减少需要LLM验证的候选对数量，提高效率。</x:v>
      </x:c>
      <x:c r="N105" s="2" t="str">
        <x:v>Yes</x:v>
      </x:c>
      <x:c r="O105" s="2" t="str">
        <x:v>No</x:v>
      </x:c>
      <x:c r="P105" s="2" t="str">
        <x:v>NR</x:v>
      </x:c>
      <x:c r="Q105" s="6" t="str">
        <x:v>p. 11; Section 3.3, Step 1</x:v>
      </x:c>
      <x:c r="R105" s="6" t="str">
        <x:v>A traceability link can only exist between requirements that belong to the same DTC type.</x:v>
      </x:c>
      <x:c r="S105" s="6" t="str">
        <x:v>基于领域知识的规则式预过滤，显著降低了候选对数量。</x:v>
      </x:c>
      <x:c r="T105" s="2" t="str">
        <x:v>Accepted</x:v>
      </x:c>
      <x:c r="U105" s="6" t="str">
        <x:v>NR</x:v>
      </x:c>
    </x:row>
    <x:row r="106" ht="76" customHeight="1">
      <x:c r="A106" s="2" t="str">
        <x:v>S29-COMP-R06</x:v>
      </x:c>
      <x:c r="B106" s="2" t="str">
        <x:v>S29</x:v>
      </x:c>
      <x:c r="C106" s="2" t="str">
        <x:v>merged_1215-v4</x:v>
      </x:c>
      <x:c r="D106" s="2" t="str">
        <x:v>Reviewer_A</x:v>
      </x:c>
      <x:c r="E106" s="2" t="str">
        <x:v>Reviewer_A</x:v>
      </x:c>
      <x:c r="F106" s="2" t="str">
        <x:v>S29-CMP06</x:v>
      </x:c>
      <x:c r="G106" s="2" t="str">
        <x:v>S29-T02</x:v>
      </x:c>
      <x:c r="H106" s="2" t="str">
        <x:v>S29-O02</x:v>
      </x:c>
      <x:c r="I106" s="2" t="str">
        <x:v>Condition Matching</x:v>
      </x:c>
      <x:c r="J106" s="6" t="str">
        <x:v>Rule or heuristic</x:v>
      </x:c>
      <x:c r="K106" s="6" t="str">
        <x:v>Pre-filtering</x:v>
      </x:c>
      <x:c r="L106" s="6" t="str">
        <x:v>根据成熟/降级条件类型匹配利益相关者需求和系统需求。</x:v>
      </x:c>
      <x:c r="M106" s="2" t="str">
        <x:v>进一步减少候选对。</x:v>
      </x:c>
      <x:c r="N106" s="2" t="str">
        <x:v>Yes</x:v>
      </x:c>
      <x:c r="O106" s="2" t="str">
        <x:v>No</x:v>
      </x:c>
      <x:c r="P106" s="2" t="str">
        <x:v>NR</x:v>
      </x:c>
      <x:c r="Q106" s="6" t="str">
        <x:v>p. 11; Section 3.3, Step 2</x:v>
      </x:c>
      <x:c r="R106" s="6" t="str">
        <x:v>Condition Matching: Each atomic stakeholder requirement corresponds exclusively to either a mature condition or a demature condition in the system requirement.</x:v>
      </x:c>
      <x:c r="S106" s="6" t="str">
        <x:v>基于条件匹配的规则进一步过滤。</x:v>
      </x:c>
      <x:c r="T106" s="2" t="str">
        <x:v>Accepted</x:v>
      </x:c>
      <x:c r="U106" s="6" t="str">
        <x:v>NR</x:v>
      </x:c>
    </x:row>
    <x:row r="107" ht="76" customHeight="1">
      <x:c r="A107" s="2" t="str">
        <x:v>S29-COMP-R07</x:v>
      </x:c>
      <x:c r="B107" s="2" t="str">
        <x:v>S29</x:v>
      </x:c>
      <x:c r="C107" s="2" t="str">
        <x:v>merged_1215-v4</x:v>
      </x:c>
      <x:c r="D107" s="2" t="str">
        <x:v>Reviewer_A</x:v>
      </x:c>
      <x:c r="E107" s="2" t="str">
        <x:v>Reviewer_A</x:v>
      </x:c>
      <x:c r="F107" s="2" t="str">
        <x:v>S29-CMP07</x:v>
      </x:c>
      <x:c r="G107" s="2" t="str">
        <x:v>S29-T02</x:v>
      </x:c>
      <x:c r="H107" s="2" t="str">
        <x:v>S29-O02</x:v>
      </x:c>
      <x:c r="I107" s="2" t="str">
        <x:v>Message Overlap Matching</x:v>
      </x:c>
      <x:c r="J107" s="6" t="str">
        <x:v>Rule or heuristic</x:v>
      </x:c>
      <x:c r="K107" s="6" t="str">
        <x:v>Pre-filtering</x:v>
      </x:c>
      <x:c r="L107" s="6" t="str">
        <x:v>仅保留共享至少一个消息的需求对。</x:v>
      </x:c>
      <x:c r="M107" s="2" t="str">
        <x:v>最终过滤步骤，确保只有可能相关的对才进入LLM验证。</x:v>
      </x:c>
      <x:c r="N107" s="2" t="str">
        <x:v>Yes</x:v>
      </x:c>
      <x:c r="O107" s="2" t="str">
        <x:v>No</x:v>
      </x:c>
      <x:c r="P107" s="2" t="str">
        <x:v>NR</x:v>
      </x:c>
      <x:c r="Q107" s="6" t="str">
        <x:v>p. 11; Section 3.3, Step 3</x:v>
      </x:c>
      <x:c r="R107" s="6" t="str">
        <x:v>and extract the messages. We then compare these messages and retain only the pairs that share at least one common message.</x:v>
      </x:c>
      <x:c r="S107" s="6" t="str">
        <x:v>基于消息重叠的规则过滤，利用领域知识（消息标识符）减少候选集。</x:v>
      </x:c>
      <x:c r="T107" s="2" t="str">
        <x:v>Accepted</x:v>
      </x:c>
      <x:c r="U107" s="6" t="str">
        <x:v>NR</x:v>
      </x:c>
    </x:row>
    <x:row r="108" ht="76" customHeight="1">
      <x:c r="A108" s="2" t="str">
        <x:v>S29-COMP-R08</x:v>
      </x:c>
      <x:c r="B108" s="2" t="str">
        <x:v>S29</x:v>
      </x:c>
      <x:c r="C108" s="2" t="str">
        <x:v>merged_1215-v4</x:v>
      </x:c>
      <x:c r="D108" s="2" t="str">
        <x:v>Reviewer_A</x:v>
      </x:c>
      <x:c r="E108" s="2" t="str">
        <x:v>Reviewer_A</x:v>
      </x:c>
      <x:c r="F108" s="2" t="str">
        <x:v>S29-CMP08</x:v>
      </x:c>
      <x:c r="G108" s="2" t="str">
        <x:v>S29-T01</x:v>
      </x:c>
      <x:c r="H108" s="2" t="str">
        <x:v>NA</x:v>
      </x:c>
      <x:c r="I108" s="2" t="str">
        <x:v>TF-IDF</x:v>
      </x:c>
      <x:c r="J108" s="6" t="str">
        <x:v>Traditional IR</x:v>
      </x:c>
      <x:c r="K108" s="6" t="str">
        <x:v>Evaluation only</x:v>
      </x:c>
      <x:c r="L108" s="6" t="str">
        <x:v>作为基线检索方法：使用TF-IDF向量和余弦相似度，根据阈值识别追溯链接。</x:v>
      </x:c>
      <x:c r="M108" s="2" t="str">
        <x:v>无交互，仅用于比较。</x:v>
      </x:c>
      <x:c r="N108" s="2" t="str">
        <x:v>No</x:v>
      </x:c>
      <x:c r="O108" s="2" t="str">
        <x:v>No</x:v>
      </x:c>
      <x:c r="P108" s="2" t="str">
        <x:v>NR</x:v>
      </x:c>
      <x:c r="Q108" s="6" t="str">
        <x:v>p. 15; pp.14-15, Section 4.6</x:v>
      </x:c>
      <x:c r="R108" s="6" t="str">
        <x:v>Cosine similarity is computed between stakeholder and system requirements, and a traceability link is identified if the similarity score exceeds the threshold.</x:v>
      </x:c>
      <x:c r="S108" s="6" t="str">
        <x:v>传统IR基线，用于评估TVR的有效性。</x:v>
      </x:c>
      <x:c r="T108" s="2" t="str">
        <x:v>Accepted</x:v>
      </x:c>
      <x:c r="U108" s="6" t="str">
        <x:v>最佳阈值0.003，Macro-F1=49.40% (p.17 Table 1)。</x:v>
      </x:c>
    </x:row>
    <x:row r="109" ht="76" customHeight="1">
      <x:c r="A109" s="2" t="str">
        <x:v>S29-COMP-R09</x:v>
      </x:c>
      <x:c r="B109" s="2" t="str">
        <x:v>S29</x:v>
      </x:c>
      <x:c r="C109" s="2" t="str">
        <x:v>merged_1215-v4</x:v>
      </x:c>
      <x:c r="D109" s="2" t="str">
        <x:v>Reviewer_A</x:v>
      </x:c>
      <x:c r="E109" s="2" t="str">
        <x:v>Reviewer_A</x:v>
      </x:c>
      <x:c r="F109" s="2" t="str">
        <x:v>S29-CMP09</x:v>
      </x:c>
      <x:c r="G109" s="2" t="str">
        <x:v>S29-T01</x:v>
      </x:c>
      <x:c r="H109" s="2" t="str">
        <x:v>NA</x:v>
      </x:c>
      <x:c r="I109" s="2" t="str">
        <x:v>SentenceBERT</x:v>
      </x:c>
      <x:c r="J109" s="6" t="str">
        <x:v>Dense retrieval</x:v>
      </x:c>
      <x:c r="K109" s="6" t="str">
        <x:v>Evaluation only</x:v>
      </x:c>
      <x:c r="L109" s="6" t="str">
        <x:v>作为基线检索方法：使用SentenceBERT嵌入和余弦相似度，根据阈值识别追溯链接。</x:v>
      </x:c>
      <x:c r="M109" s="2" t="str">
        <x:v>无交互，仅用于比较。</x:v>
      </x:c>
      <x:c r="N109" s="2" t="str">
        <x:v>No</x:v>
      </x:c>
      <x:c r="O109" s="2" t="str">
        <x:v>No</x:v>
      </x:c>
      <x:c r="P109" s="2" t="str">
        <x:v>NR</x:v>
      </x:c>
      <x:c r="Q109" s="6" t="str">
        <x:v>p. 15; Section 4.6</x:v>
      </x:c>
      <x:c r="R109" s="6" t="str">
        <x:v>SentenceBERT embeddings [43], a widely used SOTA sentence-level embedding model. Cosine similarity is computed</x:v>
      </x:c>
      <x:c r="S109" s="6" t="str">
        <x:v>基于密集检索的基线，用于评估TVR的优越性。</x:v>
      </x:c>
      <x:c r="T109" s="2" t="str">
        <x:v>Accepted</x:v>
      </x:c>
      <x:c r="U109" s="6" t="str">
        <x:v>最佳阈值0.287，Macro-F1=57.82% (p.17 Table 1)。</x:v>
      </x:c>
    </x:row>
    <x:row r="110" ht="76" customHeight="1">
      <x:c r="A110" s="2" t="str">
        <x:v>S30-COMP-R01</x:v>
      </x:c>
      <x:c r="B110" s="2" t="str">
        <x:v>S30</x:v>
      </x:c>
      <x:c r="C110" s="2" t="str">
        <x:v>merged_1218</x:v>
      </x:c>
      <x:c r="D110" s="2" t="str">
        <x:v>Reviewer_A</x:v>
      </x:c>
      <x:c r="E110" s="2" t="str">
        <x:v>Reviewer_A</x:v>
      </x:c>
      <x:c r="F110" s="2" t="str">
        <x:v>S30-CMP01</x:v>
      </x:c>
      <x:c r="G110" s="2" t="str">
        <x:v>S30-T01</x:v>
      </x:c>
      <x:c r="H110" s="2" t="str">
        <x:v>S30-O03</x:v>
      </x:c>
      <x:c r="I110" s="2" t="str">
        <x:v>open-source Azure DevOps knowledge graph (Neo4j)</x:v>
      </x:c>
      <x:c r="J110" s="6" t="str">
        <x:v>Knowledge graph</x:v>
      </x:c>
      <x:c r="K110" s="6" t="str">
        <x:v>Context construction</x:v>
      </x:c>
      <x:c r="L110" s="6" t="str">
        <x:v>存储工作项、团队、微服务等实体及其关系，接收Cypher查询并返回结构化上下文数据</x:v>
      </x:c>
      <x:c r="M110" s="2" t="str">
        <x:v>LLM生成Cypher查询后，GDI Core使用该查询访问知识图谱获取上下文，上下文随后被嵌入NL响应提示中</x:v>
      </x:c>
      <x:c r="N110" s="2" t="str">
        <x:v>Yes</x:v>
      </x:c>
      <x:c r="O110" s="2" t="str">
        <x:v>No</x:v>
      </x:c>
      <x:c r="P110" s="2" t="str">
        <x:v>NR</x:v>
      </x:c>
      <x:c r="Q110" s="6" t="str">
        <x:v>p. 4; Section IV</x:v>
      </x:c>
      <x:c r="R110" s="6" t="str">
        <x:v>not already be familiar with. As such, we selected an opensource synthesized Azure DevOps dataset provided by Neo4j</x:v>
      </x:c>
      <x:c r="S110" s="6" t="str">
        <x:v>入职用例的基础数据源，支撑整个问答流程</x:v>
      </x:c>
      <x:c r="T110" s="2" t="str">
        <x:v>Accepted</x:v>
      </x:c>
      <x:c r="U110" s="6" t="str">
        <x:v>NA</x:v>
      </x:c>
    </x:row>
    <x:row r="111" ht="76" customHeight="1">
      <x:c r="A111" s="2" t="str">
        <x:v>S30-COMP-R02</x:v>
      </x:c>
      <x:c r="B111" s="2" t="str">
        <x:v>S30</x:v>
      </x:c>
      <x:c r="C111" s="2" t="str">
        <x:v>merged_1218</x:v>
      </x:c>
      <x:c r="D111" s="2" t="str">
        <x:v>Reviewer_A</x:v>
      </x:c>
      <x:c r="E111" s="2" t="str">
        <x:v>Reviewer_A</x:v>
      </x:c>
      <x:c r="F111" s="2" t="str">
        <x:v>S30-CMP02</x:v>
      </x:c>
      <x:c r="G111" s="2" t="str">
        <x:v>S30-T02</x:v>
      </x:c>
      <x:c r="H111" s="2" t="str">
        <x:v>S30-O03</x:v>
      </x:c>
      <x:c r="I111" s="2" t="str">
        <x:v>proprietary NPO knowledge graph (Neo4j)</x:v>
      </x:c>
      <x:c r="J111" s="6" t="str">
        <x:v>Knowledge graph</x:v>
      </x:c>
      <x:c r="K111" s="6" t="str">
        <x:v>Context construction</x:v>
      </x:c>
      <x:c r="L111" s="6" t="str">
        <x:v>存储来自VX Company NPO项目的Azure DevOps工作项及其关系，提供Cypher查询接口</x:v>
      </x:c>
      <x:c r="M111" s="2" t="str">
        <x:v>同C1，LLM生成查询后，GDI Core通过该图检索追踪链接相关的上下文</x:v>
      </x:c>
      <x:c r="N111" s="2" t="str">
        <x:v>Yes</x:v>
      </x:c>
      <x:c r="O111" s="2" t="str">
        <x:v>No</x:v>
      </x:c>
      <x:c r="P111" s="2" t="str">
        <x:v>NR</x:v>
      </x:c>
      <x:c r="Q111" s="6" t="str">
        <x:v>p. 7; Section V</x:v>
      </x:c>
      <x:c r="R111" s="6" t="str">
        <x:v>We built a dataset for the TLR study using the work items of VX Company</x:v>
      </x:c>
      <x:c r="S111" s="6" t="str">
        <x:v>TLR用例的专有数据源，包含Bug、User Story等实际追踪关系</x:v>
      </x:c>
      <x:c r="T111" s="2" t="str">
        <x:v>Accepted</x:v>
      </x:c>
      <x:c r="U111" s="6" t="str">
        <x:v>NPO包含830个节点和387条边</x:v>
      </x:c>
    </x:row>
    <x:row r="112" ht="76" customHeight="1">
      <x:c r="A112" s="2" t="str">
        <x:v>S31-COMP-R01</x:v>
      </x:c>
      <x:c r="B112" s="2" t="str">
        <x:v>S31</x:v>
      </x:c>
      <x:c r="C112" s="2" t="str">
        <x:v>merged_1219</x:v>
      </x:c>
      <x:c r="D112" s="2" t="str">
        <x:v>Reviewer_A</x:v>
      </x:c>
      <x:c r="E112" s="2" t="str">
        <x:v>Reviewer_A</x:v>
      </x:c>
      <x:c r="F112" s="2" t="str">
        <x:v>S31-CMP01</x:v>
      </x:c>
      <x:c r="G112" s="2" t="str">
        <x:v>S31-T01</x:v>
      </x:c>
      <x:c r="H112" s="2" t="str">
        <x:v>NA</x:v>
      </x:c>
      <x:c r="I112" s="2" t="str">
        <x:v>CrewAI</x:v>
      </x:c>
      <x:c r="J112" s="6" t="str">
        <x:v>Tool framework</x:v>
      </x:c>
      <x:c r="K112" s="6" t="str">
        <x:v>Tool orchestration</x:v>
      </x:c>
      <x:c r="L112" s="6" t="str">
        <x:v>编排和协调多LLM代理的调用顺序与消息传递</x:v>
      </x:c>
      <x:c r="M112" s="2" t="str">
        <x:v>作为更高级别的编排器，调度不同的LLM代理实例并管理共享内存</x:v>
      </x:c>
      <x:c r="N112" s="2" t="str">
        <x:v>Yes</x:v>
      </x:c>
      <x:c r="O112" s="2" t="str">
        <x:v>No</x:v>
      </x:c>
      <x:c r="P112" s="2" t="str">
        <x:v>NR</x:v>
      </x:c>
      <x:c r="Q112" s="6" t="str">
        <x:v>p. 3; Section III-B</x:v>
      </x:c>
      <x:c r="R112" s="6" t="str">
        <x:v>orchestrated with CrewAI</x:v>
      </x:c>
      <x:c r="S112" s="6" t="str">
        <x:v>CrewAI作为一个工具框架，是原型多代理架构的底座，负责代理的生命周期和交互</x:v>
      </x:c>
      <x:c r="T112" s="2" t="str">
        <x:v>Accepted</x:v>
      </x:c>
      <x:c r="U112" s="6" t="str">
        <x:v>NA</x:v>
      </x:c>
    </x:row>
    <x:row r="113" ht="76" customHeight="1">
      <x:c r="A113" s="2" t="str">
        <x:v>S31-COMP-R02</x:v>
      </x:c>
      <x:c r="B113" s="2" t="str">
        <x:v>S31</x:v>
      </x:c>
      <x:c r="C113" s="2" t="str">
        <x:v>merged_1219</x:v>
      </x:c>
      <x:c r="D113" s="2" t="str">
        <x:v>Reviewer_A</x:v>
      </x:c>
      <x:c r="E113" s="2" t="str">
        <x:v>Reviewer_A</x:v>
      </x:c>
      <x:c r="F113" s="2" t="str">
        <x:v>S31-CMP02</x:v>
      </x:c>
      <x:c r="G113" s="2" t="str">
        <x:v>S31-T01</x:v>
      </x:c>
      <x:c r="H113" s="2" t="str">
        <x:v>NA</x:v>
      </x:c>
      <x:c r="I113" s="2" t="str">
        <x:v>Streamlit</x:v>
      </x:c>
      <x:c r="J113" s="6" t="str">
        <x:v>Other</x:v>
      </x:c>
      <x:c r="K113" s="6" t="str">
        <x:v>Other</x:v>
      </x:c>
      <x:c r="L113" s="6" t="str">
        <x:v>提供用户输入界面和前端展示</x:v>
      </x:c>
      <x:c r="M113" s="2" t="str">
        <x:v>接受用户输入的trace link、描述和编程语言，转发给后台的多代理LLM系统，并显示最终报告</x:v>
      </x:c>
      <x:c r="N113" s="2" t="str">
        <x:v>Yes</x:v>
      </x:c>
      <x:c r="O113" s="2" t="str">
        <x:v>No</x:v>
      </x:c>
      <x:c r="P113" s="2" t="str">
        <x:v>NR</x:v>
      </x:c>
      <x:c r="Q113" s="6" t="str">
        <x:v>p. 3; Section III-B</x:v>
      </x:c>
      <x:c r="R113" s="6" t="str">
        <x:v>prototype is depicted in Figure 1. A thin Streamlit4 front-end accepts three user inputs: (i) a trace link, (ii) a short natural</x:v>
      </x:c>
      <x:c r="S113" s="6" t="str">
        <x:v>Streamlit作为轻量级前端，是用户与LLM管道交互的入口，属于原型中不可或缺的UI组件</x:v>
      </x:c>
      <x:c r="T113" s="2" t="str">
        <x:v>Accepted</x:v>
      </x:c>
      <x:c r="U113" s="6" t="str">
        <x:v>前端框架，不影响LLM处理逻辑</x:v>
      </x:c>
    </x:row>
    <x:row r="114" ht="76" customHeight="1">
      <x:c r="A114" s="2" t="str">
        <x:v>S32-COMP-R01</x:v>
      </x:c>
      <x:c r="B114" s="2" t="str">
        <x:v>S32</x:v>
      </x:c>
      <x:c r="C114" s="2" t="str">
        <x:v>merged_1220</x:v>
      </x:c>
      <x:c r="D114" s="2" t="str">
        <x:v>Reviewer_A</x:v>
      </x:c>
      <x:c r="E114" s="2" t="str">
        <x:v>Reviewer_A</x:v>
      </x:c>
      <x:c r="F114" s="2" t="str">
        <x:v>S32-CMP01</x:v>
      </x:c>
      <x:c r="G114" s="2" t="str">
        <x:v>S32-T01</x:v>
      </x:c>
      <x:c r="H114" s="2" t="str">
        <x:v>S32-O01</x:v>
      </x:c>
      <x:c r="I114" s="2" t="str">
        <x:v>Terminology Dictionary</x:v>
      </x:c>
      <x:c r="J114" s="6" t="str">
        <x:v>Rule or heuristic</x:v>
      </x:c>
      <x:c r="K114" s="6" t="str">
        <x:v>Pre-filtering</x:v>
      </x:c>
      <x:c r="L114" s="6" t="str">
        <x:v>统一并规范化跨层需求中的同义词和术语，解决语言不一致问题。</x:v>
      </x:c>
      <x:c r="M114" s="2" t="str">
        <x:v>在需求文本输入LLM之前应用词典进行术语标准化，提高语义对齐。</x:v>
      </x:c>
      <x:c r="N114" s="2" t="str">
        <x:v>Yes</x:v>
      </x:c>
      <x:c r="O114" s="2" t="str">
        <x:v>No</x:v>
      </x:c>
      <x:c r="P114" s="2" t="str">
        <x:v>NR</x:v>
      </x:c>
      <x:c r="Q114" s="6" t="str">
        <x:v>p. 5; section IV.A</x:v>
      </x:c>
      <x:c r="R114" s="6" t="str">
        <x:v>To resolve linguistic inconsistencies across abstraction levels and improve the accuracy and consistency of traceability link identification, we introduce a terminology dictionary.</x:v>
      </x:c>
      <x:c r="S114" s="6" t="str">
        <x:v>术语词典作为预处理组件，通过标准化术语改善LLM输入质量，是工作流的一部分。</x:v>
      </x:c>
      <x:c r="T114" s="2" t="str">
        <x:v>Accepted</x:v>
      </x:c>
      <x:c r="U114" s="6" t="str">
        <x:v>NA</x:v>
      </x:c>
    </x:row>
    <x:row r="115" ht="76" customHeight="1">
      <x:c r="A115" s="2" t="str">
        <x:v>S32-COMP-R02</x:v>
      </x:c>
      <x:c r="B115" s="2" t="str">
        <x:v>S32</x:v>
      </x:c>
      <x:c r="C115" s="2" t="str">
        <x:v>merged_1220</x:v>
      </x:c>
      <x:c r="D115" s="2" t="str">
        <x:v>Reviewer_A</x:v>
      </x:c>
      <x:c r="E115" s="2" t="str">
        <x:v>Reviewer_A</x:v>
      </x:c>
      <x:c r="F115" s="2" t="str">
        <x:v>S32-CMP02</x:v>
      </x:c>
      <x:c r="G115" s="2" t="str">
        <x:v>S32-T01</x:v>
      </x:c>
      <x:c r="H115" s="2" t="str">
        <x:v>NA</x:v>
      </x:c>
      <x:c r="I115" s="2" t="str">
        <x:v>Signal Dependency Graph</x:v>
      </x:c>
      <x:c r="J115" s="6" t="str">
        <x:v>Rule or heuristic</x:v>
      </x:c>
      <x:c r="K115" s="6" t="str">
        <x:v>Feature augmentation</x:v>
      </x:c>
      <x:c r="L115" s="6" t="str">
        <x:v>通过识别组件级需求之间的输入/输出信号使用关系，构建有向依赖图，用于捕获功能依赖，支持级联可追溯性分析。</x:v>
      </x:c>
      <x:c r="M115" s="2" t="str">
        <x:v>利用LLM输出的结构化数据构建依赖图，并在对齐阶段使用图进行路径追踪。</x:v>
      </x:c>
      <x:c r="N115" s="2" t="str">
        <x:v>Yes</x:v>
      </x:c>
      <x:c r="O115" s="2" t="str">
        <x:v>No</x:v>
      </x:c>
      <x:c r="P115" s="2" t="str">
        <x:v>NR</x:v>
      </x:c>
      <x:c r="Q115" s="6" t="str">
        <x:v>p. 5; section IV.B</x:v>
      </x:c>
      <x:c r="R115" s="6" t="str">
        <x:v>we construct a unified signal dependency graph by identifying input-output signal usages across requirements</x:v>
      </x:c>
      <x:c r="S115" s="6" t="str">
        <x:v>信号依赖图作为下游分析组件，增强了对复杂依赖关系的处理能力，不属于LLM操作。</x:v>
      </x:c>
      <x:c r="T115" s="2" t="str">
        <x:v>Accepted</x:v>
      </x:c>
      <x:c r="U115" s="6" t="str">
        <x:v>NA</x:v>
      </x:c>
    </x:row>
    <x:row r="116" ht="76" customHeight="1">
      <x:c r="A116" s="2" t="str">
        <x:v>S33-COMP-R01</x:v>
      </x:c>
      <x:c r="B116" s="2" t="str">
        <x:v>S33</x:v>
      </x:c>
      <x:c r="C116" s="2" t="str">
        <x:v>merged_1222</x:v>
      </x:c>
      <x:c r="D116" s="2" t="str">
        <x:v>Reviewer_A</x:v>
      </x:c>
      <x:c r="E116" s="2" t="str">
        <x:v>Reviewer_A</x:v>
      </x:c>
      <x:c r="F116" s="2" t="str">
        <x:v>S33-CMP01</x:v>
      </x:c>
      <x:c r="G116" s="2" t="str">
        <x:v>S33-T01</x:v>
      </x:c>
      <x:c r="H116" s="2" t="str">
        <x:v>S33-O01</x:v>
      </x:c>
      <x:c r="I116" s="2" t="str">
        <x:v>Function definition scanner</x:v>
      </x:c>
      <x:c r="J116" s="6" t="str">
        <x:v>Static analysis</x:v>
      </x:c>
      <x:c r="K116" s="6" t="str">
        <x:v>Pre-filtering</x:v>
      </x:c>
      <x:c r="L116" s="6" t="str">
        <x:v>解析Python源文件，通过检测def关键字提取函数定义及其元数据（名称、文件名、行号），为LLM评价提供候选代码单元。</x:v>
      </x:c>
      <x:c r="M116" s="2" t="str">
        <x:v>提取的每个函数与所有需求组合成对，发送给LLM进行评分。</x:v>
      </x:c>
      <x:c r="N116" s="2" t="str">
        <x:v>Yes</x:v>
      </x:c>
      <x:c r="O116" s="2" t="str">
        <x:v>No</x:v>
      </x:c>
      <x:c r="P116" s="2" t="str">
        <x:v>NR</x:v>
      </x:c>
      <x:c r="Q116" s="6" t="str">
        <x:v>p. 4; Section III.C</x:v>
      </x:c>
      <x:c r="R116" s="6" t="str">
        <x:v>analysis build process for Python files, the first step involves systematically scanning the code to detect function definitions.</x:v>
      </x:c>
      <x:c r="S116" s="6" t="str">
        <x:v>静态分析组件负责从源码中提取函数粒度信息，作为后续LLM推理的输入准备。</x:v>
      </x:c>
      <x:c r="T116" s="2" t="str">
        <x:v>Accepted</x:v>
      </x:c>
      <x:c r="U116" s="6" t="str">
        <x:v>仅用于插件场景的处理；评估数据为人工构造。</x:v>
      </x:c>
    </x:row>
    <x:row r="117" ht="76" customHeight="1">
      <x:c r="A117" s="2" t="str">
        <x:v>S33-COMP-R02</x:v>
      </x:c>
      <x:c r="B117" s="2" t="str">
        <x:v>S33</x:v>
      </x:c>
      <x:c r="C117" s="2" t="str">
        <x:v>merged_1222</x:v>
      </x:c>
      <x:c r="D117" s="2" t="str">
        <x:v>Reviewer_A</x:v>
      </x:c>
      <x:c r="E117" s="2" t="str">
        <x:v>Reviewer_A</x:v>
      </x:c>
      <x:c r="F117" s="2" t="str">
        <x:v>S33-CMP02</x:v>
      </x:c>
      <x:c r="G117" s="2" t="str">
        <x:v>S33-T01</x:v>
      </x:c>
      <x:c r="H117" s="2" t="str">
        <x:v>S33-O01</x:v>
      </x:c>
      <x:c r="I117" s="2" t="str">
        <x:v>Plugin backend database</x:v>
      </x:c>
      <x:c r="J117" s="6" t="str">
        <x:v>Other</x:v>
      </x:c>
      <x:c r="K117" s="6" t="str">
        <x:v>Feature augmentation</x:v>
      </x:c>
      <x:c r="L117" s="6" t="str">
        <x:v>以JSON格式存储需求条目和实现链接记录，支持持久化和状态管理。</x:v>
      </x:c>
      <x:c r="M117" s="2" t="str">
        <x:v>LLM输出的链接候选存入数据库，供用户审核和追踪。</x:v>
      </x:c>
      <x:c r="N117" s="2" t="str">
        <x:v>Yes</x:v>
      </x:c>
      <x:c r="O117" s="2" t="str">
        <x:v>No</x:v>
      </x:c>
      <x:c r="P117" s="2" t="str">
        <x:v>NR</x:v>
      </x:c>
      <x:c r="Q117" s="6" t="str">
        <x:v>p. 3; Section III.C</x:v>
      </x:c>
      <x:c r="R117" s="6" t="str">
        <x:v>It contains a database that stores its data in JSON format, where each element comprises a title and a description as specified by the user.</x:v>
      </x:c>
      <x:c r="S117" s="6" t="str">
        <x:v>数据库作为工作流的持久化组件，存储需求和链接结果，支撑插件的用户交互。</x:v>
      </x:c>
      <x:c r="T117" s="2" t="str">
        <x:v>Accepted</x:v>
      </x:c>
      <x:c r="U117" s="6" t="str">
        <x:v>NA</x:v>
      </x:c>
    </x:row>
    <x:row r="118" ht="76" customHeight="1">
      <x:c r="A118" s="2" t="str">
        <x:v>S33-COMP-R03</x:v>
      </x:c>
      <x:c r="B118" s="2" t="str">
        <x:v>S33</x:v>
      </x:c>
      <x:c r="C118" s="2" t="str">
        <x:v>merged_1222</x:v>
      </x:c>
      <x:c r="D118" s="2" t="str">
        <x:v>Reviewer_A</x:v>
      </x:c>
      <x:c r="E118" s="2" t="str">
        <x:v>Reviewer_A</x:v>
      </x:c>
      <x:c r="F118" s="2" t="str">
        <x:v>S33-CMP03</x:v>
      </x:c>
      <x:c r="G118" s="2" t="str">
        <x:v>S33-T01</x:v>
      </x:c>
      <x:c r="H118" s="2" t="str">
        <x:v>NA</x:v>
      </x:c>
      <x:c r="I118" s="2" t="str">
        <x:v>ChatGPT-4o (for test data generation)</x:v>
      </x:c>
      <x:c r="J118" s="6" t="str">
        <x:v>Other</x:v>
      </x:c>
      <x:c r="K118" s="6" t="str">
        <x:v>Other</x:v>
      </x:c>
      <x:c r="L118" s="6" t="str">
        <x:v>根据安全需求生成带注释的Python、C#、Go实现代码，并构造不同完整度与命名质量的变体，用于评估数据集。</x:v>
      </x:c>
      <x:c r="M118" s="2" t="str">
        <x:v>不与追踪LLM直接交互，仅用于准备评估所需的配对数据。</x:v>
      </x:c>
      <x:c r="N118" s="2" t="str">
        <x:v>No</x:v>
      </x:c>
      <x:c r="O118" s="2" t="str">
        <x:v>No</x:v>
      </x:c>
      <x:c r="P118" s="2" t="str">
        <x:v>NR</x:v>
      </x:c>
      <x:c r="Q118" s="6" t="str">
        <x:v>p. 5; Section IV.C</x:v>
      </x:c>
      <x:c r="R118" s="6" t="str">
        <x:v>Some of the requirements above were given to an LLM (ChatGPT-4o) to create commentated implementations within one function in Python.</x:v>
      </x:c>
      <x:c r="S118" s="6" t="str">
        <x:v>ChatGPT-4o作为数据生成工具，不属于追踪流程的组成部分，仅用于评估准备。</x:v>
      </x:c>
      <x:c r="T118" s="2" t="str">
        <x:v>Accepted</x:v>
      </x:c>
      <x:c r="U118" s="6" t="str">
        <x:v>评估专用，不参与链接恢复任务本身。</x:v>
      </x:c>
    </x:row>
    <x:row r="119" ht="76" customHeight="1">
      <x:c r="A119" s="2" t="str">
        <x:v>S34-COMP-R01</x:v>
      </x:c>
      <x:c r="B119" s="2" t="str">
        <x:v>S34</x:v>
      </x:c>
      <x:c r="C119" s="2" t="str">
        <x:v>merged_1224-v1</x:v>
      </x:c>
      <x:c r="D119" s="2" t="str">
        <x:v>Reviewer_A</x:v>
      </x:c>
      <x:c r="E119" s="2" t="str">
        <x:v>Reviewer_A</x:v>
      </x:c>
      <x:c r="F119" s="2" t="str">
        <x:v>S34-CMP01</x:v>
      </x:c>
      <x:c r="G119" s="2" t="str">
        <x:v>S34-T01</x:v>
      </x:c>
      <x:c r="H119" s="2" t="str">
        <x:v>NA</x:v>
      </x:c>
      <x:c r="I119" s="2" t="str">
        <x:v>PlantUML</x:v>
      </x:c>
      <x:c r="J119" s="6" t="str">
        <x:v>Tool framework</x:v>
      </x:c>
      <x:c r="K119" s="6" t="str">
        <x:v>Evaluation only</x:v>
      </x:c>
      <x:c r="L119" s="6" t="str">
        <x:v>将LLM生成的PlantUML文本编译为PNG图像，用于验证语法正确性。</x:v>
      </x:c>
      <x:c r="M119" s="2" t="str">
        <x:v>LLM输出PlantUML代码后，运行PlantUML进行编译；只有成功编译的图才被视为语法正确。</x:v>
      </x:c>
      <x:c r="N119" s="2" t="str">
        <x:v>No</x:v>
      </x:c>
      <x:c r="O119" s="2" t="str">
        <x:v>No</x:v>
      </x:c>
      <x:c r="P119" s="2" t="str">
        <x:v>NR</x:v>
      </x:c>
      <x:c r="Q119" s="6" t="str">
        <x:v>p. 9; Section 3.4, Syntactic Correctness</x:v>
      </x:c>
      <x:c r="R119" s="6" t="str">
        <x:v>Syntactic Correctness (SC): Rate of diagrams compiling without PlantUML syntax errors.</x:v>
      </x:c>
      <x:c r="S119" s="6" t="str">
        <x:v>PlantUML作为外部验证工具，评估LLM生成的UML图的语法有效性。</x:v>
      </x:c>
      <x:c r="T119" s="2" t="str">
        <x:v>Accepted</x:v>
      </x:c>
      <x:c r="U119" s="6" t="str">
        <x:v>NA</x:v>
      </x:c>
    </x:row>
    <x:row r="120" ht="76" customHeight="1">
      <x:c r="A120" s="2" t="str">
        <x:v>S34-COMP-R02</x:v>
      </x:c>
      <x:c r="B120" s="2" t="str">
        <x:v>S34</x:v>
      </x:c>
      <x:c r="C120" s="2" t="str">
        <x:v>merged_1224-v1</x:v>
      </x:c>
      <x:c r="D120" s="2" t="str">
        <x:v>Reviewer_A</x:v>
      </x:c>
      <x:c r="E120" s="2" t="str">
        <x:v>Reviewer_A</x:v>
      </x:c>
      <x:c r="F120" s="2" t="str">
        <x:v>S34-CMP02</x:v>
      </x:c>
      <x:c r="G120" s="2" t="str">
        <x:v>S34-T01</x:v>
      </x:c>
      <x:c r="H120" s="2" t="str">
        <x:v>NA</x:v>
      </x:c>
      <x:c r="I120" s="2" t="str">
        <x:v>PlantUML-to-JSON parsing script</x:v>
      </x:c>
      <x:c r="J120" s="6" t="str">
        <x:v>Other</x:v>
      </x:c>
      <x:c r="K120" s="6" t="str">
        <x:v>Evaluation only</x:v>
      </x:c>
      <x:c r="L120" s="6" t="str">
        <x:v>从增强后的PlantUML图中提取结构化信息（如方法、注释）用于度量计算。</x:v>
      </x:c>
      <x:c r="M120" s="2" t="str">
        <x:v>在LLM输出PlantUML代码后，解析脚本将其转换为JSON格式以便后续量化分析。</x:v>
      </x:c>
      <x:c r="N120" s="2" t="str">
        <x:v>No</x:v>
      </x:c>
      <x:c r="O120" s="2" t="str">
        <x:v>No</x:v>
      </x:c>
      <x:c r="P120" s="2" t="str">
        <x:v>NR</x:v>
      </x:c>
      <x:c r="Q120" s="6" t="str">
        <x:v>p. 7; Section 3.1</x:v>
      </x:c>
      <x:c r="R120" s="6" t="str">
        <x:v>Parsed JSON Files: Structured representations extracted programmatically from the augmented PlantUML diagrams</x:v>
      </x:c>
      <x:c r="S120" s="6" t="str">
        <x:v>该解析脚本是一个后处理工具，用于将PlantUML输出转换为结构化数据，支持各项度量指标的计算。</x:v>
      </x:c>
      <x:c r="T120" s="2" t="str">
        <x:v>Accepted</x:v>
      </x:c>
      <x:c r="U120" s="6" t="str">
        <x:v>NA</x:v>
      </x:c>
    </x:row>
    <x:row r="121" ht="76" customHeight="1">
      <x:c r="A121" s="2" t="str">
        <x:v>S35-COMP-R01</x:v>
      </x:c>
      <x:c r="B121" s="2" t="str">
        <x:v>S35</x:v>
      </x:c>
      <x:c r="C121" s="2" t="str">
        <x:v>merged_1225</x:v>
      </x:c>
      <x:c r="D121" s="2" t="str">
        <x:v>Reviewer_A</x:v>
      </x:c>
      <x:c r="E121" s="2" t="str">
        <x:v>Reviewer_A</x:v>
      </x:c>
      <x:c r="F121" s="2" t="str">
        <x:v>S35-CMP01</x:v>
      </x:c>
      <x:c r="G121" s="2" t="str">
        <x:v>S35-T01</x:v>
      </x:c>
      <x:c r="H121" s="2" t="str">
        <x:v>NA</x:v>
      </x:c>
      <x:c r="I121" s="2" t="str">
        <x:v>Cosine</x:v>
      </x:c>
      <x:c r="J121" s="6" t="str">
        <x:v>Traditional IR</x:v>
      </x:c>
      <x:c r="K121" s="6" t="str">
        <x:v>Evaluation only</x:v>
      </x:c>
      <x:c r="L121" s="6" t="str">
        <x:v>使用TF-IDF向量和余弦相似度计算文本相似性。</x:v>
      </x:c>
      <x:c r="M121" s="2" t="str">
        <x:v>无交互，仅作为基线方法评估。</x:v>
      </x:c>
      <x:c r="N121" s="2" t="str">
        <x:v>No</x:v>
      </x:c>
      <x:c r="O121" s="2" t="str">
        <x:v>No</x:v>
      </x:c>
      <x:c r="P121" s="2" t="str">
        <x:v>NR</x:v>
      </x:c>
      <x:c r="Q121" s="6" t="str">
        <x:v>p. 3; Section II</x:v>
      </x:c>
      <x:c r="R121" s="6" t="str">
        <x:v>sklearn’s cosine sim to compute the textual similarity between two artifacts after transforming them with tﬁdf matrix. We</x:v>
      </x:c>
      <x:c r="S121" s="6" t="str">
        <x:v>传统信息检索方法，作为自动化追踪的基线。</x:v>
      </x:c>
      <x:c r="T121" s="2" t="str">
        <x:v>Accepted</x:v>
      </x:c>
      <x:c r="U121" s="6" t="str">
        <x:v>NA</x:v>
      </x:c>
    </x:row>
    <x:row r="122" ht="76" customHeight="1">
      <x:c r="A122" s="2" t="str">
        <x:v>S35-COMP-R02</x:v>
      </x:c>
      <x:c r="B122" s="2" t="str">
        <x:v>S35</x:v>
      </x:c>
      <x:c r="C122" s="2" t="str">
        <x:v>merged_1225</x:v>
      </x:c>
      <x:c r="D122" s="2" t="str">
        <x:v>Reviewer_A</x:v>
      </x:c>
      <x:c r="E122" s="2" t="str">
        <x:v>Reviewer_A</x:v>
      </x:c>
      <x:c r="F122" s="2" t="str">
        <x:v>S35-CMP02</x:v>
      </x:c>
      <x:c r="G122" s="2" t="str">
        <x:v>S35-T01</x:v>
      </x:c>
      <x:c r="H122" s="2" t="str">
        <x:v>NA</x:v>
      </x:c>
      <x:c r="I122" s="2" t="str">
        <x:v>RoBERTa</x:v>
      </x:c>
      <x:c r="J122" s="6" t="str">
        <x:v>Non-LLM ML or DL</x:v>
      </x:c>
      <x:c r="K122" s="6" t="str">
        <x:v>Evaluation only</x:v>
      </x:c>
      <x:c r="L122" s="6" t="str">
        <x:v>使用预训练的RoBERTa模型通过SentenceTransformer计算语义相似度。</x:v>
      </x:c>
      <x:c r="M122" s="2" t="str">
        <x:v>无交互，仅作为基线方法评估。</x:v>
      </x:c>
      <x:c r="N122" s="2" t="str">
        <x:v>No</x:v>
      </x:c>
      <x:c r="O122" s="2" t="str">
        <x:v>No</x:v>
      </x:c>
      <x:c r="P122" s="2" t="str">
        <x:v>NR</x:v>
      </x:c>
      <x:c r="Q122" s="6" t="str">
        <x:v>p. 3; Section II</x:v>
      </x:c>
      <x:c r="R122" s="6" t="str">
        <x:v>learning model: RoBERTa (a robustly optimized BERT pretraining approach) [23]. RoBERTa builds on the now ubiquitous transformer architecture and overcomes the undertrained BERT with dynamic masking, full-sentences, larger byte-pair</x:v>
      </x:c>
      <x:c r="S122" s="6" t="str">
        <x:v>基于Transformer的预训练模型，用于评估语义相似度追踪。</x:v>
      </x:c>
      <x:c r="T122" s="2" t="str">
        <x:v>Accepted</x:v>
      </x:c>
      <x:c r="U122" s="6" t="str">
        <x:v>NA</x:v>
      </x:c>
    </x:row>
    <x:row r="123" ht="76" customHeight="1">
      <x:c r="A123" s="2" t="str">
        <x:v>S36-COMP-R01</x:v>
      </x:c>
      <x:c r="B123" s="2" t="str">
        <x:v>S36</x:v>
      </x:c>
      <x:c r="C123" s="2" t="str">
        <x:v>merged_1236</x:v>
      </x:c>
      <x:c r="D123" s="2" t="str">
        <x:v>Reviewer_A</x:v>
      </x:c>
      <x:c r="E123" s="2" t="str">
        <x:v>Reviewer_A</x:v>
      </x:c>
      <x:c r="F123" s="2" t="str">
        <x:v>S36-CMP01</x:v>
      </x:c>
      <x:c r="G123" s="2" t="str">
        <x:v>S36-T01</x:v>
      </x:c>
      <x:c r="H123" s="2" t="str">
        <x:v>S36-O02</x:v>
      </x:c>
      <x:c r="I123" s="2" t="str">
        <x:v>ChromaDB</x:v>
      </x:c>
      <x:c r="J123" s="6" t="str">
        <x:v>Vector database</x:v>
      </x:c>
      <x:c r="K123" s="6" t="str">
        <x:v>Candidate retrieval</x:v>
      </x:c>
      <x:c r="L123" s="6" t="str">
        <x:v>存储文档嵌入并执行语义相似性搜索以检索与违规相关的源文档片段。</x:v>
      </x:c>
      <x:c r="M123" s="2" t="str">
        <x:v>无LLM直接交互；ChromaDB存储由嵌入模型生成的嵌入，并根据查询向量检索相关块。</x:v>
      </x:c>
      <x:c r="N123" s="2" t="str">
        <x:v>Yes</x:v>
      </x:c>
      <x:c r="O123" s="2" t="str">
        <x:v>No</x:v>
      </x:c>
      <x:c r="P123" s="2" t="str">
        <x:v>NR</x:v>
      </x:c>
      <x:c r="Q123" s="6" t="str">
        <x:v>p. 3; section III.E</x:v>
      </x:c>
      <x:c r="R123" s="6" t="str">
        <x:v>documents. The pipeline uses ChromaDB with the allMiniLM-L6-v2 embedding model and implements:</x:v>
      </x:c>
      <x:c r="S123" s="6" t="str">
        <x:v>ChromaDB作为向量数据库，支持文档嵌入的存储和语义检索，是实现需求追溯的关键组件。</x:v>
      </x:c>
      <x:c r="T123" s="2" t="str">
        <x:v>Accepted</x:v>
      </x:c>
      <x:c r="U123" s="6" t="str">
        <x:v>NA</x:v>
      </x:c>
    </x:row>
    <x:row r="124" ht="76" customHeight="1">
      <x:c r="A124" s="2" t="str">
        <x:v>S36-COMP-R02</x:v>
      </x:c>
      <x:c r="B124" s="2" t="str">
        <x:v>S36</x:v>
      </x:c>
      <x:c r="C124" s="2" t="str">
        <x:v>merged_1236</x:v>
      </x:c>
      <x:c r="D124" s="2" t="str">
        <x:v>Reviewer_A</x:v>
      </x:c>
      <x:c r="E124" s="2" t="str">
        <x:v>Reviewer_A</x:v>
      </x:c>
      <x:c r="F124" s="2" t="str">
        <x:v>S36-CMP02</x:v>
      </x:c>
      <x:c r="G124" s="2" t="str">
        <x:v>S36-T01</x:v>
      </x:c>
      <x:c r="H124" s="2" t="str">
        <x:v>S36-O02</x:v>
      </x:c>
      <x:c r="I124" s="2" t="str">
        <x:v>all-MiniLM-L6-v2 embedding model</x:v>
      </x:c>
      <x:c r="J124" s="6" t="str">
        <x:v>Embedding model</x:v>
      </x:c>
      <x:c r="K124" s="6" t="str">
        <x:v>Candidate retrieval</x:v>
      </x:c>
      <x:c r="L124" s="6" t="str">
        <x:v>将文档块和查询文本转换为密集向量表示，以支持语义相似度计算。</x:v>
      </x:c>
      <x:c r="M124" s="2" t="str">
        <x:v>无LLM交互；为ChromaDB提供嵌入向量。</x:v>
      </x:c>
      <x:c r="N124" s="2" t="str">
        <x:v>Yes</x:v>
      </x:c>
      <x:c r="O124" s="2" t="str">
        <x:v>No</x:v>
      </x:c>
      <x:c r="P124" s="2" t="str">
        <x:v>NR</x:v>
      </x:c>
      <x:c r="Q124" s="6" t="str">
        <x:v>p. 3; section III.E</x:v>
      </x:c>
      <x:c r="R124" s="6" t="str">
        <x:v>MiniLM-L6-v2 embedding model and implements:</x:v>
      </x:c>
      <x:c r="S124" s="6" t="str">
        <x:v>all-MiniLM-L6-v2模型用于将文档和查询嵌入到语义空间，使ChromaDB能够进行相似性搜索。</x:v>
      </x:c>
      <x:c r="T124" s="2" t="str">
        <x:v>Accepted</x:v>
      </x:c>
      <x:c r="U124" s="6" t="str">
        <x:v>NA</x:v>
      </x:c>
    </x:row>
    <x:row r="125" ht="76" customHeight="1">
      <x:c r="A125" s="2" t="str">
        <x:v>S36-COMP-R03</x:v>
      </x:c>
      <x:c r="B125" s="2" t="str">
        <x:v>S36</x:v>
      </x:c>
      <x:c r="C125" s="2" t="str">
        <x:v>merged_1236</x:v>
      </x:c>
      <x:c r="D125" s="2" t="str">
        <x:v>Reviewer_A</x:v>
      </x:c>
      <x:c r="E125" s="2" t="str">
        <x:v>Reviewer_A</x:v>
      </x:c>
      <x:c r="F125" s="2" t="str">
        <x:v>S36-CMP03</x:v>
      </x:c>
      <x:c r="G125" s="2" t="str">
        <x:v>S36-T01</x:v>
      </x:c>
      <x:c r="H125" s="2" t="str">
        <x:v>NA</x:v>
      </x:c>
      <x:c r="I125" s="2" t="str">
        <x:v>pypdf</x:v>
      </x:c>
      <x:c r="J125" s="6" t="str">
        <x:v>Other</x:v>
      </x:c>
      <x:c r="K125" s="6" t="str">
        <x:v>Context construction</x:v>
      </x:c>
      <x:c r="L125" s="6" t="str">
        <x:v>解析PDF格式的SRS相关文档以提取文本内容。</x:v>
      </x:c>
      <x:c r="M125" s="2" t="str">
        <x:v>无LLM交互；为文档处理管道提供文本输入。</x:v>
      </x:c>
      <x:c r="N125" s="2" t="str">
        <x:v>Yes</x:v>
      </x:c>
      <x:c r="O125" s="2" t="str">
        <x:v>No</x:v>
      </x:c>
      <x:c r="P125" s="2" t="str">
        <x:v>NR</x:v>
      </x:c>
      <x:c r="Q125" s="6" t="str">
        <x:v>p. 2; Table I</x:v>
      </x:c>
      <x:c r="R125" s="6" t="str">
        <x:v>PDF Parsing pypdf latest</x:v>
      </x:c>
      <x:c r="S125" s="6" t="str">
        <x:v>pypdf库用于解析PDF文档，是RAG管道中文档摄取步骤的一部分。</x:v>
      </x:c>
      <x:c r="T125" s="2" t="str">
        <x:v>Accepted</x:v>
      </x:c>
      <x:c r="U125" s="6" t="str">
        <x:v>NA</x:v>
      </x:c>
    </x:row>
    <x:row r="126" ht="76" customHeight="1">
      <x:c r="A126" s="2" t="str">
        <x:v>S36-COMP-R04</x:v>
      </x:c>
      <x:c r="B126" s="2" t="str">
        <x:v>S36</x:v>
      </x:c>
      <x:c r="C126" s="2" t="str">
        <x:v>merged_1236</x:v>
      </x:c>
      <x:c r="D126" s="2" t="str">
        <x:v>Reviewer_A</x:v>
      </x:c>
      <x:c r="E126" s="2" t="str">
        <x:v>Reviewer_A</x:v>
      </x:c>
      <x:c r="F126" s="2" t="str">
        <x:v>S36-CMP04</x:v>
      </x:c>
      <x:c r="G126" s="2" t="str">
        <x:v>S36-T01</x:v>
      </x:c>
      <x:c r="H126" s="2" t="str">
        <x:v>NA</x:v>
      </x:c>
      <x:c r="I126" s="2" t="str">
        <x:v>python-docx</x:v>
      </x:c>
      <x:c r="J126" s="6" t="str">
        <x:v>Other</x:v>
      </x:c>
      <x:c r="K126" s="6" t="str">
        <x:v>Context construction</x:v>
      </x:c>
      <x:c r="L126" s="6" t="str">
        <x:v>解析DOCX格式的SRS相关文档以提取文本内容。</x:v>
      </x:c>
      <x:c r="M126" s="2" t="str">
        <x:v>无LLM交互；为文档处理管道提供文本输入。</x:v>
      </x:c>
      <x:c r="N126" s="2" t="str">
        <x:v>Yes</x:v>
      </x:c>
      <x:c r="O126" s="2" t="str">
        <x:v>No</x:v>
      </x:c>
      <x:c r="P126" s="2" t="str">
        <x:v>NR</x:v>
      </x:c>
      <x:c r="Q126" s="6" t="str">
        <x:v>p. 2; Table I</x:v>
      </x:c>
      <x:c r="R126" s="6" t="str">
        <x:v>DOCX Parsing python-docx latest</x:v>
      </x:c>
      <x:c r="S126" s="6" t="str">
        <x:v>python-docx库用于解析DOCX文档，是RAG管道中文档摄取步骤的一部分。</x:v>
      </x:c>
      <x:c r="T126" s="2" t="str">
        <x:v>Accepted</x:v>
      </x:c>
      <x:c r="U126" s="6" t="str">
        <x:v>NA</x:v>
      </x:c>
    </x:row>
    <x:row r="127" ht="76" customHeight="1">
      <x:c r="A127" s="2" t="str">
        <x:v>S37-COMP-R01</x:v>
      </x:c>
      <x:c r="B127" s="2" t="str">
        <x:v>S37</x:v>
      </x:c>
      <x:c r="C127" s="2" t="str">
        <x:v>merged_1238</x:v>
      </x:c>
      <x:c r="D127" s="2" t="str">
        <x:v>Reviewer_A</x:v>
      </x:c>
      <x:c r="E127" s="2" t="str">
        <x:v>Reviewer_A</x:v>
      </x:c>
      <x:c r="F127" s="2" t="str">
        <x:v>S37-CMP01</x:v>
      </x:c>
      <x:c r="G127" s="2" t="str">
        <x:v>S37-T01</x:v>
      </x:c>
      <x:c r="H127" s="2" t="str">
        <x:v>S37-O02</x:v>
      </x:c>
      <x:c r="I127" s="2" t="str">
        <x:v>Stanford CoreNLP</x:v>
      </x:c>
      <x:c r="J127" s="6" t="str">
        <x:v>Other</x:v>
      </x:c>
      <x:c r="K127" s="6" t="str">
        <x:v>Feature augmentation</x:v>
      </x:c>
      <x:c r="L127" s="6" t="str">
        <x:v>从对话记录中提取关键词和信息。</x:v>
      </x:c>
      <x:c r="M127" s="2" t="str">
        <x:v>处理后短语传递给DeepSeek-R1进行模型生成。</x:v>
      </x:c>
      <x:c r="N127" s="2" t="str">
        <x:v>Yes</x:v>
      </x:c>
      <x:c r="O127" s="2" t="str">
        <x:v>No</x:v>
      </x:c>
      <x:c r="P127" s="2" t="str">
        <x:v>NR</x:v>
      </x:c>
      <x:c r="Q127" s="6" t="str">
        <x:v>p. 12; Section 4.1</x:v>
      </x:c>
      <x:c r="R127" s="6" t="str">
        <x:v>instantiated by the Standford CoreNLP</x:v>
      </x:c>
      <x:c r="S127" s="6" t="str">
        <x:v>使用Stanford CoreNLP进行自然语言处理，提取信息。</x:v>
      </x:c>
      <x:c r="T127" s="2" t="str">
        <x:v>Accepted</x:v>
      </x:c>
      <x:c r="U127" s="6" t="str">
        <x:v>NA</x:v>
      </x:c>
    </x:row>
    <x:row r="128" ht="76" customHeight="1">
      <x:c r="A128" s="2" t="str">
        <x:v>S37-COMP-R02</x:v>
      </x:c>
      <x:c r="B128" s="2" t="str">
        <x:v>S37</x:v>
      </x:c>
      <x:c r="C128" s="2" t="str">
        <x:v>merged_1238</x:v>
      </x:c>
      <x:c r="D128" s="2" t="str">
        <x:v>Reviewer_A</x:v>
      </x:c>
      <x:c r="E128" s="2" t="str">
        <x:v>Reviewer_A</x:v>
      </x:c>
      <x:c r="F128" s="2" t="str">
        <x:v>S37-CMP02</x:v>
      </x:c>
      <x:c r="G128" s="2" t="str">
        <x:v>S37-T01</x:v>
      </x:c>
      <x:c r="H128" s="2" t="str">
        <x:v>S37-O02</x:v>
      </x:c>
      <x:c r="I128" s="2" t="str">
        <x:v>BM25 retrieval algorithm</x:v>
      </x:c>
      <x:c r="J128" s="6" t="str">
        <x:v>Traditional IR</x:v>
      </x:c>
      <x:c r="K128" s="6" t="str">
        <x:v>Context construction</x:v>
      </x:c>
      <x:c r="L128" s="6" t="str">
        <x:v>检索与需求描述最相关的段落。</x:v>
      </x:c>
      <x:c r="M128" s="2" t="str">
        <x:v>检索结果作为上下文提供给DeepSeek-R1。</x:v>
      </x:c>
      <x:c r="N128" s="2" t="str">
        <x:v>Yes</x:v>
      </x:c>
      <x:c r="O128" s="2" t="str">
        <x:v>No</x:v>
      </x:c>
      <x:c r="P128" s="2" t="str">
        <x:v>NR</x:v>
      </x:c>
      <x:c r="Q128" s="6" t="str">
        <x:v>p. 12; Section 4.1</x:v>
      </x:c>
      <x:c r="R128" s="6" t="str">
        <x:v>BM25 retrieval algorithm</x:v>
      </x:c>
      <x:c r="S128" s="6" t="str">
        <x:v>BM25用于检索相关上下文，增强LLM生成。</x:v>
      </x:c>
      <x:c r="T128" s="2" t="str">
        <x:v>Accepted</x:v>
      </x:c>
      <x:c r="U128" s="6" t="str">
        <x:v>NA</x:v>
      </x:c>
    </x:row>
    <x:row r="129" ht="76" customHeight="1">
      <x:c r="A129" s="2" t="str">
        <x:v>S37-COMP-R03</x:v>
      </x:c>
      <x:c r="B129" s="2" t="str">
        <x:v>S37</x:v>
      </x:c>
      <x:c r="C129" s="2" t="str">
        <x:v>merged_1238</x:v>
      </x:c>
      <x:c r="D129" s="2" t="str">
        <x:v>Reviewer_A</x:v>
      </x:c>
      <x:c r="E129" s="2" t="str">
        <x:v>Reviewer_A</x:v>
      </x:c>
      <x:c r="F129" s="2" t="str">
        <x:v>S37-CMP03</x:v>
      </x:c>
      <x:c r="G129" s="2" t="str">
        <x:v>S37-T01</x:v>
      </x:c>
      <x:c r="H129" s="2" t="str">
        <x:v>S37-O02</x:v>
      </x:c>
      <x:c r="I129" s="2" t="str">
        <x:v>web searching function</x:v>
      </x:c>
      <x:c r="J129" s="6" t="str">
        <x:v>Search engine</x:v>
      </x:c>
      <x:c r="K129" s="6" t="str">
        <x:v>Context construction</x:v>
      </x:c>
      <x:c r="L129" s="6" t="str">
        <x:v>通过网络搜索获取额外上下文信息。</x:v>
      </x:c>
      <x:c r="M129" s="2" t="str">
        <x:v>DeepSeek-R1集成该功能以增强模型构建。</x:v>
      </x:c>
      <x:c r="N129" s="2" t="str">
        <x:v>Yes</x:v>
      </x:c>
      <x:c r="O129" s="2" t="str">
        <x:v>No</x:v>
      </x:c>
      <x:c r="P129" s="2" t="str">
        <x:v>NR</x:v>
      </x:c>
      <x:c r="Q129" s="6" t="str">
        <x:v>p. 20; Section 5.1 (3)</x:v>
      </x:c>
      <x:c r="R129" s="6" t="str">
        <x:v>Deepseek-R1, which integrates a web searching function</x:v>
      </x:c>
      <x:c r="S129" s="6" t="str">
        <x:v>网络搜索作为额外检索组件，提供外部知识。</x:v>
      </x:c>
      <x:c r="T129" s="2" t="str">
        <x:v>Accepted</x:v>
      </x:c>
      <x:c r="U129" s="6" t="str">
        <x:v>NA</x:v>
      </x:c>
    </x:row>
    <x:row r="130" ht="76" customHeight="1">
      <x:c r="A130" s="2" t="str">
        <x:v>S38-COMP-R01</x:v>
      </x:c>
      <x:c r="B130" s="2" t="str">
        <x:v>S38</x:v>
      </x:c>
      <x:c r="C130" s="2" t="str">
        <x:v>merged_1241</x:v>
      </x:c>
      <x:c r="D130" s="2" t="str">
        <x:v>Reviewer_A</x:v>
      </x:c>
      <x:c r="E130" s="2" t="str">
        <x:v>Reviewer_A</x:v>
      </x:c>
      <x:c r="F130" s="2" t="str">
        <x:v>S38-CMP01</x:v>
      </x:c>
      <x:c r="G130" s="2" t="str">
        <x:v>S38-T01</x:v>
      </x:c>
      <x:c r="H130" s="2" t="str">
        <x:v>S38-O01</x:v>
      </x:c>
      <x:c r="I130" s="2" t="str">
        <x:v>Manual review</x:v>
      </x:c>
      <x:c r="J130" s="6" t="str">
        <x:v>Human review</x:v>
      </x:c>
      <x:c r="K130" s="6" t="str">
        <x:v>Post-processing</x:v>
      </x:c>
      <x:c r="L130" s="6" t="str">
        <x:v>人工审核生成的追溯矩阵的完整性和正确性。</x:v>
      </x:c>
      <x:c r="M130" s="2" t="str">
        <x:v>在LLM生成追溯矩阵后，由人工标注者审核输出。</x:v>
      </x:c>
      <x:c r="N130" s="2" t="str">
        <x:v>Yes</x:v>
      </x:c>
      <x:c r="O130" s="2" t="str">
        <x:v>No</x:v>
      </x:c>
      <x:c r="P130" s="2" t="str">
        <x:v>NR</x:v>
      </x:c>
      <x:c r="Q130" s="6" t="str">
        <x:v>p. 11; Section 3.4</x:v>
      </x:c>
      <x:c r="R130" s="6" t="str">
        <x:v>Generated trace matrices are manually reviewed for completeness and correctness.</x:v>
      </x:c>
      <x:c r="S130" s="6" t="str">
        <x:v>人工审核作为最终质量检查步骤，确保追溯矩阵的完整性。</x:v>
      </x:c>
      <x:c r="T130" s="2" t="str">
        <x:v>Accepted</x:v>
      </x:c>
      <x:c r="U130" s="6" t="str">
        <x:v>NA</x:v>
      </x:c>
    </x:row>
    <x:row r="131" ht="76" customHeight="1">
      <x:c r="A131" s="2" t="str">
        <x:v>S39-COMP-R01</x:v>
      </x:c>
      <x:c r="B131" s="2" t="str">
        <x:v>S39</x:v>
      </x:c>
      <x:c r="C131" s="2" t="str">
        <x:v>merged_1245</x:v>
      </x:c>
      <x:c r="D131" s="2" t="str">
        <x:v>Reviewer_A</x:v>
      </x:c>
      <x:c r="E131" s="2" t="str">
        <x:v>Reviewer_A</x:v>
      </x:c>
      <x:c r="F131" s="2" t="str">
        <x:v>S39-CMP01</x:v>
      </x:c>
      <x:c r="G131" s="2" t="str">
        <x:v>S39-T01</x:v>
      </x:c>
      <x:c r="H131" s="2" t="str">
        <x:v>S39-O01</x:v>
      </x:c>
      <x:c r="I131" s="2" t="str">
        <x:v>automated validation against ground truth</x:v>
      </x:c>
      <x:c r="J131" s="6" t="str">
        <x:v>Rule or heuristic</x:v>
      </x:c>
      <x:c r="K131" s="6" t="str">
        <x:v>Evaluation only</x:v>
      </x:c>
      <x:c r="L131" s="6" t="str">
        <x:v>将LLM输出的追踪结果与预定义的真值比对，计算准确率和F1</x:v>
      </x:c>
      <x:c r="M131" s="2" t="str">
        <x:v>获取LLM输出后进行比对，不参与生成过程</x:v>
      </x:c>
      <x:c r="N131" s="2" t="str">
        <x:v>No</x:v>
      </x:c>
      <x:c r="O131" s="2" t="str">
        <x:v>No</x:v>
      </x:c>
      <x:c r="P131" s="2" t="str">
        <x:v>NR</x:v>
      </x:c>
      <x:c r="Q131" s="6" t="str">
        <x:v>p. 3; Section V</x:v>
      </x:c>
      <x:c r="R131" s="6" t="str">
        <x:v>Given a predefined ground truth that maps each requirement to specific lines of code, the outputs produced by the LLM could be automatically validated against this reference.</x:v>
      </x:c>
      <x:c r="S131" s="6" t="str">
        <x:v>论文使用基于规则的脚本进行自动评估，并非追踪工作流的组成部分。</x:v>
      </x:c>
      <x:c r="T131" s="2" t="str">
        <x:v>Accepted</x:v>
      </x:c>
      <x:c r="U131" s="6" t="str">
        <x:v>NR</x:v>
      </x:c>
    </x:row>
    <x:row r="132" ht="76" customHeight="1">
      <x:c r="A132" s="2" t="str">
        <x:v>S40-COMP-R01</x:v>
      </x:c>
      <x:c r="B132" s="2" t="str">
        <x:v>S40</x:v>
      </x:c>
      <x:c r="C132" s="2" t="str">
        <x:v>merged_1263</x:v>
      </x:c>
      <x:c r="D132" s="2" t="str">
        <x:v>Reviewer_A</x:v>
      </x:c>
      <x:c r="E132" s="2" t="str">
        <x:v>Reviewer_A</x:v>
      </x:c>
      <x:c r="F132" s="2" t="str">
        <x:v>S40-CMP01</x:v>
      </x:c>
      <x:c r="G132" s="2" t="str">
        <x:v>S40-T01</x:v>
      </x:c>
      <x:c r="H132" s="2" t="str">
        <x:v>NA</x:v>
      </x:c>
      <x:c r="I132" s="2" t="str">
        <x:v>text-embedding-3-large</x:v>
      </x:c>
      <x:c r="J132" s="6" t="str">
        <x:v>Embedding model</x:v>
      </x:c>
      <x:c r="K132" s="6" t="str">
        <x:v>Feature augmentation</x:v>
      </x:c>
      <x:c r="L132" s="6" t="str">
        <x:v>将需求、代码、实体和标识符文本嵌入到向量空间，用于计算语义桥和语义门控的余弦相似度</x:v>
      </x:c>
      <x:c r="M132" s="2" t="str">
        <x:v>不直接与LLM交互；生成的嵌入用于构建跨模态桥和语义门，间接影响LLM的输入证据路径。</x:v>
      </x:c>
      <x:c r="N132" s="2" t="str">
        <x:v>Yes</x:v>
      </x:c>
      <x:c r="O132" s="2" t="str">
        <x:v>No</x:v>
      </x:c>
      <x:c r="P132" s="2" t="str">
        <x:v>NR</x:v>
      </x:c>
      <x:c r="Q132" s="6" t="str">
        <x:v>p. 14; Section 3.4.3</x:v>
      </x:c>
      <x:c r="R132" s="6" t="str">
        <x:v>we use text-embedding-3-large as the embedding model, matching the LiSSA configuration</x:v>
      </x:c>
      <x:c r="S132" s="6" t="str">
        <x:v>嵌入模型用于生成语义表示，是工作流的关键组件。</x:v>
      </x:c>
      <x:c r="T132" s="2" t="str">
        <x:v>Accepted</x:v>
      </x:c>
      <x:c r="U132" s="6" t="str">
        <x:v>NR</x:v>
      </x:c>
    </x:row>
    <x:row r="133" ht="76" customHeight="1">
      <x:c r="A133" s="2" t="str">
        <x:v>S40-COMP-R02</x:v>
      </x:c>
      <x:c r="B133" s="2" t="str">
        <x:v>S40</x:v>
      </x:c>
      <x:c r="C133" s="2" t="str">
        <x:v>merged_1263</x:v>
      </x:c>
      <x:c r="D133" s="2" t="str">
        <x:v>Reviewer_A</x:v>
      </x:c>
      <x:c r="E133" s="2" t="str">
        <x:v>Reviewer_A</x:v>
      </x:c>
      <x:c r="F133" s="2" t="str">
        <x:v>S40-CMP02</x:v>
      </x:c>
      <x:c r="G133" s="2" t="str">
        <x:v>S40-T01</x:v>
      </x:c>
      <x:c r="H133" s="2" t="str">
        <x:v>NA</x:v>
      </x:c>
      <x:c r="I133" s="2" t="str">
        <x:v>spaCy</x:v>
      </x:c>
      <x:c r="J133" s="6" t="str">
        <x:v>Other</x:v>
      </x:c>
      <x:c r="K133" s="6" t="str">
        <x:v>Context construction</x:v>
      </x:c>
      <x:c r="L133" s="6" t="str">
        <x:v>从需求句子中提取突出名词短语或命名实体，构建需求侧三层图中的实体/短语层</x:v>
      </x:c>
      <x:c r="M133" s="2" t="str">
        <x:v>间接；提取的实体构成图节点，后续可能进入证据路径并提交给LLM。</x:v>
      </x:c>
      <x:c r="N133" s="2" t="str">
        <x:v>Yes</x:v>
      </x:c>
      <x:c r="O133" s="2" t="str">
        <x:v>No</x:v>
      </x:c>
      <x:c r="P133" s="2" t="str">
        <x:v>NR</x:v>
      </x:c>
      <x:c r="Q133" s="6" t="str">
        <x:v>p. 15; Section 3.4.3</x:v>
      </x:c>
      <x:c r="R133" s="6" t="str">
        <x:v>The graph construction code uses spaCy for requirement-side entity and phrase extraction</x:v>
      </x:c>
      <x:c r="S133" s="6" t="str">
        <x:v>spaCy作为NLP工具，用于需求实体提取。</x:v>
      </x:c>
      <x:c r="T133" s="2" t="str">
        <x:v>Accepted</x:v>
      </x:c>
      <x:c r="U133" s="6" t="str">
        <x:v>NR</x:v>
      </x:c>
    </x:row>
    <x:row r="134" ht="76" customHeight="1">
      <x:c r="A134" s="2" t="str">
        <x:v>S40-COMP-R03</x:v>
      </x:c>
      <x:c r="B134" s="2" t="str">
        <x:v>S40</x:v>
      </x:c>
      <x:c r="C134" s="2" t="str">
        <x:v>merged_1263</x:v>
      </x:c>
      <x:c r="D134" s="2" t="str">
        <x:v>Reviewer_A</x:v>
      </x:c>
      <x:c r="E134" s="2" t="str">
        <x:v>Reviewer_A</x:v>
      </x:c>
      <x:c r="F134" s="2" t="str">
        <x:v>S40-CMP03</x:v>
      </x:c>
      <x:c r="G134" s="2" t="str">
        <x:v>S40-T01</x:v>
      </x:c>
      <x:c r="H134" s="2" t="str">
        <x:v>NA</x:v>
      </x:c>
      <x:c r="I134" s="2" t="str">
        <x:v>tree-sitter</x:v>
      </x:c>
      <x:c r="J134" s="6" t="str">
        <x:v>Static analysis</x:v>
      </x:c>
      <x:c r="K134" s="6" t="str">
        <x:v>Context construction</x:v>
      </x:c>
      <x:c r="L134" s="6" t="str">
        <x:v>对代码进行轻量级静态解析，提取方法、标识符、调用关系和继承关系，构建代码侧三层图</x:v>
      </x:c>
      <x:c r="M134" s="2" t="str">
        <x:v>间接；解析的结构关系用于构建代码图，并通过证据路径间接影响LLM验证。</x:v>
      </x:c>
      <x:c r="N134" s="2" t="str">
        <x:v>Yes</x:v>
      </x:c>
      <x:c r="O134" s="2" t="str">
        <x:v>No</x:v>
      </x:c>
      <x:c r="P134" s="2" t="str">
        <x:v>NR</x:v>
      </x:c>
      <x:c r="Q134" s="6" t="str">
        <x:v>p. 6; Section 3.1.2</x:v>
      </x:c>
      <x:c r="R134" s="6" t="str">
        <x:v>Lightweight static parsing with tree-sitter extracts explicit source-level dependencies</x:v>
      </x:c>
      <x:c r="S134" s="6" t="str">
        <x:v>tree-sitter用于代码静态分析，构建代码结构图。</x:v>
      </x:c>
      <x:c r="T134" s="2" t="str">
        <x:v>Accepted</x:v>
      </x:c>
      <x:c r="U134" s="6" t="str">
        <x:v>NR</x:v>
      </x:c>
    </x:row>
    <x:row r="135" ht="76" customHeight="1">
      <x:c r="A135" s="2" t="str">
        <x:v>S41-COMP-R01</x:v>
      </x:c>
      <x:c r="B135" s="2" t="str">
        <x:v>S41</x:v>
      </x:c>
      <x:c r="C135" s="2" t="str">
        <x:v>merged_1264</x:v>
      </x:c>
      <x:c r="D135" s="2" t="str">
        <x:v>Reviewer_A</x:v>
      </x:c>
      <x:c r="E135" s="2" t="str">
        <x:v>Reviewer_A</x:v>
      </x:c>
      <x:c r="F135" s="2" t="str">
        <x:v>S41-CMP01</x:v>
      </x:c>
      <x:c r="G135" s="2" t="str">
        <x:v>S41-T01</x:v>
      </x:c>
      <x:c r="H135" s="2" t="str">
        <x:v>NA</x:v>
      </x:c>
      <x:c r="I135" s="2" t="str">
        <x:v>EALink-based Link Prediction Module</x:v>
      </x:c>
      <x:c r="J135" s="6" t="str">
        <x:v>Non-LLM ML or DL</x:v>
      </x:c>
      <x:c r="K135" s="6" t="str">
        <x:v>Candidate generation</x:v>
      </x:c>
      <x:c r="L135" s="6" t="str">
        <x:v>使用基于CodeBERT的知识蒸馏学生模型，通过多任务学习对问题和提交进行编码并计算相似度，生成候选链接排序列表。</x:v>
      </x:c>
      <x:c r="M135" s="2" t="str">
        <x:v>接收语义摘要模块（LLM）输出的压缩文本作为输入，并将top-K预测结果传递给语义重排序模块（LLM）进行精炼。</x:v>
      </x:c>
      <x:c r="N135" s="2" t="str">
        <x:v>Yes</x:v>
      </x:c>
      <x:c r="O135" s="2" t="str">
        <x:v>No</x:v>
      </x:c>
      <x:c r="P135" s="2" t="str">
        <x:v>NR</x:v>
      </x:c>
      <x:c r="Q135" s="6" t="str">
        <x:v>p. 3; Section 3.3</x:v>
      </x:c>
      <x:c r="R135" s="6" t="str">
        <x:v>In our implementation, we retain EALink’s efficient and well-validated prediction model</x:v>
      </x:c>
      <x:c r="S135" s="6" t="str">
        <x:v>链接预测模块是核心的非LLM组件，基于EALink框架，负责生成初步的候选排序，作为LLM模块的衔接。</x:v>
      </x:c>
      <x:c r="T135" s="2" t="str">
        <x:v>Accepted</x:v>
      </x:c>
      <x:c r="U135" s="6" t="str">
        <x:v>NA</x:v>
      </x:c>
    </x:row>
    <x:row r="136" ht="76" customHeight="1">
      <x:c r="A136" s="2" t="str">
        <x:v>S42-COMP-R01</x:v>
      </x:c>
      <x:c r="B136" s="2" t="str">
        <x:v>S42</x:v>
      </x:c>
      <x:c r="C136" s="2" t="str">
        <x:v>merged_1266</x:v>
      </x:c>
      <x:c r="D136" s="2" t="str">
        <x:v>Reviewer_A</x:v>
      </x:c>
      <x:c r="E136" s="2" t="str">
        <x:v>Reviewer_A</x:v>
      </x:c>
      <x:c r="F136" s="2" t="str">
        <x:v>S42-CMP01</x:v>
      </x:c>
      <x:c r="G136" s="2" t="str">
        <x:v>S42-T01</x:v>
      </x:c>
      <x:c r="H136" s="2" t="str">
        <x:v>S42-O01</x:v>
      </x:c>
      <x:c r="I136" s="2" t="str">
        <x:v>text-embedding-3-large</x:v>
      </x:c>
      <x:c r="J136" s="6" t="str">
        <x:v>Embedding model</x:v>
      </x:c>
      <x:c r="K136" s="6" t="str">
        <x:v>Candidate retrieval</x:v>
      </x:c>
      <x:c r="L136" s="6" t="str">
        <x:v>将源需求与目标需求转换为嵌入向量，用于相似度计算和候选检索。</x:v>
      </x:c>
      <x:c r="M136" s="2" t="str">
        <x:v>嵌入向量用于在向量存储中检索最相似的目标需求，为LLM提示提供k个候选。</x:v>
      </x:c>
      <x:c r="N136" s="2" t="str">
        <x:v>Yes</x:v>
      </x:c>
      <x:c r="O136" s="2" t="str">
        <x:v>No</x:v>
      </x:c>
      <x:c r="P136" s="2" t="str">
        <x:v>NR</x:v>
      </x:c>
      <x:c r="Q136" s="6" t="str">
        <x:v>p. 7; Section 4.1</x:v>
      </x:c>
      <x:c r="R136" s="6" t="str">
        <x:v>we use text-embedding-3-large by OpenAI as the embedding model</x:v>
      </x:c>
      <x:c r="S136" s="6" t="str">
        <x:v>OpenAI的嵌入模型将需求文本转换为向量，是RAG检索步骤的核心组件。</x:v>
      </x:c>
      <x:c r="T136" s="2" t="str">
        <x:v>Accepted</x:v>
      </x:c>
      <x:c r="U136" s="6" t="str">
        <x:v>NA</x:v>
      </x:c>
    </x:row>
    <x:row r="137" ht="76" customHeight="1">
      <x:c r="A137" s="2" t="str">
        <x:v>S42-COMP-R02</x:v>
      </x:c>
      <x:c r="B137" s="2" t="str">
        <x:v>S42</x:v>
      </x:c>
      <x:c r="C137" s="2" t="str">
        <x:v>merged_1266</x:v>
      </x:c>
      <x:c r="D137" s="2" t="str">
        <x:v>Reviewer_A</x:v>
      </x:c>
      <x:c r="E137" s="2" t="str">
        <x:v>Reviewer_A</x:v>
      </x:c>
      <x:c r="F137" s="2" t="str">
        <x:v>S42-CMP02</x:v>
      </x:c>
      <x:c r="G137" s="2" t="str">
        <x:v>S42-T01</x:v>
      </x:c>
      <x:c r="H137" s="2" t="str">
        <x:v>S42-O01</x:v>
      </x:c>
      <x:c r="I137" s="2" t="str">
        <x:v>Vector store</x:v>
      </x:c>
      <x:c r="J137" s="6" t="str">
        <x:v>Vector database</x:v>
      </x:c>
      <x:c r="K137" s="6" t="str">
        <x:v>Candidate retrieval</x:v>
      </x:c>
      <x:c r="L137" s="6" t="str">
        <x:v>存储目标需求的嵌入向量，支持快速相似度搜索。</x:v>
      </x:c>
      <x:c r="M137" s="2" t="str">
        <x:v>根据源需求的嵌入向量检索Top-k最相似的目标需求嵌入，为LLM提供候选列表。</x:v>
      </x:c>
      <x:c r="N137" s="2" t="str">
        <x:v>Yes</x:v>
      </x:c>
      <x:c r="O137" s="2" t="str">
        <x:v>No</x:v>
      </x:c>
      <x:c r="P137" s="2" t="str">
        <x:v>NR</x:v>
      </x:c>
      <x:c r="Q137" s="6" t="str">
        <x:v>p. 4; Section 3.1</x:v>
      </x:c>
      <x:c r="R137" s="6" t="str">
        <x:v>The embeddings of the requirements from the target set are then stored in a vector store.</x:v>
      </x:c>
      <x:c r="S137" s="6" t="str">
        <x:v>向量存储用于高效检索候选目标需求，是检索步骤的必要组成部分。</x:v>
      </x:c>
      <x:c r="T137" s="2" t="str">
        <x:v>Accepted</x:v>
      </x:c>
      <x:c r="U137" s="6" t="str">
        <x:v>NA</x:v>
      </x:c>
    </x:row>
    <x:row r="138" ht="76" customHeight="1">
      <x:c r="A138" s="2" t="str">
        <x:v>S43-COMP-R01</x:v>
      </x:c>
      <x:c r="B138" s="2" t="str">
        <x:v>S43</x:v>
      </x:c>
      <x:c r="C138" s="2" t="str">
        <x:v>merged_1270</x:v>
      </x:c>
      <x:c r="D138" s="2" t="str">
        <x:v>Reviewer_A</x:v>
      </x:c>
      <x:c r="E138" s="2" t="str">
        <x:v>Reviewer_A</x:v>
      </x:c>
      <x:c r="F138" s="2" t="str">
        <x:v>S43-CMP01</x:v>
      </x:c>
      <x:c r="G138" s="2" t="str">
        <x:v>S43-T01</x:v>
      </x:c>
      <x:c r="H138" s="2" t="str">
        <x:v>NA</x:v>
      </x:c>
      <x:c r="I138" s="2" t="str">
        <x:v>Roberta</x:v>
      </x:c>
      <x:c r="J138" s="6" t="str">
        <x:v>Embedding model</x:v>
      </x:c>
      <x:c r="K138" s="6" t="str">
        <x:v>Context construction</x:v>
      </x:c>
      <x:c r="L138" s="6" t="str">
        <x:v>使用预训练的文本嵌入模型对需求文本和归因推理文本进行向量化，生成节点初始特征。</x:v>
      </x:c>
      <x:c r="M138" s="2" t="str">
        <x:v>编码需求文本和LLM生成的Reason文本，为HGT图提供节点特征；间接处理LLM输出。</x:v>
      </x:c>
      <x:c r="N138" s="2" t="str">
        <x:v>Yes</x:v>
      </x:c>
      <x:c r="O138" s="2" t="str">
        <x:v>No</x:v>
      </x:c>
      <x:c r="P138" s="2" t="str">
        <x:v>NR</x:v>
      </x:c>
      <x:c r="Q138" s="6" t="str">
        <x:v>p. 4; Section III-B</x:v>
      </x:c>
      <x:c r="R138" s="6" t="str">
        <x:v>this study employs RoBERTa for encoding requirements and GraphCodeBERT for encoding code artifacts.</x:v>
      </x:c>
      <x:c r="S138" s="6" t="str">
        <x:v>RoBERTa作为嵌入模型，将需求与归因推理文本转换为向量表示。</x:v>
      </x:c>
      <x:c r="T138" s="2" t="str">
        <x:v>Accepted</x:v>
      </x:c>
      <x:c r="U138" s="6" t="str">
        <x:v>NA</x:v>
      </x:c>
    </x:row>
    <x:row r="139" ht="76" customHeight="1">
      <x:c r="A139" s="2" t="str">
        <x:v>S43-COMP-R02</x:v>
      </x:c>
      <x:c r="B139" s="2" t="str">
        <x:v>S43</x:v>
      </x:c>
      <x:c r="C139" s="2" t="str">
        <x:v>merged_1270</x:v>
      </x:c>
      <x:c r="D139" s="2" t="str">
        <x:v>Reviewer_A</x:v>
      </x:c>
      <x:c r="E139" s="2" t="str">
        <x:v>Reviewer_A</x:v>
      </x:c>
      <x:c r="F139" s="2" t="str">
        <x:v>S43-CMP02</x:v>
      </x:c>
      <x:c r="G139" s="2" t="str">
        <x:v>S43-T01</x:v>
      </x:c>
      <x:c r="H139" s="2" t="str">
        <x:v>NA</x:v>
      </x:c>
      <x:c r="I139" s="2" t="str">
        <x:v>GraphCodeBERT</x:v>
      </x:c>
      <x:c r="J139" s="6" t="str">
        <x:v>Embedding model</x:v>
      </x:c>
      <x:c r="K139" s="6" t="str">
        <x:v>Context construction</x:v>
      </x:c>
      <x:c r="L139" s="6" t="str">
        <x:v>使用预训练的代码嵌入模型对代码文本进行向量化，生成代码节点初始特征。</x:v>
      </x:c>
      <x:c r="M139" s="2" t="str">
        <x:v>编码代码文本，与LLM无直接交互。</x:v>
      </x:c>
      <x:c r="N139" s="2" t="str">
        <x:v>Yes</x:v>
      </x:c>
      <x:c r="O139" s="2" t="str">
        <x:v>No</x:v>
      </x:c>
      <x:c r="P139" s="2" t="str">
        <x:v>NR</x:v>
      </x:c>
      <x:c r="Q139" s="6" t="str">
        <x:v>p. 4; Section III-B</x:v>
      </x:c>
      <x:c r="R139" s="6" t="str">
        <x:v>this study employs RoBERTa for encoding requirements and GraphCodeBERT for encoding code artifacts.</x:v>
      </x:c>
      <x:c r="S139" s="6" t="str">
        <x:v>GraphCodeBERT用于编码代码文本，提供代码语义特征。</x:v>
      </x:c>
      <x:c r="T139" s="2" t="str">
        <x:v>Accepted</x:v>
      </x:c>
      <x:c r="U139" s="6" t="str">
        <x:v>NA</x:v>
      </x:c>
    </x:row>
    <x:row r="140" ht="76" customHeight="1">
      <x:c r="A140" s="2" t="str">
        <x:v>S43-COMP-R03</x:v>
      </x:c>
      <x:c r="B140" s="2" t="str">
        <x:v>S43</x:v>
      </x:c>
      <x:c r="C140" s="2" t="str">
        <x:v>merged_1270</x:v>
      </x:c>
      <x:c r="D140" s="2" t="str">
        <x:v>Reviewer_A</x:v>
      </x:c>
      <x:c r="E140" s="2" t="str">
        <x:v>Reviewer_A</x:v>
      </x:c>
      <x:c r="F140" s="2" t="str">
        <x:v>S43-CMP03</x:v>
      </x:c>
      <x:c r="G140" s="2" t="str">
        <x:v>S43-T01</x:v>
      </x:c>
      <x:c r="H140" s="2" t="str">
        <x:v>NA</x:v>
      </x:c>
      <x:c r="I140" s="2" t="str">
        <x:v>HGT</x:v>
      </x:c>
      <x:c r="J140" s="6" t="str">
        <x:v>Non-LLM ML or DL</x:v>
      </x:c>
      <x:c r="K140" s="6" t="str">
        <x:v>Candidate generation</x:v>
      </x:c>
      <x:c r="L140" s="6" t="str">
        <x:v>异构图表征学习与链接预测：通过消息传递和注意力机制融合需求、代码与归因推理节点信息，预测可追溯性链接。</x:v>
      </x:c>
      <x:c r="M140" s="2" t="str">
        <x:v>接收LLM生成的Reason节点作为图结构中的边，利用增强的语义信息进行链接预测。</x:v>
      </x:c>
      <x:c r="N140" s="2" t="str">
        <x:v>Yes</x:v>
      </x:c>
      <x:c r="O140" s="2" t="str">
        <x:v>Yes</x:v>
      </x:c>
      <x:c r="P140" s="2" t="str">
        <x:v>仅使用HGT时F1较低；加入LLM归因推理后，平均F1提升17.56%。</x:v>
      </x:c>
      <x:c r="Q140" s="6" t="str">
        <x:v>p. 10; Section V-B</x:v>
      </x:c>
      <x:c r="R140" s="6" t="str">
        <x:v>Moreover, compared to using HGT alone, HGT+Gemini achieves an average F1-score increase of 17.56%.</x:v>
      </x:c>
      <x:c r="S140" s="6" t="str">
        <x:v>HGT是核心预测模型，通过消融实验证明结合LLM推理后可显著提升性能。</x:v>
      </x:c>
      <x:c r="T140" s="2" t="str">
        <x:v>Accepted</x:v>
      </x:c>
      <x:c r="U140" s="6" t="str">
        <x:v>HGT基于PyTorch Geometric实现，在NVIDIA RTX 3090上训练。</x:v>
      </x:c>
    </x:row>
    <x:row r="141" ht="76" customHeight="1">
      <x:c r="A141" s="2" t="str">
        <x:v>S44-COMP-R01</x:v>
      </x:c>
      <x:c r="B141" s="2" t="str">
        <x:v>S44</x:v>
      </x:c>
      <x:c r="C141" s="2" t="str">
        <x:v>merged_1274</x:v>
      </x:c>
      <x:c r="D141" s="2" t="str">
        <x:v>Reviewer_A</x:v>
      </x:c>
      <x:c r="E141" s="2" t="str">
        <x:v>Reviewer_A</x:v>
      </x:c>
      <x:c r="F141" s="2" t="str">
        <x:v>S44-CMP01</x:v>
      </x:c>
      <x:c r="G141" s="2" t="str">
        <x:v>S44-T01</x:v>
      </x:c>
      <x:c r="H141" s="2" t="str">
        <x:v>NA</x:v>
      </x:c>
      <x:c r="I141" s="2" t="str">
        <x:v>SimCSE (based on RoBERTa-large)</x:v>
      </x:c>
      <x:c r="J141" s="6" t="str">
        <x:v>Embedding model</x:v>
      </x:c>
      <x:c r="K141" s="6" t="str">
        <x:v>Candidate generation</x:v>
      </x:c>
      <x:c r="L141" s="6" t="str">
        <x:v>将文本编码为句子向量，并计算语义相似度以生成候选链接列表。</x:v>
      </x:c>
      <x:c r="M141" s="2" t="str">
        <x:v>接收LLM生成的业务需求描述和原始需求作为输入，输出相似度分数并排序，不直接与LLM交互。</x:v>
      </x:c>
      <x:c r="N141" s="2" t="str">
        <x:v>Yes</x:v>
      </x:c>
      <x:c r="O141" s="2" t="str">
        <x:v>No</x:v>
      </x:c>
      <x:c r="P141" s="2" t="str">
        <x:v>NR</x:v>
      </x:c>
      <x:c r="Q141" s="6" t="str">
        <x:v>p. 2; D. Similarity Calculation</x:v>
      </x:c>
      <x:c r="R141" s="6" t="str">
        <x:v>We adopt SimCSE for similarity computation due to its unsupervised learning paradigm, which removes the need for labeled data and simplifies preprocessing.</x:v>
      </x:c>
      <x:c r="S141" s="6" t="str">
        <x:v>SimCSE作为外部嵌入模型，承担相似度计算和候选生成的功能，是流程中的关键非LLM组件。</x:v>
      </x:c>
      <x:c r="T141" s="2" t="str">
        <x:v>Accepted</x:v>
      </x:c>
      <x:c r="U141" s="6" t="str">
        <x:v>论文未对该组件进行消融实验或替代对比。</x:v>
      </x:c>
    </x:row>
    <x:row r="142" ht="76" customHeight="1">
      <x:c r="A142" s="2" t="str">
        <x:v>S45-COMP-R01</x:v>
      </x:c>
      <x:c r="B142" s="2" t="str">
        <x:v>S45</x:v>
      </x:c>
      <x:c r="C142" s="2" t="str">
        <x:v>merged_1275</x:v>
      </x:c>
      <x:c r="D142" s="2" t="str">
        <x:v>Reviewer_A</x:v>
      </x:c>
      <x:c r="E142" s="2" t="str">
        <x:v>Reviewer_A</x:v>
      </x:c>
      <x:c r="F142" s="2" t="str">
        <x:v>S45-CMP01</x:v>
      </x:c>
      <x:c r="G142" s="2" t="str">
        <x:v>S45-T01</x:v>
      </x:c>
      <x:c r="H142" s="2" t="str">
        <x:v>S45-O01</x:v>
      </x:c>
      <x:c r="I142" s="2" t="str">
        <x:v>Expert respondents (pooling evaluation)</x:v>
      </x:c>
      <x:c r="J142" s="6" t="str">
        <x:v>Human review</x:v>
      </x:c>
      <x:c r="K142" s="6" t="str">
        <x:v>Evaluation only</x:v>
      </x:c>
      <x:c r="L142" s="6" t="str">
        <x:v>五位平均经验10年的专家独立执行与 ChatGPT-4o 相同的链接质量评估任务，其结果被整合为基准真值。</x:v>
      </x:c>
      <x:c r="M142" s="2" t="str">
        <x:v>专家评估结果与 ChatGPT-4o 结果进行对比以计算精确度、召回率和 F1 分数。</x:v>
      </x:c>
      <x:c r="N142" s="2" t="str">
        <x:v>No</x:v>
      </x:c>
      <x:c r="O142" s="2" t="str">
        <x:v>No</x:v>
      </x:c>
      <x:c r="P142" s="2" t="str">
        <x:v>NR</x:v>
      </x:c>
      <x:c r="Q142" s="6" t="str">
        <x:v>p. 2; Study 1 section</x:v>
      </x:c>
      <x:c r="R142" s="6" t="str">
        <x:v>five experts at Area 21 with an average industry experience of 10 years</x:v>
      </x:c>
      <x:c r="S142" s="6" t="str">
        <x:v>人类评审仅用于评估 LLM 的输出，不参与 LLM 工作流。</x:v>
      </x:c>
      <x:c r="T142" s="2" t="str">
        <x:v>Accepted</x:v>
      </x:c>
      <x:c r="U142" s="6" t="str">
        <x:v>NA</x:v>
      </x:c>
    </x:row>
    <x:row r="143" ht="76" customHeight="1">
      <x:c r="A143" s="2" t="str">
        <x:v>S45-COMP-R02</x:v>
      </x:c>
      <x:c r="B143" s="2" t="str">
        <x:v>S45</x:v>
      </x:c>
      <x:c r="C143" s="2" t="str">
        <x:v>merged_1275</x:v>
      </x:c>
      <x:c r="D143" s="2" t="str">
        <x:v>Reviewer_A</x:v>
      </x:c>
      <x:c r="E143" s="2" t="str">
        <x:v>Reviewer_A</x:v>
      </x:c>
      <x:c r="F143" s="2" t="str">
        <x:v>S45-CMP02</x:v>
      </x:c>
      <x:c r="G143" s="2" t="str">
        <x:v>S45-T01</x:v>
      </x:c>
      <x:c r="H143" s="2" t="str">
        <x:v>S45-O01</x:v>
      </x:c>
      <x:c r="I143" s="2" t="str">
        <x:v>Expert evaluator (ranking)</x:v>
      </x:c>
      <x:c r="J143" s="6" t="str">
        <x:v>Human review</x:v>
      </x:c>
      <x:c r="K143" s="6" t="str">
        <x:v>Evaluation only</x:v>
      </x:c>
      <x:c r="L143" s="6" t="str">
        <x:v>嵌入式软件开发负责人对六个匿名响应（五个专家和一个 ChatGPT-4o）进行排名。</x:v>
      </x:c>
      <x:c r="M143" s="2" t="str">
        <x:v>将 ChatGPT-4o 的响应与其他专家响应混合，由评估者进行盲评排名。</x:v>
      </x:c>
      <x:c r="N143" s="2" t="str">
        <x:v>No</x:v>
      </x:c>
      <x:c r="O143" s="2" t="str">
        <x:v>No</x:v>
      </x:c>
      <x:c r="P143" s="2" t="str">
        <x:v>NR</x:v>
      </x:c>
      <x:c r="Q143" s="6" t="str">
        <x:v>p. 2; Study 1 section</x:v>
      </x:c>
      <x:c r="R143" s="6" t="str">
        <x:v>the Head of Embedded Software Development at Area 21, was presented with six anonymous responses</x:v>
      </x:c>
      <x:c r="S143" s="6" t="str">
        <x:v>排名评估独立于 LLM，用于衡量 ChatGPT-4o 输出在人类专家中的相对质量。</x:v>
      </x:c>
      <x:c r="T143" s="2" t="str">
        <x:v>Accepted</x:v>
      </x:c>
      <x:c r="U143" s="6" t="str">
        <x:v>NA</x:v>
      </x:c>
    </x:row>
    <x:row r="144" ht="76" customHeight="1">
      <x:c r="A144" s="2" t="str">
        <x:v>S45-COMP-R03</x:v>
      </x:c>
      <x:c r="B144" s="2" t="str">
        <x:v>S45</x:v>
      </x:c>
      <x:c r="C144" s="2" t="str">
        <x:v>merged_1275</x:v>
      </x:c>
      <x:c r="D144" s="2" t="str">
        <x:v>Reviewer_A</x:v>
      </x:c>
      <x:c r="E144" s="2" t="str">
        <x:v>Reviewer_A</x:v>
      </x:c>
      <x:c r="F144" s="2" t="str">
        <x:v>S45-CMP03</x:v>
      </x:c>
      <x:c r="G144" s="2" t="str">
        <x:v>S45-T02</x:v>
      </x:c>
      <x:c r="H144" s="2" t="str">
        <x:v>S45-O02</x:v>
      </x:c>
      <x:c r="I144" s="2" t="str">
        <x:v>Test experts</x:v>
      </x:c>
      <x:c r="J144" s="6" t="str">
        <x:v>Human review</x:v>
      </x:c>
      <x:c r="K144" s="6" t="str">
        <x:v>Evaluation only</x:v>
      </x:c>
      <x:c r="L144" s="6" t="str">
        <x:v>两位测试专家审查 ChatGPT-4o 的分析，并对其有效性和有用性进行评分。</x:v>
      </x:c>
      <x:c r="M144" s="2" t="str">
        <x:v>专家评审 ChatGPT-4o 生成的测试用例覆盖度评估和建议，给出验证评价。</x:v>
      </x:c>
      <x:c r="N144" s="2" t="str">
        <x:v>No</x:v>
      </x:c>
      <x:c r="O144" s="2" t="str">
        <x:v>No</x:v>
      </x:c>
      <x:c r="P144" s="2" t="str">
        <x:v>NR</x:v>
      </x:c>
      <x:c r="Q144" s="6" t="str">
        <x:v>p. 3; Study 2 section</x:v>
      </x:c>
      <x:c r="R144" s="6" t="str">
        <x:v>ChatGPT-4o’s analysis was reviewed by two test experts at Area 21</x:v>
      </x:c>
      <x:c r="S144" s="6" t="str">
        <x:v>人类专家验证 LLM 输出的准确性和完备性，但不参与模型推理。</x:v>
      </x:c>
      <x:c r="T144" s="2" t="str">
        <x:v>Accepted</x:v>
      </x:c>
      <x:c r="U144" s="6" t="str">
        <x:v>NA</x:v>
      </x:c>
    </x:row>
    <x:row r="145" ht="76" customHeight="1">
      <x:c r="A145" s="2" t="str">
        <x:v>S47-COMP-R01</x:v>
      </x:c>
      <x:c r="B145" s="2" t="str">
        <x:v>S47</x:v>
      </x:c>
      <x:c r="C145" s="2" t="str">
        <x:v>merged_1302-v1</x:v>
      </x:c>
      <x:c r="D145" s="2" t="str">
        <x:v>Reviewer_A</x:v>
      </x:c>
      <x:c r="E145" s="2" t="str">
        <x:v>Reviewer_A</x:v>
      </x:c>
      <x:c r="F145" s="2" t="str">
        <x:v>S47-CMP01</x:v>
      </x:c>
      <x:c r="G145" s="2" t="str">
        <x:v>S47-T01</x:v>
      </x:c>
      <x:c r="H145" s="2" t="str">
        <x:v>S47-O04</x:v>
      </x:c>
      <x:c r="I145" s="2" t="str">
        <x:v>Universal Ctags</x:v>
      </x:c>
      <x:c r="J145" s="6" t="str">
        <x:v>Static analysis</x:v>
      </x:c>
      <x:c r="K145" s="6" t="str">
        <x:v>Feature augmentation</x:v>
      </x:c>
      <x:c r="L145" s="6" t="str">
        <x:v>解析 C/C++ 源代码，提取函数、宏、结构体、枚举等符号及其行号信息</x:v>
      </x:c>
      <x:c r="M145" s="2" t="str">
        <x:v>提取的符号信息被传递给 LLM（可能直接嵌入提示或用于生成紧凑代码表示），以辅助代码符号发现步骤的语义匹配</x:v>
      </x:c>
      <x:c r="N145" s="2" t="str">
        <x:v>Yes</x:v>
      </x:c>
      <x:c r="O145" s="2" t="str">
        <x:v>Yes</x:v>
      </x:c>
      <x:c r="P145" s="2" t="str">
        <x:v>消融实验显示，集成 Ctags 后，总 token 消耗从 49.0M 降至 17.7M，但文件映射准确率从 63.3% 变为 56.7%（有一定波动）</x:v>
      </x:c>
      <x:c r="Q145" s="6" t="str">
        <x:v>p. 9; Section 4.4 Code Symbol Discovery</x:v>
      </x:c>
      <x:c r="R145" s="6" t="str">
        <x:v>The system integrates Universal Ctags [16] for reliable parsing of C/C++ code symbols, extracting functions, macros, structs, constants, and enums with precise line number information.</x:v>
      </x:c>
      <x:c r="S145" s="6" t="str">
        <x:v>Ctags 作为独立的静态分析工具，为 LLM 提供精确的符号级数据，显著减少了 LLM 需要处理的原始代码量，是工作流中的关键增强组件</x:v>
      </x:c>
      <x:c r="T145" s="2" t="str">
        <x:v>Accepted</x:v>
      </x:c>
      <x:c r="U145" s="6" t="str">
        <x:v>NR</x:v>
      </x:c>
    </x:row>
    <x:row r="146" ht="76" customHeight="1">
      <x:c r="A146" s="2" t="str">
        <x:v>S48-COMP-R01</x:v>
      </x:c>
      <x:c r="B146" s="2" t="str">
        <x:v>S48</x:v>
      </x:c>
      <x:c r="C146" s="2" t="str">
        <x:v>merged_1441</x:v>
      </x:c>
      <x:c r="D146" s="2" t="str">
        <x:v>Reviewer_A</x:v>
      </x:c>
      <x:c r="E146" s="2" t="str">
        <x:v>Reviewer_A</x:v>
      </x:c>
      <x:c r="F146" s="2" t="str">
        <x:v>S48-CMP01</x:v>
      </x:c>
      <x:c r="G146" s="2" t="str">
        <x:v>S48-T01</x:v>
      </x:c>
      <x:c r="H146" s="2" t="str">
        <x:v>S48-O02</x:v>
      </x:c>
      <x:c r="I146" s="2" t="str">
        <x:v>Heterogeneous Graph Neural Network (HGNN)</x:v>
      </x:c>
      <x:c r="J146" s="6" t="str">
        <x:v>Non-LLM ML or DL</x:v>
      </x:c>
      <x:c r="K146" s="6" t="str">
        <x:v>Context construction</x:v>
      </x:c>
      <x:c r="L146" s="6" t="str">
        <x:v>构建包含问题、负责人和组件的异构图，定义元路径，执行元路径内和元路径间的聚合，生成最终问题嵌入用于链接预测。</x:v>
      </x:c>
      <x:c r="M146" s="2" t="str">
        <x:v>接收来自LLM特征提取的问题初始嵌入作为节点特征。</x:v>
      </x:c>
      <x:c r="N146" s="2" t="str">
        <x:v>Yes</x:v>
      </x:c>
      <x:c r="O146" s="2" t="str">
        <x:v>Yes</x:v>
      </x:c>
      <x:c r="P146" s="2" t="str">
        <x:v>联合建模所有节点类型，与仅使用问题节点相比，F1-score提升12.23%。</x:v>
      </x:c>
      <x:c r="Q146" s="6" t="str">
        <x:v>p. 12; Section V-B, Table III</x:v>
      </x:c>
      <x:c r="R146" s="6" t="str">
        <x:v>The best performance is achieved when all three node types (issue, assignee, and component) are jointly modeled. This full heterogeneous configuration yields substantial improvements</x:v>
      </x:c>
      <x:c r="S146" s="6" t="str">
        <x:v>异构图神经网络是LLM下游的核心组件，利用LLM嵌入进行结构增强和推理。</x:v>
      </x:c>
      <x:c r="T146" s="2" t="str">
        <x:v>Accepted</x:v>
      </x:c>
      <x:c r="U146" s="6" t="str">
        <x:v>Metapaths include I-I, I-A-I, I-C-I, I-C-C-I. Uses RotatE-inspired instance encoder and global attention.</x:v>
      </x:c>
    </x:row>
    <x:row r="147" ht="76" customHeight="1">
      <x:c r="A147" s="2" t="str">
        <x:v>S49-COMP-R01</x:v>
      </x:c>
      <x:c r="B147" s="2" t="str">
        <x:v>S49</x:v>
      </x:c>
      <x:c r="C147" s="2" t="str">
        <x:v>merged_1486</x:v>
      </x:c>
      <x:c r="D147" s="2" t="str">
        <x:v>Reviewer_A</x:v>
      </x:c>
      <x:c r="E147" s="2" t="str">
        <x:v>Reviewer_A</x:v>
      </x:c>
      <x:c r="F147" s="2" t="str">
        <x:v>S49-CMP01</x:v>
      </x:c>
      <x:c r="G147" s="2" t="str">
        <x:v>S49-T01</x:v>
      </x:c>
      <x:c r="H147" s="2" t="str">
        <x:v>NA</x:v>
      </x:c>
      <x:c r="I147" s="2" t="str">
        <x:v>program script (GenAI4REtasks)</x:v>
      </x:c>
      <x:c r="J147" s="6" t="str">
        <x:v>Tool framework</x:v>
      </x:c>
      <x:c r="K147" s="6" t="str">
        <x:v>Evaluation only</x:v>
      </x:c>
      <x:c r="L147" s="6" t="str">
        <x:v>通過API調用GPT-3.5-turbo，發送包含不同提示模式的請求，收集並自動計算性能指標。</x:v>
      </x:c>
      <x:c r="M147" s="2" t="str">
        <x:v>腳本程序化地構造提示、調用API、捕獲LLM輸出並與真實標註比較。</x:v>
      </x:c>
      <x:c r="N147" s="2" t="str">
        <x:v>No</x:v>
      </x:c>
      <x:c r="O147" s="2" t="str">
        <x:v>No</x:v>
      </x:c>
      <x:c r="P147" s="2" t="str">
        <x:v>NR</x:v>
      </x:c>
      <x:c r="Q147" s="6" t="str">
        <x:v>p. 15; section 4.3, Step-2</x:v>
      </x:c>
      <x:c r="R147" s="6" t="str">
        <x:v>– Step-2: Create a program script1 that mimics the RE task’s underlying logic. The script should be designed to leverage the capabilities of the GenAI</x:v>
      </x:c>
      <x:c r="S147" s="6" t="str">
        <x:v>該腳本僅用於實驗評估，並非追蹤鏈路生成工作流的一部分，因此is_workflow_component設為No。</x:v>
      </x:c>
      <x:c r="T147" s="2" t="str">
        <x:v>Accepted</x:v>
      </x:c>
      <x:c r="U147" s="6" t="str">
        <x:v>The script is available at https://github.com/beatrizcabdan/GenAI4REtasks</x:v>
      </x:c>
    </x:row>
    <x:row r="148" ht="76" customHeight="1">
      <x:c r="A148" s="2" t="str">
        <x:v>S50-COMP-R01</x:v>
      </x:c>
      <x:c r="B148" s="2" t="str">
        <x:v>S50</x:v>
      </x:c>
      <x:c r="C148" s="2" t="str">
        <x:v>snowball_00068</x:v>
      </x:c>
      <x:c r="D148" s="2" t="str">
        <x:v>Reviewer_A</x:v>
      </x:c>
      <x:c r="E148" s="2" t="str">
        <x:v>Reviewer_A</x:v>
      </x:c>
      <x:c r="F148" s="2" t="str">
        <x:v>S50-CMP01</x:v>
      </x:c>
      <x:c r="G148" s="2" t="str">
        <x:v>S50-T01</x:v>
      </x:c>
      <x:c r="H148" s="2" t="str">
        <x:v>S50-O01</x:v>
      </x:c>
      <x:c r="I148" s="2" t="str">
        <x:v>knowledge graph</x:v>
      </x:c>
      <x:c r="J148" s="6" t="str">
        <x:v>Knowledge graph</x:v>
      </x:c>
      <x:c r="K148" s="6" t="str">
        <x:v>Context construction</x:v>
      </x:c>
      <x:c r="L148" s="6" t="str">
        <x:v>存储ICS架构和安全需求的本体知识图谱，为LLM提供领域特定信息。</x:v>
      </x:c>
      <x:c r="M148" s="2" t="str">
        <x:v>通过SPARQL查询检索相关三元组，并转换为自然语言句子后输入LLM提示。</x:v>
      </x:c>
      <x:c r="N148" s="2" t="str">
        <x:v>Yes</x:v>
      </x:c>
      <x:c r="O148" s="2" t="str">
        <x:v>No</x:v>
      </x:c>
      <x:c r="P148" s="2" t="str">
        <x:v>NR</x:v>
      </x:c>
      <x:c r="Q148" s="6" t="str">
        <x:v>p. 1; Abstract</x:v>
      </x:c>
      <x:c r="R148" s="6" t="str">
        <x:v>we propose a framework for leveraging large language models (LLMs) combined with knowledge graphs</x:v>
      </x:c>
      <x:c r="S148" s="6" t="str">
        <x:v>知识图谱是框架的核心信息源，存储系统架构和安全要求。</x:v>
      </x:c>
      <x:c r="T148" s="2" t="str">
        <x:v>Accepted</x:v>
      </x:c>
      <x:c r="U148" s="6" t="str">
        <x:v>NA</x:v>
      </x:c>
    </x:row>
    <x:row r="149" ht="76" customHeight="1">
      <x:c r="A149" s="2" t="str">
        <x:v>S50-COMP-R02</x:v>
      </x:c>
      <x:c r="B149" s="2" t="str">
        <x:v>S50</x:v>
      </x:c>
      <x:c r="C149" s="2" t="str">
        <x:v>snowball_00068</x:v>
      </x:c>
      <x:c r="D149" s="2" t="str">
        <x:v>Reviewer_A</x:v>
      </x:c>
      <x:c r="E149" s="2" t="str">
        <x:v>Reviewer_A</x:v>
      </x:c>
      <x:c r="F149" s="2" t="str">
        <x:v>S50-CMP02</x:v>
      </x:c>
      <x:c r="G149" s="2" t="str">
        <x:v>S50-T01</x:v>
      </x:c>
      <x:c r="H149" s="2" t="str">
        <x:v>S50-O01</x:v>
      </x:c>
      <x:c r="I149" s="2" t="str">
        <x:v>SPARQL queries</x:v>
      </x:c>
      <x:c r="J149" s="6" t="str">
        <x:v>Tool framework</x:v>
      </x:c>
      <x:c r="K149" s="6" t="str">
        <x:v>Context construction</x:v>
      </x:c>
      <x:c r="L149" s="6" t="str">
        <x:v>执行SPARQL查询从知识图谱中检索相关实例及其邻居的RDF三元组。</x:v>
      </x:c>
      <x:c r="M149" s="2" t="str">
        <x:v>为LLM提供结构化的知识图谱数据，后续转换为自然语言。</x:v>
      </x:c>
      <x:c r="N149" s="2" t="str">
        <x:v>Yes</x:v>
      </x:c>
      <x:c r="O149" s="2" t="str">
        <x:v>No</x:v>
      </x:c>
      <x:c r="P149" s="2" t="str">
        <x:v>NR</x:v>
      </x:c>
      <x:c r="Q149" s="6" t="str">
        <x:v>p. 9; Algorithm 1</x:v>
      </x:c>
      <x:c r="R149" s="6" t="str">
        <x:v>Execute SPARQL queries for each class in Cm to retrieve RDF triples Tm regarding instances I of selected classes</x:v>
      </x:c>
      <x:c r="S149" s="6" t="str">
        <x:v>SPARQL查询引擎用于从知识图谱中抽取相关数据，是数据检索的基础组件。</x:v>
      </x:c>
      <x:c r="T149" s="2" t="str">
        <x:v>Accepted</x:v>
      </x:c>
      <x:c r="U149" s="6" t="str">
        <x:v>NA</x:v>
      </x:c>
    </x:row>
    <x:row r="150" ht="76" customHeight="1">
      <x:c r="A150" s="2" t="str">
        <x:v>S50-COMP-R03</x:v>
      </x:c>
      <x:c r="B150" s="2" t="str">
        <x:v>S50</x:v>
      </x:c>
      <x:c r="C150" s="2" t="str">
        <x:v>snowball_00068</x:v>
      </x:c>
      <x:c r="D150" s="2" t="str">
        <x:v>Reviewer_A</x:v>
      </x:c>
      <x:c r="E150" s="2" t="str">
        <x:v>Reviewer_A</x:v>
      </x:c>
      <x:c r="F150" s="2" t="str">
        <x:v>S50-CMP03</x:v>
      </x:c>
      <x:c r="G150" s="2" t="str">
        <x:v>S50-T01</x:v>
      </x:c>
      <x:c r="H150" s="2" t="str">
        <x:v>S50-O02</x:v>
      </x:c>
      <x:c r="I150" s="2" t="str">
        <x:v>all-MiniLM-L6-v2</x:v>
      </x:c>
      <x:c r="J150" s="6" t="str">
        <x:v>Embedding model</x:v>
      </x:c>
      <x:c r="K150" s="6" t="str">
        <x:v>Context construction</x:v>
      </x:c>
      <x:c r="L150" s="6" t="str">
        <x:v>将句子和标准定义转换为密集向量，用于余弦相似度搜索以检索IEC 62443-3-3相关术语。</x:v>
      </x:c>
      <x:c r="M150" s="2" t="str">
        <x:v>不直接与LLM交互，而是为提示构建提供相似度检索结果。</x:v>
      </x:c>
      <x:c r="N150" s="2" t="str">
        <x:v>Yes</x:v>
      </x:c>
      <x:c r="O150" s="2" t="str">
        <x:v>No</x:v>
      </x:c>
      <x:c r="P150" s="2" t="str">
        <x:v>NR</x:v>
      </x:c>
      <x:c r="Q150" s="6" t="str">
        <x:v>p. 7; Section IV-C</x:v>
      </x:c>
      <x:c r="R150" s="6" t="str">
        <x:v>human users shall be authenticated” will be transformed to a dense row vector V with 384 numerical elements, V =</x:v>
      </x:c>
      <x:c r="S150" s="6" t="str">
        <x:v>句子转换器用于生成嵌入向量，支持基于语义相似度的术语检索。</x:v>
      </x:c>
      <x:c r="T150" s="2" t="str">
        <x:v>Accepted</x:v>
      </x:c>
      <x:c r="U150" s="6" t="str">
        <x:v>NA</x:v>
      </x:c>
    </x:row>
    <x:row r="151" ht="76" customHeight="1">
      <x:c r="A151" s="2" t="str">
        <x:v>S50-COMP-R04</x:v>
      </x:c>
      <x:c r="B151" s="2" t="str">
        <x:v>S50</x:v>
      </x:c>
      <x:c r="C151" s="2" t="str">
        <x:v>snowball_00068</x:v>
      </x:c>
      <x:c r="D151" s="2" t="str">
        <x:v>Reviewer_A</x:v>
      </x:c>
      <x:c r="E151" s="2" t="str">
        <x:v>Reviewer_A</x:v>
      </x:c>
      <x:c r="F151" s="2" t="str">
        <x:v>S50-CMP04</x:v>
      </x:c>
      <x:c r="G151" s="2" t="str">
        <x:v>S50-T01</x:v>
      </x:c>
      <x:c r="H151" s="2" t="str">
        <x:v>S50-O02</x:v>
      </x:c>
      <x:c r="I151" s="2" t="str">
        <x:v>FAISS</x:v>
      </x:c>
      <x:c r="J151" s="6" t="str">
        <x:v>Vector database</x:v>
      </x:c>
      <x:c r="K151" s="6" t="str">
        <x:v>Context construction</x:v>
      </x:c>
      <x:c r="L151" s="6" t="str">
        <x:v>存储IEC 62443-3-3术语定义的嵌入向量，并执行快速相似度搜索。</x:v>
      </x:c>
      <x:c r="M151" s="2" t="str">
        <x:v>为LLM提示提供最相关的标准术语和定义。</x:v>
      </x:c>
      <x:c r="N151" s="2" t="str">
        <x:v>Yes</x:v>
      </x:c>
      <x:c r="O151" s="2" t="str">
        <x:v>No</x:v>
      </x:c>
      <x:c r="P151" s="2" t="str">
        <x:v>NR</x:v>
      </x:c>
      <x:c r="Q151" s="6" t="str">
        <x:v>p. 9; Algorithm 1</x:v>
      </x:c>
      <x:c r="R151" s="6" t="str">
        <x:v>using FAISS [48]</x:v>
      </x:c>
      <x:c r="S151" s="6" t="str">
        <x:v>FAISS向量数据库用于高效存储和检索标准定义的嵌入表示。</x:v>
      </x:c>
      <x:c r="T151" s="2" t="str">
        <x:v>Accepted</x:v>
      </x:c>
      <x:c r="U151" s="6" t="str">
        <x:v>NA</x:v>
      </x:c>
    </x:row>
    <x:row r="152" ht="76" customHeight="1">
      <x:c r="A152" s="2" t="str">
        <x:v>S50-COMP-R05</x:v>
      </x:c>
      <x:c r="B152" s="2" t="str">
        <x:v>S50</x:v>
      </x:c>
      <x:c r="C152" s="2" t="str">
        <x:v>snowball_00068</x:v>
      </x:c>
      <x:c r="D152" s="2" t="str">
        <x:v>Reviewer_A</x:v>
      </x:c>
      <x:c r="E152" s="2" t="str">
        <x:v>Reviewer_A</x:v>
      </x:c>
      <x:c r="F152" s="2" t="str">
        <x:v>S50-CMP05</x:v>
      </x:c>
      <x:c r="G152" s="2" t="str">
        <x:v>S50-T01</x:v>
      </x:c>
      <x:c r="H152" s="2" t="str">
        <x:v>NA</x:v>
      </x:c>
      <x:c r="I152" s="2" t="str">
        <x:v>SPARQL query language</x:v>
      </x:c>
      <x:c r="J152" s="6" t="str">
        <x:v>Other</x:v>
      </x:c>
      <x:c r="K152" s="6" t="str">
        <x:v>Evaluation only</x:v>
      </x:c>
      <x:c r="L152" s="6" t="str">
        <x:v>直接编写SPARQL查询从知识图谱中检索信息，作为可用性对比基线。</x:v>
      </x:c>
      <x:c r="M152" s="2" t="str">
        <x:v>无，独立于LLM。</x:v>
      </x:c>
      <x:c r="N152" s="2" t="str">
        <x:v>No</x:v>
      </x:c>
      <x:c r="O152" s="2" t="str">
        <x:v>NA</x:v>
      </x:c>
      <x:c r="P152" s="2" t="str">
        <x:v>NR</x:v>
      </x:c>
      <x:c r="Q152" s="6" t="str">
        <x:v>p. 12; Section V-D</x:v>
      </x:c>
      <x:c r="R152" s="6" t="str">
        <x:v>Five users were tasked with determining the types of actions the operator in the “Control Network” zone is permitted to perform using: 1) SPARQL query language, and 2) the user interface designed for our proposed framework</x:v>
      </x:c>
      <x:c r="S152" s="6" t="str">
        <x:v>SPARQL作为基线方法，用于对比LLM框架的可用性。</x:v>
      </x:c>
      <x:c r="T152" s="2" t="str">
        <x:v>Accepted</x:v>
      </x:c>
      <x:c r="U152" s="6" t="str">
        <x:v>NA</x:v>
      </x:c>
    </x:row>
    <x:row r="153" ht="76" customHeight="1">
      <x:c r="A153" s="2" t="str">
        <x:v>S51-COMP-R01</x:v>
      </x:c>
      <x:c r="B153" s="2" t="str">
        <x:v>S51</x:v>
      </x:c>
      <x:c r="C153" s="2" t="str">
        <x:v>snowball_00085</x:v>
      </x:c>
      <x:c r="D153" s="2" t="str">
        <x:v>Reviewer_A</x:v>
      </x:c>
      <x:c r="E153" s="2" t="str">
        <x:v>Reviewer_A</x:v>
      </x:c>
      <x:c r="F153" s="2" t="str">
        <x:v>S51-CMP01</x:v>
      </x:c>
      <x:c r="G153" s="2" t="str">
        <x:v>S51-T01</x:v>
      </x:c>
      <x:c r="H153" s="2" t="str">
        <x:v>NA</x:v>
      </x:c>
      <x:c r="I153" s="2" t="str">
        <x:v>Formal rule-based system (SysML/OCL in MSOSA)</x:v>
      </x:c>
      <x:c r="J153" s="6" t="str">
        <x:v>Rule or heuristic</x:v>
      </x:c>
      <x:c r="K153" s="6" t="str">
        <x:v>Evaluation only</x:v>
      </x:c>
      <x:c r="L153" s="6" t="str">
        <x:v>通过将系统规格建模为SysML图并将需求表达为OCL约束，利用MSOSA验证功能自动评估系统规格是否满足需求，生成基准真值。</x:v>
      </x:c>
      <x:c r="M153" s="2" t="str">
        <x:v>不参与LLM工作流；仅用于生成评估基准，与LLM结果进行比较。</x:v>
      </x:c>
      <x:c r="N153" s="2" t="str">
        <x:v>No</x:v>
      </x:c>
      <x:c r="O153" s="2" t="str">
        <x:v>NA</x:v>
      </x:c>
      <x:c r="P153" s="2" t="str">
        <x:v>NR</x:v>
      </x:c>
      <x:c r="Q153" s="6" t="str">
        <x:v>p. 1; Abstract</x:v>
      </x:c>
      <x:c r="R153" s="6" t="str">
        <x:v>Formal rule-based systems serve as a benchmark to compare LLM performance to.</x:v>
      </x:c>
      <x:c r="S153" s="6" t="str">
        <x:v>形式化规则系统作为基准，用于评估LLM在需求验证任务上的表现。</x:v>
      </x:c>
      <x:c r="T153" s="2" t="str">
        <x:v>Accepted</x:v>
      </x:c>
      <x:c r="U153" s="6" t="str">
        <x:v>NA</x:v>
      </x:c>
    </x:row>
    <x:row r="154" ht="76" customHeight="1">
      <x:c r="A154" s="2" t="str">
        <x:v>S52-COMP-R01</x:v>
      </x:c>
      <x:c r="B154" s="2" t="str">
        <x:v>S52</x:v>
      </x:c>
      <x:c r="C154" s="2" t="str">
        <x:v>snowball_00095</x:v>
      </x:c>
      <x:c r="D154" s="2" t="str">
        <x:v>Reviewer_A</x:v>
      </x:c>
      <x:c r="E154" s="2" t="str">
        <x:v>Reviewer_A</x:v>
      </x:c>
      <x:c r="F154" s="2" t="str">
        <x:v>S52-CMP01</x:v>
      </x:c>
      <x:c r="G154" s="2" t="str">
        <x:v>S52-T01</x:v>
      </x:c>
      <x:c r="H154" s="2" t="str">
        <x:v>NA</x:v>
      </x:c>
      <x:c r="I154" s="2" t="str">
        <x:v>Sentence-BERT</x:v>
      </x:c>
      <x:c r="J154" s="6" t="str">
        <x:v>Embedding model</x:v>
      </x:c>
      <x:c r="K154" s="6" t="str">
        <x:v>Candidate generation</x:v>
      </x:c>
      <x:c r="L154" s="6" t="str">
        <x:v>将自然语言工件转换为密集向量表示，用于聚类和语义相似度计算。</x:v>
      </x:c>
      <x:c r="M154" s="2" t="str">
        <x:v>为LLM提供工件向量表示，使得低层工件能聚类并生成高层文档；同时用于生成追踪链接。</x:v>
      </x:c>
      <x:c r="N154" s="2" t="str">
        <x:v>Yes</x:v>
      </x:c>
      <x:c r="O154" s="2" t="str">
        <x:v>No</x:v>
      </x:c>
      <x:c r="P154" s="2" t="str">
        <x:v>NR</x:v>
      </x:c>
      <x:c r="Q154" s="6" t="str">
        <x:v>p. 3; Section II-B, Stage 1: Form clusters from Lower-level Artifacts, Substep C1</x:v>
      </x:c>
      <x:c r="R154" s="6" t="str">
        <x:v>We start by converting the natural language artifacts into embeddings using the Sentence-BERT transformer.</x:v>
      </x:c>
      <x:c r="S154" s="6" t="str">
        <x:v>Sentence-BERT用于将文本工件转换为嵌入向量，为聚类和追踪链接提供基础。</x:v>
      </x:c>
      <x:c r="T154" s="2" t="str">
        <x:v>Accepted</x:v>
      </x:c>
      <x:c r="U154" s="6" t="str">
        <x:v>NA</x:v>
      </x:c>
    </x:row>
    <x:row r="155" ht="76" customHeight="1">
      <x:c r="A155" s="2" t="str">
        <x:v>S52-COMP-R02</x:v>
      </x:c>
      <x:c r="B155" s="2" t="str">
        <x:v>S52</x:v>
      </x:c>
      <x:c r="C155" s="2" t="str">
        <x:v>snowball_00095</x:v>
      </x:c>
      <x:c r="D155" s="2" t="str">
        <x:v>Reviewer_A</x:v>
      </x:c>
      <x:c r="E155" s="2" t="str">
        <x:v>Reviewer_A</x:v>
      </x:c>
      <x:c r="F155" s="2" t="str">
        <x:v>S52-CMP02</x:v>
      </x:c>
      <x:c r="G155" s="2" t="str">
        <x:v>S52-T01</x:v>
      </x:c>
      <x:c r="H155" s="2" t="str">
        <x:v>NA</x:v>
      </x:c>
      <x:c r="I155" s="2" t="str">
        <x:v>Multi-Technique Clustering</x:v>
      </x:c>
      <x:c r="J155" s="6" t="str">
        <x:v>Non-LLM ML or DL</x:v>
      </x:c>
      <x:c r="K155" s="6" t="str">
        <x:v>Candidate generation</x:v>
      </x:c>
      <x:c r="L155" s="6" t="str">
        <x:v>使用五种聚类算法（OPTICS, Spectral, Agglomerative, Affinity Propagation, K-means）生成候选聚类，并通过共识和过滤产生最终聚类。</x:v>
      </x:c>
      <x:c r="M155" s="2" t="str">
        <x:v>聚类结果作为LLM生成文档的输入，决定了LLM处理哪些低层工件集合。</x:v>
      </x:c>
      <x:c r="N155" s="2" t="str">
        <x:v>Yes</x:v>
      </x:c>
      <x:c r="O155" s="2" t="str">
        <x:v>No</x:v>
      </x:c>
      <x:c r="P155" s="2" t="str">
        <x:v>NR</x:v>
      </x:c>
      <x:c r="Q155" s="6" t="str">
        <x:v>p. 3; Section II-B, Stage 1, Substep C2</x:v>
      </x:c>
      <x:c r="R155" s="6" t="str">
        <x:v>We adopted a multi-technique clustering approach</x:v>
      </x:c>
      <x:c r="S155" s="6" t="str">
        <x:v>多技术聚类方法利用多种聚类算法生成候选聚类，并通过重要性评分和过滤提高聚类质量。</x:v>
      </x:c>
      <x:c r="T155" s="2" t="str">
        <x:v>Accepted</x:v>
      </x:c>
      <x:c r="U155" s="6" t="str">
        <x:v>NA</x:v>
      </x:c>
    </x:row>
    <x:row r="156" ht="76" customHeight="1">
      <x:c r="A156" s="2" t="str">
        <x:v>S52-COMP-R03</x:v>
      </x:c>
      <x:c r="B156" s="2" t="str">
        <x:v>S52</x:v>
      </x:c>
      <x:c r="C156" s="2" t="str">
        <x:v>snowball_00095</x:v>
      </x:c>
      <x:c r="D156" s="2" t="str">
        <x:v>Reviewer_A</x:v>
      </x:c>
      <x:c r="E156" s="2" t="str">
        <x:v>Reviewer_A</x:v>
      </x:c>
      <x:c r="F156" s="2" t="str">
        <x:v>S52-CMP03</x:v>
      </x:c>
      <x:c r="G156" s="2" t="str">
        <x:v>S52-T01</x:v>
      </x:c>
      <x:c r="H156" s="2" t="str">
        <x:v>NA</x:v>
      </x:c>
      <x:c r="I156" s="2" t="str">
        <x:v>Baseline LLM approach</x:v>
      </x:c>
      <x:c r="J156" s="6" t="str">
        <x:v>Other</x:v>
      </x:c>
      <x:c r="K156" s="6" t="str">
        <x:v>Evaluation only</x:v>
      </x:c>
      <x:c r="L156" s="6" t="str">
        <x:v>不使用聚类的基准LLM方法，直接生成文档并基于相似度阈值建立追踪链接。</x:v>
      </x:c>
      <x:c r="M156" s="2" t="str">
        <x:v>与HGEN使用相同的LLM和代码摘要，但省略聚类步骤，用于比较。</x:v>
      </x:c>
      <x:c r="N156" s="2" t="str">
        <x:v>No</x:v>
      </x:c>
      <x:c r="O156" s="2" t="str">
        <x:v>No</x:v>
      </x:c>
      <x:c r="P156" s="2" t="str">
        <x:v>NA</x:v>
      </x:c>
      <x:c r="Q156" s="6" t="str">
        <x:v>p. 7; Section III-B, Techniques under Comparison</x:v>
      </x:c>
      <x:c r="R156" s="6" t="str">
        <x:v>We also created a baseline LLM approach for comparison purposes. We started with the identical set of summarized code as the HGEN processs and used the same LLM (Claude 2.0) to generate comprehensive documentation for each artifact type used in HGEN.</x:v>
      </x:c>
      <x:c r="S156" s="6" t="str">
        <x:v>基准方法使用相同LLM但省略聚类，用于评估HGEN中聚类步骤的价值。</x:v>
      </x:c>
      <x:c r="T156" s="2" t="str">
        <x:v>Accepted</x:v>
      </x:c>
      <x:c r="U156" s="6" t="str">
        <x:v>NA</x:v>
      </x:c>
    </x:row>
    <x:row r="157" ht="76" customHeight="1">
      <x:c r="A157" s="2" t="str">
        <x:v>G2-COMP-R01</x:v>
      </x:c>
      <x:c r="B157" s="2" t="str">
        <x:v>G2</x:v>
      </x:c>
      <x:c r="C157" s="2" t="str">
        <x:v>v1</x:v>
      </x:c>
      <x:c r="D157" s="2" t="str">
        <x:v>Reviewer_A</x:v>
      </x:c>
      <x:c r="E157" s="2" t="str">
        <x:v>Reviewer_A</x:v>
      </x:c>
      <x:c r="F157" s="2" t="str">
        <x:v>G2-C01</x:v>
      </x:c>
      <x:c r="G157" s="2" t="str">
        <x:v>G2-T03</x:v>
      </x:c>
      <x:c r="H157" s="2" t="str">
        <x:v>NA</x:v>
      </x:c>
      <x:c r="I157" s="2" t="str">
        <x:v>code traceability graph built by static analysis of code and logs</x:v>
      </x:c>
      <x:c r="J157" s="6" t="str">
        <x:v>Knowledge graph</x:v>
      </x:c>
      <x:c r="K157" s="6" t="str">
        <x:v>Context construction</x:v>
      </x:c>
      <x:c r="L157" s="6" t="str">
        <x:v>holds every variable, format, data set and code list together with the transformations between them</x:v>
      </x:c>
      <x:c r="M157" s="2" t="str">
        <x:v>NA</x:v>
      </x:c>
      <x:c r="N157" s="2" t="str">
        <x:v>Yes</x:v>
      </x:c>
      <x:c r="O157" s="2" t="str">
        <x:v>NR</x:v>
      </x:c>
      <x:c r="P157" s="2" t="str">
        <x:v>NR</x:v>
      </x:c>
      <x:c r="Q157" s="6" t="str">
        <x:v>G2_video_page.png (title, speaker and affiliation slide, channel, view count, likes) ; G2_page_description.png (page date, speaker attribution, description text, links) ; [00:59] ; [07:19] ; [07:32] ; [09:38] ; [10:14] ; [12:17] ; [12:24] ; [14:08] ; [17:39] ; [21:09] ; [26:46] ; [32:49] ; [37:01] ; [38:58] ; [39:01] ; [39:17] ; [40:47] </x:v>
      </x:c>
      <x:c r="R157" s="6" t="str">
        <x:v>all you need to establish code traceability are in the case of sas the logs</x:v>
      </x:c>
      <x:c r="S157" s="6" t="str">
        <x:v>The graph is the deterministic foundation and is built without the model.</x:v>
      </x:c>
      <x:c r="T157" s="2" t="str">
        <x:v>Accepted</x:v>
      </x:c>
      <x:c r="U157" s="6" t="str">
        <x:v>The material records the component boundary at material level, so the interaction with the model is recorded as NA.</x:v>
      </x:c>
    </x:row>
    <x:row r="158" ht="76" customHeight="1">
      <x:c r="A158" s="2" t="str">
        <x:v>G2-COMP-R02</x:v>
      </x:c>
      <x:c r="B158" s="2" t="str">
        <x:v>G2</x:v>
      </x:c>
      <x:c r="C158" s="2" t="str">
        <x:v>v1</x:v>
      </x:c>
      <x:c r="D158" s="2" t="str">
        <x:v>Reviewer_A</x:v>
      </x:c>
      <x:c r="E158" s="2" t="str">
        <x:v>Reviewer_A</x:v>
      </x:c>
      <x:c r="F158" s="2" t="str">
        <x:v>G2-C02</x:v>
      </x:c>
      <x:c r="G158" s="2" t="str">
        <x:v>G2-T01</x:v>
      </x:c>
      <x:c r="H158" s="2" t="str">
        <x:v>G2-O01 ; G2-O02 ; G2-O03</x:v>
      </x:c>
      <x:c r="I158" s="2" t="str">
        <x:v>retrieval augmented generation system</x:v>
      </x:c>
      <x:c r="J158" s="6" t="str">
        <x:v>Dense retrieval</x:v>
      </x:c>
      <x:c r="K158" s="6" t="str">
        <x:v>Candidate retrieval</x:v>
      </x:c>
      <x:c r="L158" s="6" t="str">
        <x:v>adds context to the prompt by retrieving the traceability information for the relevant variables and data sets</x:v>
      </x:c>
      <x:c r="M158" s="2" t="str">
        <x:v>NA</x:v>
      </x:c>
      <x:c r="N158" s="2" t="str">
        <x:v>Yes</x:v>
      </x:c>
      <x:c r="O158" s="2" t="str">
        <x:v>NR</x:v>
      </x:c>
      <x:c r="P158" s="2" t="str">
        <x:v>NR</x:v>
      </x:c>
      <x:c r="Q158" s="6" t="str">
        <x:v>G2_video_page.png (title, speaker and affiliation slide, channel, view count, likes) ; G2_page_description.png (page date, speaker attribution, description text, links) ; [00:59] ; [07:19] ; [07:32] ; [09:38] ; [10:14] ; [12:17] ; [12:24] ; [14:08] ; [17:39] ; [21:09] ; [26:46] ; [32:49] ; [37:01] ; [38:58] ; [39:01] ; [39:17] ; [40:47] </x:v>
      </x:c>
      <x:c r="R158" s="6" t="str">
        <x:v>what we do is we use a rag system which provides additional context and we generate prompts</x:v>
      </x:c>
      <x:c r="S158" s="6" t="str">
        <x:v>The retrieval layer restricts what the model can see, which is how the presenter argues the answers stay traceable.</x:v>
      </x:c>
      <x:c r="T158" s="2" t="str">
        <x:v>Accepted</x:v>
      </x:c>
      <x:c r="U158" s="6" t="str">
        <x:v>The material records the component boundary at material level, so the interaction with the model is recorded as NA.</x:v>
      </x:c>
    </x:row>
    <x:row r="159" ht="76" customHeight="1">
      <x:c r="A159" s="2" t="str">
        <x:v>G2-COMP-R03</x:v>
      </x:c>
      <x:c r="B159" s="2" t="str">
        <x:v>G2</x:v>
      </x:c>
      <x:c r="C159" s="2" t="str">
        <x:v>v1</x:v>
      </x:c>
      <x:c r="D159" s="2" t="str">
        <x:v>Reviewer_A</x:v>
      </x:c>
      <x:c r="E159" s="2" t="str">
        <x:v>Reviewer_A</x:v>
      </x:c>
      <x:c r="F159" s="2" t="str">
        <x:v>G2-C03</x:v>
      </x:c>
      <x:c r="G159" s="2" t="str">
        <x:v>G2-T01</x:v>
      </x:c>
      <x:c r="H159" s="2" t="str">
        <x:v>G2-O03</x:v>
      </x:c>
      <x:c r="I159" s="2" t="str">
        <x:v>prompt enrichment layer</x:v>
      </x:c>
      <x:c r="J159" s="6" t="str">
        <x:v>Rule or heuristic</x:v>
      </x:c>
      <x:c r="K159" s="6" t="str">
        <x:v>Context construction</x:v>
      </x:c>
      <x:c r="L159" s="6" t="str">
        <x:v>supplies only the traceable code lines and metadata that are needed to answer, so the prompt contains no untraceable material</x:v>
      </x:c>
      <x:c r="M159" s="2" t="str">
        <x:v>NA</x:v>
      </x:c>
      <x:c r="N159" s="2" t="str">
        <x:v>Yes</x:v>
      </x:c>
      <x:c r="O159" s="2" t="str">
        <x:v>NR</x:v>
      </x:c>
      <x:c r="P159" s="2" t="str">
        <x:v>NR</x:v>
      </x:c>
      <x:c r="Q159" s="6" t="str">
        <x:v>G2_video_page.png (title, speaker and affiliation slide, channel, view count, likes) ; G2_page_description.png (page date, speaker attribution, description text, links) ; [00:59] ; [07:19] ; [07:32] ; [09:38] ; [10:14] ; [12:17] ; [12:24] ; [14:08] ; [17:39] ; [21:09] ; [26:46] ; [32:49] ; [37:01] ; [38:58] ; [39:01] ; [39:17] ; [40:47] </x:v>
      </x:c>
      <x:c r="R159" s="6" t="str">
        <x:v>we generate prompts where the information density is so dense that it only contains the information that it needs to answer</x:v>
      </x:c>
      <x:c r="S159" s="6" t="str">
        <x:v>The enrichment layer is the boundary that keeps untraceable context out of the model call.</x:v>
      </x:c>
      <x:c r="T159" s="2" t="str">
        <x:v>Accepted</x:v>
      </x:c>
      <x:c r="U159" s="6" t="str">
        <x:v>The material records the component boundary at material level, so the interaction with the model is recorded as NA.</x:v>
      </x:c>
    </x:row>
    <x:row r="160" ht="76" customHeight="1">
      <x:c r="A160" s="2" t="str">
        <x:v>G2-COMP-R04</x:v>
      </x:c>
      <x:c r="B160" s="2" t="str">
        <x:v>G2</x:v>
      </x:c>
      <x:c r="C160" s="2" t="str">
        <x:v>v1</x:v>
      </x:c>
      <x:c r="D160" s="2" t="str">
        <x:v>Reviewer_A</x:v>
      </x:c>
      <x:c r="E160" s="2" t="str">
        <x:v>Reviewer_A</x:v>
      </x:c>
      <x:c r="F160" s="2" t="str">
        <x:v>G2-C04</x:v>
      </x:c>
      <x:c r="G160" s="2" t="str">
        <x:v>G2-T01</x:v>
      </x:c>
      <x:c r="H160" s="2" t="str">
        <x:v>G2-O03</x:v>
      </x:c>
      <x:c r="I160" s="2" t="str">
        <x:v>confidence scoring</x:v>
      </x:c>
      <x:c r="J160" s="6" t="str">
        <x:v>Rule or heuristic</x:v>
      </x:c>
      <x:c r="K160" s="6" t="str">
        <x:v>Output validation</x:v>
      </x:c>
      <x:c r="L160" s="6" t="str">
        <x:v>signals when a derivation is too complicated to call and thereby triggers human review instead of an answer</x:v>
      </x:c>
      <x:c r="M160" s="2" t="str">
        <x:v>NA</x:v>
      </x:c>
      <x:c r="N160" s="2" t="str">
        <x:v>Yes</x:v>
      </x:c>
      <x:c r="O160" s="2" t="str">
        <x:v>NR</x:v>
      </x:c>
      <x:c r="P160" s="2" t="str">
        <x:v>NR</x:v>
      </x:c>
      <x:c r="Q160" s="6" t="str">
        <x:v>G2_video_page.png (title, speaker and affiliation slide, channel, view count, likes) ; G2_page_description.png (page date, speaker attribution, description text, links) ; [00:59] ; [07:19] ; [07:32] ; [09:38] ; [10:14] ; [12:17] ; [12:24] ; [14:08] ; [17:39] ; [21:09] ; [26:46] ; [32:49] ; [37:01] ; [38:58] ; [39:01] ; [39:17] ; [40:47] </x:v>
      </x:c>
      <x:c r="R160" s="6" t="str">
        <x:v>and then we have our ai go into the description and then go on your code and do a delta and say okay what was specified is actually programmed or not</x:v>
      </x:c>
      <x:c r="S160" s="6" t="str">
        <x:v>The score is the mechanism the presenter gives for keeping the model inside its confidence rather than answering anyway.</x:v>
      </x:c>
      <x:c r="T160" s="2" t="str">
        <x:v>Accepted</x:v>
      </x:c>
      <x:c r="U160" s="6" t="str">
        <x:v>The material records the component boundary at material level, so the interaction with the model is recorded as NA.</x:v>
      </x:c>
    </x:row>
    <x:row r="161" ht="76" customHeight="1">
      <x:c r="A161" s="2" t="str">
        <x:v>G3-COMP-R01</x:v>
      </x:c>
      <x:c r="B161" s="2" t="str">
        <x:v>G3</x:v>
      </x:c>
      <x:c r="C161" s="2" t="str">
        <x:v>v1</x:v>
      </x:c>
      <x:c r="D161" s="2" t="str">
        <x:v>Reviewer_A</x:v>
      </x:c>
      <x:c r="E161" s="2" t="str">
        <x:v>Reviewer_A</x:v>
      </x:c>
      <x:c r="F161" s="2" t="str">
        <x:v>G3-C01</x:v>
      </x:c>
      <x:c r="G161" s="2" t="str">
        <x:v>G3-T01</x:v>
      </x:c>
      <x:c r="H161" s="2" t="str">
        <x:v>G3-O01</x:v>
      </x:c>
      <x:c r="I161" s="2" t="str">
        <x:v>OpenAI Whisper transcription module</x:v>
      </x:c>
      <x:c r="J161" s="6" t="str">
        <x:v>Non-LLM ML or DL</x:v>
      </x:c>
      <x:c r="K161" s="6" t="str">
        <x:v>Feature augmentation</x:v>
      </x:c>
      <x:c r="L161" s="6" t="str">
        <x:v>converts the uploaded audio to text</x:v>
      </x:c>
      <x:c r="M161" s="2" t="str">
        <x:v>NA</x:v>
      </x:c>
      <x:c r="N161" s="2" t="str">
        <x:v>Yes</x:v>
      </x:c>
      <x:c r="O161" s="2" t="str">
        <x:v>NR</x:v>
      </x:c>
      <x:c r="P161" s="2" t="str">
        <x:v>NR</x:v>
      </x:c>
      <x:c r="Q161" s="6" t="str">
        <x:v>G3_video_page.png (title, channel, view count, likes) ; G3_page_description.png (page date, description text, feature list, uploading account) ; [00:01] ; [00:10] ; [00:30] ; [00:45] ; [00:54] ; [01:04] ; [01:14] ; [01:26] ; [01:32] ; [01:39] ; [02:05] ; [02:15] ; [02:56] ; [03:13] </x:v>
      </x:c>
      <x:c r="R161" s="6" t="str">
        <x:v>converts it to text using open ai whisper</x:v>
      </x:c>
      <x:c r="S161" s="6" t="str">
        <x:v>Transcription is the entry point that turns spoken input into material the rest of the pipeline can process.</x:v>
      </x:c>
      <x:c r="T161" s="2" t="str">
        <x:v>Accepted</x:v>
      </x:c>
      <x:c r="U161" s="6" t="str">
        <x:v>The material records the component boundary at material level, so the interaction with the model is recorded as NA.</x:v>
      </x:c>
    </x:row>
    <x:row r="162" ht="76" customHeight="1">
      <x:c r="A162" s="2" t="str">
        <x:v>G3-COMP-R02</x:v>
      </x:c>
      <x:c r="B162" s="2" t="str">
        <x:v>G3</x:v>
      </x:c>
      <x:c r="C162" s="2" t="str">
        <x:v>v1</x:v>
      </x:c>
      <x:c r="D162" s="2" t="str">
        <x:v>Reviewer_A</x:v>
      </x:c>
      <x:c r="E162" s="2" t="str">
        <x:v>Reviewer_A</x:v>
      </x:c>
      <x:c r="F162" s="2" t="str">
        <x:v>G3-C02</x:v>
      </x:c>
      <x:c r="G162" s="2" t="str">
        <x:v>G3-T01</x:v>
      </x:c>
      <x:c r="H162" s="2" t="str">
        <x:v>NA</x:v>
      </x:c>
      <x:c r="I162" s="2" t="str">
        <x:v>vector service</x:v>
      </x:c>
      <x:c r="J162" s="6" t="str">
        <x:v>Embedding model</x:v>
      </x:c>
      <x:c r="K162" s="6" t="str">
        <x:v>Context construction</x:v>
      </x:c>
      <x:c r="L162" s="6" t="str">
        <x:v>embeds the transcript for semantic understanding</x:v>
      </x:c>
      <x:c r="M162" s="2" t="str">
        <x:v>NA</x:v>
      </x:c>
      <x:c r="N162" s="2" t="str">
        <x:v>Yes</x:v>
      </x:c>
      <x:c r="O162" s="2" t="str">
        <x:v>NR</x:v>
      </x:c>
      <x:c r="P162" s="2" t="str">
        <x:v>NR</x:v>
      </x:c>
      <x:c r="Q162" s="6" t="str">
        <x:v>G3_video_page.png (title, channel, view count, likes) ; G3_page_description.png (page date, description text, feature list, uploading account) ; [00:01] ; [00:10] ; [00:30] ; [00:45] ; [00:54] ; [01:04] ; [01:14] ; [01:26] ; [01:32] ; [01:39] ; [02:05] ; [02:15] ; [02:56] ; [03:13] </x:v>
      </x:c>
      <x:c r="R162" s="6" t="str">
        <x:v>next, we pass this transcript through our vector service powered by phase embeddings</x:v>
      </x:c>
      <x:c r="S162" s="6" t="str">
        <x:v>The vector service prepares the transcript for extraction and is the only place where the material mentions embeddings.</x:v>
      </x:c>
      <x:c r="T162" s="2" t="str">
        <x:v>Accepted</x:v>
      </x:c>
      <x:c r="U162" s="6" t="str">
        <x:v>The material records the component boundary at material level, so the interaction with the model is recorded as NA.</x:v>
      </x:c>
    </x:row>
    <x:row r="163" ht="76" customHeight="1">
      <x:c r="A163" s="2" t="str">
        <x:v>G3-COMP-R03</x:v>
      </x:c>
      <x:c r="B163" s="2" t="str">
        <x:v>G3</x:v>
      </x:c>
      <x:c r="C163" s="2" t="str">
        <x:v>v1</x:v>
      </x:c>
      <x:c r="D163" s="2" t="str">
        <x:v>Reviewer_A</x:v>
      </x:c>
      <x:c r="E163" s="2" t="str">
        <x:v>Reviewer_A</x:v>
      </x:c>
      <x:c r="F163" s="2" t="str">
        <x:v>G3-C03</x:v>
      </x:c>
      <x:c r="G163" s="2" t="str">
        <x:v>G3-T01</x:v>
      </x:c>
      <x:c r="H163" s="2" t="str">
        <x:v>G3-O02</x:v>
      </x:c>
      <x:c r="I163" s="2" t="str">
        <x:v>named entity recognition system</x:v>
      </x:c>
      <x:c r="J163" s="6" t="str">
        <x:v>Non-LLM ML or DL</x:v>
      </x:c>
      <x:c r="K163" s="6" t="str">
        <x:v>Feature augmentation</x:v>
      </x:c>
      <x:c r="L163" s="6" t="str">
        <x:v>extracts requirement entities and the relationships between them from the transcript</x:v>
      </x:c>
      <x:c r="M163" s="2" t="str">
        <x:v>NA</x:v>
      </x:c>
      <x:c r="N163" s="2" t="str">
        <x:v>Yes</x:v>
      </x:c>
      <x:c r="O163" s="2" t="str">
        <x:v>NR</x:v>
      </x:c>
      <x:c r="P163" s="2" t="str">
        <x:v>NR</x:v>
      </x:c>
      <x:c r="Q163" s="6" t="str">
        <x:v>G3_video_page.png (title, channel, view count, likes) ; G3_page_description.png (page date, description text, feature list, uploading account) ; [00:01] ; [00:10] ; [00:30] ; [00:45] ; [00:54] ; [01:04] ; [01:14] ; [01:26] ; [01:32] ; [01:39] ; [02:05] ; [02:15] ; [02:56] ; [03:13] </x:v>
      </x:c>
      <x:c r="R163" s="6" t="str">
        <x:v>we pass the transcript through a name entity recognition system ... that extracts entities like stakeholders</x:v>
      </x:c>
      <x:c r="S163" s="6" t="str">
        <x:v>Entity extraction is deterministic relative to a model call, and the material does not name the extraction model.</x:v>
      </x:c>
      <x:c r="T163" s="2" t="str">
        <x:v>Accepted</x:v>
      </x:c>
      <x:c r="U163" s="6" t="str">
        <x:v>The material records the component boundary at material level, so the interaction with the model is recorded as NA.</x:v>
      </x:c>
    </x:row>
    <x:row r="164" ht="76" customHeight="1">
      <x:c r="A164" s="2" t="str">
        <x:v>G3-COMP-R04</x:v>
      </x:c>
      <x:c r="B164" s="2" t="str">
        <x:v>G3</x:v>
      </x:c>
      <x:c r="C164" s="2" t="str">
        <x:v>v1</x:v>
      </x:c>
      <x:c r="D164" s="2" t="str">
        <x:v>Reviewer_A</x:v>
      </x:c>
      <x:c r="E164" s="2" t="str">
        <x:v>Reviewer_A</x:v>
      </x:c>
      <x:c r="F164" s="2" t="str">
        <x:v>G3-C04</x:v>
      </x:c>
      <x:c r="G164" s="2" t="str">
        <x:v>G3-T02</x:v>
      </x:c>
      <x:c r="H164" s="2" t="str">
        <x:v>NA</x:v>
      </x:c>
      <x:c r="I164" s="2" t="str">
        <x:v>Neo4j graph database</x:v>
      </x:c>
      <x:c r="J164" s="6" t="str">
        <x:v>Knowledge graph</x:v>
      </x:c>
      <x:c r="K164" s="6" t="str">
        <x:v>Post-processing</x:v>
      </x:c>
      <x:c r="L164" s="6" t="str">
        <x:v>stores the extracted requirements and their interconnections as a graph</x:v>
      </x:c>
      <x:c r="M164" s="2" t="str">
        <x:v>NA</x:v>
      </x:c>
      <x:c r="N164" s="2" t="str">
        <x:v>Yes</x:v>
      </x:c>
      <x:c r="O164" s="2" t="str">
        <x:v>NR</x:v>
      </x:c>
      <x:c r="P164" s="2" t="str">
        <x:v>NR</x:v>
      </x:c>
      <x:c r="Q164" s="6" t="str">
        <x:v>G3_video_page.png (title, channel, view count, likes) ; G3_page_description.png (page date, description text, feature list, uploading account) ; [00:01] ; [00:10] ; [00:30] ; [00:45] ; [00:54] ; [01:04] ; [01:14] ; [01:26] ; [01:32] ; [01:39] ; [02:05] ; [02:15] ; [02:56] ; [03:13] </x:v>
      </x:c>
      <x:c r="R164" s="6" t="str">
        <x:v>all extracted requirements and their interconnections are visualized dynamically using neo4j and react flow</x:v>
      </x:c>
      <x:c r="S164" s="6" t="str">
        <x:v>The graph store is what makes the trace links queryable as nodes and edges.</x:v>
      </x:c>
      <x:c r="T164" s="2" t="str">
        <x:v>Accepted</x:v>
      </x:c>
      <x:c r="U164" s="6" t="str">
        <x:v>The material records the component boundary at material level, so the interaction with the model is recorded as NA.</x:v>
      </x:c>
    </x:row>
    <x:row r="165" ht="76" customHeight="1">
      <x:c r="A165" s="2" t="str">
        <x:v>G3-COMP-R05</x:v>
      </x:c>
      <x:c r="B165" s="2" t="str">
        <x:v>G3</x:v>
      </x:c>
      <x:c r="C165" s="2" t="str">
        <x:v>v1</x:v>
      </x:c>
      <x:c r="D165" s="2" t="str">
        <x:v>Reviewer_A</x:v>
      </x:c>
      <x:c r="E165" s="2" t="str">
        <x:v>Reviewer_A</x:v>
      </x:c>
      <x:c r="F165" s="2" t="str">
        <x:v>G3-C05</x:v>
      </x:c>
      <x:c r="G165" s="2" t="str">
        <x:v>G3-T02</x:v>
      </x:c>
      <x:c r="H165" s="2" t="str">
        <x:v>NA</x:v>
      </x:c>
      <x:c r="I165" s="2" t="str">
        <x:v>FastAPI backend</x:v>
      </x:c>
      <x:c r="J165" s="6" t="str">
        <x:v>Tool framework</x:v>
      </x:c>
      <x:c r="K165" s="6" t="str">
        <x:v>Tool orchestration</x:v>
      </x:c>
      <x:c r="L165" s="6" t="str">
        <x:v>NR</x:v>
      </x:c>
      <x:c r="M165" s="2" t="str">
        <x:v>NA</x:v>
      </x:c>
      <x:c r="N165" s="2" t="str">
        <x:v>Yes</x:v>
      </x:c>
      <x:c r="O165" s="2" t="str">
        <x:v>NR</x:v>
      </x:c>
      <x:c r="P165" s="2" t="str">
        <x:v>NR</x:v>
      </x:c>
      <x:c r="Q165" s="6" t="str">
        <x:v>G3_video_page.png (title, channel, view count, likes) ; G3_page_description.png (page date, description text, feature list, uploading account) ; [00:01] ; [00:10] ; [00:30] ; [00:45] ; [00:54] ; [01:04] ; [01:14] ; [01:26] ; [01:32] ; [01:39] ; [02:05] ; [02:15] ; [02:56] ; [03:13] </x:v>
      </x:c>
      <x:c r="R165" s="6" t="str">
        <x:v>a graph-based requirements traceability platform built using fast api, fast api, neo4j, neo4j, and react, react</x:v>
      </x:c>
      <x:c r="S165" s="6" t="str">
        <x:v>The backend is named as part of the stack but its function is not described in the material.</x:v>
      </x:c>
      <x:c r="T165" s="2" t="str">
        <x:v>Accepted</x:v>
      </x:c>
      <x:c r="U165" s="6" t="str">
        <x:v>The material records the component boundary at material level, so the interaction with the model is recorded as NA.</x:v>
      </x:c>
    </x:row>
    <x:row r="166" ht="76" customHeight="1">
      <x:c r="A166" s="2" t="str">
        <x:v>G3-COMP-R06</x:v>
      </x:c>
      <x:c r="B166" s="2" t="str">
        <x:v>G3</x:v>
      </x:c>
      <x:c r="C166" s="2" t="str">
        <x:v>v1</x:v>
      </x:c>
      <x:c r="D166" s="2" t="str">
        <x:v>Reviewer_A</x:v>
      </x:c>
      <x:c r="E166" s="2" t="str">
        <x:v>Reviewer_A</x:v>
      </x:c>
      <x:c r="F166" s="2" t="str">
        <x:v>G3-C06</x:v>
      </x:c>
      <x:c r="G166" s="2" t="str">
        <x:v>G3-T02</x:v>
      </x:c>
      <x:c r="H166" s="2" t="str">
        <x:v>NA</x:v>
      </x:c>
      <x:c r="I166" s="2" t="str">
        <x:v>React front end</x:v>
      </x:c>
      <x:c r="J166" s="6" t="str">
        <x:v>Tool framework</x:v>
      </x:c>
      <x:c r="K166" s="6" t="str">
        <x:v>Other</x:v>
      </x:c>
      <x:c r="L166" s="6" t="str">
        <x:v>renders the graph and the platform pages for interactive exploration</x:v>
      </x:c>
      <x:c r="M166" s="2" t="str">
        <x:v>NA</x:v>
      </x:c>
      <x:c r="N166" s="2" t="str">
        <x:v>Yes</x:v>
      </x:c>
      <x:c r="O166" s="2" t="str">
        <x:v>NR</x:v>
      </x:c>
      <x:c r="P166" s="2" t="str">
        <x:v>NR</x:v>
      </x:c>
      <x:c r="Q166" s="6" t="str">
        <x:v>G3_video_page.png (title, channel, view count, likes) ; G3_page_description.png (page date, description text, feature list, uploading account) ; [00:01] ; [00:10] ; [00:30] ; [00:45] ; [00:54] ; [01:04] ; [01:14] ; [01:26] ; [01:32] ; [01:39] ; [02:05] ; [02:15] ; [02:56] ; [03:13] </x:v>
      </x:c>
      <x:c r="R166" s="6" t="str">
        <x:v>all extracted requirements and their interconnections are visualized dynamically using neo4j and react flow</x:v>
      </x:c>
      <x:c r="S166" s="6" t="str">
        <x:v>The front end is where the user inspects and edits the graph, and it is the only user-facing element described.</x:v>
      </x:c>
      <x:c r="T166" s="2" t="str">
        <x:v>Accepted</x:v>
      </x:c>
      <x:c r="U166" s="6" t="str">
        <x:v>The material records the component boundary at material level, so the interaction with the model is recorded as NA.</x:v>
      </x:c>
    </x:row>
    <x:row r="167" ht="76" customHeight="1">
      <x:c r="A167" s="2" t="str">
        <x:v>G4-COMP-R01</x:v>
      </x:c>
      <x:c r="B167" s="2" t="str">
        <x:v>G4</x:v>
      </x:c>
      <x:c r="C167" s="2" t="str">
        <x:v>v1</x:v>
      </x:c>
      <x:c r="D167" s="2" t="str">
        <x:v>Reviewer_A</x:v>
      </x:c>
      <x:c r="E167" s="2" t="str">
        <x:v>Reviewer_A</x:v>
      </x:c>
      <x:c r="F167" s="2" t="str">
        <x:v>G4-C01</x:v>
      </x:c>
      <x:c r="G167" s="2" t="str">
        <x:v>G4-T01</x:v>
      </x:c>
      <x:c r="H167" s="2" t="str">
        <x:v>G4-O01</x:v>
      </x:c>
      <x:c r="I167" s="2" t="str">
        <x:v>Requirements Gateway (import from DOORS, Polarion or CSV)</x:v>
      </x:c>
      <x:c r="J167" s="6" t="str">
        <x:v>Tool framework</x:v>
      </x:c>
      <x:c r="K167" s="6" t="str">
        <x:v>Pre-filtering</x:v>
      </x:c>
      <x:c r="L167" s="6" t="str">
        <x:v>imports requirements from the requirement management systems or from CSV files</x:v>
      </x:c>
      <x:c r="M167" s="2" t="str">
        <x:v>NA</x:v>
      </x:c>
      <x:c r="N167" s="2" t="str">
        <x:v>Yes</x:v>
      </x:c>
      <x:c r="O167" s="2" t="str">
        <x:v>NR</x:v>
      </x:c>
      <x:c r="P167" s="2" t="str">
        <x:v>NR</x:v>
      </x:c>
      <x:c r="Q167"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R167" s="6" t="str">
        <x:v>Import from DOORS, Polarion, or CSV via the Requirements Gateway</x:v>
      </x:c>
      <x:c r="S167" s="6" t="str">
        <x:v>The gateway is what fixes the requirement side of the mapping before any model call.</x:v>
      </x:c>
      <x:c r="T167" s="2" t="str">
        <x:v>Accepted</x:v>
      </x:c>
      <x:c r="U167" s="6" t="str">
        <x:v>The material records the component boundary at material level, so the interaction with the model is recorded as NA.</x:v>
      </x:c>
    </x:row>
    <x:row r="168" ht="76" customHeight="1">
      <x:c r="A168" s="2" t="str">
        <x:v>G4-COMP-R02</x:v>
      </x:c>
      <x:c r="B168" s="2" t="str">
        <x:v>G4</x:v>
      </x:c>
      <x:c r="C168" s="2" t="str">
        <x:v>v1</x:v>
      </x:c>
      <x:c r="D168" s="2" t="str">
        <x:v>Reviewer_A</x:v>
      </x:c>
      <x:c r="E168" s="2" t="str">
        <x:v>Reviewer_A</x:v>
      </x:c>
      <x:c r="F168" s="2" t="str">
        <x:v>G4-C02</x:v>
      </x:c>
      <x:c r="G168" s="2" t="str">
        <x:v>G4-T01</x:v>
      </x:c>
      <x:c r="H168" s="2" t="str">
        <x:v>G4-O01</x:v>
      </x:c>
      <x:c r="I168" s="2" t="str">
        <x:v>program slicing</x:v>
      </x:c>
      <x:c r="J168" s="6" t="str">
        <x:v>Program analysis</x:v>
      </x:c>
      <x:c r="K168" s="6" t="str">
        <x:v>Candidate generation</x:v>
      </x:c>
      <x:c r="L168" s="6" t="str">
        <x:v>identifies which functions implement each requirement and narrows the code that has to be considered</x:v>
      </x:c>
      <x:c r="M168" s="2" t="str">
        <x:v>NA</x:v>
      </x:c>
      <x:c r="N168" s="2" t="str">
        <x:v>Yes</x:v>
      </x:c>
      <x:c r="O168" s="2" t="str">
        <x:v>NR</x:v>
      </x:c>
      <x:c r="P168" s="2" t="str">
        <x:v>NR</x:v>
      </x:c>
      <x:c r="Q168"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R168" s="6" t="str">
        <x:v>Program slicing identifies which functions implement each requirement</x:v>
      </x:c>
      <x:c r="S168" s="6" t="str">
        <x:v>Slicing is the deterministic reduction that keeps the model away from the whole code base.</x:v>
      </x:c>
      <x:c r="T168" s="2" t="str">
        <x:v>Accepted</x:v>
      </x:c>
      <x:c r="U168" s="6" t="str">
        <x:v>The material records the component boundary at material level, so the interaction with the model is recorded as NA.</x:v>
      </x:c>
    </x:row>
    <x:row r="169" ht="76" customHeight="1">
      <x:c r="A169" s="2" t="str">
        <x:v>G4-COMP-R03</x:v>
      </x:c>
      <x:c r="B169" s="2" t="str">
        <x:v>G4</x:v>
      </x:c>
      <x:c r="C169" s="2" t="str">
        <x:v>v1</x:v>
      </x:c>
      <x:c r="D169" s="2" t="str">
        <x:v>Reviewer_A</x:v>
      </x:c>
      <x:c r="E169" s="2" t="str">
        <x:v>Reviewer_A</x:v>
      </x:c>
      <x:c r="F169" s="2" t="str">
        <x:v>G4-C03</x:v>
      </x:c>
      <x:c r="G169" s="2" t="str">
        <x:v>G4-T01</x:v>
      </x:c>
      <x:c r="H169" s="2" t="str">
        <x:v>G4-O01 ; G4-O02</x:v>
      </x:c>
      <x:c r="I169" s="2" t="str">
        <x:v>modular task-specific micro-agents</x:v>
      </x:c>
      <x:c r="J169" s="6" t="str">
        <x:v>Other</x:v>
      </x:c>
      <x:c r="K169" s="6" t="str">
        <x:v>Tool orchestration</x:v>
      </x:c>
      <x:c r="L169" s="6" t="str">
        <x:v>run each precisely defined task inside a controlled context</x:v>
      </x:c>
      <x:c r="M169" s="2" t="str">
        <x:v>NA</x:v>
      </x:c>
      <x:c r="N169" s="2" t="str">
        <x:v>Yes</x:v>
      </x:c>
      <x:c r="O169" s="2" t="str">
        <x:v>NR</x:v>
      </x:c>
      <x:c r="P169" s="2" t="str">
        <x:v>NR</x:v>
      </x:c>
      <x:c r="Q169"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R169" s="6" t="str">
        <x:v>Vector's approach is based on modular, task-specific micro-agents designed for precisely defined use cases within controlled contexts.</x:v>
      </x:c>
      <x:c r="S169" s="6" t="str">
        <x:v>The micro-agent organisation is the vendor's answer to context control, and it frames how the model is invoked.</x:v>
      </x:c>
      <x:c r="T169" s="2" t="str">
        <x:v>Accepted</x:v>
      </x:c>
      <x:c r="U169" s="6" t="str">
        <x:v>The material records the component boundary at material level, so the interaction with the model is recorded as NA.</x:v>
      </x:c>
    </x:row>
    <x:row r="170" ht="76" customHeight="1">
      <x:c r="A170" s="2" t="str">
        <x:v>G5-COMP-R01</x:v>
      </x:c>
      <x:c r="B170" s="2" t="str">
        <x:v>G5</x:v>
      </x:c>
      <x:c r="C170" s="2" t="str">
        <x:v>v1</x:v>
      </x:c>
      <x:c r="D170" s="2" t="str">
        <x:v>Reviewer_A</x:v>
      </x:c>
      <x:c r="E170" s="2" t="str">
        <x:v>Reviewer_A</x:v>
      </x:c>
      <x:c r="F170" s="2" t="str">
        <x:v>G5-C01</x:v>
      </x:c>
      <x:c r="G170" s="2" t="str">
        <x:v>G5-T02</x:v>
      </x:c>
      <x:c r="H170" s="2" t="str">
        <x:v>G5-O03</x:v>
      </x:c>
      <x:c r="I170" s="2" t="str">
        <x:v>MCP protocol</x:v>
      </x:c>
      <x:c r="J170" s="6" t="str">
        <x:v>Tool framework</x:v>
      </x:c>
      <x:c r="K170" s="6" t="str">
        <x:v>Tool orchestration</x:v>
      </x:c>
      <x:c r="L170" s="6" t="str">
        <x:v>lets the model reach the local tools and the target through an HTTP-based protocol</x:v>
      </x:c>
      <x:c r="M170" s="2" t="str">
        <x:v>NA</x:v>
      </x:c>
      <x:c r="N170" s="2" t="str">
        <x:v>Yes</x:v>
      </x:c>
      <x:c r="O170" s="2" t="str">
        <x:v>NR</x:v>
      </x:c>
      <x:c r="P170" s="2" t="str">
        <x:v>NR</x:v>
      </x:c>
      <x:c r="Q170"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70" s="6" t="str">
        <x:v>mcp protocols which is a you know an http based protocol that allows llms to access local tools</x:v>
      </x:c>
      <x:c r="S170" s="6" t="str">
        <x:v>The protocol defines what the model may call, which is what keeps execution with the deterministic tools.</x:v>
      </x:c>
      <x:c r="T170" s="2" t="str">
        <x:v>Accepted</x:v>
      </x:c>
      <x:c r="U170" s="6" t="str">
        <x:v>The material records the component boundary at material level, so the interaction with the model is recorded as NA.</x:v>
      </x:c>
    </x:row>
    <x:row r="171" ht="76" customHeight="1">
      <x:c r="A171" s="2" t="str">
        <x:v>G5-COMP-R02</x:v>
      </x:c>
      <x:c r="B171" s="2" t="str">
        <x:v>G5</x:v>
      </x:c>
      <x:c r="C171" s="2" t="str">
        <x:v>v1</x:v>
      </x:c>
      <x:c r="D171" s="2" t="str">
        <x:v>Reviewer_A</x:v>
      </x:c>
      <x:c r="E171" s="2" t="str">
        <x:v>Reviewer_A</x:v>
      </x:c>
      <x:c r="F171" s="2" t="str">
        <x:v>G5-C02</x:v>
      </x:c>
      <x:c r="G171" s="2" t="str">
        <x:v>G5-T02</x:v>
      </x:c>
      <x:c r="H171" s="2" t="str">
        <x:v>G5-O03</x:v>
      </x:c>
      <x:c r="I171" s="2" t="str">
        <x:v>command-line interfaces to the test tools</x:v>
      </x:c>
      <x:c r="J171" s="6" t="str">
        <x:v>Tool framework</x:v>
      </x:c>
      <x:c r="K171" s="6" t="str">
        <x:v>Tool orchestration</x:v>
      </x:c>
      <x:c r="L171" s="6" t="str">
        <x:v>let the model reach the local tools and the target</x:v>
      </x:c>
      <x:c r="M171" s="2" t="str">
        <x:v>NA</x:v>
      </x:c>
      <x:c r="N171" s="2" t="str">
        <x:v>Yes</x:v>
      </x:c>
      <x:c r="O171" s="2" t="str">
        <x:v>NR</x:v>
      </x:c>
      <x:c r="P171" s="2" t="str">
        <x:v>NR</x:v>
      </x:c>
      <x:c r="Q171"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71" s="6" t="str">
        <x:v>we typically do this as as json data into tools such as ldr to execute that on on the target</x:v>
      </x:c>
      <x:c r="S171" s="6" t="str">
        <x:v>The command line is the fallback integration route beside the protocol, and it is where the generated JSON is consumed.</x:v>
      </x:c>
      <x:c r="T171" s="2" t="str">
        <x:v>Accepted</x:v>
      </x:c>
      <x:c r="U171" s="6" t="str">
        <x:v>The material records the component boundary at material level, so the interaction with the model is recorded as NA.</x:v>
      </x:c>
    </x:row>
    <x:row r="172" ht="76" customHeight="1">
      <x:c r="A172" s="2" t="str">
        <x:v>G5-COMP-R03</x:v>
      </x:c>
      <x:c r="B172" s="2" t="str">
        <x:v>G5</x:v>
      </x:c>
      <x:c r="C172" s="2" t="str">
        <x:v>v1</x:v>
      </x:c>
      <x:c r="D172" s="2" t="str">
        <x:v>Reviewer_A</x:v>
      </x:c>
      <x:c r="E172" s="2" t="str">
        <x:v>Reviewer_A</x:v>
      </x:c>
      <x:c r="F172" s="2" t="str">
        <x:v>G5-C03</x:v>
      </x:c>
      <x:c r="G172" s="2" t="str">
        <x:v>G5-T02</x:v>
      </x:c>
      <x:c r="H172" s="2" t="str">
        <x:v>G5-O01 ; G5-O02</x:v>
      </x:c>
      <x:c r="I172" s="2" t="str">
        <x:v>RAG and vector databases</x:v>
      </x:c>
      <x:c r="J172" s="6" t="str">
        <x:v>Dense retrieval</x:v>
      </x:c>
      <x:c r="K172" s="6" t="str">
        <x:v>Candidate retrieval</x:v>
      </x:c>
      <x:c r="L172" s="6" t="str">
        <x:v>add context to the requirement and code scope information before the model answers</x:v>
      </x:c>
      <x:c r="M172" s="2" t="str">
        <x:v>NA</x:v>
      </x:c>
      <x:c r="N172" s="2" t="str">
        <x:v>Yes</x:v>
      </x:c>
      <x:c r="O172" s="2" t="str">
        <x:v>NR</x:v>
      </x:c>
      <x:c r="P172" s="2" t="str">
        <x:v>NR</x:v>
      </x:c>
      <x:c r="Q172"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72" s="6" t="str">
        <x:v>RAG and vector databases add context</x:v>
      </x:c>
      <x:c r="S172" s="6" t="str">
        <x:v>Retrieval is presented as the countermeasure to hallucination caused by insufficient context.</x:v>
      </x:c>
      <x:c r="T172" s="2" t="str">
        <x:v>Accepted</x:v>
      </x:c>
      <x:c r="U172" s="6" t="str">
        <x:v>The material records the component boundary at material level, so the interaction with the model is recorded as NA.</x:v>
      </x:c>
    </x:row>
    <x:row r="173" ht="76" customHeight="1">
      <x:c r="A173" s="2" t="str">
        <x:v>G5-COMP-R04</x:v>
      </x:c>
      <x:c r="B173" s="2" t="str">
        <x:v>G5</x:v>
      </x:c>
      <x:c r="C173" s="2" t="str">
        <x:v>v1</x:v>
      </x:c>
      <x:c r="D173" s="2" t="str">
        <x:v>Reviewer_A</x:v>
      </x:c>
      <x:c r="E173" s="2" t="str">
        <x:v>Reviewer_A</x:v>
      </x:c>
      <x:c r="F173" s="2" t="str">
        <x:v>G5-C04</x:v>
      </x:c>
      <x:c r="G173" s="2" t="str">
        <x:v>G5-T01</x:v>
      </x:c>
      <x:c r="H173" s="2" t="str">
        <x:v>G5-O01</x:v>
      </x:c>
      <x:c r="I173" s="2" t="str">
        <x:v>requirement management systems such as DOORS, Visure, Polarion and Jama</x:v>
      </x:c>
      <x:c r="J173" s="6" t="str">
        <x:v>Tool framework</x:v>
      </x:c>
      <x:c r="K173" s="6" t="str">
        <x:v>Candidate generation</x:v>
      </x:c>
      <x:c r="L173" s="6" t="str">
        <x:v>supply the requirement data that the model reads</x:v>
      </x:c>
      <x:c r="M173" s="2" t="str">
        <x:v>NA</x:v>
      </x:c>
      <x:c r="N173" s="2" t="str">
        <x:v>Yes</x:v>
      </x:c>
      <x:c r="O173" s="2" t="str">
        <x:v>NR</x:v>
      </x:c>
      <x:c r="P173" s="2" t="str">
        <x:v>NR</x:v>
      </x:c>
      <x:c r="Q173"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73" s="6" t="str">
        <x:v>using llms to access and read your requirements</x:v>
      </x:c>
      <x:c r="S173" s="6" t="str">
        <x:v>The requirement management system remains the source of the requirement side of the trace.</x:v>
      </x:c>
      <x:c r="T173" s="2" t="str">
        <x:v>Accepted</x:v>
      </x:c>
      <x:c r="U173" s="6" t="str">
        <x:v>The material records the component boundary at material level, so the interaction with the model is recorded as NA.</x:v>
      </x:c>
    </x:row>
    <x:row r="174" ht="76" customHeight="1">
      <x:c r="A174" s="2" t="str">
        <x:v>G5-COMP-R05</x:v>
      </x:c>
      <x:c r="B174" s="2" t="str">
        <x:v>G5</x:v>
      </x:c>
      <x:c r="C174" s="2" t="str">
        <x:v>v1</x:v>
      </x:c>
      <x:c r="D174" s="2" t="str">
        <x:v>Reviewer_A</x:v>
      </x:c>
      <x:c r="E174" s="2" t="str">
        <x:v>Reviewer_A</x:v>
      </x:c>
      <x:c r="F174" s="2" t="str">
        <x:v>G5-C05</x:v>
      </x:c>
      <x:c r="G174" s="2" t="str">
        <x:v>G5-T02</x:v>
      </x:c>
      <x:c r="H174" s="2" t="str">
        <x:v>G5-O03</x:v>
      </x:c>
      <x:c r="I174" s="2" t="str">
        <x:v>LDRA static and dynamic analysis and test tools</x:v>
      </x:c>
      <x:c r="J174" s="6" t="str">
        <x:v>Static analysis</x:v>
      </x:c>
      <x:c r="K174" s="6" t="str">
        <x:v>Output validation</x:v>
      </x:c>
      <x:c r="L174" s="6" t="str">
        <x:v>perform deterministic static analysis and on-target test execution</x:v>
      </x:c>
      <x:c r="M174" s="2" t="str">
        <x:v>NA</x:v>
      </x:c>
      <x:c r="N174" s="2" t="str">
        <x:v>Yes</x:v>
      </x:c>
      <x:c r="O174" s="2" t="str">
        <x:v>NR</x:v>
      </x:c>
      <x:c r="P174" s="2" t="str">
        <x:v>NR</x:v>
      </x:c>
      <x:c r="Q174"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74" s="6" t="str">
        <x:v>you can extract that information by combining information from the requirement scope to information in the code scope from the static analysis</x:v>
      </x:c>
      <x:c r="S174" s="6" t="str">
        <x:v>The analysis and test tools are where correctness is decided, and the model only prepares their input.</x:v>
      </x:c>
      <x:c r="T174" s="2" t="str">
        <x:v>Accepted</x:v>
      </x:c>
      <x:c r="U174" s="6" t="str">
        <x:v>The material records the component boundary at material level, so the interaction with the model is recorded as NA.</x:v>
      </x:c>
    </x:row>
    <x:row r="175" ht="76" customHeight="1">
      <x:c r="A175" s="2" t="str">
        <x:v>G6-COMP-R01</x:v>
      </x:c>
      <x:c r="B175" s="2" t="str">
        <x:v>G6</x:v>
      </x:c>
      <x:c r="C175" s="2" t="str">
        <x:v>v1</x:v>
      </x:c>
      <x:c r="D175" s="2" t="str">
        <x:v>Reviewer_A</x:v>
      </x:c>
      <x:c r="E175" s="2" t="str">
        <x:v>Reviewer_A</x:v>
      </x:c>
      <x:c r="F175" s="2" t="str">
        <x:v>G6-C01</x:v>
      </x:c>
      <x:c r="G175" s="2" t="str">
        <x:v>G6-T01</x:v>
      </x:c>
      <x:c r="H175" s="2" t="str">
        <x:v>G6-O02</x:v>
      </x:c>
      <x:c r="I175" s="2" t="str">
        <x:v>LDRA MC/DC Test Case Planner (truth table and test case template)</x:v>
      </x:c>
      <x:c r="J175" s="6" t="str">
        <x:v>Static analysis</x:v>
      </x:c>
      <x:c r="K175" s="6" t="str">
        <x:v>Pre-filtering</x:v>
      </x:c>
      <x:c r="L175" s="6" t="str">
        <x:v>produces the truth table and the test case template that constrain the model input</x:v>
      </x:c>
      <x:c r="M175" s="2" t="str">
        <x:v>NA</x:v>
      </x:c>
      <x:c r="N175" s="2" t="str">
        <x:v>Yes</x:v>
      </x:c>
      <x:c r="O175" s="2" t="str">
        <x:v>NR</x:v>
      </x:c>
      <x:c r="P175" s="2" t="str">
        <x:v>NR</x:v>
      </x:c>
      <x:c r="Q175"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175" s="6" t="str">
        <x:v>look at the mcdc test case planner and you can see the full truth table ... the truths and falses that you have to get to get your 2n + 1 test cases</x:v>
      </x:c>
      <x:c r="S175" s="6" t="str">
        <x:v>The planner supplies the deterministic structure that the generated test cases must satisfy.</x:v>
      </x:c>
      <x:c r="T175" s="2" t="str">
        <x:v>Accepted</x:v>
      </x:c>
      <x:c r="U175" s="6" t="str">
        <x:v>The material records the component boundary at material level, so the interaction with the model is recorded as NA.</x:v>
      </x:c>
    </x:row>
    <x:row r="176" ht="76" customHeight="1">
      <x:c r="A176" s="2" t="str">
        <x:v>G6-COMP-R02</x:v>
      </x:c>
      <x:c r="B176" s="2" t="str">
        <x:v>G6</x:v>
      </x:c>
      <x:c r="C176" s="2" t="str">
        <x:v>v1</x:v>
      </x:c>
      <x:c r="D176" s="2" t="str">
        <x:v>Reviewer_A</x:v>
      </x:c>
      <x:c r="E176" s="2" t="str">
        <x:v>Reviewer_A</x:v>
      </x:c>
      <x:c r="F176" s="2" t="str">
        <x:v>G6-C02</x:v>
      </x:c>
      <x:c r="G176" s="2" t="str">
        <x:v>G6-T02</x:v>
      </x:c>
      <x:c r="H176" s="2" t="str">
        <x:v>NA</x:v>
      </x:c>
      <x:c r="I176" s="2" t="str">
        <x:v>flow graph</x:v>
      </x:c>
      <x:c r="J176" s="6" t="str">
        <x:v>Program analysis</x:v>
      </x:c>
      <x:c r="K176" s="6" t="str">
        <x:v>Output validation</x:v>
      </x:c>
      <x:c r="L176" s="6" t="str">
        <x:v>shows the paths of the decision that have not been run yet</x:v>
      </x:c>
      <x:c r="M176" s="2" t="str">
        <x:v>NA</x:v>
      </x:c>
      <x:c r="N176" s="2" t="str">
        <x:v>Yes</x:v>
      </x:c>
      <x:c r="O176" s="2" t="str">
        <x:v>NR</x:v>
      </x:c>
      <x:c r="P176" s="2" t="str">
        <x:v>NR</x:v>
      </x:c>
      <x:c r="Q176"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176" s="6" t="str">
        <x:v>this is a flow graph of that same mcdc decision ... it can help you identify the other paths that you haven't run</x:v>
      </x:c>
      <x:c r="S176" s="6" t="str">
        <x:v>The flow graph is the check on whether the generated tests cover the decision paths.</x:v>
      </x:c>
      <x:c r="T176" s="2" t="str">
        <x:v>Accepted</x:v>
      </x:c>
      <x:c r="U176" s="6" t="str">
        <x:v>The material records the component boundary at material level, so the interaction with the model is recorded as NA.</x:v>
      </x:c>
    </x:row>
    <x:row r="177" ht="76" customHeight="1">
      <x:c r="A177" s="2" t="str">
        <x:v>G6-COMP-R03</x:v>
      </x:c>
      <x:c r="B177" s="2" t="str">
        <x:v>G6</x:v>
      </x:c>
      <x:c r="C177" s="2" t="str">
        <x:v>v1</x:v>
      </x:c>
      <x:c r="D177" s="2" t="str">
        <x:v>Reviewer_A</x:v>
      </x:c>
      <x:c r="E177" s="2" t="str">
        <x:v>Reviewer_A</x:v>
      </x:c>
      <x:c r="F177" s="2" t="str">
        <x:v>G6-C03</x:v>
      </x:c>
      <x:c r="G177" s="2" t="str">
        <x:v>G6-T02</x:v>
      </x:c>
      <x:c r="H177" s="2" t="str">
        <x:v>NA</x:v>
      </x:c>
      <x:c r="I177" s="2" t="str">
        <x:v>coverage and traceability view (TBmanager)</x:v>
      </x:c>
      <x:c r="J177" s="6" t="str">
        <x:v>Tool framework</x:v>
      </x:c>
      <x:c r="K177" s="6" t="str">
        <x:v>Evaluation only</x:v>
      </x:c>
      <x:c r="L177" s="6" t="str">
        <x:v>shows which code or function has no requirement traced to it</x:v>
      </x:c>
      <x:c r="M177" s="2" t="str">
        <x:v>NA</x:v>
      </x:c>
      <x:c r="N177" s="2" t="str">
        <x:v>Yes</x:v>
      </x:c>
      <x:c r="O177" s="2" t="str">
        <x:v>NR</x:v>
      </x:c>
      <x:c r="P177" s="2" t="str">
        <x:v>NR</x:v>
      </x:c>
      <x:c r="Q177"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177" s="6" t="str">
        <x:v>it can help you identify the other paths that you haven't run</x:v>
      </x:c>
      <x:c r="S177" s="6" t="str">
        <x:v>The view is used to inspect completeness of the trace rather than to produce links.</x:v>
      </x:c>
      <x:c r="T177" s="2" t="str">
        <x:v>Accepted</x:v>
      </x:c>
      <x:c r="U177" s="6" t="str">
        <x:v>The material records the component boundary at material level, so the interaction with the model is recorded as NA.</x:v>
      </x:c>
    </x:row>
    <x:row r="178" ht="76" customHeight="1">
      <x:c r="A178" s="2" t="str">
        <x:v>G6-COMP-R04</x:v>
      </x:c>
      <x:c r="B178" s="2" t="str">
        <x:v>G6</x:v>
      </x:c>
      <x:c r="C178" s="2" t="str">
        <x:v>v1</x:v>
      </x:c>
      <x:c r="D178" s="2" t="str">
        <x:v>Reviewer_A</x:v>
      </x:c>
      <x:c r="E178" s="2" t="str">
        <x:v>Reviewer_A</x:v>
      </x:c>
      <x:c r="F178" s="2" t="str">
        <x:v>G6-C04</x:v>
      </x:c>
      <x:c r="G178" s="2" t="str">
        <x:v>G6-T02</x:v>
      </x:c>
      <x:c r="H178" s="2" t="str">
        <x:v>NA</x:v>
      </x:c>
      <x:c r="I178" s="2" t="str">
        <x:v>unit test suite and instrumentless coverage hardware</x:v>
      </x:c>
      <x:c r="J178" s="6" t="str">
        <x:v>Tool framework</x:v>
      </x:c>
      <x:c r="K178" s="6" t="str">
        <x:v>Output validation</x:v>
      </x:c>
      <x:c r="L178" s="6" t="str">
        <x:v>executes the unit tests and collects coverage without instrumentation</x:v>
      </x:c>
      <x:c r="M178" s="2" t="str">
        <x:v>NA</x:v>
      </x:c>
      <x:c r="N178" s="2" t="str">
        <x:v>Yes</x:v>
      </x:c>
      <x:c r="O178" s="2" t="str">
        <x:v>NR</x:v>
      </x:c>
      <x:c r="P178" s="2" t="str">
        <x:v>NR</x:v>
      </x:c>
      <x:c r="Q178"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178" s="6" t="str">
        <x:v>you have 2n + 1 decisions to test</x:v>
      </x:c>
      <x:c r="S178" s="6" t="str">
        <x:v>The suite and the hardware are named as part of the tool chain; the material describes their role only in coverage terms.</x:v>
      </x:c>
      <x:c r="T178" s="2" t="str">
        <x:v>Accepted</x:v>
      </x:c>
      <x:c r="U178" s="6" t="str">
        <x:v>The material records the component boundary at material level, so the interaction with the model is recorded as NA.</x:v>
      </x:c>
    </x:row>
    <x:row r="179" ht="76" customHeight="1">
      <x:c r="A179" s="2" t="str">
        <x:v>G7-COMP-R01</x:v>
      </x:c>
      <x:c r="B179" s="2" t="str">
        <x:v>G7</x:v>
      </x:c>
      <x:c r="C179" s="2" t="str">
        <x:v>v1</x:v>
      </x:c>
      <x:c r="D179" s="2" t="str">
        <x:v>Reviewer_A</x:v>
      </x:c>
      <x:c r="E179" s="2" t="str">
        <x:v>Reviewer_A</x:v>
      </x:c>
      <x:c r="F179" s="2" t="str">
        <x:v>G7-C01</x:v>
      </x:c>
      <x:c r="G179" s="2" t="str">
        <x:v>G7-T01</x:v>
      </x:c>
      <x:c r="H179" s="2" t="str">
        <x:v>G7-O01 ; G7-O02 ; G7-O03</x:v>
      </x:c>
      <x:c r="I179" s="2" t="str">
        <x:v>Sphinx-Needs traceability graph and need objects</x:v>
      </x:c>
      <x:c r="J179" s="6" t="str">
        <x:v>Knowledge graph</x:v>
      </x:c>
      <x:c r="K179" s="6" t="str">
        <x:v>Context construction</x:v>
      </x:c>
      <x:c r="L179" s="6" t="str">
        <x:v>holds the needs, their metadata and the links between them</x:v>
      </x:c>
      <x:c r="M179" s="2" t="str">
        <x:v>NA</x:v>
      </x:c>
      <x:c r="N179" s="2" t="str">
        <x:v>Yes</x:v>
      </x:c>
      <x:c r="O179" s="2" t="str">
        <x:v>Yes</x:v>
      </x:c>
      <x:c r="P179" s="2" t="str">
        <x:v>the token comparison between frameworks was run on the same scenario, so the graph is the common input for every configuration</x:v>
      </x:c>
      <x:c r="Q179"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79" s="6" t="str">
        <x:v>you can link a requirement, a specification, architecture element, test cases against it to get the complete traceability</x:v>
      </x:c>
      <x:c r="S179" s="6" t="str">
        <x:v>The graph is the shared substrate that makes the framework comparison possible on one scenario.</x:v>
      </x:c>
      <x:c r="T179" s="2" t="str">
        <x:v>Accepted</x:v>
      </x:c>
      <x:c r="U179" s="6" t="str">
        <x:v>The material records the component boundary at material level, so the interaction with the model is recorded as NA.</x:v>
      </x:c>
    </x:row>
    <x:row r="180" ht="76" customHeight="1">
      <x:c r="A180" s="2" t="str">
        <x:v>G7-COMP-R02</x:v>
      </x:c>
      <x:c r="B180" s="2" t="str">
        <x:v>G7</x:v>
      </x:c>
      <x:c r="C180" s="2" t="str">
        <x:v>v1</x:v>
      </x:c>
      <x:c r="D180" s="2" t="str">
        <x:v>Reviewer_A</x:v>
      </x:c>
      <x:c r="E180" s="2" t="str">
        <x:v>Reviewer_A</x:v>
      </x:c>
      <x:c r="F180" s="2" t="str">
        <x:v>G7-C02</x:v>
      </x:c>
      <x:c r="G180" s="2" t="str">
        <x:v>G7-T01</x:v>
      </x:c>
      <x:c r="H180" s="2" t="str">
        <x:v>NA</x:v>
      </x:c>
      <x:c r="I180" s="2" t="str">
        <x:v>code links extension</x:v>
      </x:c>
      <x:c r="J180" s="6" t="str">
        <x:v>Static analysis</x:v>
      </x:c>
      <x:c r="K180" s="6" t="str">
        <x:v>Feature augmentation</x:v>
      </x:c>
      <x:c r="L180" s="6" t="str">
        <x:v>pulls requirement markers out of the source code</x:v>
      </x:c>
      <x:c r="M180" s="2" t="str">
        <x:v>NA</x:v>
      </x:c>
      <x:c r="N180" s="2" t="str">
        <x:v>Yes</x:v>
      </x:c>
      <x:c r="O180" s="2" t="str">
        <x:v>Yes</x:v>
      </x:c>
      <x:c r="P180" s="2" t="str">
        <x:v>the code markers are part of the input that the graph is built from in the compared configurations</x:v>
      </x:c>
      <x:c r="Q180"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80" s="6" t="str">
        <x:v>which allows you to have some markers inside your code</x:v>
      </x:c>
      <x:c r="S180" s="6" t="str">
        <x:v>The extension is what brings the code side into the graph without a model call.</x:v>
      </x:c>
      <x:c r="T180" s="2" t="str">
        <x:v>Accepted</x:v>
      </x:c>
      <x:c r="U180" s="6" t="str">
        <x:v>The material records the component boundary at material level, so the interaction with the model is recorded as NA.</x:v>
      </x:c>
    </x:row>
    <x:row r="181" ht="76" customHeight="1">
      <x:c r="A181" s="2" t="str">
        <x:v>G7-COMP-R03</x:v>
      </x:c>
      <x:c r="B181" s="2" t="str">
        <x:v>G7</x:v>
      </x:c>
      <x:c r="C181" s="2" t="str">
        <x:v>v1</x:v>
      </x:c>
      <x:c r="D181" s="2" t="str">
        <x:v>Reviewer_A</x:v>
      </x:c>
      <x:c r="E181" s="2" t="str">
        <x:v>Reviewer_A</x:v>
      </x:c>
      <x:c r="F181" s="2" t="str">
        <x:v>G7-C03</x:v>
      </x:c>
      <x:c r="G181" s="2" t="str">
        <x:v>G7-T01</x:v>
      </x:c>
      <x:c r="H181" s="2" t="str">
        <x:v>NA</x:v>
      </x:c>
      <x:c r="I181" s="2" t="str">
        <x:v>sphinx-needs-test-reports extension</x:v>
      </x:c>
      <x:c r="J181" s="6" t="str">
        <x:v>Tool framework</x:v>
      </x:c>
      <x:c r="K181" s="6" t="str">
        <x:v>Post-processing</x:v>
      </x:c>
      <x:c r="L181" s="6" t="str">
        <x:v>links test results to the test cases that produced them</x:v>
      </x:c>
      <x:c r="M181" s="2" t="str">
        <x:v>NA</x:v>
      </x:c>
      <x:c r="N181" s="2" t="str">
        <x:v>Yes</x:v>
      </x:c>
      <x:c r="O181" s="2" t="str">
        <x:v>Yes</x:v>
      </x:c>
      <x:c r="P181" s="2" t="str">
        <x:v>the test report linkage is present in the compared configurations</x:v>
      </x:c>
      <x:c r="Q181"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81" s="6" t="str">
        <x:v>which grabs um test case results from your test framework like google test or something like this, the junit xml format</x:v>
      </x:c>
      <x:c r="S181" s="6" t="str">
        <x:v>The extension keeps the execution result attached to the traced test case.</x:v>
      </x:c>
      <x:c r="T181" s="2" t="str">
        <x:v>Accepted</x:v>
      </x:c>
      <x:c r="U181" s="6" t="str">
        <x:v>The material records the component boundary at material level, so the interaction with the model is recorded as NA.</x:v>
      </x:c>
    </x:row>
    <x:row r="182" ht="76" customHeight="1">
      <x:c r="A182" s="2" t="str">
        <x:v>G7-COMP-R04</x:v>
      </x:c>
      <x:c r="B182" s="2" t="str">
        <x:v>G7</x:v>
      </x:c>
      <x:c r="C182" s="2" t="str">
        <x:v>v1</x:v>
      </x:c>
      <x:c r="D182" s="2" t="str">
        <x:v>Reviewer_A</x:v>
      </x:c>
      <x:c r="E182" s="2" t="str">
        <x:v>Reviewer_A</x:v>
      </x:c>
      <x:c r="F182" s="2" t="str">
        <x:v>G7-C04</x:v>
      </x:c>
      <x:c r="G182" s="2" t="str">
        <x:v>G7-T01</x:v>
      </x:c>
      <x:c r="H182" s="2" t="str">
        <x:v>NA</x:v>
      </x:c>
      <x:c r="I182" s="2" t="str">
        <x:v>needs json export and import format</x:v>
      </x:c>
      <x:c r="J182" s="6" t="str">
        <x:v>Other</x:v>
      </x:c>
      <x:c r="K182" s="6" t="str">
        <x:v>Other</x:v>
      </x:c>
      <x:c r="L182" s="6" t="str">
        <x:v>NR</x:v>
      </x:c>
      <x:c r="M182" s="2" t="str">
        <x:v>NA</x:v>
      </x:c>
      <x:c r="N182" s="2" t="str">
        <x:v>Yes</x:v>
      </x:c>
      <x:c r="O182" s="2" t="str">
        <x:v>Yes</x:v>
      </x:c>
      <x:c r="P182" s="2" t="str">
        <x:v>NR</x:v>
      </x:c>
      <x:c r="Q182"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82" s="6" t="str">
        <x:v>the needs json export and import format is named in the component list of the material</x:v>
      </x:c>
      <x:c r="S182" s="6" t="str">
        <x:v>The format is named as part of the ecosystem but its function is not described separately in the material.</x:v>
      </x:c>
      <x:c r="T182" s="2" t="str">
        <x:v>Accepted</x:v>
      </x:c>
      <x:c r="U182" s="6" t="str">
        <x:v>The material records the component boundary at material level, so the interaction with the model is recorded as NA.</x:v>
      </x:c>
    </x:row>
    <x:row r="183" ht="76" customHeight="1">
      <x:c r="A183" s="2" t="str">
        <x:v>G7-COMP-R05</x:v>
      </x:c>
      <x:c r="B183" s="2" t="str">
        <x:v>G7</x:v>
      </x:c>
      <x:c r="C183" s="2" t="str">
        <x:v>v1</x:v>
      </x:c>
      <x:c r="D183" s="2" t="str">
        <x:v>Reviewer_A</x:v>
      </x:c>
      <x:c r="E183" s="2" t="str">
        <x:v>Reviewer_A</x:v>
      </x:c>
      <x:c r="F183" s="2" t="str">
        <x:v>G7-C05</x:v>
      </x:c>
      <x:c r="G183" s="2" t="str">
        <x:v>G7-T02</x:v>
      </x:c>
      <x:c r="H183" s="2" t="str">
        <x:v>G7-O01 ; G7-O04</x:v>
      </x:c>
      <x:c r="I183" s="2" t="str">
        <x:v>ubiCode VS Code extension with an MCP server and command-line tool</x:v>
      </x:c>
      <x:c r="J183" s="6" t="str">
        <x:v>Tool framework</x:v>
      </x:c>
      <x:c r="K183" s="6" t="str">
        <x:v>Tool orchestration</x:v>
      </x:c>
      <x:c r="L183" s="6" t="str">
        <x:v>builds the graph quickly and exposes it to agents over MCP or a command line</x:v>
      </x:c>
      <x:c r="M183" s="2" t="str">
        <x:v>NA</x:v>
      </x:c>
      <x:c r="N183" s="2" t="str">
        <x:v>Yes</x:v>
      </x:c>
      <x:c r="O183" s="2" t="str">
        <x:v>Yes</x:v>
      </x:c>
      <x:c r="P183" s="2" t="str">
        <x:v>the exposure of the graph to the agent is the interface that the compared configurations share</x:v>
      </x:c>
      <x:c r="Q183"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83" s="6" t="str">
        <x:v>we have created an agentic system called pharaoh, which is able</x:v>
      </x:c>
      <x:c r="S183" s="6" t="str">
        <x:v>This is the component that the input-scope control depends on, so it stays active in every configuration.</x:v>
      </x:c>
      <x:c r="T183" s="2" t="str">
        <x:v>Accepted</x:v>
      </x:c>
      <x:c r="U183" s="6" t="str">
        <x:v>The material records the component boundary at material level, so the interaction with the model is recorded as NA.</x:v>
      </x:c>
    </x:row>
    <x:row r="184" ht="76" customHeight="1">
      <x:c r="A184" s="2" t="str">
        <x:v>G7-COMP-R06</x:v>
      </x:c>
      <x:c r="B184" s="2" t="str">
        <x:v>G7</x:v>
      </x:c>
      <x:c r="C184" s="2" t="str">
        <x:v>v1</x:v>
      </x:c>
      <x:c r="D184" s="2" t="str">
        <x:v>Reviewer_A</x:v>
      </x:c>
      <x:c r="E184" s="2" t="str">
        <x:v>Reviewer_A</x:v>
      </x:c>
      <x:c r="F184" s="2" t="str">
        <x:v>G7-C06</x:v>
      </x:c>
      <x:c r="G184" s="2" t="str">
        <x:v>G7-T01</x:v>
      </x:c>
      <x:c r="H184" s="2" t="str">
        <x:v>NA</x:v>
      </x:c>
      <x:c r="I184" s="2" t="str">
        <x:v>ubiConnect connectors to DOORS, Jama and similar tools</x:v>
      </x:c>
      <x:c r="J184" s="6" t="str">
        <x:v>Tool framework</x:v>
      </x:c>
      <x:c r="K184" s="6" t="str">
        <x:v>Pre-filtering</x:v>
      </x:c>
      <x:c r="L184" s="6" t="str">
        <x:v>brings data in from other requirement management tools</x:v>
      </x:c>
      <x:c r="M184" s="2" t="str">
        <x:v>NA</x:v>
      </x:c>
      <x:c r="N184" s="2" t="str">
        <x:v>Yes</x:v>
      </x:c>
      <x:c r="O184" s="2" t="str">
        <x:v>Yes</x:v>
      </x:c>
      <x:c r="P184" s="2" t="str">
        <x:v>the connectors are part of the ecosystem the talk presents rather than of the compared scenario</x:v>
      </x:c>
      <x:c r="Q184"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84" s="6" t="str">
        <x:v>ubiConnect brings in other requirement tools</x:v>
      </x:c>
      <x:c r="S184" s="6" t="str">
        <x:v>The connectors determine which external requirement data can enter the graph.</x:v>
      </x:c>
      <x:c r="T184" s="2" t="str">
        <x:v>Accepted</x:v>
      </x:c>
      <x:c r="U184" s="6" t="str">
        <x:v>The material records the component boundary at material level, so the interaction with the model is recorded as NA.</x:v>
      </x:c>
    </x:row>
    <x:row r="185" ht="76" customHeight="1">
      <x:c r="A185" s="2" t="str">
        <x:v>G7-COMP-R07</x:v>
      </x:c>
      <x:c r="B185" s="2" t="str">
        <x:v>G7</x:v>
      </x:c>
      <x:c r="C185" s="2" t="str">
        <x:v>v1</x:v>
      </x:c>
      <x:c r="D185" s="2" t="str">
        <x:v>Reviewer_A</x:v>
      </x:c>
      <x:c r="E185" s="2" t="str">
        <x:v>Reviewer_A</x:v>
      </x:c>
      <x:c r="F185" s="2" t="str">
        <x:v>G7-C07</x:v>
      </x:c>
      <x:c r="G185" s="2" t="str">
        <x:v>G7-T01</x:v>
      </x:c>
      <x:c r="H185" s="2" t="str">
        <x:v>NA</x:v>
      </x:c>
      <x:c r="I185" s="2" t="str">
        <x:v>ubiTrace history application</x:v>
      </x:c>
      <x:c r="J185" s="6" t="str">
        <x:v>Tool framework</x:v>
      </x:c>
      <x:c r="K185" s="6" t="str">
        <x:v>Post-processing</x:v>
      </x:c>
      <x:c r="L185" s="6" t="str">
        <x:v>aggregates the version history of the traced elements</x:v>
      </x:c>
      <x:c r="M185" s="2" t="str">
        <x:v>NA</x:v>
      </x:c>
      <x:c r="N185" s="2" t="str">
        <x:v>Yes</x:v>
      </x:c>
      <x:c r="O185" s="2" t="str">
        <x:v>Yes</x:v>
      </x:c>
      <x:c r="P185" s="2" t="str">
        <x:v>history aggregation is presented as an ecosystem capability rather than as part of the compared scenario</x:v>
      </x:c>
      <x:c r="Q185"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85" s="6" t="str">
        <x:v>ubiTrace aggregates history</x:v>
      </x:c>
      <x:c r="S185" s="6" t="str">
        <x:v>The history application is what turns the graph into a record of how the traced elements changed.</x:v>
      </x:c>
      <x:c r="T185" s="2" t="str">
        <x:v>Accepted</x:v>
      </x:c>
      <x:c r="U185" s="6" t="str">
        <x:v>The material records the component boundary at material level, so the interaction with the model is recorded as NA.</x:v>
      </x:c>
    </x:row>
    <x:row r="186" ht="76" customHeight="1">
      <x:c r="A186" s="2" t="str">
        <x:v>G7-COMP-R08</x:v>
      </x:c>
      <x:c r="B186" s="2" t="str">
        <x:v>G7</x:v>
      </x:c>
      <x:c r="C186" s="2" t="str">
        <x:v>v1</x:v>
      </x:c>
      <x:c r="D186" s="2" t="str">
        <x:v>Reviewer_A</x:v>
      </x:c>
      <x:c r="E186" s="2" t="str">
        <x:v>Reviewer_A</x:v>
      </x:c>
      <x:c r="F186" s="2" t="str">
        <x:v>G7-C08</x:v>
      </x:c>
      <x:c r="G186" s="2" t="str">
        <x:v>G7-T02</x:v>
      </x:c>
      <x:c r="H186" s="2" t="str">
        <x:v>G7-O01 ; G7-O02 ; G7-O03 ; G7-O04</x:v>
      </x:c>
      <x:c r="I186" s="2" t="str">
        <x:v>Pharaoh agentic framework</x:v>
      </x:c>
      <x:c r="J186" s="6" t="str">
        <x:v>Other</x:v>
      </x:c>
      <x:c r="K186" s="6" t="str">
        <x:v>Tool orchestration</x:v>
      </x:c>
      <x:c r="L186" s="6" t="str">
        <x:v>is the open-source agent that operates on the traced data</x:v>
      </x:c>
      <x:c r="M186" s="2" t="str">
        <x:v>NA</x:v>
      </x:c>
      <x:c r="N186" s="2" t="str">
        <x:v>Yes</x:v>
      </x:c>
      <x:c r="O186" s="2" t="str">
        <x:v>Yes</x:v>
      </x:c>
      <x:c r="P186" s="2" t="str">
        <x:v>the token comparison is reported per framework, and Pharaoh is the configuration that consumed about 11,000 tokens</x:v>
      </x:c>
      <x:c r="Q186"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186" s="6" t="str">
        <x:v>pharaoh he has used 11,000 tokens in his tests in this particular one and all the others has taken more up to nearly 70,000</x:v>
      </x:c>
      <x:c r="S186" s="6" t="str">
        <x:v>The framework is the agent scaffold around the model, and the reported token figures belong to it.</x:v>
      </x:c>
      <x:c r="T186" s="2" t="str">
        <x:v>Accepted</x:v>
      </x:c>
      <x:c r="U186" s="6" t="str">
        <x:v>The material records the component boundary at material level, so the interaction with the model is recorded as NA.</x:v>
      </x:c>
    </x:row>
    <x:row r="187" ht="76" customHeight="1">
      <x:c r="A187" s="2" t="str">
        <x:v>G8-COMP-R01</x:v>
      </x:c>
      <x:c r="B187" s="2" t="str">
        <x:v>G8</x:v>
      </x:c>
      <x:c r="C187" s="2" t="str">
        <x:v>v1</x:v>
      </x:c>
      <x:c r="D187" s="2" t="str">
        <x:v>Reviewer_A</x:v>
      </x:c>
      <x:c r="E187" s="2" t="str">
        <x:v>Reviewer_A</x:v>
      </x:c>
      <x:c r="F187" s="2" t="str">
        <x:v>G8-C01</x:v>
      </x:c>
      <x:c r="G187" s="2" t="str">
        <x:v>G8-T01</x:v>
      </x:c>
      <x:c r="H187" s="2" t="str">
        <x:v>G8-O01</x:v>
      </x:c>
      <x:c r="I187" s="2" t="str">
        <x:v>per-application json configuration file of about 19 lines</x:v>
      </x:c>
      <x:c r="J187" s="6" t="str">
        <x:v>Other</x:v>
      </x:c>
      <x:c r="K187" s="6" t="str">
        <x:v>Pre-filtering</x:v>
      </x:c>
      <x:c r="L187" s="6" t="str">
        <x:v>tells the RTM generator which source files to load for each requirement and lets new applications be onboarded without changing the agent</x:v>
      </x:c>
      <x:c r="M187" s="2" t="str">
        <x:v>NA</x:v>
      </x:c>
      <x:c r="N187" s="2" t="str">
        <x:v>Yes</x:v>
      </x:c>
      <x:c r="O187" s="2" t="str">
        <x:v>NR</x:v>
      </x:c>
      <x:c r="P187" s="2" t="str">
        <x:v>NR</x:v>
      </x:c>
      <x:c r="Q187"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187" s="6" t="str">
        <x:v>this file tells the rtm generator which source files to load for each requirement</x:v>
      </x:c>
      <x:c r="S187" s="6" t="str">
        <x:v>The configuration file is how the code side is scoped per application.</x:v>
      </x:c>
      <x:c r="T187" s="2" t="str">
        <x:v>Accepted</x:v>
      </x:c>
      <x:c r="U187" s="6" t="str">
        <x:v>The material records the component boundary at material level, so the interaction with the model is recorded as NA.</x:v>
      </x:c>
    </x:row>
    <x:row r="188" ht="76" customHeight="1">
      <x:c r="A188" s="2" t="str">
        <x:v>G8-COMP-R02</x:v>
      </x:c>
      <x:c r="B188" s="2" t="str">
        <x:v>G8</x:v>
      </x:c>
      <x:c r="C188" s="2" t="str">
        <x:v>v1</x:v>
      </x:c>
      <x:c r="D188" s="2" t="str">
        <x:v>Reviewer_A</x:v>
      </x:c>
      <x:c r="E188" s="2" t="str">
        <x:v>Reviewer_A</x:v>
      </x:c>
      <x:c r="F188" s="2" t="str">
        <x:v>G8-C02</x:v>
      </x:c>
      <x:c r="G188" s="2" t="str">
        <x:v>G8-T01</x:v>
      </x:c>
      <x:c r="H188" s="2" t="str">
        <x:v>NA</x:v>
      </x:c>
      <x:c r="I188" s="2" t="str">
        <x:v>the cFS heritage codebase</x:v>
      </x:c>
      <x:c r="J188" s="6" t="str">
        <x:v>Other</x:v>
      </x:c>
      <x:c r="K188" s="6" t="str">
        <x:v>Other</x:v>
      </x:c>
      <x:c r="L188" s="6" t="str">
        <x:v>is the code base that the requirements are traced to</x:v>
      </x:c>
      <x:c r="M188" s="2" t="str">
        <x:v>NA</x:v>
      </x:c>
      <x:c r="N188" s="2" t="str">
        <x:v>No</x:v>
      </x:c>
      <x:c r="O188" s="2" t="str">
        <x:v>NR</x:v>
      </x:c>
      <x:c r="P188" s="2" t="str">
        <x:v>NR</x:v>
      </x:c>
      <x:c r="Q188"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188" s="6" t="str">
        <x:v>Built with: Python + Claude API + cFS heritage codebase</x:v>
      </x:c>
      <x:c r="S188" s="6" t="str">
        <x:v>The code base is the artefact being traced rather than a workflow component.</x:v>
      </x:c>
      <x:c r="T188" s="2" t="str">
        <x:v>Accepted</x:v>
      </x:c>
      <x:c r="U188" s="6" t="str">
        <x:v>Traceability endpoint, not a supporting workflow component.</x:v>
      </x:c>
    </x:row>
    <x:row r="189" ht="76" customHeight="1">
      <x:c r="A189" s="2" t="str">
        <x:v>G8-COMP-R03</x:v>
      </x:c>
      <x:c r="B189" s="2" t="str">
        <x:v>G8</x:v>
      </x:c>
      <x:c r="C189" s="2" t="str">
        <x:v>v1</x:v>
      </x:c>
      <x:c r="D189" s="2" t="str">
        <x:v>Reviewer_A</x:v>
      </x:c>
      <x:c r="E189" s="2" t="str">
        <x:v>Reviewer_A</x:v>
      </x:c>
      <x:c r="F189" s="2" t="str">
        <x:v>G8-C03</x:v>
      </x:c>
      <x:c r="G189" s="2" t="str">
        <x:v>G8-T02</x:v>
      </x:c>
      <x:c r="H189" s="2" t="str">
        <x:v>G8-O02</x:v>
      </x:c>
      <x:c r="I189" s="2" t="str">
        <x:v>the build verification scripts</x:v>
      </x:c>
      <x:c r="J189" s="6" t="str">
        <x:v>Other</x:v>
      </x:c>
      <x:c r="K189" s="6" t="str">
        <x:v>Post-processing</x:v>
      </x:c>
      <x:c r="L189" s="6" t="str">
        <x:v>are the artefact that shows where a requirement was verified</x:v>
      </x:c>
      <x:c r="M189" s="2" t="str">
        <x:v>NA</x:v>
      </x:c>
      <x:c r="N189" s="2" t="str">
        <x:v>No</x:v>
      </x:c>
      <x:c r="O189" s="2" t="str">
        <x:v>NR</x:v>
      </x:c>
      <x:c r="P189" s="2" t="str">
        <x:v>NR</x:v>
      </x:c>
      <x:c r="Q189"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189" s="6" t="str">
        <x:v>since it couldn't locate the b build verification script, it made it blank</x:v>
      </x:c>
      <x:c r="S189" s="6" t="str">
        <x:v>The build verification scripts are one of the four artefact kinds recorded per requirement, and their absence is handled explicitly.</x:v>
      </x:c>
      <x:c r="T189" s="2" t="str">
        <x:v>Accepted</x:v>
      </x:c>
      <x:c r="U189" s="6" t="str">
        <x:v>Traceability endpoint, not a supporting workflow component.</x:v>
      </x:c>
    </x:row>
    <x:row r="190" ht="76" customHeight="1">
      <x:c r="A190" s="2" t="str">
        <x:v>G8-COMP-R04</x:v>
      </x:c>
      <x:c r="B190" s="2" t="str">
        <x:v>G8</x:v>
      </x:c>
      <x:c r="C190" s="2" t="str">
        <x:v>v1</x:v>
      </x:c>
      <x:c r="D190" s="2" t="str">
        <x:v>Reviewer_A</x:v>
      </x:c>
      <x:c r="E190" s="2" t="str">
        <x:v>Reviewer_A</x:v>
      </x:c>
      <x:c r="F190" s="2" t="str">
        <x:v>G8-C04</x:v>
      </x:c>
      <x:c r="G190" s="2" t="str">
        <x:v>G8-T01</x:v>
      </x:c>
      <x:c r="H190" s="2" t="str">
        <x:v>G8-O01</x:v>
      </x:c>
      <x:c r="I190" s="2" t="str">
        <x:v>python driver script and a graphical interface</x:v>
      </x:c>
      <x:c r="J190" s="6" t="str">
        <x:v>Tool framework</x:v>
      </x:c>
      <x:c r="K190" s="6" t="str">
        <x:v>Tool orchestration</x:v>
      </x:c>
      <x:c r="L190" s="6" t="str">
        <x:v>drives the run and presents the results</x:v>
      </x:c>
      <x:c r="M190" s="2" t="str">
        <x:v>NA</x:v>
      </x:c>
      <x:c r="N190" s="2" t="str">
        <x:v>Yes</x:v>
      </x:c>
      <x:c r="O190" s="2" t="str">
        <x:v>NR</x:v>
      </x:c>
      <x:c r="P190" s="2" t="str">
        <x:v>NR</x:v>
      </x:c>
      <x:c r="Q190"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190" s="6" t="str">
        <x:v>from the command line you have to run just this script python script providing the application name</x:v>
      </x:c>
      <x:c r="S190" s="6" t="str">
        <x:v>The driver and the interface are how the run is started and inspected, and the material describes both entry points.</x:v>
      </x:c>
      <x:c r="T190" s="2" t="str">
        <x:v>Accepted</x:v>
      </x:c>
      <x:c r="U190" s="6" t="str">
        <x:v>The material records the component boundary at material level, so the interaction with the model is recorded as NA.</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52" hidden="0" customWidth="1"/>
    <x:col min="8" max="8" width="20" hidden="0" customWidth="1"/>
    <x:col min="9" max="9" width="52" hidden="0" customWidth="1"/>
    <x:col min="10" max="10" width="20" hidden="0" customWidth="1"/>
    <x:col min="11" max="11" width="20" hidden="0" customWidth="1"/>
    <x:col min="12" max="12" width="20" hidden="0" customWidth="1"/>
    <x:col min="13" max="13" width="20" hidden="0" customWidth="1"/>
    <x:col min="14" max="14" width="20" hidden="0" customWidth="1"/>
    <x:col min="15" max="15" width="52" hidden="0" customWidth="1"/>
    <x:col min="16" max="16" width="20" hidden="0" customWidth="1"/>
    <x:col min="17" max="17" width="20" hidden="0" customWidth="1"/>
    <x:col min="18" max="18" width="19" hidden="0" customWidth="1"/>
    <x:col min="19" max="19" width="19" hidden="0" customWidth="1"/>
    <x:col min="20" max="20" width="20" hidden="0" customWidth="1"/>
    <x:col min="21" max="21" width="52" hidden="0" customWidth="1"/>
    <x:col min="22" max="22" width="52" hidden="0" customWidth="1"/>
    <x:col min="23" max="23" width="52" hidden="0" customWidth="1"/>
    <x:col min="24" max="24" width="20" hidden="0" customWidth="1"/>
    <x:col min="25" max="25" width="52" hidden="0" customWidth="1"/>
    <x:col min="26" max="26" width="20" hidden="0" customWidth="1"/>
    <x:col min="27" max="27" width="20" hidden="0" customWidth="1"/>
  </x:cols>
  <x:sheetData>
    <x:row r="1" ht="38" customHeight="1">
      <x:c r="A1" s="5" t="str">
        <x:v>record_id</x:v>
      </x:c>
      <x:c r="B1" s="5" t="str">
        <x:v>study_id</x:v>
      </x:c>
      <x:c r="C1" s="5" t="str">
        <x:v>version_id</x:v>
      </x:c>
      <x:c r="D1" s="5" t="str">
        <x:v>review_stage</x:v>
      </x:c>
      <x:c r="E1" s="5" t="str">
        <x:v>reviewer_id</x:v>
      </x:c>
      <x:c r="F1" s="5" t="str">
        <x:v>limitation_id</x:v>
      </x:c>
      <x:c r="G1" s="5" t="str">
        <x:v>evidence_tag</x:v>
      </x:c>
      <x:c r="H1" s="5" t="str">
        <x:v>reporting_actor</x:v>
      </x:c>
      <x:c r="I1" s="5" t="str">
        <x:v>limitation_raw</x:v>
      </x:c>
      <x:c r="J1" s="5" t="str">
        <x:v>empirical_or_speculative</x:v>
      </x:c>
      <x:c r="K1" s="5" t="str">
        <x:v>affected_task</x:v>
      </x:c>
      <x:c r="L1" s="5" t="str">
        <x:v>affected_model</x:v>
      </x:c>
      <x:c r="M1" s="5" t="str">
        <x:v>affected_context</x:v>
      </x:c>
      <x:c r="N1" s="5" t="str">
        <x:v>consequence</x:v>
      </x:c>
      <x:c r="O1" s="5" t="str">
        <x:v>severity_basis</x:v>
      </x:c>
      <x:c r="P1" s="5" t="str">
        <x:v>mitigation</x:v>
      </x:c>
      <x:c r="Q1" s="5" t="str">
        <x:v>mitigation_status</x:v>
      </x:c>
      <x:c r="R1" s="5" t="str">
        <x:v>open_code</x:v>
      </x:c>
      <x:c r="S1" s="5" t="str">
        <x:v>axial_code</x:v>
      </x:c>
      <x:c r="T1" s="5" t="str">
        <x:v>final_theme</x:v>
      </x:c>
      <x:c r="U1" s="5" t="str">
        <x:v>evidence_location</x:v>
      </x:c>
      <x:c r="V1" s="5" t="str">
        <x:v>evidence_verbatim</x:v>
      </x:c>
      <x:c r="W1" s="5" t="str">
        <x:v>reviewer_interpretation</x:v>
      </x:c>
      <x:c r="X1" s="5" t="str">
        <x:v>record_status</x:v>
      </x:c>
      <x:c r="Y1" s="5" t="str">
        <x:v>notes</x:v>
      </x:c>
      <x:c r="Z1" s="5" t="str">
        <x:v>barrier_severity_1_4</x:v>
      </x:c>
      <x:c r="AA1" s="5" t="str">
        <x:v>mitigation_maturity_1_4</x:v>
      </x:c>
    </x:row>
    <x:row r="2" ht="76" customHeight="1">
      <x:c r="A2" s="2" t="str">
        <x:v>S01-LIMIT-R01</x:v>
      </x:c>
      <x:c r="B2" s="2" t="str">
        <x:v>S01</x:v>
      </x:c>
      <x:c r="C2" s="2" t="str">
        <x:v>merged_0002</x:v>
      </x:c>
      <x:c r="D2" s="2" t="str">
        <x:v>Reviewer_A</x:v>
      </x:c>
      <x:c r="E2" s="2" t="str">
        <x:v>Reviewer_A</x:v>
      </x:c>
      <x:c r="F2" s="2" t="str">
        <x:v>S01-L01</x:v>
      </x:c>
      <x:c r="G2" s="6" t="str">
        <x:v>SR</x:v>
      </x:c>
      <x:c r="H2" s="2" t="str">
        <x:v>Authors</x:v>
      </x:c>
      <x:c r="I2" s="6" t="str">
        <x:v>定义 trace link 时 LLM 难以有效解读。像“related”或“traceability link”这样的术语可能对 LLM 来说过于模糊，需要进一步完善。</x:v>
      </x:c>
      <x:c r="J2" s="2" t="str">
        <x:v>Speculative</x:v>
      </x:c>
      <x:c r="K2" s="2" t="str">
        <x:v>Multiple</x:v>
      </x:c>
      <x:c r="L2" s="2" t="str">
        <x:v>Multiple</x:v>
      </x:c>
      <x:c r="M2" s="2" t="str">
        <x:v>LLM classification prompts</x:v>
      </x:c>
      <x:c r="N2" s="2" t="str">
        <x:v>可能导致 LLM 对 trace link 的误分类。</x:v>
      </x:c>
      <x:c r="O2" s="6" t="str">
        <x:v>NR</x:v>
      </x:c>
      <x:c r="P2" s="2" t="str">
        <x:v>NR</x:v>
      </x:c>
      <x:c r="Q2" s="2" t="str">
        <x:v>Not proposed</x:v>
      </x:c>
      <x:c r="R2" s="2" t="str">
        <x:v>ambiguous_terms</x:v>
      </x:c>
      <x:c r="S2" s="2" t="str">
        <x:v>LLM_interpretation</x:v>
      </x:c>
      <x:c r="T2" s="2" t="str">
        <x:v>Context and prompt dependence</x:v>
      </x:c>
      <x:c r="U2" s="6" t="str">
        <x:v>p. 11; Section V</x:v>
      </x:c>
      <x:c r="V2" s="6" t="str">
        <x:v>One challenge is defining trace links so that LLMs can effectively interpret them. Terms such as “related” or “traceability link” can be too ambiguous for LLMs and might need further refinement.</x:v>
      </x:c>
      <x:c r="W2" s="6" t="str">
        <x:v>作者指出 LLM 难以理解“related”这类模糊术语，可能影响链接分类准确性。</x:v>
      </x:c>
      <x:c r="X2" s="2" t="str">
        <x:v>Accepted</x:v>
      </x:c>
      <x:c r="Y2" s="6" t="str">
        <x:v>NA</x:v>
      </x:c>
      <x:c r="Z2" s="2" t="n">
        <x:v>2</x:v>
      </x:c>
      <x:c r="AA2" s="2" t="n">
        <x:v>1</x:v>
      </x:c>
    </x:row>
    <x:row r="3" ht="76" customHeight="1">
      <x:c r="A3" s="2" t="str">
        <x:v>S01-LIMIT-R02</x:v>
      </x:c>
      <x:c r="B3" s="2" t="str">
        <x:v>S01</x:v>
      </x:c>
      <x:c r="C3" s="2" t="str">
        <x:v>merged_0002</x:v>
      </x:c>
      <x:c r="D3" s="2" t="str">
        <x:v>Reviewer_A</x:v>
      </x:c>
      <x:c r="E3" s="2" t="str">
        <x:v>Reviewer_A</x:v>
      </x:c>
      <x:c r="F3" s="2" t="str">
        <x:v>S01-L02</x:v>
      </x:c>
      <x:c r="G3" s="6" t="str">
        <x:v>SR</x:v>
      </x:c>
      <x:c r="H3" s="2" t="str">
        <x:v>Authors</x:v>
      </x:c>
      <x:c r="I3" s="6" t="str">
        <x:v>当单个句子映射到数百个代码文件时（如 JabRef 等大型项目中观察到的），检索过程达到极限，需检索大量元素才可能覆盖所有相关文件，导致召回率低。</x:v>
      </x:c>
      <x:c r="J3" s="2" t="str">
        <x:v>Empirical</x:v>
      </x:c>
      <x:c r="K3" s="2" t="str">
        <x:v>S01-T02</x:v>
      </x:c>
      <x:c r="L3" s="2" t="str">
        <x:v>S01-MU04</x:v>
      </x:c>
      <x:c r="M3" s="2" t="str">
        <x:v>大型项目中的文档到代码追溯检索步骤</x:v>
      </x:c>
      <x:c r="N3" s="2" t="str">
        <x:v>召回率极低（如 JabRef 最佳检索 recall=0.027），导致整体性能不佳。</x:v>
      </x:c>
      <x:c r="O3" s="6" t="str">
        <x:v>reported recall values for large projects (0.027 for JabRef)</x:v>
      </x:c>
      <x:c r="P3" s="2" t="str">
        <x:v>建议改进检索技术，如动态阈值、替代数据结构或工件摘要。</x:v>
      </x:c>
      <x:c r="Q3" s="2" t="str">
        <x:v>Proposed</x:v>
      </x:c>
      <x:c r="R3" s="2" t="str">
        <x:v>retrieval_scalability</x:v>
      </x:c>
      <x:c r="S3" s="2" t="str">
        <x:v>retrieval_performance</x:v>
      </x:c>
      <x:c r="T3" s="2" t="str">
        <x:v>Context and prompt dependence</x:v>
      </x:c>
      <x:c r="U3" s="6" t="str">
        <x:v>p. 11; Section V</x:v>
      </x:c>
      <x:c r="V3" s="6" t="str">
        <x:v>A significant issue arises when a single sentence maps to hundreds of code files, as observed in larger projects like JabRef. In such cases, a high number of elements must be retrieved to ensure all relevant code files are included, pushing the retrieval process to its limits.</x:v>
      </x:c>
      <x:c r="W3" s="6" t="str">
        <x:v>论文在大型项目（JabRef）上观察到检索召回极低，指出检索扩展性是一个关键瓶颈。</x:v>
      </x:c>
      <x:c r="X3" s="2" t="str">
        <x:v>Accepted</x:v>
      </x:c>
      <x:c r="Y3" s="6" t="str">
        <x:v>NA</x:v>
      </x:c>
      <x:c r="Z3" s="2" t="n">
        <x:v>3</x:v>
      </x:c>
      <x:c r="AA3" s="2" t="n">
        <x:v>2</x:v>
      </x:c>
    </x:row>
    <x:row r="4" ht="76" customHeight="1">
      <x:c r="A4" s="2" t="str">
        <x:v>S01-LIMIT-R03</x:v>
      </x:c>
      <x:c r="B4" s="2" t="str">
        <x:v>S01</x:v>
      </x:c>
      <x:c r="C4" s="2" t="str">
        <x:v>merged_0002</x:v>
      </x:c>
      <x:c r="D4" s="2" t="str">
        <x:v>Reviewer_A</x:v>
      </x:c>
      <x:c r="E4" s="2" t="str">
        <x:v>Reviewer_A</x:v>
      </x:c>
      <x:c r="F4" s="2" t="str">
        <x:v>S01-L03</x:v>
      </x:c>
      <x:c r="G4" s="6" t="str">
        <x:v>SR</x:v>
      </x:c>
      <x:c r="H4" s="2" t="str">
        <x:v>Authors</x:v>
      </x:c>
      <x:c r="I4" s="6" t="str">
        <x:v>当前 RAG-based TLR 在 F1 和 F2 分数上的表现尚不足以支持全自动追溯链恢复的实际应用，甚至半自动场景下的 F2 分数也不足。</x:v>
      </x:c>
      <x:c r="J4" s="2" t="str">
        <x:v>Empirical</x:v>
      </x:c>
      <x:c r="K4" s="2" t="str">
        <x:v>Multiple</x:v>
      </x:c>
      <x:c r="L4" s="2" t="str">
        <x:v>Multiple</x:v>
      </x:c>
      <x:c r="M4" s="2" t="str">
        <x:v>整个 RAG-based TLR 方法</x:v>
      </x:c>
      <x:c r="N4" s="2" t="str">
        <x:v>不能在实际中部署全自动或半自动 TLR。</x:v>
      </x:c>
      <x:c r="O4" s="6" t="str">
        <x:v>reported F1 and F2 scores below practical thresholds (reference [21])</x:v>
      </x:c>
      <x:c r="P4" s="2" t="str">
        <x:v>NR</x:v>
      </x:c>
      <x:c r="Q4" s="2" t="str">
        <x:v>Not proposed</x:v>
      </x:c>
      <x:c r="R4" s="2" t="str">
        <x:v>insufficient_performance</x:v>
      </x:c>
      <x:c r="S4" s="2" t="str">
        <x:v>practical_applicability</x:v>
      </x:c>
      <x:c r="T4" s="2" t="str">
        <x:v>Model reliability</x:v>
      </x:c>
      <x:c r="U4" s="6" t="str">
        <x:v>p. 11; Section V</x:v>
      </x:c>
      <x:c r="V4" s="6" t="str">
        <x:v>Our results show that the performance in F1-score and F2-score of the proposed RAG-based TLR does not yet enable fully automated TLR in practical applications; even for semi-automated settings (F2-score), the performance remains insufficient for practice [21].</x:v>
      </x:c>
      <x:c r="W4" s="6" t="str">
        <x:v>作者承认目前方法在所有任务上的 F 值均未达到实用水平。</x:v>
      </x:c>
      <x:c r="X4" s="2" t="str">
        <x:v>Accepted</x:v>
      </x:c>
      <x:c r="Y4" s="6" t="str">
        <x:v>NA</x:v>
      </x:c>
      <x:c r="Z4" s="2" t="n">
        <x:v>4</x:v>
      </x:c>
      <x:c r="AA4" s="2" t="n">
        <x:v>1</x:v>
      </x:c>
    </x:row>
    <x:row r="5" ht="76" customHeight="1">
      <x:c r="A5" s="2" t="str">
        <x:v>S01-LIMIT-R04</x:v>
      </x:c>
      <x:c r="B5" s="2" t="str">
        <x:v>S01</x:v>
      </x:c>
      <x:c r="C5" s="2" t="str">
        <x:v>merged_0002</x:v>
      </x:c>
      <x:c r="D5" s="2" t="str">
        <x:v>Reviewer_A</x:v>
      </x:c>
      <x:c r="E5" s="2" t="str">
        <x:v>Reviewer_A</x:v>
      </x:c>
      <x:c r="F5" s="2" t="str">
        <x:v>S01-L04</x:v>
      </x:c>
      <x:c r="G5" s="6" t="str">
        <x:v>SR</x:v>
      </x:c>
      <x:c r="H5" s="2" t="str">
        <x:v>Authors</x:v>
      </x:c>
      <x:c r="I5" s="6" t="str">
        <x:v>数据集主要包含开源项目，可能具有与闭源项目不同的特征，限制了泛化能力。</x:v>
      </x:c>
      <x:c r="J5" s="2" t="str">
        <x:v>Speculative</x:v>
      </x:c>
      <x:c r="K5" s="2" t="str">
        <x:v>Multiple</x:v>
      </x:c>
      <x:c r="L5" s="2" t="str">
        <x:v>NA</x:v>
      </x:c>
      <x:c r="M5" s="2" t="str">
        <x:v>数据集特性</x:v>
      </x:c>
      <x:c r="N5" s="2" t="str">
        <x:v>结果可能不适用于闭源项目。</x:v>
      </x:c>
      <x:c r="O5" s="6" t="str">
        <x:v>NR</x:v>
      </x:c>
      <x:c r="P5" s="2" t="str">
        <x:v>使用了与现有方法相同的数据集来缓解，但仍存在威胁。</x:v>
      </x:c>
      <x:c r="Q5" s="2" t="str">
        <x:v>Implemented</x:v>
      </x:c>
      <x:c r="R5" s="2" t="str">
        <x:v>dataset_bias</x:v>
      </x:c>
      <x:c r="S5" s="2" t="str">
        <x:v>external_validity</x:v>
      </x:c>
      <x:c r="T5" s="2" t="str">
        <x:v>Data and evidence quality</x:v>
      </x:c>
      <x:c r="U5" s="6" t="str">
        <x:v>p. 10; Section IV-G</x:v>
      </x:c>
      <x:c r="V5" s="6" t="str">
        <x:v>the datasets mostly contain open-source projects that may have other characteristics compared to closed-source projects.</x:v>
      </x:c>
      <x:c r="W5" s="6" t="str">
        <x:v>数据集偏向开源项目，可能影响结论在闭源场景的适用性。</x:v>
      </x:c>
      <x:c r="X5" s="2" t="str">
        <x:v>Accepted</x:v>
      </x:c>
      <x:c r="Y5" s="6" t="str">
        <x:v>NA</x:v>
      </x:c>
      <x:c r="Z5" s="2" t="n">
        <x:v>2</x:v>
      </x:c>
      <x:c r="AA5" s="2" t="n">
        <x:v>3</x:v>
      </x:c>
    </x:row>
    <x:row r="6" ht="76" customHeight="1">
      <x:c r="A6" s="2" t="str">
        <x:v>S01-LIMIT-R05</x:v>
      </x:c>
      <x:c r="B6" s="2" t="str">
        <x:v>S01</x:v>
      </x:c>
      <x:c r="C6" s="2" t="str">
        <x:v>merged_0002</x:v>
      </x:c>
      <x:c r="D6" s="2" t="str">
        <x:v>Reviewer_A</x:v>
      </x:c>
      <x:c r="E6" s="2" t="str">
        <x:v>Reviewer_A</x:v>
      </x:c>
      <x:c r="F6" s="2" t="str">
        <x:v>S01-L05</x:v>
      </x:c>
      <x:c r="G6" s="6" t="str">
        <x:v>SR</x:v>
      </x:c>
      <x:c r="H6" s="2" t="str">
        <x:v>Authors</x:v>
      </x:c>
      <x:c r="I6" s="6" t="str">
        <x:v>提示的选择对结果构成潜在威胁，尽管遵循了文献建议，但仍可能影响 RQ1-4 的结论。</x:v>
      </x:c>
      <x:c r="J6" s="2" t="str">
        <x:v>Speculative</x:v>
      </x:c>
      <x:c r="K6" s="2" t="str">
        <x:v>Multiple</x:v>
      </x:c>
      <x:c r="L6" s="2" t="str">
        <x:v>Multiple</x:v>
      </x:c>
      <x:c r="M6" s="2" t="str">
        <x:v>prompt design</x:v>
      </x:c>
      <x:c r="N6" s="2" t="str">
        <x:v>可能未找到最佳提示，导致性能评估有偏。</x:v>
      </x:c>
      <x:c r="O6" s="6" t="str">
        <x:v>NR</x:v>
      </x:c>
      <x:c r="P6" s="2" t="str">
        <x:v>遵循了 Rodriguez 等人的建议来设计提示。</x:v>
      </x:c>
      <x:c r="Q6" s="2" t="str">
        <x:v>Implemented</x:v>
      </x:c>
      <x:c r="R6" s="2" t="str">
        <x:v>prompt_selection_threat</x:v>
      </x:c>
      <x:c r="S6" s="2" t="str">
        <x:v>construct_validity</x:v>
      </x:c>
      <x:c r="T6" s="2" t="str">
        <x:v>Context and prompt dependence</x:v>
      </x:c>
      <x:c r="U6" s="6" t="str">
        <x:v>p. 10; Section IV-G</x:v>
      </x:c>
      <x:c r="V6" s="6" t="str">
        <x:v>a potential threat to the validity of our results regarding RQ1-4 is the selection of the prompts.</x:v>
      </x:c>
      <x:c r="W6" s="6" t="str">
        <x:v>提示选择可能影响结果，作者通过参考现有研究来缓解，但仍为潜在威胁。</x:v>
      </x:c>
      <x:c r="X6" s="2" t="str">
        <x:v>Accepted</x:v>
      </x:c>
      <x:c r="Y6" s="6" t="str">
        <x:v>NA</x:v>
      </x:c>
      <x:c r="Z6" s="2" t="n">
        <x:v>2</x:v>
      </x:c>
      <x:c r="AA6" s="2" t="n">
        <x:v>3</x:v>
      </x:c>
    </x:row>
    <x:row r="7" ht="76" customHeight="1">
      <x:c r="A7" s="2" t="str">
        <x:v>S01-LIMIT-R06</x:v>
      </x:c>
      <x:c r="B7" s="2" t="str">
        <x:v>S01</x:v>
      </x:c>
      <x:c r="C7" s="2" t="str">
        <x:v>merged_0002</x:v>
      </x:c>
      <x:c r="D7" s="2" t="str">
        <x:v>Reviewer_A</x:v>
      </x:c>
      <x:c r="E7" s="2" t="str">
        <x:v>Reviewer_A</x:v>
      </x:c>
      <x:c r="F7" s="2" t="str">
        <x:v>S01-L06</x:v>
      </x:c>
      <x:c r="G7" s="6" t="str">
        <x:v>SR</x:v>
      </x:c>
      <x:c r="H7" s="2" t="str">
        <x:v>Authors</x:v>
      </x:c>
      <x:c r="I7" s="6" t="str">
        <x:v>金标准可能不完美，因为是人工创建的。</x:v>
      </x:c>
      <x:c r="J7" s="2" t="str">
        <x:v>Speculative</x:v>
      </x:c>
      <x:c r="K7" s="2" t="str">
        <x:v>Multiple</x:v>
      </x:c>
      <x:c r="L7" s="2" t="str">
        <x:v>NA</x:v>
      </x:c>
      <x:c r="M7" s="2" t="str">
        <x:v>评估的真值</x:v>
      </x:c>
      <x:c r="N7" s="2" t="str">
        <x:v>可能影响性能指标的准确性。</x:v>
      </x:c>
      <x:c r="O7" s="6" t="str">
        <x:v>NR</x:v>
      </x:c>
      <x:c r="P7" s="2" t="str">
        <x:v>通过基于文献和提供复现包来提高可靠性，但无法完全消除。</x:v>
      </x:c>
      <x:c r="Q7" s="2" t="str">
        <x:v>Proposed</x:v>
      </x:c>
      <x:c r="R7" s="2" t="str">
        <x:v>gold_standard_imperfection</x:v>
      </x:c>
      <x:c r="S7" s="2" t="str">
        <x:v>reliability</x:v>
      </x:c>
      <x:c r="T7" s="2" t="str">
        <x:v>Data and evidence quality</x:v>
      </x:c>
      <x:c r="U7" s="6" t="str">
        <x:v>p. 11; Section IV-G</x:v>
      </x:c>
      <x:c r="V7" s="6" t="str">
        <x:v>the gold standard might be imperfect, as they are manually created.</x:v>
      </x:c>
      <x:c r="W7" s="6" t="str">
        <x:v>人工创建的金标准可能存在错误或遗漏，构成可靠性威胁。</x:v>
      </x:c>
      <x:c r="X7" s="2" t="str">
        <x:v>Accepted</x:v>
      </x:c>
      <x:c r="Y7" s="6" t="str">
        <x:v>NA</x:v>
      </x:c>
      <x:c r="Z7" s="2" t="n">
        <x:v>2</x:v>
      </x:c>
      <x:c r="AA7" s="2" t="n">
        <x:v>2</x:v>
      </x:c>
    </x:row>
    <x:row r="8" ht="76" customHeight="1">
      <x:c r="A8" s="2" t="str">
        <x:v>S02-LIMIT-R01</x:v>
      </x:c>
      <x:c r="B8" s="2" t="str">
        <x:v>S02</x:v>
      </x:c>
      <x:c r="C8" s="2" t="str">
        <x:v>merged_0007</x:v>
      </x:c>
      <x:c r="D8" s="2" t="str">
        <x:v>Reviewer_A</x:v>
      </x:c>
      <x:c r="E8" s="2" t="str">
        <x:v>Reviewer_A</x:v>
      </x:c>
      <x:c r="F8" s="2" t="str">
        <x:v>S02-L01</x:v>
      </x:c>
      <x:c r="G8" s="6" t="str">
        <x:v>SR</x:v>
      </x:c>
      <x:c r="H8" s="2" t="str">
        <x:v>Authors</x:v>
      </x:c>
      <x:c r="I8" s="6" t="str">
        <x:v>本研究未强调提示工程，未广泛修改或比较不同提示，提示的选择对研究问题的有效性构成潜在威胁。</x:v>
      </x:c>
      <x:c r="J8" s="2" t="str">
        <x:v>Speculative</x:v>
      </x:c>
      <x:c r="K8" s="2" t="str">
        <x:v>Multiple</x:v>
      </x:c>
      <x:c r="L8" s="2" t="str">
        <x:v>Multiple</x:v>
      </x:c>
      <x:c r="M8" s="2" t="str">
        <x:v>整个实验评估</x:v>
      </x:c>
      <x:c r="N8" s="2" t="str">
        <x:v>可能影响研究结论的有效性</x:v>
      </x:c>
      <x:c r="O8" s="6" t="str">
        <x:v>NR</x:v>
      </x:c>
      <x:c r="P8" s="2" t="str">
        <x:v>No</x:v>
      </x:c>
      <x:c r="Q8" s="2" t="str">
        <x:v>Not proposed</x:v>
      </x:c>
      <x:c r="R8" s="2" t="str">
        <x:v>validity-threat-construct-prompt</x:v>
      </x:c>
      <x:c r="S8" s="2" t="str">
        <x:v>Construct Validity</x:v>
      </x:c>
      <x:c r="T8" s="2" t="str">
        <x:v>Context and prompt dependence</x:v>
      </x:c>
      <x:c r="U8" s="6" t="str">
        <x:v>p. 21; Section 5.5</x:v>
      </x:c>
      <x:c r="V8" s="6" t="str">
        <x:v>Our study does not emphasize prompt engineering, meaning we do not extensively modify or compare different prompts. As a result, the selection of prompts potentially threatens the validity of our findings regarding our research questions.</x:v>
      </x:c>
      <x:c r="W8" s="6" t="str">
        <x:v>作者指出未进行提示工程优化是比较的潜在威胁，但未提出缓解措施。</x:v>
      </x:c>
      <x:c r="X8" s="2" t="str">
        <x:v>Accepted</x:v>
      </x:c>
      <x:c r="Y8" s="6" t="str">
        <x:v>NA</x:v>
      </x:c>
      <x:c r="Z8" s="2" t="n">
        <x:v>2</x:v>
      </x:c>
      <x:c r="AA8" s="2" t="n">
        <x:v>1</x:v>
      </x:c>
    </x:row>
    <x:row r="9" ht="76" customHeight="1">
      <x:c r="A9" s="2" t="str">
        <x:v>S02-LIMIT-R02</x:v>
      </x:c>
      <x:c r="B9" s="2" t="str">
        <x:v>S02</x:v>
      </x:c>
      <x:c r="C9" s="2" t="str">
        <x:v>merged_0007</x:v>
      </x:c>
      <x:c r="D9" s="2" t="str">
        <x:v>Reviewer_A</x:v>
      </x:c>
      <x:c r="E9" s="2" t="str">
        <x:v>Reviewer_A</x:v>
      </x:c>
      <x:c r="F9" s="2" t="str">
        <x:v>S02-L02</x:v>
      </x:c>
      <x:c r="G9" s="6" t="str">
        <x:v>SR</x:v>
      </x:c>
      <x:c r="H9" s="2" t="str">
        <x:v>Authors</x:v>
      </x:c>
      <x:c r="I9" s="6" t="str">
        <x:v>可能存在的指标选择偏差，尽管采用了TLR研究中常用指标。</x:v>
      </x:c>
      <x:c r="J9" s="2" t="str">
        <x:v>Speculative</x:v>
      </x:c>
      <x:c r="K9" s="2" t="str">
        <x:v>Multiple</x:v>
      </x:c>
      <x:c r="L9" s="2" t="str">
        <x:v>Multiple</x:v>
      </x:c>
      <x:c r="M9" s="2" t="str">
        <x:v>整个实验评估</x:v>
      </x:c>
      <x:c r="N9" s="2" t="str">
        <x:v>可能影响衡量结果的恰当性</x:v>
      </x:c>
      <x:c r="O9" s="6" t="str">
        <x:v>NR</x:v>
      </x:c>
      <x:c r="P9" s="2" t="str">
        <x:v>采用TLR常用指标（如精确率、召回率、F1）</x:v>
      </x:c>
      <x:c r="Q9" s="2" t="str">
        <x:v>Implemented</x:v>
      </x:c>
      <x:c r="R9" s="2" t="str">
        <x:v>validity-threat-construct-metric</x:v>
      </x:c>
      <x:c r="S9" s="2" t="str">
        <x:v>Construct Validity</x:v>
      </x:c>
      <x:c r="T9" s="2" t="str">
        <x:v>Evaluation and validity</x:v>
      </x:c>
      <x:c r="U9" s="6" t="str">
        <x:v>p. 21; Section 5.5</x:v>
      </x:c>
      <x:c r="V9" s="6" t="str">
        <x:v>Another concern is the possible bias in metric selection. To address this, we employ commonly used metrics in TLR research.</x:v>
      </x:c>
      <x:c r="W9" s="6" t="str">
        <x:v>作者承认指标选择可能带来偏差，但声称通过采用常用指标加以缓解。</x:v>
      </x:c>
      <x:c r="X9" s="2" t="str">
        <x:v>Accepted</x:v>
      </x:c>
      <x:c r="Y9" s="6" t="str">
        <x:v>NA</x:v>
      </x:c>
      <x:c r="Z9" s="2" t="n">
        <x:v>2</x:v>
      </x:c>
      <x:c r="AA9" s="2" t="n">
        <x:v>3</x:v>
      </x:c>
    </x:row>
    <x:row r="10" ht="76" customHeight="1">
      <x:c r="A10" s="2" t="str">
        <x:v>S02-LIMIT-R03</x:v>
      </x:c>
      <x:c r="B10" s="2" t="str">
        <x:v>S02</x:v>
      </x:c>
      <x:c r="C10" s="2" t="str">
        <x:v>merged_0007</x:v>
      </x:c>
      <x:c r="D10" s="2" t="str">
        <x:v>Reviewer_A</x:v>
      </x:c>
      <x:c r="E10" s="2" t="str">
        <x:v>Reviewer_A</x:v>
      </x:c>
      <x:c r="F10" s="2" t="str">
        <x:v>S02-L03</x:v>
      </x:c>
      <x:c r="G10" s="6" t="str">
        <x:v>SR</x:v>
      </x:c>
      <x:c r="H10" s="2" t="str">
        <x:v>Authors</x:v>
      </x:c>
      <x:c r="I10" s="6" t="str">
        <x:v>其他未控制因素可能影响评估，项目质量和一致性差异仍可能影响方法性能。</x:v>
      </x:c>
      <x:c r="J10" s="2" t="str">
        <x:v>Speculative</x:v>
      </x:c>
      <x:c r="K10" s="2" t="str">
        <x:v>Multiple</x:v>
      </x:c>
      <x:c r="L10" s="2" t="str">
        <x:v>Multiple</x:v>
      </x:c>
      <x:c r="M10" s="2" t="str">
        <x:v>整个实验评估</x:v>
      </x:c>
      <x:c r="N10" s="2" t="str">
        <x:v>可能导致对结果的错误解释或结论</x:v>
      </x:c>
      <x:c r="O10" s="6" t="str">
        <x:v>NR</x:v>
      </x:c>
      <x:c r="P10" s="2" t="str">
        <x:v>采用已有数据集并记录来源</x:v>
      </x:c>
      <x:c r="Q10" s="2" t="str">
        <x:v>Implemented</x:v>
      </x:c>
      <x:c r="R10" s="2" t="str">
        <x:v>validity-threat-internal-confounding</x:v>
      </x:c>
      <x:c r="S10" s="2" t="str">
        <x:v>Internal Validity</x:v>
      </x:c>
      <x:c r="T10" s="2" t="str">
        <x:v>Evaluation and validity</x:v>
      </x:c>
      <x:c r="U10" s="6" t="str">
        <x:v>p. 21; Section 5.5</x:v>
      </x:c>
      <x:c r="V10" s="6" t="str">
        <x:v>Concerning internal validity, there is a risk that other factors influence our evaluation, potentially leading to incorrect interpretations or conclusions.</x:v>
      </x:c>
      <x:c r="W10" s="6" t="str">
        <x:v>内部效度威胁：可能存在混杂因素，项目质量差异可能影响结果。作者通过使用已有数据集并记录来源部分缓解，但未完全消除。</x:v>
      </x:c>
      <x:c r="X10" s="2" t="str">
        <x:v>Accepted</x:v>
      </x:c>
      <x:c r="Y10" s="6" t="str">
        <x:v>NA</x:v>
      </x:c>
      <x:c r="Z10" s="2" t="n">
        <x:v>2</x:v>
      </x:c>
      <x:c r="AA10" s="2" t="n">
        <x:v>3</x:v>
      </x:c>
    </x:row>
    <x:row r="11" ht="76" customHeight="1">
      <x:c r="A11" s="2" t="str">
        <x:v>S02-LIMIT-R04</x:v>
      </x:c>
      <x:c r="B11" s="2" t="str">
        <x:v>S02</x:v>
      </x:c>
      <x:c r="C11" s="2" t="str">
        <x:v>merged_0007</x:v>
      </x:c>
      <x:c r="D11" s="2" t="str">
        <x:v>Reviewer_A</x:v>
      </x:c>
      <x:c r="E11" s="2" t="str">
        <x:v>Reviewer_A</x:v>
      </x:c>
      <x:c r="F11" s="2" t="str">
        <x:v>S02-L04</x:v>
      </x:c>
      <x:c r="G11" s="6" t="str">
        <x:v>SR</x:v>
      </x:c>
      <x:c r="H11" s="2" t="str">
        <x:v>Authors</x:v>
      </x:c>
      <x:c r="I11" s="6" t="str">
        <x:v>评估仅限于少量项目和TLR任务，可能影响结果向其他项目和任务的泛化性。</x:v>
      </x:c>
      <x:c r="J11" s="2" t="str">
        <x:v>Speculative</x:v>
      </x:c>
      <x:c r="K11" s="2" t="str">
        <x:v>Multiple</x:v>
      </x:c>
      <x:c r="L11" s="2" t="str">
        <x:v>Multiple</x:v>
      </x:c>
      <x:c r="M11" s="2" t="str">
        <x:v>外部效度</x:v>
      </x:c>
      <x:c r="N11" s="2" t="str">
        <x:v>降低结论的外部有效性</x:v>
      </x:c>
      <x:c r="O11" s="6" t="str">
        <x:v>NR</x:v>
      </x:c>
      <x:c r="P11" s="2" t="str">
        <x:v>使用覆盖不同领域和规模的数据集</x:v>
      </x:c>
      <x:c r="Q11" s="2" t="str">
        <x:v>Implemented</x:v>
      </x:c>
      <x:c r="R11" s="2" t="str">
        <x:v>validity-threat-external-sample</x:v>
      </x:c>
      <x:c r="S11" s="2" t="str">
        <x:v>External Validity</x:v>
      </x:c>
      <x:c r="T11" s="2" t="str">
        <x:v>Evaluation and validity</x:v>
      </x:c>
      <x:c r="U11" s="6" t="str">
        <x:v>p. 21; Section 5.5</x:v>
      </x:c>
      <x:c r="V11" s="6" t="str">
        <x:v>First, our evaluation is limited to a small number of projects and TLR tasks, which may affect the generalizability of the results to other projects and tasks.</x:v>
      </x:c>
      <x:c r="W11" s="6" t="str">
        <x:v>外部效度威胁：项目和任务数量少，泛化受限。作者已采用涵盖不同领域和项目规模的数据集予以缓解。</x:v>
      </x:c>
      <x:c r="X11" s="2" t="str">
        <x:v>Accepted</x:v>
      </x:c>
      <x:c r="Y11" s="6" t="str">
        <x:v>NA</x:v>
      </x:c>
      <x:c r="Z11" s="2" t="n">
        <x:v>2</x:v>
      </x:c>
      <x:c r="AA11" s="2" t="n">
        <x:v>3</x:v>
      </x:c>
    </x:row>
    <x:row r="12" ht="76" customHeight="1">
      <x:c r="A12" s="2" t="str">
        <x:v>S02-LIMIT-R05</x:v>
      </x:c>
      <x:c r="B12" s="2" t="str">
        <x:v>S02</x:v>
      </x:c>
      <x:c r="C12" s="2" t="str">
        <x:v>merged_0007</x:v>
      </x:c>
      <x:c r="D12" s="2" t="str">
        <x:v>Reviewer_A</x:v>
      </x:c>
      <x:c r="E12" s="2" t="str">
        <x:v>Reviewer_A</x:v>
      </x:c>
      <x:c r="F12" s="2" t="str">
        <x:v>S02-L05</x:v>
      </x:c>
      <x:c r="G12" s="6" t="str">
        <x:v>SR</x:v>
      </x:c>
      <x:c r="H12" s="2" t="str">
        <x:v>Authors</x:v>
      </x:c>
      <x:c r="I12" s="6" t="str">
        <x:v>仅评估了有限的LLM集合，可能限制结论的稳健性。</x:v>
      </x:c>
      <x:c r="J12" s="2" t="str">
        <x:v>Speculative</x:v>
      </x:c>
      <x:c r="K12" s="2" t="str">
        <x:v>Multiple</x:v>
      </x:c>
      <x:c r="L12" s="2" t="str">
        <x:v>Multiple</x:v>
      </x:c>
      <x:c r="M12" s="2" t="str">
        <x:v>外部效度</x:v>
      </x:c>
      <x:c r="N12" s="2" t="str">
        <x:v>结论可能不适用于其他LLM</x:v>
      </x:c>
      <x:c r="O12" s="6" t="str">
        <x:v>NR</x:v>
      </x:c>
      <x:c r="P12" s="2" t="str">
        <x:v>已使用多种LLM展示不同提示的效果</x:v>
      </x:c>
      <x:c r="Q12" s="2" t="str">
        <x:v>Implemented</x:v>
      </x:c>
      <x:c r="R12" s="2" t="str">
        <x:v>validity-threat-external-llms</x:v>
      </x:c>
      <x:c r="S12" s="2" t="str">
        <x:v>External Validity</x:v>
      </x:c>
      <x:c r="T12" s="2" t="str">
        <x:v>Evaluation and validity</x:v>
      </x:c>
      <x:c r="U12" s="6" t="str">
        <x:v>p. 21; Section 5.5</x:v>
      </x:c>
      <x:c r="V12" s="6" t="str">
        <x:v>Second, we evaluate the approach using only a limited set of LLMs, which may limit the robustness of our conclusions. Nonetheless, we evaluated our approaches using various LLMs to show the performance of fixed prompts using different LLMs.</x:v>
      </x:c>
      <x:c r="W12" s="6" t="str">
        <x:v>外部效度威胁：LLM种类有限。作者指出已使用多种LLM进行评估以展示性能差异。</x:v>
      </x:c>
      <x:c r="X12" s="2" t="str">
        <x:v>Accepted</x:v>
      </x:c>
      <x:c r="Y12" s="6" t="str">
        <x:v>NA</x:v>
      </x:c>
      <x:c r="Z12" s="2" t="n">
        <x:v>2</x:v>
      </x:c>
      <x:c r="AA12" s="2" t="n">
        <x:v>3</x:v>
      </x:c>
    </x:row>
    <x:row r="13" ht="76" customHeight="1">
      <x:c r="A13" s="2" t="str">
        <x:v>S02-LIMIT-R06</x:v>
      </x:c>
      <x:c r="B13" s="2" t="str">
        <x:v>S02</x:v>
      </x:c>
      <x:c r="C13" s="2" t="str">
        <x:v>merged_0007</x:v>
      </x:c>
      <x:c r="D13" s="2" t="str">
        <x:v>Reviewer_A</x:v>
      </x:c>
      <x:c r="E13" s="2" t="str">
        <x:v>Reviewer_A</x:v>
      </x:c>
      <x:c r="F13" s="2" t="str">
        <x:v>S02-L06</x:v>
      </x:c>
      <x:c r="G13" s="6" t="str">
        <x:v>SR</x:v>
      </x:c>
      <x:c r="H13" s="2" t="str">
        <x:v>Authors</x:v>
      </x:c>
      <x:c r="I13" s="6" t="str">
        <x:v>使用闭源模型进行评估，无法完全排除数据泄露的可能性。</x:v>
      </x:c>
      <x:c r="J13" s="2" t="str">
        <x:v>Speculative</x:v>
      </x:c>
      <x:c r="K13" s="2" t="str">
        <x:v>Multiple</x:v>
      </x:c>
      <x:c r="L13" s="2" t="str">
        <x:v>Multiple</x:v>
      </x:c>
      <x:c r="M13" s="2" t="str">
        <x:v>外部效度</x:v>
      </x:c>
      <x:c r="N13" s="2" t="str">
        <x:v>可能高估模型性能</x:v>
      </x:c>
      <x:c r="O13" s="6" t="str">
        <x:v>NR</x:v>
      </x:c>
      <x:c r="P13" s="2" t="str">
        <x:v>提供代码、提示和LLM响应以增加透明度，并同时使用本地部署模型</x:v>
      </x:c>
      <x:c r="Q13" s="2" t="str">
        <x:v>Implemented</x:v>
      </x:c>
      <x:c r="R13" s="2" t="str">
        <x:v>validity-threat-external-closed-source</x:v>
      </x:c>
      <x:c r="S13" s="2" t="str">
        <x:v>External Validity</x:v>
      </x:c>
      <x:c r="T13" s="2" t="str">
        <x:v>Evaluation and validity</x:v>
      </x:c>
      <x:c r="U13" s="6" t="str">
        <x:v>p. 21; Section 5.5</x:v>
      </x:c>
      <x:c r="V13" s="6" t="str">
        <x:v>A third concern is the use of closed-source models in evaluation. Since the training data of these models is unknown, we cannot entirely rule out data leakage. To ensure transparency, we provide our code, prompts, and LLM responses in our replication packages [20, 21].</x:v>
      </x:c>
      <x:c r="W13" s="6" t="str">
        <x:v>外部效度威胁：闭源模型的数据泄露风险。作者通过公开复制包和同时使用开源模型加以缓解。</x:v>
      </x:c>
      <x:c r="X13" s="2" t="str">
        <x:v>Accepted</x:v>
      </x:c>
      <x:c r="Y13" s="6" t="str">
        <x:v>NA</x:v>
      </x:c>
      <x:c r="Z13" s="2" t="n">
        <x:v>2</x:v>
      </x:c>
      <x:c r="AA13" s="2" t="n">
        <x:v>3</x:v>
      </x:c>
    </x:row>
    <x:row r="14" ht="76" customHeight="1">
      <x:c r="A14" s="2" t="str">
        <x:v>S02-LIMIT-R07</x:v>
      </x:c>
      <x:c r="B14" s="2" t="str">
        <x:v>S02</x:v>
      </x:c>
      <x:c r="C14" s="2" t="str">
        <x:v>merged_0007</x:v>
      </x:c>
      <x:c r="D14" s="2" t="str">
        <x:v>Reviewer_A</x:v>
      </x:c>
      <x:c r="E14" s="2" t="str">
        <x:v>Reviewer_A</x:v>
      </x:c>
      <x:c r="F14" s="2" t="str">
        <x:v>S02-L07</x:v>
      </x:c>
      <x:c r="G14" s="6" t="str">
        <x:v>SR</x:v>
      </x:c>
      <x:c r="H14" s="2" t="str">
        <x:v>Authors</x:v>
      </x:c>
      <x:c r="I14" s="6" t="str">
        <x:v>LLM的非确定性带来威胁。</x:v>
      </x:c>
      <x:c r="J14" s="2" t="str">
        <x:v>Speculative</x:v>
      </x:c>
      <x:c r="K14" s="2" t="str">
        <x:v>Multiple</x:v>
      </x:c>
      <x:c r="L14" s="2" t="str">
        <x:v>Multiple</x:v>
      </x:c>
      <x:c r="M14" s="2" t="str">
        <x:v>可靠性</x:v>
      </x:c>
      <x:c r="N14" s="2" t="str">
        <x:v>结果难以复现</x:v>
      </x:c>
      <x:c r="O14" s="6" t="str">
        <x:v>NR</x:v>
      </x:c>
      <x:c r="P14" s="2" t="str">
        <x:v>将LLM温度设为0并使用固定种子</x:v>
      </x:c>
      <x:c r="Q14" s="2" t="str">
        <x:v>Implemented</x:v>
      </x:c>
      <x:c r="R14" s="2" t="str">
        <x:v>validity-threat-reliability-nondeterminism</x:v>
      </x:c>
      <x:c r="S14" s="2" t="str">
        <x:v>Reliability</x:v>
      </x:c>
      <x:c r="T14" s="2" t="str">
        <x:v>Context and prompt dependence</x:v>
      </x:c>
      <x:c r="U14" s="6" t="str">
        <x:v>p. 21; Section 5.5</x:v>
      </x:c>
      <x:c r="V14" s="6" t="str">
        <x:v>Finally, the non-determinism of LLMs poses another threat. To mitigate this, we set the LLMs’ temperature to zero and used the same fixed seed for each run.</x:v>
      </x:c>
      <x:c r="W14" s="6" t="str">
        <x:v>可靠性威胁：LLM非确定性。作者通过设定温度为零和固定种子来缓解。</x:v>
      </x:c>
      <x:c r="X14" s="2" t="str">
        <x:v>Accepted</x:v>
      </x:c>
      <x:c r="Y14" s="6" t="str">
        <x:v>NA</x:v>
      </x:c>
      <x:c r="Z14" s="2" t="n">
        <x:v>2</x:v>
      </x:c>
      <x:c r="AA14" s="2" t="n">
        <x:v>3</x:v>
      </x:c>
    </x:row>
    <x:row r="15" ht="76" customHeight="1">
      <x:c r="A15" s="2" t="str">
        <x:v>S02-LIMIT-R08</x:v>
      </x:c>
      <x:c r="B15" s="2" t="str">
        <x:v>S02</x:v>
      </x:c>
      <x:c r="C15" s="2" t="str">
        <x:v>merged_0007</x:v>
      </x:c>
      <x:c r="D15" s="2" t="str">
        <x:v>Reviewer_A</x:v>
      </x:c>
      <x:c r="E15" s="2" t="str">
        <x:v>Reviewer_A</x:v>
      </x:c>
      <x:c r="F15" s="2" t="str">
        <x:v>S02-L08</x:v>
      </x:c>
      <x:c r="G15" s="6" t="str">
        <x:v>SR</x:v>
      </x:c>
      <x:c r="H15" s="2" t="str">
        <x:v>Authors</x:v>
      </x:c>
      <x:c r="I15" s="6" t="str">
        <x:v>现有的黄金标准可能不完美。</x:v>
      </x:c>
      <x:c r="J15" s="2" t="str">
        <x:v>Speculative</x:v>
      </x:c>
      <x:c r="K15" s="2" t="str">
        <x:v>Multiple</x:v>
      </x:c>
      <x:c r="L15" s="2" t="str">
        <x:v>Multiple</x:v>
      </x:c>
      <x:c r="M15" s="2" t="str">
        <x:v>可靠性</x:v>
      </x:c>
      <x:c r="N15" s="2" t="str">
        <x:v>可能影响评估准确性</x:v>
      </x:c>
      <x:c r="O15" s="6" t="str">
        <x:v>NR</x:v>
      </x:c>
      <x:c r="P15" s="2" t="str">
        <x:v>No</x:v>
      </x:c>
      <x:c r="Q15" s="2" t="str">
        <x:v>Not proposed</x:v>
      </x:c>
      <x:c r="R15" s="2" t="str">
        <x:v>validity-threat-reliability-goldstandard</x:v>
      </x:c>
      <x:c r="S15" s="2" t="str">
        <x:v>Reliability</x:v>
      </x:c>
      <x:c r="T15" s="2" t="str">
        <x:v>Data and evidence quality</x:v>
      </x:c>
      <x:c r="U15" s="6" t="str">
        <x:v>p. 21; Section 5.5</x:v>
      </x:c>
      <x:c r="V15" s="6" t="str">
        <x:v>However, the existing gold standards might be imperfect.</x:v>
      </x:c>
      <x:c r="W15" s="6" t="str">
        <x:v>可靠性威胁：黄金标准可能不完美。未提出具体缓解措施。</x:v>
      </x:c>
      <x:c r="X15" s="2" t="str">
        <x:v>Accepted</x:v>
      </x:c>
      <x:c r="Y15" s="6" t="str">
        <x:v>NA</x:v>
      </x:c>
      <x:c r="Z15" s="2" t="n">
        <x:v>2</x:v>
      </x:c>
      <x:c r="AA15" s="2" t="n">
        <x:v>1</x:v>
      </x:c>
    </x:row>
    <x:row r="16" ht="76" customHeight="1">
      <x:c r="A16" s="2" t="str">
        <x:v>S03-LIMIT-R01</x:v>
      </x:c>
      <x:c r="B16" s="2" t="str">
        <x:v>S03</x:v>
      </x:c>
      <x:c r="C16" s="2" t="str">
        <x:v>merged_0014</x:v>
      </x:c>
      <x:c r="D16" s="2" t="str">
        <x:v>Reviewer_A</x:v>
      </x:c>
      <x:c r="E16" s="2" t="str">
        <x:v>Reviewer_A</x:v>
      </x:c>
      <x:c r="F16" s="2" t="str">
        <x:v>S03-L01</x:v>
      </x:c>
      <x:c r="G16" s="6" t="str">
        <x:v>SR</x:v>
      </x:c>
      <x:c r="H16" s="2" t="str">
        <x:v>Authors</x:v>
      </x:c>
      <x:c r="I16" s="6" t="str">
        <x:v>评估所使用的数据集规模有限，当尝试应用于更大数据集时，因使用的非线性优化器存在可扩展性问题。</x:v>
      </x:c>
      <x:c r="J16" s="2" t="str">
        <x:v>Empirical</x:v>
      </x:c>
      <x:c r="K16" s="2" t="str">
        <x:v>S04-T01</x:v>
      </x:c>
      <x:c r="L16" s="2" t="str">
        <x:v>Multiple</x:v>
      </x:c>
      <x:c r="M16" s="2" t="str">
        <x:v>JAllInOne 销售模块数据集</x:v>
      </x:c>
      <x:c r="N16" s="2" t="str">
        <x:v>结果仅适用于该特定数据集，泛化性受限</x:v>
      </x:c>
      <x:c r="O16" s="6" t="str">
        <x:v>NR</x:v>
      </x:c>
      <x:c r="P16" s="2" t="str">
        <x:v>NR</x:v>
      </x:c>
      <x:c r="Q16" s="2" t="str">
        <x:v>Not proposed</x:v>
      </x:c>
      <x:c r="R16" s="2" t="str">
        <x:v>dataset_size</x:v>
      </x:c>
      <x:c r="S16" s="2" t="str">
        <x:v>scalability</x:v>
      </x:c>
      <x:c r="T16" s="2" t="str">
        <x:v>Data and evidence quality</x:v>
      </x:c>
      <x:c r="U16" s="6" t="str">
        <x:v>p. 5; Section 5.4 Limitations</x:v>
      </x:c>
      <x:c r="V16" s="6" t="str">
        <x:v>The dataset used for evaluation is of a limited size.</x:v>
      </x:c>
      <x:c r="W16" s="6" t="str">
        <x:v>本文评估所用数据集较小，导致结论可能无法推广。</x:v>
      </x:c>
      <x:c r="X16" s="2" t="str">
        <x:v>Accepted</x:v>
      </x:c>
      <x:c r="Y16" s="6" t="str">
        <x:v>NA</x:v>
      </x:c>
      <x:c r="Z16" s="2" t="n">
        <x:v>3</x:v>
      </x:c>
      <x:c r="AA16" s="2" t="n">
        <x:v>1</x:v>
      </x:c>
    </x:row>
    <x:row r="17" ht="76" customHeight="1">
      <x:c r="A17" s="2" t="str">
        <x:v>S03-LIMIT-R02</x:v>
      </x:c>
      <x:c r="B17" s="2" t="str">
        <x:v>S03</x:v>
      </x:c>
      <x:c r="C17" s="2" t="str">
        <x:v>merged_0014</x:v>
      </x:c>
      <x:c r="D17" s="2" t="str">
        <x:v>Reviewer_A</x:v>
      </x:c>
      <x:c r="E17" s="2" t="str">
        <x:v>Reviewer_A</x:v>
      </x:c>
      <x:c r="F17" s="2" t="str">
        <x:v>S03-L02</x:v>
      </x:c>
      <x:c r="G17" s="6" t="str">
        <x:v>SR</x:v>
      </x:c>
      <x:c r="H17" s="2" t="str">
        <x:v>Authors</x:v>
      </x:c>
      <x:c r="I17" s="6" t="str">
        <x:v>所用真实标注由基线工作人工创建，受制于领域专家的主观性。</x:v>
      </x:c>
      <x:c r="J17" s="2" t="str">
        <x:v>Empirical</x:v>
      </x:c>
      <x:c r="K17" s="2" t="str">
        <x:v>S04-T01</x:v>
      </x:c>
      <x:c r="L17" s="2" t="str">
        <x:v>NA</x:v>
      </x:c>
      <x:c r="M17" s="2" t="str">
        <x:v>基线工作提供的真实标注</x:v>
      </x:c>
      <x:c r="N17" s="2" t="str">
        <x:v>评估结果可能受标注偏差影响</x:v>
      </x:c>
      <x:c r="O17" s="6" t="str">
        <x:v>NR</x:v>
      </x:c>
      <x:c r="P17" s="2" t="str">
        <x:v>NR</x:v>
      </x:c>
      <x:c r="Q17" s="2" t="str">
        <x:v>Not proposed</x:v>
      </x:c>
      <x:c r="R17" s="2" t="str">
        <x:v>ground_truth_subjectivity</x:v>
      </x:c>
      <x:c r="S17" s="2" t="str">
        <x:v>data_quality</x:v>
      </x:c>
      <x:c r="T17" s="2" t="str">
        <x:v>Data and evidence quality</x:v>
      </x:c>
      <x:c r="U17" s="6" t="str">
        <x:v>p. 5; Section 5.4 Limitations</x:v>
      </x:c>
      <x:c r="V17" s="6" t="str">
        <x:v>The ground truth data we used is manually created by the baseline work [2]. It is subject to the domain expertise of the creators of the baseline.</x:v>
      </x:c>
      <x:c r="W17" s="6" t="str">
        <x:v>真实标注由人工创建，可能存在主观偏差。</x:v>
      </x:c>
      <x:c r="X17" s="2" t="str">
        <x:v>Accepted</x:v>
      </x:c>
      <x:c r="Y17" s="6" t="str">
        <x:v>NA</x:v>
      </x:c>
      <x:c r="Z17" s="2" t="n">
        <x:v>3</x:v>
      </x:c>
      <x:c r="AA17" s="2" t="n">
        <x:v>1</x:v>
      </x:c>
    </x:row>
    <x:row r="18" ht="76" customHeight="1">
      <x:c r="A18" s="2" t="str">
        <x:v>S03-LIMIT-R03</x:v>
      </x:c>
      <x:c r="B18" s="2" t="str">
        <x:v>S03</x:v>
      </x:c>
      <x:c r="C18" s="2" t="str">
        <x:v>merged_0014</x:v>
      </x:c>
      <x:c r="D18" s="2" t="str">
        <x:v>Reviewer_A</x:v>
      </x:c>
      <x:c r="E18" s="2" t="str">
        <x:v>Reviewer_A</x:v>
      </x:c>
      <x:c r="F18" s="2" t="str">
        <x:v>S03-L03</x:v>
      </x:c>
      <x:c r="G18" s="6" t="str">
        <x:v>SR</x:v>
      </x:c>
      <x:c r="H18" s="2" t="str">
        <x:v>Authors</x:v>
      </x:c>
      <x:c r="I18" s="6" t="str">
        <x:v>评估仅使用了一种大语言模型和一种句子嵌入模型，未在多种模型上实验。</x:v>
      </x:c>
      <x:c r="J18" s="2" t="str">
        <x:v>Empirical</x:v>
      </x:c>
      <x:c r="K18" s="2" t="str">
        <x:v>S04-T01</x:v>
      </x:c>
      <x:c r="L18" s="2" t="str">
        <x:v>S04-MU01</x:v>
      </x:c>
      <x:c r="M18" s="2" t="str">
        <x:v>实验设置</x:v>
      </x:c>
      <x:c r="N18" s="2" t="str">
        <x:v>结果可能过度依赖于所选模型，对生成式AI有效性的置信度不足</x:v>
      </x:c>
      <x:c r="O18" s="6" t="str">
        <x:v>NR</x:v>
      </x:c>
      <x:c r="P18" s="2" t="str">
        <x:v>Experimentation using multiple models will improve the confidence in Generative AI’s effectiveness.</x:v>
      </x:c>
      <x:c r="Q18" s="2" t="str">
        <x:v>Not proposed</x:v>
      </x:c>
      <x:c r="R18" s="2" t="str">
        <x:v>single_model_evaluation</x:v>
      </x:c>
      <x:c r="S18" s="2" t="str">
        <x:v>generalizability</x:v>
      </x:c>
      <x:c r="T18" s="2" t="str">
        <x:v>Evaluation and validity</x:v>
      </x:c>
      <x:c r="U18" s="6" t="str">
        <x:v>p. 5; Section 5.4 Limitations</x:v>
      </x:c>
      <x:c r="V18" s="6" t="str">
        <x:v>Our evaluation uses one LLM and one sentence embedding model. Experimentation using multiple models will improve the confidence in Generative AI’s effectiveness.</x:v>
      </x:c>
      <x:c r="W18" s="6" t="str">
        <x:v>仅使用单一模型进行评估，限制了结论的普遍性。</x:v>
      </x:c>
      <x:c r="X18" s="2" t="str">
        <x:v>Accepted</x:v>
      </x:c>
      <x:c r="Y18" s="6" t="str">
        <x:v>The mitigation suggested is a future direction, not an implemented mitigation. The limitation also applies to the sentence embedding model (all-mpnet-base-v2) not listed in model references.</x:v>
      </x:c>
      <x:c r="Z18" s="2" t="n">
        <x:v>3</x:v>
      </x:c>
      <x:c r="AA18" s="2" t="n">
        <x:v>1</x:v>
      </x:c>
    </x:row>
    <x:row r="19" ht="76" customHeight="1">
      <x:c r="A19" s="2" t="str">
        <x:v>S04-LIMIT-R01</x:v>
      </x:c>
      <x:c r="B19" s="2" t="str">
        <x:v>S04</x:v>
      </x:c>
      <x:c r="C19" s="2" t="str">
        <x:v>merged_0075</x:v>
      </x:c>
      <x:c r="D19" s="2" t="str">
        <x:v>Reviewer_A</x:v>
      </x:c>
      <x:c r="E19" s="2" t="str">
        <x:v>Reviewer_A</x:v>
      </x:c>
      <x:c r="F19" s="2" t="str">
        <x:v>S04-L01</x:v>
      </x:c>
      <x:c r="G19" s="6" t="str">
        <x:v>SR</x:v>
      </x:c>
      <x:c r="H19" s="2" t="str">
        <x:v>Authors</x:v>
      </x:c>
      <x:c r="I19" s="6" t="str">
        <x:v>对GRL目标、软目标、任务的统一处理方式，未区分类型。</x:v>
      </x:c>
      <x:c r="J19" s="2" t="str">
        <x:v>Speculative</x:v>
      </x:c>
      <x:c r="K19" s="2" t="str">
        <x:v>S05-T01</x:v>
      </x:c>
      <x:c r="L19" s="2" t="str">
        <x:v>S05-MU01</x:v>
      </x:c>
      <x:c r="M19" s="2" t="str">
        <x:v>在处理GRL模型的有意元素时，未区分目标、软目标、任务的不同特性</x:v>
      </x:c>
      <x:c r="N19" s="2" t="str">
        <x:v>可能导致无法准确处理不同类型元素的联系，影响追溯链接质量</x:v>
      </x:c>
      <x:c r="O19" s="6" t="str">
        <x:v>NR</x:v>
      </x:c>
      <x:c r="P19" s="2" t="str">
        <x:v>开发针对每种类型构件的具体提示约束</x:v>
      </x:c>
      <x:c r="Q19" s="2" t="str">
        <x:v>Proposed</x:v>
      </x:c>
      <x:c r="R19" s="2" t="str">
        <x:v>granularity</x:v>
      </x:c>
      <x:c r="S19" s="2" t="str">
        <x:v>modeling assumptions</x:v>
      </x:c>
      <x:c r="T19" s="2" t="str">
        <x:v>Context and prompt dependence</x:v>
      </x:c>
      <x:c r="U19" s="6" t="str">
        <x:v>p. 7; Section 6 Threats to Validity, construct validity</x:v>
      </x:c>
      <x:c r="V19" s="6" t="str">
        <x:v>a critique arises regarding the treatment of GRL goals, softgoals, and tasks in a uniform manner.</x:v>
      </x:c>
      <x:c r="W19" s="6" t="str">
        <x:v>作者承认当前方法将不同GRL构件同等对待是一个威胁，计划未来区分处理。</x:v>
      </x:c>
      <x:c r="X19" s="2" t="str">
        <x:v>Accepted</x:v>
      </x:c>
      <x:c r="Y19" s="6" t="str">
        <x:v>NA</x:v>
      </x:c>
      <x:c r="Z19" s="2" t="n">
        <x:v>2</x:v>
      </x:c>
      <x:c r="AA19" s="2" t="n">
        <x:v>2</x:v>
      </x:c>
    </x:row>
    <x:row r="20" ht="76" customHeight="1">
      <x:c r="A20" s="2" t="str">
        <x:v>S04-LIMIT-R02</x:v>
      </x:c>
      <x:c r="B20" s="2" t="str">
        <x:v>S04</x:v>
      </x:c>
      <x:c r="C20" s="2" t="str">
        <x:v>merged_0075</x:v>
      </x:c>
      <x:c r="D20" s="2" t="str">
        <x:v>Reviewer_A</x:v>
      </x:c>
      <x:c r="E20" s="2" t="str">
        <x:v>Reviewer_A</x:v>
      </x:c>
      <x:c r="F20" s="2" t="str">
        <x:v>S04-L02</x:v>
      </x:c>
      <x:c r="G20" s="6" t="str">
        <x:v>SR</x:v>
      </x:c>
      <x:c r="H20" s="2" t="str">
        <x:v>Authors</x:v>
      </x:c>
      <x:c r="I20" s="6" t="str">
        <x:v>目标模型中有意元素间的相似性可能导致产生重复追溯链接</x:v>
      </x:c>
      <x:c r="J20" s="2" t="str">
        <x:v>Speculative</x:v>
      </x:c>
      <x:c r="K20" s="2" t="str">
        <x:v>S05-T01</x:v>
      </x:c>
      <x:c r="L20" s="2" t="str">
        <x:v>S05-MU01</x:v>
      </x:c>
      <x:c r="M20" s="2" t="str">
        <x:v>当有意元素通过分解或贡献链接直接关联时，相似性增加</x:v>
      </x:c>
      <x:c r="N20" s="2" t="str">
        <x:v>可能导致生成的追溯链接重复</x:v>
      </x:c>
      <x:c r="O20" s="6" t="str">
        <x:v>NR</x:v>
      </x:c>
      <x:c r="P20" s="2" t="str">
        <x:v>NR</x:v>
      </x:c>
      <x:c r="Q20" s="2" t="str">
        <x:v>Not proposed</x:v>
      </x:c>
      <x:c r="R20" s="2" t="str">
        <x:v>duplicate links</x:v>
      </x:c>
      <x:c r="S20" s="2" t="str">
        <x:v>output quality</x:v>
      </x:c>
      <x:c r="T20" s="2" t="str">
        <x:v>Model reliability</x:v>
      </x:c>
      <x:c r="U20" s="6" t="str">
        <x:v>p. 7; Section 6, construct validity</x:v>
      </x:c>
      <x:c r="V20" s="6" t="str">
        <x:v>intentional elements within a goal model may demonstrate significant similarity</x:v>
      </x:c>
      <x:c r="W20" s="6" t="str">
        <x:v>作者指出有意元素间的相似性可能导致输出重复链接，但未提出缓解措施。</x:v>
      </x:c>
      <x:c r="X20" s="2" t="str">
        <x:v>Accepted</x:v>
      </x:c>
      <x:c r="Y20" s="6" t="str">
        <x:v>NA</x:v>
      </x:c>
      <x:c r="Z20" s="2" t="n">
        <x:v>2</x:v>
      </x:c>
      <x:c r="AA20" s="2" t="n">
        <x:v>1</x:v>
      </x:c>
    </x:row>
    <x:row r="21" ht="76" customHeight="1">
      <x:c r="A21" s="2" t="str">
        <x:v>S04-LIMIT-R03</x:v>
      </x:c>
      <x:c r="B21" s="2" t="str">
        <x:v>S04</x:v>
      </x:c>
      <x:c r="C21" s="2" t="str">
        <x:v>merged_0075</x:v>
      </x:c>
      <x:c r="D21" s="2" t="str">
        <x:v>Reviewer_A</x:v>
      </x:c>
      <x:c r="E21" s="2" t="str">
        <x:v>Reviewer_A</x:v>
      </x:c>
      <x:c r="F21" s="2" t="str">
        <x:v>S04-L03</x:v>
      </x:c>
      <x:c r="G21" s="6" t="str">
        <x:v>SR</x:v>
      </x:c>
      <x:c r="H21" s="2" t="str">
        <x:v>Authors</x:v>
      </x:c>
      <x:c r="I21" s="6" t="str">
        <x:v>所用提示词的质量可能影响结果的准确性</x:v>
      </x:c>
      <x:c r="J21" s="2" t="str">
        <x:v>Empirical</x:v>
      </x:c>
      <x:c r="K21" s="2" t="str">
        <x:v>S05-T01</x:v>
      </x:c>
      <x:c r="L21" s="2" t="str">
        <x:v>S05-MU01</x:v>
      </x:c>
      <x:c r="M21" s="2" t="str">
        <x:v>提示词设计</x:v>
      </x:c>
      <x:c r="N21" s="2" t="str">
        <x:v>可能产生不准确的结果</x:v>
      </x:c>
      <x:c r="O21" s="6" t="str">
        <x:v>已通过多种变体实验，达到较好结果，但进一步优化可能获得更优结果</x:v>
      </x:c>
      <x:c r="P21" s="2" t="str">
        <x:v>进一步优化提示词，并采用少样本学习方法</x:v>
      </x:c>
      <x:c r="Q21" s="2" t="str">
        <x:v>Proposed</x:v>
      </x:c>
      <x:c r="R21" s="2" t="str">
        <x:v>prompt engineering</x:v>
      </x:c>
      <x:c r="S21" s="2" t="str">
        <x:v>method reliability</x:v>
      </x:c>
      <x:c r="T21" s="2" t="str">
        <x:v>Context and prompt dependence</x:v>
      </x:c>
      <x:c r="U21" s="6" t="str">
        <x:v>p. 7; Section 6, internal validity</x:v>
      </x:c>
      <x:c r="V21" s="6" t="str">
        <x:v>further refinement of the prompt and adoption of a few-shot learning approach could potentially yield superior results.</x:v>
      </x:c>
      <x:c r="W21" s="6" t="str">
        <x:v>作者承认提示词质量是内部有效性威胁，并提议通过优化提示词和少样本学习改进。</x:v>
      </x:c>
      <x:c r="X21" s="2" t="str">
        <x:v>Accepted</x:v>
      </x:c>
      <x:c r="Y21" s="6" t="str">
        <x:v>NA</x:v>
      </x:c>
      <x:c r="Z21" s="2" t="n">
        <x:v>3</x:v>
      </x:c>
      <x:c r="AA21" s="2" t="n">
        <x:v>2</x:v>
      </x:c>
    </x:row>
    <x:row r="22" ht="76" customHeight="1">
      <x:c r="A22" s="2" t="str">
        <x:v>S04-LIMIT-R04</x:v>
      </x:c>
      <x:c r="B22" s="2" t="str">
        <x:v>S04</x:v>
      </x:c>
      <x:c r="C22" s="2" t="str">
        <x:v>merged_0075</x:v>
      </x:c>
      <x:c r="D22" s="2" t="str">
        <x:v>Reviewer_A</x:v>
      </x:c>
      <x:c r="E22" s="2" t="str">
        <x:v>Reviewer_A</x:v>
      </x:c>
      <x:c r="F22" s="2" t="str">
        <x:v>S04-L04</x:v>
      </x:c>
      <x:c r="G22" s="6" t="str">
        <x:v>SR</x:v>
      </x:c>
      <x:c r="H22" s="2" t="str">
        <x:v>Authors</x:v>
      </x:c>
      <x:c r="I22" s="6" t="str">
        <x:v>仅在一个GRL模型和相应需求集上展示了方法的适用性</x:v>
      </x:c>
      <x:c r="J22" s="2" t="str">
        <x:v>Empirical</x:v>
      </x:c>
      <x:c r="K22" s="2" t="str">
        <x:v>S05-T01</x:v>
      </x:c>
      <x:c r="L22" s="2" t="str">
        <x:v>S05-MU01</x:v>
      </x:c>
      <x:c r="M22" s="2" t="str">
        <x:v>评估仅使用了一个虚拟室内设计应用案例</x:v>
      </x:c>
      <x:c r="N22" s="2" t="str">
        <x:v>方法的通用性未得到充分验证</x:v>
      </x:c>
      <x:c r="O22" s="6" t="str">
        <x:v>需要更多实例和真实案例研究才能推广</x:v>
      </x:c>
      <x:c r="P22" s="2" t="str">
        <x:v>需要更多的实例和真实案例研究</x:v>
      </x:c>
      <x:c r="Q22" s="2" t="str">
        <x:v>Proposed</x:v>
      </x:c>
      <x:c r="R22" s="2" t="str">
        <x:v>single case</x:v>
      </x:c>
      <x:c r="S22" s="2" t="str">
        <x:v>evaluation scope</x:v>
      </x:c>
      <x:c r="T22" s="2" t="str">
        <x:v>Generalizability and scope</x:v>
      </x:c>
      <x:c r="U22" s="6" t="str">
        <x:v>p. 7; Section 6, external validity</x:v>
      </x:c>
      <x:c r="V22" s="6" t="str">
        <x:v>our approach's applicability was showcased through a single GRL example and its corresponding set of requirements</x:v>
      </x:c>
      <x:c r="W22" s="6" t="str">
        <x:v>评估仅使用一个示例，缺乏多样性和真实案例，限制结论的普遍性。</x:v>
      </x:c>
      <x:c r="X22" s="2" t="str">
        <x:v>Accepted</x:v>
      </x:c>
      <x:c r="Y22" s="6" t="str">
        <x:v>NA</x:v>
      </x:c>
      <x:c r="Z22" s="2" t="n">
        <x:v>3</x:v>
      </x:c>
      <x:c r="AA22" s="2" t="n">
        <x:v>2</x:v>
      </x:c>
    </x:row>
    <x:row r="23" ht="76" customHeight="1">
      <x:c r="A23" s="2" t="str">
        <x:v>S04-LIMIT-R05</x:v>
      </x:c>
      <x:c r="B23" s="2" t="str">
        <x:v>S04</x:v>
      </x:c>
      <x:c r="C23" s="2" t="str">
        <x:v>merged_0075</x:v>
      </x:c>
      <x:c r="D23" s="2" t="str">
        <x:v>Reviewer_A</x:v>
      </x:c>
      <x:c r="E23" s="2" t="str">
        <x:v>Reviewer_A</x:v>
      </x:c>
      <x:c r="F23" s="2" t="str">
        <x:v>S04-L05</x:v>
      </x:c>
      <x:c r="G23" s="6" t="str">
        <x:v>SR</x:v>
      </x:c>
      <x:c r="H23" s="2" t="str">
        <x:v>Authors</x:v>
      </x:c>
      <x:c r="I23" s="6" t="str">
        <x:v>所有使用的需求都遵循相同结构（均是关于系统的强制性需求）</x:v>
      </x:c>
      <x:c r="J23" s="2" t="str">
        <x:v>Empirical</x:v>
      </x:c>
      <x:c r="K23" s="2" t="str">
        <x:v>S05-T01</x:v>
      </x:c>
      <x:c r="L23" s="2" t="str">
        <x:v>S05-MU01</x:v>
      </x:c>
      <x:c r="M23" s="2" t="str">
        <x:v>需求文档中的需求结构单一</x:v>
      </x:c>
      <x:c r="N23" s="2" t="str">
        <x:v>可能影响生成追溯链接的有效性</x:v>
      </x:c>
      <x:c r="O23" s="6" t="str">
        <x:v>融入不同类型需求可能影响有效性</x:v>
      </x:c>
      <x:c r="P23" s="2" t="str">
        <x:v>融入不同类型的需求（必需、可选、推荐、禁止）</x:v>
      </x:c>
      <x:c r="Q23" s="2" t="str">
        <x:v>Proposed</x:v>
      </x:c>
      <x:c r="R23" s="2" t="str">
        <x:v>requirement diversity</x:v>
      </x:c>
      <x:c r="S23" s="2" t="str">
        <x:v>evaluation scope</x:v>
      </x:c>
      <x:c r="T23" s="2" t="str">
        <x:v>Data and evidence quality</x:v>
      </x:c>
      <x:c r="U23" s="6" t="str">
        <x:v>p. 7; Section 6, external validity</x:v>
      </x:c>
      <x:c r="V23" s="6" t="str">
        <x:v>). Incorporating a mixture of required, optional, recommended, and prohibited requirements could potentially affect the validity</x:v>
      </x:c>
      <x:c r="W23" s="6" t="str">
        <x:v>数据集中需求结构单一，可能限制方法在多样化需求上的表现，作者建议使用混合类型需求。</x:v>
      </x:c>
      <x:c r="X23" s="2" t="str">
        <x:v>Accepted</x:v>
      </x:c>
      <x:c r="Y23" s="6" t="str">
        <x:v>NA</x:v>
      </x:c>
      <x:c r="Z23" s="2" t="n">
        <x:v>3</x:v>
      </x:c>
      <x:c r="AA23" s="2" t="n">
        <x:v>2</x:v>
      </x:c>
    </x:row>
    <x:row r="24" ht="76" customHeight="1">
      <x:c r="A24" s="2" t="str">
        <x:v>S04-LIMIT-R06</x:v>
      </x:c>
      <x:c r="B24" s="2" t="str">
        <x:v>S04</x:v>
      </x:c>
      <x:c r="C24" s="2" t="str">
        <x:v>merged_0075</x:v>
      </x:c>
      <x:c r="D24" s="2" t="str">
        <x:v>Reviewer_A</x:v>
      </x:c>
      <x:c r="E24" s="2" t="str">
        <x:v>Reviewer_A</x:v>
      </x:c>
      <x:c r="F24" s="2" t="str">
        <x:v>S04-L06</x:v>
      </x:c>
      <x:c r="G24" s="6" t="str">
        <x:v>SR</x:v>
      </x:c>
      <x:c r="H24" s="2" t="str">
        <x:v>Authors</x:v>
      </x:c>
      <x:c r="I24" s="6" t="str">
        <x:v>未使用敏捷用户故事进行实验</x:v>
      </x:c>
      <x:c r="J24" s="2" t="str">
        <x:v>Empirical</x:v>
      </x:c>
      <x:c r="K24" s="2" t="str">
        <x:v>S05-T01</x:v>
      </x:c>
      <x:c r="L24" s="2" t="str">
        <x:v>S05-MU01</x:v>
      </x:c>
      <x:c r="M24" s="2" t="str">
        <x:v>实验使用的需求形式是传统需求陈述</x:v>
      </x:c>
      <x:c r="N24" s="2" t="str">
        <x:v>可能限制了方法在敏捷开发场景中的普适性</x:v>
      </x:c>
      <x:c r="O24" s="6" t="str">
        <x:v>NR</x:v>
      </x:c>
      <x:c r="P24" s="2" t="str">
        <x:v>进行敏捷用户故事实验</x:v>
      </x:c>
      <x:c r="Q24" s="2" t="str">
        <x:v>Proposed</x:v>
      </x:c>
      <x:c r="R24" s="2" t="str">
        <x:v>user stories</x:v>
      </x:c>
      <x:c r="S24" s="2" t="str">
        <x:v>evaluation scope</x:v>
      </x:c>
      <x:c r="T24" s="2" t="str">
        <x:v>Data and evidence quality</x:v>
      </x:c>
      <x:c r="U24" s="6" t="str">
        <x:v>p. 7; Section 6, external validity</x:v>
      </x:c>
      <x:c r="V24" s="6" t="str">
        <x:v>conducting experiments with agile user stories will further enhance the generalizability of our approach.</x:v>
      </x:c>
      <x:c r="W24" s="6" t="str">
        <x:v>作者建议未来使用敏捷用户故事进行实验以增强方法的通用性。</x:v>
      </x:c>
      <x:c r="X24" s="2" t="str">
        <x:v>Accepted</x:v>
      </x:c>
      <x:c r="Y24" s="6" t="str">
        <x:v>NA</x:v>
      </x:c>
      <x:c r="Z24" s="2" t="n">
        <x:v>3</x:v>
      </x:c>
      <x:c r="AA24" s="2" t="n">
        <x:v>2</x:v>
      </x:c>
    </x:row>
    <x:row r="25" ht="76" customHeight="1">
      <x:c r="A25" s="2" t="str">
        <x:v>S04-LIMIT-R07</x:v>
      </x:c>
      <x:c r="B25" s="2" t="str">
        <x:v>S04</x:v>
      </x:c>
      <x:c r="C25" s="2" t="str">
        <x:v>merged_0075</x:v>
      </x:c>
      <x:c r="D25" s="2" t="str">
        <x:v>Reviewer_A</x:v>
      </x:c>
      <x:c r="E25" s="2" t="str">
        <x:v>Reviewer_A</x:v>
      </x:c>
      <x:c r="F25" s="2" t="str">
        <x:v>S04-L07</x:v>
      </x:c>
      <x:c r="G25" s="6" t="str">
        <x:v>SR</x:v>
      </x:c>
      <x:c r="H25" s="2" t="str">
        <x:v>Authors</x:v>
      </x:c>
      <x:c r="I25" s="6" t="str">
        <x:v>工具是为TGRL语言定制的</x:v>
      </x:c>
      <x:c r="J25" s="2" t="str">
        <x:v>Empirical</x:v>
      </x:c>
      <x:c r="K25" s="2" t="str">
        <x:v>S05-T01</x:v>
      </x:c>
      <x:c r="L25" s="2" t="str">
        <x:v>NR</x:v>
      </x:c>
      <x:c r="M25" s="2" t="str">
        <x:v>工具仅支持TGRL语法</x:v>
      </x:c>
      <x:c r="N25" s="2" t="str">
        <x:v>限制了方法在其他目标建模语言上的直接应用</x:v>
      </x:c>
      <x:c r="O25" s="6" t="str">
        <x:v>NR</x:v>
      </x:c>
      <x:c r="P25" s="2" t="str">
        <x:v>适应其他语言如i*</x:v>
      </x:c>
      <x:c r="Q25" s="2" t="str">
        <x:v>Not proposed</x:v>
      </x:c>
      <x:c r="R25" s="2" t="str">
        <x:v>language dependency</x:v>
      </x:c>
      <x:c r="S25" s="2" t="str">
        <x:v>tool limitation</x:v>
      </x:c>
      <x:c r="T25" s="2" t="str">
        <x:v>Context and prompt dependence</x:v>
      </x:c>
      <x:c r="U25" s="6" t="str">
        <x:v>p. 7; Section 6, external validity</x:v>
      </x:c>
      <x:c r="V25" s="6" t="str">
        <x:v>our tool is tailored to the TGRL [1] language. However, the approach can be easily adapted to cover other languages such as i* [23] sharing the same constructs.</x:v>
      </x:c>
      <x:c r="W25" s="6" t="str">
        <x:v>工具仅支持TGRL，尽管可移植，但仍构成外部有效性限制。</x:v>
      </x:c>
      <x:c r="X25" s="2" t="str">
        <x:v>Accepted</x:v>
      </x:c>
      <x:c r="Y25" s="6" t="str">
        <x:v>NA</x:v>
      </x:c>
      <x:c r="Z25" s="2" t="n">
        <x:v>3</x:v>
      </x:c>
      <x:c r="AA25" s="2" t="n">
        <x:v>1</x:v>
      </x:c>
    </x:row>
    <x:row r="26" ht="76" customHeight="1">
      <x:c r="A26" s="2" t="str">
        <x:v>S04-LIMIT-R08</x:v>
      </x:c>
      <x:c r="B26" s="2" t="str">
        <x:v>S04</x:v>
      </x:c>
      <x:c r="C26" s="2" t="str">
        <x:v>merged_0075</x:v>
      </x:c>
      <x:c r="D26" s="2" t="str">
        <x:v>Reviewer_A</x:v>
      </x:c>
      <x:c r="E26" s="2" t="str">
        <x:v>Reviewer_A</x:v>
      </x:c>
      <x:c r="F26" s="2" t="str">
        <x:v>S04-L08</x:v>
      </x:c>
      <x:c r="G26" s="6" t="str">
        <x:v>SR</x:v>
      </x:c>
      <x:c r="H26" s="2" t="str">
        <x:v>Authors</x:v>
      </x:c>
      <x:c r="I26" s="6" t="str">
        <x:v>所用GRL模型规模和需求数量有限</x:v>
      </x:c>
      <x:c r="J26" s="2" t="str">
        <x:v>Empirical</x:v>
      </x:c>
      <x:c r="K26" s="2" t="str">
        <x:v>S05-T01</x:v>
      </x:c>
      <x:c r="L26" s="2" t="str">
        <x:v>NR</x:v>
      </x:c>
      <x:c r="M26" s="2" t="str">
        <x:v>评估使用的GRL模型包含37个有意元素，42条需求</x:v>
      </x:c>
      <x:c r="N26" s="2" t="str">
        <x:v>限制了结果的普适性</x:v>
      </x:c>
      <x:c r="O26" s="6" t="str">
        <x:v>需要更大规模的GRL模型和需求集才能提高通用性</x:v>
      </x:c>
      <x:c r="P26" s="2" t="str">
        <x:v>使用更大规模的GRL模型和更多需求</x:v>
      </x:c>
      <x:c r="Q26" s="2" t="str">
        <x:v>Proposed</x:v>
      </x:c>
      <x:c r="R26" s="2" t="str">
        <x:v>scale</x:v>
      </x:c>
      <x:c r="S26" s="2" t="str">
        <x:v>evaluation scope</x:v>
      </x:c>
      <x:c r="T26" s="2" t="str">
        <x:v>Scalability and deployment</x:v>
      </x:c>
      <x:c r="U26" s="6" t="str">
        <x:v>p. 7; Section 6, external validity</x:v>
      </x:c>
      <x:c r="V26" s="6" t="str">
        <x:v>Another concern arises from the modest scale of the GRL model utilized and the limited number of requirements examined.</x:v>
      </x:c>
      <x:c r="W26" s="6" t="str">
        <x:v>实验规模偏小，作者指出需更大规模评估以增强适用性。</x:v>
      </x:c>
      <x:c r="X26" s="2" t="str">
        <x:v>Accepted</x:v>
      </x:c>
      <x:c r="Y26" s="6" t="str">
        <x:v>NA</x:v>
      </x:c>
      <x:c r="Z26" s="2" t="n">
        <x:v>3</x:v>
      </x:c>
      <x:c r="AA26" s="2" t="n">
        <x:v>2</x:v>
      </x:c>
    </x:row>
    <x:row r="27" ht="76" customHeight="1">
      <x:c r="A27" s="2" t="str">
        <x:v>S04-LIMIT-R09</x:v>
      </x:c>
      <x:c r="B27" s="2" t="str">
        <x:v>S04</x:v>
      </x:c>
      <x:c r="C27" s="2" t="str">
        <x:v>merged_0075</x:v>
      </x:c>
      <x:c r="D27" s="2" t="str">
        <x:v>Reviewer_A</x:v>
      </x:c>
      <x:c r="E27" s="2" t="str">
        <x:v>Reviewer_A</x:v>
      </x:c>
      <x:c r="F27" s="2" t="str">
        <x:v>S04-L09</x:v>
      </x:c>
      <x:c r="G27" s="6" t="str">
        <x:v>SR</x:v>
      </x:c>
      <x:c r="H27" s="2" t="str">
        <x:v>Authors</x:v>
      </x:c>
      <x:c r="I27" s="6" t="str">
        <x:v>仅依赖GPT-3.5-turbo进行追溯链接恢复</x:v>
      </x:c>
      <x:c r="J27" s="2" t="str">
        <x:v>Empirical</x:v>
      </x:c>
      <x:c r="K27" s="2" t="str">
        <x:v>S05-T01</x:v>
      </x:c>
      <x:c r="L27" s="2" t="str">
        <x:v>S05-MU01</x:v>
      </x:c>
      <x:c r="M27" s="2" t="str">
        <x:v>使用GPT-3.5-turbo作为唯一LLM</x:v>
      </x:c>
      <x:c r="N27" s="2" t="str">
        <x:v>不同LLM可能表现不同，限制了方法的普适性</x:v>
      </x:c>
      <x:c r="O27" s="6" t="str">
        <x:v>不同LLM各有所长，探索替代模型势在必行</x:v>
      </x:c>
      <x:c r="P27" s="2" t="str">
        <x:v>探索其他LLM版本和模型</x:v>
      </x:c>
      <x:c r="Q27" s="2" t="str">
        <x:v>Proposed</x:v>
      </x:c>
      <x:c r="R27" s="2" t="str">
        <x:v>model dependence</x:v>
      </x:c>
      <x:c r="S27" s="2" t="str">
        <x:v>generalizability</x:v>
      </x:c>
      <x:c r="T27" s="2" t="str">
        <x:v>Model reliability</x:v>
      </x:c>
      <x:c r="U27" s="6" t="str">
        <x:v>p. 7; Section 6, external validity</x:v>
      </x:c>
      <x:c r="V27" s="6" t="str">
        <x:v>a potential challenge to external validity concerns the reliance on GPT-3.5-turbo for traceability link recovery.</x:v>
      </x:c>
      <x:c r="W27" s="6" t="str">
        <x:v>仅使用一种LLM，作者认为需要探索其他模型以确保方法普适性。</x:v>
      </x:c>
      <x:c r="X27" s="2" t="str">
        <x:v>Accepted</x:v>
      </x:c>
      <x:c r="Y27" s="6" t="str">
        <x:v>NA</x:v>
      </x:c>
      <x:c r="Z27" s="2" t="n">
        <x:v>3</x:v>
      </x:c>
      <x:c r="AA27" s="2" t="n">
        <x:v>2</x:v>
      </x:c>
    </x:row>
    <x:row r="28" ht="76" customHeight="1">
      <x:c r="A28" s="2" t="str">
        <x:v>S04-LIMIT-R10</x:v>
      </x:c>
      <x:c r="B28" s="2" t="str">
        <x:v>S04</x:v>
      </x:c>
      <x:c r="C28" s="2" t="str">
        <x:v>merged_0075</x:v>
      </x:c>
      <x:c r="D28" s="2" t="str">
        <x:v>Reviewer_A</x:v>
      </x:c>
      <x:c r="E28" s="2" t="str">
        <x:v>Reviewer_A</x:v>
      </x:c>
      <x:c r="F28" s="2" t="str">
        <x:v>S04-L10</x:v>
      </x:c>
      <x:c r="G28" s="6" t="str">
        <x:v>SR</x:v>
      </x:c>
      <x:c r="H28" s="2" t="str">
        <x:v>Authors</x:v>
      </x:c>
      <x:c r="I28" s="6" t="str">
        <x:v>无法确定三个追溯链接被遗漏的原因</x:v>
      </x:c>
      <x:c r="J28" s="2" t="str">
        <x:v>Empirical</x:v>
      </x:c>
      <x:c r="K28" s="2" t="str">
        <x:v>S05-T01</x:v>
      </x:c>
      <x:c r="L28" s="2" t="str">
        <x:v>S05-MU01</x:v>
      </x:c>
      <x:c r="M28" s="2" t="str">
        <x:v>实验中出现了三个假阴性链接</x:v>
      </x:c>
      <x:c r="N28" s="2" t="str">
        <x:v>限制了理解模型行为和改进的能力</x:v>
      </x:c>
      <x:c r="O28" s="6" t="str">
        <x:v>NR</x:v>
      </x:c>
      <x:c r="P28" s="2" t="str">
        <x:v>NR</x:v>
      </x:c>
      <x:c r="Q28" s="2" t="str">
        <x:v>Not proposed</x:v>
      </x:c>
      <x:c r="R28" s="2" t="str">
        <x:v>explainability</x:v>
      </x:c>
      <x:c r="S28" s="2" t="str">
        <x:v>model behavior</x:v>
      </x:c>
      <x:c r="T28" s="2" t="str">
        <x:v>Governance and reproducibility</x:v>
      </x:c>
      <x:c r="U28" s="6" t="str">
        <x:v>p. 7; Section 5.3 Experiment results</x:v>
      </x:c>
      <x:c r="V28" s="6" t="str">
        <x:v>we are unable to determine the reasons behind the initial omission of these links.</x:v>
      </x:c>
      <x:c r="W28" s="6" t="str">
        <x:v>作者无法解释遗漏链接的原因，这构成了方法可解释性的限制。</x:v>
      </x:c>
      <x:c r="X28" s="2" t="str">
        <x:v>Accepted</x:v>
      </x:c>
      <x:c r="Y28" s="6" t="str">
        <x:v>NA</x:v>
      </x:c>
      <x:c r="Z28" s="2" t="n">
        <x:v>3</x:v>
      </x:c>
      <x:c r="AA28" s="2" t="n">
        <x:v>1</x:v>
      </x:c>
    </x:row>
    <x:row r="29" ht="76" customHeight="1">
      <x:c r="A29" s="2" t="str">
        <x:v>S05-LIMIT-R01</x:v>
      </x:c>
      <x:c r="B29" s="2" t="str">
        <x:v>S05</x:v>
      </x:c>
      <x:c r="C29" s="2" t="str">
        <x:v>merged_0077</x:v>
      </x:c>
      <x:c r="D29" s="2" t="str">
        <x:v>Reviewer_A</x:v>
      </x:c>
      <x:c r="E29" s="2" t="str">
        <x:v>Reviewer_A</x:v>
      </x:c>
      <x:c r="F29" s="2" t="str">
        <x:v>S05-L01</x:v>
      </x:c>
      <x:c r="G29" s="6" t="str">
        <x:v>SR</x:v>
      </x:c>
      <x:c r="H29" s="2" t="str">
        <x:v>Authors</x:v>
      </x:c>
      <x:c r="I29" s="6" t="str">
        <x:v>在识别文档与代码之间的隐式关系时，地面真值数据标注存在固有的主观性。</x:v>
      </x:c>
      <x:c r="J29" s="2" t="str">
        <x:v>Speculative</x:v>
      </x:c>
      <x:c r="K29" s="2" t="str">
        <x:v>Multiple</x:v>
      </x:c>
      <x:c r="L29" s="2" t="str">
        <x:v>Multiple</x:v>
      </x:c>
      <x:c r="M29" s="2" t="str">
        <x:v>Ground truth dataset creation for both Crawl4AI and Unity Catalog.</x:v>
      </x:c>
      <x:c r="N29" s="2" t="str">
        <x:v>可能导致链接标注的不一致，影响评估的可靠性。</x:v>
      </x:c>
      <x:c r="O29" s="6" t="str">
        <x:v>NR</x:v>
      </x:c>
      <x:c r="P29" s="2" t="str">
        <x:v>We mitigated this by providing clear, explicit guidelines and holding iterative discussions in cases of disagreement.</x:v>
      </x:c>
      <x:c r="Q29" s="2" t="str">
        <x:v>Implemented</x:v>
      </x:c>
      <x:c r="R29" s="2" t="str">
        <x:v>subjectivity_in_labeling</x:v>
      </x:c>
      <x:c r="S29" s="2" t="str">
        <x:v>Threats to internal validity</x:v>
      </x:c>
      <x:c r="T29" s="2" t="str">
        <x:v>Data and evidence quality</x:v>
      </x:c>
      <x:c r="U29" s="6" t="str">
        <x:v>p. 30; Section 9.1 Internal Validity</x:v>
      </x:c>
      <x:c r="V29" s="6" t="str">
        <x:v>there remains some inherent subjectivity when identifying implicit relationships between documentation and code.</x:v>
      </x:c>
      <x:c r="W29" s="6" t="str">
        <x:v>作者承认在构建地面真值时，识别文档与代码间隐式关系存在主观性，可能影响标注一致性。</x:v>
      </x:c>
      <x:c r="X29" s="2" t="str">
        <x:v>Accepted</x:v>
      </x:c>
      <x:c r="Y29" s="6" t="str">
        <x:v>NA</x:v>
      </x:c>
      <x:c r="Z29" s="2" t="n">
        <x:v>2</x:v>
      </x:c>
      <x:c r="AA29" s="2" t="n">
        <x:v>3</x:v>
      </x:c>
    </x:row>
    <x:row r="30" ht="76" customHeight="1">
      <x:c r="A30" s="2" t="str">
        <x:v>S05-LIMIT-R02</x:v>
      </x:c>
      <x:c r="B30" s="2" t="str">
        <x:v>S05</x:v>
      </x:c>
      <x:c r="C30" s="2" t="str">
        <x:v>merged_0077</x:v>
      </x:c>
      <x:c r="D30" s="2" t="str">
        <x:v>Reviewer_A</x:v>
      </x:c>
      <x:c r="E30" s="2" t="str">
        <x:v>Reviewer_A</x:v>
      </x:c>
      <x:c r="F30" s="2" t="str">
        <x:v>S05-L02</x:v>
      </x:c>
      <x:c r="G30" s="6" t="str">
        <x:v>SR</x:v>
      </x:c>
      <x:c r="H30" s="2" t="str">
        <x:v>Authors</x:v>
      </x:c>
      <x:c r="I30" s="6" t="str">
        <x:v>LLM的非确定性特性，即使使用标准化的提示词和参数，多次运行仍可能产生不一致的输出。</x:v>
      </x:c>
      <x:c r="J30" s="2" t="str">
        <x:v>Empirical</x:v>
      </x:c>
      <x:c r="K30" s="2" t="str">
        <x:v>Multiple</x:v>
      </x:c>
      <x:c r="L30" s="2" t="str">
        <x:v>Multiple</x:v>
      </x:c>
      <x:c r="M30" s="2" t="str">
        <x:v>实验中的重复运行</x:v>
      </x:c>
      <x:c r="N30" s="2" t="str">
        <x:v>可能导致结果的不稳定，影响结论的可靠性。</x:v>
      </x:c>
      <x:c r="O30" s="6" t="str">
        <x:v>NR</x:v>
      </x:c>
      <x:c r="P30" s="2" t="str">
        <x:v>To mitigate this, we conducted five runs for each experiment and each LLM, using different random seeds and shuffled input orders, then aggregated the outcomes to minimize outlier effects.</x:v>
      </x:c>
      <x:c r="Q30" s="2" t="str">
        <x:v>Implemented</x:v>
      </x:c>
      <x:c r="R30" s="2" t="str">
        <x:v>non_determinism</x:v>
      </x:c>
      <x:c r="S30" s="2" t="str">
        <x:v>Threats to internal validity</x:v>
      </x:c>
      <x:c r="T30" s="2" t="str">
        <x:v>Context and prompt dependence</x:v>
      </x:c>
      <x:c r="U30" s="6" t="str">
        <x:v>p. 30; Section 9.1 Internal Validity</x:v>
      </x:c>
      <x:c r="V30" s="6" t="str">
        <x:v>Even with standardized prompts and carefully controlled parameters, repeated runs may yield variations in outputs.</x:v>
      </x:c>
      <x:c r="W30" s="6" t="str">
        <x:v>LLM的非确定性可能导致单次实验结果的波动，通过多次运行并聚合可以减少影响。</x:v>
      </x:c>
      <x:c r="X30" s="2" t="str">
        <x:v>Accepted</x:v>
      </x:c>
      <x:c r="Y30" s="6" t="str">
        <x:v>NA</x:v>
      </x:c>
      <x:c r="Z30" s="2" t="n">
        <x:v>3</x:v>
      </x:c>
      <x:c r="AA30" s="2" t="n">
        <x:v>3</x:v>
      </x:c>
    </x:row>
    <x:row r="31" ht="76" customHeight="1">
      <x:c r="A31" s="2" t="str">
        <x:v>S05-LIMIT-R03</x:v>
      </x:c>
      <x:c r="B31" s="2" t="str">
        <x:v>S05</x:v>
      </x:c>
      <x:c r="C31" s="2" t="str">
        <x:v>merged_0077</x:v>
      </x:c>
      <x:c r="D31" s="2" t="str">
        <x:v>Reviewer_A</x:v>
      </x:c>
      <x:c r="E31" s="2" t="str">
        <x:v>Reviewer_A</x:v>
      </x:c>
      <x:c r="F31" s="2" t="str">
        <x:v>S05-L03</x:v>
      </x:c>
      <x:c r="G31" s="6" t="str">
        <x:v>SR</x:v>
      </x:c>
      <x:c r="H31" s="2" t="str">
        <x:v>Authors</x:v>
      </x:c>
      <x:c r="I31" s="6" t="str">
        <x:v>不同LLM的预训练语料库差异可能导致提示工程中的细微差别影响结果，例如上下文的划分或指令的措辞方式。</x:v>
      </x:c>
      <x:c r="J31" s="2" t="str">
        <x:v>Speculative</x:v>
      </x:c>
      <x:c r="K31" s="2" t="str">
        <x:v>Multiple</x:v>
      </x:c>
      <x:c r="L31" s="2" t="str">
        <x:v>Multiple</x:v>
      </x:c>
      <x:c r="M31" s="2" t="str">
        <x:v>Prompt design and context segmentation across different LLMs.</x:v>
      </x:c>
      <x:c r="N31" s="2" t="str">
        <x:v>可能使得不同LLM之间的性能比较受到提示工程差异的干扰。</x:v>
      </x:c>
      <x:c r="O31" s="6" t="str">
        <x:v>NR</x:v>
      </x:c>
      <x:c r="P31" s="2" t="str">
        <x:v>we applied a consistent prompting format (the one-to-many approach) across all LLMs, caching shared content</x:v>
      </x:c>
      <x:c r="Q31" s="2" t="str">
        <x:v>Implemented</x:v>
      </x:c>
      <x:c r="R31" s="2" t="str">
        <x:v>prompt_engineering_variations</x:v>
      </x:c>
      <x:c r="S31" s="2" t="str">
        <x:v>Threats to internal validity</x:v>
      </x:c>
      <x:c r="T31" s="2" t="str">
        <x:v>Context and prompt dependence</x:v>
      </x:c>
      <x:c r="U31" s="6" t="str">
        <x:v>p. 30; Section 9.1 Internal Validity</x:v>
      </x:c>
      <x:c r="V31" s="6" t="str">
        <x:v>subtle differences in prompt engineering could influence outcomes. Minor variations in how context is segmented or how instructions are phrased may alter performance.</x:v>
      </x:c>
      <x:c r="W31" s="6" t="str">
        <x:v>提示工程中的细微差异可能影响LLM的表现，但作者通过一致的提示格式和缓存共享内容来缓解。</x:v>
      </x:c>
      <x:c r="X31" s="2" t="str">
        <x:v>Accepted</x:v>
      </x:c>
      <x:c r="Y31" s="6" t="str">
        <x:v>NA</x:v>
      </x:c>
      <x:c r="Z31" s="2" t="n">
        <x:v>2</x:v>
      </x:c>
      <x:c r="AA31" s="2" t="n">
        <x:v>3</x:v>
      </x:c>
    </x:row>
    <x:row r="32" ht="76" customHeight="1">
      <x:c r="A32" s="2" t="str">
        <x:v>S05-LIMIT-R04</x:v>
      </x:c>
      <x:c r="B32" s="2" t="str">
        <x:v>S05</x:v>
      </x:c>
      <x:c r="C32" s="2" t="str">
        <x:v>merged_0077</x:v>
      </x:c>
      <x:c r="D32" s="2" t="str">
        <x:v>Reviewer_A</x:v>
      </x:c>
      <x:c r="E32" s="2" t="str">
        <x:v>Reviewer_A</x:v>
      </x:c>
      <x:c r="F32" s="2" t="str">
        <x:v>S05-L04</x:v>
      </x:c>
      <x:c r="G32" s="6" t="str">
        <x:v>SR</x:v>
      </x:c>
      <x:c r="H32" s="2" t="str">
        <x:v>Authors</x:v>
      </x:c>
      <x:c r="I32" s="6" t="str">
        <x:v>尽管选择了LLM训练截止日期后创建的项目，仍存在小部分代码模式被LLM预知的极低可能性。</x:v>
      </x:c>
      <x:c r="J32" s="2" t="str">
        <x:v>Speculative</x:v>
      </x:c>
      <x:c r="K32" s="2" t="str">
        <x:v>Multiple</x:v>
      </x:c>
      <x:c r="L32" s="2" t="str">
        <x:v>Multiple</x:v>
      </x:c>
      <x:c r="M32" s="2" t="str">
        <x:v>Dataset creation from projects post-LLM training cutoffs.</x:v>
      </x:c>
      <x:c r="N32" s="2" t="str">
        <x:v>可能高估LLM在完全未见过的代码上的表现。</x:v>
      </x:c>
      <x:c r="O32" s="6" t="str">
        <x:v>NR</x:v>
      </x:c>
      <x:c r="P32" s="2" t="str">
        <x:v>We minimized this risk by verifying that these repositories were indeed newer projects, and by confirming that pivotal code elements had not existed in older forks or widely shared archives.</x:v>
      </x:c>
      <x:c r="Q32" s="2" t="str">
        <x:v>Implemented</x:v>
      </x:c>
      <x:c r="R32" s="2" t="str">
        <x:v>data_contamination</x:v>
      </x:c>
      <x:c r="S32" s="2" t="str">
        <x:v>Threats to internal validity</x:v>
      </x:c>
      <x:c r="T32" s="2" t="str">
        <x:v>Data and evidence quality</x:v>
      </x:c>
      <x:c r="U32" s="6" t="str">
        <x:v>p. 30; Section 9.1 Internal Validity</x:v>
      </x:c>
      <x:c r="V32" s="6" t="str">
        <x:v>there remains a remote possibility that some portion of these codebases—or their broader patterns—were known to the LLMs.</x:v>
      </x:c>
      <x:c r="W32" s="6" t="str">
        <x:v>虽然采取了预防措施，但数据污染的可能性仍然存在，可能影响实验的内部有效性。</x:v>
      </x:c>
      <x:c r="X32" s="2" t="str">
        <x:v>Accepted</x:v>
      </x:c>
      <x:c r="Y32" s="6" t="str">
        <x:v>NA</x:v>
      </x:c>
      <x:c r="Z32" s="2" t="n">
        <x:v>2</x:v>
      </x:c>
      <x:c r="AA32" s="2" t="n">
        <x:v>3</x:v>
      </x:c>
    </x:row>
    <x:row r="33" ht="76" customHeight="1">
      <x:c r="A33" s="2" t="str">
        <x:v>S05-LIMIT-R05</x:v>
      </x:c>
      <x:c r="B33" s="2" t="str">
        <x:v>S05</x:v>
      </x:c>
      <x:c r="C33" s="2" t="str">
        <x:v>merged_0077</x:v>
      </x:c>
      <x:c r="D33" s="2" t="str">
        <x:v>Reviewer_A</x:v>
      </x:c>
      <x:c r="E33" s="2" t="str">
        <x:v>Reviewer_A</x:v>
      </x:c>
      <x:c r="F33" s="2" t="str">
        <x:v>S05-L05</x:v>
      </x:c>
      <x:c r="G33" s="6" t="str">
        <x:v>SR</x:v>
      </x:c>
      <x:c r="H33" s="2" t="str">
        <x:v>Authors</x:v>
      </x:c>
      <x:c r="I33" s="6" t="str">
        <x:v>研究仅基于两个LLM训练截止后创建的开源项目，可能无法推广到闭源遗留系统或工业级代码库，尤其是文档风格或领域约束不同的情况。</x:v>
      </x:c>
      <x:c r="J33" s="2" t="str">
        <x:v>Speculative</x:v>
      </x:c>
      <x:c r="K33" s="2" t="str">
        <x:v>Multiple</x:v>
      </x:c>
      <x:c r="L33" s="2" t="str">
        <x:v>Multiple</x:v>
      </x:c>
      <x:c r="M33" s="2" t="str">
        <x:v>Generalizability to diverse software projects.</x:v>
      </x:c>
      <x:c r="N33" s="2" t="str">
        <x:v>结论的外部有效性受限，在其他类型的项目上表现可能不同。</x:v>
      </x:c>
      <x:c r="O33" s="6" t="str">
        <x:v>NR</x:v>
      </x:c>
      <x:c r="P33" s="2" t="str">
        <x:v>NR</x:v>
      </x:c>
      <x:c r="Q33" s="2" t="str">
        <x:v>Not proposed</x:v>
      </x:c>
      <x:c r="R33" s="2" t="str">
        <x:v>limited_generalizability</x:v>
      </x:c>
      <x:c r="S33" s="2" t="str">
        <x:v>Threats to external validity</x:v>
      </x:c>
      <x:c r="T33" s="2" t="str">
        <x:v>Generalizability and scope</x:v>
      </x:c>
      <x:c r="U33" s="6" t="str">
        <x:v>p. 30; Section 9.2 External Validity</x:v>
      </x:c>
      <x:c r="V33" s="6" t="str">
        <x:v>Our study focuses on two open-source projects created after the LLM training cutoffs.</x:v>
      </x:c>
      <x:c r="W33" s="6" t="str">
        <x:v>研究范围局限于两个特定类型的新兴开源项目，可能无法代表更广泛的软件系统。</x:v>
      </x:c>
      <x:c r="X33" s="2" t="str">
        <x:v>Accepted</x:v>
      </x:c>
      <x:c r="Y33" s="6" t="str">
        <x:v>NA</x:v>
      </x:c>
      <x:c r="Z33" s="2" t="n">
        <x:v>2</x:v>
      </x:c>
      <x:c r="AA33" s="2" t="n">
        <x:v>1</x:v>
      </x:c>
    </x:row>
    <x:row r="34" ht="76" customHeight="1">
      <x:c r="A34" s="2" t="str">
        <x:v>S05-LIMIT-R06</x:v>
      </x:c>
      <x:c r="B34" s="2" t="str">
        <x:v>S05</x:v>
      </x:c>
      <x:c r="C34" s="2" t="str">
        <x:v>merged_0077</x:v>
      </x:c>
      <x:c r="D34" s="2" t="str">
        <x:v>Reviewer_A</x:v>
      </x:c>
      <x:c r="E34" s="2" t="str">
        <x:v>Reviewer_A</x:v>
      </x:c>
      <x:c r="F34" s="2" t="str">
        <x:v>S05-L06</x:v>
      </x:c>
      <x:c r="G34" s="6" t="str">
        <x:v>SR</x:v>
      </x:c>
      <x:c r="H34" s="2" t="str">
        <x:v>Authors</x:v>
      </x:c>
      <x:c r="I34" s="6" t="str">
        <x:v>对追溯链接、关系解释和追溯链的定义和操作化可能与其他研究者的分类方式不同。</x:v>
      </x:c>
      <x:c r="J34" s="2" t="str">
        <x:v>Speculative</x:v>
      </x:c>
      <x:c r="K34" s="2" t="str">
        <x:v>Multiple</x:v>
      </x:c>
      <x:c r="L34" s="2" t="str">
        <x:v>NA</x:v>
      </x:c>
      <x:c r="M34" s="2" t="str">
        <x:v>Definition and operationalization of traceability concepts.</x:v>
      </x:c>
      <x:c r="N34" s="2" t="str">
        <x:v>可能影响研究结果的可比性和可重复性。</x:v>
      </x:c>
      <x:c r="O34" s="6" t="str">
        <x:v>NR</x:v>
      </x:c>
      <x:c r="P34" s="2" t="str">
        <x:v>We mitigated this through pilot testing on sample segments and ensuring our labeling guidelines were sufficiently detailed</x:v>
      </x:c>
      <x:c r="Q34" s="2" t="str">
        <x:v>Implemented</x:v>
      </x:c>
      <x:c r="R34" s="2" t="str">
        <x:v>construct_operationalization</x:v>
      </x:c>
      <x:c r="S34" s="2" t="str">
        <x:v>Threats to construct validity</x:v>
      </x:c>
      <x:c r="T34" s="2" t="str">
        <x:v>Scalability and deployment</x:v>
      </x:c>
      <x:c r="U34" s="6" t="str">
        <x:v>p. 31; Section 9.3 Construct Validity</x:v>
      </x:c>
      <x:c r="V34" s="6" t="str">
        <x:v>While these definitions are grounded in prior literature, other researchers might categorize or label relationships differently.</x:v>
      </x:c>
      <x:c r="W34" s="6" t="str">
        <x:v>追溯链接等概念的操作化方式可能存在差异，作者通过试验测试和详细标注指南来降低影响。</x:v>
      </x:c>
      <x:c r="X34" s="2" t="str">
        <x:v>Accepted</x:v>
      </x:c>
      <x:c r="Y34" s="6" t="str">
        <x:v>NA</x:v>
      </x:c>
      <x:c r="Z34" s="2" t="n">
        <x:v>2</x:v>
      </x:c>
      <x:c r="AA34" s="2" t="n">
        <x:v>3</x:v>
      </x:c>
    </x:row>
    <x:row r="35" ht="76" customHeight="1">
      <x:c r="A35" s="2" t="str">
        <x:v>S05-LIMIT-R07</x:v>
      </x:c>
      <x:c r="B35" s="2" t="str">
        <x:v>S05</x:v>
      </x:c>
      <x:c r="C35" s="2" t="str">
        <x:v>merged_0077</x:v>
      </x:c>
      <x:c r="D35" s="2" t="str">
        <x:v>Reviewer_A</x:v>
      </x:c>
      <x:c r="E35" s="2" t="str">
        <x:v>Reviewer_A</x:v>
      </x:c>
      <x:c r="F35" s="2" t="str">
        <x:v>S05-L07</x:v>
      </x:c>
      <x:c r="G35" s="6" t="str">
        <x:v>SR</x:v>
      </x:c>
      <x:c r="H35" s="2" t="str">
        <x:v>Authors</x:v>
      </x:c>
      <x:c r="I35" s="6" t="str">
        <x:v>采用的评估指标（如准确率、召回率、F1值）可能无法完全反映开发者关心的可用性或领域相关性等维度。</x:v>
      </x:c>
      <x:c r="J35" s="2" t="str">
        <x:v>Speculative</x:v>
      </x:c>
      <x:c r="K35" s="2" t="str">
        <x:v>Multiple</x:v>
      </x:c>
      <x:c r="L35" s="2" t="str">
        <x:v>NA</x:v>
      </x:c>
      <x:c r="M35" s="2" t="str">
        <x:v>Evaluation metrics for traceability tasks.</x:v>
      </x:c>
      <x:c r="N35" s="2" t="str">
        <x:v>可能忽略对开发者实际有用的其他质量属性。</x:v>
      </x:c>
      <x:c r="O35" s="6" t="str">
        <x:v>NR</x:v>
      </x:c>
      <x:c r="P35" s="2" t="str">
        <x:v>We partially accounted for this by examining detailed explanation quality (e.g., completeness of reasoning) rather than just binary correctness.</x:v>
      </x:c>
      <x:c r="Q35" s="2" t="str">
        <x:v>Implemented</x:v>
      </x:c>
      <x:c r="R35" s="2" t="str">
        <x:v>metric_limitations</x:v>
      </x:c>
      <x:c r="S35" s="2" t="str">
        <x:v>Threats to construct validity</x:v>
      </x:c>
      <x:c r="T35" s="2" t="str">
        <x:v>Evaluation and validity</x:v>
      </x:c>
      <x:c r="U35" s="6" t="str">
        <x:v>p. 31; Section 9.3 Construct Validity</x:v>
      </x:c>
      <x:c r="V35" s="6" t="str">
        <x:v>developers might additionally value metrics such as usability or domain relevance.</x:v>
      </x:c>
      <x:c r="W35" s="6" t="str">
        <x:v>传统IR指标可能不足以全面评估追溯任务的实际效用，作者通过分析解释质量进行了部分弥补。</x:v>
      </x:c>
      <x:c r="X35" s="2" t="str">
        <x:v>Accepted</x:v>
      </x:c>
      <x:c r="Y35" s="6" t="str">
        <x:v>NA</x:v>
      </x:c>
      <x:c r="Z35" s="2" t="n">
        <x:v>2</x:v>
      </x:c>
      <x:c r="AA35" s="2" t="n">
        <x:v>3</x:v>
      </x:c>
    </x:row>
    <x:row r="36" ht="76" customHeight="1">
      <x:c r="A36" s="2" t="str">
        <x:v>S05-LIMIT-R08</x:v>
      </x:c>
      <x:c r="B36" s="2" t="str">
        <x:v>S05</x:v>
      </x:c>
      <x:c r="C36" s="2" t="str">
        <x:v>merged_0077</x:v>
      </x:c>
      <x:c r="D36" s="2" t="str">
        <x:v>Reviewer_A</x:v>
      </x:c>
      <x:c r="E36" s="2" t="str">
        <x:v>Reviewer_A</x:v>
      </x:c>
      <x:c r="F36" s="2" t="str">
        <x:v>S05-L08</x:v>
      </x:c>
      <x:c r="G36" s="6" t="str">
        <x:v>SR</x:v>
      </x:c>
      <x:c r="H36" s="2" t="str">
        <x:v>Authors</x:v>
      </x:c>
      <x:c r="I36" s="6" t="str">
        <x:v>LLM系统固有的变动性，模型更新可能导致相同提示下的性能漂移，影响结论的长期有效性。</x:v>
      </x:c>
      <x:c r="J36" s="2" t="str">
        <x:v>Speculative</x:v>
      </x:c>
      <x:c r="K36" s="2" t="str">
        <x:v>Multiple</x:v>
      </x:c>
      <x:c r="L36" s="2" t="str">
        <x:v>Multiple</x:v>
      </x:c>
      <x:c r="M36" s="2" t="str">
        <x:v>Long-term replicability of LLM-based experiments.</x:v>
      </x:c>
      <x:c r="N36" s="2" t="str">
        <x:v>研究结果可能随时间变化而不复现。</x:v>
      </x:c>
      <x:c r="O36" s="6" t="str">
        <x:v>NR</x:v>
      </x:c>
      <x:c r="P36" s="2" t="str">
        <x:v>We mitigated this by recording the exact version identifier for each LLM used in our experiments, carrying out all runs within a defined time window.</x:v>
      </x:c>
      <x:c r="Q36" s="2" t="str">
        <x:v>Implemented</x:v>
      </x:c>
      <x:c r="R36" s="2" t="str">
        <x:v>model_variability</x:v>
      </x:c>
      <x:c r="S36" s="2" t="str">
        <x:v>Threats to conclusion validity</x:v>
      </x:c>
      <x:c r="T36" s="2" t="str">
        <x:v>Context and prompt dependence</x:v>
      </x:c>
      <x:c r="U36" s="6" t="str">
        <x:v>p. 31; Section 9.4 Conclusion Validity</x:v>
      </x:c>
      <x:c r="V36" s="6" t="str">
        <x:v>Providers routinely update models, and performance on identical prompts may drift over time.</x:v>
      </x:c>
      <x:c r="W36" s="6" t="str">
        <x:v>LLM服务商的模型更新可能导致性能漂移，作者通过记录模型版本和固定实验时间窗口来缓解。</x:v>
      </x:c>
      <x:c r="X36" s="2" t="str">
        <x:v>Accepted</x:v>
      </x:c>
      <x:c r="Y36" s="6" t="str">
        <x:v>NA</x:v>
      </x:c>
      <x:c r="Z36" s="2" t="n">
        <x:v>2</x:v>
      </x:c>
      <x:c r="AA36" s="2" t="n">
        <x:v>3</x:v>
      </x:c>
    </x:row>
    <x:row r="37" ht="76" customHeight="1">
      <x:c r="A37" s="2" t="str">
        <x:v>S05-LIMIT-R09</x:v>
      </x:c>
      <x:c r="B37" s="2" t="str">
        <x:v>S05</x:v>
      </x:c>
      <x:c r="C37" s="2" t="str">
        <x:v>merged_0077</x:v>
      </x:c>
      <x:c r="D37" s="2" t="str">
        <x:v>Reviewer_A</x:v>
      </x:c>
      <x:c r="E37" s="2" t="str">
        <x:v>Reviewer_A</x:v>
      </x:c>
      <x:c r="F37" s="2" t="str">
        <x:v>S05-L09</x:v>
      </x:c>
      <x:c r="G37" s="6" t="str">
        <x:v>SR</x:v>
      </x:c>
      <x:c r="H37" s="2" t="str">
        <x:v>Authors</x:v>
      </x:c>
      <x:c r="I37" s="6" t="str">
        <x:v>研究结果的范围受限于所评估的特定LLM、提示结构和项目，可能不适用于其他模型或环境。</x:v>
      </x:c>
      <x:c r="J37" s="2" t="str">
        <x:v>Speculative</x:v>
      </x:c>
      <x:c r="K37" s="2" t="str">
        <x:v>Multiple</x:v>
      </x:c>
      <x:c r="L37" s="2" t="str">
        <x:v>Multiple</x:v>
      </x:c>
      <x:c r="M37" s="2" t="str">
        <x:v>Scope of experimental findings.</x:v>
      </x:c>
      <x:c r="N37" s="2" t="str">
        <x:v>结论可能无法直接推广到其他LLM或软件项目。</x:v>
      </x:c>
      <x:c r="O37" s="6" t="str">
        <x:v>NR</x:v>
      </x:c>
      <x:c r="P37" s="2" t="str">
        <x:v>NR</x:v>
      </x:c>
      <x:c r="Q37" s="2" t="str">
        <x:v>Not proposed</x:v>
      </x:c>
      <x:c r="R37" s="2" t="str">
        <x:v>bounded_scope</x:v>
      </x:c>
      <x:c r="S37" s="2" t="str">
        <x:v>Threats to conclusion validity</x:v>
      </x:c>
      <x:c r="T37" s="2" t="str">
        <x:v>Generalizability and scope</x:v>
      </x:c>
      <x:c r="U37" s="6" t="str">
        <x:v>p. 31; Section 9.4 Conclusion Validity</x:v>
      </x:c>
      <x:c r="V37" s="6" t="str">
        <x:v>the scope of our findings is bounded by the specific LLMs, prompt structures, and projects we evaluated.</x:v>
      </x:c>
      <x:c r="W37" s="6" t="str">
        <x:v>作者明确指出研究结果受限于具体的模型、提示和项目选择。</x:v>
      </x:c>
      <x:c r="X37" s="2" t="str">
        <x:v>Accepted</x:v>
      </x:c>
      <x:c r="Y37" s="6" t="str">
        <x:v>NA</x:v>
      </x:c>
      <x:c r="Z37" s="2" t="n">
        <x:v>2</x:v>
      </x:c>
      <x:c r="AA37" s="2" t="n">
        <x:v>1</x:v>
      </x:c>
    </x:row>
    <x:row r="38" ht="76" customHeight="1">
      <x:c r="A38" s="2" t="str">
        <x:v>S05-LIMIT-R10</x:v>
      </x:c>
      <x:c r="B38" s="2" t="str">
        <x:v>S05</x:v>
      </x:c>
      <x:c r="C38" s="2" t="str">
        <x:v>merged_0077</x:v>
      </x:c>
      <x:c r="D38" s="2" t="str">
        <x:v>Reviewer_A</x:v>
      </x:c>
      <x:c r="E38" s="2" t="str">
        <x:v>Reviewer_A</x:v>
      </x:c>
      <x:c r="F38" s="2" t="str">
        <x:v>S05-L10</x:v>
      </x:c>
      <x:c r="G38" s="6" t="str">
        <x:v>SR</x:v>
      </x:c>
      <x:c r="H38" s="2" t="str">
        <x:v>Authors</x:v>
      </x:c>
      <x:c r="I38" s="6" t="str">
        <x:v>LLM在关系解释任务中很少完全失败，能够抓住核心关系，但常常遗漏微妙而重要的细节。</x:v>
      </x:c>
      <x:c r="J38" s="2" t="str">
        <x:v>Empirical</x:v>
      </x:c>
      <x:c r="K38" s="2" t="str">
        <x:v>S06-T02</x:v>
      </x:c>
      <x:c r="L38" s="2" t="str">
        <x:v>Multiple</x:v>
      </x:c>
      <x:c r="M38" s="2" t="str">
        <x:v>Relationship explanation quality in RQ2.</x:v>
      </x:c>
      <x:c r="N38" s="2" t="str">
        <x:v>可能影响开发者对追溯结果的信任度和实际使用。</x:v>
      </x:c>
      <x:c r="O38" s="6" t="str">
        <x:v>NR</x:v>
      </x:c>
      <x:c r="P38" s="2" t="str">
        <x:v>NR</x:v>
      </x:c>
      <x:c r="Q38" s="2" t="str">
        <x:v>Not proposed</x:v>
      </x:c>
      <x:c r="R38" s="2" t="str">
        <x:v>explanation_omission</x:v>
      </x:c>
      <x:c r="S38" s="2" t="str">
        <x:v>Limitation of LLM capability</x:v>
      </x:c>
      <x:c r="T38" s="2" t="str">
        <x:v>Evaluation and validity</x:v>
      </x:c>
      <x:c r="U38" s="6" t="str">
        <x:v>p. 31; Section 10 Conclusion</x:v>
      </x:c>
      <x:c r="V38" s="6" t="str">
        <x:v>while LLMs seldom fail entirely on explanation tasks—often capturing the core relationship—they remain prone to omissions of more subtle yet potentially important nuances.</x:v>
      </x:c>
      <x:c r="W38" s="6" t="str">
        <x:v>LLM的解释虽然基本正确，但细节遗漏是主要缺陷，表明其在深层语义理解上仍有不足。</x:v>
      </x:c>
      <x:c r="X38" s="2" t="str">
        <x:v>Accepted</x:v>
      </x:c>
      <x:c r="Y38" s="6" t="str">
        <x:v>NA</x:v>
      </x:c>
      <x:c r="Z38" s="2" t="n">
        <x:v>3</x:v>
      </x:c>
      <x:c r="AA38" s="2" t="n">
        <x:v>1</x:v>
      </x:c>
    </x:row>
    <x:row r="39" ht="76" customHeight="1">
      <x:c r="A39" s="2" t="str">
        <x:v>S05-LIMIT-R11</x:v>
      </x:c>
      <x:c r="B39" s="2" t="str">
        <x:v>S05</x:v>
      </x:c>
      <x:c r="C39" s="2" t="str">
        <x:v>merged_0077</x:v>
      </x:c>
      <x:c r="D39" s="2" t="str">
        <x:v>Reviewer_A</x:v>
      </x:c>
      <x:c r="E39" s="2" t="str">
        <x:v>Reviewer_A</x:v>
      </x:c>
      <x:c r="F39" s="2" t="str">
        <x:v>S05-L11</x:v>
      </x:c>
      <x:c r="G39" s="6" t="str">
        <x:v>SR</x:v>
      </x:c>
      <x:c r="H39" s="2" t="str">
        <x:v>Authors</x:v>
      </x:c>
      <x:c r="I39" s="6" t="str">
        <x:v>LLM产生的误报主要源于基于命名的假设、幻影链接以及对架构模式的过度泛化。</x:v>
      </x:c>
      <x:c r="J39" s="2" t="str">
        <x:v>Empirical</x:v>
      </x:c>
      <x:c r="K39" s="2" t="str">
        <x:v>S06-T01</x:v>
      </x:c>
      <x:c r="L39" s="2" t="str">
        <x:v>Multiple</x:v>
      </x:c>
      <x:c r="M39" s="2" t="str">
        <x:v>False positive analysis in RQ1.</x:v>
      </x:c>
      <x:c r="N39" s="2" t="str">
        <x:v>降低了追溯结果的精确率，增加了人工验证的负担。</x:v>
      </x:c>
      <x:c r="O39" s="6" t="str">
        <x:v>NR</x:v>
      </x:c>
      <x:c r="P39" s="2" t="str">
        <x:v>NR</x:v>
      </x:c>
      <x:c r="Q39" s="2" t="str">
        <x:v>Not proposed</x:v>
      </x:c>
      <x:c r="R39" s="2" t="str">
        <x:v>false_positive_patterns</x:v>
      </x:c>
      <x:c r="S39" s="2" t="str">
        <x:v>Limitation of LLM capability</x:v>
      </x:c>
      <x:c r="T39" s="2" t="str">
        <x:v>Model reliability</x:v>
      </x:c>
      <x:c r="U39" s="6" t="str">
        <x:v>p. 1; Abstract</x:v>
      </x:c>
      <x:c r="V39" s="6" t="str">
        <x:v>many false positives stem from naming-based assumptions, phantom links, or overgeneralization of architectural patterns.</x:v>
      </x:c>
      <x:c r="W39" s="6" t="str">
        <x:v>LLM的错误链接呈现典型模式，包括名称联想、幻觉链接和架构模式泛化。</x:v>
      </x:c>
      <x:c r="X39" s="2" t="str">
        <x:v>Accepted</x:v>
      </x:c>
      <x:c r="Y39" s="6" t="str">
        <x:v>NA</x:v>
      </x:c>
      <x:c r="Z39" s="2" t="n">
        <x:v>3</x:v>
      </x:c>
      <x:c r="AA39" s="2" t="n">
        <x:v>1</x:v>
      </x:c>
    </x:row>
    <x:row r="40" ht="76" customHeight="1">
      <x:c r="A40" s="2" t="str">
        <x:v>S05-LIMIT-R12</x:v>
      </x:c>
      <x:c r="B40" s="2" t="str">
        <x:v>S05</x:v>
      </x:c>
      <x:c r="C40" s="2" t="str">
        <x:v>merged_0077</x:v>
      </x:c>
      <x:c r="D40" s="2" t="str">
        <x:v>Reviewer_A</x:v>
      </x:c>
      <x:c r="E40" s="2" t="str">
        <x:v>Reviewer_A</x:v>
      </x:c>
      <x:c r="F40" s="2" t="str">
        <x:v>S05-L12</x:v>
      </x:c>
      <x:c r="G40" s="6" t="str">
        <x:v>SR</x:v>
      </x:c>
      <x:c r="H40" s="2" t="str">
        <x:v>Authors</x:v>
      </x:c>
      <x:c r="I40" s="6" t="str">
        <x:v>在多步追溯链中，LLM能保持较高的端点准确性，但在捕获精确中间链接方面的表现差异很大（13%至80%）。</x:v>
      </x:c>
      <x:c r="J40" s="2" t="str">
        <x:v>Empirical</x:v>
      </x:c>
      <x:c r="K40" s="2" t="str">
        <x:v>S06-T03</x:v>
      </x:c>
      <x:c r="L40" s="2" t="str">
        <x:v>Multiple</x:v>
      </x:c>
      <x:c r="M40" s="2" t="str">
        <x:v>Multi-step trace chain recovery in RQ3.</x:v>
      </x:c>
      <x:c r="N40" s="2" t="str">
        <x:v>影响变更影响分析等需要完整依赖链的任务。</x:v>
      </x:c>
      <x:c r="O40" s="6" t="str">
        <x:v>NR</x:v>
      </x:c>
      <x:c r="P40" s="2" t="str">
        <x:v>NR</x:v>
      </x:c>
      <x:c r="Q40" s="2" t="str">
        <x:v>Not proposed</x:v>
      </x:c>
      <x:c r="R40" s="2" t="str">
        <x:v>intermediate_link_variability</x:v>
      </x:c>
      <x:c r="S40" s="2" t="str">
        <x:v>Limitation of LLM capability</x:v>
      </x:c>
      <x:c r="T40" s="2" t="str">
        <x:v>Context and prompt dependence</x:v>
      </x:c>
      <x:c r="U40" s="6" t="str">
        <x:v>p. 3; Abstract</x:v>
      </x:c>
      <x:c r="V40" s="6" t="str">
        <x:v>systems. We find that for multi-step chains, LLMs maintain high endpoint accuracy (below 2% incorrect) but vary in capturing precise intermediate links from 13% to 80%.</x:v>
      </x:c>
      <x:c r="W40" s="6" t="str">
        <x:v>LLM在多步追溯中端点识别可靠，但中间环节的捕获能力极不稳定。</x:v>
      </x:c>
      <x:c r="X40" s="2" t="str">
        <x:v>Accepted</x:v>
      </x:c>
      <x:c r="Y40" s="6" t="str">
        <x:v>NA</x:v>
      </x:c>
      <x:c r="Z40" s="2" t="n">
        <x:v>4</x:v>
      </x:c>
      <x:c r="AA40" s="2" t="n">
        <x:v>1</x:v>
      </x:c>
    </x:row>
    <x:row r="41" ht="76" customHeight="1">
      <x:c r="A41" s="2" t="str">
        <x:v>S06-LIMIT-R01</x:v>
      </x:c>
      <x:c r="B41" s="2" t="str">
        <x:v>S06</x:v>
      </x:c>
      <x:c r="C41" s="2" t="str">
        <x:v>merged_0079</x:v>
      </x:c>
      <x:c r="D41" s="2" t="str">
        <x:v>Reviewer_A</x:v>
      </x:c>
      <x:c r="E41" s="2" t="str">
        <x:v>Reviewer_A</x:v>
      </x:c>
      <x:c r="F41" s="2" t="str">
        <x:v>S06-L01</x:v>
      </x:c>
      <x:c r="G41" s="6" t="str">
        <x:v>SR</x:v>
      </x:c>
      <x:c r="H41" s="2" t="str">
        <x:v>Authors</x:v>
      </x:c>
      <x:c r="I41" s="6" t="str">
        <x:v>固化的迭代次数与令牌限制可能导致部分issue无法找到解决commit。</x:v>
      </x:c>
      <x:c r="J41" s="2" t="str">
        <x:v>Empirical</x:v>
      </x:c>
      <x:c r="K41" s="2" t="str">
        <x:v>S07-T01</x:v>
      </x:c>
      <x:c r="L41" s="2" t="str">
        <x:v>S07-MU01</x:v>
      </x:c>
      <x:c r="M41" s="2" t="str">
        <x:v>预算受限的检索会话</x:v>
      </x:c>
      <x:c r="N41" s="2" t="str">
        <x:v>LinkAnchor无法为某些issue提供任何解决commit。</x:v>
      </x:c>
      <x:c r="O41" s="6" t="str">
        <x:v>Unclear</x:v>
      </x:c>
      <x:c r="P41" s="2" t="str">
        <x:v>NR</x:v>
      </x:c>
      <x:c r="Q41" s="2" t="str">
        <x:v>Not proposed</x:v>
      </x:c>
      <x:c r="R41" s="2" t="str">
        <x:v>resource_limit</x:v>
      </x:c>
      <x:c r="S41" s="2" t="str">
        <x:v>operational_constraint</x:v>
      </x:c>
      <x:c r="T41" s="2" t="str">
        <x:v>Scalability and deployment</x:v>
      </x:c>
      <x:c r="U41" s="6" t="str">
        <x:v>p. 7; Section V-A.1 Model Configuration</x:v>
      </x:c>
      <x:c r="V41" s="6" t="str">
        <x:v>But this also means that for some issues, LinkAnchor is unable to provide any resolving commits.</x:v>
      </x:c>
      <x:c r="W41" s="6" t="str">
        <x:v>为了控制成本与时间，作者设置了最大20次迭代和20万令牌的硬限制，但未提出缓解方案，这可能降低召回率。</x:v>
      </x:c>
      <x:c r="X41" s="2" t="str">
        <x:v>Accepted</x:v>
      </x:c>
      <x:c r="Y41" s="6" t="str">
        <x:v>NA</x:v>
      </x:c>
      <x:c r="Z41" s="2" t="n">
        <x:v>3</x:v>
      </x:c>
      <x:c r="AA41" s="2" t="n">
        <x:v>1</x:v>
      </x:c>
    </x:row>
    <x:row r="42" ht="76" customHeight="1">
      <x:c r="A42" s="2" t="str">
        <x:v>S06-LIMIT-R02</x:v>
      </x:c>
      <x:c r="B42" s="2" t="str">
        <x:v>S06</x:v>
      </x:c>
      <x:c r="C42" s="2" t="str">
        <x:v>merged_0079</x:v>
      </x:c>
      <x:c r="D42" s="2" t="str">
        <x:v>Reviewer_A</x:v>
      </x:c>
      <x:c r="E42" s="2" t="str">
        <x:v>Reviewer_A</x:v>
      </x:c>
      <x:c r="F42" s="2" t="str">
        <x:v>S06-L02</x:v>
      </x:c>
      <x:c r="G42" s="6" t="str">
        <x:v>SR</x:v>
      </x:c>
      <x:c r="H42" s="2" t="str">
        <x:v>Authors</x:v>
      </x:c>
      <x:c r="I42" s="6" t="str">
        <x:v>依赖开源工具可能继承其缺陷，且实现中可能存在未发现的隐藏bug。</x:v>
      </x:c>
      <x:c r="J42" s="2" t="str">
        <x:v>Speculative</x:v>
      </x:c>
      <x:c r="K42" s="2" t="str">
        <x:v>S07-T01</x:v>
      </x:c>
      <x:c r="L42" s="2" t="str">
        <x:v>S07-MU01</x:v>
      </x:c>
      <x:c r="M42" s="2" t="str">
        <x:v>整体实现与外部依赖</x:v>
      </x:c>
      <x:c r="N42" s="2" t="str">
        <x:v>潜在的隐藏bug可能影响链接恢复的正确性。</x:v>
      </x:c>
      <x:c r="O42" s="6" t="str">
        <x:v>Unclear</x:v>
      </x:c>
      <x:c r="P42" s="2" t="str">
        <x:v>多次手动测试、全面的测试套件、代码公开以供社区检查。</x:v>
      </x:c>
      <x:c r="Q42" s="2" t="str">
        <x:v>Implemented</x:v>
      </x:c>
      <x:c r="R42" s="2" t="str">
        <x:v>internal_bugs</x:v>
      </x:c>
      <x:c r="S42" s="2" t="str">
        <x:v>tool_risk</x:v>
      </x:c>
      <x:c r="T42" s="2" t="str">
        <x:v>Evaluation and validity</x:v>
      </x:c>
      <x:c r="U42" s="6" t="str">
        <x:v>p. 10; Section VI-A Internal Validity</x:v>
      </x:c>
      <x:c r="V42" s="6" t="str">
        <x:v>We also recognize the possibility of hidden bugs in our implementation. To address these, we performed multiple manual tests, developed a comprehensive test suite, and made our code and data publicly available [1] for community inspection and feedback.</x:v>
      </x:c>
      <x:c r="W42" s="6" t="str">
        <x:v>作者坦言实现可能存在未知缺陷，但已采取测试与公开代码等措施缓解，实际影响不明。</x:v>
      </x:c>
      <x:c r="X42" s="2" t="str">
        <x:v>Accepted</x:v>
      </x:c>
      <x:c r="Y42" s="6" t="str">
        <x:v>NA</x:v>
      </x:c>
      <x:c r="Z42" s="2" t="n">
        <x:v>2</x:v>
      </x:c>
      <x:c r="AA42" s="2" t="n">
        <x:v>3</x:v>
      </x:c>
    </x:row>
    <x:row r="43" ht="76" customHeight="1">
      <x:c r="A43" s="2" t="str">
        <x:v>S06-LIMIT-R03</x:v>
      </x:c>
      <x:c r="B43" s="2" t="str">
        <x:v>S06</x:v>
      </x:c>
      <x:c r="C43" s="2" t="str">
        <x:v>merged_0079</x:v>
      </x:c>
      <x:c r="D43" s="2" t="str">
        <x:v>Reviewer_A</x:v>
      </x:c>
      <x:c r="E43" s="2" t="str">
        <x:v>Reviewer_A</x:v>
      </x:c>
      <x:c r="F43" s="2" t="str">
        <x:v>S06-L03</x:v>
      </x:c>
      <x:c r="G43" s="6" t="str">
        <x:v>SR</x:v>
      </x:c>
      <x:c r="H43" s="2" t="str">
        <x:v>Authors</x:v>
      </x:c>
      <x:c r="I43" s="6" t="str">
        <x:v>LinkAnchor当前仅支持Git、GitHub Issues、Jira、Tree-sitter兼容语言及OpenAI API，覆盖范围有限。</x:v>
      </x:c>
      <x:c r="J43" s="2" t="str">
        <x:v>Speculative</x:v>
      </x:c>
      <x:c r="K43" s="2" t="str">
        <x:v>S07-T01</x:v>
      </x:c>
      <x:c r="L43" s="2" t="str">
        <x:v>S07-MU01</x:v>
      </x:c>
      <x:c r="M43" s="2" t="str">
        <x:v>跨平台部署</x:v>
      </x:c>
      <x:c r="N43" s="2" t="str">
        <x:v>无法直接应用于其他问题跟踪平台或不同LLM。</x:v>
      </x:c>
      <x:c r="O43" s="6" t="str">
        <x:v>Unclear</x:v>
      </x:c>
      <x:c r="P43" s="2" t="str">
        <x:v>模块化设计允许扩展至其他平台。</x:v>
      </x:c>
      <x:c r="Q43" s="2" t="str">
        <x:v>Proposed</x:v>
      </x:c>
      <x:c r="R43" s="2" t="str">
        <x:v>platform_support</x:v>
      </x:c>
      <x:c r="S43" s="2" t="str">
        <x:v>generalizability</x:v>
      </x:c>
      <x:c r="T43" s="2" t="str">
        <x:v>Scalability and deployment</x:v>
      </x:c>
      <x:c r="U43" s="6" t="str">
        <x:v>p. 10; Section VI-A External Validity</x:v>
      </x:c>
      <x:c r="V43" s="6" t="str">
        <x:v>While we aimed to make LinkAnchor as generalizable as possible by supporting widely used tools and technologies, the scope of this paper limits the coverage to a subset of existing technologies.</x:v>
      </x:c>
      <x:c r="W43" s="6" t="str">
        <x:v>工具链支持不完整是外部效度威胁，但模块化架构为未来扩展提供了可能。</x:v>
      </x:c>
      <x:c r="X43" s="2" t="str">
        <x:v>Accepted</x:v>
      </x:c>
      <x:c r="Y43" s="6" t="str">
        <x:v>NA</x:v>
      </x:c>
      <x:c r="Z43" s="2" t="n">
        <x:v>2</x:v>
      </x:c>
      <x:c r="AA43" s="2" t="n">
        <x:v>2</x:v>
      </x:c>
    </x:row>
    <x:row r="44" ht="76" customHeight="1">
      <x:c r="A44" s="2" t="str">
        <x:v>S06-LIMIT-R04</x:v>
      </x:c>
      <x:c r="B44" s="2" t="str">
        <x:v>S06</x:v>
      </x:c>
      <x:c r="C44" s="2" t="str">
        <x:v>merged_0079</x:v>
      </x:c>
      <x:c r="D44" s="2" t="str">
        <x:v>Reviewer_A</x:v>
      </x:c>
      <x:c r="E44" s="2" t="str">
        <x:v>Reviewer_A</x:v>
      </x:c>
      <x:c r="F44" s="2" t="str">
        <x:v>S06-L04</x:v>
      </x:c>
      <x:c r="G44" s="6" t="str">
        <x:v>SR</x:v>
      </x:c>
      <x:c r="H44" s="2" t="str">
        <x:v>Authors</x:v>
      </x:c>
      <x:c r="I44" s="6" t="str">
        <x:v>LLM API响应时间受服务器拥堵、速率限制和模型随机性影响，导致时间测量结果波动。</x:v>
      </x:c>
      <x:c r="J44" s="2" t="str">
        <x:v>Empirical</x:v>
      </x:c>
      <x:c r="K44" s="2" t="str">
        <x:v>S07-T01</x:v>
      </x:c>
      <x:c r="L44" s="2" t="str">
        <x:v>S07-MU01</x:v>
      </x:c>
      <x:c r="M44" s="2" t="str">
        <x:v>成本与时效评估</x:v>
      </x:c>
      <x:c r="N44" s="2" t="str">
        <x:v>时间性能指标可能在不同环境下不可复现。</x:v>
      </x:c>
      <x:c r="O44" s="6" t="str">
        <x:v>Unclear</x:v>
      </x:c>
      <x:c r="P44" s="2" t="str">
        <x:v>重复实验三次并报告平均值。</x:v>
      </x:c>
      <x:c r="Q44" s="2" t="str">
        <x:v>Implemented</x:v>
      </x:c>
      <x:c r="R44" s="2" t="str">
        <x:v>api_variability</x:v>
      </x:c>
      <x:c r="S44" s="2" t="str">
        <x:v>external_dependency</x:v>
      </x:c>
      <x:c r="T44" s="2" t="str">
        <x:v>Scalability and deployment</x:v>
      </x:c>
      <x:c r="U44" s="6" t="str">
        <x:v>p. 10; Section VI-A Construct Validity</x:v>
      </x:c>
      <x:c r="V44" s="6" t="str">
        <x:v>The timing results reported in our experiments are influenced by the performance of the underlying LLM API, in this case, OpenAI. Factors such as server congestion, rate limits, and the inherent randomness of LLM behavior can cause variability in response times.</x:v>
      </x:c>
      <x:c r="W44" s="6" t="str">
        <x:v>时间度量受外部API波动影响，作者通过重复实验取平均降低噪声，但未完全消除不确定性。</x:v>
      </x:c>
      <x:c r="X44" s="2" t="str">
        <x:v>Accepted</x:v>
      </x:c>
      <x:c r="Y44" s="6" t="str">
        <x:v>NA</x:v>
      </x:c>
      <x:c r="Z44" s="2" t="n">
        <x:v>3</x:v>
      </x:c>
      <x:c r="AA44" s="2" t="n">
        <x:v>3</x:v>
      </x:c>
    </x:row>
    <x:row r="45" ht="76" customHeight="1">
      <x:c r="A45" s="2" t="str">
        <x:v>S07-LIMIT-R01</x:v>
      </x:c>
      <x:c r="B45" s="2" t="str">
        <x:v>S07</x:v>
      </x:c>
      <x:c r="C45" s="2" t="str">
        <x:v>merged_0110</x:v>
      </x:c>
      <x:c r="D45" s="2" t="str">
        <x:v>Reviewer_A</x:v>
      </x:c>
      <x:c r="E45" s="2" t="str">
        <x:v>Reviewer_A</x:v>
      </x:c>
      <x:c r="F45" s="2" t="str">
        <x:v>S07-L01</x:v>
      </x:c>
      <x:c r="G45" s="6" t="str">
        <x:v>SR</x:v>
      </x:c>
      <x:c r="H45" s="2" t="str">
        <x:v>Authors</x:v>
      </x:c>
      <x:c r="I45" s="6" t="str">
        <x:v>LLM的非确定性对内部有效性构成威胁</x:v>
      </x:c>
      <x:c r="J45" s="2" t="str">
        <x:v>Empirical</x:v>
      </x:c>
      <x:c r="K45" s="2" t="str">
        <x:v>S08-T01</x:v>
      </x:c>
      <x:c r="L45" s="2" t="str">
        <x:v>Multiple</x:v>
      </x:c>
      <x:c r="M45" s="2" t="str">
        <x:v>实验的可重复性</x:v>
      </x:c>
      <x:c r="N45" s="2" t="str">
        <x:v>模型输出不稳定，影响结果一致性和可重复性</x:v>
      </x:c>
      <x:c r="O45" s="6" t="str">
        <x:v>The non-deterministic nature of LLMs poses challenges for reproducibility</x:v>
      </x:c>
      <x:c r="P45" s="2" t="str">
        <x:v>通过多次运行并分享执行元数据（系统指纹、种子、日期、提示、温度等）缓解</x:v>
      </x:c>
      <x:c r="Q45" s="2" t="str">
        <x:v>Implemented</x:v>
      </x:c>
      <x:c r="R45" s="2" t="str">
        <x:v>non-determinism</x:v>
      </x:c>
      <x:c r="S45" s="2" t="str">
        <x:v>Internal validity threat</x:v>
      </x:c>
      <x:c r="T45" s="2" t="str">
        <x:v>Context and prompt dependence</x:v>
      </x:c>
      <x:c r="U45" s="6" t="str">
        <x:v>p. 10; section 6.5</x:v>
      </x:c>
      <x:c r="V45" s="6" t="str">
        <x:v>The non-deterministic nature of LLMs introduces an internal validity threat.</x:v>
      </x:c>
      <x:c r="W45" s="6" t="str">
        <x:v>论文指出LLM的非确定性是内部有效性威胁，并通过多次运行和共享元数据来缓解。</x:v>
      </x:c>
      <x:c r="X45" s="2" t="str">
        <x:v>Accepted</x:v>
      </x:c>
      <x:c r="Y45" s="6" t="str">
        <x:v>NA</x:v>
      </x:c>
      <x:c r="Z45" s="2" t="n">
        <x:v>3</x:v>
      </x:c>
      <x:c r="AA45" s="2" t="n">
        <x:v>3</x:v>
      </x:c>
    </x:row>
    <x:row r="46" ht="76" customHeight="1">
      <x:c r="A46" s="2" t="str">
        <x:v>S07-LIMIT-R02</x:v>
      </x:c>
      <x:c r="B46" s="2" t="str">
        <x:v>S07</x:v>
      </x:c>
      <x:c r="C46" s="2" t="str">
        <x:v>merged_0110</x:v>
      </x:c>
      <x:c r="D46" s="2" t="str">
        <x:v>Reviewer_A</x:v>
      </x:c>
      <x:c r="E46" s="2" t="str">
        <x:v>Reviewer_A</x:v>
      </x:c>
      <x:c r="F46" s="2" t="str">
        <x:v>S07-L02</x:v>
      </x:c>
      <x:c r="G46" s="6" t="str">
        <x:v>SR</x:v>
      </x:c>
      <x:c r="H46" s="2" t="str">
        <x:v>Authors</x:v>
      </x:c>
      <x:c r="I46" s="6" t="str">
        <x:v>模型演变的不可预测性可能导致结果不一致</x:v>
      </x:c>
      <x:c r="J46" s="2" t="str">
        <x:v>Speculative</x:v>
      </x:c>
      <x:c r="K46" s="2" t="str">
        <x:v>S08-T01</x:v>
      </x:c>
      <x:c r="L46" s="2" t="str">
        <x:v>Multiple</x:v>
      </x:c>
      <x:c r="M46" s="2" t="str">
        <x:v>研究结果的长期有效性</x:v>
      </x:c>
      <x:c r="N46" s="2" t="str">
        <x:v>模型更新后实验结果可能失效，威胁纵向复现</x:v>
      </x:c>
      <x:c r="O46" s="6" t="str">
        <x:v>The unpredictability in model evolution can lead to inconsistencies in results</x:v>
      </x:c>
      <x:c r="P46" s="2" t="str">
        <x:v>通过记录模型版本快照缓解</x:v>
      </x:c>
      <x:c r="Q46" s="2" t="str">
        <x:v>Implemented</x:v>
      </x:c>
      <x:c r="R46" s="2" t="str">
        <x:v>model evolution</x:v>
      </x:c>
      <x:c r="S46" s="2" t="str">
        <x:v>Internal validity threat</x:v>
      </x:c>
      <x:c r="T46" s="2" t="str">
        <x:v>Model reliability</x:v>
      </x:c>
      <x:c r="U46" s="6" t="str">
        <x:v>p. 10; section 6.5</x:v>
      </x:c>
      <x:c r="V46" s="6" t="str">
        <x:v>The unpredictability in model evolution can lead to inconsistencies in results</x:v>
      </x:c>
      <x:c r="W46" s="6" t="str">
        <x:v>模型版本更新可能导致不可预测的结果变化，但论文通过记录版本信息部分缓解了该威胁。</x:v>
      </x:c>
      <x:c r="X46" s="2" t="str">
        <x:v>Accepted</x:v>
      </x:c>
      <x:c r="Y46" s="6" t="str">
        <x:v>NA</x:v>
      </x:c>
      <x:c r="Z46" s="2" t="n">
        <x:v>2</x:v>
      </x:c>
      <x:c r="AA46" s="2" t="n">
        <x:v>3</x:v>
      </x:c>
    </x:row>
    <x:row r="47" ht="76" customHeight="1">
      <x:c r="A47" s="2" t="str">
        <x:v>S07-LIMIT-R03</x:v>
      </x:c>
      <x:c r="B47" s="2" t="str">
        <x:v>S07</x:v>
      </x:c>
      <x:c r="C47" s="2" t="str">
        <x:v>merged_0110</x:v>
      </x:c>
      <x:c r="D47" s="2" t="str">
        <x:v>Reviewer_A</x:v>
      </x:c>
      <x:c r="E47" s="2" t="str">
        <x:v>Reviewer_A</x:v>
      </x:c>
      <x:c r="F47" s="2" t="str">
        <x:v>S07-L03</x:v>
      </x:c>
      <x:c r="G47" s="6" t="str">
        <x:v>SR</x:v>
      </x:c>
      <x:c r="H47" s="2" t="str">
        <x:v>Authors</x:v>
      </x:c>
      <x:c r="I47" s="6" t="str">
        <x:v>计算资源有限限制了评估模型的数量</x:v>
      </x:c>
      <x:c r="J47" s="2" t="str">
        <x:v>Empirical</x:v>
      </x:c>
      <x:c r="K47" s="2" t="str">
        <x:v>S08-T01</x:v>
      </x:c>
      <x:c r="L47" s="2" t="str">
        <x:v>Multiple</x:v>
      </x:c>
      <x:c r="M47" s="2" t="str">
        <x:v>模型选择的广度</x:v>
      </x:c>
      <x:c r="N47" s="2" t="str">
        <x:v>可能未能涵盖所有可用的非专有模型，引入选择偏差</x:v>
      </x:c>
      <x:c r="O47" s="6" t="str">
        <x:v>Although limited computing resources from C3SE constrained the number of models we could evaluate</x:v>
      </x:c>
      <x:c r="P47" s="2" t="str">
        <x:v>选择了五个具有代表性的模型，并与OpenAI模型表现可比</x:v>
      </x:c>
      <x:c r="Q47" s="2" t="str">
        <x:v>Implemented</x:v>
      </x:c>
      <x:c r="R47" s="2" t="str">
        <x:v>computing resource limitation</x:v>
      </x:c>
      <x:c r="S47" s="2" t="str">
        <x:v>Construct validity threat</x:v>
      </x:c>
      <x:c r="T47" s="2" t="str">
        <x:v>Scalability and deployment</x:v>
      </x:c>
      <x:c r="U47" s="6" t="str">
        <x:v>p. 10; section 6.5</x:v>
      </x:c>
      <x:c r="V47" s="6" t="str">
        <x:v>Although limited computing resources from C3SE constrained the number of models we could evaluate</x:v>
      </x:c>
      <x:c r="W47" s="6" t="str">
        <x:v>由于计算资源限制，仅评估了五个模型，但通过选择具有代表性的模型缓解。</x:v>
      </x:c>
      <x:c r="X47" s="2" t="str">
        <x:v>Accepted</x:v>
      </x:c>
      <x:c r="Y47" s="6" t="str">
        <x:v>NA</x:v>
      </x:c>
      <x:c r="Z47" s="2" t="n">
        <x:v>3</x:v>
      </x:c>
      <x:c r="AA47" s="2" t="n">
        <x:v>3</x:v>
      </x:c>
    </x:row>
    <x:row r="48" ht="76" customHeight="1">
      <x:c r="A48" s="2" t="str">
        <x:v>S07-LIMIT-R04</x:v>
      </x:c>
      <x:c r="B48" s="2" t="str">
        <x:v>S07</x:v>
      </x:c>
      <x:c r="C48" s="2" t="str">
        <x:v>merged_0110</x:v>
      </x:c>
      <x:c r="D48" s="2" t="str">
        <x:v>Reviewer_A</x:v>
      </x:c>
      <x:c r="E48" s="2" t="str">
        <x:v>Reviewer_A</x:v>
      </x:c>
      <x:c r="F48" s="2" t="str">
        <x:v>S07-L04</x:v>
      </x:c>
      <x:c r="G48" s="6" t="str">
        <x:v>SR</x:v>
      </x:c>
      <x:c r="H48" s="2" t="str">
        <x:v>Authors</x:v>
      </x:c>
      <x:c r="I48" s="6" t="str">
        <x:v>非专有LLM的选择偏差</x:v>
      </x:c>
      <x:c r="J48" s="2" t="str">
        <x:v>Speculative</x:v>
      </x:c>
      <x:c r="K48" s="2" t="str">
        <x:v>S08-T01</x:v>
      </x:c>
      <x:c r="L48" s="2" t="str">
        <x:v>Multiple</x:v>
      </x:c>
      <x:c r="M48" s="2" t="str">
        <x:v>非专有模型的代表性</x:v>
      </x:c>
      <x:c r="N48" s="2" t="str">
        <x:v>结论可能无法推广至其他未评估的非专有模型</x:v>
      </x:c>
      <x:c r="O48" s="6" t="str">
        <x:v>Another concern is selection bias; the non-proprietary LLMs chosen (Mistral 7B, Mixtral 8x7B, and LLAMA 3 70B) may not represent all non-proprietary models available.</x:v>
      </x:c>
      <x:c r="P48" s="2" t="str">
        <x:v>选择了在多基准测试中与OpenAI模型表现相当的LLM</x:v>
      </x:c>
      <x:c r="Q48" s="2" t="str">
        <x:v>Implemented</x:v>
      </x:c>
      <x:c r="R48" s="2" t="str">
        <x:v>selection bias</x:v>
      </x:c>
      <x:c r="S48" s="2" t="str">
        <x:v>External validity threat</x:v>
      </x:c>
      <x:c r="T48" s="2" t="str">
        <x:v>Generalizability and scope</x:v>
      </x:c>
      <x:c r="U48" s="6" t="str">
        <x:v>p. 10; section 6.5</x:v>
      </x:c>
      <x:c r="V48" s="6" t="str">
        <x:v>Another concern is selection bias; the non-proprietary LLMs chosen (Mistral 7B, Mixtral 8x7B, and LLAMA 3 70B) may not represent all non-proprietary models available.</x:v>
      </x:c>
      <x:c r="W48" s="6" t="str">
        <x:v>非专有模型存在选择偏差，但论文通过选择基准表现好的模型来缓解。</x:v>
      </x:c>
      <x:c r="X48" s="2" t="str">
        <x:v>Accepted</x:v>
      </x:c>
      <x:c r="Y48" s="6" t="str">
        <x:v>NA</x:v>
      </x:c>
      <x:c r="Z48" s="2" t="n">
        <x:v>2</x:v>
      </x:c>
      <x:c r="AA48" s="2" t="n">
        <x:v>3</x:v>
      </x:c>
    </x:row>
    <x:row r="49" ht="76" customHeight="1">
      <x:c r="A49" s="2" t="str">
        <x:v>S07-LIMIT-R05</x:v>
      </x:c>
      <x:c r="B49" s="2" t="str">
        <x:v>S07</x:v>
      </x:c>
      <x:c r="C49" s="2" t="str">
        <x:v>merged_0110</x:v>
      </x:c>
      <x:c r="D49" s="2" t="str">
        <x:v>Reviewer_A</x:v>
      </x:c>
      <x:c r="E49" s="2" t="str">
        <x:v>Reviewer_A</x:v>
      </x:c>
      <x:c r="F49" s="2" t="str">
        <x:v>S07-L05</x:v>
      </x:c>
      <x:c r="G49" s="6" t="str">
        <x:v>SR</x:v>
      </x:c>
      <x:c r="H49" s="2" t="str">
        <x:v>Authors</x:v>
      </x:c>
      <x:c r="I49" s="6" t="str">
        <x:v>样本量较小且不均</x:v>
      </x:c>
      <x:c r="J49" s="2" t="str">
        <x:v>Empirical</x:v>
      </x:c>
      <x:c r="K49" s="2" t="str">
        <x:v>S08-T01</x:v>
      </x:c>
      <x:c r="L49" s="2" t="str">
        <x:v>Multiple</x:v>
      </x:c>
      <x:c r="M49" s="2" t="str">
        <x:v>实验B的统计功效</x:v>
      </x:c>
      <x:c r="N49" s="2" t="str">
        <x:v>可能影响统计检验的可靠性</x:v>
      </x:c>
      <x:c r="O49" s="6" t="str">
        <x:v>the samples from the execution of different prompts vary in size and are relatively small.</x:v>
      </x:c>
      <x:c r="P49" s="2" t="str">
        <x:v>No</x:v>
      </x:c>
      <x:c r="Q49" s="2" t="str">
        <x:v>Not proposed</x:v>
      </x:c>
      <x:c r="R49" s="2" t="str">
        <x:v>small sample size</x:v>
      </x:c>
      <x:c r="S49" s="2" t="str">
        <x:v>Conclusion validity threat</x:v>
      </x:c>
      <x:c r="T49" s="2" t="str">
        <x:v>Data and evidence quality</x:v>
      </x:c>
      <x:c r="U49" s="6" t="str">
        <x:v>p. 10; section 6.5</x:v>
      </x:c>
      <x:c r="V49" s="6" t="str">
        <x:v>Due to computing limitations, the samples from the execution of different prompts vary in size and are relatively small.</x:v>
      </x:c>
      <x:c r="W49" s="6" t="str">
        <x:v>样本量较小，但作者观察到标准差较低，认为影响不大。未提出缓解措施。</x:v>
      </x:c>
      <x:c r="X49" s="2" t="str">
        <x:v>Accepted</x:v>
      </x:c>
      <x:c r="Y49" s="6" t="str">
        <x:v>NA</x:v>
      </x:c>
      <x:c r="Z49" s="2" t="n">
        <x:v>3</x:v>
      </x:c>
      <x:c r="AA49" s="2" t="n">
        <x:v>1</x:v>
      </x:c>
    </x:row>
    <x:row r="50" ht="76" customHeight="1">
      <x:c r="A50" s="2" t="str">
        <x:v>S07-LIMIT-R06</x:v>
      </x:c>
      <x:c r="B50" s="2" t="str">
        <x:v>S07</x:v>
      </x:c>
      <x:c r="C50" s="2" t="str">
        <x:v>merged_0110</x:v>
      </x:c>
      <x:c r="D50" s="2" t="str">
        <x:v>Reviewer_A</x:v>
      </x:c>
      <x:c r="E50" s="2" t="str">
        <x:v>Reviewer_A</x:v>
      </x:c>
      <x:c r="F50" s="2" t="str">
        <x:v>S07-L06</x:v>
      </x:c>
      <x:c r="G50" s="6" t="str">
        <x:v>SR</x:v>
      </x:c>
      <x:c r="H50" s="2" t="str">
        <x:v>Authors</x:v>
      </x:c>
      <x:c r="I50" s="6" t="str">
        <x:v>仅基于两个数据集，泛化性受限</x:v>
      </x:c>
      <x:c r="J50" s="2" t="str">
        <x:v>Empirical</x:v>
      </x:c>
      <x:c r="K50" s="2" t="str">
        <x:v>S08-T01</x:v>
      </x:c>
      <x:c r="L50" s="2" t="str">
        <x:v>Multiple</x:v>
      </x:c>
      <x:c r="M50" s="2" t="str">
        <x:v>不同软件项目或领域</x:v>
      </x:c>
      <x:c r="N50" s="2" t="str">
        <x:v>结论可能不适用于其他类型的软件或领域</x:v>
      </x:c>
      <x:c r="O50" s="6" t="str">
        <x:v>Our findings stem from two datasets, which limits the generalization of our studies to different software projects or domains.</x:v>
      </x:c>
      <x:c r="P50" s="2" t="str">
        <x:v>计划在未来用更多模型、提示模板和数据集复制实验</x:v>
      </x:c>
      <x:c r="Q50" s="2" t="str">
        <x:v>Proposed</x:v>
      </x:c>
      <x:c r="R50" s="2" t="str">
        <x:v>limited generalization</x:v>
      </x:c>
      <x:c r="S50" s="2" t="str">
        <x:v>External validity threat</x:v>
      </x:c>
      <x:c r="T50" s="2" t="str">
        <x:v>Generalizability and scope</x:v>
      </x:c>
      <x:c r="U50" s="6" t="str">
        <x:v>p. 10; section 6.5</x:v>
      </x:c>
      <x:c r="V50" s="6" t="str">
        <x:v>Our findings stem from two datasets, which limits the generalization of our studies to different software projects or domains.</x:v>
      </x:c>
      <x:c r="W50" s="6" t="str">
        <x:v>仅用两个数据集进行评估，限制了泛化能力，但作者计划通过未来复制实验来缓解。</x:v>
      </x:c>
      <x:c r="X50" s="2" t="str">
        <x:v>Accepted</x:v>
      </x:c>
      <x:c r="Y50" s="6" t="str">
        <x:v>NA</x:v>
      </x:c>
      <x:c r="Z50" s="2" t="n">
        <x:v>3</x:v>
      </x:c>
      <x:c r="AA50" s="2" t="n">
        <x:v>2</x:v>
      </x:c>
    </x:row>
    <x:row r="51" ht="76" customHeight="1">
      <x:c r="A51" s="2" t="str">
        <x:v>S07-LIMIT-R07</x:v>
      </x:c>
      <x:c r="B51" s="2" t="str">
        <x:v>S07</x:v>
      </x:c>
      <x:c r="C51" s="2" t="str">
        <x:v>merged_0110</x:v>
      </x:c>
      <x:c r="D51" s="2" t="str">
        <x:v>Reviewer_A</x:v>
      </x:c>
      <x:c r="E51" s="2" t="str">
        <x:v>Reviewer_A</x:v>
      </x:c>
      <x:c r="F51" s="2" t="str">
        <x:v>S07-L07</x:v>
      </x:c>
      <x:c r="G51" s="6" t="str">
        <x:v>SR</x:v>
      </x:c>
      <x:c r="H51" s="2" t="str">
        <x:v>Authors</x:v>
      </x:c>
      <x:c r="I51" s="6" t="str">
        <x:v>需求与测试用例的模糊性导致常见错误</x:v>
      </x:c>
      <x:c r="J51" s="2" t="str">
        <x:v>Empirical</x:v>
      </x:c>
      <x:c r="K51" s="2" t="str">
        <x:v>S08-T01</x:v>
      </x:c>
      <x:c r="L51" s="2" t="str">
        <x:v>Multiple</x:v>
      </x:c>
      <x:c r="M51" s="2" t="str">
        <x:v>需求与测试文档质量</x:v>
      </x:c>
      <x:c r="N51" s="2" t="str">
        <x:v>产生错误追溯链接，降低对齐精度</x:v>
      </x:c>
      <x:c r="O51" s="6" t="str">
        <x:v>Common errors in the results often arise from ambiguous requirements and test case specifications.</x:v>
      </x:c>
      <x:c r="P51" s="2" t="str">
        <x:v>建议澄清需求、测试描述并简化ID</x:v>
      </x:c>
      <x:c r="Q51" s="2" t="str">
        <x:v>Proposed</x:v>
      </x:c>
      <x:c r="R51" s="2" t="str">
        <x:v>artifact ambiguity</x:v>
      </x:c>
      <x:c r="S51" s="2" t="str">
        <x:v>Data quality limitation</x:v>
      </x:c>
      <x:c r="T51" s="2" t="str">
        <x:v>Data and evidence quality</x:v>
      </x:c>
      <x:c r="U51" s="6" t="str">
        <x:v>p. 9; section 6.2</x:v>
      </x:c>
      <x:c r="V51" s="6" t="str">
        <x:v>Common errors in the results often arise from ambiguous requirements and test case specifications.</x:v>
      </x:c>
      <x:c r="W51" s="6" t="str">
        <x:v>需求与测试用例的模糊性是导致错误的重要原因，作者建议提高文档质量。</x:v>
      </x:c>
      <x:c r="X51" s="2" t="str">
        <x:v>Accepted</x:v>
      </x:c>
      <x:c r="Y51" s="6" t="str">
        <x:v>NA</x:v>
      </x:c>
      <x:c r="Z51" s="2" t="n">
        <x:v>3</x:v>
      </x:c>
      <x:c r="AA51" s="2" t="n">
        <x:v>2</x:v>
      </x:c>
    </x:row>
    <x:row r="52" ht="76" customHeight="1">
      <x:c r="A52" s="2" t="str">
        <x:v>S08-LIMIT-R01</x:v>
      </x:c>
      <x:c r="B52" s="2" t="str">
        <x:v>S08</x:v>
      </x:c>
      <x:c r="C52" s="2" t="str">
        <x:v>merged_0256</x:v>
      </x:c>
      <x:c r="D52" s="2" t="str">
        <x:v>Reviewer_A</x:v>
      </x:c>
      <x:c r="E52" s="2" t="str">
        <x:v>Reviewer_A</x:v>
      </x:c>
      <x:c r="F52" s="2" t="str">
        <x:v>S08-L01</x:v>
      </x:c>
      <x:c r="G52" s="6" t="str">
        <x:v>SR</x:v>
      </x:c>
      <x:c r="H52" s="2" t="str">
        <x:v>Authors</x:v>
      </x:c>
      <x:c r="I52" s="6" t="str">
        <x:v>内部有效性威胁：研究者偏见。为应对这一威胁，作者使用了多个先前研究中采用的开放数据集中的高层需求到低层需求追溯链接，而非自行创建覆盖率数据集。</x:v>
      </x:c>
      <x:c r="J52" s="2" t="str">
        <x:v>Speculative</x:v>
      </x:c>
      <x:c r="K52" s="2" t="str">
        <x:v>S09-T01</x:v>
      </x:c>
      <x:c r="L52" s="2" t="str">
        <x:v>NA</x:v>
      </x:c>
      <x:c r="M52" s="2" t="str">
        <x:v>数据集构建过程</x:v>
      </x:c>
      <x:c r="N52" s="2" t="str">
        <x:v>若自行创建数据集，研究者的主观判断可能影响覆盖率标注的准确性，从而影响模型评估的可靠性。</x:v>
      </x:c>
      <x:c r="O52" s="6" t="str">
        <x:v>NR</x:v>
      </x:c>
      <x:c r="P52" s="2" t="str">
        <x:v>使用已公开的、经过多次研究验证的追溯链接数据集，而非自行创建。</x:v>
      </x:c>
      <x:c r="Q52" s="2" t="str">
        <x:v>Implemented</x:v>
      </x:c>
      <x:c r="R52" s="2" t="str">
        <x:v>internal validity bias</x:v>
      </x:c>
      <x:c r="S52" s="2" t="str">
        <x:v>threat to validity</x:v>
      </x:c>
      <x:c r="T52" s="2" t="str">
        <x:v>Evaluation and validity</x:v>
      </x:c>
      <x:c r="U52" s="6" t="str">
        <x:v>p. 10; Section 7.1, Internal Validity</x:v>
      </x:c>
      <x:c r="V52" s="6" t="str">
        <x:v>We address researcher bias by utilizing HLR to LLR traces from open-source data sets used in several previous studies rather than creating a coverage data set ourselves.</x:v>
      </x:c>
      <x:c r="W52" s="6" t="str">
        <x:v>作者通过使用现有开放数据集来缓解研究者偏见这一内部有效性威胁。</x:v>
      </x:c>
      <x:c r="X52" s="2" t="str">
        <x:v>Accepted</x:v>
      </x:c>
      <x:c r="Y52" s="6" t="str">
        <x:v>NA</x:v>
      </x:c>
      <x:c r="Z52" s="2" t="n">
        <x:v>2</x:v>
      </x:c>
      <x:c r="AA52" s="2" t="n">
        <x:v>3</x:v>
      </x:c>
    </x:row>
    <x:row r="53" ht="76" customHeight="1">
      <x:c r="A53" s="2" t="str">
        <x:v>S08-LIMIT-R02</x:v>
      </x:c>
      <x:c r="B53" s="2" t="str">
        <x:v>S08</x:v>
      </x:c>
      <x:c r="C53" s="2" t="str">
        <x:v>merged_0256</x:v>
      </x:c>
      <x:c r="D53" s="2" t="str">
        <x:v>Reviewer_A</x:v>
      </x:c>
      <x:c r="E53" s="2" t="str">
        <x:v>Reviewer_A</x:v>
      </x:c>
      <x:c r="F53" s="2" t="str">
        <x:v>S08-L02</x:v>
      </x:c>
      <x:c r="G53" s="6" t="str">
        <x:v>SR</x:v>
      </x:c>
      <x:c r="H53" s="2" t="str">
        <x:v>Authors</x:v>
      </x:c>
      <x:c r="I53" s="6" t="str">
        <x:v>外部有效性威胁：无法完全推广研究结果，原因之一是不清楚GPT模型在训练过程中是否使用了这些公开数据集的信息（数据泄露）。如果GPT训练数据中包含这些数据集，则可能对熟悉领域需求表现更好，但对未知领域需求表现可能下降。作者假设这一风险不影响本研究，因为需求覆盖任务数据稀缺，GPT不太可能学习到下游任务。</x:v>
      </x:c>
      <x:c r="J53" s="2" t="str">
        <x:v>Speculative</x:v>
      </x:c>
      <x:c r="K53" s="2" t="str">
        <x:v>S09-T01</x:v>
      </x:c>
      <x:c r="L53" s="2" t="str">
        <x:v>Multiple</x:v>
      </x:c>
      <x:c r="M53" s="2" t="str">
        <x:v>GPT训练数据可能包含评估数据集，导致对熟悉领域性能偏高，泛化到未知领域存在风险。</x:v>
      </x:c>
      <x:c r="N53" s="2" t="str">
        <x:v>应用相同提示到GPT未知领域的需求时，性能可能下降。</x:v>
      </x:c>
      <x:c r="O53" s="6" t="str">
        <x:v>NR</x:v>
      </x:c>
      <x:c r="P53" s="2" t="str">
        <x:v>未提出具体缓解措施，仅认为需求覆盖任务数据稀缺，影响有限。</x:v>
      </x:c>
      <x:c r="Q53" s="2" t="str">
        <x:v>Not proposed</x:v>
      </x:c>
      <x:c r="R53" s="2" t="str">
        <x:v>external validity data leakage</x:v>
      </x:c>
      <x:c r="S53" s="2" t="str">
        <x:v>threat to validity</x:v>
      </x:c>
      <x:c r="T53" s="2" t="str">
        <x:v>Data and evidence quality</x:v>
      </x:c>
      <x:c r="U53" s="6" t="str">
        <x:v>p. 10; Section 7.1, External Validity</x:v>
      </x:c>
      <x:c r="V53" s="6" t="str">
        <x:v>First, we do not know to what extent publicly available information on these data sets and their content was used in the training of the GPT models.</x:v>
      </x:c>
      <x:c r="W53" s="6" t="str">
        <x:v>由于无法确定GPT训练数据中是否包含评估数据集的信息，可能导致模型在未知领域上泛化性能较差。</x:v>
      </x:c>
      <x:c r="X53" s="2" t="str">
        <x:v>Accepted</x:v>
      </x:c>
      <x:c r="Y53" s="6" t="str">
        <x:v>NA</x:v>
      </x:c>
      <x:c r="Z53" s="2" t="n">
        <x:v>2</x:v>
      </x:c>
      <x:c r="AA53" s="2" t="n">
        <x:v>1</x:v>
      </x:c>
    </x:row>
    <x:row r="54" ht="76" customHeight="1">
      <x:c r="A54" s="2" t="str">
        <x:v>S08-LIMIT-R03</x:v>
      </x:c>
      <x:c r="B54" s="2" t="str">
        <x:v>S08</x:v>
      </x:c>
      <x:c r="C54" s="2" t="str">
        <x:v>merged_0256</x:v>
      </x:c>
      <x:c r="D54" s="2" t="str">
        <x:v>Reviewer_A</x:v>
      </x:c>
      <x:c r="E54" s="2" t="str">
        <x:v>Reviewer_A</x:v>
      </x:c>
      <x:c r="F54" s="2" t="str">
        <x:v>S08-L03</x:v>
      </x:c>
      <x:c r="G54" s="6" t="str">
        <x:v>SR</x:v>
      </x:c>
      <x:c r="H54" s="2" t="str">
        <x:v>Authors</x:v>
      </x:c>
      <x:c r="I54" s="6" t="str">
        <x:v>外部有效性威胁之二：数据集并非直接来自工业安全关键系统，无法确定评估数据集中的需求细化级别及覆盖率粒度是否与工业实践相匹配。工业中的细微粒度区分可能更难以被LLM检测到。</x:v>
      </x:c>
      <x:c r="J54" s="2" t="str">
        <x:v>Speculative</x:v>
      </x:c>
      <x:c r="K54" s="2" t="str">
        <x:v>S09-T01</x:v>
      </x:c>
      <x:c r="L54" s="2" t="str">
        <x:v>Multiple</x:v>
      </x:c>
      <x:c r="M54" s="2" t="str">
        <x:v>评估数据集的粒度可能与工业实际不同。</x:v>
      </x:c>
      <x:c r="N54" s="2" t="str">
        <x:v>LLM在工业环境中检测不完全覆盖的性能可能低于实验中的表现。</x:v>
      </x:c>
      <x:c r="O54" s="6" t="str">
        <x:v>NR</x:v>
      </x:c>
      <x:c r="P54" s="2" t="str">
        <x:v>未提出缓解措施。</x:v>
      </x:c>
      <x:c r="Q54" s="2" t="str">
        <x:v>Not proposed</x:v>
      </x:c>
      <x:c r="R54" s="2" t="str">
        <x:v>external validity granularity</x:v>
      </x:c>
      <x:c r="S54" s="2" t="str">
        <x:v>threat to validity</x:v>
      </x:c>
      <x:c r="T54" s="2" t="str">
        <x:v>Context and prompt dependence</x:v>
      </x:c>
      <x:c r="U54" s="6" t="str">
        <x:v>p. 11; Section 7.1, External Validity</x:v>
      </x:c>
      <x:c r="V54" s="6" t="str">
        <x:v>Second, as the data sets do not directly originate from industrial safety-critical systems, we do not know if the level of requirement refinement (and hence coverage granularity) in our evaluation data set matches those applied in the industry.</x:v>
      </x:c>
      <x:c r="W54" s="6" t="str">
        <x:v>评估数据集可能无法代表工业界的真实需求粒度，因此模型在工业应用中的效果可能不同。</x:v>
      </x:c>
      <x:c r="X54" s="2" t="str">
        <x:v>Accepted</x:v>
      </x:c>
      <x:c r="Y54" s="6" t="str">
        <x:v>NA</x:v>
      </x:c>
      <x:c r="Z54" s="2" t="n">
        <x:v>2</x:v>
      </x:c>
      <x:c r="AA54" s="2" t="n">
        <x:v>1</x:v>
      </x:c>
    </x:row>
    <x:row r="55" ht="76" customHeight="1">
      <x:c r="A55" s="2" t="str">
        <x:v>S08-LIMIT-R04</x:v>
      </x:c>
      <x:c r="B55" s="2" t="str">
        <x:v>S08</x:v>
      </x:c>
      <x:c r="C55" s="2" t="str">
        <x:v>merged_0256</x:v>
      </x:c>
      <x:c r="D55" s="2" t="str">
        <x:v>Reviewer_A</x:v>
      </x:c>
      <x:c r="E55" s="2" t="str">
        <x:v>Reviewer_A</x:v>
      </x:c>
      <x:c r="F55" s="2" t="str">
        <x:v>S08-L04</x:v>
      </x:c>
      <x:c r="G55" s="6" t="str">
        <x:v>SR</x:v>
      </x:c>
      <x:c r="H55" s="2" t="str">
        <x:v>Authors</x:v>
      </x:c>
      <x:c r="I55" s="6" t="str">
        <x:v>构造有效性威胁：无法确定分析的LLR是否足以覆盖对应的HLR。一方面工程师基于隐性背景知识的主观判断可能不同，另一方面数据集并非来自强制进行覆盖率审查的工程环境，覆盖率信息可能不准确。作者假设数据集的收集过程仔细，认为覆盖率信息足够准确。</x:v>
      </x:c>
      <x:c r="J55" s="2" t="str">
        <x:v>Speculative</x:v>
      </x:c>
      <x:c r="K55" s="2" t="str">
        <x:v>S09-T01</x:v>
      </x:c>
      <x:c r="L55" s="2" t="str">
        <x:v>NA</x:v>
      </x:c>
      <x:c r="M55" s="2" t="str">
        <x:v>数据集的覆盖率标签可能存在主观性和不准确性。</x:v>
      </x:c>
      <x:c r="N55" s="2" t="str">
        <x:v>如果覆盖率标签存在错误，则模型的性能评估可能不准确。</x:v>
      </x:c>
      <x:c r="O55" s="6" t="str">
        <x:v>NR</x:v>
      </x:c>
      <x:c r="P55" s="2" t="str">
        <x:v>未进行实际验证，仅依赖数据集来源的声明。</x:v>
      </x:c>
      <x:c r="Q55" s="2" t="str">
        <x:v>Not proposed</x:v>
      </x:c>
      <x:c r="R55" s="2" t="str">
        <x:v>construct validity ground truth</x:v>
      </x:c>
      <x:c r="S55" s="2" t="str">
        <x:v>threat to validity</x:v>
      </x:c>
      <x:c r="T55" s="2" t="str">
        <x:v>Data and evidence quality</x:v>
      </x:c>
      <x:c r="U55" s="6" t="str">
        <x:v>p. 11; Section 7.1, Construct Validity</x:v>
      </x:c>
      <x:c r="V55" s="6" t="str">
        <x:v>We cannot be sure that the analyzed LLRs are sufficient to cover their respective HLRs as, on the one hand, this might be subjective to the engineers implementing the system based on their tacit background knowledge, and they may interpret coverage differently. On the other hand, the coverage information might be inaccurate as the data sets were not directly from engineering environments that mandated coverage reviews.</x:v>
      </x:c>
      <x:c r="W55" s="6" t="str">
        <x:v>评估数据集的覆盖率标签可能存在主观性和不准确性，这会影响模型评估的可靠性。</x:v>
      </x:c>
      <x:c r="X55" s="2" t="str">
        <x:v>Accepted</x:v>
      </x:c>
      <x:c r="Y55" s="6" t="str">
        <x:v>NA</x:v>
      </x:c>
      <x:c r="Z55" s="2" t="n">
        <x:v>2</x:v>
      </x:c>
      <x:c r="AA55" s="2" t="n">
        <x:v>1</x:v>
      </x:c>
    </x:row>
    <x:row r="56" ht="76" customHeight="1">
      <x:c r="A56" s="2" t="str">
        <x:v>S09-LIMIT-R01</x:v>
      </x:c>
      <x:c r="B56" s="2" t="str">
        <x:v>S09</x:v>
      </x:c>
      <x:c r="C56" s="2" t="str">
        <x:v>merged_1114-v1</x:v>
      </x:c>
      <x:c r="D56" s="2" t="str">
        <x:v>Reviewer_A</x:v>
      </x:c>
      <x:c r="E56" s="2" t="str">
        <x:v>Reviewer_A</x:v>
      </x:c>
      <x:c r="F56" s="2" t="str">
        <x:v>S09-L01</x:v>
      </x:c>
      <x:c r="G56" s="6" t="str">
        <x:v>SR</x:v>
      </x:c>
      <x:c r="H56" s="2" t="str">
        <x:v>Authors</x:v>
      </x:c>
      <x:c r="I56" s="6" t="str">
        <x:v>评估仅限于汽车系统（6个子系统的535个工件）以及安全关键法规环境。</x:v>
      </x:c>
      <x:c r="J56" s="2" t="str">
        <x:v>Empirical</x:v>
      </x:c>
      <x:c r="K56" s="2" t="str">
        <x:v>Multiple</x:v>
      </x:c>
      <x:c r="L56" s="2" t="str">
        <x:v>S10-MU01</x:v>
      </x:c>
      <x:c r="M56" s="2" t="str">
        <x:v>汽车安全关键领域</x:v>
      </x:c>
      <x:c r="N56" s="2" t="str">
        <x:v>泛化到更大代码库的能力未知</x:v>
      </x:c>
      <x:c r="O56" s="6" t="str">
        <x:v>原文指出“泛化到更大代码库以及缺乏真实标签领域的置信度校准引导问题仍待解决”</x:v>
      </x:c>
      <x:c r="P56" s="2" t="str">
        <x:v>No</x:v>
      </x:c>
      <x:c r="Q56" s="2" t="str">
        <x:v>Not proposed</x:v>
      </x:c>
      <x:c r="R56" s="2" t="str">
        <x:v>NR</x:v>
      </x:c>
      <x:c r="S56" s="2" t="str">
        <x:v>NR</x:v>
      </x:c>
      <x:c r="T56" s="2" t="str">
        <x:v>Generalizability and scope</x:v>
      </x:c>
      <x:c r="U56" s="6" t="str">
        <x:v>p. 7; Conclusion</x:v>
      </x:c>
      <x:c r="V56" s="6" t="str">
        <x:v>At the same time, the evaluation is limited to automotive systems (535 artifacts across 6 subsystems) within safetycritical regulatory contexts, and generalization to larger codebases as well as the bootstrap problem of confidence calibration in domains lacking ground truth remain open. The</x:v>
      </x:c>
      <x:c r="W56" s="6" t="str">
        <x:v>实验仅在汽车领域数据集上进行，限制了结论向其他领域和更大规模代码库的泛化性。</x:v>
      </x:c>
      <x:c r="X56" s="2" t="str">
        <x:v>Accepted</x:v>
      </x:c>
      <x:c r="Y56" s="6" t="str">
        <x:v>NA</x:v>
      </x:c>
      <x:c r="Z56" s="2" t="n">
        <x:v>3</x:v>
      </x:c>
      <x:c r="AA56" s="2" t="n">
        <x:v>1</x:v>
      </x:c>
    </x:row>
    <x:row r="57" ht="76" customHeight="1">
      <x:c r="A57" s="2" t="str">
        <x:v>S09-LIMIT-R02</x:v>
      </x:c>
      <x:c r="B57" s="2" t="str">
        <x:v>S09</x:v>
      </x:c>
      <x:c r="C57" s="2" t="str">
        <x:v>merged_1114-v1</x:v>
      </x:c>
      <x:c r="D57" s="2" t="str">
        <x:v>Reviewer_A</x:v>
      </x:c>
      <x:c r="E57" s="2" t="str">
        <x:v>Reviewer_A</x:v>
      </x:c>
      <x:c r="F57" s="2" t="str">
        <x:v>S09-L02</x:v>
      </x:c>
      <x:c r="G57" s="6" t="str">
        <x:v>SR</x:v>
      </x:c>
      <x:c r="H57" s="2" t="str">
        <x:v>Authors</x:v>
      </x:c>
      <x:c r="I57" s="6" t="str">
        <x:v>泛化到更大代码库的问题仍未解决。</x:v>
      </x:c>
      <x:c r="J57" s="2" t="str">
        <x:v>Empirical</x:v>
      </x:c>
      <x:c r="K57" s="2" t="str">
        <x:v>Multiple</x:v>
      </x:c>
      <x:c r="L57" s="2" t="str">
        <x:v>S10-MU01</x:v>
      </x:c>
      <x:c r="M57" s="2" t="str">
        <x:v>更大规模的代码库</x:v>
      </x:c>
      <x:c r="N57" s="2" t="str">
        <x:v>当前方法在更大规模代码库上的有效性未知</x:v>
      </x:c>
      <x:c r="O57" s="6" t="str">
        <x:v>原文指出“remains open”</x:v>
      </x:c>
      <x:c r="P57" s="2" t="str">
        <x:v>No</x:v>
      </x:c>
      <x:c r="Q57" s="2" t="str">
        <x:v>Not proposed</x:v>
      </x:c>
      <x:c r="R57" s="2" t="str">
        <x:v>NR</x:v>
      </x:c>
      <x:c r="S57" s="2" t="str">
        <x:v>NR</x:v>
      </x:c>
      <x:c r="T57" s="2" t="str">
        <x:v>Scalability and deployment</x:v>
      </x:c>
      <x:c r="U57" s="6" t="str">
        <x:v>p. 7; Conclusion</x:v>
      </x:c>
      <x:c r="V57" s="6" t="str">
        <x:v>generalization to larger codebases as well as the bootstrap problem of confidence calibration in domains lacking ground truth remain open</x:v>
      </x:c>
      <x:c r="W57" s="6" t="str">
        <x:v>论文承认方法在更大规模代码库上的性能未知，未进行实验验证。</x:v>
      </x:c>
      <x:c r="X57" s="2" t="str">
        <x:v>Accepted</x:v>
      </x:c>
      <x:c r="Y57" s="6" t="str">
        <x:v>NA</x:v>
      </x:c>
      <x:c r="Z57" s="2" t="n">
        <x:v>3</x:v>
      </x:c>
      <x:c r="AA57" s="2" t="n">
        <x:v>1</x:v>
      </x:c>
    </x:row>
    <x:row r="58" ht="76" customHeight="1">
      <x:c r="A58" s="2" t="str">
        <x:v>S09-LIMIT-R03</x:v>
      </x:c>
      <x:c r="B58" s="2" t="str">
        <x:v>S09</x:v>
      </x:c>
      <x:c r="C58" s="2" t="str">
        <x:v>merged_1114-v1</x:v>
      </x:c>
      <x:c r="D58" s="2" t="str">
        <x:v>Reviewer_A</x:v>
      </x:c>
      <x:c r="E58" s="2" t="str">
        <x:v>Reviewer_A</x:v>
      </x:c>
      <x:c r="F58" s="2" t="str">
        <x:v>S09-L03</x:v>
      </x:c>
      <x:c r="G58" s="6" t="str">
        <x:v>SR</x:v>
      </x:c>
      <x:c r="H58" s="2" t="str">
        <x:v>Authors</x:v>
      </x:c>
      <x:c r="I58" s="6" t="str">
        <x:v>在缺乏真实标签的领域中，置信度校准的引导问题仍未解决。</x:v>
      </x:c>
      <x:c r="J58" s="2" t="str">
        <x:v>Empirical</x:v>
      </x:c>
      <x:c r="K58" s="2" t="str">
        <x:v>S10-T01; S10-T02</x:v>
      </x:c>
      <x:c r="L58" s="2" t="str">
        <x:v>S10-MU01</x:v>
      </x:c>
      <x:c r="M58" s="2" t="str">
        <x:v>缺乏真实标签的新领域</x:v>
      </x:c>
      <x:c r="N58" s="2" t="str">
        <x:v>无法在没有基准真值的情况下有效进行置信度校准</x:v>
      </x:c>
      <x:c r="O58" s="6" t="str">
        <x:v>原文指出“remains open”</x:v>
      </x:c>
      <x:c r="P58" s="2" t="str">
        <x:v>No</x:v>
      </x:c>
      <x:c r="Q58" s="2" t="str">
        <x:v>Not proposed</x:v>
      </x:c>
      <x:c r="R58" s="2" t="str">
        <x:v>NR</x:v>
      </x:c>
      <x:c r="S58" s="2" t="str">
        <x:v>NR</x:v>
      </x:c>
      <x:c r="T58" s="2" t="str">
        <x:v>Data and evidence quality</x:v>
      </x:c>
      <x:c r="U58" s="6" t="str">
        <x:v>p. 7; Conclusion</x:v>
      </x:c>
      <x:c r="V58" s="6" t="str">
        <x:v>the bootstrap problem of confidence calibration in domains lacking ground truth remain open</x:v>
      </x:c>
      <x:c r="W58" s="6" t="str">
        <x:v>依赖真实标签进行校准，新领域无标签时无法启动，限制了方法的领域适应性。</x:v>
      </x:c>
      <x:c r="X58" s="2" t="str">
        <x:v>Accepted</x:v>
      </x:c>
      <x:c r="Y58" s="6" t="str">
        <x:v>NA</x:v>
      </x:c>
      <x:c r="Z58" s="2" t="n">
        <x:v>3</x:v>
      </x:c>
      <x:c r="AA58" s="2" t="n">
        <x:v>1</x:v>
      </x:c>
    </x:row>
    <x:row r="59" ht="76" customHeight="1">
      <x:c r="A59" s="2" t="str">
        <x:v>S09-LIMIT-R04</x:v>
      </x:c>
      <x:c r="B59" s="2" t="str">
        <x:v>S09</x:v>
      </x:c>
      <x:c r="C59" s="2" t="str">
        <x:v>merged_1114-v1</x:v>
      </x:c>
      <x:c r="D59" s="2" t="str">
        <x:v>Reviewer_A</x:v>
      </x:c>
      <x:c r="E59" s="2" t="str">
        <x:v>Reviewer_A</x:v>
      </x:c>
      <x:c r="F59" s="2" t="str">
        <x:v>S09-L04</x:v>
      </x:c>
      <x:c r="G59" s="6" t="str">
        <x:v>SR</x:v>
      </x:c>
      <x:c r="H59" s="2" t="str">
        <x:v>Authors</x:v>
      </x:c>
      <x:c r="I59" s="6" t="str">
        <x:v>领域专家参数δ被手动设定，未进行经验调优。</x:v>
      </x:c>
      <x:c r="J59" s="2" t="str">
        <x:v>Empirical</x:v>
      </x:c>
      <x:c r="K59" s="2" t="str">
        <x:v>S10-T02</x:v>
      </x:c>
      <x:c r="L59" s="2" t="str">
        <x:v>S10-MU01</x:v>
      </x:c>
      <x:c r="M59" s="2" t="str">
        <x:v>冲突检测中的置信度分歧阈值</x:v>
      </x:c>
      <x:c r="N59" s="2" t="str">
        <x:v>参数选择可能非最优，且保留了人工权威，可能引入主观性。</x:v>
      </x:c>
      <x:c r="O59" s="6" t="str">
        <x:v>原文指出“manually set rather than empirically tuned”</x:v>
      </x:c>
      <x:c r="P59" s="2" t="str">
        <x:v>No</x:v>
      </x:c>
      <x:c r="Q59" s="2" t="str">
        <x:v>Not proposed</x:v>
      </x:c>
      <x:c r="R59" s="2" t="str">
        <x:v>NR</x:v>
      </x:c>
      <x:c r="S59" s="2" t="str">
        <x:v>NR</x:v>
      </x:c>
      <x:c r="T59" s="2" t="str">
        <x:v>Context and prompt dependence</x:v>
      </x:c>
      <x:c r="U59" s="6" t="str">
        <x:v>p. 8; Conclusion</x:v>
      </x:c>
      <x:c r="V59" s="6" t="str">
        <x:v>domain-expert parameter δ is manually set rather than empirically tuned, reflecting a deliberate preservation of human</x:v>
      </x:c>
      <x:c r="W59" s="6" t="str">
        <x:v>δ参数的设定依赖专家知识，未通过数据驱动优化，可能影响冲突检测的泛化性和客观性。</x:v>
      </x:c>
      <x:c r="X59" s="2" t="str">
        <x:v>Accepted</x:v>
      </x:c>
      <x:c r="Y59" s="6" t="str">
        <x:v>NA</x:v>
      </x:c>
      <x:c r="Z59" s="2" t="n">
        <x:v>3</x:v>
      </x:c>
      <x:c r="AA59" s="2" t="n">
        <x:v>1</x:v>
      </x:c>
    </x:row>
    <x:row r="60" ht="76" customHeight="1">
      <x:c r="A60" s="2" t="str">
        <x:v>S10-LIMIT-R01</x:v>
      </x:c>
      <x:c r="B60" s="2" t="str">
        <x:v>S10</x:v>
      </x:c>
      <x:c r="C60" s="2" t="str">
        <x:v>merged_1119-v2</x:v>
      </x:c>
      <x:c r="D60" s="2" t="str">
        <x:v>Reviewer_A</x:v>
      </x:c>
      <x:c r="E60" s="2" t="str">
        <x:v>Reviewer_A</x:v>
      </x:c>
      <x:c r="F60" s="2" t="str">
        <x:v>S10-L01</x:v>
      </x:c>
      <x:c r="G60" s="6" t="str">
        <x:v>SR</x:v>
      </x:c>
      <x:c r="H60" s="2" t="str">
        <x:v>Authors</x:v>
      </x:c>
      <x:c r="I60" s="6" t="str">
        <x:v>研究结果可能不适用于其他类型的软件系统，因为研究问题仅基于从开源软件仓库收集的项目回答。</x:v>
      </x:c>
      <x:c r="J60" s="2" t="str">
        <x:v>Empirical</x:v>
      </x:c>
      <x:c r="K60" s="2" t="str">
        <x:v>S11-T01</x:v>
      </x:c>
      <x:c r="L60" s="2" t="str">
        <x:v>Multiple</x:v>
      </x:c>
      <x:c r="M60" s="2" t="str">
        <x:v>数据集仅包括使用 Jira 的开源项目</x:v>
      </x:c>
      <x:c r="N60" s="2" t="str">
        <x:v>结果的普遍性可能受限</x:v>
      </x:c>
      <x:c r="O60" s="6" t="str">
        <x:v>may limit the applicability of our results</x:v>
      </x:c>
      <x:c r="P60" s="2" t="str">
        <x:v>使用来自真实世界、广泛使用的项目，并应用严格的筛选标准。</x:v>
      </x:c>
      <x:c r="Q60" s="2" t="str">
        <x:v>Implemented</x:v>
      </x:c>
      <x:c r="R60" s="2" t="str">
        <x:v>generalizability</x:v>
      </x:c>
      <x:c r="S60" s="2" t="str">
        <x:v>external_validity</x:v>
      </x:c>
      <x:c r="T60" s="2" t="str">
        <x:v>Generalizability and scope</x:v>
      </x:c>
      <x:c r="U60" s="6" t="str">
        <x:v>p. 10; section 8 Threats to Validity (External Validity)</x:v>
      </x:c>
      <x:c r="V60" s="6" t="str">
        <x:v>our research questions are answered using projects collected from open-source software repositories, which may limit the applicability of our results to other types of software systems.</x:v>
      </x:c>
      <x:c r="W60" s="6" t="str">
        <x:v>研究基于开源Jira项目，结论可能无法泛化到私有或使用其他工单系统的项目。</x:v>
      </x:c>
      <x:c r="X60" s="2" t="str">
        <x:v>Accepted</x:v>
      </x:c>
      <x:c r="Y60" s="6" t="str">
        <x:v>NR</x:v>
      </x:c>
      <x:c r="Z60" s="2" t="n">
        <x:v>3</x:v>
      </x:c>
      <x:c r="AA60" s="2" t="n">
        <x:v>3</x:v>
      </x:c>
    </x:row>
    <x:row r="61" ht="76" customHeight="1">
      <x:c r="A61" s="2" t="str">
        <x:v>S10-LIMIT-R02</x:v>
      </x:c>
      <x:c r="B61" s="2" t="str">
        <x:v>S10</x:v>
      </x:c>
      <x:c r="C61" s="2" t="str">
        <x:v>merged_1119-v2</x:v>
      </x:c>
      <x:c r="D61" s="2" t="str">
        <x:v>Reviewer_A</x:v>
      </x:c>
      <x:c r="E61" s="2" t="str">
        <x:v>Reviewer_A</x:v>
      </x:c>
      <x:c r="F61" s="2" t="str">
        <x:v>S10-L02</x:v>
      </x:c>
      <x:c r="G61" s="6" t="str">
        <x:v>SR</x:v>
      </x:c>
      <x:c r="H61" s="2" t="str">
        <x:v>Authors</x:v>
      </x:c>
      <x:c r="I61" s="6" t="str">
        <x:v>由于使用了启发式方法构建链接，无法保证数据集中不包含无效链接。</x:v>
      </x:c>
      <x:c r="J61" s="2" t="str">
        <x:v>Empirical</x:v>
      </x:c>
      <x:c r="K61" s="2" t="str">
        <x:v>S11-T01</x:v>
      </x:c>
      <x:c r="L61" s="2" t="str">
        <x:v>Multiple</x:v>
      </x:c>
      <x:c r="M61" s="2" t="str">
        <x:v>数据集构建过程</x:v>
      </x:c>
      <x:c r="N61" s="2" t="str">
        <x:v>可能影响评估的可靠性</x:v>
      </x:c>
      <x:c r="O61" s="6" t="str">
        <x:v>While we cannot guarantee that our dataset does not contain invalid links</x:v>
      </x:c>
      <x:c r="P61" s="2" t="str">
        <x:v>对样本进行人工验证，并计算 Cohen's kappa (0.93)。</x:v>
      </x:c>
      <x:c r="Q61" s="2" t="str">
        <x:v>Evaluated</x:v>
      </x:c>
      <x:c r="R61" s="2" t="str">
        <x:v>data_quality</x:v>
      </x:c>
      <x:c r="S61" s="2" t="str">
        <x:v>internal_validity</x:v>
      </x:c>
      <x:c r="T61" s="2" t="str">
        <x:v>Data and evidence quality</x:v>
      </x:c>
      <x:c r="U61" s="6" t="str">
        <x:v>p. 10; section 8 Threats to Validity (Internal Validity)</x:v>
      </x:c>
      <x:c r="V61" s="6" t="str">
        <x:v>While we cannot guarantee that our dataset does not contain invalid links, we would like to emphasize that we took great care to establish the issue-commit link.</x:v>
      </x:c>
      <x:c r="W61" s="6" t="str">
        <x:v>启发式链接方式可能产生噪声标签，但经过人工校验缓解。</x:v>
      </x:c>
      <x:c r="X61" s="2" t="str">
        <x:v>Accepted</x:v>
      </x:c>
      <x:c r="Y61" s="6" t="str">
        <x:v>NR</x:v>
      </x:c>
      <x:c r="Z61" s="2" t="n">
        <x:v>3</x:v>
      </x:c>
      <x:c r="AA61" s="2" t="n">
        <x:v>4</x:v>
      </x:c>
    </x:row>
    <x:row r="62" ht="76" customHeight="1">
      <x:c r="A62" s="2" t="str">
        <x:v>S10-LIMIT-R03</x:v>
      </x:c>
      <x:c r="B62" s="2" t="str">
        <x:v>S10</x:v>
      </x:c>
      <x:c r="C62" s="2" t="str">
        <x:v>merged_1119-v2</x:v>
      </x:c>
      <x:c r="D62" s="2" t="str">
        <x:v>Reviewer_A</x:v>
      </x:c>
      <x:c r="E62" s="2" t="str">
        <x:v>Reviewer_A</x:v>
      </x:c>
      <x:c r="F62" s="2" t="str">
        <x:v>S10-L03</x:v>
      </x:c>
      <x:c r="G62" s="6" t="str">
        <x:v>SR</x:v>
      </x:c>
      <x:c r="H62" s="2" t="str">
        <x:v>Authors</x:v>
      </x:c>
      <x:c r="I62" s="6" t="str">
        <x:v>数据集存在严重的类别不平衡，正样本（真实链接）远少于负样本。</x:v>
      </x:c>
      <x:c r="J62" s="2" t="str">
        <x:v>Empirical</x:v>
      </x:c>
      <x:c r="K62" s="2" t="str">
        <x:v>S11-T01</x:v>
      </x:c>
      <x:c r="L62" s="2" t="str">
        <x:v>Multiple</x:v>
      </x:c>
      <x:c r="M62" s="2" t="str">
        <x:v>重排序模型的训练数据</x:v>
      </x:c>
      <x:c r="N62" s="2" t="str">
        <x:v>可能导致模型偏向多数类</x:v>
      </x:c>
      <x:c r="O62" s="6" t="str">
        <x:v>Our dataset is highly imbalanced</x:v>
      </x:c>
      <x:c r="P62" s="2" t="str">
        <x:v>采用欠采样，为每个训练议题选择排名前10的负样本。</x:v>
      </x:c>
      <x:c r="Q62" s="2" t="str">
        <x:v>Implemented</x:v>
      </x:c>
      <x:c r="R62" s="2" t="str">
        <x:v>class_imbalance</x:v>
      </x:c>
      <x:c r="S62" s="2" t="str">
        <x:v>internal_validity</x:v>
      </x:c>
      <x:c r="T62" s="2" t="str">
        <x:v>Data and evidence quality</x:v>
      </x:c>
      <x:c r="U62" s="6" t="str">
        <x:v>p. 10; section 8 Threats to Validity (Internal Validity)</x:v>
      </x:c>
      <x:c r="V62" s="6" t="str">
        <x:v>Our dataset is highly imbalanced (i.e., the number of false links is significantly greater than the number of true links).</x:v>
      </x:c>
      <x:c r="W62" s="6" t="str">
        <x:v>极度不平衡的数据可能影响模型学习，已通过欠采样缓解。</x:v>
      </x:c>
      <x:c r="X62" s="2" t="str">
        <x:v>Accepted</x:v>
      </x:c>
      <x:c r="Y62" s="6" t="str">
        <x:v>NR</x:v>
      </x:c>
      <x:c r="Z62" s="2" t="n">
        <x:v>3</x:v>
      </x:c>
      <x:c r="AA62" s="2" t="n">
        <x:v>3</x:v>
      </x:c>
    </x:row>
    <x:row r="63" ht="76" customHeight="1">
      <x:c r="A63" s="2" t="str">
        <x:v>S11-LIMIT-R01</x:v>
      </x:c>
      <x:c r="B63" s="2" t="str">
        <x:v>S11</x:v>
      </x:c>
      <x:c r="C63" s="2" t="str">
        <x:v>merged_1121-v1</x:v>
      </x:c>
      <x:c r="D63" s="2" t="str">
        <x:v>Reviewer_A</x:v>
      </x:c>
      <x:c r="E63" s="2" t="str">
        <x:v>Reviewer_A</x:v>
      </x:c>
      <x:c r="F63" s="2" t="str">
        <x:v>S11-L01</x:v>
      </x:c>
      <x:c r="G63" s="6" t="str">
        <x:v>SR</x:v>
      </x:c>
      <x:c r="H63" s="2" t="str">
        <x:v>Authors</x:v>
      </x:c>
      <x:c r="I63" s="6" t="str">
        <x:v>实验结果可能受到实现和配置选择的影响，例如选择的LLM主干模型和提示协议，这些可能影响LLM辅助管道中的精度-召回-成本权衡。</x:v>
      </x:c>
      <x:c r="J63" s="2" t="str">
        <x:v>Speculative</x:v>
      </x:c>
      <x:c r="K63" s="2" t="str">
        <x:v>S12-T01</x:v>
      </x:c>
      <x:c r="L63" s="2" t="str">
        <x:v>S12-MU01</x:v>
      </x:c>
      <x:c r="M63" s="2" t="str">
        <x:v>LLM辅助管道</x:v>
      </x:c>
      <x:c r="N63" s="2" t="str">
        <x:v>可能影响精度-召回-成本权衡</x:v>
      </x:c>
      <x:c r="O63" s="6" t="str">
        <x:v>NR</x:v>
      </x:c>
      <x:c r="P63" s="2" t="str">
        <x:v>跨所有数据集固定实验设置，使用确定性解码，并进行小规模试点敏感性分析。</x:v>
      </x:c>
      <x:c r="Q63" s="2" t="str">
        <x:v>Implemented</x:v>
      </x:c>
      <x:c r="R63" s="2" t="str">
        <x:v>Configuration Sensitivity</x:v>
      </x:c>
      <x:c r="S63" s="2" t="str">
        <x:v>Internal Validity</x:v>
      </x:c>
      <x:c r="T63" s="2" t="str">
        <x:v>Context and prompt dependence</x:v>
      </x:c>
      <x:c r="U63" s="6" t="str">
        <x:v>p. 9; Section VII Threats to Validity, Internal validity</x:v>
      </x:c>
      <x:c r="V63" s="6" t="str">
        <x:v>The reported results may be influenced by implementation and configuration choices, such as the selected LLM backbone and the prompting protocol, which can affect the precision–recall–cost trade-off in LLM-assisted pipelines.</x:v>
      </x:c>
      <x:c r="W63" s="6" t="str">
        <x:v>内部效度威胁：实现和配置选择可能影响结果，但通过固定设置部分缓解。</x:v>
      </x:c>
      <x:c r="X63" s="2" t="str">
        <x:v>Accepted</x:v>
      </x:c>
      <x:c r="Y63" s="6" t="str">
        <x:v>NA</x:v>
      </x:c>
      <x:c r="Z63" s="2" t="n">
        <x:v>2</x:v>
      </x:c>
      <x:c r="AA63" s="2" t="n">
        <x:v>3</x:v>
      </x:c>
    </x:row>
    <x:row r="64" ht="76" customHeight="1">
      <x:c r="A64" s="2" t="str">
        <x:v>S11-LIMIT-R02</x:v>
      </x:c>
      <x:c r="B64" s="2" t="str">
        <x:v>S11</x:v>
      </x:c>
      <x:c r="C64" s="2" t="str">
        <x:v>merged_1121-v1</x:v>
      </x:c>
      <x:c r="D64" s="2" t="str">
        <x:v>Reviewer_A</x:v>
      </x:c>
      <x:c r="E64" s="2" t="str">
        <x:v>Reviewer_A</x:v>
      </x:c>
      <x:c r="F64" s="2" t="str">
        <x:v>S11-L02</x:v>
      </x:c>
      <x:c r="G64" s="6" t="str">
        <x:v>SR</x:v>
      </x:c>
      <x:c r="H64" s="2" t="str">
        <x:v>Authors</x:v>
      </x:c>
      <x:c r="I64" s="6" t="str">
        <x:v>LLM生成的中间表示中的错误可能传播到对齐和校准，特别是对于模糊需求或高度分散的实现。</x:v>
      </x:c>
      <x:c r="J64" s="2" t="str">
        <x:v>Speculative</x:v>
      </x:c>
      <x:c r="K64" s="2" t="str">
        <x:v>S12-T01</x:v>
      </x:c>
      <x:c r="L64" s="2" t="str">
        <x:v>S12-MU01</x:v>
      </x:c>
      <x:c r="M64" s="2" t="str">
        <x:v>模糊需求或高度分散的实现</x:v>
      </x:c>
      <x:c r="N64" s="2" t="str">
        <x:v>错误传播影响对齐和校准，可能降低准确性</x:v>
      </x:c>
      <x:c r="O64" s="6" t="str">
        <x:v>NR</x:v>
      </x:c>
      <x:c r="P64" s="2" t="str">
        <x:v>No</x:v>
      </x:c>
      <x:c r="Q64" s="2" t="str">
        <x:v>Not proposed</x:v>
      </x:c>
      <x:c r="R64" s="2" t="str">
        <x:v>LLM Error Propagation</x:v>
      </x:c>
      <x:c r="S64" s="2" t="str">
        <x:v>Internal Validity</x:v>
      </x:c>
      <x:c r="T64" s="2" t="str">
        <x:v>Model reliability</x:v>
      </x:c>
      <x:c r="U64" s="6" t="str">
        <x:v>p. 9; Section VII Threats to Validity, Internal validity</x:v>
      </x:c>
      <x:c r="V64" s="6" t="str">
        <x:v>In addition, errors in LLM-generated intermediate representations may propagate to alignment and calibration, particularly for ambiguous requirements or highly dispersed implementations.</x:v>
      </x:c>
      <x:c r="W64" s="6" t="str">
        <x:v>LLM生成的中间表示中的错误可能传播，缺乏缓解措施。</x:v>
      </x:c>
      <x:c r="X64" s="2" t="str">
        <x:v>Accepted</x:v>
      </x:c>
      <x:c r="Y64" s="6" t="str">
        <x:v>NA</x:v>
      </x:c>
      <x:c r="Z64" s="2" t="n">
        <x:v>2</x:v>
      </x:c>
      <x:c r="AA64" s="2" t="n">
        <x:v>1</x:v>
      </x:c>
    </x:row>
    <x:row r="65" ht="76" customHeight="1">
      <x:c r="A65" s="2" t="str">
        <x:v>S11-LIMIT-R03</x:v>
      </x:c>
      <x:c r="B65" s="2" t="str">
        <x:v>S11</x:v>
      </x:c>
      <x:c r="C65" s="2" t="str">
        <x:v>merged_1121-v1</x:v>
      </x:c>
      <x:c r="D65" s="2" t="str">
        <x:v>Reviewer_A</x:v>
      </x:c>
      <x:c r="E65" s="2" t="str">
        <x:v>Reviewer_A</x:v>
      </x:c>
      <x:c r="F65" s="2" t="str">
        <x:v>S11-L03</x:v>
      </x:c>
      <x:c r="G65" s="6" t="str">
        <x:v>SR</x:v>
      </x:c>
      <x:c r="H65" s="2" t="str">
        <x:v>Authors</x:v>
      </x:c>
      <x:c r="I65" s="6" t="str">
        <x:v>评估是在具有不同工件粒度和链接稀疏性的公共数据集上进行的，这可能会影响绝对有效性。</x:v>
      </x:c>
      <x:c r="J65" s="2" t="str">
        <x:v>Speculative</x:v>
      </x:c>
      <x:c r="K65" s="2" t="str">
        <x:v>S12-T01</x:v>
      </x:c>
      <x:c r="L65" s="2" t="str">
        <x:v>S12-MU01</x:v>
      </x:c>
      <x:c r="M65" s="2" t="str">
        <x:v>公共数据集上的评估</x:v>
      </x:c>
      <x:c r="N65" s="2" t="str">
        <x:v>可能影响绝对有效性</x:v>
      </x:c>
      <x:c r="O65" s="6" t="str">
        <x:v>NR</x:v>
      </x:c>
      <x:c r="P65" s="2" t="str">
        <x:v>No</x:v>
      </x:c>
      <x:c r="Q65" s="2" t="str">
        <x:v>Not proposed</x:v>
      </x:c>
      <x:c r="R65" s="2" t="str">
        <x:v>Dataset Generalizability</x:v>
      </x:c>
      <x:c r="S65" s="2" t="str">
        <x:v>External Validity</x:v>
      </x:c>
      <x:c r="T65" s="2" t="str">
        <x:v>Generalizability and scope</x:v>
      </x:c>
      <x:c r="U65" s="6" t="str">
        <x:v>p. 9; Section VII Threats to Validity, External validity</x:v>
      </x:c>
      <x:c r="V65" s="6" t="str">
        <x:v>The evaluation is conducted on public datasets with varying artifact granularity and link sparsity, which may influence absolute effectiveness.</x:v>
      </x:c>
      <x:c r="W65" s="6" t="str">
        <x:v>外部效度威胁：数据集特性可能影响结果。</x:v>
      </x:c>
      <x:c r="X65" s="2" t="str">
        <x:v>Accepted</x:v>
      </x:c>
      <x:c r="Y65" s="6" t="str">
        <x:v>NA</x:v>
      </x:c>
      <x:c r="Z65" s="2" t="n">
        <x:v>2</x:v>
      </x:c>
      <x:c r="AA65" s="2" t="n">
        <x:v>1</x:v>
      </x:c>
    </x:row>
    <x:row r="66" ht="76" customHeight="1">
      <x:c r="A66" s="2" t="str">
        <x:v>S11-LIMIT-R04</x:v>
      </x:c>
      <x:c r="B66" s="2" t="str">
        <x:v>S11</x:v>
      </x:c>
      <x:c r="C66" s="2" t="str">
        <x:v>merged_1121-v1</x:v>
      </x:c>
      <x:c r="D66" s="2" t="str">
        <x:v>Reviewer_A</x:v>
      </x:c>
      <x:c r="E66" s="2" t="str">
        <x:v>Reviewer_A</x:v>
      </x:c>
      <x:c r="F66" s="2" t="str">
        <x:v>S11-L04</x:v>
      </x:c>
      <x:c r="G66" s="6" t="str">
        <x:v>SR</x:v>
      </x:c>
      <x:c r="H66" s="2" t="str">
        <x:v>Authors</x:v>
      </x:c>
      <x:c r="I66" s="6" t="str">
        <x:v>成本估计是基于在特定环境中测量的令牌使用和运行时间得出的，并且可能在替代基础设施或定价方案下有所不同。</x:v>
      </x:c>
      <x:c r="J66" s="2" t="str">
        <x:v>Speculative</x:v>
      </x:c>
      <x:c r="K66" s="2" t="str">
        <x:v>S12-T01</x:v>
      </x:c>
      <x:c r="L66" s="2" t="str">
        <x:v>S12-MU01</x:v>
      </x:c>
      <x:c r="M66" s="2" t="str">
        <x:v>特定环境和定价方案</x:v>
      </x:c>
      <x:c r="N66" s="2" t="str">
        <x:v>成本估计可能不准确</x:v>
      </x:c>
      <x:c r="O66" s="6" t="str">
        <x:v>NR</x:v>
      </x:c>
      <x:c r="P66" s="2" t="str">
        <x:v>No</x:v>
      </x:c>
      <x:c r="Q66" s="2" t="str">
        <x:v>Not proposed</x:v>
      </x:c>
      <x:c r="R66" s="2" t="str">
        <x:v>Cost Estimation Generalizability</x:v>
      </x:c>
      <x:c r="S66" s="2" t="str">
        <x:v>External Validity</x:v>
      </x:c>
      <x:c r="T66" s="2" t="str">
        <x:v>Generalizability and scope</x:v>
      </x:c>
      <x:c r="U66" s="6" t="str">
        <x:v>p. 9; Section VII Threats to Validity, External validity</x:v>
      </x:c>
      <x:c r="V66" s="6" t="str">
        <x:v>Cost estimates are derived from token usage and runtime measured in a specific environment, and may differ under alternative infrastructures or pricing schemes.</x:v>
      </x:c>
      <x:c r="W66" s="6" t="str">
        <x:v>成本估计可能不具泛化性。</x:v>
      </x:c>
      <x:c r="X66" s="2" t="str">
        <x:v>Accepted</x:v>
      </x:c>
      <x:c r="Y66" s="6" t="str">
        <x:v>NA</x:v>
      </x:c>
      <x:c r="Z66" s="2" t="n">
        <x:v>2</x:v>
      </x:c>
      <x:c r="AA66" s="2" t="n">
        <x:v>1</x:v>
      </x:c>
    </x:row>
    <x:row r="67" ht="76" customHeight="1">
      <x:c r="A67" s="2" t="str">
        <x:v>S11-LIMIT-R05</x:v>
      </x:c>
      <x:c r="B67" s="2" t="str">
        <x:v>S11</x:v>
      </x:c>
      <x:c r="C67" s="2" t="str">
        <x:v>merged_1121-v1</x:v>
      </x:c>
      <x:c r="D67" s="2" t="str">
        <x:v>Reviewer_A</x:v>
      </x:c>
      <x:c r="E67" s="2" t="str">
        <x:v>Reviewer_A</x:v>
      </x:c>
      <x:c r="F67" s="2" t="str">
        <x:v>S11-L05</x:v>
      </x:c>
      <x:c r="G67" s="6" t="str">
        <x:v>SR</x:v>
      </x:c>
      <x:c r="H67" s="2" t="str">
        <x:v>Authors</x:v>
      </x:c>
      <x:c r="I67" s="6" t="str">
        <x:v>在不断演化的代码库中，缓存的代码摘要也可能过时，这促使在持续集成设置中采用增量更新策略。</x:v>
      </x:c>
      <x:c r="J67" s="2" t="str">
        <x:v>Speculative</x:v>
      </x:c>
      <x:c r="K67" s="2" t="str">
        <x:v>S12-T01</x:v>
      </x:c>
      <x:c r="L67" s="2" t="str">
        <x:v>S12-MU01</x:v>
      </x:c>
      <x:c r="M67" s="2" t="str">
        <x:v>演化的代码库</x:v>
      </x:c>
      <x:c r="N67" s="2" t="str">
        <x:v>摘要过时影响链接准确性</x:v>
      </x:c>
      <x:c r="O67" s="6" t="str">
        <x:v>NR</x:v>
      </x:c>
      <x:c r="P67" s="2" t="str">
        <x:v>No</x:v>
      </x:c>
      <x:c r="Q67" s="2" t="str">
        <x:v>Not proposed</x:v>
      </x:c>
      <x:c r="R67" s="2" t="str">
        <x:v>Stale Summaries</x:v>
      </x:c>
      <x:c r="S67" s="2" t="str">
        <x:v>External Validity</x:v>
      </x:c>
      <x:c r="T67" s="2" t="str">
        <x:v>Context and prompt dependence</x:v>
      </x:c>
      <x:c r="U67" s="6" t="str">
        <x:v>p. 9; Section VII Threats to Validity, External validity</x:v>
      </x:c>
      <x:c r="V67" s="6" t="str">
        <x:v>In evolving repositories, cached code summaries may also become stale, motivating incremental update strategies for continuous integration settings.</x:v>
      </x:c>
      <x:c r="W67" s="6" t="str">
        <x:v>演化环境中的摘要过时问题，未缓解。</x:v>
      </x:c>
      <x:c r="X67" s="2" t="str">
        <x:v>Accepted</x:v>
      </x:c>
      <x:c r="Y67" s="6" t="str">
        <x:v>NA</x:v>
      </x:c>
      <x:c r="Z67" s="2" t="n">
        <x:v>2</x:v>
      </x:c>
      <x:c r="AA67" s="2" t="n">
        <x:v>1</x:v>
      </x:c>
    </x:row>
    <x:row r="68" ht="76" customHeight="1">
      <x:c r="A68" s="2" t="str">
        <x:v>S12-LIMIT-R01</x:v>
      </x:c>
      <x:c r="B68" s="2" t="str">
        <x:v>S12</x:v>
      </x:c>
      <x:c r="C68" s="2" t="str">
        <x:v>merged_1133</x:v>
      </x:c>
      <x:c r="D68" s="2" t="str">
        <x:v>Reviewer_A</x:v>
      </x:c>
      <x:c r="E68" s="2" t="str">
        <x:v>Reviewer_A</x:v>
      </x:c>
      <x:c r="F68" s="2" t="str">
        <x:v>S12-L01</x:v>
      </x:c>
      <x:c r="G68" s="6" t="str">
        <x:v>SR</x:v>
      </x:c>
      <x:c r="H68" s="2" t="str">
        <x:v>Authors</x:v>
      </x:c>
      <x:c r="I68" s="6" t="str">
        <x:v>提示设计和调优过程最初在CM1数据集上进行，可能引入数据集特定的偏差，限制泛化能力。</x:v>
      </x:c>
      <x:c r="J68" s="2" t="str">
        <x:v>Speculative</x:v>
      </x:c>
      <x:c r="K68" s="2" t="str">
        <x:v>Multiple</x:v>
      </x:c>
      <x:c r="L68" s="2" t="str">
        <x:v>Multiple</x:v>
      </x:c>
      <x:c r="M68" s="2" t="str">
        <x:v>NR</x:v>
      </x:c>
      <x:c r="N68" s="2" t="str">
        <x:v>可能导致在其他数据集上性能下降</x:v>
      </x:c>
      <x:c r="O68" s="6" t="str">
        <x:v>NR</x:v>
      </x:c>
      <x:c r="P68" s="2" t="str">
        <x:v>在另外三个数据集上进行了评估以缓解</x:v>
      </x:c>
      <x:c r="Q68" s="2" t="str">
        <x:v>Implemented</x:v>
      </x:c>
      <x:c r="R68" s="2" t="str">
        <x:v>CM1 bias</x:v>
      </x:c>
      <x:c r="S68" s="2" t="str">
        <x:v>External Validity</x:v>
      </x:c>
      <x:c r="T68" s="2" t="str">
        <x:v>Generalizability and scope</x:v>
      </x:c>
      <x:c r="U68" s="6" t="str">
        <x:v>p. 39; Section 7.1</x:v>
      </x:c>
      <x:c r="V68" s="6" t="str">
        <x:v>The prompt design and tuning process was initially performed on the CM1 dataset, which may introduce dataset-specific biases and limit generalizability.</x:v>
      </x:c>
      <x:c r="W68" s="6" t="str">
        <x:v>提示工程仅在CM1数据集上进行，可能使提示对其他数据集或领域的适应性降低。</x:v>
      </x:c>
      <x:c r="X68" s="2" t="str">
        <x:v>Accepted</x:v>
      </x:c>
      <x:c r="Y68" s="6" t="str">
        <x:v>NA</x:v>
      </x:c>
      <x:c r="Z68" s="2" t="n">
        <x:v>2</x:v>
      </x:c>
      <x:c r="AA68" s="2" t="n">
        <x:v>3</x:v>
      </x:c>
    </x:row>
    <x:row r="69" ht="76" customHeight="1">
      <x:c r="A69" s="2" t="str">
        <x:v>S12-LIMIT-R02</x:v>
      </x:c>
      <x:c r="B69" s="2" t="str">
        <x:v>S12</x:v>
      </x:c>
      <x:c r="C69" s="2" t="str">
        <x:v>merged_1133</x:v>
      </x:c>
      <x:c r="D69" s="2" t="str">
        <x:v>Reviewer_A</x:v>
      </x:c>
      <x:c r="E69" s="2" t="str">
        <x:v>Reviewer_A</x:v>
      </x:c>
      <x:c r="F69" s="2" t="str">
        <x:v>S12-L02</x:v>
      </x:c>
      <x:c r="G69" s="6" t="str">
        <x:v>SR</x:v>
      </x:c>
      <x:c r="H69" s="2" t="str">
        <x:v>Authors</x:v>
      </x:c>
      <x:c r="I69" s="6" t="str">
        <x:v>所使用的基准数据集可能无法完全代表真实世界工业软件项目的多样性和规模，限制了研究结果的泛化性。</x:v>
      </x:c>
      <x:c r="J69" s="2" t="str">
        <x:v>Speculative</x:v>
      </x:c>
      <x:c r="K69" s="2" t="str">
        <x:v>Multiple</x:v>
      </x:c>
      <x:c r="L69" s="2" t="str">
        <x:v>Multiple</x:v>
      </x:c>
      <x:c r="M69" s="2" t="str">
        <x:v>NR</x:v>
      </x:c>
      <x:c r="N69" s="2" t="str">
        <x:v>限制了研究结果对工业项目的泛化性</x:v>
      </x:c>
      <x:c r="O69" s="6" t="str">
        <x:v>NR</x:v>
      </x:c>
      <x:c r="P69" s="2" t="str">
        <x:v>No</x:v>
      </x:c>
      <x:c r="Q69" s="2" t="str">
        <x:v>Not proposed</x:v>
      </x:c>
      <x:c r="R69" s="2" t="str">
        <x:v>benchmark representativeness</x:v>
      </x:c>
      <x:c r="S69" s="2" t="str">
        <x:v>External Validity</x:v>
      </x:c>
      <x:c r="T69" s="2" t="str">
        <x:v>Data and evidence quality</x:v>
      </x:c>
      <x:c r="U69" s="6" t="str">
        <x:v>p. 39; Section 7.1</x:v>
      </x:c>
      <x:c r="V69" s="6" t="str">
        <x:v>While these datasets are widely used in prior traceability research and vary in complexity, size, and artifact characteristics, they may not fully represent the diversity and scale of real-world industrial software projects.</x:v>
      </x:c>
      <x:c r="W69" s="6" t="str">
        <x:v>尽管使用了多个公开基准数据集，但它们可能无法涵盖工业界实际项目的复杂性，因此研究结果的泛化性可能受限。</x:v>
      </x:c>
      <x:c r="X69" s="2" t="str">
        <x:v>Accepted</x:v>
      </x:c>
      <x:c r="Y69" s="6" t="str">
        <x:v>NA</x:v>
      </x:c>
      <x:c r="Z69" s="2" t="n">
        <x:v>2</x:v>
      </x:c>
      <x:c r="AA69" s="2" t="n">
        <x:v>1</x:v>
      </x:c>
    </x:row>
    <x:row r="70" ht="76" customHeight="1">
      <x:c r="A70" s="2" t="str">
        <x:v>S12-LIMIT-R03</x:v>
      </x:c>
      <x:c r="B70" s="2" t="str">
        <x:v>S12</x:v>
      </x:c>
      <x:c r="C70" s="2" t="str">
        <x:v>merged_1133</x:v>
      </x:c>
      <x:c r="D70" s="2" t="str">
        <x:v>Reviewer_A</x:v>
      </x:c>
      <x:c r="E70" s="2" t="str">
        <x:v>Reviewer_A</x:v>
      </x:c>
      <x:c r="F70" s="2" t="str">
        <x:v>S12-L03</x:v>
      </x:c>
      <x:c r="G70" s="6" t="str">
        <x:v>SR</x:v>
      </x:c>
      <x:c r="H70" s="2" t="str">
        <x:v>Authors</x:v>
      </x:c>
      <x:c r="I70" s="6" t="str">
        <x:v>评估强调召回率，隐含假设人工验证环节，但当前性能水平不足以支持全自动追溯，尤其在大规模或安全关键系统中。</x:v>
      </x:c>
      <x:c r="J70" s="2" t="str">
        <x:v>Speculative</x:v>
      </x:c>
      <x:c r="K70" s="2" t="str">
        <x:v>Multiple</x:v>
      </x:c>
      <x:c r="L70" s="2" t="str">
        <x:v>Multiple</x:v>
      </x:c>
      <x:c r="M70" s="2" t="str">
        <x:v>NR</x:v>
      </x:c>
      <x:c r="N70" s="2" t="str">
        <x:v>不适合需要全自动追溯且对错误链接容忍度低的场景</x:v>
      </x:c>
      <x:c r="O70" s="6" t="str">
        <x:v>NR</x:v>
      </x:c>
      <x:c r="P70" s="2" t="str">
        <x:v>明确将TraceLLM定位为半自动决策支持方法，并讨论了实践意义</x:v>
      </x:c>
      <x:c r="Q70" s="2" t="str">
        <x:v>Implemented</x:v>
      </x:c>
      <x:c r="R70" s="2" t="str">
        <x:v>recall emphasis</x:v>
      </x:c>
      <x:c r="S70" s="2" t="str">
        <x:v>Construct Validity</x:v>
      </x:c>
      <x:c r="T70" s="2" t="str">
        <x:v>Model reliability</x:v>
      </x:c>
      <x:c r="U70" s="6" t="str">
        <x:v>p. 39; Section 7.2</x:v>
      </x:c>
      <x:c r="V70" s="6" t="str">
        <x:v>the achieved performance levels are not sufficient for fully automated traceability, specifically in large-scale or safety-critical systems.</x:v>
      </x:c>
      <x:c r="W70" s="6" t="str">
        <x:v>该方法在召回率上的提升虽然显著，但精度和整体性能仍不足以进行无人干预的自动追溯，尤其对安全要求高的系统。</x:v>
      </x:c>
      <x:c r="X70" s="2" t="str">
        <x:v>Accepted</x:v>
      </x:c>
      <x:c r="Y70" s="6" t="str">
        <x:v>NA</x:v>
      </x:c>
      <x:c r="Z70" s="2" t="n">
        <x:v>2</x:v>
      </x:c>
      <x:c r="AA70" s="2" t="n">
        <x:v>3</x:v>
      </x:c>
    </x:row>
    <x:row r="71" ht="76" customHeight="1">
      <x:c r="A71" s="2" t="str">
        <x:v>S12-LIMIT-R04</x:v>
      </x:c>
      <x:c r="B71" s="2" t="str">
        <x:v>S12</x:v>
      </x:c>
      <x:c r="C71" s="2" t="str">
        <x:v>merged_1133</x:v>
      </x:c>
      <x:c r="D71" s="2" t="str">
        <x:v>Reviewer_A</x:v>
      </x:c>
      <x:c r="E71" s="2" t="str">
        <x:v>Reviewer_A</x:v>
      </x:c>
      <x:c r="F71" s="2" t="str">
        <x:v>S12-L04</x:v>
      </x:c>
      <x:c r="G71" s="6" t="str">
        <x:v>SR</x:v>
      </x:c>
      <x:c r="H71" s="2" t="str">
        <x:v>Authors</x:v>
      </x:c>
      <x:c r="I71" s="6" t="str">
        <x:v>TraceLLM的最优性能依赖于少量标注的示例，限制了在冷启动项目中的应用。</x:v>
      </x:c>
      <x:c r="J71" s="2" t="str">
        <x:v>Speculative</x:v>
      </x:c>
      <x:c r="K71" s="2" t="str">
        <x:v>Multiple</x:v>
      </x:c>
      <x:c r="L71" s="2" t="str">
        <x:v>Multiple</x:v>
      </x:c>
      <x:c r="M71" s="2" t="str">
        <x:v>NR</x:v>
      </x:c>
      <x:c r="N71" s="2" t="str">
        <x:v>限制了在无历史追溯信息的冷启动项目中的应用</x:v>
      </x:c>
      <x:c r="O71" s="6" t="str">
        <x:v>NR</x:v>
      </x:c>
      <x:c r="P71" s="2" t="str">
        <x:v>报告了零样本和随机少样本结果，显示TraceLLM仍优于基线</x:v>
      </x:c>
      <x:c r="Q71" s="2" t="str">
        <x:v>Implemented</x:v>
      </x:c>
      <x:c r="R71" s="2" t="str">
        <x:v>few-shot dependency</x:v>
      </x:c>
      <x:c r="S71" s="2" t="str">
        <x:v>Construct Validity</x:v>
      </x:c>
      <x:c r="T71" s="2" t="str">
        <x:v>Context and prompt dependence</x:v>
      </x:c>
      <x:c r="U71" s="6" t="str">
        <x:v>p. 39; Section 7.2</x:v>
      </x:c>
      <x:c r="V71" s="6" t="str">
        <x:v>This limits applicability in early-stage or cold-start projects with no existing traceability information, making TraceLLM more effective for trace link completion (TLC) than for trace link generation (TLG) tasks.</x:v>
      </x:c>
      <x:c r="W71" s="6" t="str">
        <x:v>该方法在少样本配置下性能最佳，但在没有历史链接数据的全新项目中，无法发挥其全部潜力。</x:v>
      </x:c>
      <x:c r="X71" s="2" t="str">
        <x:v>Accepted</x:v>
      </x:c>
      <x:c r="Y71" s="6" t="str">
        <x:v>NA</x:v>
      </x:c>
      <x:c r="Z71" s="2" t="n">
        <x:v>2</x:v>
      </x:c>
      <x:c r="AA71" s="2" t="n">
        <x:v>3</x:v>
      </x:c>
    </x:row>
    <x:row r="72" ht="76" customHeight="1">
      <x:c r="A72" s="2" t="str">
        <x:v>S12-LIMIT-R05</x:v>
      </x:c>
      <x:c r="B72" s="2" t="str">
        <x:v>S12</x:v>
      </x:c>
      <x:c r="C72" s="2" t="str">
        <x:v>merged_1133</x:v>
      </x:c>
      <x:c r="D72" s="2" t="str">
        <x:v>Reviewer_A</x:v>
      </x:c>
      <x:c r="E72" s="2" t="str">
        <x:v>Reviewer_A</x:v>
      </x:c>
      <x:c r="F72" s="2" t="str">
        <x:v>S12-L05</x:v>
      </x:c>
      <x:c r="G72" s="6" t="str">
        <x:v>SR</x:v>
      </x:c>
      <x:c r="H72" s="2" t="str">
        <x:v>Authors</x:v>
      </x:c>
      <x:c r="I72" s="6" t="str">
        <x:v>TraceLLM不保证找到全局最优提示，提示工程过程对措辞敏感且涉及主观决策。</x:v>
      </x:c>
      <x:c r="J72" s="2" t="str">
        <x:v>Speculative</x:v>
      </x:c>
      <x:c r="K72" s="2" t="str">
        <x:v>Multiple</x:v>
      </x:c>
      <x:c r="L72" s="2" t="str">
        <x:v>Multiple</x:v>
      </x:c>
      <x:c r="M72" s="2" t="str">
        <x:v>NR</x:v>
      </x:c>
      <x:c r="N72" s="2" t="str">
        <x:v>无法保证找到全局最优提示，提示效果可能受措辞影响</x:v>
      </x:c>
      <x:c r="O72" s="6" t="str">
        <x:v>NR</x:v>
      </x:c>
      <x:c r="P72" s="2" t="str">
        <x:v>通过迭代优化和对比评估减少主观性</x:v>
      </x:c>
      <x:c r="Q72" s="2" t="str">
        <x:v>Implemented</x:v>
      </x:c>
      <x:c r="R72" s="2" t="str">
        <x:v>prompt sensitivity</x:v>
      </x:c>
      <x:c r="S72" s="2" t="str">
        <x:v>Conclusion Validity</x:v>
      </x:c>
      <x:c r="T72" s="2" t="str">
        <x:v>Context and prompt dependence</x:v>
      </x:c>
      <x:c r="U72" s="6" t="str">
        <x:v>p. 40; Section 7.3</x:v>
      </x:c>
      <x:c r="V72" s="6" t="str">
        <x:v>TraceLLM does not guarantee globally optimal prompts</x:v>
      </x:c>
      <x:c r="W72" s="6" t="str">
        <x:v>尽管提示工程流程是系统性的，但无法遍历所有可能的提示变体，因此不能保证当前提示即为最优。</x:v>
      </x:c>
      <x:c r="X72" s="2" t="str">
        <x:v>Accepted</x:v>
      </x:c>
      <x:c r="Y72" s="6" t="str">
        <x:v>NA</x:v>
      </x:c>
      <x:c r="Z72" s="2" t="n">
        <x:v>2</x:v>
      </x:c>
      <x:c r="AA72" s="2" t="n">
        <x:v>3</x:v>
      </x:c>
    </x:row>
    <x:row r="73" ht="76" customHeight="1">
      <x:c r="A73" s="2" t="str">
        <x:v>S12-LIMIT-R06</x:v>
      </x:c>
      <x:c r="B73" s="2" t="str">
        <x:v>S12</x:v>
      </x:c>
      <x:c r="C73" s="2" t="str">
        <x:v>merged_1133</x:v>
      </x:c>
      <x:c r="D73" s="2" t="str">
        <x:v>Reviewer_A</x:v>
      </x:c>
      <x:c r="E73" s="2" t="str">
        <x:v>Reviewer_A</x:v>
      </x:c>
      <x:c r="F73" s="2" t="str">
        <x:v>S12-L06</x:v>
      </x:c>
      <x:c r="G73" s="6" t="str">
        <x:v>SR</x:v>
      </x:c>
      <x:c r="H73" s="2" t="str">
        <x:v>Authors</x:v>
      </x:c>
      <x:c r="I73" s="6" t="str">
        <x:v>LLM输出本质上是非确定性的，依赖于底层模型实现和基础设施，即使经过多次重复，仍可能存在微小波动。</x:v>
      </x:c>
      <x:c r="J73" s="2" t="str">
        <x:v>Speculative</x:v>
      </x:c>
      <x:c r="K73" s="2" t="str">
        <x:v>Multiple</x:v>
      </x:c>
      <x:c r="L73" s="2" t="str">
        <x:v>Multiple</x:v>
      </x:c>
      <x:c r="M73" s="2" t="str">
        <x:v>NR</x:v>
      </x:c>
      <x:c r="N73" s="2" t="str">
        <x:v>LLM输出的不确定性可能导致结果波动，尽管已通过重复实验减轻</x:v>
      </x:c>
      <x:c r="O73" s="6" t="str">
        <x:v>NR</x:v>
      </x:c>
      <x:c r="P73" s="2" t="str">
        <x:v>每个实验重复多次并报告均值和标准差</x:v>
      </x:c>
      <x:c r="Q73" s="2" t="str">
        <x:v>Implemented</x:v>
      </x:c>
      <x:c r="R73" s="2" t="str">
        <x:v>LLM non-determinism</x:v>
      </x:c>
      <x:c r="S73" s="2" t="str">
        <x:v>Conclusion Validity</x:v>
      </x:c>
      <x:c r="T73" s="2" t="str">
        <x:v>Context and prompt dependence</x:v>
      </x:c>
      <x:c r="U73" s="6" t="str">
        <x:v>p. 40; Section 7.3</x:v>
      </x:c>
      <x:c r="V73" s="6" t="str">
        <x:v>LLM outputs are inherently non-deterministic and dependent on underlying model implementations and infrastructure.</x:v>
      </x:c>
      <x:c r="W73" s="6" t="str">
        <x:v>由于LLM的随机性，即使相同设置下多次运行结果也可能不同，本研究通过重复实验减轻了影响，但无法完全消除。</x:v>
      </x:c>
      <x:c r="X73" s="2" t="str">
        <x:v>Accepted</x:v>
      </x:c>
      <x:c r="Y73" s="6" t="str">
        <x:v>NA</x:v>
      </x:c>
      <x:c r="Z73" s="2" t="n">
        <x:v>2</x:v>
      </x:c>
      <x:c r="AA73" s="2" t="n">
        <x:v>3</x:v>
      </x:c>
    </x:row>
    <x:row r="74" ht="76" customHeight="1">
      <x:c r="A74" s="2" t="str">
        <x:v>S13-LIMIT-R01</x:v>
      </x:c>
      <x:c r="B74" s="2" t="str">
        <x:v>S13</x:v>
      </x:c>
      <x:c r="C74" s="2" t="str">
        <x:v>merged_1140</x:v>
      </x:c>
      <x:c r="D74" s="2" t="str">
        <x:v>Reviewer_A</x:v>
      </x:c>
      <x:c r="E74" s="2" t="str">
        <x:v>Reviewer_A</x:v>
      </x:c>
      <x:c r="F74" s="2" t="str">
        <x:v>S13-L01</x:v>
      </x:c>
      <x:c r="G74" s="6" t="str">
        <x:v>SR</x:v>
      </x:c>
      <x:c r="H74" s="2" t="str">
        <x:v>Authors</x:v>
      </x:c>
      <x:c r="I74" s="6" t="str">
        <x:v>顺序性多阶段实验设计可能导致提示策略与编码器之间的交互效应未被发现，从而无法确定全局最优组合</x:v>
      </x:c>
      <x:c r="J74" s="2" t="str">
        <x:v>Speculative</x:v>
      </x:c>
      <x:c r="K74" s="2" t="str">
        <x:v>S14-T01</x:v>
      </x:c>
      <x:c r="L74" s="2" t="str">
        <x:v>Multiple</x:v>
      </x:c>
      <x:c r="M74" s="2" t="str">
        <x:v>multi-stage experimental design, assuming optimal prompting strategy is independent of encoder</x:v>
      </x:c>
      <x:c r="N74" s="2" t="str">
        <x:v>可能无法识别最优的数据增强策略与编码器组合</x:v>
      </x:c>
      <x:c r="O74" s="6" t="str">
        <x:v>threat to internal validity</x:v>
      </x:c>
      <x:c r="P74" s="2" t="str">
        <x:v>A fully factorial experiment would be required to definitively eliminate this threat.</x:v>
      </x:c>
      <x:c r="Q74" s="2" t="str">
        <x:v>Proposed</x:v>
      </x:c>
      <x:c r="R74" s="2" t="str">
        <x:v>sequential_design_threat</x:v>
      </x:c>
      <x:c r="S74" s="2" t="str">
        <x:v>internal_validity</x:v>
      </x:c>
      <x:c r="T74" s="2" t="str">
        <x:v>Evaluation and validity</x:v>
      </x:c>
      <x:c r="U74" s="6" t="str">
        <x:v>p. 31; Section 6.3 Threats to Validity</x:v>
      </x:c>
      <x:c r="V74" s="6" t="str">
        <x:v>A primary threat to internal validity stems from the sequential nature of our multi-stage experimental design.</x:v>
      </x:c>
      <x:c r="W74" s="6" t="str">
        <x:v>作者承认实验分阶段优化可能忽略不同组件间的交互效应，内部有效性受威胁</x:v>
      </x:c>
      <x:c r="X74" s="2" t="str">
        <x:v>Accepted</x:v>
      </x:c>
      <x:c r="Y74" s="6" t="str">
        <x:v>NA</x:v>
      </x:c>
      <x:c r="Z74" s="2" t="n">
        <x:v>2</x:v>
      </x:c>
      <x:c r="AA74" s="2" t="n">
        <x:v>2</x:v>
      </x:c>
    </x:row>
    <x:row r="75" ht="76" customHeight="1">
      <x:c r="A75" s="2" t="str">
        <x:v>S13-LIMIT-R02</x:v>
      </x:c>
      <x:c r="B75" s="2" t="str">
        <x:v>S13</x:v>
      </x:c>
      <x:c r="C75" s="2" t="str">
        <x:v>merged_1140</x:v>
      </x:c>
      <x:c r="D75" s="2" t="str">
        <x:v>Reviewer_A</x:v>
      </x:c>
      <x:c r="E75" s="2" t="str">
        <x:v>Reviewer_A</x:v>
      </x:c>
      <x:c r="F75" s="2" t="str">
        <x:v>S13-L02</x:v>
      </x:c>
      <x:c r="G75" s="6" t="str">
        <x:v>SR</x:v>
      </x:c>
      <x:c r="H75" s="2" t="str">
        <x:v>Authors</x:v>
      </x:c>
      <x:c r="I75" s="6" t="str">
        <x:v>由于大语言模型快速演进，本研究建立的性能基准可能被新一代模型超越，导致时间有效性威胁</x:v>
      </x:c>
      <x:c r="J75" s="2" t="str">
        <x:v>Speculative</x:v>
      </x:c>
      <x:c r="K75" s="2" t="str">
        <x:v>S14-T01</x:v>
      </x:c>
      <x:c r="L75" s="2" t="str">
        <x:v>Multiple</x:v>
      </x:c>
      <x:c r="M75" s="2" t="str">
        <x:v>rapid evolution of LLMs</x:v>
      </x:c>
      <x:c r="N75" s="2" t="str">
        <x:v>the specific performance benchmarks we established may be surpassed</x:v>
      </x:c>
      <x:c r="O75" s="6" t="str">
        <x:v>threat to external validity (temporal)</x:v>
      </x:c>
      <x:c r="P75" s="2" t="str">
        <x:v>replicating these findings with subsequent generations of LLMs to assess long-term stability</x:v>
      </x:c>
      <x:c r="Q75" s="2" t="str">
        <x:v>Proposed</x:v>
      </x:c>
      <x:c r="R75" s="2" t="str">
        <x:v>temporal_validity_threat</x:v>
      </x:c>
      <x:c r="S75" s="2" t="str">
        <x:v>external_validity</x:v>
      </x:c>
      <x:c r="T75" s="2" t="str">
        <x:v>Evaluation and validity</x:v>
      </x:c>
      <x:c r="U75" s="6" t="str">
        <x:v>p. 31; Section 6.3 Threats to Validity</x:v>
      </x:c>
      <x:c r="V75" s="6" t="str">
        <x:v>First, our study is subject to a threat to temporal validity due to the rapid evolution of LLMs.</x:v>
      </x:c>
      <x:c r="W75" s="6" t="str">
        <x:v>作者指出LLM技术迭代快，当前基准可能很快过时，建议未来用新模型复现</x:v>
      </x:c>
      <x:c r="X75" s="2" t="str">
        <x:v>Accepted</x:v>
      </x:c>
      <x:c r="Y75" s="6" t="str">
        <x:v>NA</x:v>
      </x:c>
      <x:c r="Z75" s="2" t="n">
        <x:v>2</x:v>
      </x:c>
      <x:c r="AA75" s="2" t="n">
        <x:v>2</x:v>
      </x:c>
    </x:row>
    <x:row r="76" ht="76" customHeight="1">
      <x:c r="A76" s="2" t="str">
        <x:v>S13-LIMIT-R03</x:v>
      </x:c>
      <x:c r="B76" s="2" t="str">
        <x:v>S13</x:v>
      </x:c>
      <x:c r="C76" s="2" t="str">
        <x:v>merged_1140</x:v>
      </x:c>
      <x:c r="D76" s="2" t="str">
        <x:v>Reviewer_A</x:v>
      </x:c>
      <x:c r="E76" s="2" t="str">
        <x:v>Reviewer_A</x:v>
      </x:c>
      <x:c r="F76" s="2" t="str">
        <x:v>S13-L03</x:v>
      </x:c>
      <x:c r="G76" s="6" t="str">
        <x:v>SR</x:v>
      </x:c>
      <x:c r="H76" s="2" t="str">
        <x:v>Authors</x:v>
      </x:c>
      <x:c r="I76" s="6" t="str">
        <x:v>评估仅基于四个数据集和三种编程语言，未在Python、C++等其他语言及更大规模工业数据集上验证</x:v>
      </x:c>
      <x:c r="J76" s="2" t="str">
        <x:v>Speculative</x:v>
      </x:c>
      <x:c r="K76" s="2" t="str">
        <x:v>S14-T01</x:v>
      </x:c>
      <x:c r="L76" s="2" t="str">
        <x:v>Multiple</x:v>
      </x:c>
      <x:c r="M76" s="2" t="str">
        <x:v>four benchmark datasets encompassing three programming languages (Java, JavaScript, C#)</x:v>
      </x:c>
      <x:c r="N76" s="2" t="str">
        <x:v>generalizability of findings may be limited</x:v>
      </x:c>
      <x:c r="O76" s="6" t="str">
        <x:v>threat to external validity</x:v>
      </x:c>
      <x:c r="P76" s="2" t="str">
        <x:v>future research is needed to validate the framework's effectiveness on a broader range of programming languages and on larger-scale industrial datasets</x:v>
      </x:c>
      <x:c r="Q76" s="2" t="str">
        <x:v>Proposed</x:v>
      </x:c>
      <x:c r="R76" s="2" t="str">
        <x:v>limited_evaluation_scope</x:v>
      </x:c>
      <x:c r="S76" s="2" t="str">
        <x:v>external_validity</x:v>
      </x:c>
      <x:c r="T76" s="2" t="str">
        <x:v>Evaluation and validity</x:v>
      </x:c>
      <x:c r="U76" s="6" t="str">
        <x:v>p. 31; Section 6.3 Threats to Validity</x:v>
      </x:c>
      <x:c r="V76" s="6" t="str">
        <x:v>Second, our evaluation was conducted on four benchmark datasets encompassing three programming languages (Java, JavaScript, and C#).</x:v>
      </x:c>
      <x:c r="W76" s="6" t="str">
        <x:v>作者承认数据集和语言范围有限，外部有效性需进一步验证</x:v>
      </x:c>
      <x:c r="X76" s="2" t="str">
        <x:v>Accepted</x:v>
      </x:c>
      <x:c r="Y76" s="6" t="str">
        <x:v>NA</x:v>
      </x:c>
      <x:c r="Z76" s="2" t="n">
        <x:v>2</x:v>
      </x:c>
      <x:c r="AA76" s="2" t="n">
        <x:v>2</x:v>
      </x:c>
    </x:row>
    <x:row r="77" ht="76" customHeight="1">
      <x:c r="A77" s="2" t="str">
        <x:v>S13-LIMIT-R04</x:v>
      </x:c>
      <x:c r="B77" s="2" t="str">
        <x:v>S13</x:v>
      </x:c>
      <x:c r="C77" s="2" t="str">
        <x:v>merged_1140</x:v>
      </x:c>
      <x:c r="D77" s="2" t="str">
        <x:v>Reviewer_A</x:v>
      </x:c>
      <x:c r="E77" s="2" t="str">
        <x:v>Reviewer_A</x:v>
      </x:c>
      <x:c r="F77" s="2" t="str">
        <x:v>S13-L04</x:v>
      </x:c>
      <x:c r="G77" s="6" t="str">
        <x:v>SR</x:v>
      </x:c>
      <x:c r="H77" s="2" t="str">
        <x:v>Authors</x:v>
      </x:c>
      <x:c r="I77" s="6" t="str">
        <x:v>数据增强完全依赖闭源大语言模型，未包含开源模型如Llama和DeepSeek，可能限制框架的可及性</x:v>
      </x:c>
      <x:c r="J77" s="2" t="str">
        <x:v>Speculative</x:v>
      </x:c>
      <x:c r="K77" s="2" t="str">
        <x:v>S14-T01</x:v>
      </x:c>
      <x:c r="L77" s="2" t="str">
        <x:v>Multiple</x:v>
      </x:c>
      <x:c r="M77" s="2" t="str">
        <x:v>data augmentation relied exclusively on closed-source LLMs</x:v>
      </x:c>
      <x:c r="N77" s="2" t="str">
        <x:v>framework's accessibility and applicability may be limited for users preferring or requiring open-source models</x:v>
      </x:c>
      <x:c r="O77" s="6" t="str">
        <x:v>threat to external validity</x:v>
      </x:c>
      <x:c r="P77" s="2" t="str">
        <x:v>evaluate and incorporate leading open-source LLMs (e.g., Llama and DeepSeek) into the framework</x:v>
      </x:c>
      <x:c r="Q77" s="2" t="str">
        <x:v>Proposed</x:v>
      </x:c>
      <x:c r="R77" s="2" t="str">
        <x:v>closed_source_llm_reliance</x:v>
      </x:c>
      <x:c r="S77" s="2" t="str">
        <x:v>external_validity</x:v>
      </x:c>
      <x:c r="T77" s="2" t="str">
        <x:v>Generalizability and scope</x:v>
      </x:c>
      <x:c r="U77" s="6" t="str">
        <x:v>p. 31; Section 6.3 Threats to Validity</x:v>
      </x:c>
      <x:c r="V77" s="6" t="str">
        <x:v>Second, our data augmentation relied exclusively on closed-source LLMs due to their current performance advantages</x:v>
      </x:c>
      <x:c r="W77" s="6" t="str">
        <x:v>作者指出仅使用闭源模型可能影响框架普适性，建议纳入开源LLM</x:v>
      </x:c>
      <x:c r="X77" s="2" t="str">
        <x:v>Accepted</x:v>
      </x:c>
      <x:c r="Y77" s="6" t="str">
        <x:v>NA</x:v>
      </x:c>
      <x:c r="Z77" s="2" t="n">
        <x:v>2</x:v>
      </x:c>
      <x:c r="AA77" s="2" t="n">
        <x:v>2</x:v>
      </x:c>
    </x:row>
    <x:row r="78" ht="76" customHeight="1">
      <x:c r="A78" s="2" t="str">
        <x:v>S14-LIMIT-R01</x:v>
      </x:c>
      <x:c r="B78" s="2" t="str">
        <x:v>S14</x:v>
      </x:c>
      <x:c r="C78" s="2" t="str">
        <x:v>merged_1142-v1</x:v>
      </x:c>
      <x:c r="D78" s="2" t="str">
        <x:v>Reviewer_A</x:v>
      </x:c>
      <x:c r="E78" s="2" t="str">
        <x:v>Reviewer_A</x:v>
      </x:c>
      <x:c r="F78" s="2" t="str">
        <x:v>S14-L01</x:v>
      </x:c>
      <x:c r="G78" s="6" t="str">
        <x:v>SR</x:v>
      </x:c>
      <x:c r="H78" s="2" t="str">
        <x:v>Authors</x:v>
      </x:c>
      <x:c r="I78" s="6" t="str">
        <x:v>由于使用的Spoon包无法分析JSP文件内的代码结构，导致无法提取这些文件的代码依赖关系，可能影响模型在iTrust项目中的结构信息完整性和实验结果。</x:v>
      </x:c>
      <x:c r="J78" s="2" t="str">
        <x:v>Empirical</x:v>
      </x:c>
      <x:c r="K78" s="2" t="str">
        <x:v>S15-T01</x:v>
      </x:c>
      <x:c r="L78" s="2" t="str">
        <x:v>Multiple</x:v>
      </x:c>
      <x:c r="M78" s="2" t="str">
        <x:v>在iTrust项目中，存在JSP文件，用于提取代码依赖的Spoon包无法处理JSP文件，导致代码依赖关系提取不完整。</x:v>
      </x:c>
      <x:c r="N78" s="2" t="str">
        <x:v>可能影响模型在iTrust项目上的结构信息完整性，从而潜在影响实验结果。</x:v>
      </x:c>
      <x:c r="O78" s="6" t="str">
        <x:v>JSP页面仅占iTrust项目的一小部分，因此总体影响有限。</x:v>
      </x:c>
      <x:c r="P78" s="2" t="str">
        <x:v>未来工作可以探索集成能够处理JSP文件的静态分析工具。</x:v>
      </x:c>
      <x:c r="Q78" s="2" t="str">
        <x:v>Proposed</x:v>
      </x:c>
      <x:c r="R78" s="2" t="str">
        <x:v>internal validity; tool limitation; code dependency extraction</x:v>
      </x:c>
      <x:c r="S78" s="2" t="str">
        <x:v>Tool limitation</x:v>
      </x:c>
      <x:c r="T78" s="2" t="str">
        <x:v>Evaluation and validity</x:v>
      </x:c>
      <x:c r="U78" s="6" t="str">
        <x:v>p. 31; Section 6</x:v>
      </x:c>
      <x:c r="V78" s="6" t="str">
        <x:v>A potential threat to internal validity arises from the presence of Java Servlet Page (JSP) files in the iTrust project. Since the Spoon package used in this study cannot analyze the code structure within JSP files, it fails to extract code dependency relationships from these files.</x:v>
      </x:c>
      <x:c r="W78" s="6" t="str">
        <x:v>内部效度威胁：Spoon工具无法解析JSP文件，影响代码依赖提取完整性。</x:v>
      </x:c>
      <x:c r="X78" s="2" t="str">
        <x:v>Accepted</x:v>
      </x:c>
      <x:c r="Y78" s="6" t="str">
        <x:v>NA</x:v>
      </x:c>
      <x:c r="Z78" s="2" t="n">
        <x:v>3</x:v>
      </x:c>
      <x:c r="AA78" s="2" t="n">
        <x:v>2</x:v>
      </x:c>
    </x:row>
    <x:row r="79" ht="76" customHeight="1">
      <x:c r="A79" s="2" t="str">
        <x:v>S14-LIMIT-R02</x:v>
      </x:c>
      <x:c r="B79" s="2" t="str">
        <x:v>S14</x:v>
      </x:c>
      <x:c r="C79" s="2" t="str">
        <x:v>merged_1142-v1</x:v>
      </x:c>
      <x:c r="D79" s="2" t="str">
        <x:v>Reviewer_A</x:v>
      </x:c>
      <x:c r="E79" s="2" t="str">
        <x:v>Reviewer_A</x:v>
      </x:c>
      <x:c r="F79" s="2" t="str">
        <x:v>S14-L02</x:v>
      </x:c>
      <x:c r="G79" s="6" t="str">
        <x:v>SR</x:v>
      </x:c>
      <x:c r="H79" s="2" t="str">
        <x:v>Authors</x:v>
      </x:c>
      <x:c r="I79" s="6" t="str">
        <x:v>当前方法依赖于基于Java的静态分析工具来提取代码依赖，不支持其他编程语言（如Python或C++），限制了方法在多语言软件项目中的适用性。</x:v>
      </x:c>
      <x:c r="J79" s="2" t="str">
        <x:v>Empirical</x:v>
      </x:c>
      <x:c r="K79" s="2" t="str">
        <x:v>S15-T01</x:v>
      </x:c>
      <x:c r="L79" s="2" t="str">
        <x:v>Multiple</x:v>
      </x:c>
      <x:c r="M79" s="2" t="str">
        <x:v>本研究在12个开源Java项目上评估，但方法依赖于Java特定工具，不支持其他语言。</x:v>
      </x:c>
      <x:c r="N79" s="2" t="str">
        <x:v>限制了方法在多语言软件项目中的通用性和适应性。</x:v>
      </x:c>
      <x:c r="O79" s="6" t="str">
        <x:v>NR</x:v>
      </x:c>
      <x:c r="P79" s="2" t="str">
        <x:v>未来工作将考虑扩展对其他语言的支持，以提高模型的通用性和适应性。</x:v>
      </x:c>
      <x:c r="Q79" s="2" t="str">
        <x:v>Proposed</x:v>
      </x:c>
      <x:c r="R79" s="2" t="str">
        <x:v>external validity; language limitation</x:v>
      </x:c>
      <x:c r="S79" s="2" t="str">
        <x:v>Language limitation</x:v>
      </x:c>
      <x:c r="T79" s="2" t="str">
        <x:v>Context and prompt dependence</x:v>
      </x:c>
      <x:c r="U79" s="6" t="str">
        <x:v>p. 31; Section 6</x:v>
      </x:c>
      <x:c r="V79" s="6" t="str">
        <x:v>the current approach relies on Java-based static analysis tools for extracting code dependencies and does not support projects in other programming languages, such as Python or C++. This limitation restricts the applicability of the method to multi-language software projects.</x:v>
      </x:c>
      <x:c r="W79" s="6" t="str">
        <x:v>外部效度威胁：仅支持Java语言，不适用于其他编程语言项目。</x:v>
      </x:c>
      <x:c r="X79" s="2" t="str">
        <x:v>Accepted</x:v>
      </x:c>
      <x:c r="Y79" s="6" t="str">
        <x:v>NA</x:v>
      </x:c>
      <x:c r="Z79" s="2" t="n">
        <x:v>3</x:v>
      </x:c>
      <x:c r="AA79" s="2" t="n">
        <x:v>2</x:v>
      </x:c>
    </x:row>
    <x:row r="80" ht="76" customHeight="1">
      <x:c r="A80" s="2" t="str">
        <x:v>S14-LIMIT-R03</x:v>
      </x:c>
      <x:c r="B80" s="2" t="str">
        <x:v>S14</x:v>
      </x:c>
      <x:c r="C80" s="2" t="str">
        <x:v>merged_1142-v1</x:v>
      </x:c>
      <x:c r="D80" s="2" t="str">
        <x:v>Reviewer_A</x:v>
      </x:c>
      <x:c r="E80" s="2" t="str">
        <x:v>Reviewer_A</x:v>
      </x:c>
      <x:c r="F80" s="2" t="str">
        <x:v>S14-L03</x:v>
      </x:c>
      <x:c r="G80" s="6" t="str">
        <x:v>SR</x:v>
      </x:c>
      <x:c r="H80" s="2" t="str">
        <x:v>Authors</x:v>
      </x:c>
      <x:c r="I80" s="6" t="str">
        <x:v>HGT-All的消息传递机制依赖于异构图中丰富的节点和边关系。在小规模项目或稀疏连接的图中，可用的学习信息有限，降低了模型的泛化能力，可能导致性能显著下降。</x:v>
      </x:c>
      <x:c r="J80" s="2" t="str">
        <x:v>Speculative</x:v>
      </x:c>
      <x:c r="K80" s="2" t="str">
        <x:v>S15-T01</x:v>
      </x:c>
      <x:c r="L80" s="2" t="str">
        <x:v>NR</x:v>
      </x:c>
      <x:c r="M80" s="2" t="str">
        <x:v>在小规模项目或数据集不足的情况下。</x:v>
      </x:c>
      <x:c r="N80" s="2" t="str">
        <x:v>可能经历显著的性能下降，限制了其结构优势。</x:v>
      </x:c>
      <x:c r="O80" s="6" t="str">
        <x:v>NR</x:v>
      </x:c>
      <x:c r="P80" s="2" t="str">
        <x:v>No</x:v>
      </x:c>
      <x:c r="Q80" s="2" t="str">
        <x:v>Not proposed</x:v>
      </x:c>
      <x:c r="R80" s="2" t="str">
        <x:v>data scale sensitivity; graph sparsity</x:v>
      </x:c>
      <x:c r="S80" s="2" t="str">
        <x:v>Data scale limitation</x:v>
      </x:c>
      <x:c r="T80" s="2" t="str">
        <x:v>Data and evidence quality</x:v>
      </x:c>
      <x:c r="U80" s="6" t="str">
        <x:v>p. 30; Section 5.2.1</x:v>
      </x:c>
      <x:c r="V80" s="6" t="str">
        <x:v>In small-scale projects or sparsely connected graphs, the available information for learning is limited, reducing the model’s ability to generalize. Consequently, HGT-All may experience significant performance drops under small or insufficient datasets, limiting its structural advantages.</x:v>
      </x:c>
      <x:c r="W80" s="6" t="str">
        <x:v>HGT-All对数据规模敏感，小数据集下性能可能显著下降。</x:v>
      </x:c>
      <x:c r="X80" s="2" t="str">
        <x:v>Accepted</x:v>
      </x:c>
      <x:c r="Y80" s="6" t="str">
        <x:v>NA</x:v>
      </x:c>
      <x:c r="Z80" s="2" t="n">
        <x:v>2</x:v>
      </x:c>
      <x:c r="AA80" s="2" t="n">
        <x:v>1</x:v>
      </x:c>
    </x:row>
    <x:row r="81" ht="76" customHeight="1">
      <x:c r="A81" s="2" t="str">
        <x:v>S14-LIMIT-R04</x:v>
      </x:c>
      <x:c r="B81" s="2" t="str">
        <x:v>S14</x:v>
      </x:c>
      <x:c r="C81" s="2" t="str">
        <x:v>merged_1142-v1</x:v>
      </x:c>
      <x:c r="D81" s="2" t="str">
        <x:v>Reviewer_A</x:v>
      </x:c>
      <x:c r="E81" s="2" t="str">
        <x:v>Reviewer_A</x:v>
      </x:c>
      <x:c r="F81" s="2" t="str">
        <x:v>S14-L04</x:v>
      </x:c>
      <x:c r="G81" s="6" t="str">
        <x:v>SR</x:v>
      </x:c>
      <x:c r="H81" s="2" t="str">
        <x:v>Authors</x:v>
      </x:c>
      <x:c r="I81" s="6" t="str">
        <x:v>作为一种基于GNN的方法，HGT-All需要在标注数据（即现有的真值追溯链接）上进行训练，以学习有效的表示和预测能力。因此，它不能直接应用于没有标注数据的项目，限制了其在冷启动场景下的适用性。</x:v>
      </x:c>
      <x:c r="J81" s="2" t="str">
        <x:v>Speculative</x:v>
      </x:c>
      <x:c r="K81" s="2" t="str">
        <x:v>S15-T01</x:v>
      </x:c>
      <x:c r="L81" s="2" t="str">
        <x:v>NR</x:v>
      </x:c>
      <x:c r="M81" s="2" t="str">
        <x:v>在没有标注数据的项目中。</x:v>
      </x:c>
      <x:c r="N81" s="2" t="str">
        <x:v>无法直接应用，限制了在冷启动场景的适用性。</x:v>
      </x:c>
      <x:c r="O81" s="6" t="str">
        <x:v>NR</x:v>
      </x:c>
      <x:c r="P81" s="2" t="str">
        <x:v>No</x:v>
      </x:c>
      <x:c r="Q81" s="2" t="str">
        <x:v>Not proposed</x:v>
      </x:c>
      <x:c r="R81" s="2" t="str">
        <x:v>supervised learning requirement; cold-start</x:v>
      </x:c>
      <x:c r="S81" s="2" t="str">
        <x:v>Supervision requirement</x:v>
      </x:c>
      <x:c r="T81" s="2" t="str">
        <x:v>Data and evidence quality</x:v>
      </x:c>
      <x:c r="U81" s="6" t="str">
        <x:v>p. 30; Section 5.2.1</x:v>
      </x:c>
      <x:c r="V81" s="6" t="str">
        <x:v>data (i.e., existing ground-truth traceability links) to learn effective representations and predictive capabilities. Therefore, it cannot be directly applied to projects without annotated data. This limits its applicability in cold-start scenarios and</x:v>
      </x:c>
      <x:c r="W81" s="6" t="str">
        <x:v>HGT-All需要标注数据，无法直接用于无标注项目。</x:v>
      </x:c>
      <x:c r="X81" s="2" t="str">
        <x:v>Accepted</x:v>
      </x:c>
      <x:c r="Y81" s="6" t="str">
        <x:v>NA</x:v>
      </x:c>
      <x:c r="Z81" s="2" t="n">
        <x:v>2</x:v>
      </x:c>
      <x:c r="AA81" s="2" t="n">
        <x:v>1</x:v>
      </x:c>
    </x:row>
    <x:row r="82" ht="76" customHeight="1">
      <x:c r="A82" s="2" t="str">
        <x:v>S14-LIMIT-R05</x:v>
      </x:c>
      <x:c r="B82" s="2" t="str">
        <x:v>S14</x:v>
      </x:c>
      <x:c r="C82" s="2" t="str">
        <x:v>merged_1142-v1</x:v>
      </x:c>
      <x:c r="D82" s="2" t="str">
        <x:v>Reviewer_A</x:v>
      </x:c>
      <x:c r="E82" s="2" t="str">
        <x:v>Reviewer_A</x:v>
      </x:c>
      <x:c r="F82" s="2" t="str">
        <x:v>S14-L05</x:v>
      </x:c>
      <x:c r="G82" s="6" t="str">
        <x:v>SR</x:v>
      </x:c>
      <x:c r="H82" s="2" t="str">
        <x:v>Authors</x:v>
      </x:c>
      <x:c r="I82" s="6" t="str">
        <x:v>作为一个大规模预训练语言模型，Gemini-All在没有针对特定项目数据进行微调的情况下，严重依赖于辅助策略信息的相关性。如果这些信息与实际追溯链接的关联性较弱，模型可能无法正确解释其重要性，甚至被误导，最终降低预测性能。</x:v>
      </x:c>
      <x:c r="J82" s="2" t="str">
        <x:v>Speculative</x:v>
      </x:c>
      <x:c r="K82" s="2" t="str">
        <x:v>S15-T01</x:v>
      </x:c>
      <x:c r="L82" s="2" t="str">
        <x:v>S15-MU01</x:v>
      </x:c>
      <x:c r="M82" s="2" t="str">
        <x:v>当辅助信息与实际追溯链接弱相关时。</x:v>
      </x:c>
      <x:c r="N82" s="2" t="str">
        <x:v>模型可能无法正确解释或受误导，降低预测性能。</x:v>
      </x:c>
      <x:c r="O82" s="6" t="str">
        <x:v>NR</x:v>
      </x:c>
      <x:c r="P82" s="2" t="str">
        <x:v>No</x:v>
      </x:c>
      <x:c r="Q82" s="2" t="str">
        <x:v>Not proposed</x:v>
      </x:c>
      <x:c r="R82" s="2" t="str">
        <x:v>auxiliary information quality; sensitivity</x:v>
      </x:c>
      <x:c r="S82" s="2" t="str">
        <x:v>Information quality sensitivity</x:v>
      </x:c>
      <x:c r="T82" s="2" t="str">
        <x:v>Scalability and deployment</x:v>
      </x:c>
      <x:c r="U82" s="6" t="str">
        <x:v>p. 30; Section 5.2.1</x:v>
      </x:c>
      <x:c r="V82" s="6" t="str">
        <x:v>If such information is weakly correlated with the actual traceability links, the model may fail to correctly interpret its significance or even be misled, ultimately degrading prediction performance.</x:v>
      </x:c>
      <x:c r="W82" s="6" t="str">
        <x:v>Gemini-All对辅助信息质量敏感，低质量信息可能误导模型。</x:v>
      </x:c>
      <x:c r="X82" s="2" t="str">
        <x:v>Accepted</x:v>
      </x:c>
      <x:c r="Y82" s="6" t="str">
        <x:v>NA</x:v>
      </x:c>
      <x:c r="Z82" s="2" t="n">
        <x:v>2</x:v>
      </x:c>
      <x:c r="AA82" s="2" t="n">
        <x:v>1</x:v>
      </x:c>
    </x:row>
    <x:row r="83" ht="76" customHeight="1">
      <x:c r="A83" s="2" t="str">
        <x:v>S14-LIMIT-R06</x:v>
      </x:c>
      <x:c r="B83" s="2" t="str">
        <x:v>S14</x:v>
      </x:c>
      <x:c r="C83" s="2" t="str">
        <x:v>merged_1142-v1</x:v>
      </x:c>
      <x:c r="D83" s="2" t="str">
        <x:v>Reviewer_A</x:v>
      </x:c>
      <x:c r="E83" s="2" t="str">
        <x:v>Reviewer_A</x:v>
      </x:c>
      <x:c r="F83" s="2" t="str">
        <x:v>S14-L06</x:v>
      </x:c>
      <x:c r="G83" s="6" t="str">
        <x:v>SR</x:v>
      </x:c>
      <x:c r="H83" s="2" t="str">
        <x:v>Authors</x:v>
      </x:c>
      <x:c r="I83" s="6" t="str">
        <x:v>由于Gemini-All涉及查询大型语言模型API，其推理过程资源密集且通常按token用量计费。当应用于大规模需求集时，可能产生巨大的财务成本，且推理速度相对较慢，不适合实时或时间敏感的工业场景。</x:v>
      </x:c>
      <x:c r="J83" s="2" t="str">
        <x:v>Speculative</x:v>
      </x:c>
      <x:c r="K83" s="2" t="str">
        <x:v>S15-T01</x:v>
      </x:c>
      <x:c r="L83" s="2" t="str">
        <x:v>S15-MU01</x:v>
      </x:c>
      <x:c r="M83" s="2" t="str">
        <x:v>在资源受限或预算有限的情况下。</x:v>
      </x:c>
      <x:c r="N83" s="2" t="str">
        <x:v>可扩展性和实用性可能受限。</x:v>
      </x:c>
      <x:c r="O83" s="6" t="str">
        <x:v>NR</x:v>
      </x:c>
      <x:c r="P83" s="2" t="str">
        <x:v>No</x:v>
      </x:c>
      <x:c r="Q83" s="2" t="str">
        <x:v>Not proposed</x:v>
      </x:c>
      <x:c r="R83" s="2" t="str">
        <x:v>computational cost; financial cost</x:v>
      </x:c>
      <x:c r="S83" s="2" t="str">
        <x:v>Cost limitation</x:v>
      </x:c>
      <x:c r="T83" s="2" t="str">
        <x:v>Scalability and deployment</x:v>
      </x:c>
      <x:c r="U83" s="6" t="str">
        <x:v>p. 30; Section 5.2.2</x:v>
      </x:c>
      <x:c r="V83" s="6" t="str">
        <x:v>relatively slow inference speed makes it less suitable for real-time or time-sensitive industrial scenarios.</x:v>
      </x:c>
      <x:c r="W83" s="6" t="str">
        <x:v>Gemini-All计算成本高，推理慢，不适合实时场景。</x:v>
      </x:c>
      <x:c r="X83" s="2" t="str">
        <x:v>Accepted</x:v>
      </x:c>
      <x:c r="Y83" s="6" t="str">
        <x:v>NA</x:v>
      </x:c>
      <x:c r="Z83" s="2" t="n">
        <x:v>2</x:v>
      </x:c>
      <x:c r="AA83" s="2" t="n">
        <x:v>1</x:v>
      </x:c>
    </x:row>
    <x:row r="84" ht="76" customHeight="1">
      <x:c r="A84" s="2" t="str">
        <x:v>S14-LIMIT-R07</x:v>
      </x:c>
      <x:c r="B84" s="2" t="str">
        <x:v>S14</x:v>
      </x:c>
      <x:c r="C84" s="2" t="str">
        <x:v>merged_1142-v1</x:v>
      </x:c>
      <x:c r="D84" s="2" t="str">
        <x:v>Reviewer_A</x:v>
      </x:c>
      <x:c r="E84" s="2" t="str">
        <x:v>Reviewer_A</x:v>
      </x:c>
      <x:c r="F84" s="2" t="str">
        <x:v>S14-L07</x:v>
      </x:c>
      <x:c r="G84" s="6" t="str">
        <x:v>SR</x:v>
      </x:c>
      <x:c r="H84" s="2" t="str">
        <x:v>Authors</x:v>
      </x:c>
      <x:c r="I84" s="6" t="str">
        <x:v>HGT-All的性能高度依赖于训练数据标注的质量和数量。对于企业来说，这对数据标注人员的专业水平提出了高要求，并且需要大量人力资源投入，导致运营成本增加。</x:v>
      </x:c>
      <x:c r="J84" s="2" t="str">
        <x:v>Speculative</x:v>
      </x:c>
      <x:c r="K84" s="2" t="str">
        <x:v>S15-T01</x:v>
      </x:c>
      <x:c r="L84" s="2" t="str">
        <x:v>NR</x:v>
      </x:c>
      <x:c r="M84" s="2" t="str">
        <x:v>企业应用中。</x:v>
      </x:c>
      <x:c r="N84" s="2" t="str">
        <x:v>需要大量人力资源投入，增加运营成本。</x:v>
      </x:c>
      <x:c r="O84" s="6" t="str">
        <x:v>NR</x:v>
      </x:c>
      <x:c r="P84" s="2" t="str">
        <x:v>No</x:v>
      </x:c>
      <x:c r="Q84" s="2" t="str">
        <x:v>Not proposed</x:v>
      </x:c>
      <x:c r="R84" s="2" t="str">
        <x:v>label quality; human resource</x:v>
      </x:c>
      <x:c r="S84" s="2" t="str">
        <x:v>Label quality requirement</x:v>
      </x:c>
      <x:c r="T84" s="2" t="str">
        <x:v>Data and evidence quality</x:v>
      </x:c>
      <x:c r="U84" s="6" t="str">
        <x:v>p. 30; Section 5.2.2</x:v>
      </x:c>
      <x:c r="V84" s="6" t="str">
        <x:v>places high demands on the expertise of data labeling personnel. Furthermore, meeting the model’s training requirements often necessitates significant human resource investment, leading to increased operational costs.</x:v>
      </x:c>
      <x:c r="W84" s="6" t="str">
        <x:v>HGT-All依赖高质量标注，需要大量人力资源。</x:v>
      </x:c>
      <x:c r="X84" s="2" t="str">
        <x:v>Accepted</x:v>
      </x:c>
      <x:c r="Y84" s="6" t="str">
        <x:v>NA</x:v>
      </x:c>
      <x:c r="Z84" s="2" t="n">
        <x:v>2</x:v>
      </x:c>
      <x:c r="AA84" s="2" t="n">
        <x:v>1</x:v>
      </x:c>
    </x:row>
    <x:row r="85" ht="76" customHeight="1">
      <x:c r="A85" s="2" t="str">
        <x:v>S15-LIMIT-R01</x:v>
      </x:c>
      <x:c r="B85" s="2" t="str">
        <x:v>S15</x:v>
      </x:c>
      <x:c r="C85" s="2" t="str">
        <x:v>merged_1143</x:v>
      </x:c>
      <x:c r="D85" s="2" t="str">
        <x:v>Reviewer_A</x:v>
      </x:c>
      <x:c r="E85" s="2" t="str">
        <x:v>Reviewer_A</x:v>
      </x:c>
      <x:c r="F85" s="2" t="str">
        <x:v>S15-L01</x:v>
      </x:c>
      <x:c r="G85" s="6" t="str">
        <x:v>SR</x:v>
      </x:c>
      <x:c r="H85" s="2" t="str">
        <x:v>Authors</x:v>
      </x:c>
      <x:c r="I85" s="6" t="str">
        <x:v>未评估提取的目标是否可观察或可控，也未检查是否发生目标倒退，这可能威胁构造效度。</x:v>
      </x:c>
      <x:c r="J85" s="2" t="str">
        <x:v>Speculative</x:v>
      </x:c>
      <x:c r="K85" s="2" t="str">
        <x:v>S16-T01</x:v>
      </x:c>
      <x:c r="L85" s="2" t="str">
        <x:v>S16-MU03</x:v>
      </x:c>
      <x:c r="M85" s="2" t="str">
        <x:v>goal extraction from interview transcripts</x:v>
      </x:c>
      <x:c r="N85" s="2" t="str">
        <x:v>extracted goals may not fit theoretical construct of goals</x:v>
      </x:c>
      <x:c r="O85" s="6" t="str">
        <x:v>NR</x:v>
      </x:c>
      <x:c r="P85" s="2" t="str">
        <x:v>No</x:v>
      </x:c>
      <x:c r="Q85" s="2" t="str">
        <x:v>Not proposed</x:v>
      </x:c>
      <x:c r="R85" s="2" t="str">
        <x:v>NR</x:v>
      </x:c>
      <x:c r="S85" s="2" t="str">
        <x:v>NR</x:v>
      </x:c>
      <x:c r="T85" s="2" t="str">
        <x:v>Evaluation and validity</x:v>
      </x:c>
      <x:c r="U85" s="6" t="str">
        <x:v>p. 10; Section VII</x:v>
      </x:c>
      <x:c r="V85" s="6" t="str">
        <x:v>We did not evaluate the extracted goals for whether they were observable or controllable, nor did we check for whether goal regress was occurring, which may be a threat to construct validity.</x:v>
      </x:c>
      <x:c r="W85" s="6" t="str">
        <x:v>作者未对提取的目标进行可观察性或可控性评估，可能影响目标定义的构念效度。</x:v>
      </x:c>
      <x:c r="X85" s="2" t="str">
        <x:v>Accepted</x:v>
      </x:c>
      <x:c r="Y85" s="6" t="str">
        <x:v>NA</x:v>
      </x:c>
      <x:c r="Z85" s="2" t="n">
        <x:v>2</x:v>
      </x:c>
      <x:c r="AA85" s="2" t="n">
        <x:v>1</x:v>
      </x:c>
    </x:row>
    <x:row r="86" ht="76" customHeight="1">
      <x:c r="A86" s="2" t="str">
        <x:v>S15-LIMIT-R02</x:v>
      </x:c>
      <x:c r="B86" s="2" t="str">
        <x:v>S15</x:v>
      </x:c>
      <x:c r="C86" s="2" t="str">
        <x:v>merged_1143</x:v>
      </x:c>
      <x:c r="D86" s="2" t="str">
        <x:v>Reviewer_A</x:v>
      </x:c>
      <x:c r="E86" s="2" t="str">
        <x:v>Reviewer_A</x:v>
      </x:c>
      <x:c r="F86" s="2" t="str">
        <x:v>S15-L02</x:v>
      </x:c>
      <x:c r="G86" s="6" t="str">
        <x:v>SR</x:v>
      </x:c>
      <x:c r="H86" s="2" t="str">
        <x:v>Authors</x:v>
      </x:c>
      <x:c r="I86" s="6" t="str">
        <x:v>细化关系定义只包含OR细化，排除了AND细化，可能限制目标模型的表达能力。</x:v>
      </x:c>
      <x:c r="J86" s="2" t="str">
        <x:v>Speculative</x:v>
      </x:c>
      <x:c r="K86" s="2" t="str">
        <x:v>S16-T02</x:v>
      </x:c>
      <x:c r="L86" s="2" t="str">
        <x:v>S16-MU03</x:v>
      </x:c>
      <x:c r="M86" s="2" t="str">
        <x:v>goal model generation</x:v>
      </x:c>
      <x:c r="N86" s="2" t="str">
        <x:v>may not represent all refinement types</x:v>
      </x:c>
      <x:c r="O86" s="6" t="str">
        <x:v>NR</x:v>
      </x:c>
      <x:c r="P86" s="2" t="str">
        <x:v>No</x:v>
      </x:c>
      <x:c r="Q86" s="2" t="str">
        <x:v>Not proposed</x:v>
      </x:c>
      <x:c r="R86" s="2" t="str">
        <x:v>NR</x:v>
      </x:c>
      <x:c r="S86" s="2" t="str">
        <x:v>NR</x:v>
      </x:c>
      <x:c r="T86" s="2" t="str">
        <x:v>Context and prompt dependence</x:v>
      </x:c>
      <x:c r="U86" s="6" t="str">
        <x:v>p. 10; Section VII</x:v>
      </x:c>
      <x:c r="V86" s="6" t="str">
        <x:v>goals in response to RQ2. Finally, our definition of refinement relationship excludes AND-refinements and only covers ORrefinements.</x:v>
      </x:c>
      <x:c r="W86" s="6" t="str">
        <x:v>目标模型只包含OR细化，缺少AND细化，可能不完整。</x:v>
      </x:c>
      <x:c r="X86" s="2" t="str">
        <x:v>Accepted</x:v>
      </x:c>
      <x:c r="Y86" s="6" t="str">
        <x:v>NA</x:v>
      </x:c>
      <x:c r="Z86" s="2" t="n">
        <x:v>2</x:v>
      </x:c>
      <x:c r="AA86" s="2" t="n">
        <x:v>1</x:v>
      </x:c>
    </x:row>
    <x:row r="87" ht="76" customHeight="1">
      <x:c r="A87" s="2" t="str">
        <x:v>S15-LIMIT-R03</x:v>
      </x:c>
      <x:c r="B87" s="2" t="str">
        <x:v>S15</x:v>
      </x:c>
      <x:c r="C87" s="2" t="str">
        <x:v>merged_1143</x:v>
      </x:c>
      <x:c r="D87" s="2" t="str">
        <x:v>Reviewer_A</x:v>
      </x:c>
      <x:c r="E87" s="2" t="str">
        <x:v>Reviewer_A</x:v>
      </x:c>
      <x:c r="F87" s="2" t="str">
        <x:v>S15-L03</x:v>
      </x:c>
      <x:c r="G87" s="6" t="str">
        <x:v>SR</x:v>
      </x:c>
      <x:c r="H87" s="2" t="str">
        <x:v>Authors</x:v>
      </x:c>
      <x:c r="I87" s="6" t="str">
        <x:v>访谈由学生访谈者进行，而非专业软件工程师，可能影响结果的外部推广性。</x:v>
      </x:c>
      <x:c r="J87" s="2" t="str">
        <x:v>Speculative</x:v>
      </x:c>
      <x:c r="K87" s="2" t="str">
        <x:v>Multiple</x:v>
      </x:c>
      <x:c r="L87" s="2" t="str">
        <x:v>S16-MU03</x:v>
      </x:c>
      <x:c r="M87" s="2" t="str">
        <x:v>interview transcripts</x:v>
      </x:c>
      <x:c r="N87" s="2" t="str">
        <x:v>stakeholder responses may differ from those obtained by professional interviewers</x:v>
      </x:c>
      <x:c r="O87" s="6" t="str">
        <x:v>NR</x:v>
      </x:c>
      <x:c r="P87" s="2" t="str">
        <x:v>No</x:v>
      </x:c>
      <x:c r="Q87" s="2" t="str">
        <x:v>Not proposed</x:v>
      </x:c>
      <x:c r="R87" s="2" t="str">
        <x:v>NR</x:v>
      </x:c>
      <x:c r="S87" s="2" t="str">
        <x:v>NR</x:v>
      </x:c>
      <x:c r="T87" s="2" t="str">
        <x:v>Evaluation and validity</x:v>
      </x:c>
      <x:c r="U87" s="6" t="str">
        <x:v>p. 10; Section VII</x:v>
      </x:c>
      <x:c r="V87" s="6" t="str">
        <x:v>The stakeholder responses obtained by professional software engineers with industry experience conducting interviews may differ from those obtained by the student interviewers in this study.</x:v>
      </x:c>
      <x:c r="W87" s="6" t="str">
        <x:v>学生访谈者的经验可能不足，影响需求获取的代表性。</x:v>
      </x:c>
      <x:c r="X87" s="2" t="str">
        <x:v>Accepted</x:v>
      </x:c>
      <x:c r="Y87" s="6" t="str">
        <x:v>Authors note that assignments were evaluated against a rubric, but this does not directly mitigate the threat.</x:v>
      </x:c>
      <x:c r="Z87" s="2" t="n">
        <x:v>2</x:v>
      </x:c>
      <x:c r="AA87" s="2" t="n">
        <x:v>1</x:v>
      </x:c>
    </x:row>
    <x:row r="88" ht="76" customHeight="1">
      <x:c r="A88" s="2" t="str">
        <x:v>S15-LIMIT-R04</x:v>
      </x:c>
      <x:c r="B88" s="2" t="str">
        <x:v>S15</x:v>
      </x:c>
      <x:c r="C88" s="2" t="str">
        <x:v>merged_1143</x:v>
      </x:c>
      <x:c r="D88" s="2" t="str">
        <x:v>Reviewer_A</x:v>
      </x:c>
      <x:c r="E88" s="2" t="str">
        <x:v>Reviewer_A</x:v>
      </x:c>
      <x:c r="F88" s="2" t="str">
        <x:v>S15-L04</x:v>
      </x:c>
      <x:c r="G88" s="6" t="str">
        <x:v>SR</x:v>
      </x:c>
      <x:c r="H88" s="2" t="str">
        <x:v>Authors</x:v>
      </x:c>
      <x:c r="I88" s="6" t="str">
        <x:v>提示和输出仅限于GPT-4o，不同模型间的性能可能无法迁移。</x:v>
      </x:c>
      <x:c r="J88" s="2" t="str">
        <x:v>Speculative</x:v>
      </x:c>
      <x:c r="K88" s="2" t="str">
        <x:v>Multiple</x:v>
      </x:c>
      <x:c r="L88" s="2" t="str">
        <x:v>S16-MU03</x:v>
      </x:c>
      <x:c r="M88" s="2" t="str">
        <x:v>all prompting tasks</x:v>
      </x:c>
      <x:c r="N88" s="2" t="str">
        <x:v>findings may not generalize to other LLMs</x:v>
      </x:c>
      <x:c r="O88" s="6" t="str">
        <x:v>NR</x:v>
      </x:c>
      <x:c r="P88" s="2" t="str">
        <x:v>No</x:v>
      </x:c>
      <x:c r="Q88" s="2" t="str">
        <x:v>Not proposed</x:v>
      </x:c>
      <x:c r="R88" s="2" t="str">
        <x:v>NR</x:v>
      </x:c>
      <x:c r="S88" s="2" t="str">
        <x:v>NR</x:v>
      </x:c>
      <x:c r="T88" s="2" t="str">
        <x:v>Generalizability and scope</x:v>
      </x:c>
      <x:c r="U88" s="6" t="str">
        <x:v>p. 10; Section VII</x:v>
      </x:c>
      <x:c r="V88" s="6" t="str">
        <x:v>class instructors. (2) The prompts and prompt outputs (e.g., extracted goals and generated goal models) are limited to GPT-</x:v>
      </x:c>
      <x:c r="W88" s="6" t="str">
        <x:v>研究结果可能只适用于GPT-4o，其他模型效果未知。</x:v>
      </x:c>
      <x:c r="X88" s="2" t="str">
        <x:v>Accepted</x:v>
      </x:c>
      <x:c r="Y88" s="6" t="str">
        <x:v>NA</x:v>
      </x:c>
      <x:c r="Z88" s="2" t="n">
        <x:v>2</x:v>
      </x:c>
      <x:c r="AA88" s="2" t="n">
        <x:v>1</x:v>
      </x:c>
    </x:row>
    <x:row r="89" ht="76" customHeight="1">
      <x:c r="A89" s="2" t="str">
        <x:v>S16-LIMIT-R01</x:v>
      </x:c>
      <x:c r="B89" s="2" t="str">
        <x:v>S16</x:v>
      </x:c>
      <x:c r="C89" s="2" t="str">
        <x:v>merged_1144</x:v>
      </x:c>
      <x:c r="D89" s="2" t="str">
        <x:v>Reviewer_A</x:v>
      </x:c>
      <x:c r="E89" s="2" t="str">
        <x:v>Reviewer_A</x:v>
      </x:c>
      <x:c r="F89" s="2" t="str">
        <x:v>S16-L01</x:v>
      </x:c>
      <x:c r="G89" s="6" t="str">
        <x:v>SR</x:v>
      </x:c>
      <x:c r="H89" s="2" t="str">
        <x:v>Authors</x:v>
      </x:c>
      <x:c r="I89" s="6" t="str">
        <x:v>实验实现中的错误可能导致内部效度威胁，但作者通过复制基线工具并验证其先前结果将威胁降至最低。</x:v>
      </x:c>
      <x:c r="J89" s="2" t="str">
        <x:v>Empirical</x:v>
      </x:c>
      <x:c r="K89" s="2" t="str">
        <x:v>S17-T01</x:v>
      </x:c>
      <x:c r="L89" s="2" t="str">
        <x:v>Multiple</x:v>
      </x:c>
      <x:c r="M89" s="2" t="str">
        <x:v>实验实现与基线复制</x:v>
      </x:c>
      <x:c r="N89" s="2" t="str">
        <x:v>可能产生错误的实验结论，但已缓解</x:v>
      </x:c>
      <x:c r="O89" s="6" t="str">
        <x:v>Authors state threat is minimal after mitigation</x:v>
      </x:c>
      <x:c r="P89" s="2" t="str">
        <x:v>复制了EALink的公开代码，并确保在扩展实验前复现了其先前报告的结果</x:v>
      </x:c>
      <x:c r="Q89" s="2" t="str">
        <x:v>Implemented</x:v>
      </x:c>
      <x:c r="R89" s="2" t="str">
        <x:v>threat_internal_validity</x:v>
      </x:c>
      <x:c r="S89" s="2" t="str">
        <x:v>validity_threat</x:v>
      </x:c>
      <x:c r="T89" s="2" t="str">
        <x:v>Evaluation and validity</x:v>
      </x:c>
      <x:c r="U89" s="6" t="str">
        <x:v>p. 10; Section 7.2</x:v>
      </x:c>
      <x:c r="V89" s="6" t="str">
        <x:v>We ensured that we replicated its previously reported results before extending the experiments. Therefore, the threats to internal validity are minimal.</x:v>
      </x:c>
      <x:c r="W89" s="6" t="str">
        <x:v>作者通过严格复制基线来缓解内部效度威胁，将实现错误的风险降至最低。</x:v>
      </x:c>
      <x:c r="X89" s="2" t="str">
        <x:v>Accepted</x:v>
      </x:c>
      <x:c r="Y89" s="6" t="str">
        <x:v>NR</x:v>
      </x:c>
      <x:c r="Z89" s="2" t="n">
        <x:v>3</x:v>
      </x:c>
      <x:c r="AA89" s="2" t="n">
        <x:v>3</x:v>
      </x:c>
    </x:row>
    <x:row r="90" ht="76" customHeight="1">
      <x:c r="A90" s="2" t="str">
        <x:v>S16-LIMIT-R02</x:v>
      </x:c>
      <x:c r="B90" s="2" t="str">
        <x:v>S16</x:v>
      </x:c>
      <x:c r="C90" s="2" t="str">
        <x:v>merged_1144</x:v>
      </x:c>
      <x:c r="D90" s="2" t="str">
        <x:v>Reviewer_A</x:v>
      </x:c>
      <x:c r="E90" s="2" t="str">
        <x:v>Reviewer_A</x:v>
      </x:c>
      <x:c r="F90" s="2" t="str">
        <x:v>S16-L02</x:v>
      </x:c>
      <x:c r="G90" s="6" t="str">
        <x:v>SR</x:v>
      </x:c>
      <x:c r="H90" s="2" t="str">
        <x:v>Authors</x:v>
      </x:c>
      <x:c r="I90" s="6" t="str">
        <x:v>评估指标的选择可能构成构造效度威胁，但作者采用广泛使用的指标并补充Recall@k，认为威胁极小。</x:v>
      </x:c>
      <x:c r="J90" s="2" t="str">
        <x:v>Empirical</x:v>
      </x:c>
      <x:c r="K90" s="2" t="str">
        <x:v>S17-T01</x:v>
      </x:c>
      <x:c r="L90" s="2" t="str">
        <x:v>Multiple</x:v>
      </x:c>
      <x:c r="M90" s="2" t="str">
        <x:v>评估指标选择</x:v>
      </x:c>
      <x:c r="N90" s="2" t="str">
        <x:v>可能无法全面衡量模型性能，但已通过标准指标集缓解</x:v>
      </x:c>
      <x:c r="O90" s="6" t="str">
        <x:v>Authors believe threat is minimal</x:v>
      </x:c>
      <x:c r="P90" s="2" t="str">
        <x:v>使用Precision@k、Hit@k、MRR、NDCG@k等广泛采用的指标，并额外纳入Recall@k</x:v>
      </x:c>
      <x:c r="Q90" s="2" t="str">
        <x:v>Implemented</x:v>
      </x:c>
      <x:c r="R90" s="2" t="str">
        <x:v>threat_construct_validity</x:v>
      </x:c>
      <x:c r="S90" s="2" t="str">
        <x:v>validity_threat</x:v>
      </x:c>
      <x:c r="T90" s="2" t="str">
        <x:v>Evaluation and validity</x:v>
      </x:c>
      <x:c r="U90" s="6" t="str">
        <x:v>p. 10; Section 7.2</x:v>
      </x:c>
      <x:c r="V90" s="6" t="str">
        <x:v>We also included Recall@k, a standard information retrieval evaluation metric, overlooked in prior issue-commit linking work. Consequently, we believe that any threat to construct validity is minimal.</x:v>
      </x:c>
      <x:c r="W90" s="6" t="str">
        <x:v>作者通过采用标准信息检索指标集并补充先前工作忽略的召回率指标，缓解了构造效度威胁。</x:v>
      </x:c>
      <x:c r="X90" s="2" t="str">
        <x:v>Accepted</x:v>
      </x:c>
      <x:c r="Y90" s="6" t="str">
        <x:v>NR</x:v>
      </x:c>
      <x:c r="Z90" s="2" t="n">
        <x:v>3</x:v>
      </x:c>
      <x:c r="AA90" s="2" t="n">
        <x:v>3</x:v>
      </x:c>
    </x:row>
    <x:row r="91" ht="76" customHeight="1">
      <x:c r="A91" s="2" t="str">
        <x:v>S16-LIMIT-R03</x:v>
      </x:c>
      <x:c r="B91" s="2" t="str">
        <x:v>S16</x:v>
      </x:c>
      <x:c r="C91" s="2" t="str">
        <x:v>merged_1144</x:v>
      </x:c>
      <x:c r="D91" s="2" t="str">
        <x:v>Reviewer_A</x:v>
      </x:c>
      <x:c r="E91" s="2" t="str">
        <x:v>Reviewer_A</x:v>
      </x:c>
      <x:c r="F91" s="2" t="str">
        <x:v>S16-L03</x:v>
      </x:c>
      <x:c r="G91" s="6" t="str">
        <x:v>SR</x:v>
      </x:c>
      <x:c r="H91" s="2" t="str">
        <x:v>Authors</x:v>
      </x:c>
      <x:c r="I91" s="6" t="str">
        <x:v>实验结果的可泛化性可能因项目选择或实验次数受限而受到威胁，但作者使用大型基准并重复实验以减轻此影响。</x:v>
      </x:c>
      <x:c r="J91" s="2" t="str">
        <x:v>Empirical</x:v>
      </x:c>
      <x:c r="K91" s="2" t="str">
        <x:v>S17-T01</x:v>
      </x:c>
      <x:c r="L91" s="2" t="str">
        <x:v>Multiple</x:v>
      </x:c>
      <x:c r="M91" s="2" t="str">
        <x:v>数据集和实验设置的外部有效性</x:v>
      </x:c>
      <x:c r="N91" s="2" t="str">
        <x:v>结果可能不够泛化，但通过大规模基准和重复实验已缓解</x:v>
      </x:c>
      <x:c r="O91" s="6" t="str">
        <x:v>Authors state threat is minimal after mitigation</x:v>
      </x:c>
      <x:c r="P91" s="2" t="str">
        <x:v>使用包含20个项目的最大规模基准，并重复实验五次，标准差低于1%表明结果稳定</x:v>
      </x:c>
      <x:c r="Q91" s="2" t="str">
        <x:v>Implemented</x:v>
      </x:c>
      <x:c r="R91" s="2" t="str">
        <x:v>threat_external_validity</x:v>
      </x:c>
      <x:c r="S91" s="2" t="str">
        <x:v>validity_threat</x:v>
      </x:c>
      <x:c r="T91" s="2" t="str">
        <x:v>Evaluation and validity</x:v>
      </x:c>
      <x:c r="U91" s="6" t="str">
        <x:v>p. 10; Section 7.2</x:v>
      </x:c>
      <x:c r="V91" s="6" t="str">
        <x:v>To mitigate the effect of randomness, we repeated our experiments five times. For all metrics, the average results exhibit standard deviations below 1%. Given the stability of the results, repeating the experiments would not yield different findings. As such, there are minimal threats to external validity.</x:v>
      </x:c>
      <x:c r="W91" s="6" t="str">
        <x:v>作者通过扩大基准规模和多次重复实验证明结果稳定，从而将外部效度威胁降至最低。</x:v>
      </x:c>
      <x:c r="X91" s="2" t="str">
        <x:v>Accepted</x:v>
      </x:c>
      <x:c r="Y91" s="6" t="str">
        <x:v>NR</x:v>
      </x:c>
      <x:c r="Z91" s="2" t="n">
        <x:v>3</x:v>
      </x:c>
      <x:c r="AA91" s="2" t="n">
        <x:v>3</x:v>
      </x:c>
    </x:row>
    <x:row r="92" ht="76" customHeight="1">
      <x:c r="A92" s="2" t="str">
        <x:v>S17-LIMIT-R01</x:v>
      </x:c>
      <x:c r="B92" s="2" t="str">
        <x:v>S17</x:v>
      </x:c>
      <x:c r="C92" s="2" t="str">
        <x:v>merged_1148-v1</x:v>
      </x:c>
      <x:c r="D92" s="2" t="str">
        <x:v>Reviewer_A</x:v>
      </x:c>
      <x:c r="E92" s="2" t="str">
        <x:v>Reviewer_A</x:v>
      </x:c>
      <x:c r="F92" s="2" t="str">
        <x:v>S17-L01</x:v>
      </x:c>
      <x:c r="G92" s="6" t="str">
        <x:v>SR</x:v>
      </x:c>
      <x:c r="H92" s="2" t="str">
        <x:v>Authors</x:v>
      </x:c>
      <x:c r="I92" s="6" t="str">
        <x:v>案例研究可能包含在LLM的训练数据中，导致数据泄露，影响生成结果。</x:v>
      </x:c>
      <x:c r="J92" s="2" t="str">
        <x:v>Speculative</x:v>
      </x:c>
      <x:c r="K92" s="2" t="str">
        <x:v>Multiple</x:v>
      </x:c>
      <x:c r="L92" s="2" t="str">
        <x:v>Multiple</x:v>
      </x:c>
      <x:c r="M92" s="2" t="str">
        <x:v>LLM可能已经见过公开的STPA手册案例。</x:v>
      </x:c>
      <x:c r="N92" s="2" t="str">
        <x:v>生成的UCA和loss scenario可能不是完全新颖的，影响有效性。</x:v>
      </x:c>
      <x:c r="O92" s="6" t="str">
        <x:v>NR</x:v>
      </x:c>
      <x:c r="P92" s="2" t="str">
        <x:v>NR</x:v>
      </x:c>
      <x:c r="Q92" s="2" t="str">
        <x:v>Not proposed</x:v>
      </x:c>
      <x:c r="R92" s="2" t="str">
        <x:v>Data leakage</x:v>
      </x:c>
      <x:c r="S92" s="2" t="str">
        <x:v>Data leakage</x:v>
      </x:c>
      <x:c r="T92" s="2" t="str">
        <x:v>Data and evidence quality</x:v>
      </x:c>
      <x:c r="U92" s="6" t="str">
        <x:v>p. 10; Section VI-B, Limitations</x:v>
      </x:c>
      <x:c r="V92" s="6" t="str">
        <x:v>It is possible that our case studies, being publicly available along with all the other existing literature, have been included in the LLMs’ training data and hence the generated artifacts were impacted by the data leakages.</x:v>
      </x:c>
      <x:c r="W92" s="6" t="str">
        <x:v>作者指出，由于STPA手册及案例研究是公开可用的，可能已被用于训练LLM，从而导致生成结果的泄漏，影响研究的外部有效性。</x:v>
      </x:c>
      <x:c r="X92" s="2" t="str">
        <x:v>Accepted</x:v>
      </x:c>
      <x:c r="Y92" s="6" t="str">
        <x:v>NR</x:v>
      </x:c>
      <x:c r="Z92" s="2" t="n">
        <x:v>2</x:v>
      </x:c>
      <x:c r="AA92" s="2" t="n">
        <x:v>1</x:v>
      </x:c>
    </x:row>
    <x:row r="93" ht="76" customHeight="1">
      <x:c r="A93" s="2" t="str">
        <x:v>S17-LIMIT-R02</x:v>
      </x:c>
      <x:c r="B93" s="2" t="str">
        <x:v>S17</x:v>
      </x:c>
      <x:c r="C93" s="2" t="str">
        <x:v>merged_1148-v1</x:v>
      </x:c>
      <x:c r="D93" s="2" t="str">
        <x:v>Reviewer_A</x:v>
      </x:c>
      <x:c r="E93" s="2" t="str">
        <x:v>Reviewer_A</x:v>
      </x:c>
      <x:c r="F93" s="2" t="str">
        <x:v>S17-L02</x:v>
      </x:c>
      <x:c r="G93" s="6" t="str">
        <x:v>SR</x:v>
      </x:c>
      <x:c r="H93" s="2" t="str">
        <x:v>Authors</x:v>
      </x:c>
      <x:c r="I93" s="6" t="str">
        <x:v>案例研究规模较小，仅限于STPA手册中的示例。</x:v>
      </x:c>
      <x:c r="J93" s="2" t="str">
        <x:v>Empirical</x:v>
      </x:c>
      <x:c r="K93" s="2" t="str">
        <x:v>Multiple</x:v>
      </x:c>
      <x:c r="L93" s="2" t="str">
        <x:v>Multiple</x:v>
      </x:c>
      <x:c r="M93" s="2" t="str">
        <x:v>仅使用手册中的示例进行实验。</x:v>
      </x:c>
      <x:c r="N93" s="2" t="str">
        <x:v>结果可能无法推广到更广泛的实际系统。</x:v>
      </x:c>
      <x:c r="O93" s="6" t="str">
        <x:v>NR</x:v>
      </x:c>
      <x:c r="P93" s="2" t="str">
        <x:v>NR</x:v>
      </x:c>
      <x:c r="Q93" s="2" t="str">
        <x:v>Not proposed</x:v>
      </x:c>
      <x:c r="R93" s="2" t="str">
        <x:v>Small sample</x:v>
      </x:c>
      <x:c r="S93" s="2" t="str">
        <x:v>Small sample</x:v>
      </x:c>
      <x:c r="T93" s="2" t="str">
        <x:v>Generalizability and scope</x:v>
      </x:c>
      <x:c r="U93" s="6" t="str">
        <x:v>p. 10; Section VI-B, Limitations</x:v>
      </x:c>
      <x:c r="V93" s="6" t="str">
        <x:v>Our case study is very small and limited to the examples in the STPA Handbook.</x:v>
      </x:c>
      <x:c r="W93" s="6" t="str">
        <x:v>研究仅评估了STPA手册中的示例，样本量小，限制了结论的普遍性。</x:v>
      </x:c>
      <x:c r="X93" s="2" t="str">
        <x:v>Accepted</x:v>
      </x:c>
      <x:c r="Y93" s="6" t="str">
        <x:v>NR</x:v>
      </x:c>
      <x:c r="Z93" s="2" t="n">
        <x:v>3</x:v>
      </x:c>
      <x:c r="AA93" s="2" t="n">
        <x:v>1</x:v>
      </x:c>
    </x:row>
    <x:row r="94" ht="76" customHeight="1">
      <x:c r="A94" s="2" t="str">
        <x:v>S17-LIMIT-R03</x:v>
      </x:c>
      <x:c r="B94" s="2" t="str">
        <x:v>S17</x:v>
      </x:c>
      <x:c r="C94" s="2" t="str">
        <x:v>merged_1148-v1</x:v>
      </x:c>
      <x:c r="D94" s="2" t="str">
        <x:v>Reviewer_A</x:v>
      </x:c>
      <x:c r="E94" s="2" t="str">
        <x:v>Reviewer_A</x:v>
      </x:c>
      <x:c r="F94" s="2" t="str">
        <x:v>S17-L03</x:v>
      </x:c>
      <x:c r="G94" s="6" t="str">
        <x:v>SR</x:v>
      </x:c>
      <x:c r="H94" s="2" t="str">
        <x:v>Authors</x:v>
      </x:c>
      <x:c r="I94" s="6" t="str">
        <x:v>人工标注可能错误地标记了合成的UCA和loss scenario。</x:v>
      </x:c>
      <x:c r="J94" s="2" t="str">
        <x:v>Speculative</x:v>
      </x:c>
      <x:c r="K94" s="2" t="str">
        <x:v>Multiple</x:v>
      </x:c>
      <x:c r="L94" s="2" t="str">
        <x:v>Multiple</x:v>
      </x:c>
      <x:c r="M94" s="2" t="str">
        <x:v>人工标注过程可能存在偏差。</x:v>
      </x:c>
      <x:c r="N94" s="2" t="str">
        <x:v>评估结果的准确性可能受到影响。</x:v>
      </x:c>
      <x:c r="O94" s="6" t="str">
        <x:v>NR</x:v>
      </x:c>
      <x:c r="P94" s="2" t="str">
        <x:v>NR</x:v>
      </x:c>
      <x:c r="Q94" s="2" t="str">
        <x:v>Not proposed</x:v>
      </x:c>
      <x:c r="R94" s="2" t="str">
        <x:v>Annotation error</x:v>
      </x:c>
      <x:c r="S94" s="2" t="str">
        <x:v>Annotation error</x:v>
      </x:c>
      <x:c r="T94" s="2" t="str">
        <x:v>Data and evidence quality</x:v>
      </x:c>
      <x:c r="U94" s="6" t="str">
        <x:v>p. 10; Section VI-B, Limitations</x:v>
      </x:c>
      <x:c r="V94" s="6" t="str">
        <x:v>It is also possible that our annotations have incorrectly marked the synthesized UCAs and loss scenarios.</x:v>
      </x:c>
      <x:c r="W94" s="6" t="str">
        <x:v>作者承认人工标注可能存在错误，这会影响生成结果的正确性和有用性判断。</x:v>
      </x:c>
      <x:c r="X94" s="2" t="str">
        <x:v>Accepted</x:v>
      </x:c>
      <x:c r="Y94" s="6" t="str">
        <x:v>NR</x:v>
      </x:c>
      <x:c r="Z94" s="2" t="n">
        <x:v>2</x:v>
      </x:c>
      <x:c r="AA94" s="2" t="n">
        <x:v>1</x:v>
      </x:c>
    </x:row>
    <x:row r="95" ht="76" customHeight="1">
      <x:c r="A95" s="2" t="str">
        <x:v>S17-LIMIT-R04</x:v>
      </x:c>
      <x:c r="B95" s="2" t="str">
        <x:v>S17</x:v>
      </x:c>
      <x:c r="C95" s="2" t="str">
        <x:v>merged_1148-v1</x:v>
      </x:c>
      <x:c r="D95" s="2" t="str">
        <x:v>Reviewer_A</x:v>
      </x:c>
      <x:c r="E95" s="2" t="str">
        <x:v>Reviewer_A</x:v>
      </x:c>
      <x:c r="F95" s="2" t="str">
        <x:v>S17-L04</x:v>
      </x:c>
      <x:c r="G95" s="6" t="str">
        <x:v>SR</x:v>
      </x:c>
      <x:c r="H95" s="2" t="str">
        <x:v>Authors</x:v>
      </x:c>
      <x:c r="I95" s="6" t="str">
        <x:v>将安全关键工作交给LLM而非人类存在伦理限制。</x:v>
      </x:c>
      <x:c r="J95" s="2" t="str">
        <x:v>Speculative</x:v>
      </x:c>
      <x:c r="K95" s="2" t="str">
        <x:v>Multiple</x:v>
      </x:c>
      <x:c r="L95" s="2" t="str">
        <x:v>Multiple</x:v>
      </x:c>
      <x:c r="M95" s="2" t="str">
        <x:v>安全关键领域使用LLM的伦理考量。</x:v>
      </x:c>
      <x:c r="N95" s="2" t="str">
        <x:v>LLM生成的安全分析结果可能存在未被检测到的错误，导致风险。</x:v>
      </x:c>
      <x:c r="O95" s="6" t="str">
        <x:v>NR</x:v>
      </x:c>
      <x:c r="P95" s="2" t="str">
        <x:v>保持人在回路，通过少样本示例指导LLM生成，并由人验证输出的正确性和有用性。</x:v>
      </x:c>
      <x:c r="Q95" s="2" t="str">
        <x:v>Implemented</x:v>
      </x:c>
      <x:c r="R95" s="2" t="str">
        <x:v>Ethical issue</x:v>
      </x:c>
      <x:c r="S95" s="2" t="str">
        <x:v>Ethical issue</x:v>
      </x:c>
      <x:c r="T95" s="2" t="str">
        <x:v>Governance and reproducibility</x:v>
      </x:c>
      <x:c r="U95" s="6" t="str">
        <x:v>p. 10; Section VI-B, Limitations</x:v>
      </x:c>
      <x:c r="V95" s="6" t="str">
        <x:v>We also understand the ethical limitations of leaving safetycritical work to LLMs as opposed to humans. With that</x:v>
      </x:c>
      <x:c r="W95" s="6" t="str">
        <x:v>作者认识到将安全分析完全交给LLM的伦理风险，并采用人在回路的方法来降低风险。</x:v>
      </x:c>
      <x:c r="X95" s="2" t="str">
        <x:v>Accepted</x:v>
      </x:c>
      <x:c r="Y95" s="6" t="str">
        <x:v>NR</x:v>
      </x:c>
      <x:c r="Z95" s="2" t="n">
        <x:v>2</x:v>
      </x:c>
      <x:c r="AA95" s="2" t="n">
        <x:v>3</x:v>
      </x:c>
    </x:row>
    <x:row r="96" ht="76" customHeight="1">
      <x:c r="A96" s="2" t="str">
        <x:v>S18-LIMIT-R01</x:v>
      </x:c>
      <x:c r="B96" s="2" t="str">
        <x:v>S18</x:v>
      </x:c>
      <x:c r="C96" s="2" t="str">
        <x:v>merged_1149</x:v>
      </x:c>
      <x:c r="D96" s="2" t="str">
        <x:v>Reviewer_A</x:v>
      </x:c>
      <x:c r="E96" s="2" t="str">
        <x:v>Reviewer_A</x:v>
      </x:c>
      <x:c r="F96" s="2" t="str">
        <x:v>S18-L01</x:v>
      </x:c>
      <x:c r="G96" s="6" t="str">
        <x:v>SR</x:v>
      </x:c>
      <x:c r="H96" s="2" t="str">
        <x:v>Authors</x:v>
      </x:c>
      <x:c r="I96" s="6" t="str">
        <x:v>提示模板（如Rice）仅作为说明性示例或起点，而非经过科学验证或普遍最优的配置。</x:v>
      </x:c>
      <x:c r="J96" s="2" t="str">
        <x:v>Speculative</x:v>
      </x:c>
      <x:c r="K96" s="2" t="str">
        <x:v>S19-T01</x:v>
      </x:c>
      <x:c r="L96" s="2" t="str">
        <x:v>S19-MU01</x:v>
      </x:c>
      <x:c r="M96" s="2" t="str">
        <x:v>LRT任务的提示工程设计</x:v>
      </x:c>
      <x:c r="N96" s="2" t="str">
        <x:v>影响提示策略的泛化能力，可能非最优。</x:v>
      </x:c>
      <x:c r="O96" s="6" t="str">
        <x:v>作者自我声明，提示模板未经过科学验证。</x:v>
      </x:c>
      <x:c r="P96" s="2" t="str">
        <x:v>作者通过迭代细化调整提示，但未进行科学验证。</x:v>
      </x:c>
      <x:c r="Q96" s="2" t="str">
        <x:v>Proposed</x:v>
      </x:c>
      <x:c r="R96" s="2" t="str">
        <x:v>prompt_validation</x:v>
      </x:c>
      <x:c r="S96" s="2" t="str">
        <x:v>methodology</x:v>
      </x:c>
      <x:c r="T96" s="2" t="str">
        <x:v>Context and prompt dependence</x:v>
      </x:c>
      <x:c r="U96" s="6" t="str">
        <x:v>p. 8; Section 3.3 (Prompt Design)</x:v>
      </x:c>
      <x:c r="V96" s="6" t="str">
        <x:v>We note that prompt templates such as Rice serve as illustrative examples or starting points rather than scientifically validated or universally optimal configurations</x:v>
      </x:c>
      <x:c r="W96" s="6" t="str">
        <x:v>论文作者指出，所使用的Rice提示框架缺乏科学验证，可能并非最优，这构成方法学上的局限性。</x:v>
      </x:c>
      <x:c r="X96" s="2" t="str">
        <x:v>Accepted</x:v>
      </x:c>
      <x:c r="Y96" s="6" t="str">
        <x:v>NA</x:v>
      </x:c>
      <x:c r="Z96" s="2" t="n">
        <x:v>2</x:v>
      </x:c>
      <x:c r="AA96" s="2" t="n">
        <x:v>2</x:v>
      </x:c>
    </x:row>
    <x:row r="97" ht="76" customHeight="1">
      <x:c r="A97" s="2" t="str">
        <x:v>S18-LIMIT-R02</x:v>
      </x:c>
      <x:c r="B97" s="2" t="str">
        <x:v>S18</x:v>
      </x:c>
      <x:c r="C97" s="2" t="str">
        <x:v>merged_1149</x:v>
      </x:c>
      <x:c r="D97" s="2" t="str">
        <x:v>Reviewer_A</x:v>
      </x:c>
      <x:c r="E97" s="2" t="str">
        <x:v>Reviewer_A</x:v>
      </x:c>
      <x:c r="F97" s="2" t="str">
        <x:v>S18-L02</x:v>
      </x:c>
      <x:c r="G97" s="6" t="str">
        <x:v>SR</x:v>
      </x:c>
      <x:c r="H97" s="2" t="str">
        <x:v>Authors</x:v>
      </x:c>
      <x:c r="I97" s="6" t="str">
        <x:v>Kashif依赖于启发式确定的相似度阈值，可能在所有文档或条款上并非最优。</x:v>
      </x:c>
      <x:c r="J97" s="2" t="str">
        <x:v>Speculative</x:v>
      </x:c>
      <x:c r="K97" s="2" t="str">
        <x:v>S19-T01</x:v>
      </x:c>
      <x:c r="L97" s="2" t="str">
        <x:v>NR</x:v>
      </x:c>
      <x:c r="M97" s="2" t="str">
        <x:v>Kashif分类器的阈值选择方法</x:v>
      </x:c>
      <x:c r="N97" s="2" t="str">
        <x:v>可能导致在某些上下文中召回率或精度次优。</x:v>
      </x:c>
      <x:c r="O97" s="6" t="str">
        <x:v>阈值是启发式确定的，缺乏跨文档的优化验证。</x:v>
      </x:c>
      <x:c r="P97" s="2" t="str">
        <x:v>提出了多种阈值变体（常数、动态、最大差值、调优），但依然存在局限性。</x:v>
      </x:c>
      <x:c r="Q97" s="2" t="str">
        <x:v>Proposed</x:v>
      </x:c>
      <x:c r="R97" s="2" t="str">
        <x:v>threshold_selection</x:v>
      </x:c>
      <x:c r="S97" s="2" t="str">
        <x:v>methodology</x:v>
      </x:c>
      <x:c r="T97" s="2" t="str">
        <x:v>Context and prompt dependence</x:v>
      </x:c>
      <x:c r="U97" s="6" t="str">
        <x:v>p. 27, Limitations</x:v>
      </x:c>
      <x:c r="V97" s="6" t="str">
        <x:v>Kashif relies on a similarity threshold that was determined heuristically and may not be optimal across all documents or provisions.</x:v>
      </x:c>
      <x:c r="W97" s="6" t="str">
        <x:v>Kashif使用的相似度阈值缺乏系统性优化方法，可能影响到不同数据上的预测性能。</x:v>
      </x:c>
      <x:c r="X97" s="2" t="str">
        <x:v>Accepted</x:v>
      </x:c>
      <x:c r="Y97" s="6" t="str">
        <x:v>NA</x:v>
      </x:c>
      <x:c r="Z97" s="2" t="n">
        <x:v>2</x:v>
      </x:c>
      <x:c r="AA97" s="2" t="n">
        <x:v>2</x:v>
      </x:c>
    </x:row>
    <x:row r="98" ht="76" customHeight="1">
      <x:c r="A98" s="2" t="str">
        <x:v>S18-LIMIT-R03</x:v>
      </x:c>
      <x:c r="B98" s="2" t="str">
        <x:v>S18</x:v>
      </x:c>
      <x:c r="C98" s="2" t="str">
        <x:v>merged_1149</x:v>
      </x:c>
      <x:c r="D98" s="2" t="str">
        <x:v>Reviewer_A</x:v>
      </x:c>
      <x:c r="E98" s="2" t="str">
        <x:v>Reviewer_A</x:v>
      </x:c>
      <x:c r="F98" s="2" t="str">
        <x:v>S18-L03</x:v>
      </x:c>
      <x:c r="G98" s="6" t="str">
        <x:v>SR</x:v>
      </x:c>
      <x:c r="H98" s="2" t="str">
        <x:v>Authors</x:v>
      </x:c>
      <x:c r="I98" s="6" t="str">
        <x:v>两种方法都假设预定义的GDPR条款集合是完整且静态的，这在实践中可能不成立。</x:v>
      </x:c>
      <x:c r="J98" s="2" t="str">
        <x:v>Speculative</x:v>
      </x:c>
      <x:c r="K98" s="2" t="str">
        <x:v>S19-T01</x:v>
      </x:c>
      <x:c r="L98" s="2" t="str">
        <x:v>Multiple</x:v>
      </x:c>
      <x:c r="M98" s="2" t="str">
        <x:v>GDPR条款集合的定义</x:v>
      </x:c>
      <x:c r="N98" s="2" t="str">
        <x:v>模型需持续维护以适应法律更新，否则会过时。</x:v>
      </x:c>
      <x:c r="O98" s="6" t="str">
        <x:v>法律条款可能变更，集合不完整。</x:v>
      </x:c>
      <x:c r="P98" s="2" t="str">
        <x:v>Not proposed</x:v>
      </x:c>
      <x:c r="Q98" s="2" t="str">
        <x:v>Not proposed</x:v>
      </x:c>
      <x:c r="R98" s="2" t="str">
        <x:v>static_provisions</x:v>
      </x:c>
      <x:c r="S98" s="2" t="str">
        <x:v>external_validity</x:v>
      </x:c>
      <x:c r="T98" s="2" t="str">
        <x:v>Context and prompt dependence</x:v>
      </x:c>
      <x:c r="U98" s="6" t="str">
        <x:v>p. 2; Limitations</x:v>
      </x:c>
      <x:c r="V98" s="6" t="str">
        <x:v>requirements are traced to provisions in a regulation and is the focus of this paper.</x:v>
      </x:c>
      <x:c r="W98" s="6" t="str">
        <x:v>现实中的法律条款会更新，静态的条款集合会降低方法的长期有效性。</x:v>
      </x:c>
      <x:c r="X98" s="2" t="str">
        <x:v>Accepted</x:v>
      </x:c>
      <x:c r="Y98" s="6" t="str">
        <x:v>NA</x:v>
      </x:c>
      <x:c r="Z98" s="2" t="n">
        <x:v>2</x:v>
      </x:c>
      <x:c r="AA98" s="2" t="n">
        <x:v>1</x:v>
      </x:c>
    </x:row>
    <x:row r="99" ht="76" customHeight="1">
      <x:c r="A99" s="2" t="str">
        <x:v>S18-LIMIT-R04</x:v>
      </x:c>
      <x:c r="B99" s="2" t="str">
        <x:v>S18</x:v>
      </x:c>
      <x:c r="C99" s="2" t="str">
        <x:v>merged_1149</x:v>
      </x:c>
      <x:c r="D99" s="2" t="str">
        <x:v>Reviewer_A</x:v>
      </x:c>
      <x:c r="E99" s="2" t="str">
        <x:v>Reviewer_A</x:v>
      </x:c>
      <x:c r="F99" s="2" t="str">
        <x:v>S18-L04</x:v>
      </x:c>
      <x:c r="G99" s="6" t="str">
        <x:v>SR</x:v>
      </x:c>
      <x:c r="H99" s="2" t="str">
        <x:v>Authors</x:v>
      </x:c>
      <x:c r="I99" s="6" t="str">
        <x:v>提示是为GPT-4o设计的，可能无法无缝迁移到其他LLM。</x:v>
      </x:c>
      <x:c r="J99" s="2" t="str">
        <x:v>Speculative</x:v>
      </x:c>
      <x:c r="K99" s="2" t="str">
        <x:v>S19-T01</x:v>
      </x:c>
      <x:c r="L99" s="2" t="str">
        <x:v>S19-MU01</x:v>
      </x:c>
      <x:c r="M99" s="2" t="str">
        <x:v>提示工程与模型迁移</x:v>
      </x:c>
      <x:c r="N99" s="2" t="str">
        <x:v>Rice LRT在其他LLM或未来模型更新上的有效性可能变化。</x:v>
      </x:c>
      <x:c r="O99" s="6" t="str">
        <x:v>提示依赖特定模型的行为。</x:v>
      </x:c>
      <x:c r="P99" s="2" t="str">
        <x:v>Not proposed</x:v>
      </x:c>
      <x:c r="Q99" s="2" t="str">
        <x:v>Not proposed</x:v>
      </x:c>
      <x:c r="R99" s="2" t="str">
        <x:v>prompt_transfer</x:v>
      </x:c>
      <x:c r="S99" s="2" t="str">
        <x:v>generalizability</x:v>
      </x:c>
      <x:c r="T99" s="2" t="str">
        <x:v>Context and prompt dependence</x:v>
      </x:c>
      <x:c r="U99" s="6" t="str">
        <x:v>p. 10; Limitations</x:v>
      </x:c>
      <x:c r="V99" s="6" t="str">
        <x:v>tasks such as LRT is to prompt pre-trained LLMs, e.g., GPT-4o, for traceability tasks. RQ4 examines how</x:v>
      </x:c>
      <x:c r="W99" s="6" t="str">
        <x:v>提示设计针对特定LLM，更换模型需要重新调整，限制了方法的普适性。</x:v>
      </x:c>
      <x:c r="X99" s="2" t="str">
        <x:v>Accepted</x:v>
      </x:c>
      <x:c r="Y99" s="6" t="str">
        <x:v>NA</x:v>
      </x:c>
      <x:c r="Z99" s="2" t="n">
        <x:v>2</x:v>
      </x:c>
      <x:c r="AA99" s="2" t="n">
        <x:v>1</x:v>
      </x:c>
    </x:row>
    <x:row r="100" ht="76" customHeight="1">
      <x:c r="A100" s="2" t="str">
        <x:v>S18-LIMIT-R05</x:v>
      </x:c>
      <x:c r="B100" s="2" t="str">
        <x:v>S18</x:v>
      </x:c>
      <x:c r="C100" s="2" t="str">
        <x:v>merged_1149</x:v>
      </x:c>
      <x:c r="D100" s="2" t="str">
        <x:v>Reviewer_A</x:v>
      </x:c>
      <x:c r="E100" s="2" t="str">
        <x:v>Reviewer_A</x:v>
      </x:c>
      <x:c r="F100" s="2" t="str">
        <x:v>S18-L05</x:v>
      </x:c>
      <x:c r="G100" s="6" t="str">
        <x:v>SR</x:v>
      </x:c>
      <x:c r="H100" s="2" t="str">
        <x:v>Authors</x:v>
      </x:c>
      <x:c r="I100" s="6" t="str">
        <x:v>评估材料仅包含一个基准数据集（HIPAA）用于微调Kashif和四个测试文档用于评估，限制了外部有效性。</x:v>
      </x:c>
      <x:c r="J100" s="2" t="str">
        <x:v>Speculative</x:v>
      </x:c>
      <x:c r="K100" s="2" t="str">
        <x:v>S19-T01</x:v>
      </x:c>
      <x:c r="L100" s="2" t="str">
        <x:v>Multiple</x:v>
      </x:c>
      <x:c r="M100" s="2" t="str">
        <x:v>实验评估设置</x:v>
      </x:c>
      <x:c r="N100" s="2" t="str">
        <x:v>研究结论可能无法泛化到其他领域或更复杂的数据。</x:v>
      </x:c>
      <x:c r="O100" s="6" t="str">
        <x:v>数据集规模与多样性不足。</x:v>
      </x:c>
      <x:c r="P100" s="2" t="str">
        <x:v>Not proposed</x:v>
      </x:c>
      <x:c r="Q100" s="2" t="str">
        <x:v>Not proposed</x:v>
      </x:c>
      <x:c r="R100" s="2" t="str">
        <x:v>dataset_limitation</x:v>
      </x:c>
      <x:c r="S100" s="2" t="str">
        <x:v>external_validity</x:v>
      </x:c>
      <x:c r="T100" s="2" t="str">
        <x:v>Data and evidence quality</x:v>
      </x:c>
      <x:c r="U100" s="6" t="str">
        <x:v>p. 27; Limitations</x:v>
      </x:c>
      <x:c r="V100" s="6" t="str">
        <x:v>and other regulations are nonetheless required to improve the external validity of our study. Moreover,</x:v>
      </x:c>
      <x:c r="W100" s="6" t="str">
        <x:v>评估数据集有限，不能充分证明方法在不同场景下的鲁棒性。</x:v>
      </x:c>
      <x:c r="X100" s="2" t="str">
        <x:v>Accepted</x:v>
      </x:c>
      <x:c r="Y100" s="6" t="str">
        <x:v>NA</x:v>
      </x:c>
      <x:c r="Z100" s="2" t="n">
        <x:v>2</x:v>
      </x:c>
      <x:c r="AA100" s="2" t="n">
        <x:v>1</x:v>
      </x:c>
    </x:row>
    <x:row r="101" ht="76" customHeight="1">
      <x:c r="A101" s="2" t="str">
        <x:v>S18-LIMIT-R06</x:v>
      </x:c>
      <x:c r="B101" s="2" t="str">
        <x:v>S18</x:v>
      </x:c>
      <x:c r="C101" s="2" t="str">
        <x:v>merged_1149</x:v>
      </x:c>
      <x:c r="D101" s="2" t="str">
        <x:v>Reviewer_A</x:v>
      </x:c>
      <x:c r="E101" s="2" t="str">
        <x:v>Reviewer_A</x:v>
      </x:c>
      <x:c r="F101" s="2" t="str">
        <x:v>S18-L06</x:v>
      </x:c>
      <x:c r="G101" s="6" t="str">
        <x:v>SR</x:v>
      </x:c>
      <x:c r="H101" s="2" t="str">
        <x:v>Authors</x:v>
      </x:c>
      <x:c r="I101" s="6" t="str">
        <x:v>两个数据集中的真值均由作者和一位法律专家手动构建，可能引入主观性。</x:v>
      </x:c>
      <x:c r="J101" s="2" t="str">
        <x:v>Speculative</x:v>
      </x:c>
      <x:c r="K101" s="2" t="str">
        <x:v>S19-T01</x:v>
      </x:c>
      <x:c r="L101" s="2" t="str">
        <x:v>Multiple</x:v>
      </x:c>
      <x:c r="M101" s="2" t="str">
        <x:v>真值标注过程</x:v>
      </x:c>
      <x:c r="N101" s="2" t="str">
        <x:v>真值可能带有偏差，影响评估结果的可靠性。</x:v>
      </x:c>
      <x:c r="O101" s="6" t="str">
        <x:v>人工标注存在主观判断。</x:v>
      </x:c>
      <x:c r="P101" s="2" t="str">
        <x:v>Not proposed</x:v>
      </x:c>
      <x:c r="Q101" s="2" t="str">
        <x:v>Not proposed</x:v>
      </x:c>
      <x:c r="R101" s="2" t="str">
        <x:v>ground_truth_subjectivity</x:v>
      </x:c>
      <x:c r="S101" s="2" t="str">
        <x:v>internal_validity</x:v>
      </x:c>
      <x:c r="T101" s="2" t="str">
        <x:v>Data and evidence quality</x:v>
      </x:c>
      <x:c r="U101" s="6" t="str">
        <x:v>p. 17; Limitations</x:v>
      </x:c>
      <x:c r="V101" s="6" t="str">
        <x:v>trace links in our ground truth are correctly identified by the approach; and F2 score, the harmonic mean</x:v>
      </x:c>
      <x:c r="W101" s="6" t="str">
        <x:v>人工构建的追溯链接真值可能存在不一致，影响模型性能评估的客观性。</x:v>
      </x:c>
      <x:c r="X101" s="2" t="str">
        <x:v>Accepted</x:v>
      </x:c>
      <x:c r="Y101" s="6" t="str">
        <x:v>NA</x:v>
      </x:c>
      <x:c r="Z101" s="2" t="n">
        <x:v>2</x:v>
      </x:c>
      <x:c r="AA101" s="2" t="n">
        <x:v>1</x:v>
      </x:c>
    </x:row>
    <x:row r="102" ht="76" customHeight="1">
      <x:c r="A102" s="2" t="str">
        <x:v>S18-LIMIT-R07</x:v>
      </x:c>
      <x:c r="B102" s="2" t="str">
        <x:v>S18</x:v>
      </x:c>
      <x:c r="C102" s="2" t="str">
        <x:v>merged_1149</x:v>
      </x:c>
      <x:c r="D102" s="2" t="str">
        <x:v>Reviewer_A</x:v>
      </x:c>
      <x:c r="E102" s="2" t="str">
        <x:v>Reviewer_A</x:v>
      </x:c>
      <x:c r="F102" s="2" t="str">
        <x:v>S18-L07</x:v>
      </x:c>
      <x:c r="G102" s="6" t="str">
        <x:v>SR</x:v>
      </x:c>
      <x:c r="H102" s="2" t="str">
        <x:v>Authors</x:v>
      </x:c>
      <x:c r="I102" s="6" t="str">
        <x:v>模型漏掉的情况表明，某些连接可能需要更深的领域知识或额外的上下文来解决歧义。</x:v>
      </x:c>
      <x:c r="J102" s="2" t="str">
        <x:v>Empirical</x:v>
      </x:c>
      <x:c r="K102" s="2" t="str">
        <x:v>S19-T01</x:v>
      </x:c>
      <x:c r="L102" s="2" t="str">
        <x:v>S19-MU01</x:v>
      </x:c>
      <x:c r="M102" s="2" t="str">
        <x:v>Rice LRT的输出结果</x:v>
      </x:c>
      <x:c r="N102" s="2" t="str">
        <x:v>部分需求与条款之间的隐含连接未能识别。</x:v>
      </x:c>
      <x:c r="O102" s="6" t="str">
        <x:v>基于实际观察，模型在模糊案例上失败。</x:v>
      </x:c>
      <x:c r="P102" s="2" t="str">
        <x:v>Not proposed</x:v>
      </x:c>
      <x:c r="Q102" s="2" t="str">
        <x:v>Not proposed</x:v>
      </x:c>
      <x:c r="R102" s="2" t="str">
        <x:v>missing_links</x:v>
      </x:c>
      <x:c r="S102" s="2" t="str">
        <x:v>performance</x:v>
      </x:c>
      <x:c r="T102" s="2" t="str">
        <x:v>Context and prompt dependence</x:v>
      </x:c>
      <x:c r="U102" s="6" t="str">
        <x:v>p. 25; Section 4.8 (Results)</x:v>
      </x:c>
      <x:c r="V102" s="6" t="str">
        <x:v>the cases it misses highlight areas in which the connections may require deeper, domain-specific knowledge or additional context to resolve ambiguities.</x:v>
      </x:c>
      <x:c r="W102" s="6" t="str">
        <x:v>LLM在处理需要深层领域理解的追溯链接时表现不足，表明当前提示策略的局限。</x:v>
      </x:c>
      <x:c r="X102" s="2" t="str">
        <x:v>Accepted</x:v>
      </x:c>
      <x:c r="Y102" s="6" t="str">
        <x:v>NA</x:v>
      </x:c>
      <x:c r="Z102" s="2" t="n">
        <x:v>3</x:v>
      </x:c>
      <x:c r="AA102" s="2" t="n">
        <x:v>1</x:v>
      </x:c>
    </x:row>
    <x:row r="103" ht="76" customHeight="1">
      <x:c r="A103" s="2" t="str">
        <x:v>S19-LIMIT-R01</x:v>
      </x:c>
      <x:c r="B103" s="2" t="str">
        <x:v>S19</x:v>
      </x:c>
      <x:c r="C103" s="2" t="str">
        <x:v>merged_1150</x:v>
      </x:c>
      <x:c r="D103" s="2" t="str">
        <x:v>Reviewer_A</x:v>
      </x:c>
      <x:c r="E103" s="2" t="str">
        <x:v>Reviewer_A</x:v>
      </x:c>
      <x:c r="F103" s="2" t="str">
        <x:v>S19-L01</x:v>
      </x:c>
      <x:c r="G103" s="6" t="str">
        <x:v>SR</x:v>
      </x:c>
      <x:c r="H103" s="2" t="str">
        <x:v>Authors</x:v>
      </x:c>
      <x:c r="I103" s="6" t="str">
        <x:v>研究中使用的系统复杂度有限，仅包含五个简单的游戏项目。</x:v>
      </x:c>
      <x:c r="J103" s="2" t="str">
        <x:v>Empirical</x:v>
      </x:c>
      <x:c r="K103" s="2" t="str">
        <x:v>S20-T01</x:v>
      </x:c>
      <x:c r="L103" s="2" t="str">
        <x:v>Multiple</x:v>
      </x:c>
      <x:c r="M103" s="2" t="str">
        <x:v>系统复杂度和规模</x:v>
      </x:c>
      <x:c r="N103" s="2" t="str">
        <x:v>研究结果可能无法推广到更复杂的系统。</x:v>
      </x:c>
      <x:c r="O103" s="6" t="str">
        <x:v>作者指出'limited complexity'并计划在更复杂系统上复制实验。</x:v>
      </x:c>
      <x:c r="P103" s="2" t="str">
        <x:v>计划在未来工作中使用更复杂系统进行复制实验。</x:v>
      </x:c>
      <x:c r="Q103" s="2" t="str">
        <x:v>Proposed</x:v>
      </x:c>
      <x:c r="R103" s="2" t="str">
        <x:v>NR</x:v>
      </x:c>
      <x:c r="S103" s="2" t="str">
        <x:v>NR</x:v>
      </x:c>
      <x:c r="T103" s="2" t="str">
        <x:v>Generalizability and scope</x:v>
      </x:c>
      <x:c r="U103" s="6" t="str">
        <x:v>p. 1; Abstract</x:v>
      </x:c>
      <x:c r="V103" s="6" t="str">
        <x:v>limited complexity of the systems we tested</x:v>
      </x:c>
      <x:c r="W103" s="6" t="str">
        <x:v>研究承认系统简单性是一个局限性，可能影响结论的外部有效性。</x:v>
      </x:c>
      <x:c r="X103" s="2" t="str">
        <x:v>Accepted</x:v>
      </x:c>
      <x:c r="Y103" s="6" t="str">
        <x:v>NA</x:v>
      </x:c>
      <x:c r="Z103" s="2" t="n">
        <x:v>3</x:v>
      </x:c>
      <x:c r="AA103" s="2" t="n">
        <x:v>2</x:v>
      </x:c>
    </x:row>
    <x:row r="104" ht="76" customHeight="1">
      <x:c r="A104" s="2" t="str">
        <x:v>S19-LIMIT-R02</x:v>
      </x:c>
      <x:c r="B104" s="2" t="str">
        <x:v>S19</x:v>
      </x:c>
      <x:c r="C104" s="2" t="str">
        <x:v>merged_1150</x:v>
      </x:c>
      <x:c r="D104" s="2" t="str">
        <x:v>Reviewer_A</x:v>
      </x:c>
      <x:c r="E104" s="2" t="str">
        <x:v>Reviewer_A</x:v>
      </x:c>
      <x:c r="F104" s="2" t="str">
        <x:v>S19-L02</x:v>
      </x:c>
      <x:c r="G104" s="6" t="str">
        <x:v>SR</x:v>
      </x:c>
      <x:c r="H104" s="2" t="str">
        <x:v>Authors</x:v>
      </x:c>
      <x:c r="I104" s="6" t="str">
        <x:v>研究仅关注自动化追溯这一单一软件工程任务。</x:v>
      </x:c>
      <x:c r="J104" s="2" t="str">
        <x:v>Empirical</x:v>
      </x:c>
      <x:c r="K104" s="2" t="str">
        <x:v>S20-T01</x:v>
      </x:c>
      <x:c r="L104" s="2" t="str">
        <x:v>Multiple</x:v>
      </x:c>
      <x:c r="M104" s="2" t="str">
        <x:v>任务类型</x:v>
      </x:c>
      <x:c r="N104" s="2" t="str">
        <x:v>效应可能不适用于其他需求驱动的任务。</x:v>
      </x:c>
      <x:c r="O104" s="6" t="str">
        <x:v>作者讨论中提到'for the investigated task'并计划扩展到其他任务。</x:v>
      </x:c>
      <x:c r="P104" s="2" t="str">
        <x:v>计划在未来工作中扩展到其他SE任务。</x:v>
      </x:c>
      <x:c r="Q104" s="2" t="str">
        <x:v>Proposed</x:v>
      </x:c>
      <x:c r="R104" s="2" t="str">
        <x:v>NR</x:v>
      </x:c>
      <x:c r="S104" s="2" t="str">
        <x:v>NR</x:v>
      </x:c>
      <x:c r="T104" s="2" t="str">
        <x:v>Generalizability and scope</x:v>
      </x:c>
      <x:c r="U104" s="6" t="str">
        <x:v>p. 1; Section IV.D Discussion and Conclusion</x:v>
      </x:c>
      <x:c r="V104" s="6" t="str">
        <x:v>for the investigated task</x:v>
      </x:c>
      <x:c r="W104" s="6" t="str">
        <x:v>研究承认任务单一性是局限性，计划在未来扩展到其他任务。</x:v>
      </x:c>
      <x:c r="X104" s="2" t="str">
        <x:v>Accepted</x:v>
      </x:c>
      <x:c r="Y104" s="6" t="str">
        <x:v>NA</x:v>
      </x:c>
      <x:c r="Z104" s="2" t="n">
        <x:v>3</x:v>
      </x:c>
      <x:c r="AA104" s="2" t="n">
        <x:v>2</x:v>
      </x:c>
    </x:row>
    <x:row r="105" ht="76" customHeight="1">
      <x:c r="A105" s="2" t="str">
        <x:v>S20-LIMIT-R01</x:v>
      </x:c>
      <x:c r="B105" s="2" t="str">
        <x:v>S20</x:v>
      </x:c>
      <x:c r="C105" s="2" t="str">
        <x:v>merged_1151-v1</x:v>
      </x:c>
      <x:c r="D105" s="2" t="str">
        <x:v>Reviewer_A</x:v>
      </x:c>
      <x:c r="E105" s="2" t="str">
        <x:v>Reviewer_A</x:v>
      </x:c>
      <x:c r="F105" s="2" t="str">
        <x:v>S20-L01</x:v>
      </x:c>
      <x:c r="G105" s="6" t="str">
        <x:v>SR</x:v>
      </x:c>
      <x:c r="H105" s="2" t="str">
        <x:v>Authors</x:v>
      </x:c>
      <x:c r="I105" s="6" t="str">
        <x:v>Graph-RAG系统的有效性严重依赖输入数据的质量和完整性。不准确或缺失的信息可能导致次优知识图谱，从而对性能产生不利影响。</x:v>
      </x:c>
      <x:c r="J105" s="2" t="str">
        <x:v>Empirical</x:v>
      </x:c>
      <x:c r="K105" s="2" t="str">
        <x:v>Multiple</x:v>
      </x:c>
      <x:c r="L105" s="2" t="str">
        <x:v>Multiple</x:v>
      </x:c>
      <x:c r="M105" s="2" t="str">
        <x:v>Graph-RAG system input data</x:v>
      </x:c>
      <x:c r="N105" s="2" t="str">
        <x:v> inaccurate or missing information leads to suboptimal knowledge graphs and performance degradation</x:v>
      </x:c>
      <x:c r="O105" s="6" t="str">
        <x:v>adversely affecting performance</x:v>
      </x:c>
      <x:c r="P105" s="2" t="str">
        <x:v>conduct regular data audits, establish data governance protocols, and automate data cleaning processes</x:v>
      </x:c>
      <x:c r="Q105" s="2" t="str">
        <x:v>Proposed</x:v>
      </x:c>
      <x:c r="R105" s="2" t="str">
        <x:v>input_data_quality</x:v>
      </x:c>
      <x:c r="S105" s="2" t="str">
        <x:v>data_dependency</x:v>
      </x:c>
      <x:c r="T105" s="2" t="str">
        <x:v>Data and evidence quality</x:v>
      </x:c>
      <x:c r="U105" s="6" t="str">
        <x:v>p. 21; section 6.1 Limits</x:v>
      </x:c>
      <x:c r="V105" s="6" t="str">
        <x:v>The effectiveness of Graph-RAG systems heavily relies on the quality and completeness of the input data. Inaccurate or missing information can lead to suboptimal knowledge graphs, adversely affecting performance</x:v>
      </x:c>
      <x:c r="W105" s="6" t="str">
        <x:v>研究指出Graph-RAG系统对输入数据质量和完整性的高度依赖，数据问题会损害知识图谱构建和下游任务性能。</x:v>
      </x:c>
      <x:c r="X105" s="2" t="str">
        <x:v>Accepted</x:v>
      </x:c>
      <x:c r="Y105" s="6" t="str">
        <x:v>NA</x:v>
      </x:c>
      <x:c r="Z105" s="2" t="n">
        <x:v>3</x:v>
      </x:c>
      <x:c r="AA105" s="2" t="n">
        <x:v>2</x:v>
      </x:c>
    </x:row>
    <x:row r="106" ht="76" customHeight="1">
      <x:c r="A106" s="2" t="str">
        <x:v>S20-LIMIT-R02</x:v>
      </x:c>
      <x:c r="B106" s="2" t="str">
        <x:v>S20</x:v>
      </x:c>
      <x:c r="C106" s="2" t="str">
        <x:v>merged_1151-v1</x:v>
      </x:c>
      <x:c r="D106" s="2" t="str">
        <x:v>Reviewer_A</x:v>
      </x:c>
      <x:c r="E106" s="2" t="str">
        <x:v>Reviewer_A</x:v>
      </x:c>
      <x:c r="F106" s="2" t="str">
        <x:v>S20-L02</x:v>
      </x:c>
      <x:c r="G106" s="6" t="str">
        <x:v>SR</x:v>
      </x:c>
      <x:c r="H106" s="2" t="str">
        <x:v>Authors</x:v>
      </x:c>
      <x:c r="I106" s="6" t="str">
        <x:v>Graph-RAG系统引入了多种复杂性，因为其依赖于结构化的关系知识和动态数据处理。</x:v>
      </x:c>
      <x:c r="J106" s="2" t="str">
        <x:v>Empirical</x:v>
      </x:c>
      <x:c r="K106" s="2" t="str">
        <x:v>Multiple</x:v>
      </x:c>
      <x:c r="L106" s="2" t="str">
        <x:v>Multiple</x:v>
      </x:c>
      <x:c r="M106" s="2" t="str">
        <x:v>implementation and adaptation of Graph-RAG</x:v>
      </x:c>
      <x:c r="N106" s="2" t="str">
        <x:v>adds layers of complexity in processing and relevance, challenges in dynamic integration, retrieval granularity, context compression</x:v>
      </x:c>
      <x:c r="O106" s="6" t="str">
        <x:v>necessitating advanced techniques for optimization and scalability</x:v>
      </x:c>
      <x:c r="P106" s="2" t="str">
        <x:v>advanced techniques for optimization and scalability proposed but not specified</x:v>
      </x:c>
      <x:c r="Q106" s="2" t="str">
        <x:v>Proposed</x:v>
      </x:c>
      <x:c r="R106" s="2" t="str">
        <x:v>graph_rag_complexity</x:v>
      </x:c>
      <x:c r="S106" s="2" t="str">
        <x:v>system_complexity</x:v>
      </x:c>
      <x:c r="T106" s="2" t="str">
        <x:v>Context and prompt dependence</x:v>
      </x:c>
      <x:c r="U106" s="6" t="str">
        <x:v>p. 21; section 6.1 Limits</x:v>
      </x:c>
      <x:c r="V106" s="6" t="str">
        <x:v>Graph-RAG systems introduce several complexities due to their reliance on structured relational knowledge and dynamic data handling.</x:v>
      </x:c>
      <x:c r="W106" s="6" t="str">
        <x:v>作者指出Graph-RAG因结构化知识和动态数据处理引入复杂性，导致检索和集成困难，需要先进的优化和可扩展性技术。</x:v>
      </x:c>
      <x:c r="X106" s="2" t="str">
        <x:v>Accepted</x:v>
      </x:c>
      <x:c r="Y106" s="6" t="str">
        <x:v>NA</x:v>
      </x:c>
      <x:c r="Z106" s="2" t="n">
        <x:v>3</x:v>
      </x:c>
      <x:c r="AA106" s="2" t="n">
        <x:v>2</x:v>
      </x:c>
    </x:row>
    <x:row r="107" ht="76" customHeight="1">
      <x:c r="A107" s="2" t="str">
        <x:v>S20-LIMIT-R03</x:v>
      </x:c>
      <x:c r="B107" s="2" t="str">
        <x:v>S20</x:v>
      </x:c>
      <x:c r="C107" s="2" t="str">
        <x:v>merged_1151-v1</x:v>
      </x:c>
      <x:c r="D107" s="2" t="str">
        <x:v>Reviewer_A</x:v>
      </x:c>
      <x:c r="E107" s="2" t="str">
        <x:v>Reviewer_A</x:v>
      </x:c>
      <x:c r="F107" s="2" t="str">
        <x:v>S20-L03</x:v>
      </x:c>
      <x:c r="G107" s="6" t="str">
        <x:v>SR</x:v>
      </x:c>
      <x:c r="H107" s="2" t="str">
        <x:v>Authors</x:v>
      </x:c>
      <x:c r="I107" s="6" t="str">
        <x:v>构建和检索Graph-RAG信息涉及大量LLM查询，成本高昂。此外，使用性能较弱的模型（如GPT-4o-mini）效果不如GPT-4o。</x:v>
      </x:c>
      <x:c r="J107" s="2" t="str">
        <x:v>Empirical</x:v>
      </x:c>
      <x:c r="K107" s="2" t="str">
        <x:v>Multiple</x:v>
      </x:c>
      <x:c r="L107" s="2" t="str">
        <x:v>Multiple</x:v>
      </x:c>
      <x:c r="M107" s="2" t="str">
        <x:v>cost and model performance</x:v>
      </x:c>
      <x:c r="N107" s="2" t="str">
        <x:v>high computational cost; weaker models reduce effectiveness</x:v>
      </x:c>
      <x:c r="O107" s="6" t="str">
        <x:v>can be costly and less effective</x:v>
      </x:c>
      <x:c r="P107" s="2" t="str">
        <x:v>No</x:v>
      </x:c>
      <x:c r="Q107" s="2" t="str">
        <x:v>Not proposed</x:v>
      </x:c>
      <x:c r="R107" s="2" t="str">
        <x:v>computational_cost</x:v>
      </x:c>
      <x:c r="S107" s="2" t="str">
        <x:v>scalability</x:v>
      </x:c>
      <x:c r="T107" s="2" t="str">
        <x:v>Scalability and deployment</x:v>
      </x:c>
      <x:c r="U107" s="6" t="str">
        <x:v>p. 21; section 6.1 Limits</x:v>
      </x:c>
      <x:c r="V107" s="6" t="str">
        <x:v>Constructing and retrieving information from Graph-RAG involves numerous LLM queries, which can be costly. Additionally, our results indicate that using a less powerful model, such as GPT-4o-mini, is less effective compared to GPT-4o when benchmarked against baseline RAG systems.</x:v>
      </x:c>
      <x:c r="W107" s="6" t="str">
        <x:v>作者指出Graph-RAG的构建和检索过程计算成本高，且较弱模型（GPT-4o-mini）效果较差，影响了效率和可扩展性。</x:v>
      </x:c>
      <x:c r="X107" s="2" t="str">
        <x:v>Accepted</x:v>
      </x:c>
      <x:c r="Y107" s="6" t="str">
        <x:v>NA</x:v>
      </x:c>
      <x:c r="Z107" s="2" t="n">
        <x:v>3</x:v>
      </x:c>
      <x:c r="AA107" s="2" t="n">
        <x:v>1</x:v>
      </x:c>
    </x:row>
    <x:row r="108" ht="76" customHeight="1">
      <x:c r="A108" s="2" t="str">
        <x:v>S20-LIMIT-R04</x:v>
      </x:c>
      <x:c r="B108" s="2" t="str">
        <x:v>S20</x:v>
      </x:c>
      <x:c r="C108" s="2" t="str">
        <x:v>merged_1151-v1</x:v>
      </x:c>
      <x:c r="D108" s="2" t="str">
        <x:v>Reviewer_A</x:v>
      </x:c>
      <x:c r="E108" s="2" t="str">
        <x:v>Reviewer_A</x:v>
      </x:c>
      <x:c r="F108" s="2" t="str">
        <x:v>S20-L04</x:v>
      </x:c>
      <x:c r="G108" s="6" t="str">
        <x:v>SR</x:v>
      </x:c>
      <x:c r="H108" s="2" t="str">
        <x:v>Authors</x:v>
      </x:c>
      <x:c r="I108" s="6" t="str">
        <x:v>自动化系统可能忽略法规的细微解释或上下文特定要素，导致潜在的不合规或与关键标准不一致。这凸显了将人工监督和验证纳入AI驱动过程的重要性。</x:v>
      </x:c>
      <x:c r="J108" s="2" t="str">
        <x:v>Speculative</x:v>
      </x:c>
      <x:c r="K108" s="2" t="str">
        <x:v>S21-T02</x:v>
      </x:c>
      <x:c r="L108" s="2" t="str">
        <x:v>Multiple</x:v>
      </x:c>
      <x:c r="M108" s="2" t="str">
        <x:v>compliance checking in regulated environments</x:v>
      </x:c>
      <x:c r="N108" s="2" t="str">
        <x:v>potential non-compliance or misalignment with critical standards</x:v>
      </x:c>
      <x:c r="O108" s="6" t="str">
        <x:v>may overlook... leading to potential non-compliance</x:v>
      </x:c>
      <x:c r="P108" s="2" t="str">
        <x:v>human oversight and validation</x:v>
      </x:c>
      <x:c r="Q108" s="2" t="str">
        <x:v>Proposed</x:v>
      </x:c>
      <x:c r="R108" s="2" t="str">
        <x:v>over_reliance_ai</x:v>
      </x:c>
      <x:c r="S108" s="2" t="str">
        <x:v>human_ai_interaction</x:v>
      </x:c>
      <x:c r="T108" s="2" t="str">
        <x:v>Context and prompt dependence</x:v>
      </x:c>
      <x:c r="U108" s="6" t="str">
        <x:v>p. 21; section 6.1 Limits</x:v>
      </x:c>
      <x:c r="V108" s="6" t="str">
        <x:v>Automated systems may overlook nuanced interpretations or context-specific elements of regulations, leading to potential non-compliance or misalignment with critical standards. This underscores the importance of incorporating human oversight and validation to complement AI-driven processes</x:v>
      </x:c>
      <x:c r="W108" s="6" t="str">
        <x:v>作者警告过度依赖AI可能导致忽视法规的细微之处，需结合人工监督以确保合规。</x:v>
      </x:c>
      <x:c r="X108" s="2" t="str">
        <x:v>Accepted</x:v>
      </x:c>
      <x:c r="Y108" s="6" t="str">
        <x:v>NA</x:v>
      </x:c>
      <x:c r="Z108" s="2" t="n">
        <x:v>2</x:v>
      </x:c>
      <x:c r="AA108" s="2" t="n">
        <x:v>2</x:v>
      </x:c>
    </x:row>
    <x:row r="109" ht="76" customHeight="1">
      <x:c r="A109" s="2" t="str">
        <x:v>S20-LIMIT-R05</x:v>
      </x:c>
      <x:c r="B109" s="2" t="str">
        <x:v>S20</x:v>
      </x:c>
      <x:c r="C109" s="2" t="str">
        <x:v>merged_1151-v1</x:v>
      </x:c>
      <x:c r="D109" s="2" t="str">
        <x:v>Reviewer_A</x:v>
      </x:c>
      <x:c r="E109" s="2" t="str">
        <x:v>Reviewer_A</x:v>
      </x:c>
      <x:c r="F109" s="2" t="str">
        <x:v>S20-L05</x:v>
      </x:c>
      <x:c r="G109" s="6" t="str">
        <x:v>SR</x:v>
      </x:c>
      <x:c r="H109" s="2" t="str">
        <x:v>Authors</x:v>
      </x:c>
      <x:c r="I109" s="6" t="str">
        <x:v>本研究的内部有效性可能受到手动修改需求以创建不合规情况的影响。</x:v>
      </x:c>
      <x:c r="J109" s="2" t="str">
        <x:v>Speculative</x:v>
      </x:c>
      <x:c r="K109" s="2" t="str">
        <x:v>S21-T02</x:v>
      </x:c>
      <x:c r="L109" s="2" t="str">
        <x:v>NR</x:v>
      </x:c>
      <x:c r="M109" s="2" t="str">
        <x:v>creation of non-compliant requirement pairs</x:v>
      </x:c>
      <x:c r="N109" s="2" t="str">
        <x:v>could influence study validity</x:v>
      </x:c>
      <x:c r="O109" s="6" t="str">
        <x:v>could be influenced</x:v>
      </x:c>
      <x:c r="P109" s="2" t="str">
        <x:v>No</x:v>
      </x:c>
      <x:c r="Q109" s="2" t="str">
        <x:v>Not proposed</x:v>
      </x:c>
      <x:c r="R109" s="2" t="str">
        <x:v>internal_validity</x:v>
      </x:c>
      <x:c r="S109" s="2" t="str">
        <x:v>validity_threat</x:v>
      </x:c>
      <x:c r="T109" s="2" t="str">
        <x:v>Evaluation and validity</x:v>
      </x:c>
      <x:c r="U109" s="6" t="str">
        <x:v>p. 21; section 6.2 Threats to Validity</x:v>
      </x:c>
      <x:c r="V109" s="6" t="str">
        <x:v>The internal validity of this study could be influenced by the manual modification of requirements to create non-compliance with reference materials.</x:v>
      </x:c>
      <x:c r="W109" s="6" t="str">
        <x:v>作者承认手动修改需求以创造不合规案例可能影响研究的内部有效性。</x:v>
      </x:c>
      <x:c r="X109" s="2" t="str">
        <x:v>Accepted</x:v>
      </x:c>
      <x:c r="Y109" s="6" t="str">
        <x:v>NA</x:v>
      </x:c>
      <x:c r="Z109" s="2" t="n">
        <x:v>2</x:v>
      </x:c>
      <x:c r="AA109" s="2" t="n">
        <x:v>1</x:v>
      </x:c>
    </x:row>
    <x:row r="110" ht="76" customHeight="1">
      <x:c r="A110" s="2" t="str">
        <x:v>S20-LIMIT-R06</x:v>
      </x:c>
      <x:c r="B110" s="2" t="str">
        <x:v>S20</x:v>
      </x:c>
      <x:c r="C110" s="2" t="str">
        <x:v>merged_1151-v1</x:v>
      </x:c>
      <x:c r="D110" s="2" t="str">
        <x:v>Reviewer_A</x:v>
      </x:c>
      <x:c r="E110" s="2" t="str">
        <x:v>Reviewer_A</x:v>
      </x:c>
      <x:c r="F110" s="2" t="str">
        <x:v>S20-L06</x:v>
      </x:c>
      <x:c r="G110" s="6" t="str">
        <x:v>SR</x:v>
      </x:c>
      <x:c r="H110" s="2" t="str">
        <x:v>Authors</x:v>
      </x:c>
      <x:c r="I110" s="6" t="str">
        <x:v>外部有效性受限于研究的领域特定性。框架仅在金融和航空航天等受监管环境中测试，对其他领域的适用性尚不确定。</x:v>
      </x:c>
      <x:c r="J110" s="2" t="str">
        <x:v>Speculative</x:v>
      </x:c>
      <x:c r="K110" s="2" t="str">
        <x:v>Multiple</x:v>
      </x:c>
      <x:c r="L110" s="2" t="str">
        <x:v>Multiple</x:v>
      </x:c>
      <x:c r="M110" s="2" t="str">
        <x:v>domain generalization</x:v>
      </x:c>
      <x:c r="N110" s="2" t="str">
        <x:v>uncertain applicability to other domains</x:v>
      </x:c>
      <x:c r="O110" s="6" t="str">
        <x:v>remains uncertain</x:v>
      </x:c>
      <x:c r="P110" s="2" t="str">
        <x:v>broader testing across diverse domains is necessary</x:v>
      </x:c>
      <x:c r="Q110" s="2" t="str">
        <x:v>Proposed</x:v>
      </x:c>
      <x:c r="R110" s="2" t="str">
        <x:v>external_validity</x:v>
      </x:c>
      <x:c r="S110" s="2" t="str">
        <x:v>validity_threat</x:v>
      </x:c>
      <x:c r="T110" s="2" t="str">
        <x:v>Evaluation and validity</x:v>
      </x:c>
      <x:c r="U110" s="6" t="str">
        <x:v>p. 21; section 6.2 Threats to Validity</x:v>
      </x:c>
      <x:c r="V110" s="6" t="str">
        <x:v>External Validity: The external validity is limited by the domain-specific nature of the study. Since the framework was tested in regulated environments like finance and</x:v>
      </x:c>
      <x:c r="W110" s="6" t="str">
        <x:v>研究局限于特定领域，作者担心框架在其他领域的泛化能力不足。</x:v>
      </x:c>
      <x:c r="X110" s="2" t="str">
        <x:v>Accepted</x:v>
      </x:c>
      <x:c r="Y110" s="6" t="str">
        <x:v>NA</x:v>
      </x:c>
      <x:c r="Z110" s="2" t="n">
        <x:v>2</x:v>
      </x:c>
      <x:c r="AA110" s="2" t="n">
        <x:v>2</x:v>
      </x:c>
    </x:row>
    <x:row r="111" ht="76" customHeight="1">
      <x:c r="A111" s="2" t="str">
        <x:v>S20-LIMIT-R07</x:v>
      </x:c>
      <x:c r="B111" s="2" t="str">
        <x:v>S20</x:v>
      </x:c>
      <x:c r="C111" s="2" t="str">
        <x:v>merged_1151-v1</x:v>
      </x:c>
      <x:c r="D111" s="2" t="str">
        <x:v>Reviewer_A</x:v>
      </x:c>
      <x:c r="E111" s="2" t="str">
        <x:v>Reviewer_A</x:v>
      </x:c>
      <x:c r="F111" s="2" t="str">
        <x:v>S20-L07</x:v>
      </x:c>
      <x:c r="G111" s="6" t="str">
        <x:v>SR</x:v>
      </x:c>
      <x:c r="H111" s="2" t="str">
        <x:v>Authors</x:v>
      </x:c>
      <x:c r="I111" s="6" t="str">
        <x:v>Graph-RAG和Tree of Thoughts等方法的高计算成本对可扩展性构成威胁。在资源受限的应用中可能不实用，需要进一步优化。</x:v>
      </x:c>
      <x:c r="J111" s="2" t="str">
        <x:v>Speculative</x:v>
      </x:c>
      <x:c r="K111" s="2" t="str">
        <x:v>Multiple</x:v>
      </x:c>
      <x:c r="L111" s="2" t="str">
        <x:v>Multiple</x:v>
      </x:c>
      <x:c r="M111" s="2" t="str">
        <x:v>scalability and cost-effectiveness</x:v>
      </x:c>
      <x:c r="N111" s="2" t="str">
        <x:v>may not be practical for large-scale or resource-constrained applications</x:v>
      </x:c>
      <x:c r="O111" s="6" t="str">
        <x:v>presents a threat to scalability</x:v>
      </x:c>
      <x:c r="P111" s="2" t="str">
        <x:v>further optimization to enhance efficiency</x:v>
      </x:c>
      <x:c r="Q111" s="2" t="str">
        <x:v>Proposed</x:v>
      </x:c>
      <x:c r="R111" s="2" t="str">
        <x:v>cost_effectiveness</x:v>
      </x:c>
      <x:c r="S111" s="2" t="str">
        <x:v>scalability</x:v>
      </x:c>
      <x:c r="T111" s="2" t="str">
        <x:v>Scalability and deployment</x:v>
      </x:c>
      <x:c r="U111" s="6" t="str">
        <x:v>p. 22; section 6.2 Threats to Validity</x:v>
      </x:c>
      <x:c r="V111" s="6" t="str">
        <x:v>like Graph-RAG and Tree of Thoughts presents a threat to scalability. Implementing such resource-intensive techniques may not be practical for large-scale or resourceconstrained applications, requiring further optimization to enhance efficiency.</x:v>
      </x:c>
      <x:c r="W111" s="6" t="str">
        <x:v>作者指出高计算成本威胁框架的可扩展性，需要优化以提高效率。</x:v>
      </x:c>
      <x:c r="X111" s="2" t="str">
        <x:v>Accepted</x:v>
      </x:c>
      <x:c r="Y111" s="6" t="str">
        <x:v>NA</x:v>
      </x:c>
      <x:c r="Z111" s="2" t="n">
        <x:v>2</x:v>
      </x:c>
      <x:c r="AA111" s="2" t="n">
        <x:v>2</x:v>
      </x:c>
    </x:row>
    <x:row r="112" ht="76" customHeight="1">
      <x:c r="A112" s="2" t="str">
        <x:v>S21-LIMIT-R01</x:v>
      </x:c>
      <x:c r="B112" s="2" t="str">
        <x:v>S21</x:v>
      </x:c>
      <x:c r="C112" s="2" t="str">
        <x:v>merged_1152</x:v>
      </x:c>
      <x:c r="D112" s="2" t="str">
        <x:v>Reviewer_A</x:v>
      </x:c>
      <x:c r="E112" s="2" t="str">
        <x:v>Reviewer_A</x:v>
      </x:c>
      <x:c r="F112" s="2" t="str">
        <x:v>S21-L01</x:v>
      </x:c>
      <x:c r="G112" s="6" t="str">
        <x:v>SR</x:v>
      </x:c>
      <x:c r="H112" s="2" t="str">
        <x:v>Authors</x:v>
      </x:c>
      <x:c r="I112" s="6" t="str">
        <x:v>我们只评估了三个开源项目，并且仅对其中一个提供了详细分析，限制了发现的泛化性。</x:v>
      </x:c>
      <x:c r="J112" s="2" t="str">
        <x:v>Empirical</x:v>
      </x:c>
      <x:c r="K112" s="2" t="str">
        <x:v>Multiple</x:v>
      </x:c>
      <x:c r="L112" s="2" t="str">
        <x:v>Multiple</x:v>
      </x:c>
      <x:c r="M112" s="2" t="str">
        <x:v>数据集数量少，分析深度有限</x:v>
      </x:c>
      <x:c r="N112" s="2" t="str">
        <x:v>泛化性受限</x:v>
      </x:c>
      <x:c r="O112" s="6" t="str">
        <x:v>NR</x:v>
      </x:c>
      <x:c r="P112" s="2" t="str">
        <x:v>为了减轻这一威胁，选择了跨多个领域、工件类型和规模的项目，并构建了代表性的跟踪查询。</x:v>
      </x:c>
      <x:c r="Q112" s="2" t="str">
        <x:v>Implemented</x:v>
      </x:c>
      <x:c r="R112" s="2" t="str">
        <x:v>sample_size</x:v>
      </x:c>
      <x:c r="S112" s="2" t="str">
        <x:v>generalizability</x:v>
      </x:c>
      <x:c r="T112" s="2" t="str">
        <x:v>Data and evidence quality</x:v>
      </x:c>
      <x:c r="U112" s="6" t="str">
        <x:v>p. 6; Section V</x:v>
      </x:c>
      <x:c r="V112" s="6" t="str">
        <x:v>First, we evaluated only three open-source projects and only provide a detailed analysis of one, limiting the generalization of our findings.</x:v>
      </x:c>
      <x:c r="W112" s="6" t="str">
        <x:v>作者承认评估范围有限，可能影响结论的普遍性。</x:v>
      </x:c>
      <x:c r="X112" s="2" t="str">
        <x:v>Accepted</x:v>
      </x:c>
      <x:c r="Y112" s="6" t="str">
        <x:v>NR</x:v>
      </x:c>
      <x:c r="Z112" s="2" t="n">
        <x:v>3</x:v>
      </x:c>
      <x:c r="AA112" s="2" t="n">
        <x:v>3</x:v>
      </x:c>
    </x:row>
    <x:row r="113" ht="76" customHeight="1">
      <x:c r="A113" s="2" t="str">
        <x:v>S21-LIMIT-R02</x:v>
      </x:c>
      <x:c r="B113" s="2" t="str">
        <x:v>S21</x:v>
      </x:c>
      <x:c r="C113" s="2" t="str">
        <x:v>merged_1152</x:v>
      </x:c>
      <x:c r="D113" s="2" t="str">
        <x:v>Reviewer_A</x:v>
      </x:c>
      <x:c r="E113" s="2" t="str">
        <x:v>Reviewer_A</x:v>
      </x:c>
      <x:c r="F113" s="2" t="str">
        <x:v>S21-L02</x:v>
      </x:c>
      <x:c r="G113" s="6" t="str">
        <x:v>SR</x:v>
      </x:c>
      <x:c r="H113" s="2" t="str">
        <x:v>Authors</x:v>
      </x:c>
      <x:c r="I113" s="6" t="str">
        <x:v>现有的可追溯性数据集通常是不完整的，因为真正考虑项目中的每个候选链接会以O(n²)增长。LLMs识别了潜在的遗漏跟踪，但我们没有项目专家来完全验证其准确性。</x:v>
      </x:c>
      <x:c r="J113" s="2" t="str">
        <x:v>Empirical</x:v>
      </x:c>
      <x:c r="K113" s="2" t="str">
        <x:v>Multiple</x:v>
      </x:c>
      <x:c r="L113" s="2" t="str">
        <x:v>Multiple</x:v>
      </x:c>
      <x:c r="M113" s="2" t="str">
        <x:v>数据集的不完整性</x:v>
      </x:c>
      <x:c r="N113" s="2" t="str">
        <x:v>无法完全验证LLMs发现的潜在遗漏的准确性</x:v>
      </x:c>
      <x:c r="O113" s="6" t="str">
        <x:v>NR</x:v>
      </x:c>
      <x:c r="P113" s="2" t="str">
        <x:v>NR</x:v>
      </x:c>
      <x:c r="Q113" s="2" t="str">
        <x:v>Not proposed</x:v>
      </x:c>
      <x:c r="R113" s="2" t="str">
        <x:v>incomplete_dataset</x:v>
      </x:c>
      <x:c r="S113" s="2" t="str">
        <x:v>data_quality</x:v>
      </x:c>
      <x:c r="T113" s="2" t="str">
        <x:v>Data and evidence quality</x:v>
      </x:c>
      <x:c r="U113" s="6" t="str">
        <x:v>p. 6; Section V</x:v>
      </x:c>
      <x:c r="V113" s="6" t="str">
        <x:v>Second, existing traceability datasets are typically incomplete, as truly considering every candidate link in a project grows O(n2 ) with the number of artifacts. The LLMs identified potential missing traces, but we could not fully validate their accuracy without a project expert.</x:v>
      </x:c>
      <x:c r="W113" s="6" t="str">
        <x:v>数据集的不完整性可能影响对LLM预测准确性的判断。</x:v>
      </x:c>
      <x:c r="X113" s="2" t="str">
        <x:v>Accepted</x:v>
      </x:c>
      <x:c r="Y113" s="6" t="str">
        <x:v>NR</x:v>
      </x:c>
      <x:c r="Z113" s="2" t="n">
        <x:v>3</x:v>
      </x:c>
      <x:c r="AA113" s="2" t="n">
        <x:v>1</x:v>
      </x:c>
    </x:row>
    <x:row r="114" ht="76" customHeight="1">
      <x:c r="A114" s="2" t="str">
        <x:v>S21-LIMIT-R03</x:v>
      </x:c>
      <x:c r="B114" s="2" t="str">
        <x:v>S21</x:v>
      </x:c>
      <x:c r="C114" s="2" t="str">
        <x:v>merged_1152</x:v>
      </x:c>
      <x:c r="D114" s="2" t="str">
        <x:v>Reviewer_A</x:v>
      </x:c>
      <x:c r="E114" s="2" t="str">
        <x:v>Reviewer_A</x:v>
      </x:c>
      <x:c r="F114" s="2" t="str">
        <x:v>S21-L03</x:v>
      </x:c>
      <x:c r="G114" s="6" t="str">
        <x:v>SR</x:v>
      </x:c>
      <x:c r="H114" s="2" t="str">
        <x:v>Authors</x:v>
      </x:c>
      <x:c r="I114" s="6" t="str">
        <x:v>我们的研究使用了有限的LLM集合，这可能无法代表当前最先进技术的完整空间。</x:v>
      </x:c>
      <x:c r="J114" s="2" t="str">
        <x:v>Empirical</x:v>
      </x:c>
      <x:c r="K114" s="2" t="str">
        <x:v>Multiple</x:v>
      </x:c>
      <x:c r="L114" s="2" t="str">
        <x:v>Multiple</x:v>
      </x:c>
      <x:c r="M114" s="2" t="str">
        <x:v>模型选择有限</x:v>
      </x:c>
      <x:c r="N114" s="2" t="str">
        <x:v>结论可能无法推广到其他LLMs</x:v>
      </x:c>
      <x:c r="O114" s="6" t="str">
        <x:v>NR</x:v>
      </x:c>
      <x:c r="P114" s="2" t="str">
        <x:v>我们选择了从公开可用的商业模型初步探索中领先的LLMs。</x:v>
      </x:c>
      <x:c r="Q114" s="2" t="str">
        <x:v>Implemented</x:v>
      </x:c>
      <x:c r="R114" s="2" t="str">
        <x:v>model_selection</x:v>
      </x:c>
      <x:c r="S114" s="2" t="str">
        <x:v>generalizability</x:v>
      </x:c>
      <x:c r="T114" s="2" t="str">
        <x:v>Generalizability and scope</x:v>
      </x:c>
      <x:c r="U114" s="6" t="str">
        <x:v>p. 6; Section V</x:v>
      </x:c>
      <x:c r="V114" s="6" t="str">
        <x:v>a project expert. Third, our study used a limited set of LLMs which may not represent the full space of the current state-</x:v>
      </x:c>
      <x:c r="W114" s="6" t="str">
        <x:v>有限的模型选择可能影响结果的泛化性。</x:v>
      </x:c>
      <x:c r="X114" s="2" t="str">
        <x:v>Accepted</x:v>
      </x:c>
      <x:c r="Y114" s="6" t="str">
        <x:v>NR</x:v>
      </x:c>
      <x:c r="Z114" s="2" t="n">
        <x:v>3</x:v>
      </x:c>
      <x:c r="AA114" s="2" t="n">
        <x:v>3</x:v>
      </x:c>
    </x:row>
    <x:row r="115" ht="76" customHeight="1">
      <x:c r="A115" s="2" t="str">
        <x:v>S21-LIMIT-R04</x:v>
      </x:c>
      <x:c r="B115" s="2" t="str">
        <x:v>S21</x:v>
      </x:c>
      <x:c r="C115" s="2" t="str">
        <x:v>merged_1152</x:v>
      </x:c>
      <x:c r="D115" s="2" t="str">
        <x:v>Reviewer_A</x:v>
      </x:c>
      <x:c r="E115" s="2" t="str">
        <x:v>Reviewer_A</x:v>
      </x:c>
      <x:c r="F115" s="2" t="str">
        <x:v>S21-L04</x:v>
      </x:c>
      <x:c r="G115" s="6" t="str">
        <x:v>SR</x:v>
      </x:c>
      <x:c r="H115" s="2" t="str">
        <x:v>Authors</x:v>
      </x:c>
      <x:c r="I115" s="6" t="str">
        <x:v>我们无法排除模型可能事先接触过这些数据集的可能性，因为这些数据集在模型创建时都是公开可用的。</x:v>
      </x:c>
      <x:c r="J115" s="2" t="str">
        <x:v>Speculative</x:v>
      </x:c>
      <x:c r="K115" s="2" t="str">
        <x:v>Multiple</x:v>
      </x:c>
      <x:c r="L115" s="2" t="str">
        <x:v>S22-MU01</x:v>
      </x:c>
      <x:c r="M115" s="2" t="str">
        <x:v>数据集公开可用</x:v>
      </x:c>
      <x:c r="N115" s="2" t="str">
        <x:v>模型性能可能并非仅来自其泛化能力，可能含有记忆效应。</x:v>
      </x:c>
      <x:c r="O115" s="6" t="str">
        <x:v>NR</x:v>
      </x:c>
      <x:c r="P115" s="2" t="str">
        <x:v>NR</x:v>
      </x:c>
      <x:c r="Q115" s="2" t="str">
        <x:v>Not proposed</x:v>
      </x:c>
      <x:c r="R115" s="2" t="str">
        <x:v>data_leakage</x:v>
      </x:c>
      <x:c r="S115" s="2" t="str">
        <x:v>validity</x:v>
      </x:c>
      <x:c r="T115" s="2" t="str">
        <x:v>Data and evidence quality</x:v>
      </x:c>
      <x:c r="U115" s="6" t="str">
        <x:v>p. 8; Section VI-B</x:v>
      </x:c>
      <x:c r="V115" s="6" t="str">
        <x:v>important to note that since the datasets in this paper were all publicly available at the time of the model’s creation, we</x:v>
      </x:c>
      <x:c r="W115" s="6" t="str">
        <x:v>数据泄露风险可能影响模型评估的可靠性。</x:v>
      </x:c>
      <x:c r="X115" s="2" t="str">
        <x:v>Accepted</x:v>
      </x:c>
      <x:c r="Y115" s="6" t="str">
        <x:v>NR</x:v>
      </x:c>
      <x:c r="Z115" s="2" t="n">
        <x:v>2</x:v>
      </x:c>
      <x:c r="AA115" s="2" t="n">
        <x:v>1</x:v>
      </x:c>
    </x:row>
    <x:row r="116" ht="76" customHeight="1">
      <x:c r="A116" s="2" t="str">
        <x:v>S22-LIMIT-R01</x:v>
      </x:c>
      <x:c r="B116" s="2" t="str">
        <x:v>S22</x:v>
      </x:c>
      <x:c r="C116" s="2" t="str">
        <x:v>merged_1154-v1</x:v>
      </x:c>
      <x:c r="D116" s="2" t="str">
        <x:v>Reviewer_A</x:v>
      </x:c>
      <x:c r="E116" s="2" t="str">
        <x:v>Reviewer_A</x:v>
      </x:c>
      <x:c r="F116" s="2" t="str">
        <x:v>S22-L01</x:v>
      </x:c>
      <x:c r="G116" s="6" t="str">
        <x:v>SR</x:v>
      </x:c>
      <x:c r="H116" s="2" t="str">
        <x:v>Authors</x:v>
      </x:c>
      <x:c r="I116" s="6" t="str">
        <x:v>每个实验条件仅重复三次，虽然足以观察较大差异，但不足以全面刻画随机生成行为的变异性。</x:v>
      </x:c>
      <x:c r="J116" s="2" t="str">
        <x:v>Empirical</x:v>
      </x:c>
      <x:c r="K116" s="2" t="str">
        <x:v>Multiple</x:v>
      </x:c>
      <x:c r="L116" s="2" t="str">
        <x:v>Multiple</x:v>
      </x:c>
      <x:c r="M116" s="2" t="str">
        <x:v>Study 1 和 Study 2 的复制</x:v>
      </x:c>
      <x:c r="N116" s="2" t="str">
        <x:v>无法充分评估生成结果的稳定性</x:v>
      </x:c>
      <x:c r="O116" s="6" t="str">
        <x:v>NR</x:v>
      </x:c>
      <x:c r="P116" s="2" t="str">
        <x:v>No</x:v>
      </x:c>
      <x:c r="Q116" s="2" t="str">
        <x:v>Not proposed</x:v>
      </x:c>
      <x:c r="R116" s="2" t="str">
        <x:v>insufficient_replication</x:v>
      </x:c>
      <x:c r="S116" s="2" t="str">
        <x:v>internal_validity</x:v>
      </x:c>
      <x:c r="T116" s="2" t="str">
        <x:v>Governance and reproducibility</x:v>
      </x:c>
      <x:c r="U116" s="6" t="str">
        <x:v>p. 14; section XI.A</x:v>
      </x:c>
      <x:c r="V116" s="6" t="str">
        <x:v>Three replications per condition are sufficient to observe large differences but not enough to fully characterize stochastic generation behavior.</x:v>
      </x:c>
      <x:c r="W116" s="6" t="str">
        <x:v>内部有效性威胁：较少的重复次数限制了对生成行为变异性的理解。</x:v>
      </x:c>
      <x:c r="X116" s="2" t="str">
        <x:v>Accepted</x:v>
      </x:c>
      <x:c r="Y116" s="6" t="str">
        <x:v>NA</x:v>
      </x:c>
      <x:c r="Z116" s="2" t="n">
        <x:v>3</x:v>
      </x:c>
      <x:c r="AA116" s="2" t="n">
        <x:v>1</x:v>
      </x:c>
    </x:row>
    <x:row r="117" ht="76" customHeight="1">
      <x:c r="A117" s="2" t="str">
        <x:v>S22-LIMIT-R02</x:v>
      </x:c>
      <x:c r="B117" s="2" t="str">
        <x:v>S22</x:v>
      </x:c>
      <x:c r="C117" s="2" t="str">
        <x:v>merged_1154-v1</x:v>
      </x:c>
      <x:c r="D117" s="2" t="str">
        <x:v>Reviewer_A</x:v>
      </x:c>
      <x:c r="E117" s="2" t="str">
        <x:v>Reviewer_A</x:v>
      </x:c>
      <x:c r="F117" s="2" t="str">
        <x:v>S22-L02</x:v>
      </x:c>
      <x:c r="G117" s="6" t="str">
        <x:v>SR</x:v>
      </x:c>
      <x:c r="H117" s="2" t="str">
        <x:v>Authors</x:v>
      </x:c>
      <x:c r="I117" s="6" t="str">
        <x:v>失败数量近似安全质量，但未完全代表可利用性；部分失败属于纯粹的 OpenAPI 契约不匹配，而非高影响安全故障。</x:v>
      </x:c>
      <x:c r="J117" s="2" t="str">
        <x:v>Empirical</x:v>
      </x:c>
      <x:c r="K117" s="2" t="str">
        <x:v>Multiple</x:v>
      </x:c>
      <x:c r="L117" s="2" t="str">
        <x:v>Multiple</x:v>
      </x:c>
      <x:c r="M117" s="2" t="str">
        <x:v>Study 2 评估</x:v>
      </x:c>
      <x:c r="N117" s="2" t="str">
        <x:v>可能高估或低估实际安全效果</x:v>
      </x:c>
      <x:c r="O117" s="6" t="str">
        <x:v>NR</x:v>
      </x:c>
      <x:c r="P117" s="2" t="str">
        <x:v>Partially addressed through category-level results and severity classification</x:v>
      </x:c>
      <x:c r="Q117" s="2" t="str">
        <x:v>Implemented</x:v>
      </x:c>
      <x:c r="R117" s="2" t="str">
        <x:v>construct_validity_failure_representation</x:v>
      </x:c>
      <x:c r="S117" s="2" t="str">
        <x:v>construct_validity</x:v>
      </x:c>
      <x:c r="T117" s="2" t="str">
        <x:v>Evaluation and validity</x:v>
      </x:c>
      <x:c r="U117" s="6" t="str">
        <x:v>p. 14; section XI.B</x:v>
      </x:c>
      <x:c r="V117" s="6" t="str">
        <x:v>Failure counts approximate security quality but do not fully represent exploitability.</x:v>
      </x:c>
      <x:c r="W117" s="6" t="str">
        <x:v>构建效度：失败数量作为安全度量指标存在局限性，需要区分失败的性质。</x:v>
      </x:c>
      <x:c r="X117" s="2" t="str">
        <x:v>Accepted</x:v>
      </x:c>
      <x:c r="Y117" s="6" t="str">
        <x:v>NA</x:v>
      </x:c>
      <x:c r="Z117" s="2" t="n">
        <x:v>3</x:v>
      </x:c>
      <x:c r="AA117" s="2" t="n">
        <x:v>3</x:v>
      </x:c>
    </x:row>
    <x:row r="118" ht="76" customHeight="1">
      <x:c r="A118" s="2" t="str">
        <x:v>S22-LIMIT-R03</x:v>
      </x:c>
      <x:c r="B118" s="2" t="str">
        <x:v>S22</x:v>
      </x:c>
      <x:c r="C118" s="2" t="str">
        <x:v>merged_1154-v1</x:v>
      </x:c>
      <x:c r="D118" s="2" t="str">
        <x:v>Reviewer_A</x:v>
      </x:c>
      <x:c r="E118" s="2" t="str">
        <x:v>Reviewer_A</x:v>
      </x:c>
      <x:c r="F118" s="2" t="str">
        <x:v>S22-L03</x:v>
      </x:c>
      <x:c r="G118" s="6" t="str">
        <x:v>SR</x:v>
      </x:c>
      <x:c r="H118" s="2" t="str">
        <x:v>Authors</x:v>
      </x:c>
      <x:c r="I118" s="6" t="str">
        <x:v>后端研究仅使用一个领域（网球场预订）；隐藏神谕研究仅使用一个浏览器隔离系统；结果可能无法推广到其他领域。</x:v>
      </x:c>
      <x:c r="J118" s="2" t="str">
        <x:v>Speculative</x:v>
      </x:c>
      <x:c r="K118" s="2" t="str">
        <x:v>Multiple</x:v>
      </x:c>
      <x:c r="L118" s="2" t="str">
        <x:v>Multiple</x:v>
      </x:c>
      <x:c r="M118" s="2" t="str">
        <x:v>领域泛化性</x:v>
      </x:c>
      <x:c r="N118" s="2" t="str">
        <x:v>研究结论可能不适用于金融、医疗等领域</x:v>
      </x:c>
      <x:c r="O118" s="6" t="str">
        <x:v>NR</x:v>
      </x:c>
      <x:c r="P118" s="2" t="str">
        <x:v>No</x:v>
      </x:c>
      <x:c r="Q118" s="2" t="str">
        <x:v>Not proposed</x:v>
      </x:c>
      <x:c r="R118" s="2" t="str">
        <x:v>limited_domain_generalizability</x:v>
      </x:c>
      <x:c r="S118" s="2" t="str">
        <x:v>external_validity</x:v>
      </x:c>
      <x:c r="T118" s="2" t="str">
        <x:v>Generalizability and scope</x:v>
      </x:c>
      <x:c r="U118" s="6" t="str">
        <x:v>p. 14; section XI.C</x:v>
      </x:c>
      <x:c r="V118" s="6" t="str">
        <x:v>The backend study uses one domain: tennis court booking. The hidden-oracle study uses one browser isolation system.</x:v>
      </x:c>
      <x:c r="W118" s="6" t="str">
        <x:v>外部效度威胁：单一领域限制了结果的泛化能力。</x:v>
      </x:c>
      <x:c r="X118" s="2" t="str">
        <x:v>Accepted</x:v>
      </x:c>
      <x:c r="Y118" s="6" t="str">
        <x:v>NA</x:v>
      </x:c>
      <x:c r="Z118" s="2" t="n">
        <x:v>2</x:v>
      </x:c>
      <x:c r="AA118" s="2" t="n">
        <x:v>1</x:v>
      </x:c>
    </x:row>
    <x:row r="119" ht="76" customHeight="1">
      <x:c r="A119" s="2" t="str">
        <x:v>S22-LIMIT-R04</x:v>
      </x:c>
      <x:c r="B119" s="2" t="str">
        <x:v>S22</x:v>
      </x:c>
      <x:c r="C119" s="2" t="str">
        <x:v>merged_1154-v1</x:v>
      </x:c>
      <x:c r="D119" s="2" t="str">
        <x:v>Reviewer_A</x:v>
      </x:c>
      <x:c r="E119" s="2" t="str">
        <x:v>Reviewer_A</x:v>
      </x:c>
      <x:c r="F119" s="2" t="str">
        <x:v>S22-L04</x:v>
      </x:c>
      <x:c r="G119" s="6" t="str">
        <x:v>SR</x:v>
      </x:c>
      <x:c r="H119" s="2" t="str">
        <x:v>Authors</x:v>
      </x:c>
      <x:c r="I119" s="6" t="str">
        <x:v>安全模型生成研究使用手动语义匹配，引入评审员主观性；此外，验证场景仅作为可追溯性工件评估，未针对真实实现执行。</x:v>
      </x:c>
      <x:c r="J119" s="2" t="str">
        <x:v>Empirical</x:v>
      </x:c>
      <x:c r="K119" s="2" t="str">
        <x:v>S23-T01</x:v>
      </x:c>
      <x:c r="L119" s="2" t="str">
        <x:v>S23-MU01</x:v>
      </x:c>
      <x:c r="M119" s="2" t="str">
        <x:v>研究 1 的评估</x:v>
      </x:c>
      <x:c r="N119" s="2" t="str">
        <x:v>安全模型评估的可信度受限</x:v>
      </x:c>
      <x:c r="O119" s="6" t="str">
        <x:v>NR</x:v>
      </x:c>
      <x:c r="P119" s="2" t="str">
        <x:v>No</x:v>
      </x:c>
      <x:c r="Q119" s="2" t="str">
        <x:v>Not proposed</x:v>
      </x:c>
      <x:c r="R119" s="2" t="str">
        <x:v>manual_matching_subjectivity</x:v>
      </x:c>
      <x:c r="S119" s="2" t="str">
        <x:v>evaluation_validity</x:v>
      </x:c>
      <x:c r="T119" s="2" t="str">
        <x:v>Context and prompt dependence</x:v>
      </x:c>
      <x:c r="U119" s="6" t="str">
        <x:v>p. 14; section XI.D</x:v>
      </x:c>
      <x:c r="V119" s="6" t="str">
        <x:v>The security-model generation study used manual semantic matching, which introduces reviewer subjectivity.</x:v>
      </x:c>
      <x:c r="W119" s="6" t="str">
        <x:v>评估效度：手动匹配引入主观性，降低了评估可靠性。</x:v>
      </x:c>
      <x:c r="X119" s="2" t="str">
        <x:v>Accepted</x:v>
      </x:c>
      <x:c r="Y119" s="6" t="str">
        <x:v>NA</x:v>
      </x:c>
      <x:c r="Z119" s="2" t="n">
        <x:v>3</x:v>
      </x:c>
      <x:c r="AA119" s="2" t="n">
        <x:v>1</x:v>
      </x:c>
    </x:row>
    <x:row r="120" ht="76" customHeight="1">
      <x:c r="A120" s="2" t="str">
        <x:v>S22-LIMIT-R05</x:v>
      </x:c>
      <x:c r="B120" s="2" t="str">
        <x:v>S22</x:v>
      </x:c>
      <x:c r="C120" s="2" t="str">
        <x:v>merged_1154-v1</x:v>
      </x:c>
      <x:c r="D120" s="2" t="str">
        <x:v>Reviewer_A</x:v>
      </x:c>
      <x:c r="E120" s="2" t="str">
        <x:v>Reviewer_A</x:v>
      </x:c>
      <x:c r="F120" s="2" t="str">
        <x:v>S22-L05</x:v>
      </x:c>
      <x:c r="G120" s="6" t="str">
        <x:v>SR</x:v>
      </x:c>
      <x:c r="H120" s="2" t="str">
        <x:v>Authors</x:v>
      </x:c>
      <x:c r="I120" s="6" t="str">
        <x:v>尽管隐藏测试设计降低了直接过拟合风险，但未消除所有间接泄漏形式；模型可能从预训练中学到常见模式。</x:v>
      </x:c>
      <x:c r="J120" s="2" t="str">
        <x:v>Speculative</x:v>
      </x:c>
      <x:c r="K120" s="2" t="str">
        <x:v>Multiple</x:v>
      </x:c>
      <x:c r="L120" s="2" t="str">
        <x:v>Multiple</x:v>
      </x:c>
      <x:c r="M120" s="2" t="str">
        <x:v>基准泄漏效度</x:v>
      </x:c>
      <x:c r="N120" s="2" t="str">
        <x:v>不能完全排除基准泄漏对结果的影响</x:v>
      </x:c>
      <x:c r="O120" s="6" t="str">
        <x:v>NR</x:v>
      </x:c>
      <x:c r="P120" s="2" t="str">
        <x:v>No</x:v>
      </x:c>
      <x:c r="Q120" s="2" t="str">
        <x:v>Not proposed</x:v>
      </x:c>
      <x:c r="R120" s="2" t="str">
        <x:v>indirect_benchmark_leakage</x:v>
      </x:c>
      <x:c r="S120" s="2" t="str">
        <x:v>benchmark_validity</x:v>
      </x:c>
      <x:c r="T120" s="2" t="str">
        <x:v>Data and evidence quality</x:v>
      </x:c>
      <x:c r="U120" s="6" t="str">
        <x:v>p. 14; section XI.E</x:v>
      </x:c>
      <x:c r="V120" s="6" t="str">
        <x:v>However, it does not eliminate all forms of indirect leakage.</x:v>
      </x:c>
      <x:c r="W120" s="6" t="str">
        <x:v>基准泄漏效度：隐藏测试不能完全防止间接泄漏，需谨慎解释结果。</x:v>
      </x:c>
      <x:c r="X120" s="2" t="str">
        <x:v>Accepted</x:v>
      </x:c>
      <x:c r="Y120" s="6" t="str">
        <x:v>NA</x:v>
      </x:c>
      <x:c r="Z120" s="2" t="n">
        <x:v>2</x:v>
      </x:c>
      <x:c r="AA120" s="2" t="n">
        <x:v>1</x:v>
      </x:c>
    </x:row>
    <x:row r="121" ht="76" customHeight="1">
      <x:c r="A121" s="2" t="str">
        <x:v>S22-LIMIT-R06</x:v>
      </x:c>
      <x:c r="B121" s="2" t="str">
        <x:v>S22</x:v>
      </x:c>
      <x:c r="C121" s="2" t="str">
        <x:v>merged_1154-v1</x:v>
      </x:c>
      <x:c r="D121" s="2" t="str">
        <x:v>Reviewer_A</x:v>
      </x:c>
      <x:c r="E121" s="2" t="str">
        <x:v>Reviewer_A</x:v>
      </x:c>
      <x:c r="F121" s="2" t="str">
        <x:v>S22-L06</x:v>
      </x:c>
      <x:c r="G121" s="6" t="str">
        <x:v>SR</x:v>
      </x:c>
      <x:c r="H121" s="2" t="str">
        <x:v>Authors</x:v>
      </x:c>
      <x:c r="I121" s="6" t="str">
        <x:v>生成的部分威胁有效但表述方式与神谕不同，导致分类对齐问题；严格匹配可能低估有用推理，宽松匹配可能高估语义等价。</x:v>
      </x:c>
      <x:c r="J121" s="2" t="str">
        <x:v>Empirical</x:v>
      </x:c>
      <x:c r="K121" s="2" t="str">
        <x:v>S23-T01</x:v>
      </x:c>
      <x:c r="L121" s="2" t="str">
        <x:v>S23-MU01</x:v>
      </x:c>
      <x:c r="M121" s="2" t="str">
        <x:v>研究 1 的神谕分类对齐</x:v>
      </x:c>
      <x:c r="N121" s="2" t="str">
        <x:v>影响覆盖率度量的准确性</x:v>
      </x:c>
      <x:c r="O121" s="6" t="str">
        <x:v>NR</x:v>
      </x:c>
      <x:c r="P121" s="2" t="str">
        <x:v>Partially mitigated by weighted coverage</x:v>
      </x:c>
      <x:c r="Q121" s="2" t="str">
        <x:v>Implemented</x:v>
      </x:c>
      <x:c r="R121" s="2" t="str">
        <x:v>taxonomy_alignment_issue</x:v>
      </x:c>
      <x:c r="S121" s="2" t="str">
        <x:v>evaluation_validity</x:v>
      </x:c>
      <x:c r="T121" s="2" t="str">
        <x:v>Context and prompt dependence</x:v>
      </x:c>
      <x:c r="U121" s="6" t="str">
        <x:v>p. 14; section XI.F</x:v>
      </x:c>
      <x:c r="V121" s="6" t="str">
        <x:v>Some generated threats were valid but framed differently from the oracle.</x:v>
      </x:c>
      <x:c r="W121" s="6" t="str">
        <x:v>神谕分类效度：生成威胁的表述差异导致语义匹配问题。</x:v>
      </x:c>
      <x:c r="X121" s="2" t="str">
        <x:v>Accepted</x:v>
      </x:c>
      <x:c r="Y121" s="6" t="str">
        <x:v>NA</x:v>
      </x:c>
      <x:c r="Z121" s="2" t="n">
        <x:v>3</x:v>
      </x:c>
      <x:c r="AA121" s="2" t="n">
        <x:v>3</x:v>
      </x:c>
    </x:row>
    <x:row r="122" ht="76" customHeight="1">
      <x:c r="A122" s="2" t="str">
        <x:v>S22-LIMIT-R07</x:v>
      </x:c>
      <x:c r="B122" s="2" t="str">
        <x:v>S22</x:v>
      </x:c>
      <x:c r="C122" s="2" t="str">
        <x:v>merged_1154-v1</x:v>
      </x:c>
      <x:c r="D122" s="2" t="str">
        <x:v>Reviewer_A</x:v>
      </x:c>
      <x:c r="E122" s="2" t="str">
        <x:v>Reviewer_A</x:v>
      </x:c>
      <x:c r="F122" s="2" t="str">
        <x:v>S22-L07</x:v>
      </x:c>
      <x:c r="G122" s="6" t="str">
        <x:v>SR</x:v>
      </x:c>
      <x:c r="H122" s="2" t="str">
        <x:v>Authors</x:v>
      </x:c>
      <x:c r="I122" s="6" t="str">
        <x:v>后端研究使用特定的 LLM（GPT-5.3-Codex）、代理框架（OpenCode）和编程语言（FastAPI）；不同选择可能产生不同结果。</x:v>
      </x:c>
      <x:c r="J122" s="2" t="str">
        <x:v>Speculative</x:v>
      </x:c>
      <x:c r="K122" s="2" t="str">
        <x:v>Multiple</x:v>
      </x:c>
      <x:c r="L122" s="2" t="str">
        <x:v>Multiple</x:v>
      </x:c>
      <x:c r="M122" s="2" t="str">
        <x:v>工具和模型特异性</x:v>
      </x:c>
      <x:c r="N122" s="2" t="str">
        <x:v>结果的普遍性可能受限</x:v>
      </x:c>
      <x:c r="O122" s="6" t="str">
        <x:v>NR</x:v>
      </x:c>
      <x:c r="P122" s="2" t="str">
        <x:v>No</x:v>
      </x:c>
      <x:c r="Q122" s="2" t="str">
        <x:v>Not proposed</x:v>
      </x:c>
      <x:c r="R122" s="2" t="str">
        <x:v>tool_specificity</x:v>
      </x:c>
      <x:c r="S122" s="2" t="str">
        <x:v>external_validity</x:v>
      </x:c>
      <x:c r="T122" s="2" t="str">
        <x:v>Scalability and deployment</x:v>
      </x:c>
      <x:c r="U122" s="6" t="str">
        <x:v>p. 14; section XI.G</x:v>
      </x:c>
      <x:c r="V122" s="6" t="str">
        <x:v>Different LLMs, agent frameworks, programming languages, databases, or prompting policies may produce different behavior.</x:v>
      </x:c>
      <x:c r="W122" s="6" t="str">
        <x:v>工具效度：特定工具和模型的选择可能影响结果的可复现性和泛化性。</x:v>
      </x:c>
      <x:c r="X122" s="2" t="str">
        <x:v>Accepted</x:v>
      </x:c>
      <x:c r="Y122" s="6" t="str">
        <x:v>NA</x:v>
      </x:c>
      <x:c r="Z122" s="2" t="n">
        <x:v>2</x:v>
      </x:c>
      <x:c r="AA122" s="2" t="n">
        <x:v>1</x:v>
      </x:c>
    </x:row>
    <x:row r="123" ht="76" customHeight="1">
      <x:c r="A123" s="2" t="str">
        <x:v>S23-LIMIT-R01</x:v>
      </x:c>
      <x:c r="B123" s="2" t="str">
        <x:v>S23</x:v>
      </x:c>
      <x:c r="C123" s="2" t="str">
        <x:v>merged_1156</x:v>
      </x:c>
      <x:c r="D123" s="2" t="str">
        <x:v>Reviewer_A</x:v>
      </x:c>
      <x:c r="E123" s="2" t="str">
        <x:v>Reviewer_A</x:v>
      </x:c>
      <x:c r="F123" s="2" t="str">
        <x:v>S23-L01</x:v>
      </x:c>
      <x:c r="G123" s="6" t="str">
        <x:v>SR</x:v>
      </x:c>
      <x:c r="H123" s="2" t="str">
        <x:v>Authors</x:v>
      </x:c>
      <x:c r="I123" s="6" t="str">
        <x:v>该方法虽然与模型无关，但需要利用模型推理时的梯度，因此无法用于仅通过黑盒API访问的LLM（如ChatGPT或CoPilot）。</x:v>
      </x:c>
      <x:c r="J123" s="2" t="str">
        <x:v>Speculative</x:v>
      </x:c>
      <x:c r="K123" s="2" t="str">
        <x:v>Multiple</x:v>
      </x:c>
      <x:c r="L123" s="2" t="str">
        <x:v>Multiple</x:v>
      </x:c>
      <x:c r="M123" s="2" t="str">
        <x:v>LLM代码生成及需求追踪</x:v>
      </x:c>
      <x:c r="N123" s="2" t="str">
        <x:v>无法应用于仅提供API访问的模型，限制了实用性。</x:v>
      </x:c>
      <x:c r="O123" s="6" t="str">
        <x:v>NR</x:v>
      </x:c>
      <x:c r="P123" s="2" t="str">
        <x:v>No</x:v>
      </x:c>
      <x:c r="Q123" s="2" t="str">
        <x:v>Not proposed</x:v>
      </x:c>
      <x:c r="R123" s="2" t="str">
        <x:v>API</x:v>
      </x:c>
      <x:c r="S123" s="2" t="str">
        <x:v>Limitation_Applicability</x:v>
      </x:c>
      <x:c r="T123" s="2" t="str">
        <x:v>Scalability and deployment</x:v>
      </x:c>
      <x:c r="U123" s="6" t="str">
        <x:v>p. 7; Section V. LIMITATIONS AND THREATS TO VALIDITY</x:v>
      </x:c>
      <x:c r="V123" s="6" t="str">
        <x:v>it does make use of the model's gradients during inference. This means that it cannot be used with an LLM that is only accessible via a black-box API</x:v>
      </x:c>
      <x:c r="W123" s="6" t="str">
        <x:v>该方法要求获取LLM内部梯度，导致无法在仅提供API的商业模型上使用，限制了实际部署范围。</x:v>
      </x:c>
      <x:c r="X123" s="2" t="str">
        <x:v>Accepted</x:v>
      </x:c>
      <x:c r="Y123" s="6" t="str">
        <x:v>NR</x:v>
      </x:c>
      <x:c r="Z123" s="2" t="n">
        <x:v>2</x:v>
      </x:c>
      <x:c r="AA123" s="2" t="n">
        <x:v>1</x:v>
      </x:c>
    </x:row>
    <x:row r="124" ht="76" customHeight="1">
      <x:c r="A124" s="2" t="str">
        <x:v>S23-LIMIT-R02</x:v>
      </x:c>
      <x:c r="B124" s="2" t="str">
        <x:v>S23</x:v>
      </x:c>
      <x:c r="C124" s="2" t="str">
        <x:v>merged_1156</x:v>
      </x:c>
      <x:c r="D124" s="2" t="str">
        <x:v>Reviewer_A</x:v>
      </x:c>
      <x:c r="E124" s="2" t="str">
        <x:v>Reviewer_A</x:v>
      </x:c>
      <x:c r="F124" s="2" t="str">
        <x:v>S23-L02</x:v>
      </x:c>
      <x:c r="G124" s="6" t="str">
        <x:v>SR</x:v>
      </x:c>
      <x:c r="H124" s="2" t="str">
        <x:v>Authors</x:v>
      </x:c>
      <x:c r="I124" s="6" t="str">
        <x:v>重提示技术需要保留对话历史，对于较长输入或较小模型可能会遇到输入长度限制。</x:v>
      </x:c>
      <x:c r="J124" s="2" t="str">
        <x:v>Speculative</x:v>
      </x:c>
      <x:c r="K124" s="2" t="str">
        <x:v>Multiple</x:v>
      </x:c>
      <x:c r="L124" s="2" t="str">
        <x:v>Multiple</x:v>
      </x:c>
      <x:c r="M124" s="2" t="str">
        <x:v>LLM代码生成的长输入场景</x:v>
      </x:c>
      <x:c r="N124" s="2" t="str">
        <x:v>可能无法处理长篇需求或小模型。</x:v>
      </x:c>
      <x:c r="O124" s="6" t="str">
        <x:v>NR</x:v>
      </x:c>
      <x:c r="P124" s="2" t="str">
        <x:v>Future work could address this by using different techniques</x:v>
      </x:c>
      <x:c r="Q124" s="2" t="str">
        <x:v>Proposed</x:v>
      </x:c>
      <x:c r="R124" s="2" t="str">
        <x:v>InputSize</x:v>
      </x:c>
      <x:c r="S124" s="2" t="str">
        <x:v>Limitation_Scalability</x:v>
      </x:c>
      <x:c r="T124" s="2" t="str">
        <x:v>Context and prompt dependence</x:v>
      </x:c>
      <x:c r="U124" s="6" t="str">
        <x:v>p. 7; Section V. LIMITATIONS AND THREATS TO VALIDITY</x:v>
      </x:c>
      <x:c r="V124" s="6" t="str">
        <x:v>since our reprompting technique involves keeping the conversation history in the LLM input, for longer inputs — or smaller models — we would potentially encounter problems with limitations of input size.</x:v>
      </x:c>
      <x:c r="W124" s="6" t="str">
        <x:v>对话历史占用输入长度，可能导致超出模型最大上下文窗口，未来需探索无历史的重写方法。</x:v>
      </x:c>
      <x:c r="X124" s="2" t="str">
        <x:v>Accepted</x:v>
      </x:c>
      <x:c r="Y124" s="6" t="str">
        <x:v>NR</x:v>
      </x:c>
      <x:c r="Z124" s="2" t="n">
        <x:v>2</x:v>
      </x:c>
      <x:c r="AA124" s="2" t="n">
        <x:v>2</x:v>
      </x:c>
    </x:row>
    <x:row r="125" ht="76" customHeight="1">
      <x:c r="A125" s="2" t="str">
        <x:v>S23-LIMIT-R03</x:v>
      </x:c>
      <x:c r="B125" s="2" t="str">
        <x:v>S23</x:v>
      </x:c>
      <x:c r="C125" s="2" t="str">
        <x:v>merged_1156</x:v>
      </x:c>
      <x:c r="D125" s="2" t="str">
        <x:v>Reviewer_A</x:v>
      </x:c>
      <x:c r="E125" s="2" t="str">
        <x:v>Reviewer_A</x:v>
      </x:c>
      <x:c r="F125" s="2" t="str">
        <x:v>S23-L03</x:v>
      </x:c>
      <x:c r="G125" s="6" t="str">
        <x:v>SR</x:v>
      </x:c>
      <x:c r="H125" s="2" t="str">
        <x:v>Authors</x:v>
      </x:c>
      <x:c r="I125" s="6" t="str">
        <x:v>用于测试的HumanEval数据集仅有164个问题，样本量小，结果方差高，单个问题结果变化可能对整体产生较大影响。</x:v>
      </x:c>
      <x:c r="J125" s="2" t="str">
        <x:v>Empirical</x:v>
      </x:c>
      <x:c r="K125" s="2" t="str">
        <x:v>NR</x:v>
      </x:c>
      <x:c r="L125" s="2" t="str">
        <x:v>Multiple</x:v>
      </x:c>
      <x:c r="M125" s="2" t="str">
        <x:v>评估实验</x:v>
      </x:c>
      <x:c r="N125" s="2" t="str">
        <x:v>结果可能不稳健，泛化性存疑。</x:v>
      </x:c>
      <x:c r="O125" s="6" t="str">
        <x:v>NR</x:v>
      </x:c>
      <x:c r="P125" s="2" t="str">
        <x:v>Future work to reproduce our findings on larger datasets would address this.</x:v>
      </x:c>
      <x:c r="Q125" s="2" t="str">
        <x:v>Proposed</x:v>
      </x:c>
      <x:c r="R125" s="2" t="str">
        <x:v>DatasetSize</x:v>
      </x:c>
      <x:c r="S125" s="2" t="str">
        <x:v>Threat_InternalValidity</x:v>
      </x:c>
      <x:c r="T125" s="2" t="str">
        <x:v>Data and evidence quality</x:v>
      </x:c>
      <x:c r="U125" s="6" t="str">
        <x:v>p. 7; Section V. B. Threats to validity</x:v>
      </x:c>
      <x:c r="V125" s="6" t="str">
        <x:v>The HumanEval dataset used to test our reprompting techniques is, at 164 problems, relatively small and a change in the results of a small number of problems could have a large impact on results.</x:v>
      </x:c>
      <x:c r="W125" s="6" t="str">
        <x:v>数据集规模小导致结果方差大，削弱了结论的可靠性，需在更大基准上复现。</x:v>
      </x:c>
      <x:c r="X125" s="2" t="str">
        <x:v>Accepted</x:v>
      </x:c>
      <x:c r="Y125" s="6" t="str">
        <x:v>NR</x:v>
      </x:c>
      <x:c r="Z125" s="2" t="n">
        <x:v>3</x:v>
      </x:c>
      <x:c r="AA125" s="2" t="n">
        <x:v>2</x:v>
      </x:c>
    </x:row>
    <x:row r="126" ht="76" customHeight="1">
      <x:c r="A126" s="2" t="str">
        <x:v>S23-LIMIT-R04</x:v>
      </x:c>
      <x:c r="B126" s="2" t="str">
        <x:v>S23</x:v>
      </x:c>
      <x:c r="C126" s="2" t="str">
        <x:v>merged_1156</x:v>
      </x:c>
      <x:c r="D126" s="2" t="str">
        <x:v>Reviewer_A</x:v>
      </x:c>
      <x:c r="E126" s="2" t="str">
        <x:v>Reviewer_A</x:v>
      </x:c>
      <x:c r="F126" s="2" t="str">
        <x:v>S23-L04</x:v>
      </x:c>
      <x:c r="G126" s="6" t="str">
        <x:v>SR</x:v>
      </x:c>
      <x:c r="H126" s="2" t="str">
        <x:v>Authors</x:v>
      </x:c>
      <x:c r="I126" s="6" t="str">
        <x:v>仅在两种LLM架构上实验，模型多样性有限，结果可能无法推广到所有模型。</x:v>
      </x:c>
      <x:c r="J126" s="2" t="str">
        <x:v>Speculative</x:v>
      </x:c>
      <x:c r="K126" s="2" t="str">
        <x:v>NR</x:v>
      </x:c>
      <x:c r="L126" s="2" t="str">
        <x:v>Multiple</x:v>
      </x:c>
      <x:c r="M126" s="2" t="str">
        <x:v>LLM模型通用性</x:v>
      </x:c>
      <x:c r="N126" s="2" t="str">
        <x:v>结果可能不适用于其他模型。</x:v>
      </x:c>
      <x:c r="O126" s="6" t="str">
        <x:v>NR</x:v>
      </x:c>
      <x:c r="P126" s="2" t="str">
        <x:v>No</x:v>
      </x:c>
      <x:c r="Q126" s="2" t="str">
        <x:v>Not proposed</x:v>
      </x:c>
      <x:c r="R126" s="2" t="str">
        <x:v>ModelDiversity</x:v>
      </x:c>
      <x:c r="S126" s="2" t="str">
        <x:v>Threat_ExternalValidity</x:v>
      </x:c>
      <x:c r="T126" s="2" t="str">
        <x:v>Generalizability and scope</x:v>
      </x:c>
      <x:c r="U126" s="6" t="str">
        <x:v>p. 7; Section V. B. Threats to validity</x:v>
      </x:c>
      <x:c r="V126" s="6" t="str">
        <x:v>number and diversity of LLM architectures and ﬁnetuned variants is rapidly growing, it is difﬁcult to validate our results as being generalisable across the span of</x:v>
      </x:c>
      <x:c r="W126" s="6" t="str">
        <x:v>仅测试了WizardCoder和CodeLlama两种架构，难以保证结论在其他LLM上成立，外部有效性受限。</x:v>
      </x:c>
      <x:c r="X126" s="2" t="str">
        <x:v>Accepted</x:v>
      </x:c>
      <x:c r="Y126" s="6" t="str">
        <x:v>NR</x:v>
      </x:c>
      <x:c r="Z126" s="2" t="n">
        <x:v>2</x:v>
      </x:c>
      <x:c r="AA126" s="2" t="n">
        <x:v>1</x:v>
      </x:c>
    </x:row>
    <x:row r="127" ht="76" customHeight="1">
      <x:c r="A127" s="2" t="str">
        <x:v>S23-LIMIT-R05</x:v>
      </x:c>
      <x:c r="B127" s="2" t="str">
        <x:v>S23</x:v>
      </x:c>
      <x:c r="C127" s="2" t="str">
        <x:v>merged_1156</x:v>
      </x:c>
      <x:c r="D127" s="2" t="str">
        <x:v>Reviewer_A</x:v>
      </x:c>
      <x:c r="E127" s="2" t="str">
        <x:v>Reviewer_A</x:v>
      </x:c>
      <x:c r="F127" s="2" t="str">
        <x:v>S23-L05</x:v>
      </x:c>
      <x:c r="G127" s="6" t="str">
        <x:v>SR</x:v>
      </x:c>
      <x:c r="H127" s="2" t="str">
        <x:v>Authors</x:v>
      </x:c>
      <x:c r="I127" s="6" t="str">
        <x:v>重提示有时会导致模型错误地修改原本正确的代码，产生回归。</x:v>
      </x:c>
      <x:c r="J127" s="2" t="str">
        <x:v>Empirical</x:v>
      </x:c>
      <x:c r="K127" s="2" t="str">
        <x:v>S24-T02</x:v>
      </x:c>
      <x:c r="L127" s="2" t="str">
        <x:v>Multiple</x:v>
      </x:c>
      <x:c r="M127" s="2" t="str">
        <x:v>重提示改进代码时</x:v>
      </x:c>
      <x:c r="N127" s="2" t="str">
        <x:v>可能破坏原本正确的功能。</x:v>
      </x:c>
      <x:c r="O127" s="6" t="str">
        <x:v>NR</x:v>
      </x:c>
      <x:c r="P127" s="2" t="str">
        <x:v>Future work could also focus on reducing the number of such regressions</x:v>
      </x:c>
      <x:c r="Q127" s="2" t="str">
        <x:v>Proposed</x:v>
      </x:c>
      <x:c r="R127" s="2" t="str">
        <x:v>Regression</x:v>
      </x:c>
      <x:c r="S127" s="2" t="str">
        <x:v>Limitation_Regression</x:v>
      </x:c>
      <x:c r="T127" s="2" t="str">
        <x:v>Model reliability</x:v>
      </x:c>
      <x:c r="U127" s="6" t="str">
        <x:v>p. 6; Section IV. B. Regressions</x:v>
      </x:c>
      <x:c r="V127" s="6" t="str">
        <x:v>its answer to some problems, in some cases the reprompting actually caused the model to regress and incorrectly ‘ﬁx’ a</x:v>
      </x:c>
      <x:c r="W127" s="6" t="str">
        <x:v>重提示导致正确代码被改错，表明当前方法可能引入了新的错误，需要机制来避免或检测此类回归。</x:v>
      </x:c>
      <x:c r="X127" s="2" t="str">
        <x:v>Accepted</x:v>
      </x:c>
      <x:c r="Y127" s="6" t="str">
        <x:v>NR</x:v>
      </x:c>
      <x:c r="Z127" s="2" t="n">
        <x:v>3</x:v>
      </x:c>
      <x:c r="AA127" s="2" t="n">
        <x:v>2</x:v>
      </x:c>
    </x:row>
    <x:row r="128" ht="76" customHeight="1">
      <x:c r="A128" s="2" t="str">
        <x:v>S24-LIMIT-R01</x:v>
      </x:c>
      <x:c r="B128" s="2" t="str">
        <x:v>S24</x:v>
      </x:c>
      <x:c r="C128" s="2" t="str">
        <x:v>merged_1172</x:v>
      </x:c>
      <x:c r="D128" s="2" t="str">
        <x:v>Reviewer_A</x:v>
      </x:c>
      <x:c r="E128" s="2" t="str">
        <x:v>Reviewer_A</x:v>
      </x:c>
      <x:c r="F128" s="2" t="str">
        <x:v>S24-L01</x:v>
      </x:c>
      <x:c r="G128" s="6" t="str">
        <x:v>SR</x:v>
      </x:c>
      <x:c r="H128" s="2" t="str">
        <x:v>Authors</x:v>
      </x:c>
      <x:c r="I128" s="6" t="str">
        <x:v>使用合成语料库进行评估，限制了外部有效性</x:v>
      </x:c>
      <x:c r="J128" s="2" t="str">
        <x:v>Empirical</x:v>
      </x:c>
      <x:c r="K128" s="2" t="str">
        <x:v>Multiple</x:v>
      </x:c>
      <x:c r="L128" s="2" t="str">
        <x:v>Multiple</x:v>
      </x:c>
      <x:c r="M128" s="2" t="str">
        <x:v>航空航天需求文档分析流水线</x:v>
      </x:c>
      <x:c r="N128" s="2" t="str">
        <x:v>泛化能力受限，可能不适用于真实项目文档</x:v>
      </x:c>
      <x:c r="O128" s="6" t="str">
        <x:v>作者自述</x:v>
      </x:c>
      <x:c r="P128" s="2" t="str">
        <x:v>No</x:v>
      </x:c>
      <x:c r="Q128" s="2" t="str">
        <x:v>Not proposed</x:v>
      </x:c>
      <x:c r="R128" s="2" t="str">
        <x:v>NR</x:v>
      </x:c>
      <x:c r="S128" s="2" t="str">
        <x:v>NR</x:v>
      </x:c>
      <x:c r="T128" s="2" t="str">
        <x:v>Data and evidence quality</x:v>
      </x:c>
      <x:c r="U128" s="6" t="str">
        <x:v>p. 8; Section 5 Conclusion</x:v>
      </x:c>
      <x:c r="V128" s="6" t="str">
        <x:v>we used a synthetic corpus</x:v>
      </x:c>
      <x:c r="W128" s="6" t="str">
        <x:v>作者指出评估基于合成语料库，而非真实项目文档，这限制了结论的外部有效性。</x:v>
      </x:c>
      <x:c r="X128" s="2" t="str">
        <x:v>Accepted</x:v>
      </x:c>
      <x:c r="Y128" s="6" t="str">
        <x:v>NR</x:v>
      </x:c>
      <x:c r="Z128" s="2" t="n">
        <x:v>3</x:v>
      </x:c>
      <x:c r="AA128" s="2" t="n">
        <x:v>1</x:v>
      </x:c>
    </x:row>
    <x:row r="129" ht="76" customHeight="1">
      <x:c r="A129" s="2" t="str">
        <x:v>S24-LIMIT-R02</x:v>
      </x:c>
      <x:c r="B129" s="2" t="str">
        <x:v>S24</x:v>
      </x:c>
      <x:c r="C129" s="2" t="str">
        <x:v>merged_1172</x:v>
      </x:c>
      <x:c r="D129" s="2" t="str">
        <x:v>Reviewer_A</x:v>
      </x:c>
      <x:c r="E129" s="2" t="str">
        <x:v>Reviewer_A</x:v>
      </x:c>
      <x:c r="F129" s="2" t="str">
        <x:v>S24-L02</x:v>
      </x:c>
      <x:c r="G129" s="6" t="str">
        <x:v>SR</x:v>
      </x:c>
      <x:c r="H129" s="2" t="str">
        <x:v>Authors</x:v>
      </x:c>
      <x:c r="I129" s="6" t="str">
        <x:v>标注工作有限，仅由一位专家和LLM完成，更全面的研究需要多专家标注</x:v>
      </x:c>
      <x:c r="J129" s="2" t="str">
        <x:v>Empirical</x:v>
      </x:c>
      <x:c r="K129" s="2" t="str">
        <x:v>Multiple</x:v>
      </x:c>
      <x:c r="L129" s="2" t="str">
        <x:v>Multiple</x:v>
      </x:c>
      <x:c r="M129" s="2" t="str">
        <x:v>黄金标签构建过程</x:v>
      </x:c>
      <x:c r="N129" s="2" t="str">
        <x:v>标签可能存在偏差，影响评估可靠性</x:v>
      </x:c>
      <x:c r="O129" s="6" t="str">
        <x:v>作者自述</x:v>
      </x:c>
      <x:c r="P129" s="2" t="str">
        <x:v>No</x:v>
      </x:c>
      <x:c r="Q129" s="2" t="str">
        <x:v>Not proposed</x:v>
      </x:c>
      <x:c r="R129" s="2" t="str">
        <x:v>NR</x:v>
      </x:c>
      <x:c r="S129" s="2" t="str">
        <x:v>NR</x:v>
      </x:c>
      <x:c r="T129" s="2" t="str">
        <x:v>Data and evidence quality</x:v>
      </x:c>
      <x:c r="U129" s="6" t="str">
        <x:v>p. 8; Section 5 Conclusion</x:v>
      </x:c>
      <x:c r="V129" s="6" t="str">
        <x:v>limited adjudication (a more definitive study would involve larger, multi-expert labeling)</x:v>
      </x:c>
      <x:c r="W129" s="6" t="str">
        <x:v>标注过程仅涉及单人与LLM，未采用多专家独立标注及充分仲裁，降低了黄金标签的权威性。</x:v>
      </x:c>
      <x:c r="X129" s="2" t="str">
        <x:v>Accepted</x:v>
      </x:c>
      <x:c r="Y129" s="6" t="str">
        <x:v>NR</x:v>
      </x:c>
      <x:c r="Z129" s="2" t="n">
        <x:v>3</x:v>
      </x:c>
      <x:c r="AA129" s="2" t="n">
        <x:v>1</x:v>
      </x:c>
    </x:row>
    <x:row r="130" ht="76" customHeight="1">
      <x:c r="A130" s="2" t="str">
        <x:v>S24-LIMIT-R03</x:v>
      </x:c>
      <x:c r="B130" s="2" t="str">
        <x:v>S24</x:v>
      </x:c>
      <x:c r="C130" s="2" t="str">
        <x:v>merged_1172</x:v>
      </x:c>
      <x:c r="D130" s="2" t="str">
        <x:v>Reviewer_A</x:v>
      </x:c>
      <x:c r="E130" s="2" t="str">
        <x:v>Reviewer_A</x:v>
      </x:c>
      <x:c r="F130" s="2" t="str">
        <x:v>S24-L03</x:v>
      </x:c>
      <x:c r="G130" s="6" t="str">
        <x:v>SR</x:v>
      </x:c>
      <x:c r="H130" s="2" t="str">
        <x:v>Authors</x:v>
      </x:c>
      <x:c r="I130" s="6" t="str">
        <x:v>解析器偶尔出现分段错误（7/225，3%），可能扰乱报告的分数</x:v>
      </x:c>
      <x:c r="J130" s="2" t="str">
        <x:v>Empirical</x:v>
      </x:c>
      <x:c r="K130" s="2" t="str">
        <x:v>Multiple</x:v>
      </x:c>
      <x:c r="L130" s="2" t="str">
        <x:v>Multiple</x:v>
      </x:c>
      <x:c r="M130" s="2" t="str">
        <x:v>需求解析与规范化阶段</x:v>
      </x:c>
      <x:c r="N130" s="2" t="str">
        <x:v>少量需求块解析失败，影响后续结构化和语义分析</x:v>
      </x:c>
      <x:c r="O130" s="6" t="str">
        <x:v>作者自述</x:v>
      </x:c>
      <x:c r="P130" s="2" t="str">
        <x:v>No</x:v>
      </x:c>
      <x:c r="Q130" s="2" t="str">
        <x:v>Not proposed</x:v>
      </x:c>
      <x:c r="R130" s="2" t="str">
        <x:v>NR</x:v>
      </x:c>
      <x:c r="S130" s="2" t="str">
        <x:v>NR</x:v>
      </x:c>
      <x:c r="T130" s="2" t="str">
        <x:v>Model reliability</x:v>
      </x:c>
      <x:c r="U130" s="6" t="str">
        <x:v>p. 8; Section 5 Conclusion</x:v>
      </x:c>
      <x:c r="V130" s="6" t="str">
        <x:v>we observed occasional parser mis-segmentations (7 of 225, 3%) that can perturb reported scores</x:v>
      </x:c>
      <x:c r="W130" s="6" t="str">
        <x:v>基于PDF的解析器未能正确切分约3%的需求块，导致部分需求丢失或合并，影响下游评估。</x:v>
      </x:c>
      <x:c r="X130" s="2" t="str">
        <x:v>Accepted</x:v>
      </x:c>
      <x:c r="Y130" s="6" t="str">
        <x:v>NR</x:v>
      </x:c>
      <x:c r="Z130" s="2" t="n">
        <x:v>4</x:v>
      </x:c>
      <x:c r="AA130" s="2" t="n">
        <x:v>1</x:v>
      </x:c>
    </x:row>
    <x:row r="131" ht="76" customHeight="1">
      <x:c r="A131" s="2" t="str">
        <x:v>S24-LIMIT-R04</x:v>
      </x:c>
      <x:c r="B131" s="2" t="str">
        <x:v>S24</x:v>
      </x:c>
      <x:c r="C131" s="2" t="str">
        <x:v>merged_1172</x:v>
      </x:c>
      <x:c r="D131" s="2" t="str">
        <x:v>Reviewer_A</x:v>
      </x:c>
      <x:c r="E131" s="2" t="str">
        <x:v>Reviewer_A</x:v>
      </x:c>
      <x:c r="F131" s="2" t="str">
        <x:v>S24-L04</x:v>
      </x:c>
      <x:c r="G131" s="6" t="str">
        <x:v>SR</x:v>
      </x:c>
      <x:c r="H131" s="2" t="str">
        <x:v>Authors</x:v>
      </x:c>
      <x:c r="I131" s="6" t="str">
        <x:v>性能对领域措辞敏感，不同子系统中表现波动</x:v>
      </x:c>
      <x:c r="J131" s="2" t="str">
        <x:v>Empirical</x:v>
      </x:c>
      <x:c r="K131" s="2" t="str">
        <x:v>Multiple</x:v>
      </x:c>
      <x:c r="L131" s="2" t="str">
        <x:v>Multiple</x:v>
      </x:c>
      <x:c r="M131" s="2" t="str">
        <x:v>语义审计（歧义、可测试性检测）</x:v>
      </x:c>
      <x:c r="N131" s="2" t="str">
        <x:v>特定子系统（如系统级、热控）检测效果下降，需人工重点审查</x:v>
      </x:c>
      <x:c r="O131" s="6" t="str">
        <x:v>作者自述</x:v>
      </x:c>
      <x:c r="P131" s="2" t="str">
        <x:v>No</x:v>
      </x:c>
      <x:c r="Q131" s="2" t="str">
        <x:v>Not proposed</x:v>
      </x:c>
      <x:c r="R131" s="2" t="str">
        <x:v>NR</x:v>
      </x:c>
      <x:c r="S131" s="2" t="str">
        <x:v>NR</x:v>
      </x:c>
      <x:c r="T131" s="2" t="str">
        <x:v>Context and prompt dependence</x:v>
      </x:c>
      <x:c r="U131" s="6" t="str">
        <x:v>p. 8; Section 5 Conclusion</x:v>
      </x:c>
      <x:c r="V131" s="6" t="str">
        <x:v>performance is also sensitive to domain phrasing</x:v>
      </x:c>
      <x:c r="W131" s="6" t="str">
        <x:v>模型在不同子系统上表现不一致，措辞风格（如政策描述、多条件从句）导致歧义检测困难。</x:v>
      </x:c>
      <x:c r="X131" s="2" t="str">
        <x:v>Accepted</x:v>
      </x:c>
      <x:c r="Y131" s="6" t="str">
        <x:v>NR</x:v>
      </x:c>
      <x:c r="Z131" s="2" t="n">
        <x:v>3</x:v>
      </x:c>
      <x:c r="AA131" s="2" t="n">
        <x:v>1</x:v>
      </x:c>
    </x:row>
    <x:row r="132" ht="76" customHeight="1">
      <x:c r="A132" s="2" t="str">
        <x:v>S25-LIMIT-R01</x:v>
      </x:c>
      <x:c r="B132" s="2" t="str">
        <x:v>S25</x:v>
      </x:c>
      <x:c r="C132" s="2" t="str">
        <x:v>merged_1185</x:v>
      </x:c>
      <x:c r="D132" s="2" t="str">
        <x:v>Reviewer_A</x:v>
      </x:c>
      <x:c r="E132" s="2" t="str">
        <x:v>Reviewer_A</x:v>
      </x:c>
      <x:c r="F132" s="2" t="str">
        <x:v>S25-L01</x:v>
      </x:c>
      <x:c r="G132" s="6" t="str">
        <x:v>SR</x:v>
      </x:c>
      <x:c r="H132" s="2" t="str">
        <x:v>Authors</x:v>
      </x:c>
      <x:c r="I132" s="6" t="str">
        <x:v>当前实现主要针对员工系统、财务和SAP环境，泛化到其他企业系统需要额外的训练数据</x:v>
      </x:c>
      <x:c r="J132" s="2" t="str">
        <x:v>Speculative</x:v>
      </x:c>
      <x:c r="K132" s="2" t="str">
        <x:v>Multiple</x:v>
      </x:c>
      <x:c r="L132" s="2" t="str">
        <x:v>Multiple</x:v>
      </x:c>
      <x:c r="M132" s="2" t="str">
        <x:v>Enterprise systems, specifically Employee Systems, Finance, SAP</x:v>
      </x:c>
      <x:c r="N132" s="2" t="str">
        <x:v>Limited applicability to other enterprise systems</x:v>
      </x:c>
      <x:c r="O132" s="6" t="str">
        <x:v>NR</x:v>
      </x:c>
      <x:c r="P132" s="2" t="str">
        <x:v>No</x:v>
      </x:c>
      <x:c r="Q132" s="2" t="str">
        <x:v>Not proposed</x:v>
      </x:c>
      <x:c r="R132" s="2" t="str">
        <x:v>NR</x:v>
      </x:c>
      <x:c r="S132" s="2" t="str">
        <x:v>NR</x:v>
      </x:c>
      <x:c r="T132" s="2" t="str">
        <x:v>Generalizability and scope</x:v>
      </x:c>
      <x:c r="U132" s="6" t="str">
        <x:v>p. 7; Section V-B</x:v>
      </x:c>
      <x:c r="V132" s="6" t="str">
        <x:v>Domain Specialization: Current implementation focuses on Employee Systems, Finance, and SAP environments; generalization to other enterprise systems requires additional training data</x:v>
      </x:c>
      <x:c r="W132" s="6" t="str">
        <x:v>当前实现专注于员工系统、财务和SAP环境，泛化到其他企业系统需要额外的训练数据，表明该方法在领域上的局限性。</x:v>
      </x:c>
      <x:c r="X132" s="2" t="str">
        <x:v>Accepted</x:v>
      </x:c>
      <x:c r="Y132" s="6" t="str">
        <x:v>NR</x:v>
      </x:c>
      <x:c r="Z132" s="2" t="n">
        <x:v>2</x:v>
      </x:c>
      <x:c r="AA132" s="2" t="n">
        <x:v>1</x:v>
      </x:c>
    </x:row>
    <x:row r="133" ht="76" customHeight="1">
      <x:c r="A133" s="2" t="str">
        <x:v>S25-LIMIT-R02</x:v>
      </x:c>
      <x:c r="B133" s="2" t="str">
        <x:v>S25</x:v>
      </x:c>
      <x:c r="C133" s="2" t="str">
        <x:v>merged_1185</x:v>
      </x:c>
      <x:c r="D133" s="2" t="str">
        <x:v>Reviewer_A</x:v>
      </x:c>
      <x:c r="E133" s="2" t="str">
        <x:v>Reviewer_A</x:v>
      </x:c>
      <x:c r="F133" s="2" t="str">
        <x:v>S25-L02</x:v>
      </x:c>
      <x:c r="G133" s="6" t="str">
        <x:v>SR</x:v>
      </x:c>
      <x:c r="H133" s="2" t="str">
        <x:v>Authors</x:v>
      </x:c>
      <x:c r="I133" s="6" t="str">
        <x:v>混合知识库随着业务流程的演变需要持续维护</x:v>
      </x:c>
      <x:c r="J133" s="2" t="str">
        <x:v>Speculative</x:v>
      </x:c>
      <x:c r="K133" s="2" t="str">
        <x:v>Multiple</x:v>
      </x:c>
      <x:c r="L133" s="2" t="str">
        <x:v>Multiple</x:v>
      </x:c>
      <x:c r="M133" s="2" t="str">
        <x:v>Hybrid knowledge bases</x:v>
      </x:c>
      <x:c r="N133" s="2" t="str">
        <x:v>Knowledge bases may become outdated without maintenance</x:v>
      </x:c>
      <x:c r="O133" s="6" t="str">
        <x:v>NR</x:v>
      </x:c>
      <x:c r="P133" s="2" t="str">
        <x:v>No</x:v>
      </x:c>
      <x:c r="Q133" s="2" t="str">
        <x:v>Not proposed</x:v>
      </x:c>
      <x:c r="R133" s="2" t="str">
        <x:v>NR</x:v>
      </x:c>
      <x:c r="S133" s="2" t="str">
        <x:v>NR</x:v>
      </x:c>
      <x:c r="T133" s="2" t="str">
        <x:v>Governance and reproducibility</x:v>
      </x:c>
      <x:c r="U133" s="6" t="str">
        <x:v>p. 7; Section V-B</x:v>
      </x:c>
      <x:c r="V133" s="6" t="str">
        <x:v>Knowledge Base Maintenance: Hybrid knowledge bases require ongoing maintenance as business processes evolve</x:v>
      </x:c>
      <x:c r="W133" s="6" t="str">
        <x:v>混合知识库需要随着业务流程演变而持续维护，否则可能过时。</x:v>
      </x:c>
      <x:c r="X133" s="2" t="str">
        <x:v>Accepted</x:v>
      </x:c>
      <x:c r="Y133" s="6" t="str">
        <x:v>NR</x:v>
      </x:c>
      <x:c r="Z133" s="2" t="n">
        <x:v>2</x:v>
      </x:c>
      <x:c r="AA133" s="2" t="n">
        <x:v>1</x:v>
      </x:c>
    </x:row>
    <x:row r="134" ht="76" customHeight="1">
      <x:c r="A134" s="2" t="str">
        <x:v>S25-LIMIT-R03</x:v>
      </x:c>
      <x:c r="B134" s="2" t="str">
        <x:v>S25</x:v>
      </x:c>
      <x:c r="C134" s="2" t="str">
        <x:v>merged_1185</x:v>
      </x:c>
      <x:c r="D134" s="2" t="str">
        <x:v>Reviewer_A</x:v>
      </x:c>
      <x:c r="E134" s="2" t="str">
        <x:v>Reviewer_A</x:v>
      </x:c>
      <x:c r="F134" s="2" t="str">
        <x:v>S25-L03</x:v>
      </x:c>
      <x:c r="G134" s="6" t="str">
        <x:v>SR</x:v>
      </x:c>
      <x:c r="H134" s="2" t="str">
        <x:v>Authors</x:v>
      </x:c>
      <x:c r="I134" s="6" t="str">
        <x:v>企业系统集成引入了部署复杂性，可能需要专业知识</x:v>
      </x:c>
      <x:c r="J134" s="2" t="str">
        <x:v>Speculative</x:v>
      </x:c>
      <x:c r="K134" s="2" t="str">
        <x:v>Multiple</x:v>
      </x:c>
      <x:c r="L134" s="2" t="str">
        <x:v>Multiple</x:v>
      </x:c>
      <x:c r="M134" s="2" t="str">
        <x:v>Enterprise system integration</x:v>
      </x:c>
      <x:c r="N134" s="2" t="str">
        <x:v>Deployment may require specialized expertise</x:v>
      </x:c>
      <x:c r="O134" s="6" t="str">
        <x:v>NR</x:v>
      </x:c>
      <x:c r="P134" s="2" t="str">
        <x:v>No</x:v>
      </x:c>
      <x:c r="Q134" s="2" t="str">
        <x:v>Not proposed</x:v>
      </x:c>
      <x:c r="R134" s="2" t="str">
        <x:v>NR</x:v>
      </x:c>
      <x:c r="S134" s="2" t="str">
        <x:v>NR</x:v>
      </x:c>
      <x:c r="T134" s="2" t="str">
        <x:v>Scalability and deployment</x:v>
      </x:c>
      <x:c r="U134" s="6" t="str">
        <x:v>p. 7; Section V-B</x:v>
      </x:c>
      <x:c r="V134" s="6" t="str">
        <x:v>Integration Complexity: Enterprise system integration introduces deployment complexities that may require specialized expertise</x:v>
      </x:c>
      <x:c r="W134" s="6" t="str">
        <x:v>企业系统集成导致部署复杂性，可能需要专业技能。</x:v>
      </x:c>
      <x:c r="X134" s="2" t="str">
        <x:v>Accepted</x:v>
      </x:c>
      <x:c r="Y134" s="6" t="str">
        <x:v>NR</x:v>
      </x:c>
      <x:c r="Z134" s="2" t="n">
        <x:v>2</x:v>
      </x:c>
      <x:c r="AA134" s="2" t="n">
        <x:v>1</x:v>
      </x:c>
    </x:row>
    <x:row r="135" ht="76" customHeight="1">
      <x:c r="A135" s="2" t="str">
        <x:v>S26-LIMIT-R01</x:v>
      </x:c>
      <x:c r="B135" s="2" t="str">
        <x:v>S26</x:v>
      </x:c>
      <x:c r="C135" s="2" t="str">
        <x:v>merged_1212</x:v>
      </x:c>
      <x:c r="D135" s="2" t="str">
        <x:v>Reviewer_A</x:v>
      </x:c>
      <x:c r="E135" s="2" t="str">
        <x:v>Reviewer_A</x:v>
      </x:c>
      <x:c r="F135" s="2" t="str">
        <x:v>S26-L01</x:v>
      </x:c>
      <x:c r="G135" s="6" t="str">
        <x:v>SR</x:v>
      </x:c>
      <x:c r="H135" s="2" t="str">
        <x:v>Authors</x:v>
      </x:c>
      <x:c r="I135" s="6" t="str">
        <x:v>由于问题范围广泛，完全通用框架难以实现，本研究聚焦于CPS领域，限制了其通用性。</x:v>
      </x:c>
      <x:c r="J135" s="2" t="str">
        <x:v>Speculative</x:v>
      </x:c>
      <x:c r="K135" s="2" t="str">
        <x:v>S27-T03</x:v>
      </x:c>
      <x:c r="L135" s="2" t="str">
        <x:v>S27-MU05</x:v>
      </x:c>
      <x:c r="M135" s="2" t="str">
        <x:v>受监管的CPS领域</x:v>
      </x:c>
      <x:c r="N135" s="2" t="str">
        <x:v>框架可能不适用于其他领域，通用性受限</x:v>
      </x:c>
      <x:c r="O135" s="6" t="str">
        <x:v>NR</x:v>
      </x:c>
      <x:c r="P135" s="2" t="str">
        <x:v>No</x:v>
      </x:c>
      <x:c r="Q135" s="2" t="str">
        <x:v>Not proposed</x:v>
      </x:c>
      <x:c r="R135" s="2" t="str">
        <x:v>limited_generalizability</x:v>
      </x:c>
      <x:c r="S135" s="2" t="str">
        <x:v>scope</x:v>
      </x:c>
      <x:c r="T135" s="2" t="str">
        <x:v>Generalizability and scope</x:v>
      </x:c>
      <x:c r="U135" s="6" t="str">
        <x:v>p. 2; Section II-C</x:v>
      </x:c>
      <x:c r="V135" s="6" t="str">
        <x:v>Given the broad scope of this goal, a fully generalizable framework or domain-specific solutions would be ideal but challenging to realize.</x:v>
      </x:c>
      <x:c r="W135" s="6" t="str">
        <x:v>作者承认受监管领域的通用框架难以实现，故将研究范围限制在CPS，这可能影响方法的普适性。</x:v>
      </x:c>
      <x:c r="X135" s="2" t="str">
        <x:v>Accepted</x:v>
      </x:c>
      <x:c r="Y135" s="6" t="str">
        <x:v>NA</x:v>
      </x:c>
      <x:c r="Z135" s="2" t="n">
        <x:v>2</x:v>
      </x:c>
      <x:c r="AA135" s="2" t="n">
        <x:v>1</x:v>
      </x:c>
    </x:row>
    <x:row r="136" ht="76" customHeight="1">
      <x:c r="A136" s="2" t="str">
        <x:v>S27-LIMIT-R01</x:v>
      </x:c>
      <x:c r="B136" s="2" t="str">
        <x:v>S27</x:v>
      </x:c>
      <x:c r="C136" s="2" t="str">
        <x:v>merged_1213</x:v>
      </x:c>
      <x:c r="D136" s="2" t="str">
        <x:v>Reviewer_A</x:v>
      </x:c>
      <x:c r="E136" s="2" t="str">
        <x:v>Reviewer_A</x:v>
      </x:c>
      <x:c r="F136" s="2" t="str">
        <x:v>S27-L01</x:v>
      </x:c>
      <x:c r="G136" s="6" t="str">
        <x:v>SR</x:v>
      </x:c>
      <x:c r="H136" s="2" t="str">
        <x:v>Authors</x:v>
      </x:c>
      <x:c r="I136" s="6" t="str">
        <x:v>prompt的选择对构造效度构成潜在威胁</x:v>
      </x:c>
      <x:c r="J136" s="2" t="str">
        <x:v>Speculative</x:v>
      </x:c>
      <x:c r="K136" s="2" t="str">
        <x:v>S28-T01</x:v>
      </x:c>
      <x:c r="L136" s="2" t="str">
        <x:v>Multiple</x:v>
      </x:c>
      <x:c r="M136" s="2" t="str">
        <x:v>inter-requirements TLR with LLM ensemble</x:v>
      </x:c>
      <x:c r="N136" s="2" t="str">
        <x:v>可能影响结果的可靠性</x:v>
      </x:c>
      <x:c r="O136" s="6" t="str">
        <x:v>Unclear</x:v>
      </x:c>
      <x:c r="P136" s="2" t="str">
        <x:v>reused prompt sets from prior studies</x:v>
      </x:c>
      <x:c r="Q136" s="2" t="str">
        <x:v>Implemented</x:v>
      </x:c>
      <x:c r="R136" s="2" t="str">
        <x:v>prompt_selection_threat</x:v>
      </x:c>
      <x:c r="S136" s="2" t="str">
        <x:v>Construct Validity</x:v>
      </x:c>
      <x:c r="T136" s="2" t="str">
        <x:v>Context and prompt dependence</x:v>
      </x:c>
      <x:c r="U136" s="6" t="str">
        <x:v>p. 6; E. Threats to Validity</x:v>
      </x:c>
      <x:c r="V136" s="6" t="str">
        <x:v>The choice of prompts poses a potential threat to construct validity.</x:v>
      </x:c>
      <x:c r="W136" s="6" t="str">
        <x:v>作者认为提示选择可能影响构造效度，但通过复用已有提示缓解。</x:v>
      </x:c>
      <x:c r="X136" s="2" t="str">
        <x:v>Accepted</x:v>
      </x:c>
      <x:c r="Y136" s="6" t="str">
        <x:v>NA</x:v>
      </x:c>
      <x:c r="Z136" s="2" t="n">
        <x:v>2</x:v>
      </x:c>
      <x:c r="AA136" s="2" t="n">
        <x:v>3</x:v>
      </x:c>
    </x:row>
    <x:row r="137" ht="76" customHeight="1">
      <x:c r="A137" s="2" t="str">
        <x:v>S27-LIMIT-R02</x:v>
      </x:c>
      <x:c r="B137" s="2" t="str">
        <x:v>S27</x:v>
      </x:c>
      <x:c r="C137" s="2" t="str">
        <x:v>merged_1213</x:v>
      </x:c>
      <x:c r="D137" s="2" t="str">
        <x:v>Reviewer_A</x:v>
      </x:c>
      <x:c r="E137" s="2" t="str">
        <x:v>Reviewer_A</x:v>
      </x:c>
      <x:c r="F137" s="2" t="str">
        <x:v>S27-L02</x:v>
      </x:c>
      <x:c r="G137" s="6" t="str">
        <x:v>SR</x:v>
      </x:c>
      <x:c r="H137" s="2" t="str">
        <x:v>Authors</x:v>
      </x:c>
      <x:c r="I137" s="6" t="str">
        <x:v>混杂因素可能影响发现，但通过使用广泛认可的基准数据集并明确来源来降低风险</x:v>
      </x:c>
      <x:c r="J137" s="2" t="str">
        <x:v>Speculative</x:v>
      </x:c>
      <x:c r="K137" s="2" t="str">
        <x:v>S28-T01</x:v>
      </x:c>
      <x:c r="L137" s="2" t="str">
        <x:v>Multiple</x:v>
      </x:c>
      <x:c r="M137" s="2" t="str">
        <x:v>benchmark datasets</x:v>
      </x:c>
      <x:c r="N137" s="2" t="str">
        <x:v>可能影响结果的普遍性</x:v>
      </x:c>
      <x:c r="O137" s="6" t="str">
        <x:v>Unclear</x:v>
      </x:c>
      <x:c r="P137" s="2" t="str">
        <x:v>利用广泛认可的基准数据集并明确项目来源</x:v>
      </x:c>
      <x:c r="Q137" s="2" t="str">
        <x:v>Implemented</x:v>
      </x:c>
      <x:c r="R137" s="2" t="str">
        <x:v>confounding_factors</x:v>
      </x:c>
      <x:c r="S137" s="2" t="str">
        <x:v>Internal Validity</x:v>
      </x:c>
      <x:c r="T137" s="2" t="str">
        <x:v>Evaluation and validity</x:v>
      </x:c>
      <x:c r="U137" s="6" t="str">
        <x:v>p. 7; E. Threats to Validity</x:v>
      </x:c>
      <x:c r="V137" s="6" t="str">
        <x:v>Confounding factors may influence our findings and the conclusions drawn from them. To reduce this risk, we adhered to established practices. We utilized widely recognized benchmark datasets, thereby minimizing the possibility of selection bias, and clearly stated the origins of the included projects.</x:v>
      </x:c>
      <x:c r="W137" s="6" t="str">
        <x:v>作者承认混杂因素风险，并通过使用标准数据集和透明报告缓解。</x:v>
      </x:c>
      <x:c r="X137" s="2" t="str">
        <x:v>Accepted</x:v>
      </x:c>
      <x:c r="Y137" s="6" t="str">
        <x:v>NA</x:v>
      </x:c>
      <x:c r="Z137" s="2" t="n">
        <x:v>2</x:v>
      </x:c>
      <x:c r="AA137" s="2" t="n">
        <x:v>3</x:v>
      </x:c>
    </x:row>
    <x:row r="138" ht="76" customHeight="1">
      <x:c r="A138" s="2" t="str">
        <x:v>S27-LIMIT-R03</x:v>
      </x:c>
      <x:c r="B138" s="2" t="str">
        <x:v>S27</x:v>
      </x:c>
      <x:c r="C138" s="2" t="str">
        <x:v>merged_1213</x:v>
      </x:c>
      <x:c r="D138" s="2" t="str">
        <x:v>Reviewer_A</x:v>
      </x:c>
      <x:c r="E138" s="2" t="str">
        <x:v>Reviewer_A</x:v>
      </x:c>
      <x:c r="F138" s="2" t="str">
        <x:v>S27-L03</x:v>
      </x:c>
      <x:c r="G138" s="6" t="str">
        <x:v>SR</x:v>
      </x:c>
      <x:c r="H138" s="2" t="str">
        <x:v>Authors</x:v>
      </x:c>
      <x:c r="I138" s="6" t="str">
        <x:v>仅在有限数量的项目上评估，限制了发现的泛化性</x:v>
      </x:c>
      <x:c r="J138" s="2" t="str">
        <x:v>Speculative</x:v>
      </x:c>
      <x:c r="K138" s="2" t="str">
        <x:v>S28-T01</x:v>
      </x:c>
      <x:c r="L138" s="2" t="str">
        <x:v>Multiple</x:v>
      </x:c>
      <x:c r="M138" s="2" t="str">
        <x:v>evaluation on five projects</x:v>
      </x:c>
      <x:c r="N138" s="2" t="str">
        <x:v>可能无法推广到其他项目</x:v>
      </x:c>
      <x:c r="O138" s="6" t="str">
        <x:v>Unclear</x:v>
      </x:c>
      <x:c r="P138" s="2" t="str">
        <x:v>selected benchmark datasets commonly used in TLR research</x:v>
      </x:c>
      <x:c r="Q138" s="2" t="str">
        <x:v>Implemented</x:v>
      </x:c>
      <x:c r="R138" s="2" t="str">
        <x:v>limited_projects</x:v>
      </x:c>
      <x:c r="S138" s="2" t="str">
        <x:v>External Validity</x:v>
      </x:c>
      <x:c r="T138" s="2" t="str">
        <x:v>Generalizability and scope</x:v>
      </x:c>
      <x:c r="U138" s="6" t="str">
        <x:v>p. 7; E. Threats to Validity</x:v>
      </x:c>
      <x:c r="V138" s="6" t="str">
        <x:v>We evaluated our approach on a limited number of projects, which may limit the generalizability of our findings.</x:v>
      </x:c>
      <x:c r="W138" s="6" t="str">
        <x:v>作者指出评估项目数量有限，影响外部效度。</x:v>
      </x:c>
      <x:c r="X138" s="2" t="str">
        <x:v>Accepted</x:v>
      </x:c>
      <x:c r="Y138" s="6" t="str">
        <x:v>NA</x:v>
      </x:c>
      <x:c r="Z138" s="2" t="n">
        <x:v>2</x:v>
      </x:c>
      <x:c r="AA138" s="2" t="n">
        <x:v>3</x:v>
      </x:c>
    </x:row>
    <x:row r="139" ht="76" customHeight="1">
      <x:c r="A139" s="2" t="str">
        <x:v>S27-LIMIT-R04</x:v>
      </x:c>
      <x:c r="B139" s="2" t="str">
        <x:v>S27</x:v>
      </x:c>
      <x:c r="C139" s="2" t="str">
        <x:v>merged_1213</x:v>
      </x:c>
      <x:c r="D139" s="2" t="str">
        <x:v>Reviewer_A</x:v>
      </x:c>
      <x:c r="E139" s="2" t="str">
        <x:v>Reviewer_A</x:v>
      </x:c>
      <x:c r="F139" s="2" t="str">
        <x:v>S27-L04</x:v>
      </x:c>
      <x:c r="G139" s="6" t="str">
        <x:v>SR</x:v>
      </x:c>
      <x:c r="H139" s="2" t="str">
        <x:v>Authors</x:v>
      </x:c>
      <x:c r="I139" s="6" t="str">
        <x:v>使用的许多数据集比较陈旧，可能无法反映现代可追溯性场景的挑战</x:v>
      </x:c>
      <x:c r="J139" s="2" t="str">
        <x:v>Speculative</x:v>
      </x:c>
      <x:c r="K139" s="2" t="str">
        <x:v>S28-T01</x:v>
      </x:c>
      <x:c r="L139" s="2" t="str">
        <x:v>Multiple</x:v>
      </x:c>
      <x:c r="M139" s="2" t="str">
        <x:v>benchmark datasets</x:v>
      </x:c>
      <x:c r="N139" s="2" t="str">
        <x:v>可能无法完全捕捉现代追溯场景的挑战</x:v>
      </x:c>
      <x:c r="O139" s="6" t="str">
        <x:v>Unclear</x:v>
      </x:c>
      <x:c r="P139" s="2" t="str">
        <x:v>No</x:v>
      </x:c>
      <x:c r="Q139" s="2" t="str">
        <x:v>Not proposed</x:v>
      </x:c>
      <x:c r="R139" s="2" t="str">
        <x:v>old_datasets</x:v>
      </x:c>
      <x:c r="S139" s="2" t="str">
        <x:v>External Validity</x:v>
      </x:c>
      <x:c r="T139" s="2" t="str">
        <x:v>Data and evidence quality</x:v>
      </x:c>
      <x:c r="U139" s="6" t="str">
        <x:v>p. 7; E. Threats to Validity</x:v>
      </x:c>
      <x:c r="V139" s="6" t="str">
        <x:v>However, many of them are comparably old and may not fully capture the challenges of modern traceability scenarios.</x:v>
      </x:c>
      <x:c r="W139" s="6" t="str">
        <x:v>作者指出使用的数据集可能过时，影响发现的有效性。</x:v>
      </x:c>
      <x:c r="X139" s="2" t="str">
        <x:v>Accepted</x:v>
      </x:c>
      <x:c r="Y139" s="6" t="str">
        <x:v>NA</x:v>
      </x:c>
      <x:c r="Z139" s="2" t="n">
        <x:v>2</x:v>
      </x:c>
      <x:c r="AA139" s="2" t="n">
        <x:v>1</x:v>
      </x:c>
    </x:row>
    <x:row r="140" ht="76" customHeight="1">
      <x:c r="A140" s="2" t="str">
        <x:v>S27-LIMIT-R05</x:v>
      </x:c>
      <x:c r="B140" s="2" t="str">
        <x:v>S27</x:v>
      </x:c>
      <x:c r="C140" s="2" t="str">
        <x:v>merged_1213</x:v>
      </x:c>
      <x:c r="D140" s="2" t="str">
        <x:v>Reviewer_A</x:v>
      </x:c>
      <x:c r="E140" s="2" t="str">
        <x:v>Reviewer_A</x:v>
      </x:c>
      <x:c r="F140" s="2" t="str">
        <x:v>S27-L05</x:v>
      </x:c>
      <x:c r="G140" s="6" t="str">
        <x:v>SR</x:v>
      </x:c>
      <x:c r="H140" s="2" t="str">
        <x:v>Authors</x:v>
      </x:c>
      <x:c r="I140" s="6" t="str">
        <x:v>评估的LLM集合有限，无法推广到其他LLM</x:v>
      </x:c>
      <x:c r="J140" s="2" t="str">
        <x:v>Speculative</x:v>
      </x:c>
      <x:c r="K140" s="2" t="str">
        <x:v>S28-T01</x:v>
      </x:c>
      <x:c r="L140" s="2" t="str">
        <x:v>Multiple</x:v>
      </x:c>
      <x:c r="M140" s="2" t="str">
        <x:v>evaluated LLMs: Gemma-2:2b, Gemma-2:9b, Mistral-Nemo:12b, Phi-4:14b, GPT-4o mini, GPT-4o</x:v>
      </x:c>
      <x:c r="N140" s="2" t="str">
        <x:v>不能推广到其他LLM</x:v>
      </x:c>
      <x:c r="O140" s="6" t="str">
        <x:v>Unclear</x:v>
      </x:c>
      <x:c r="P140" s="2" t="str">
        <x:v>No</x:v>
      </x:c>
      <x:c r="Q140" s="2" t="str">
        <x:v>Not proposed</x:v>
      </x:c>
      <x:c r="R140" s="2" t="str">
        <x:v>limited_llms</x:v>
      </x:c>
      <x:c r="S140" s="2" t="str">
        <x:v>External Validity</x:v>
      </x:c>
      <x:c r="T140" s="2" t="str">
        <x:v>Generalizability and scope</x:v>
      </x:c>
      <x:c r="U140" s="6" t="str">
        <x:v>p. 7; E. Threats to Validity</x:v>
      </x:c>
      <x:c r="V140" s="6" t="str">
        <x:v>Another limitation arises from the restricted set of evaluated LLMs that does not allow us to generalize to other LLMs.</x:v>
      </x:c>
      <x:c r="W140" s="6" t="str">
        <x:v>作者指出仅测试了少数LLM，无法保证在其他模型上的表现。</x:v>
      </x:c>
      <x:c r="X140" s="2" t="str">
        <x:v>Accepted</x:v>
      </x:c>
      <x:c r="Y140" s="6" t="str">
        <x:v>NA</x:v>
      </x:c>
      <x:c r="Z140" s="2" t="n">
        <x:v>2</x:v>
      </x:c>
      <x:c r="AA140" s="2" t="n">
        <x:v>1</x:v>
      </x:c>
    </x:row>
    <x:row r="141" ht="76" customHeight="1">
      <x:c r="A141" s="2" t="str">
        <x:v>S27-LIMIT-R06</x:v>
      </x:c>
      <x:c r="B141" s="2" t="str">
        <x:v>S27</x:v>
      </x:c>
      <x:c r="C141" s="2" t="str">
        <x:v>merged_1213</x:v>
      </x:c>
      <x:c r="D141" s="2" t="str">
        <x:v>Reviewer_A</x:v>
      </x:c>
      <x:c r="E141" s="2" t="str">
        <x:v>Reviewer_A</x:v>
      </x:c>
      <x:c r="F141" s="2" t="str">
        <x:v>S27-L06</x:v>
      </x:c>
      <x:c r="G141" s="6" t="str">
        <x:v>SR</x:v>
      </x:c>
      <x:c r="H141" s="2" t="str">
        <x:v>Authors</x:v>
      </x:c>
      <x:c r="I141" s="6" t="str">
        <x:v>使用闭源模型（GPT-4o mini和GPT-4o）存在数据泄露风险，因为训练数据未公开</x:v>
      </x:c>
      <x:c r="J141" s="2" t="str">
        <x:v>Speculative</x:v>
      </x:c>
      <x:c r="K141" s="2" t="str">
        <x:v>S28-T01</x:v>
      </x:c>
      <x:c r="L141" s="2" t="str">
        <x:v>S28-MU05; S28-MU06</x:v>
      </x:c>
      <x:c r="M141" s="2" t="str">
        <x:v>use of closed-source models</x:v>
      </x:c>
      <x:c r="N141" s="2" t="str">
        <x:v>无法排除数据泄露的可能性</x:v>
      </x:c>
      <x:c r="O141" s="6" t="str">
        <x:v>Unclear</x:v>
      </x:c>
      <x:c r="P141" s="2" t="str">
        <x:v>No</x:v>
      </x:c>
      <x:c r="Q141" s="2" t="str">
        <x:v>Not proposed</x:v>
      </x:c>
      <x:c r="R141" s="2" t="str">
        <x:v>data_leakage</x:v>
      </x:c>
      <x:c r="S141" s="2" t="str">
        <x:v>Internal Validity</x:v>
      </x:c>
      <x:c r="T141" s="2" t="str">
        <x:v>Data and evidence quality</x:v>
      </x:c>
      <x:c r="U141" s="6" t="str">
        <x:v>p. 7; E. Threats to Validity</x:v>
      </x:c>
      <x:c r="V141" s="6" t="str">
        <x:v>A further threat stems from our use of closed-source models. Because their training data is not publicly disclosed, we cannot rule out potential data leakage.</x:v>
      </x:c>
      <x:c r="W141" s="6" t="str">
        <x:v>闭源模型可能导致训练数据泄露，影响结果可信度。</x:v>
      </x:c>
      <x:c r="X141" s="2" t="str">
        <x:v>Accepted</x:v>
      </x:c>
      <x:c r="Y141" s="6" t="str">
        <x:v>NA</x:v>
      </x:c>
      <x:c r="Z141" s="2" t="n">
        <x:v>2</x:v>
      </x:c>
      <x:c r="AA141" s="2" t="n">
        <x:v>1</x:v>
      </x:c>
    </x:row>
    <x:row r="142" ht="76" customHeight="1">
      <x:c r="A142" s="2" t="str">
        <x:v>S27-LIMIT-R07</x:v>
      </x:c>
      <x:c r="B142" s="2" t="str">
        <x:v>S27</x:v>
      </x:c>
      <x:c r="C142" s="2" t="str">
        <x:v>merged_1213</x:v>
      </x:c>
      <x:c r="D142" s="2" t="str">
        <x:v>Reviewer_A</x:v>
      </x:c>
      <x:c r="E142" s="2" t="str">
        <x:v>Reviewer_A</x:v>
      </x:c>
      <x:c r="F142" s="2" t="str">
        <x:v>S27-L07</x:v>
      </x:c>
      <x:c r="G142" s="6" t="str">
        <x:v>SR</x:v>
      </x:c>
      <x:c r="H142" s="2" t="str">
        <x:v>Authors</x:v>
      </x:c>
      <x:c r="I142" s="6" t="str">
        <x:v>LLM固有的非确定性，通过固定随机种子和温度缓解，但结果依赖于特定种子</x:v>
      </x:c>
      <x:c r="J142" s="2" t="str">
        <x:v>Speculative</x:v>
      </x:c>
      <x:c r="K142" s="2" t="str">
        <x:v>S28-T01</x:v>
      </x:c>
      <x:c r="L142" s="2" t="str">
        <x:v>Multiple</x:v>
      </x:c>
      <x:c r="M142" s="2" t="str">
        <x:v>LLM inference</x:v>
      </x:c>
      <x:c r="N142" s="2" t="str">
        <x:v>结果可能因种子不同而变化</x:v>
      </x:c>
      <x:c r="O142" s="6" t="str">
        <x:v>Unclear</x:v>
      </x:c>
      <x:c r="P142" s="2" t="str">
        <x:v>fixed random seed and set temperature to 0</x:v>
      </x:c>
      <x:c r="Q142" s="2" t="str">
        <x:v>Implemented</x:v>
      </x:c>
      <x:c r="R142" s="2" t="str">
        <x:v>non_determinism</x:v>
      </x:c>
      <x:c r="S142" s="2" t="str">
        <x:v>Reliability</x:v>
      </x:c>
      <x:c r="T142" s="2" t="str">
        <x:v>Context and prompt dependence</x:v>
      </x:c>
      <x:c r="U142" s="6" t="str">
        <x:v>p. 7; E. Threats to Validity</x:v>
      </x:c>
      <x:c r="V142" s="6" t="str">
        <x:v>LLMs are inherently non-deterministic. To reduce this threat, we fixed the random seed and set the model temperature to 0. Our results are therefore dependent on the specific seed 133742243 that we reused from prior work.</x:v>
      </x:c>
      <x:c r="W142" s="6" t="str">
        <x:v>作者通过固定种子和零温度缓解非确定性，但结果仍依赖特定种子。</x:v>
      </x:c>
      <x:c r="X142" s="2" t="str">
        <x:v>Accepted</x:v>
      </x:c>
      <x:c r="Y142" s="6" t="str">
        <x:v>NA</x:v>
      </x:c>
      <x:c r="Z142" s="2" t="n">
        <x:v>2</x:v>
      </x:c>
      <x:c r="AA142" s="2" t="n">
        <x:v>3</x:v>
      </x:c>
    </x:row>
    <x:row r="143" ht="76" customHeight="1">
      <x:c r="A143" s="2" t="str">
        <x:v>S27-LIMIT-R08</x:v>
      </x:c>
      <x:c r="B143" s="2" t="str">
        <x:v>S27</x:v>
      </x:c>
      <x:c r="C143" s="2" t="str">
        <x:v>merged_1213</x:v>
      </x:c>
      <x:c r="D143" s="2" t="str">
        <x:v>Reviewer_A</x:v>
      </x:c>
      <x:c r="E143" s="2" t="str">
        <x:v>Reviewer_A</x:v>
      </x:c>
      <x:c r="F143" s="2" t="str">
        <x:v>S27-L08</x:v>
      </x:c>
      <x:c r="G143" s="6" t="str">
        <x:v>SR</x:v>
      </x:c>
      <x:c r="H143" s="2" t="str">
        <x:v>Authors</x:v>
      </x:c>
      <x:c r="I143" s="6" t="str">
        <x:v>集成方法计算成本更高，因为涉及多次LLM调用，增加推理时间和资源消耗</x:v>
      </x:c>
      <x:c r="J143" s="2" t="str">
        <x:v>Speculative</x:v>
      </x:c>
      <x:c r="K143" s="2" t="str">
        <x:v>S28-T01</x:v>
      </x:c>
      <x:c r="L143" s="2" t="str">
        <x:v>Multiple</x:v>
      </x:c>
      <x:c r="M143" s="2" t="str">
        <x:v>ensemble approach (chaining/majority voting)</x:v>
      </x:c>
      <x:c r="N143" s="2" t="str">
        <x:v>在计算效率或可扩展性为主要关注的环境中不太实用</x:v>
      </x:c>
      <x:c r="O143" s="6" t="str">
        <x:v>Unclear</x:v>
      </x:c>
      <x:c r="P143" s="2" t="str">
        <x:v>No</x:v>
      </x:c>
      <x:c r="Q143" s="2" t="str">
        <x:v>Not proposed</x:v>
      </x:c>
      <x:c r="R143" s="2" t="str">
        <x:v>computational_cost</x:v>
      </x:c>
      <x:c r="S143" s="2" t="str">
        <x:v>Efficiency</x:v>
      </x:c>
      <x:c r="T143" s="2" t="str">
        <x:v>Scalability and deployment</x:v>
      </x:c>
      <x:c r="U143" s="6" t="str">
        <x:v>p. 7; V. DISCUSSION</x:v>
      </x:c>
      <x:c r="V143" s="6" t="str">
        <x:v>The ensemble approach is computationally more demanding and, thus, more expensive. It involves many calls to multiple LLMs, increasing both inference time and resource consumption. This makes it less practical in environments where computational efficiency or scalability are primary concerns.</x:v>
      </x:c>
      <x:c r="W143" s="6" t="str">
        <x:v>集成方法多次调用LLM导致计算开销大，不适合资源受限环境。</x:v>
      </x:c>
      <x:c r="X143" s="2" t="str">
        <x:v>Accepted</x:v>
      </x:c>
      <x:c r="Y143" s="6" t="str">
        <x:v>NA</x:v>
      </x:c>
      <x:c r="Z143" s="2" t="n">
        <x:v>2</x:v>
      </x:c>
      <x:c r="AA143" s="2" t="n">
        <x:v>1</x:v>
      </x:c>
    </x:row>
    <x:row r="144" ht="76" customHeight="1">
      <x:c r="A144" s="2" t="str">
        <x:v>S28-LIMIT-R01</x:v>
      </x:c>
      <x:c r="B144" s="2" t="str">
        <x:v>S28</x:v>
      </x:c>
      <x:c r="C144" s="2" t="str">
        <x:v>merged_1214</x:v>
      </x:c>
      <x:c r="D144" s="2" t="str">
        <x:v>Reviewer_A</x:v>
      </x:c>
      <x:c r="E144" s="2" t="str">
        <x:v>Reviewer_A</x:v>
      </x:c>
      <x:c r="F144" s="2" t="str">
        <x:v>S28-L01</x:v>
      </x:c>
      <x:c r="G144" s="6" t="str">
        <x:v>SR</x:v>
      </x:c>
      <x:c r="H144" s="2" t="str">
        <x:v>Authors</x:v>
      </x:c>
      <x:c r="I144" s="6" t="str">
        <x:v>该方法在SMOS和eTour数据集上的召回率不足，整体召回率较低，限制了追溯链接的完整性。</x:v>
      </x:c>
      <x:c r="J144" s="2" t="str">
        <x:v>Empirical</x:v>
      </x:c>
      <x:c r="K144" s="2" t="str">
        <x:v>S29-T01</x:v>
      </x:c>
      <x:c r="L144" s="2" t="str">
        <x:v>S29-MU03</x:v>
      </x:c>
      <x:c r="M144" s="2" t="str">
        <x:v>RAG-based traceability pipeline with document retrieval constraints</x:v>
      </x:c>
      <x:c r="N144" s="2" t="str">
        <x:v>可能遗漏部分真实链接，影响召回率。</x:v>
      </x:c>
      <x:c r="O144" s="6" t="str">
        <x:v>Unclear</x:v>
      </x:c>
      <x:c r="P144" s="2" t="str">
        <x:v>未来拟通过放宽检索约束并采用分层检索策略提升召回率。</x:v>
      </x:c>
      <x:c r="Q144" s="2" t="str">
        <x:v>Proposed</x:v>
      </x:c>
      <x:c r="R144" s="2" t="str">
        <x:v>recall_limitation</x:v>
      </x:c>
      <x:c r="S144" s="2" t="str">
        <x:v>performance_limitation</x:v>
      </x:c>
      <x:c r="T144" s="2" t="str">
        <x:v>Model reliability</x:v>
      </x:c>
      <x:c r="U144" s="6" t="str">
        <x:v>p. 15; Section 6 Discussion</x:v>
      </x:c>
      <x:c r="V144" s="6" t="str">
        <x:v>Nevertheless, the lower recall underscores potential areas for future research and refinement of our model</x:v>
      </x:c>
      <x:c r="W144" s="6" t="str">
        <x:v>作者明确指出方法在召回率方面存在不足，并计划在未来工作中改进。</x:v>
      </x:c>
      <x:c r="X144" s="2" t="str">
        <x:v>Accepted</x:v>
      </x:c>
      <x:c r="Y144" s="6" t="str">
        <x:v>NA</x:v>
      </x:c>
      <x:c r="Z144" s="2" t="n">
        <x:v>3</x:v>
      </x:c>
      <x:c r="AA144" s="2" t="n">
        <x:v>2</x:v>
      </x:c>
    </x:row>
    <x:row r="145" ht="76" customHeight="1">
      <x:c r="A145" s="2" t="str">
        <x:v>S28-LIMIT-R02</x:v>
      </x:c>
      <x:c r="B145" s="2" t="str">
        <x:v>S28</x:v>
      </x:c>
      <x:c r="C145" s="2" t="str">
        <x:v>merged_1214</x:v>
      </x:c>
      <x:c r="D145" s="2" t="str">
        <x:v>Reviewer_A</x:v>
      </x:c>
      <x:c r="E145" s="2" t="str">
        <x:v>Reviewer_A</x:v>
      </x:c>
      <x:c r="F145" s="2" t="str">
        <x:v>S28-L02</x:v>
      </x:c>
      <x:c r="G145" s="6" t="str">
        <x:v>SR</x:v>
      </x:c>
      <x:c r="H145" s="2" t="str">
        <x:v>Authors</x:v>
      </x:c>
      <x:c r="I145" s="6" t="str">
        <x:v>生成的代码摘要或索引文档可能遗漏对追溯性至关重要的信息，从而威胁构造效度。</x:v>
      </x:c>
      <x:c r="J145" s="2" t="str">
        <x:v>Speculative</x:v>
      </x:c>
      <x:c r="K145" s="2" t="str">
        <x:v>S29-T02</x:v>
      </x:c>
      <x:c r="L145" s="2" t="str">
        <x:v>S29-MU03</x:v>
      </x:c>
      <x:c r="M145" s="2" t="str">
        <x:v>LLM-based code summary generation</x:v>
      </x:c>
      <x:c r="N145" s="2" t="str">
        <x:v>索引质量下降，可能导致追溯性能受损。</x:v>
      </x:c>
      <x:c r="O145" s="6" t="str">
        <x:v>Unclear</x:v>
      </x:c>
      <x:c r="P145" s="2" t="str">
        <x:v>We mitigated this threat by manually refining prompts and examining the generated code summaries and their alignment with the code purpose.</x:v>
      </x:c>
      <x:c r="Q145" s="2" t="str">
        <x:v>Implemented</x:v>
      </x:c>
      <x:c r="R145" s="2" t="str">
        <x:v>construct_validity_threat</x:v>
      </x:c>
      <x:c r="S145" s="2" t="str">
        <x:v>validity_threat</x:v>
      </x:c>
      <x:c r="T145" s="2" t="str">
        <x:v>Evaluation and validity</x:v>
      </x:c>
      <x:c r="U145" s="6" t="str">
        <x:v>p. 16; Section 6 Discussion</x:v>
      </x:c>
      <x:c r="V145" s="6" t="str">
        <x:v>If the generated code summaries or indexed documents miss information critical to traceability, then the construct validity is threatened.</x:v>
      </x:c>
      <x:c r="W145" s="6" t="str">
        <x:v>作者识别了构造效度威胁，并通过人工优化提示词和检查摘要质量来缓解。</x:v>
      </x:c>
      <x:c r="X145" s="2" t="str">
        <x:v>Accepted</x:v>
      </x:c>
      <x:c r="Y145" s="6" t="str">
        <x:v>NA</x:v>
      </x:c>
      <x:c r="Z145" s="2" t="n">
        <x:v>2</x:v>
      </x:c>
      <x:c r="AA145" s="2" t="n">
        <x:v>3</x:v>
      </x:c>
    </x:row>
    <x:row r="146" ht="76" customHeight="1">
      <x:c r="A146" s="2" t="str">
        <x:v>S28-LIMIT-R03</x:v>
      </x:c>
      <x:c r="B146" s="2" t="str">
        <x:v>S28</x:v>
      </x:c>
      <x:c r="C146" s="2" t="str">
        <x:v>merged_1214</x:v>
      </x:c>
      <x:c r="D146" s="2" t="str">
        <x:v>Reviewer_A</x:v>
      </x:c>
      <x:c r="E146" s="2" t="str">
        <x:v>Reviewer_A</x:v>
      </x:c>
      <x:c r="F146" s="2" t="str">
        <x:v>S28-L03</x:v>
      </x:c>
      <x:c r="G146" s="6" t="str">
        <x:v>SR</x:v>
      </x:c>
      <x:c r="H146" s="2" t="str">
        <x:v>Authors</x:v>
      </x:c>
      <x:c r="I146" s="6" t="str">
        <x:v>初始追溯需求数据集的质量威胁内部效度。</x:v>
      </x:c>
      <x:c r="J146" s="2" t="str">
        <x:v>Speculative</x:v>
      </x:c>
      <x:c r="K146" s="2" t="str">
        <x:v>S29-T01</x:v>
      </x:c>
      <x:c r="L146" s="2" t="str">
        <x:v>S29-MU03</x:v>
      </x:c>
      <x:c r="M146" s="2" t="str">
        <x:v>dataset selection for evaluation</x:v>
      </x:c>
      <x:c r="N146" s="2" t="str">
        <x:v>实验结果可能受数据质量影响。</x:v>
      </x:c>
      <x:c r="O146" s="6" t="str">
        <x:v>Unclear</x:v>
      </x:c>
      <x:c r="P146" s="2" t="str">
        <x:v>We mitigated this threat by choosing quality evaluated datasets used in literature.</x:v>
      </x:c>
      <x:c r="Q146" s="2" t="str">
        <x:v>Implemented</x:v>
      </x:c>
      <x:c r="R146" s="2" t="str">
        <x:v>internal_validity_threat</x:v>
      </x:c>
      <x:c r="S146" s="2" t="str">
        <x:v>validity_threat</x:v>
      </x:c>
      <x:c r="T146" s="2" t="str">
        <x:v>Evaluation and validity</x:v>
      </x:c>
      <x:c r="U146" s="6" t="str">
        <x:v>p. 16; Section 6 Discussion</x:v>
      </x:c>
      <x:c r="V146" s="6" t="str">
        <x:v>The dataset quality of the initial traceability requirements dataset threatens the internal validity of our work.</x:v>
      </x:c>
      <x:c r="W146" s="6" t="str">
        <x:v>作者指出数据集质量可能影响内部效度，并通过使用文献中经过质量评估的数据集来缓解。</x:v>
      </x:c>
      <x:c r="X146" s="2" t="str">
        <x:v>Accepted</x:v>
      </x:c>
      <x:c r="Y146" s="6" t="str">
        <x:v>NA</x:v>
      </x:c>
      <x:c r="Z146" s="2" t="n">
        <x:v>2</x:v>
      </x:c>
      <x:c r="AA146" s="2" t="n">
        <x:v>3</x:v>
      </x:c>
    </x:row>
    <x:row r="147" ht="76" customHeight="1">
      <x:c r="A147" s="2" t="str">
        <x:v>S28-LIMIT-R04</x:v>
      </x:c>
      <x:c r="B147" s="2" t="str">
        <x:v>S28</x:v>
      </x:c>
      <x:c r="C147" s="2" t="str">
        <x:v>merged_1214</x:v>
      </x:c>
      <x:c r="D147" s="2" t="str">
        <x:v>Reviewer_A</x:v>
      </x:c>
      <x:c r="E147" s="2" t="str">
        <x:v>Reviewer_A</x:v>
      </x:c>
      <x:c r="F147" s="2" t="str">
        <x:v>S28-L04</x:v>
      </x:c>
      <x:c r="G147" s="6" t="str">
        <x:v>SR</x:v>
      </x:c>
      <x:c r="H147" s="2" t="str">
        <x:v>Authors</x:v>
      </x:c>
      <x:c r="I147" s="6" t="str">
        <x:v>数据集多样性不足可能限制结果的普遍适用性。</x:v>
      </x:c>
      <x:c r="J147" s="2" t="str">
        <x:v>Speculative</x:v>
      </x:c>
      <x:c r="K147" s="2" t="str">
        <x:v>S29-T01</x:v>
      </x:c>
      <x:c r="L147" s="2" t="str">
        <x:v>S29-MU03</x:v>
      </x:c>
      <x:c r="M147" s="2" t="str">
        <x:v>generalizability of results</x:v>
      </x:c>
      <x:c r="N147" s="2" t="str">
        <x:v>研究结论可能无法推广到其他领域或软件类型。</x:v>
      </x:c>
      <x:c r="O147" s="6" t="str">
        <x:v>Unclear</x:v>
      </x:c>
      <x:c r="P147" s="2" t="str">
        <x:v>Our work mitigates this threat by choosing all the datasets from different domains.</x:v>
      </x:c>
      <x:c r="Q147" s="2" t="str">
        <x:v>Implemented</x:v>
      </x:c>
      <x:c r="R147" s="2" t="str">
        <x:v>external_validity_threat</x:v>
      </x:c>
      <x:c r="S147" s="2" t="str">
        <x:v>validity_threat</x:v>
      </x:c>
      <x:c r="T147" s="2" t="str">
        <x:v>Evaluation and validity</x:v>
      </x:c>
      <x:c r="U147" s="6" t="str">
        <x:v>p. 16; Section 6 Discussion</x:v>
      </x:c>
      <x:c r="V147" s="6" t="str">
        <x:v>If the datasets are not diverse enough (e.g., all from similar types of software or similar domains), the results might not be widely applicable.</x:v>
      </x:c>
      <x:c r="W147" s="6" t="str">
        <x:v>作者考虑到外部效度威胁，并通过选择不同领域的数据集来增强广泛适用性。</x:v>
      </x:c>
      <x:c r="X147" s="2" t="str">
        <x:v>Accepted</x:v>
      </x:c>
      <x:c r="Y147" s="6" t="str">
        <x:v>NA</x:v>
      </x:c>
      <x:c r="Z147" s="2" t="n">
        <x:v>2</x:v>
      </x:c>
      <x:c r="AA147" s="2" t="n">
        <x:v>3</x:v>
      </x:c>
    </x:row>
    <x:row r="148" ht="76" customHeight="1">
      <x:c r="A148" s="2" t="str">
        <x:v>S28-LIMIT-R05</x:v>
      </x:c>
      <x:c r="B148" s="2" t="str">
        <x:v>S28</x:v>
      </x:c>
      <x:c r="C148" s="2" t="str">
        <x:v>merged_1214</x:v>
      </x:c>
      <x:c r="D148" s="2" t="str">
        <x:v>Reviewer_A</x:v>
      </x:c>
      <x:c r="E148" s="2" t="str">
        <x:v>Reviewer_A</x:v>
      </x:c>
      <x:c r="F148" s="2" t="str">
        <x:v>S28-L05</x:v>
      </x:c>
      <x:c r="G148" s="6" t="str">
        <x:v>SR</x:v>
      </x:c>
      <x:c r="H148" s="2" t="str">
        <x:v>Authors</x:v>
      </x:c>
      <x:c r="I148" s="6" t="str">
        <x:v>精确率、召回率和F1指标的测量可靠性可能受到测量误差或随机性的威胁。</x:v>
      </x:c>
      <x:c r="J148" s="2" t="str">
        <x:v>Speculative</x:v>
      </x:c>
      <x:c r="K148" s="2" t="str">
        <x:v>S29-T01</x:v>
      </x:c>
      <x:c r="L148" s="2" t="str">
        <x:v>S29-MU03</x:v>
      </x:c>
      <x:c r="M148" s="2" t="str">
        <x:v>experimental reliability</x:v>
      </x:c>
      <x:c r="N148" s="2" t="str">
        <x:v>观察到的效果可能不可靠。</x:v>
      </x:c>
      <x:c r="O148" s="6" t="str">
        <x:v>Unclear</x:v>
      </x:c>
      <x:c r="P148" s="2" t="str">
        <x:v>We mitigated this error by repeating the experiments by making the index creation reproducible and fixing a seed and temperature value for an LLM to make the results reproducible.</x:v>
      </x:c>
      <x:c r="Q148" s="2" t="str">
        <x:v>Implemented</x:v>
      </x:c>
      <x:c r="R148" s="2" t="str">
        <x:v>conclusion_validity_threat</x:v>
      </x:c>
      <x:c r="S148" s="2" t="str">
        <x:v>validity_threat</x:v>
      </x:c>
      <x:c r="T148" s="2" t="str">
        <x:v>Evaluation and validity</x:v>
      </x:c>
      <x:c r="U148" s="6" t="str">
        <x:v>p. 16; Section 6 Discussion</x:v>
      </x:c>
      <x:c r="V148" s="6" t="str">
        <x:v>The precision, recall, and F1 metrics need to be reliably measured to ensure that the observed effects are real and not due to measurement errors or randomness.</x:v>
      </x:c>
      <x:c r="W148" s="6" t="str">
        <x:v>作者识别了结论效度威胁，并通过重复实验、固定随机种子和温度值来确保可复现性。</x:v>
      </x:c>
      <x:c r="X148" s="2" t="str">
        <x:v>Accepted</x:v>
      </x:c>
      <x:c r="Y148" s="6" t="str">
        <x:v>NA</x:v>
      </x:c>
      <x:c r="Z148" s="2" t="n">
        <x:v>2</x:v>
      </x:c>
      <x:c r="AA148" s="2" t="n">
        <x:v>3</x:v>
      </x:c>
    </x:row>
    <x:row r="149" ht="76" customHeight="1">
      <x:c r="A149" s="2" t="str">
        <x:v>S29-LIMIT-R01</x:v>
      </x:c>
      <x:c r="B149" s="2" t="str">
        <x:v>S29</x:v>
      </x:c>
      <x:c r="C149" s="2" t="str">
        <x:v>merged_1215-v4</x:v>
      </x:c>
      <x:c r="D149" s="2" t="str">
        <x:v>Reviewer_A</x:v>
      </x:c>
      <x:c r="E149" s="2" t="str">
        <x:v>Reviewer_A</x:v>
      </x:c>
      <x:c r="F149" s="2" t="str">
        <x:v>S29-L01</x:v>
      </x:c>
      <x:c r="G149" s="6" t="str">
        <x:v>SR</x:v>
      </x:c>
      <x:c r="H149" s="2" t="str">
        <x:v>Authors</x:v>
      </x:c>
      <x:c r="I149" s="6" t="str">
        <x:v>TVR专门针对汽车DTC需求设计，泛化性可能受限。</x:v>
      </x:c>
      <x:c r="J149" s="2" t="str">
        <x:v>Speculative</x:v>
      </x:c>
      <x:c r="K149" s="2" t="str">
        <x:v>Multiple</x:v>
      </x:c>
      <x:c r="L149" s="2" t="str">
        <x:v>Multiple</x:v>
      </x:c>
      <x:c r="M149" s="2" t="str">
        <x:v>DTC requirements in automotive domain</x:v>
      </x:c>
      <x:c r="N149" s="2" t="str">
        <x:v>可能不适用于其他类型需求或领域。</x:v>
      </x:c>
      <x:c r="O149" s="6" t="str">
        <x:v>NR</x:v>
      </x:c>
      <x:c r="P149" s="2" t="str">
        <x:v>No</x:v>
      </x:c>
      <x:c r="Q149" s="2" t="str">
        <x:v>Not proposed</x:v>
      </x:c>
      <x:c r="R149" s="2" t="str">
        <x:v>domain_specificity</x:v>
      </x:c>
      <x:c r="S149" s="2" t="str">
        <x:v>External Validity</x:v>
      </x:c>
      <x:c r="T149" s="2" t="str">
        <x:v>Generalizability and scope</x:v>
      </x:c>
      <x:c r="U149" s="6" t="str">
        <x:v>p. 22; Section 7 Threats to Validity, External Validity</x:v>
      </x:c>
      <x:c r="V149" s="6" t="str">
        <x:v>TVR is specifically designed for DTC requirements, which are critical in the automotive domain, using a dataset from an industry partner.</x:v>
      </x:c>
      <x:c r="W149" s="6" t="str">
        <x:v>研究明确指出TVR针对特定汽车DTC需求，外部有效性受限。</x:v>
      </x:c>
      <x:c r="X149" s="2" t="str">
        <x:v>Accepted</x:v>
      </x:c>
      <x:c r="Y149" s="6" t="str">
        <x:v>NA</x:v>
      </x:c>
      <x:c r="Z149" s="2" t="n">
        <x:v>2</x:v>
      </x:c>
      <x:c r="AA149" s="2" t="n">
        <x:v>1</x:v>
      </x:c>
    </x:row>
    <x:row r="150" ht="76" customHeight="1">
      <x:c r="A150" s="2" t="str">
        <x:v>S29-LIMIT-R02</x:v>
      </x:c>
      <x:c r="B150" s="2" t="str">
        <x:v>S29</x:v>
      </x:c>
      <x:c r="C150" s="2" t="str">
        <x:v>merged_1215-v4</x:v>
      </x:c>
      <x:c r="D150" s="2" t="str">
        <x:v>Reviewer_A</x:v>
      </x:c>
      <x:c r="E150" s="2" t="str">
        <x:v>Reviewer_A</x:v>
      </x:c>
      <x:c r="F150" s="2" t="str">
        <x:v>S29-L02</x:v>
      </x:c>
      <x:c r="G150" s="6" t="str">
        <x:v>SR</x:v>
      </x:c>
      <x:c r="H150" s="2" t="str">
        <x:v>Authors</x:v>
      </x:c>
      <x:c r="I150" s="6" t="str">
        <x:v>TVR在实际应用中的准确性可能受检索数据库质量影响。</x:v>
      </x:c>
      <x:c r="J150" s="2" t="str">
        <x:v>Speculative</x:v>
      </x:c>
      <x:c r="K150" s="2" t="str">
        <x:v>Multiple</x:v>
      </x:c>
      <x:c r="L150" s="2" t="str">
        <x:v>Multiple</x:v>
      </x:c>
      <x:c r="M150" s="2" t="str">
        <x:v>依赖检索数据库的TVR在实际工业部署中</x:v>
      </x:c>
      <x:c r="N150" s="2" t="str">
        <x:v>可能导致准确性下降。</x:v>
      </x:c>
      <x:c r="O150" s="6" t="str">
        <x:v>NR</x:v>
      </x:c>
      <x:c r="P150" s="2" t="str">
        <x:v>No</x:v>
      </x:c>
      <x:c r="Q150" s="2" t="str">
        <x:v>Not proposed</x:v>
      </x:c>
      <x:c r="R150" s="2" t="str">
        <x:v>retrieval_quality</x:v>
      </x:c>
      <x:c r="S150" s="2" t="str">
        <x:v>External Validity</x:v>
      </x:c>
      <x:c r="T150" s="2" t="str">
        <x:v>Context and prompt dependence</x:v>
      </x:c>
      <x:c r="U150" s="6" t="str">
        <x:v>p. 22; Section 7 Threats to Validity, External Validity</x:v>
      </x:c>
      <x:c r="V150" s="6" t="str">
        <x:v>Since TVR relies on a retrieval-based approach to obtain prompt examples, its accuracy in practical applications may be affected by the quality of the retrieval database.</x:v>
      </x:c>
      <x:c r="W150" s="6" t="str">
        <x:v>作者承认检索数据库质量是影响TVR实际准确性的一个因素，但未提出具体缓解措施。</x:v>
      </x:c>
      <x:c r="X150" s="2" t="str">
        <x:v>Accepted</x:v>
      </x:c>
      <x:c r="Y150" s="6" t="str">
        <x:v>NA</x:v>
      </x:c>
      <x:c r="Z150" s="2" t="n">
        <x:v>2</x:v>
      </x:c>
      <x:c r="AA150" s="2" t="n">
        <x:v>1</x:v>
      </x:c>
    </x:row>
    <x:row r="151" ht="76" customHeight="1">
      <x:c r="A151" s="2" t="str">
        <x:v>S29-LIMIT-R03</x:v>
      </x:c>
      <x:c r="B151" s="2" t="str">
        <x:v>S29</x:v>
      </x:c>
      <x:c r="C151" s="2" t="str">
        <x:v>merged_1215-v4</x:v>
      </x:c>
      <x:c r="D151" s="2" t="str">
        <x:v>Reviewer_A</x:v>
      </x:c>
      <x:c r="E151" s="2" t="str">
        <x:v>Reviewer_A</x:v>
      </x:c>
      <x:c r="F151" s="2" t="str">
        <x:v>S29-L03</x:v>
      </x:c>
      <x:c r="G151" s="6" t="str">
        <x:v>SR</x:v>
      </x:c>
      <x:c r="H151" s="2" t="str">
        <x:v>Authors</x:v>
      </x:c>
      <x:c r="I151" s="6" t="str">
        <x:v>手动标注需求数据易产生错误，如需求误解或标注不一致。</x:v>
      </x:c>
      <x:c r="J151" s="2" t="str">
        <x:v>Speculative</x:v>
      </x:c>
      <x:c r="K151" s="2" t="str">
        <x:v>Multiple</x:v>
      </x:c>
      <x:c r="L151" s="2" t="str">
        <x:v>Multiple</x:v>
      </x:c>
      <x:c r="M151" s="2" t="str">
        <x:v>数据集标注过程</x:v>
      </x:c>
      <x:c r="N151" s="2" t="str">
        <x:v>可能影响TVR性能评估的可靠性。</x:v>
      </x:c>
      <x:c r="O151" s="6" t="str">
        <x:v>NR</x:v>
      </x:c>
      <x:c r="P151" s="2" t="str">
        <x:v>两名作者独立标注并讨论解决分歧。</x:v>
      </x:c>
      <x:c r="Q151" s="2" t="str">
        <x:v>Implemented</x:v>
      </x:c>
      <x:c r="R151" s="2" t="str">
        <x:v>annotation_error</x:v>
      </x:c>
      <x:c r="S151" s="2" t="str">
        <x:v>Internal Validity</x:v>
      </x:c>
      <x:c r="T151" s="2" t="str">
        <x:v>Data and evidence quality</x:v>
      </x:c>
      <x:c r="U151" s="6" t="str">
        <x:v>p. 22; Section 7 Threats to Validity, Internal Validity</x:v>
      </x:c>
      <x:c r="V151" s="6" t="str">
        <x:v>manual annotation is inherently prone to errors, such as misinterpretation of requirements or inconsistencies in labeling.</x:v>
      </x:c>
      <x:c r="W151" s="6" t="str">
        <x:v>作者识别了手动标注可能引入的错误，并实施了双人标注和冲突解决机制来缓解。</x:v>
      </x:c>
      <x:c r="X151" s="2" t="str">
        <x:v>Accepted</x:v>
      </x:c>
      <x:c r="Y151" s="6" t="str">
        <x:v>NA</x:v>
      </x:c>
      <x:c r="Z151" s="2" t="n">
        <x:v>2</x:v>
      </x:c>
      <x:c r="AA151" s="2" t="n">
        <x:v>3</x:v>
      </x:c>
    </x:row>
    <x:row r="152" ht="76" customHeight="1">
      <x:c r="A152" s="2" t="str">
        <x:v>S29-LIMIT-R04</x:v>
      </x:c>
      <x:c r="B152" s="2" t="str">
        <x:v>S29</x:v>
      </x:c>
      <x:c r="C152" s="2" t="str">
        <x:v>merged_1215-v4</x:v>
      </x:c>
      <x:c r="D152" s="2" t="str">
        <x:v>Reviewer_A</x:v>
      </x:c>
      <x:c r="E152" s="2" t="str">
        <x:v>Reviewer_A</x:v>
      </x:c>
      <x:c r="F152" s="2" t="str">
        <x:v>S29-L04</x:v>
      </x:c>
      <x:c r="G152" s="6" t="str">
        <x:v>SR</x:v>
      </x:c>
      <x:c r="H152" s="2" t="str">
        <x:v>Authors</x:v>
      </x:c>
      <x:c r="I152" s="6" t="str">
        <x:v>LLM的随机性可能导致相同输入产生不同输出。</x:v>
      </x:c>
      <x:c r="J152" s="2" t="str">
        <x:v>Speculative</x:v>
      </x:c>
      <x:c r="K152" s="2" t="str">
        <x:v>Multiple</x:v>
      </x:c>
      <x:c r="L152" s="2" t="str">
        <x:v>Multiple</x:v>
      </x:c>
      <x:c r="M152" s="2" t="str">
        <x:v>LLM推理过程</x:v>
      </x:c>
      <x:c r="N152" s="2" t="str">
        <x:v>可能导致实验结果不可复现。</x:v>
      </x:c>
      <x:c r="O152" s="6" t="str">
        <x:v>NR</x:v>
      </x:c>
      <x:c r="P152" s="2" t="str">
        <x:v>将temperature设为0以确保确定性输出。</x:v>
      </x:c>
      <x:c r="Q152" s="2" t="str">
        <x:v>Implemented</x:v>
      </x:c>
      <x:c r="R152" s="2" t="str">
        <x:v>stochasticity</x:v>
      </x:c>
      <x:c r="S152" s="2" t="str">
        <x:v>Internal Validity</x:v>
      </x:c>
      <x:c r="T152" s="2" t="str">
        <x:v>Model reliability</x:v>
      </x:c>
      <x:c r="U152" s="6" t="str">
        <x:v>p. 23; Section 7 Threats to Validity, Internal Validity</x:v>
      </x:c>
      <x:c r="V152" s="6" t="str">
        <x:v>LLMs may produce different outputs for the same input due to their stochastic nature.</x:v>
      </x:c>
      <x:c r="W152" s="6" t="str">
        <x:v>作者指出LLM随机性威胁，并通过设置temperature=0减轻该问题。</x:v>
      </x:c>
      <x:c r="X152" s="2" t="str">
        <x:v>Accepted</x:v>
      </x:c>
      <x:c r="Y152" s="6" t="str">
        <x:v>NA</x:v>
      </x:c>
      <x:c r="Z152" s="2" t="n">
        <x:v>2</x:v>
      </x:c>
      <x:c r="AA152" s="2" t="n">
        <x:v>3</x:v>
      </x:c>
    </x:row>
    <x:row r="153" ht="76" customHeight="1">
      <x:c r="A153" s="2" t="str">
        <x:v>S29-LIMIT-R05</x:v>
      </x:c>
      <x:c r="B153" s="2" t="str">
        <x:v>S29</x:v>
      </x:c>
      <x:c r="C153" s="2" t="str">
        <x:v>merged_1215-v4</x:v>
      </x:c>
      <x:c r="D153" s="2" t="str">
        <x:v>Reviewer_A</x:v>
      </x:c>
      <x:c r="E153" s="2" t="str">
        <x:v>Reviewer_A</x:v>
      </x:c>
      <x:c r="F153" s="2" t="str">
        <x:v>S29-L05</x:v>
      </x:c>
      <x:c r="G153" s="6" t="str">
        <x:v>SR</x:v>
      </x:c>
      <x:c r="H153" s="2" t="str">
        <x:v>Authors</x:v>
      </x:c>
      <x:c r="I153" s="6" t="str">
        <x:v>模型鲁棒性评估可能受需求变体类别差异程度的影响。</x:v>
      </x:c>
      <x:c r="J153" s="2" t="str">
        <x:v>Speculative</x:v>
      </x:c>
      <x:c r="K153" s="2" t="str">
        <x:v>S30-T01</x:v>
      </x:c>
      <x:c r="L153" s="2" t="str">
        <x:v>S30-MU01</x:v>
      </x:c>
      <x:c r="M153" s="2" t="str">
        <x:v>需求变体鲁棒性评估</x:v>
      </x:c>
      <x:c r="N153" s="2" t="str">
        <x:v>可能导致鲁棒性评估结果不可靠。</x:v>
      </x:c>
      <x:c r="O153" s="6" t="str">
        <x:v>NR</x:v>
      </x:c>
      <x:c r="P153" s="2" t="str">
        <x:v>采用交叉验证评估所有四类变体。</x:v>
      </x:c>
      <x:c r="Q153" s="2" t="str">
        <x:v>Implemented</x:v>
      </x:c>
      <x:c r="R153" s="2" t="str">
        <x:v>robustness_evaluation</x:v>
      </x:c>
      <x:c r="S153" s="2" t="str">
        <x:v>Internal Validity</x:v>
      </x:c>
      <x:c r="T153" s="2" t="str">
        <x:v>Evaluation and validity</x:v>
      </x:c>
      <x:c r="U153" s="6" t="str">
        <x:v>p. 23; Section 7 Threats to Validity, Internal Validity</x:v>
      </x:c>
      <x:c r="V153" s="6" t="str">
        <x:v>Another internal threat arises from the model’s robustness evaluation, which is influenced by the degree of variation across categories.</x:v>
      </x:c>
      <x:c r="W153" s="6" t="str">
        <x:v>作者认为鲁棒性评估可能因变体差异而偏倚，并采用交叉验证覆盖所有类别来缓解。</x:v>
      </x:c>
      <x:c r="X153" s="2" t="str">
        <x:v>Accepted</x:v>
      </x:c>
      <x:c r="Y153" s="6" t="str">
        <x:v>NA</x:v>
      </x:c>
      <x:c r="Z153" s="2" t="n">
        <x:v>2</x:v>
      </x:c>
      <x:c r="AA153" s="2" t="n">
        <x:v>3</x:v>
      </x:c>
    </x:row>
    <x:row r="154" ht="76" customHeight="1">
      <x:c r="A154" s="2" t="str">
        <x:v>S29-LIMIT-R06</x:v>
      </x:c>
      <x:c r="B154" s="2" t="str">
        <x:v>S29</x:v>
      </x:c>
      <x:c r="C154" s="2" t="str">
        <x:v>merged_1215-v4</x:v>
      </x:c>
      <x:c r="D154" s="2" t="str">
        <x:v>Reviewer_A</x:v>
      </x:c>
      <x:c r="E154" s="2" t="str">
        <x:v>Reviewer_A</x:v>
      </x:c>
      <x:c r="F154" s="2" t="str">
        <x:v>S29-L06</x:v>
      </x:c>
      <x:c r="G154" s="6" t="str">
        <x:v>SR</x:v>
      </x:c>
      <x:c r="H154" s="2" t="str">
        <x:v>Authors</x:v>
      </x:c>
      <x:c r="I154" s="6" t="str">
        <x:v>三步规则预处理方法对其它数据集或领域的适用性可能有限，影响外部有效性。</x:v>
      </x:c>
      <x:c r="J154" s="2" t="str">
        <x:v>Speculative</x:v>
      </x:c>
      <x:c r="K154" s="2" t="str">
        <x:v>S30-T02</x:v>
      </x:c>
      <x:c r="L154" s="2" t="str">
        <x:v>S30-MU02</x:v>
      </x:c>
      <x:c r="M154" s="2" t="str">
        <x:v>追溯恢复的预处理步骤</x:v>
      </x:c>
      <x:c r="N154" s="2" t="str">
        <x:v>限制追溯恢复方法在其他场景的推广。</x:v>
      </x:c>
      <x:c r="O154" s="6" t="str">
        <x:v>NR</x:v>
      </x:c>
      <x:c r="P154" s="2" t="str">
        <x:v>No</x:v>
      </x:c>
      <x:c r="Q154" s="2" t="str">
        <x:v>Not proposed</x:v>
      </x:c>
      <x:c r="R154" s="2" t="str">
        <x:v>rule_based_preprocessing</x:v>
      </x:c>
      <x:c r="S154" s="2" t="str">
        <x:v>External Validity</x:v>
      </x:c>
      <x:c r="T154" s="2" t="str">
        <x:v>Context and prompt dependence</x:v>
      </x:c>
      <x:c r="U154" s="6" t="str">
        <x:v>p. 23; Section 7 Threats to Validity, Internal Validity</x:v>
      </x:c>
      <x:c r="V154" s="6" t="str">
        <x:v>Their applicability to other datasets or domains may be limited, raising concerns about external validity.</x:v>
      </x:c>
      <x:c r="W154" s="6" t="str">
        <x:v>作者承认用于追溯恢复的规则预处理可能不通用，但未提出泛化方案。</x:v>
      </x:c>
      <x:c r="X154" s="2" t="str">
        <x:v>Accepted</x:v>
      </x:c>
      <x:c r="Y154" s="6" t="str">
        <x:v>NA</x:v>
      </x:c>
      <x:c r="Z154" s="2" t="n">
        <x:v>2</x:v>
      </x:c>
      <x:c r="AA154" s="2" t="n">
        <x:v>1</x:v>
      </x:c>
    </x:row>
    <x:row r="155" ht="76" customHeight="1">
      <x:c r="A155" s="2" t="str">
        <x:v>S29-LIMIT-R07</x:v>
      </x:c>
      <x:c r="B155" s="2" t="str">
        <x:v>S29</x:v>
      </x:c>
      <x:c r="C155" s="2" t="str">
        <x:v>merged_1215-v4</x:v>
      </x:c>
      <x:c r="D155" s="2" t="str">
        <x:v>Reviewer_A</x:v>
      </x:c>
      <x:c r="E155" s="2" t="str">
        <x:v>Reviewer_A</x:v>
      </x:c>
      <x:c r="F155" s="2" t="str">
        <x:v>S29-L07</x:v>
      </x:c>
      <x:c r="G155" s="6" t="str">
        <x:v>SR</x:v>
      </x:c>
      <x:c r="H155" s="2" t="str">
        <x:v>Authors</x:v>
      </x:c>
      <x:c r="I155" s="6" t="str">
        <x:v>使用的模型集受限于合作伙伴的数据访问策略，仅包含可访问的13个模型。</x:v>
      </x:c>
      <x:c r="J155" s="2" t="str">
        <x:v>Speculative</x:v>
      </x:c>
      <x:c r="K155" s="2" t="str">
        <x:v>Multiple</x:v>
      </x:c>
      <x:c r="L155" s="2" t="str">
        <x:v>Multiple</x:v>
      </x:c>
      <x:c r="M155" s="2" t="str">
        <x:v>模型选择与评估</x:v>
      </x:c>
      <x:c r="N155" s="2" t="str">
        <x:v>可能未涵盖最优模型，但作者认为结论不受影响。</x:v>
      </x:c>
      <x:c r="O155" s="6" t="str">
        <x:v>NR</x:v>
      </x:c>
      <x:c r="P155" s="2" t="str">
        <x:v>计划未来在开源模型和数据集上评估TVR。</x:v>
      </x:c>
      <x:c r="Q155" s="2" t="str">
        <x:v>Proposed</x:v>
      </x:c>
      <x:c r="R155" s="2" t="str">
        <x:v>model_availability</x:v>
      </x:c>
      <x:c r="S155" s="2" t="str">
        <x:v>Internal Validity</x:v>
      </x:c>
      <x:c r="T155" s="2" t="str">
        <x:v>Evaluation and validity</x:v>
      </x:c>
      <x:c r="U155" s="6" t="str">
        <x:v>p. 23; Section 7 Threats to Validity, Internal Validity</x:v>
      </x:c>
      <x:c r="V155" s="6" t="str">
        <x:v>the set of models we used was constrained by the industry partner’s data access policy.</x:v>
      </x:c>
      <x:c r="W155" s="6" t="str">
        <x:v>模型选择的受限是内部效度的一个威胁，作者已计划未来在更广泛的模型上评估。</x:v>
      </x:c>
      <x:c r="X155" s="2" t="str">
        <x:v>Accepted</x:v>
      </x:c>
      <x:c r="Y155" s="6" t="str">
        <x:v>NA</x:v>
      </x:c>
      <x:c r="Z155" s="2" t="n">
        <x:v>2</x:v>
      </x:c>
      <x:c r="AA155" s="2" t="n">
        <x:v>2</x:v>
      </x:c>
    </x:row>
    <x:row r="156" ht="76" customHeight="1">
      <x:c r="A156" s="2" t="str">
        <x:v>S30-LIMIT-R01</x:v>
      </x:c>
      <x:c r="B156" s="2" t="str">
        <x:v>S30</x:v>
      </x:c>
      <x:c r="C156" s="2" t="str">
        <x:v>merged_1218</x:v>
      </x:c>
      <x:c r="D156" s="2" t="str">
        <x:v>Reviewer_A</x:v>
      </x:c>
      <x:c r="E156" s="2" t="str">
        <x:v>Reviewer_A</x:v>
      </x:c>
      <x:c r="F156" s="2" t="str">
        <x:v>S30-L01</x:v>
      </x:c>
      <x:c r="G156" s="6" t="str">
        <x:v>SR</x:v>
      </x:c>
      <x:c r="H156" s="2" t="str">
        <x:v>Authors</x:v>
      </x:c>
      <x:c r="I156" s="6" t="str">
        <x:v>GDI在处理灵活语言输入方面存在局限，无法理解用户期望的灵活表达。</x:v>
      </x:c>
      <x:c r="J156" s="2" t="str">
        <x:v>Empirical</x:v>
      </x:c>
      <x:c r="K156" s="2" t="str">
        <x:v>S31-T01</x:v>
      </x:c>
      <x:c r="L156" s="2" t="str">
        <x:v>S31-MU04</x:v>
      </x:c>
      <x:c r="M156" s="2" t="str">
        <x:v>Flexible language input during onboarding query.</x:v>
      </x:c>
      <x:c r="N156" s="2" t="str">
        <x:v>NR</x:v>
      </x:c>
      <x:c r="O156" s="6" t="str">
        <x:v>NR</x:v>
      </x:c>
      <x:c r="P156" s="2" t="str">
        <x:v>Improved prompts and graph modifications.</x:v>
      </x:c>
      <x:c r="Q156" s="2" t="str">
        <x:v>Implemented</x:v>
      </x:c>
      <x:c r="R156" s="2" t="str">
        <x:v>system_limitation</x:v>
      </x:c>
      <x:c r="S156" s="2" t="str">
        <x:v>flexibility</x:v>
      </x:c>
      <x:c r="T156" s="2" t="str">
        <x:v>Context and prompt dependence</x:v>
      </x:c>
      <x:c r="U156" s="6" t="str">
        <x:v>p. 6; Section IV, Finding 2</x:v>
      </x:c>
      <x:c r="V156" s="6" t="str">
        <x:v>This indicates a limitation in GDI’s ability to handle flexible language inputs, something that users expect from intelligent systems.</x:v>
      </x:c>
      <x:c r="W156" s="6" t="str">
        <x:v>用户期望系统能灵活理解自然语言表达，但GDI在此方面存在不足，受限于提示工程和知识图谱的结构化查询。</x:v>
      </x:c>
      <x:c r="X156" s="2" t="str">
        <x:v>Accepted</x:v>
      </x:c>
      <x:c r="Y156" s="6" t="str">
        <x:v>NA</x:v>
      </x:c>
      <x:c r="Z156" s="2" t="n">
        <x:v>2</x:v>
      </x:c>
      <x:c r="AA156" s="2" t="n">
        <x:v>3</x:v>
      </x:c>
    </x:row>
    <x:row r="157" ht="76" customHeight="1">
      <x:c r="A157" s="2" t="str">
        <x:v>S30-LIMIT-R02</x:v>
      </x:c>
      <x:c r="B157" s="2" t="str">
        <x:v>S30</x:v>
      </x:c>
      <x:c r="C157" s="2" t="str">
        <x:v>merged_1218</x:v>
      </x:c>
      <x:c r="D157" s="2" t="str">
        <x:v>Reviewer_A</x:v>
      </x:c>
      <x:c r="E157" s="2" t="str">
        <x:v>Reviewer_A</x:v>
      </x:c>
      <x:c r="F157" s="2" t="str">
        <x:v>S30-L02</x:v>
      </x:c>
      <x:c r="G157" s="6" t="str">
        <x:v>SR</x:v>
      </x:c>
      <x:c r="H157" s="2" t="str">
        <x:v>Authors</x:v>
      </x:c>
      <x:c r="I157" s="6" t="str">
        <x:v>GDI在处理数值查询时提供可靠结果的能力有限。</x:v>
      </x:c>
      <x:c r="J157" s="2" t="str">
        <x:v>Empirical</x:v>
      </x:c>
      <x:c r="K157" s="2" t="str">
        <x:v>S31-T01</x:v>
      </x:c>
      <x:c r="L157" s="2" t="str">
        <x:v>S31-MU04</x:v>
      </x:c>
      <x:c r="M157" s="2" t="str">
        <x:v>Numerical queries during onboarding.</x:v>
      </x:c>
      <x:c r="N157" s="2" t="str">
        <x:v>NR</x:v>
      </x:c>
      <x:c r="O157" s="6" t="str">
        <x:v>NR</x:v>
      </x:c>
      <x:c r="P157" s="2" t="str">
        <x:v>NR</x:v>
      </x:c>
      <x:c r="Q157" s="2" t="str">
        <x:v>Unclear</x:v>
      </x:c>
      <x:c r="R157" s="2" t="str">
        <x:v>system_limitation</x:v>
      </x:c>
      <x:c r="S157" s="2" t="str">
        <x:v>numerical_queries</x:v>
      </x:c>
      <x:c r="T157" s="2" t="str">
        <x:v>Evaluation and validity</x:v>
      </x:c>
      <x:c r="U157" s="6" t="str">
        <x:v>p. 6; Section IV, Finding 2</x:v>
      </x:c>
      <x:c r="V157" s="6" t="str">
        <x:v>This suggests that GDI has limitations in providing reliable results when dealing with numerical queries.</x:v>
      </x:c>
      <x:c r="W157" s="6" t="str">
        <x:v>系统对涉及数字汇总的查询准确性不足，可能由于LLM在此类任务上的固有弱点。</x:v>
      </x:c>
      <x:c r="X157" s="2" t="str">
        <x:v>Accepted</x:v>
      </x:c>
      <x:c r="Y157" s="6" t="str">
        <x:v>NA</x:v>
      </x:c>
      <x:c r="Z157" s="2" t="n">
        <x:v>2</x:v>
      </x:c>
      <x:c r="AA157" s="2" t="n">
        <x:v>1</x:v>
      </x:c>
    </x:row>
    <x:row r="158" ht="76" customHeight="1">
      <x:c r="A158" s="2" t="str">
        <x:v>S30-LIMIT-R03</x:v>
      </x:c>
      <x:c r="B158" s="2" t="str">
        <x:v>S30</x:v>
      </x:c>
      <x:c r="C158" s="2" t="str">
        <x:v>merged_1218</x:v>
      </x:c>
      <x:c r="D158" s="2" t="str">
        <x:v>Reviewer_A</x:v>
      </x:c>
      <x:c r="E158" s="2" t="str">
        <x:v>Reviewer_A</x:v>
      </x:c>
      <x:c r="F158" s="2" t="str">
        <x:v>S30-L03</x:v>
      </x:c>
      <x:c r="G158" s="6" t="str">
        <x:v>SR</x:v>
      </x:c>
      <x:c r="H158" s="2" t="str">
        <x:v>Authors</x:v>
      </x:c>
      <x:c r="I158" s="6" t="str">
        <x:v>系统依赖语言上的细微差别，如大小写，导致结果可能不一致。</x:v>
      </x:c>
      <x:c r="J158" s="2" t="str">
        <x:v>Empirical</x:v>
      </x:c>
      <x:c r="K158" s="2" t="str">
        <x:v>S31-T01</x:v>
      </x:c>
      <x:c r="L158" s="2" t="str">
        <x:v>S31-MU04</x:v>
      </x:c>
      <x:c r="M158" s="2" t="str">
        <x:v>Capitalization in queries during onboarding.</x:v>
      </x:c>
      <x:c r="N158" s="2" t="str">
        <x:v>NR</x:v>
      </x:c>
      <x:c r="O158" s="6" t="str">
        <x:v>NR</x:v>
      </x:c>
      <x:c r="P158" s="2" t="str">
        <x:v>Incorporated example queries in prompts.</x:v>
      </x:c>
      <x:c r="Q158" s="2" t="str">
        <x:v>Implemented</x:v>
      </x:c>
      <x:c r="R158" s="2" t="str">
        <x:v>system_limitation</x:v>
      </x:c>
      <x:c r="S158" s="2" t="str">
        <x:v>linguistic_nuances</x:v>
      </x:c>
      <x:c r="T158" s="2" t="str">
        <x:v>Model reliability</x:v>
      </x:c>
      <x:c r="U158" s="6" t="str">
        <x:v>p. 6; Section IV, Finding 2</x:v>
      </x:c>
      <x:c r="V158" s="6" t="str">
        <x:v>P3 highlighted issues related to the system’s reliance on linguistic nuances, such as results changing with capitalization.</x:v>
      </x:c>
      <x:c r="W158" s="6" t="str">
        <x:v>大小写等语言细节影响查询生成，暴露了LLM对表面形式过于敏感的问题。</x:v>
      </x:c>
      <x:c r="X158" s="2" t="str">
        <x:v>Accepted</x:v>
      </x:c>
      <x:c r="Y158" s="6" t="str">
        <x:v>NA</x:v>
      </x:c>
      <x:c r="Z158" s="2" t="n">
        <x:v>2</x:v>
      </x:c>
      <x:c r="AA158" s="2" t="n">
        <x:v>3</x:v>
      </x:c>
    </x:row>
    <x:row r="159" ht="76" customHeight="1">
      <x:c r="A159" s="2" t="str">
        <x:v>S30-LIMIT-R04</x:v>
      </x:c>
      <x:c r="B159" s="2" t="str">
        <x:v>S30</x:v>
      </x:c>
      <x:c r="C159" s="2" t="str">
        <x:v>merged_1218</x:v>
      </x:c>
      <x:c r="D159" s="2" t="str">
        <x:v>Reviewer_A</x:v>
      </x:c>
      <x:c r="E159" s="2" t="str">
        <x:v>Reviewer_A</x:v>
      </x:c>
      <x:c r="F159" s="2" t="str">
        <x:v>S30-L04</x:v>
      </x:c>
      <x:c r="G159" s="6" t="str">
        <x:v>SR</x:v>
      </x:c>
      <x:c r="H159" s="2" t="str">
        <x:v>Authors</x:v>
      </x:c>
      <x:c r="I159" s="6" t="str">
        <x:v>由于GDI的新颖性，研究缺乏比较基准。</x:v>
      </x:c>
      <x:c r="J159" s="2" t="str">
        <x:v>Empirical</x:v>
      </x:c>
      <x:c r="K159" s="2" t="str">
        <x:v>Multiple</x:v>
      </x:c>
      <x:c r="L159" s="2" t="str">
        <x:v>NA</x:v>
      </x:c>
      <x:c r="M159" s="2" t="str">
        <x:v>Overall evaluation methodology.</x:v>
      </x:c>
      <x:c r="N159" s="2" t="str">
        <x:v>NR</x:v>
      </x:c>
      <x:c r="O159" s="6" t="str">
        <x:v>NR</x:v>
      </x:c>
      <x:c r="P159" s="2" t="str">
        <x:v>Participants used Azure DevOps to establish a baseline.</x:v>
      </x:c>
      <x:c r="Q159" s="2" t="str">
        <x:v>Implemented</x:v>
      </x:c>
      <x:c r="R159" s="2" t="str">
        <x:v>methodology_limitation</x:v>
      </x:c>
      <x:c r="S159" s="2" t="str">
        <x:v>no_baseline</x:v>
      </x:c>
      <x:c r="T159" s="2" t="str">
        <x:v>Evaluation and validity</x:v>
      </x:c>
      <x:c r="U159" s="6" t="str">
        <x:v>p. 10; Section VI.B, Conclusion validity</x:v>
      </x:c>
      <x:c r="V159" s="6" t="str">
        <x:v>Given the novelty of GDI, we lack a baseline.</x:v>
      </x:c>
      <x:c r="W159" s="6" t="str">
        <x:v>缺乏基线比较使得难以量化GDI相对于传统方法的改进程度。</x:v>
      </x:c>
      <x:c r="X159" s="2" t="str">
        <x:v>Accepted</x:v>
      </x:c>
      <x:c r="Y159" s="6" t="str">
        <x:v>NA</x:v>
      </x:c>
      <x:c r="Z159" s="2" t="n">
        <x:v>2</x:v>
      </x:c>
      <x:c r="AA159" s="2" t="n">
        <x:v>3</x:v>
      </x:c>
    </x:row>
    <x:row r="160" ht="76" customHeight="1">
      <x:c r="A160" s="2" t="str">
        <x:v>S30-LIMIT-R05</x:v>
      </x:c>
      <x:c r="B160" s="2" t="str">
        <x:v>S30</x:v>
      </x:c>
      <x:c r="C160" s="2" t="str">
        <x:v>merged_1218</x:v>
      </x:c>
      <x:c r="D160" s="2" t="str">
        <x:v>Reviewer_A</x:v>
      </x:c>
      <x:c r="E160" s="2" t="str">
        <x:v>Reviewer_A</x:v>
      </x:c>
      <x:c r="F160" s="2" t="str">
        <x:v>S30-L05</x:v>
      </x:c>
      <x:c r="G160" s="6" t="str">
        <x:v>SR</x:v>
      </x:c>
      <x:c r="H160" s="2" t="str">
        <x:v>Authors</x:v>
      </x:c>
      <x:c r="I160" s="6" t="str">
        <x:v>研究仅进行了以用户为中心的验证，未涉及更全面的评估。</x:v>
      </x:c>
      <x:c r="J160" s="2" t="str">
        <x:v>Empirical</x:v>
      </x:c>
      <x:c r="K160" s="2" t="str">
        <x:v>Multiple</x:v>
      </x:c>
      <x:c r="L160" s="2" t="str">
        <x:v>NA</x:v>
      </x:c>
      <x:c r="M160" s="2" t="str">
        <x:v>Validation methodology.</x:v>
      </x:c>
      <x:c r="N160" s="2" t="str">
        <x:v>NR</x:v>
      </x:c>
      <x:c r="O160" s="6" t="str">
        <x:v>NR</x:v>
      </x:c>
      <x:c r="P160" s="2" t="str">
        <x:v>Planned future work to extend validation.</x:v>
      </x:c>
      <x:c r="Q160" s="2" t="str">
        <x:v>Proposed</x:v>
      </x:c>
      <x:c r="R160" s="2" t="str">
        <x:v>methodology_limitation</x:v>
      </x:c>
      <x:c r="S160" s="2" t="str">
        <x:v>limited_validation</x:v>
      </x:c>
      <x:c r="T160" s="2" t="str">
        <x:v>Evaluation and validity</x:v>
      </x:c>
      <x:c r="U160" s="6" t="str">
        <x:v>p. 10; Section VI.B, External validity</x:v>
      </x:c>
      <x:c r="V160" s="6" t="str">
        <x:v>projects. Our study is limited because it only consists of a usercentered validation of GDI. However, this is an exploratory</x:v>
      </x:c>
      <x:c r="W160" s="6" t="str">
        <x:v>仅采用用户验证，缺乏自动化指标或大规模评估，结论的推广性受限。</x:v>
      </x:c>
      <x:c r="X160" s="2" t="str">
        <x:v>Accepted</x:v>
      </x:c>
      <x:c r="Y160" s="6" t="str">
        <x:v>NA</x:v>
      </x:c>
      <x:c r="Z160" s="2" t="n">
        <x:v>2</x:v>
      </x:c>
      <x:c r="AA160" s="2" t="n">
        <x:v>2</x:v>
      </x:c>
    </x:row>
    <x:row r="161" ht="76" customHeight="1">
      <x:c r="A161" s="2" t="str">
        <x:v>S30-LIMIT-R06</x:v>
      </x:c>
      <x:c r="B161" s="2" t="str">
        <x:v>S30</x:v>
      </x:c>
      <x:c r="C161" s="2" t="str">
        <x:v>merged_1218</x:v>
      </x:c>
      <x:c r="D161" s="2" t="str">
        <x:v>Reviewer_A</x:v>
      </x:c>
      <x:c r="E161" s="2" t="str">
        <x:v>Reviewer_A</x:v>
      </x:c>
      <x:c r="F161" s="2" t="str">
        <x:v>S30-L06</x:v>
      </x:c>
      <x:c r="G161" s="6" t="str">
        <x:v>SR</x:v>
      </x:c>
      <x:c r="H161" s="2" t="str">
        <x:v>Authors</x:v>
      </x:c>
      <x:c r="I161" s="6" t="str">
        <x:v>参与者数量少，限制了研究结果的普遍性。</x:v>
      </x:c>
      <x:c r="J161" s="2" t="str">
        <x:v>Empirical</x:v>
      </x:c>
      <x:c r="K161" s="2" t="str">
        <x:v>Multiple</x:v>
      </x:c>
      <x:c r="L161" s="2" t="str">
        <x:v>NA</x:v>
      </x:c>
      <x:c r="M161" s="2" t="str">
        <x:v>Participant sample size.</x:v>
      </x:c>
      <x:c r="N161" s="2" t="str">
        <x:v>NR</x:v>
      </x:c>
      <x:c r="O161" s="6" t="str">
        <x:v>NR</x:v>
      </x:c>
      <x:c r="P161" s="2" t="str">
        <x:v>Future work plans to increase participants.</x:v>
      </x:c>
      <x:c r="Q161" s="2" t="str">
        <x:v>Proposed</x:v>
      </x:c>
      <x:c r="R161" s="2" t="str">
        <x:v>methodology_limitation</x:v>
      </x:c>
      <x:c r="S161" s="2" t="str">
        <x:v>small_sample</x:v>
      </x:c>
      <x:c r="T161" s="2" t="str">
        <x:v>Data and evidence quality</x:v>
      </x:c>
      <x:c r="U161" s="6" t="str">
        <x:v>p. 10; Section VI.B, External validity</x:v>
      </x:c>
      <x:c r="V161" s="6" t="str">
        <x:v>We do not claim that our findings are generalizable due to the small number of participants.</x:v>
      </x:c>
      <x:c r="W161" s="6" t="str">
        <x:v>小样本量（共10人）虽符合真实团队规模，但使结论向更大群体推广时存在风险。</x:v>
      </x:c>
      <x:c r="X161" s="2" t="str">
        <x:v>Accepted</x:v>
      </x:c>
      <x:c r="Y161" s="6" t="str">
        <x:v>NA</x:v>
      </x:c>
      <x:c r="Z161" s="2" t="n">
        <x:v>2</x:v>
      </x:c>
      <x:c r="AA161" s="2" t="n">
        <x:v>2</x:v>
      </x:c>
    </x:row>
    <x:row r="162" ht="76" customHeight="1">
      <x:c r="A162" s="2" t="str">
        <x:v>S30-LIMIT-R07</x:v>
      </x:c>
      <x:c r="B162" s="2" t="str">
        <x:v>S30</x:v>
      </x:c>
      <x:c r="C162" s="2" t="str">
        <x:v>merged_1218</x:v>
      </x:c>
      <x:c r="D162" s="2" t="str">
        <x:v>Reviewer_A</x:v>
      </x:c>
      <x:c r="E162" s="2" t="str">
        <x:v>Reviewer_A</x:v>
      </x:c>
      <x:c r="F162" s="2" t="str">
        <x:v>S30-L07</x:v>
      </x:c>
      <x:c r="G162" s="6" t="str">
        <x:v>SR</x:v>
      </x:c>
      <x:c r="H162" s="2" t="str">
        <x:v>Authors</x:v>
      </x:c>
      <x:c r="I162" s="6" t="str">
        <x:v>数据集的代表性受限于ITSs、工作项、关系和质量的差异。</x:v>
      </x:c>
      <x:c r="J162" s="2" t="str">
        <x:v>Empirical</x:v>
      </x:c>
      <x:c r="K162" s="2" t="str">
        <x:v>Multiple</x:v>
      </x:c>
      <x:c r="L162" s="2" t="str">
        <x:v>NA</x:v>
      </x:c>
      <x:c r="M162" s="2" t="str">
        <x:v>Dataset representativeness.</x:v>
      </x:c>
      <x:c r="N162" s="2" t="str">
        <x:v>NR</x:v>
      </x:c>
      <x:c r="O162" s="6" t="str">
        <x:v>NR</x:v>
      </x:c>
      <x:c r="P162" s="2" t="str">
        <x:v>Used both open-source and proprietary datasets.</x:v>
      </x:c>
      <x:c r="Q162" s="2" t="str">
        <x:v>Implemented</x:v>
      </x:c>
      <x:c r="R162" s="2" t="str">
        <x:v>methodology_limitation</x:v>
      </x:c>
      <x:c r="S162" s="2" t="str">
        <x:v>dataset_representativeness</x:v>
      </x:c>
      <x:c r="T162" s="2" t="str">
        <x:v>Data and evidence quality</x:v>
      </x:c>
      <x:c r="U162" s="6" t="str">
        <x:v>p. 10; Section VI.B, External validity</x:v>
      </x:c>
      <x:c r="V162" s="6" t="str">
        <x:v>The representativeness of the data sets is limited by variations in issue-tracking systems, work items, relationships, and data quality.</x:v>
      </x:c>
      <x:c r="W162" s="6" t="str">
        <x:v>数据集特征差异可能使GDI在其它环境下的表现不同，研究者已通过使用两个数据集来缓解。</x:v>
      </x:c>
      <x:c r="X162" s="2" t="str">
        <x:v>Accepted</x:v>
      </x:c>
      <x:c r="Y162" s="6" t="str">
        <x:v>NA</x:v>
      </x:c>
      <x:c r="Z162" s="2" t="n">
        <x:v>2</x:v>
      </x:c>
      <x:c r="AA162" s="2" t="n">
        <x:v>3</x:v>
      </x:c>
    </x:row>
    <x:row r="163" ht="76" customHeight="1">
      <x:c r="A163" s="2" t="str">
        <x:v>S30-LIMIT-R08</x:v>
      </x:c>
      <x:c r="B163" s="2" t="str">
        <x:v>S30</x:v>
      </x:c>
      <x:c r="C163" s="2" t="str">
        <x:v>merged_1218</x:v>
      </x:c>
      <x:c r="D163" s="2" t="str">
        <x:v>Reviewer_A</x:v>
      </x:c>
      <x:c r="E163" s="2" t="str">
        <x:v>Reviewer_A</x:v>
      </x:c>
      <x:c r="F163" s="2" t="str">
        <x:v>S30-L08</x:v>
      </x:c>
      <x:c r="G163" s="6" t="str">
        <x:v>SR</x:v>
      </x:c>
      <x:c r="H163" s="2" t="str">
        <x:v>Authors</x:v>
      </x:c>
      <x:c r="I163" s="6" t="str">
        <x:v>专有知识图谱的构建可能因作者领域知识和技术专长引入偏差。</x:v>
      </x:c>
      <x:c r="J163" s="2" t="str">
        <x:v>Speculative</x:v>
      </x:c>
      <x:c r="K163" s="2" t="str">
        <x:v>S31-T02</x:v>
      </x:c>
      <x:c r="L163" s="2" t="str">
        <x:v>NA</x:v>
      </x:c>
      <x:c r="M163" s="2" t="str">
        <x:v>Knowledge graph construction for TLR dataset.</x:v>
      </x:c>
      <x:c r="N163" s="2" t="str">
        <x:v>NR</x:v>
      </x:c>
      <x:c r="O163" s="6" t="str">
        <x:v>NR</x:v>
      </x:c>
      <x:c r="P163" s="2" t="str">
        <x:v>Two authors and domain experts validated the graph.</x:v>
      </x:c>
      <x:c r="Q163" s="2" t="str">
        <x:v>Implemented</x:v>
      </x:c>
      <x:c r="R163" s="2" t="str">
        <x:v>methodology_limitation</x:v>
      </x:c>
      <x:c r="S163" s="2" t="str">
        <x:v>graph_construction_bias</x:v>
      </x:c>
      <x:c r="T163" s="2" t="str">
        <x:v>Data and evidence quality</x:v>
      </x:c>
      <x:c r="U163" s="6" t="str">
        <x:v>p. 10; Section VI.B, Internal validity</x:v>
      </x:c>
      <x:c r="V163" s="6" t="str">
        <x:v>The proprietary knowledge graph was created based on the authors’ domain knowledge and technical expertise, which could introduce bias.</x:v>
      </x:c>
      <x:c r="W163" s="6" t="str">
        <x:v>知识图谱创建过程中的人工决策可能影响后续推理的准确性。</x:v>
      </x:c>
      <x:c r="X163" s="2" t="str">
        <x:v>Accepted</x:v>
      </x:c>
      <x:c r="Y163" s="6" t="str">
        <x:v>NA</x:v>
      </x:c>
      <x:c r="Z163" s="2" t="n">
        <x:v>1</x:v>
      </x:c>
      <x:c r="AA163" s="2" t="n">
        <x:v>3</x:v>
      </x:c>
    </x:row>
    <x:row r="164" ht="76" customHeight="1">
      <x:c r="A164" s="2" t="str">
        <x:v>S30-LIMIT-R09</x:v>
      </x:c>
      <x:c r="B164" s="2" t="str">
        <x:v>S30</x:v>
      </x:c>
      <x:c r="C164" s="2" t="str">
        <x:v>merged_1218</x:v>
      </x:c>
      <x:c r="D164" s="2" t="str">
        <x:v>Reviewer_A</x:v>
      </x:c>
      <x:c r="E164" s="2" t="str">
        <x:v>Reviewer_A</x:v>
      </x:c>
      <x:c r="F164" s="2" t="str">
        <x:v>S30-L09</x:v>
      </x:c>
      <x:c r="G164" s="6" t="str">
        <x:v>SR</x:v>
      </x:c>
      <x:c r="H164" s="2" t="str">
        <x:v>Authors</x:v>
      </x:c>
      <x:c r="I164" s="6" t="str">
        <x:v>尚未评估GDI在更大规模数据集上的可扩展性和性能影响。</x:v>
      </x:c>
      <x:c r="J164" s="2" t="str">
        <x:v>Speculative</x:v>
      </x:c>
      <x:c r="K164" s="2" t="str">
        <x:v>Multiple</x:v>
      </x:c>
      <x:c r="L164" s="2" t="str">
        <x:v>NA</x:v>
      </x:c>
      <x:c r="M164" s="2" t="str">
        <x:v>Scalability.</x:v>
      </x:c>
      <x:c r="N164" s="2" t="str">
        <x:v>NR</x:v>
      </x:c>
      <x:c r="O164" s="6" t="str">
        <x:v>NR</x:v>
      </x:c>
      <x:c r="P164" s="2" t="str">
        <x:v>Future research on larger datasets needed.</x:v>
      </x:c>
      <x:c r="Q164" s="2" t="str">
        <x:v>Proposed</x:v>
      </x:c>
      <x:c r="R164" s="2" t="str">
        <x:v>methodology_limitation</x:v>
      </x:c>
      <x:c r="S164" s="2" t="str">
        <x:v>scalability_not_assessed</x:v>
      </x:c>
      <x:c r="T164" s="2" t="str">
        <x:v>Data and evidence quality</x:v>
      </x:c>
      <x:c r="U164" s="6" t="str">
        <x:v>p. 10; Section VI.B, External validity</x:v>
      </x:c>
      <x:c r="V164" s="6" t="str">
        <x:v>further research applying GDI to data sets with a higher number of work items is necessary to assess its scalability and impact on performance and generalize our findings.</x:v>
      </x:c>
      <x:c r="W164" s="6" t="str">
        <x:v>当前数据集较小（33节点 vs 830节点），扩展到工业规模时的表现未知。</x:v>
      </x:c>
      <x:c r="X164" s="2" t="str">
        <x:v>Accepted</x:v>
      </x:c>
      <x:c r="Y164" s="6" t="str">
        <x:v>NA</x:v>
      </x:c>
      <x:c r="Z164" s="2" t="n">
        <x:v>1</x:v>
      </x:c>
      <x:c r="AA164" s="2" t="n">
        <x:v>2</x:v>
      </x:c>
    </x:row>
    <x:row r="165" ht="76" customHeight="1">
      <x:c r="A165" s="2" t="str">
        <x:v>S31-LIMIT-R01</x:v>
      </x:c>
      <x:c r="B165" s="2" t="str">
        <x:v>S31</x:v>
      </x:c>
      <x:c r="C165" s="2" t="str">
        <x:v>merged_1219</x:v>
      </x:c>
      <x:c r="D165" s="2" t="str">
        <x:v>Reviewer_A</x:v>
      </x:c>
      <x:c r="E165" s="2" t="str">
        <x:v>Reviewer_A</x:v>
      </x:c>
      <x:c r="F165" s="2" t="str">
        <x:v>S31-L01</x:v>
      </x:c>
      <x:c r="G165" s="6" t="str">
        <x:v>SR</x:v>
      </x:c>
      <x:c r="H165" s="2" t="str">
        <x:v>Authors</x:v>
      </x:c>
      <x:c r="I165" s="6" t="str">
        <x:v>采用前后测相同测验可能导致测试效应</x:v>
      </x:c>
      <x:c r="J165" s="2" t="str">
        <x:v>Speculative</x:v>
      </x:c>
      <x:c r="K165" s="2" t="str">
        <x:v>S32-T01</x:v>
      </x:c>
      <x:c r="L165" s="2" t="str">
        <x:v>Multiple</x:v>
      </x:c>
      <x:c r="M165" s="2" t="str">
        <x:v>实验设计中使用前后测相同测验</x:v>
      </x:c>
      <x:c r="N165" s="2" t="str">
        <x:v>可能高估学习增益</x:v>
      </x:c>
      <x:c r="O165" s="6" t="str">
        <x:v>NR</x:v>
      </x:c>
      <x:c r="P165" s="2" t="str">
        <x:v>使用独立代理生成测验，所有参与者遵循相同流程</x:v>
      </x:c>
      <x:c r="Q165" s="2" t="str">
        <x:v>Implemented</x:v>
      </x:c>
      <x:c r="R165" s="2" t="str">
        <x:v>testing-effect</x:v>
      </x:c>
      <x:c r="S165" s="2" t="str">
        <x:v>threat-to-validity</x:v>
      </x:c>
      <x:c r="T165" s="2" t="str">
        <x:v>Evaluation and validity</x:v>
      </x:c>
      <x:c r="U165" s="6" t="str">
        <x:v>p. 8; Section V-E Threats to Validity</x:v>
      </x:c>
      <x:c r="V165" s="6" t="str">
        <x:v>Internal validity. Using the same quiz pre- and post- intervention risks testing effects. To mitigate, the quiz was written by an independent agent and all participants followed an identical four-step protocol.</x:v>
      </x:c>
      <x:c r="W165" s="6" t="str">
        <x:v>作者承认内部效度威胁：前后测相同可能导致测试效应，但通过独立代理生成测验和统一流程来缓解。</x:v>
      </x:c>
      <x:c r="X165" s="2" t="str">
        <x:v>Accepted</x:v>
      </x:c>
      <x:c r="Y165" s="6" t="str">
        <x:v>NA</x:v>
      </x:c>
      <x:c r="Z165" s="2" t="n">
        <x:v>2</x:v>
      </x:c>
      <x:c r="AA165" s="2" t="n">
        <x:v>3</x:v>
      </x:c>
    </x:row>
    <x:row r="166" ht="76" customHeight="1">
      <x:c r="A166" s="2" t="str">
        <x:v>S31-LIMIT-R02</x:v>
      </x:c>
      <x:c r="B166" s="2" t="str">
        <x:v>S31</x:v>
      </x:c>
      <x:c r="C166" s="2" t="str">
        <x:v>merged_1219</x:v>
      </x:c>
      <x:c r="D166" s="2" t="str">
        <x:v>Reviewer_A</x:v>
      </x:c>
      <x:c r="E166" s="2" t="str">
        <x:v>Reviewer_A</x:v>
      </x:c>
      <x:c r="F166" s="2" t="str">
        <x:v>S31-L02</x:v>
      </x:c>
      <x:c r="G166" s="6" t="str">
        <x:v>SR</x:v>
      </x:c>
      <x:c r="H166" s="2" t="str">
        <x:v>Authors</x:v>
      </x:c>
      <x:c r="I166" s="6" t="str">
        <x:v>样本仅限于25名汽车领域开发者，可能不具普遍性</x:v>
      </x:c>
      <x:c r="J166" s="2" t="str">
        <x:v>Speculative</x:v>
      </x:c>
      <x:c r="K166" s="2" t="str">
        <x:v>S32-T01</x:v>
      </x:c>
      <x:c r="L166" s="2" t="str">
        <x:v>Multiple</x:v>
      </x:c>
      <x:c r="M166" s="2" t="str">
        <x:v>参与者来自单一意大利咨询公司，均为汽车领域</x:v>
      </x:c>
      <x:c r="N166" s="2" t="str">
        <x:v>结果可能无法推广至其他领域或资深工程师</x:v>
      </x:c>
      <x:c r="O166" s="6" t="str">
        <x:v>NR</x:v>
      </x:c>
      <x:c r="P166" s="2" t="str">
        <x:v>同时纳入网络安全专家和通才开发者，提供初步多样性检验</x:v>
      </x:c>
      <x:c r="Q166" s="2" t="str">
        <x:v>Implemented</x:v>
      </x:c>
      <x:c r="R166" s="2" t="str">
        <x:v>sample-generalizability</x:v>
      </x:c>
      <x:c r="S166" s="2" t="str">
        <x:v>threat-to-validity</x:v>
      </x:c>
      <x:c r="T166" s="2" t="str">
        <x:v>Generalizability and scope</x:v>
      </x:c>
      <x:c r="U166" s="6" t="str">
        <x:v>p. 8; Section V-E Threats to Validity</x:v>
      </x:c>
      <x:c r="V166" s="6" t="str">
        <x:v>(25 automotive developers) may not generalise to other domains or senior engineers. Nevertheless, including both cybersecurity specialists and generalists provides an initial diversity check. Construct validity. Multiple-choice items allow</x:v>
      </x:c>
      <x:c r="W166" s="6" t="str">
        <x:v>外部效度威胁：样本量小且领域特定，可能不适用于其他行业或资深工程师；已通过纳入两类开发者初步检验多样性。</x:v>
      </x:c>
      <x:c r="X166" s="2" t="str">
        <x:v>Accepted</x:v>
      </x:c>
      <x:c r="Y166" s="6" t="str">
        <x:v>NA</x:v>
      </x:c>
      <x:c r="Z166" s="2" t="n">
        <x:v>2</x:v>
      </x:c>
      <x:c r="AA166" s="2" t="n">
        <x:v>3</x:v>
      </x:c>
    </x:row>
    <x:row r="167" ht="76" customHeight="1">
      <x:c r="A167" s="2" t="str">
        <x:v>S31-LIMIT-R03</x:v>
      </x:c>
      <x:c r="B167" s="2" t="str">
        <x:v>S31</x:v>
      </x:c>
      <x:c r="C167" s="2" t="str">
        <x:v>merged_1219</x:v>
      </x:c>
      <x:c r="D167" s="2" t="str">
        <x:v>Reviewer_A</x:v>
      </x:c>
      <x:c r="E167" s="2" t="str">
        <x:v>Reviewer_A</x:v>
      </x:c>
      <x:c r="F167" s="2" t="str">
        <x:v>S31-L03</x:v>
      </x:c>
      <x:c r="G167" s="6" t="str">
        <x:v>SR</x:v>
      </x:c>
      <x:c r="H167" s="2" t="str">
        <x:v>Authors</x:v>
      </x:c>
      <x:c r="I167" s="6" t="str">
        <x:v>选择题形式允许猜测，可能影响构念效度</x:v>
      </x:c>
      <x:c r="J167" s="2" t="str">
        <x:v>Speculative</x:v>
      </x:c>
      <x:c r="K167" s="2" t="str">
        <x:v>S32-T01</x:v>
      </x:c>
      <x:c r="L167" s="2" t="str">
        <x:v>Multiple</x:v>
      </x:c>
      <x:c r="M167" s="2" t="str">
        <x:v>学习测量采用选择题测验</x:v>
      </x:c>
      <x:c r="N167" s="2" t="str">
        <x:v>猜测可能引入偏差</x:v>
      </x:c>
      <x:c r="O167" s="6" t="str">
        <x:v>NR</x:v>
      </x:c>
      <x:c r="P167" s="2" t="str">
        <x:v>保持前后测验一致性，并利用与主观KPI的强相关性来缓解</x:v>
      </x:c>
      <x:c r="Q167" s="2" t="str">
        <x:v>Implemented</x:v>
      </x:c>
      <x:c r="R167" s="2" t="str">
        <x:v>guessing-bias</x:v>
      </x:c>
      <x:c r="S167" s="2" t="str">
        <x:v>threat-to-validity</x:v>
      </x:c>
      <x:c r="T167" s="2" t="str">
        <x:v>Evaluation and validity</x:v>
      </x:c>
      <x:c r="U167" s="6" t="str">
        <x:v>p. 8; Section V-E Threats to Validity</x:v>
      </x:c>
      <x:c r="V167" s="6" t="str">
        <x:v>Construct validity. Multiple-choice items allow guessing. Consistency across pre- / post-forms and strong alignment with subjective KPIs reduce, but do not eliminate, this bias.</x:v>
      </x:c>
      <x:c r="W167" s="6" t="str">
        <x:v>构念效度威胁：选择题猜测偏差；通过前后测一致性和与主观KPI的高相关性部分缓解。</x:v>
      </x:c>
      <x:c r="X167" s="2" t="str">
        <x:v>Accepted</x:v>
      </x:c>
      <x:c r="Y167" s="6" t="str">
        <x:v>NA</x:v>
      </x:c>
      <x:c r="Z167" s="2" t="n">
        <x:v>2</x:v>
      </x:c>
      <x:c r="AA167" s="2" t="n">
        <x:v>3</x:v>
      </x:c>
    </x:row>
    <x:row r="168" ht="76" customHeight="1">
      <x:c r="A168" s="2" t="str">
        <x:v>S31-LIMIT-R04</x:v>
      </x:c>
      <x:c r="B168" s="2" t="str">
        <x:v>S31</x:v>
      </x:c>
      <x:c r="C168" s="2" t="str">
        <x:v>merged_1219</x:v>
      </x:c>
      <x:c r="D168" s="2" t="str">
        <x:v>Reviewer_A</x:v>
      </x:c>
      <x:c r="E168" s="2" t="str">
        <x:v>Reviewer_A</x:v>
      </x:c>
      <x:c r="F168" s="2" t="str">
        <x:v>S31-L04</x:v>
      </x:c>
      <x:c r="G168" s="6" t="str">
        <x:v>SR</x:v>
      </x:c>
      <x:c r="H168" s="2" t="str">
        <x:v>Authors</x:v>
      </x:c>
      <x:c r="I168" s="6" t="str">
        <x:v>样本量适中，统计结论效度受限</x:v>
      </x:c>
      <x:c r="J168" s="2" t="str">
        <x:v>Speculative</x:v>
      </x:c>
      <x:c r="K168" s="2" t="str">
        <x:v>S32-T01</x:v>
      </x:c>
      <x:c r="L168" s="2" t="str">
        <x:v>Multiple</x:v>
      </x:c>
      <x:c r="M168" s="2" t="str">
        <x:v>只有25名参与者，统计检验力不足</x:v>
      </x:c>
      <x:c r="N168" s="2" t="str">
        <x:v>可能增加I类或II类错误风险</x:v>
      </x:c>
      <x:c r="O168" s="6" t="str">
        <x:v>NR</x:v>
      </x:c>
      <x:c r="P168" s="2" t="str">
        <x:v>使用非参数检验并报告效应量；但需更大样本复现</x:v>
      </x:c>
      <x:c r="Q168" s="2" t="str">
        <x:v>Implemented</x:v>
      </x:c>
      <x:c r="R168" s="2" t="str">
        <x:v>low-power</x:v>
      </x:c>
      <x:c r="S168" s="2" t="str">
        <x:v>threat-to-validity</x:v>
      </x:c>
      <x:c r="T168" s="2" t="str">
        <x:v>Scalability and deployment</x:v>
      </x:c>
      <x:c r="U168" s="6" t="str">
        <x:v>p. 8; Section V-E Threats to Validity</x:v>
      </x:c>
      <x:c r="V168" s="6" t="str">
        <x:v>Conclusion validity. The modest sample limits power. Non-parametric tests and reporting of effect sizes help guard against Type I/II errors, yet replication with larger cohorts remains necessary.</x:v>
      </x:c>
      <x:c r="W168" s="6" t="str">
        <x:v>结论效度威胁：样本量小可能增加统计错误风险；已采用非参数检验和效应量报告，但需更大规模复现。</x:v>
      </x:c>
      <x:c r="X168" s="2" t="str">
        <x:v>Accepted</x:v>
      </x:c>
      <x:c r="Y168" s="6" t="str">
        <x:v>NA</x:v>
      </x:c>
      <x:c r="Z168" s="2" t="n">
        <x:v>2</x:v>
      </x:c>
      <x:c r="AA168" s="2" t="n">
        <x:v>3</x:v>
      </x:c>
    </x:row>
    <x:row r="169" ht="76" customHeight="1">
      <x:c r="A169" s="2" t="str">
        <x:v>S31-LIMIT-R05</x:v>
      </x:c>
      <x:c r="B169" s="2" t="str">
        <x:v>S31</x:v>
      </x:c>
      <x:c r="C169" s="2" t="str">
        <x:v>merged_1219</x:v>
      </x:c>
      <x:c r="D169" s="2" t="str">
        <x:v>Reviewer_A</x:v>
      </x:c>
      <x:c r="E169" s="2" t="str">
        <x:v>Reviewer_A</x:v>
      </x:c>
      <x:c r="F169" s="2" t="str">
        <x:v>S31-L05</x:v>
      </x:c>
      <x:c r="G169" s="6" t="str">
        <x:v>SR</x:v>
      </x:c>
      <x:c r="H169" s="2" t="str">
        <x:v>Authors</x:v>
      </x:c>
      <x:c r="I169" s="6" t="str">
        <x:v>研究尚未解决LLM幻觉问题，在实际安全关键部署中存在风险</x:v>
      </x:c>
      <x:c r="J169" s="2" t="str">
        <x:v>Speculative</x:v>
      </x:c>
      <x:c r="K169" s="2" t="str">
        <x:v>S32-T01</x:v>
      </x:c>
      <x:c r="L169" s="2" t="str">
        <x:v>Multiple</x:v>
      </x:c>
      <x:c r="M169" s="2" t="str">
        <x:v>在安全关键环境中实际部署生成式文档</x:v>
      </x:c>
      <x:c r="N169" s="2" t="str">
        <x:v>可能产生事实性错误内容</x:v>
      </x:c>
      <x:c r="O169" s="6" t="str">
        <x:v>NR</x:v>
      </x:c>
      <x:c r="P169" s="2" t="str">
        <x:v>NR</x:v>
      </x:c>
      <x:c r="Q169" s="2" t="str">
        <x:v>Not proposed</x:v>
      </x:c>
      <x:c r="R169" s="2" t="str">
        <x:v>hallucination-risk</x:v>
      </x:c>
      <x:c r="S169" s="2" t="str">
        <x:v>model-limitation</x:v>
      </x:c>
      <x:c r="T169" s="2" t="str">
        <x:v>Model reliability</x:v>
      </x:c>
      <x:c r="U169" s="6" t="str">
        <x:v>p. 8; Section VI Conclusion</x:v>
      </x:c>
      <x:c r="V169" s="6" t="str">
        <x:v>However, the research has to be extended to safeguard against common issues such as hallucinations, which has to be considered when evaluating their practical deployment in safety-critical contexts.</x:v>
      </x:c>
      <x:c r="W169" s="6" t="str">
        <x:v>作者明确指出当前研究未解决幻觉问题，限制了在安全关键环境中的实际部署，未来需扩展研究以应对。</x:v>
      </x:c>
      <x:c r="X169" s="2" t="str">
        <x:v>Accepted</x:v>
      </x:c>
      <x:c r="Y169" s="6" t="str">
        <x:v>NA</x:v>
      </x:c>
      <x:c r="Z169" s="2" t="n">
        <x:v>2</x:v>
      </x:c>
      <x:c r="AA169" s="2" t="n">
        <x:v>1</x:v>
      </x:c>
    </x:row>
    <x:row r="170" ht="76" customHeight="1">
      <x:c r="A170" s="2" t="str">
        <x:v>S32-LIMIT-R01</x:v>
      </x:c>
      <x:c r="B170" s="2" t="str">
        <x:v>S32</x:v>
      </x:c>
      <x:c r="C170" s="2" t="str">
        <x:v>merged_1220</x:v>
      </x:c>
      <x:c r="D170" s="2" t="str">
        <x:v>Reviewer_A</x:v>
      </x:c>
      <x:c r="E170" s="2" t="str">
        <x:v>Reviewer_A</x:v>
      </x:c>
      <x:c r="F170" s="2" t="str">
        <x:v>S32-L01</x:v>
      </x:c>
      <x:c r="G170" s="6" t="str">
        <x:v>SR</x:v>
      </x:c>
      <x:c r="H170" s="2" t="str">
        <x:v>Authors</x:v>
      </x:c>
      <x:c r="I170" s="6" t="str">
        <x:v>当前版本的需求元模型专门为信号驱动的嵌入式系统设计，在数据流或服务导向交互为主的系统中适用性有限。</x:v>
      </x:c>
      <x:c r="J170" s="2" t="str">
        <x:v>Speculative</x:v>
      </x:c>
      <x:c r="K170" s="2" t="str">
        <x:v>S33-T01</x:v>
      </x:c>
      <x:c r="L170" s="2" t="str">
        <x:v>NR</x:v>
      </x:c>
      <x:c r="M170" s="2" t="str">
        <x:v>Automotive embedded systems; may not apply to non-signal-driven systems.</x:v>
      </x:c>
      <x:c r="N170" s="2" t="str">
        <x:v>Limits generalizability of the method.</x:v>
      </x:c>
      <x:c r="O170" s="6" t="str">
        <x:v>NR</x:v>
      </x:c>
      <x:c r="P170" s="2" t="str">
        <x:v>No</x:v>
      </x:c>
      <x:c r="Q170" s="2" t="str">
        <x:v>Not proposed</x:v>
      </x:c>
      <x:c r="R170" s="2" t="str">
        <x:v>domain_specificity</x:v>
      </x:c>
      <x:c r="S170" s="2" t="str">
        <x:v>generalizability</x:v>
      </x:c>
      <x:c r="T170" s="2" t="str">
        <x:v>Generalizability and scope</x:v>
      </x:c>
      <x:c r="U170" s="6" t="str">
        <x:v>p. 7; IV. D. Discussion</x:v>
      </x:c>
      <x:c r="V170" s="6" t="str">
        <x:v>the current version of the requirement metamodel is specifically designed for signal-driven embedded systems</x:v>
      </x:c>
      <x:c r="W170" s="6" t="str">
        <x:v>该元模型针对信号驱动系统设计，难以扩展到其他类型的系统。</x:v>
      </x:c>
      <x:c r="X170" s="2" t="str">
        <x:v>Accepted</x:v>
      </x:c>
      <x:c r="Y170" s="6" t="str">
        <x:v>NA</x:v>
      </x:c>
      <x:c r="Z170" s="2" t="n">
        <x:v>2</x:v>
      </x:c>
      <x:c r="AA170" s="2" t="n">
        <x:v>1</x:v>
      </x:c>
    </x:row>
    <x:row r="171" ht="76" customHeight="1">
      <x:c r="A171" s="2" t="str">
        <x:v>S32-LIMIT-R02</x:v>
      </x:c>
      <x:c r="B171" s="2" t="str">
        <x:v>S32</x:v>
      </x:c>
      <x:c r="C171" s="2" t="str">
        <x:v>merged_1220</x:v>
      </x:c>
      <x:c r="D171" s="2" t="str">
        <x:v>Reviewer_A</x:v>
      </x:c>
      <x:c r="E171" s="2" t="str">
        <x:v>Reviewer_A</x:v>
      </x:c>
      <x:c r="F171" s="2" t="str">
        <x:v>S32-L02</x:v>
      </x:c>
      <x:c r="G171" s="6" t="str">
        <x:v>SR</x:v>
      </x:c>
      <x:c r="H171" s="2" t="str">
        <x:v>Authors</x:v>
      </x:c>
      <x:c r="I171" s="6" t="str">
        <x:v>术语字典依赖领域专家手动策划和验证，限制了可扩展性和自动化潜力。</x:v>
      </x:c>
      <x:c r="J171" s="2" t="str">
        <x:v>Speculative</x:v>
      </x:c>
      <x:c r="K171" s="2" t="str">
        <x:v>S33-T01</x:v>
      </x:c>
      <x:c r="L171" s="2" t="str">
        <x:v>NR</x:v>
      </x:c>
      <x:c r="M171" s="2" t="str">
        <x:v>Terminology dictionary maintenance.</x:v>
      </x:c>
      <x:c r="N171" s="2" t="str">
        <x:v>Scalability and automation are limited.</x:v>
      </x:c>
      <x:c r="O171" s="6" t="str">
        <x:v>NR</x:v>
      </x:c>
      <x:c r="P171" s="2" t="str">
        <x:v>No</x:v>
      </x:c>
      <x:c r="Q171" s="2" t="str">
        <x:v>Not proposed</x:v>
      </x:c>
      <x:c r="R171" s="2" t="str">
        <x:v>manual_curation_dependency</x:v>
      </x:c>
      <x:c r="S171" s="2" t="str">
        <x:v>scalability</x:v>
      </x:c>
      <x:c r="T171" s="2" t="str">
        <x:v>Context and prompt dependence</x:v>
      </x:c>
      <x:c r="U171" s="6" t="str">
        <x:v>p. 7; IV. D. Discussion</x:v>
      </x:c>
      <x:c r="V171" s="6" t="str">
        <x:v>although the terminology dictionary significantly helps in resolving linguistic inconsistencies across requirement layers, it currently relies on manual curation and validation by domain experts</x:v>
      </x:c>
      <x:c r="W171" s="6" t="str">
        <x:v>术语字典的构建依赖人工，难以扩展。</x:v>
      </x:c>
      <x:c r="X171" s="2" t="str">
        <x:v>Accepted</x:v>
      </x:c>
      <x:c r="Y171" s="6" t="str">
        <x:v>NA</x:v>
      </x:c>
      <x:c r="Z171" s="2" t="n">
        <x:v>2</x:v>
      </x:c>
      <x:c r="AA171" s="2" t="n">
        <x:v>1</x:v>
      </x:c>
    </x:row>
    <x:row r="172" ht="76" customHeight="1">
      <x:c r="A172" s="2" t="str">
        <x:v>S32-LIMIT-R03</x:v>
      </x:c>
      <x:c r="B172" s="2" t="str">
        <x:v>S32</x:v>
      </x:c>
      <x:c r="C172" s="2" t="str">
        <x:v>merged_1220</x:v>
      </x:c>
      <x:c r="D172" s="2" t="str">
        <x:v>Reviewer_A</x:v>
      </x:c>
      <x:c r="E172" s="2" t="str">
        <x:v>Reviewer_A</x:v>
      </x:c>
      <x:c r="F172" s="2" t="str">
        <x:v>S32-L03</x:v>
      </x:c>
      <x:c r="G172" s="6" t="str">
        <x:v>SR</x:v>
      </x:c>
      <x:c r="H172" s="2" t="str">
        <x:v>Authors</x:v>
      </x:c>
      <x:c r="I172" s="6" t="str">
        <x:v>案例研究仅基于单个工业场景的有限数据集进行评估，方法的鲁棒性和通用性未得到充分验证。</x:v>
      </x:c>
      <x:c r="J172" s="2" t="str">
        <x:v>Empirical</x:v>
      </x:c>
      <x:c r="K172" s="2" t="str">
        <x:v>S33-T01</x:v>
      </x:c>
      <x:c r="L172" s="2" t="str">
        <x:v>NR</x:v>
      </x:c>
      <x:c r="M172" s="2" t="str">
        <x:v>Evaluation dataset from a single industrial scenario.</x:v>
      </x:c>
      <x:c r="N172" s="2" t="str">
        <x:v>Robustness and generalizability not fully assessed.</x:v>
      </x:c>
      <x:c r="O172" s="6" t="str">
        <x:v>NR</x:v>
      </x:c>
      <x:c r="P172" s="2" t="str">
        <x:v>No</x:v>
      </x:c>
      <x:c r="Q172" s="2" t="str">
        <x:v>Not proposed</x:v>
      </x:c>
      <x:c r="R172" s="2" t="str">
        <x:v>evaluation_scale</x:v>
      </x:c>
      <x:c r="S172" s="2" t="str">
        <x:v>generalizability</x:v>
      </x:c>
      <x:c r="T172" s="2" t="str">
        <x:v>Scalability and deployment</x:v>
      </x:c>
      <x:c r="U172" s="6" t="str">
        <x:v>p. 7; IV. D. Discussion</x:v>
      </x:c>
      <x:c r="V172" s="6" t="str">
        <x:v>although the case study demonstrates promising results, the evaluation was conducted on a relatively limited dataset from a single industrial scenario.</x:v>
      </x:c>
      <x:c r="W172" s="6" t="str">
        <x:v>评估数据集规模小、单一场景，结论的普遍性存疑。</x:v>
      </x:c>
      <x:c r="X172" s="2" t="str">
        <x:v>Accepted</x:v>
      </x:c>
      <x:c r="Y172" s="6" t="str">
        <x:v>NA</x:v>
      </x:c>
      <x:c r="Z172" s="2" t="n">
        <x:v>3</x:v>
      </x:c>
      <x:c r="AA172" s="2" t="n">
        <x:v>1</x:v>
      </x:c>
    </x:row>
    <x:row r="173" ht="76" customHeight="1">
      <x:c r="A173" s="2" t="str">
        <x:v>S33-LIMIT-R01</x:v>
      </x:c>
      <x:c r="B173" s="2" t="str">
        <x:v>S33</x:v>
      </x:c>
      <x:c r="C173" s="2" t="str">
        <x:v>merged_1222</x:v>
      </x:c>
      <x:c r="D173" s="2" t="str">
        <x:v>Reviewer_A</x:v>
      </x:c>
      <x:c r="E173" s="2" t="str">
        <x:v>Reviewer_A</x:v>
      </x:c>
      <x:c r="F173" s="2" t="str">
        <x:v>S33-L01</x:v>
      </x:c>
      <x:c r="G173" s="6" t="str">
        <x:v>SR</x:v>
      </x:c>
      <x:c r="H173" s="2" t="str">
        <x:v>Authors</x:v>
      </x:c>
      <x:c r="I173" s="6" t="str">
        <x:v>我们决定让源代码由其他LLM生成，然后再由LLM检查，这不能直接用于实际实施。</x:v>
      </x:c>
      <x:c r="J173" s="2" t="str">
        <x:v>Speculative</x:v>
      </x:c>
      <x:c r="K173" s="2" t="str">
        <x:v>S34-T01</x:v>
      </x:c>
      <x:c r="L173" s="2" t="str">
        <x:v>NR</x:v>
      </x:c>
      <x:c r="M173" s="2" t="str">
        <x:v>评估数据生成方式</x:v>
      </x:c>
      <x:c r="N173" s="2" t="str">
        <x:v>无法直接应用于实际场景</x:v>
      </x:c>
      <x:c r="O173" s="6" t="str">
        <x:v>source-reported: does not allow for direct practical implementation</x:v>
      </x:c>
      <x:c r="P173" s="2" t="str">
        <x:v>we always checked the source code for functionality and correct behavior</x:v>
      </x:c>
      <x:c r="Q173" s="2" t="str">
        <x:v>Implemented</x:v>
      </x:c>
      <x:c r="R173" s="2" t="str">
        <x:v>construct_validity</x:v>
      </x:c>
      <x:c r="S173" s="2" t="str">
        <x:v>Validity Threat</x:v>
      </x:c>
      <x:c r="T173" s="2" t="str">
        <x:v>Evaluation and validity</x:v>
      </x:c>
      <x:c r="U173" s="6" t="str">
        <x:v>p. 8; section V.C (Construct Validity)</x:v>
      </x:c>
      <x:c r="V173" s="6" t="str">
        <x:v>A major aspect of design validity is that we decided to have the source code generated by other LLMs and then checked again by an LLM. Of course, this does not allow for direct practical implementation</x:v>
      </x:c>
      <x:c r="W173" s="6" t="str">
        <x:v>评估中使用的源代码由其他LLM生成，可能未反映真实代码特征，威胁研究发现的可推广性。</x:v>
      </x:c>
      <x:c r="X173" s="2" t="str">
        <x:v>Accepted</x:v>
      </x:c>
      <x:c r="Y173" s="6" t="str">
        <x:v>NA</x:v>
      </x:c>
      <x:c r="Z173" s="2" t="n">
        <x:v>4</x:v>
      </x:c>
      <x:c r="AA173" s="2" t="n">
        <x:v>3</x:v>
      </x:c>
    </x:row>
    <x:row r="174" ht="76" customHeight="1">
      <x:c r="A174" s="2" t="str">
        <x:v>S33-LIMIT-R02</x:v>
      </x:c>
      <x:c r="B174" s="2" t="str">
        <x:v>S33</x:v>
      </x:c>
      <x:c r="C174" s="2" t="str">
        <x:v>merged_1222</x:v>
      </x:c>
      <x:c r="D174" s="2" t="str">
        <x:v>Reviewer_A</x:v>
      </x:c>
      <x:c r="E174" s="2" t="str">
        <x:v>Reviewer_A</x:v>
      </x:c>
      <x:c r="F174" s="2" t="str">
        <x:v>S33-L02</x:v>
      </x:c>
      <x:c r="G174" s="6" t="str">
        <x:v>SR</x:v>
      </x:c>
      <x:c r="H174" s="2" t="str">
        <x:v>Authors</x:v>
      </x:c>
      <x:c r="I174" s="6" t="str">
        <x:v>召回率显著低于精确率，低召回率会导致遗漏大量追踪链接。</x:v>
      </x:c>
      <x:c r="J174" s="2" t="str">
        <x:v>Empirical</x:v>
      </x:c>
      <x:c r="K174" s="2" t="str">
        <x:v>S34-T01</x:v>
      </x:c>
      <x:c r="L174" s="2" t="str">
        <x:v>Multiple</x:v>
      </x:c>
      <x:c r="M174" s="2" t="str">
        <x:v>追踪链接恢复性能</x:v>
      </x:c>
      <x:c r="N174" s="2" t="str">
        <x:v>低召回率需额外人工恢复缺失链接，降低整体可靠性</x:v>
      </x:c>
      <x:c r="O174" s="6" t="str">
        <x:v>source-reported: a low recall value is also negative, as a lot of time is then required to recover the missing trace links</x:v>
      </x:c>
      <x:c r="P174" s="2" t="str">
        <x:v>No</x:v>
      </x:c>
      <x:c r="Q174" s="2" t="str">
        <x:v>Not proposed</x:v>
      </x:c>
      <x:c r="R174" s="2" t="str">
        <x:v>low_recall</x:v>
      </x:c>
      <x:c r="S174" s="2" t="str">
        <x:v>Performance Limitation</x:v>
      </x:c>
      <x:c r="T174" s="2" t="str">
        <x:v>Model reliability</x:v>
      </x:c>
      <x:c r="U174" s="6" t="str">
        <x:v>p. 8; section V.A</x:v>
      </x:c>
      <x:c r="V174" s="6" t="str">
        <x:v>also show that the precision is high, depending on the scenario, but the recall is significantly lower. High precision plays a</x:v>
      </x:c>
      <x:c r="W174" s="6" t="str">
        <x:v>LLM方法召回率低，可能遗漏重要安全需求追踪，降低实用性。</x:v>
      </x:c>
      <x:c r="X174" s="2" t="str">
        <x:v>Accepted</x:v>
      </x:c>
      <x:c r="Y174" s="6" t="str">
        <x:v>NA</x:v>
      </x:c>
      <x:c r="Z174" s="2" t="n">
        <x:v>3</x:v>
      </x:c>
      <x:c r="AA174" s="2" t="n">
        <x:v>1</x:v>
      </x:c>
    </x:row>
    <x:row r="175" ht="76" customHeight="1">
      <x:c r="A175" s="2" t="str">
        <x:v>S33-LIMIT-R03</x:v>
      </x:c>
      <x:c r="B175" s="2" t="str">
        <x:v>S33</x:v>
      </x:c>
      <x:c r="C175" s="2" t="str">
        <x:v>merged_1222</x:v>
      </x:c>
      <x:c r="D175" s="2" t="str">
        <x:v>Reviewer_A</x:v>
      </x:c>
      <x:c r="E175" s="2" t="str">
        <x:v>Reviewer_A</x:v>
      </x:c>
      <x:c r="F175" s="2" t="str">
        <x:v>S33-L03</x:v>
      </x:c>
      <x:c r="G175" s="6" t="str">
        <x:v>SR</x:v>
      </x:c>
      <x:c r="H175" s="2" t="str">
        <x:v>Authors</x:v>
      </x:c>
      <x:c r="I175" s="6" t="str">
        <x:v>参数优化对内部效度构成主要威胁，我们调整了温度等参数但可能影响结果。</x:v>
      </x:c>
      <x:c r="J175" s="2" t="str">
        <x:v>Speculative</x:v>
      </x:c>
      <x:c r="K175" s="2" t="str">
        <x:v>S34-T01</x:v>
      </x:c>
      <x:c r="L175" s="2" t="str">
        <x:v>Multiple</x:v>
      </x:c>
      <x:c r="M175" s="2" t="str">
        <x:v>实验参数设置</x:v>
      </x:c>
      <x:c r="N175" s="2" t="str">
        <x:v>参数影响未被充分探索，结果可能对参数选择敏感</x:v>
      </x:c>
      <x:c r="O175" s="6" t="str">
        <x:v>source-reported: One Major threat for the internal validity is the parameter optimization</x:v>
      </x:c>
      <x:c r="P175" s="2" t="str">
        <x:v>we adjusted the parameters, such as the temperature</x:v>
      </x:c>
      <x:c r="Q175" s="2" t="str">
        <x:v>Implemented</x:v>
      </x:c>
      <x:c r="R175" s="2" t="str">
        <x:v>internal_validity</x:v>
      </x:c>
      <x:c r="S175" s="2" t="str">
        <x:v>Validity Threat</x:v>
      </x:c>
      <x:c r="T175" s="2" t="str">
        <x:v>Evaluation and validity</x:v>
      </x:c>
      <x:c r="U175" s="6" t="str">
        <x:v>p. 8; section V.C (Internal Validity)</x:v>
      </x:c>
      <x:c r="V175" s="6" t="str">
        <x:v>One Major threat for the internal validity is the parameter optimization. Our aim was to keep the results as deterministic as possible so that the results are more comparable, so we adjusted the parameters, such as the temperature.</x:v>
      </x:c>
      <x:c r="W175" s="6" t="str">
        <x:v>参数选择（如低温）虽为增加确定性，但未系统研究其影响，可能限制结论稳健性。</x:v>
      </x:c>
      <x:c r="X175" s="2" t="str">
        <x:v>Accepted</x:v>
      </x:c>
      <x:c r="Y175" s="6" t="str">
        <x:v>NA</x:v>
      </x:c>
      <x:c r="Z175" s="2" t="n">
        <x:v>2</x:v>
      </x:c>
      <x:c r="AA175" s="2" t="n">
        <x:v>3</x:v>
      </x:c>
    </x:row>
    <x:row r="176" ht="76" customHeight="1">
      <x:c r="A176" s="2" t="str">
        <x:v>S33-LIMIT-R04</x:v>
      </x:c>
      <x:c r="B176" s="2" t="str">
        <x:v>S33</x:v>
      </x:c>
      <x:c r="C176" s="2" t="str">
        <x:v>merged_1222</x:v>
      </x:c>
      <x:c r="D176" s="2" t="str">
        <x:v>Reviewer_A</x:v>
      </x:c>
      <x:c r="E176" s="2" t="str">
        <x:v>Reviewer_A</x:v>
      </x:c>
      <x:c r="F176" s="2" t="str">
        <x:v>S33-L04</x:v>
      </x:c>
      <x:c r="G176" s="6" t="str">
        <x:v>SR</x:v>
      </x:c>
      <x:c r="H176" s="2" t="str">
        <x:v>Authors</x:v>
      </x:c>
      <x:c r="I176" s="6" t="str">
        <x:v>由于计算硬件限制，未使用更大模型（如Llama 70B），可能影响结果的外部推广性。</x:v>
      </x:c>
      <x:c r="J176" s="2" t="str">
        <x:v>Speculative</x:v>
      </x:c>
      <x:c r="K176" s="2" t="str">
        <x:v>S34-T01</x:v>
      </x:c>
      <x:c r="L176" s="2" t="str">
        <x:v>Multiple</x:v>
      </x:c>
      <x:c r="M176" s="2" t="str">
        <x:v>模型规模与计算资源</x:v>
      </x:c>
      <x:c r="N176" s="2" t="str">
        <x:v>大模型可能表现更好，当前结果可能无法代表最优性能或实际部署场景</x:v>
      </x:c>
      <x:c r="O176" s="6" t="str">
        <x:v>source-reported: the larger models require computationally intensive hardware, which was not available at that time</x:v>
      </x:c>
      <x:c r="P176" s="2" t="str">
        <x:v>No</x:v>
      </x:c>
      <x:c r="Q176" s="2" t="str">
        <x:v>Not proposed</x:v>
      </x:c>
      <x:c r="R176" s="2" t="str">
        <x:v>external_validity_model_size</x:v>
      </x:c>
      <x:c r="S176" s="2" t="str">
        <x:v>Validity Threat</x:v>
      </x:c>
      <x:c r="T176" s="2" t="str">
        <x:v>Evaluation and validity</x:v>
      </x:c>
      <x:c r="U176" s="6" t="str">
        <x:v>p. 8; section V.C (External Validity)</x:v>
      </x:c>
      <x:c r="V176" s="6" t="str">
        <x:v>An essential aspect why we did not use larger models (more parameters), e.g., Llama 70B, is that the larger models require computationally intensive hardware, which was not available at that time.</x:v>
      </x:c>
      <x:c r="W176" s="6" t="str">
        <x:v>仅评估小规模模型，结论可能不适用于更强大的LLM，限制在资源受限场景外的推广。</x:v>
      </x:c>
      <x:c r="X176" s="2" t="str">
        <x:v>Accepted</x:v>
      </x:c>
      <x:c r="Y176" s="6" t="str">
        <x:v>NA</x:v>
      </x:c>
      <x:c r="Z176" s="2" t="n">
        <x:v>2</x:v>
      </x:c>
      <x:c r="AA176" s="2" t="n">
        <x:v>1</x:v>
      </x:c>
    </x:row>
    <x:row r="177" ht="76" customHeight="1">
      <x:c r="A177" s="2" t="str">
        <x:v>S33-LIMIT-R05</x:v>
      </x:c>
      <x:c r="B177" s="2" t="str">
        <x:v>S33</x:v>
      </x:c>
      <x:c r="C177" s="2" t="str">
        <x:v>merged_1222</x:v>
      </x:c>
      <x:c r="D177" s="2" t="str">
        <x:v>Reviewer_A</x:v>
      </x:c>
      <x:c r="E177" s="2" t="str">
        <x:v>Reviewer_A</x:v>
      </x:c>
      <x:c r="F177" s="2" t="str">
        <x:v>S33-L05</x:v>
      </x:c>
      <x:c r="G177" s="6" t="str">
        <x:v>SR</x:v>
      </x:c>
      <x:c r="H177" s="2" t="str">
        <x:v>Authors</x:v>
      </x:c>
      <x:c r="I177" s="6" t="str">
        <x:v>仅涉及三种面向对象编程语言，未涵盖其他广泛使用的语言（如JavaScript, Java, C/C++）。</x:v>
      </x:c>
      <x:c r="J177" s="2" t="str">
        <x:v>Speculative</x:v>
      </x:c>
      <x:c r="K177" s="2" t="str">
        <x:v>S34-T01</x:v>
      </x:c>
      <x:c r="L177" s="2" t="str">
        <x:v>NR</x:v>
      </x:c>
      <x:c r="M177" s="2" t="str">
        <x:v>编程语言范围</x:v>
      </x:c>
      <x:c r="N177" s="2" t="str">
        <x:v>结果可能不适用于未评估的语言，限制在更多样化项目中的通用性</x:v>
      </x:c>
      <x:c r="O177" s="6" t="str">
        <x:v>source-reported: there are many other programming or scripting languages that should be examined</x:v>
      </x:c>
      <x:c r="P177" s="2" t="str">
        <x:v>No</x:v>
      </x:c>
      <x:c r="Q177" s="2" t="str">
        <x:v>Not proposed</x:v>
      </x:c>
      <x:c r="R177" s="2" t="str">
        <x:v>external_validity_language</x:v>
      </x:c>
      <x:c r="S177" s="2" t="str">
        <x:v>Validity Threat</x:v>
      </x:c>
      <x:c r="T177" s="2" t="str">
        <x:v>Context and prompt dependence</x:v>
      </x:c>
      <x:c r="U177" s="6" t="str">
        <x:v>p. 8; section V.C (External Validity)</x:v>
      </x:c>
      <x:c r="V177" s="6" t="str">
        <x:v>We have only dealt with three programming languages. We chose object-oriented programming languages because they have a more structured form, and we can therefore achieve better results. However, there are many other programming or scripting languages that should be examined</x:v>
      </x:c>
      <x:c r="W177" s="6" t="str">
        <x:v>评估语言有限，可能高估LLM在非面向对象或脚本语言上的表现。</x:v>
      </x:c>
      <x:c r="X177" s="2" t="str">
        <x:v>Accepted</x:v>
      </x:c>
      <x:c r="Y177" s="6" t="str">
        <x:v>NA</x:v>
      </x:c>
      <x:c r="Z177" s="2" t="n">
        <x:v>2</x:v>
      </x:c>
      <x:c r="AA177" s="2" t="n">
        <x:v>1</x:v>
      </x:c>
    </x:row>
    <x:row r="178" ht="76" customHeight="1">
      <x:c r="A178" s="2" t="str">
        <x:v>S33-LIMIT-R06</x:v>
      </x:c>
      <x:c r="B178" s="2" t="str">
        <x:v>S33</x:v>
      </x:c>
      <x:c r="C178" s="2" t="str">
        <x:v>merged_1222</x:v>
      </x:c>
      <x:c r="D178" s="2" t="str">
        <x:v>Reviewer_A</x:v>
      </x:c>
      <x:c r="E178" s="2" t="str">
        <x:v>Reviewer_A</x:v>
      </x:c>
      <x:c r="F178" s="2" t="str">
        <x:v>S33-L06</x:v>
      </x:c>
      <x:c r="G178" s="6" t="str">
        <x:v>SR</x:v>
      </x:c>
      <x:c r="H178" s="2" t="str">
        <x:v>Authors</x:v>
      </x:c>
      <x:c r="I178" s="6" t="str">
        <x:v>LLM输出不可靠，部分数据因格式不符或无效而丢弃。</x:v>
      </x:c>
      <x:c r="J178" s="2" t="str">
        <x:v>Empirical</x:v>
      </x:c>
      <x:c r="K178" s="2" t="str">
        <x:v>S34-T01</x:v>
      </x:c>
      <x:c r="L178" s="2" t="str">
        <x:v>Multiple</x:v>
      </x:c>
      <x:c r="M178" s="2" t="str">
        <x:v>LLM输出可靠性</x:v>
      </x:c>
      <x:c r="N178" s="2" t="str">
        <x:v>数据丢失可能影响结果的稳健性和完整性</x:v>
      </x:c>
      <x:c r="O178" s="6" t="str">
        <x:v>source-reported: LLMs do not always work reliably</x:v>
      </x:c>
      <x:c r="P178" s="2" t="str">
        <x:v>the output is further filtered ... and if absent, the output is discarded</x:v>
      </x:c>
      <x:c r="Q178" s="2" t="str">
        <x:v>Implemented</x:v>
      </x:c>
      <x:c r="R178" s="2" t="str">
        <x:v>conclusion_validity</x:v>
      </x:c>
      <x:c r="S178" s="2" t="str">
        <x:v>Validity Threat</x:v>
      </x:c>
      <x:c r="T178" s="2" t="str">
        <x:v>Evaluation and validity</x:v>
      </x:c>
      <x:c r="U178" s="6" t="str">
        <x:v>p. 8; section V.C (Conclusion Validity)</x:v>
      </x:c>
      <x:c r="V178" s="6" t="str">
        <x:v>Another problem is, that LLMs do not always work reliably. Some of our data had to be sorted out because it did not correspond to the output format that was specified or because it was invalid.</x:v>
      </x:c>
      <x:c r="W178" s="6" t="str">
        <x:v>LLM输出不稳定，导致有效样本减少，可能引入偏差或降低统计功效。</x:v>
      </x:c>
      <x:c r="X178" s="2" t="str">
        <x:v>Accepted</x:v>
      </x:c>
      <x:c r="Y178" s="6" t="str">
        <x:v>NA</x:v>
      </x:c>
      <x:c r="Z178" s="2" t="n">
        <x:v>3</x:v>
      </x:c>
      <x:c r="AA178" s="2" t="n">
        <x:v>3</x:v>
      </x:c>
    </x:row>
    <x:row r="179" ht="76" customHeight="1">
      <x:c r="A179" s="2" t="str">
        <x:v>S33-LIMIT-R07</x:v>
      </x:c>
      <x:c r="B179" s="2" t="str">
        <x:v>S33</x:v>
      </x:c>
      <x:c r="C179" s="2" t="str">
        <x:v>merged_1222</x:v>
      </x:c>
      <x:c r="D179" s="2" t="str">
        <x:v>Reviewer_A</x:v>
      </x:c>
      <x:c r="E179" s="2" t="str">
        <x:v>Reviewer_A</x:v>
      </x:c>
      <x:c r="F179" s="2" t="str">
        <x:v>S33-L07</x:v>
      </x:c>
      <x:c r="G179" s="6" t="str">
        <x:v>SR</x:v>
      </x:c>
      <x:c r="H179" s="2" t="str">
        <x:v>Authors</x:v>
      </x:c>
      <x:c r="I179" s="6" t="str">
        <x:v>LLM行为具有随机性，即使设定低温，重复实验仍可能产生偏差。</x:v>
      </x:c>
      <x:c r="J179" s="2" t="str">
        <x:v>Speculative</x:v>
      </x:c>
      <x:c r="K179" s="2" t="str">
        <x:v>S34-T01</x:v>
      </x:c>
      <x:c r="L179" s="2" t="str">
        <x:v>Multiple</x:v>
      </x:c>
      <x:c r="M179" s="2" t="str">
        <x:v>结果可重复性</x:v>
      </x:c>
      <x:c r="N179" s="2" t="str">
        <x:v>研究可重复性受限，其他LLM可能产生不同结果</x:v>
      </x:c>
      <x:c r="O179" s="6" t="str">
        <x:v>source-reported: deviations in the results may occur if this study were to be repeated</x:v>
      </x:c>
      <x:c r="P179" s="2" t="str">
        <x:v>We have configured the LLMs so that the results and their behavior are as deterministic as possible</x:v>
      </x:c>
      <x:c r="Q179" s="2" t="str">
        <x:v>Implemented</x:v>
      </x:c>
      <x:c r="R179" s="2" t="str">
        <x:v>repeatability</x:v>
      </x:c>
      <x:c r="S179" s="2" t="str">
        <x:v>Validity Threat</x:v>
      </x:c>
      <x:c r="T179" s="2" t="str">
        <x:v>Evaluation and validity</x:v>
      </x:c>
      <x:c r="U179" s="6" t="str">
        <x:v>p. 8; section V.C (Repeatability)</x:v>
      </x:c>
      <x:c r="V179" s="6" t="str">
        <x:v>However, the behavior is largely stochastic and deviations in the results may occur if this study were to be repeated.</x:v>
      </x:c>
      <x:c r="W179" s="6" t="str">
        <x:v>LLM固有随机性可能使精确复现结果困难，即使采取低温策略。</x:v>
      </x:c>
      <x:c r="X179" s="2" t="str">
        <x:v>Accepted</x:v>
      </x:c>
      <x:c r="Y179" s="6" t="str">
        <x:v>NA</x:v>
      </x:c>
      <x:c r="Z179" s="2" t="n">
        <x:v>2</x:v>
      </x:c>
      <x:c r="AA179" s="2" t="n">
        <x:v>3</x:v>
      </x:c>
    </x:row>
    <x:row r="180" ht="76" customHeight="1">
      <x:c r="A180" s="2" t="str">
        <x:v>S34-LIMIT-R01</x:v>
      </x:c>
      <x:c r="B180" s="2" t="str">
        <x:v>S34</x:v>
      </x:c>
      <x:c r="C180" s="2" t="str">
        <x:v>merged_1224-v1</x:v>
      </x:c>
      <x:c r="D180" s="2" t="str">
        <x:v>Reviewer_A</x:v>
      </x:c>
      <x:c r="E180" s="2" t="str">
        <x:v>Reviewer_A</x:v>
      </x:c>
      <x:c r="F180" s="2" t="str">
        <x:v>S34-L01</x:v>
      </x:c>
      <x:c r="G180" s="6" t="str">
        <x:v>SR</x:v>
      </x:c>
      <x:c r="H180" s="2" t="str">
        <x:v>Authors</x:v>
      </x:c>
      <x:c r="I180" s="6" t="str">
        <x:v>语义验证缺失：开放式方法生成排除了明确的自动化基准测试，本研究依赖代理指标而非直接验证行为对齐、方法到类的分配准确性或全面语义覆盖。</x:v>
      </x:c>
      <x:c r="J180" s="2" t="str">
        <x:v>Empirical</x:v>
      </x:c>
      <x:c r="K180" s="2" t="str">
        <x:v>S35-T01</x:v>
      </x:c>
      <x:c r="L180" s="2" t="str">
        <x:v>Multiple</x:v>
      </x:c>
      <x:c r="M180" s="2" t="str">
        <x:v>整个评估框架（语义正确性评估）</x:v>
      </x:c>
      <x:c r="N180" s="2" t="str">
        <x:v>无法保证生成的方法在语义上与用例行为对齐，可能导致错误或不完整的行为模型。</x:v>
      </x:c>
      <x:c r="O180" s="6" t="str">
        <x:v>source-reported basis</x:v>
      </x:c>
      <x:c r="P180" s="2" t="str">
        <x:v>No</x:v>
      </x:c>
      <x:c r="Q180" s="2" t="str">
        <x:v>Not proposed</x:v>
      </x:c>
      <x:c r="R180" s="2" t="str">
        <x:v>semantic_validation</x:v>
      </x:c>
      <x:c r="S180" s="2" t="str">
        <x:v>evaluation_limitation</x:v>
      </x:c>
      <x:c r="T180" s="2" t="str">
        <x:v>Context and prompt dependence</x:v>
      </x:c>
      <x:c r="U180" s="6" t="str">
        <x:v>p. 31; Section 5.5</x:v>
      </x:c>
      <x:c r="V180" s="6" t="str">
        <x:v>Open-ended method generation precludes definitive automated benchmarks. This study relies on proxy metrics rather than direct verification of behavioral alignment, method-to-class assignment accuracy, or comprehensive semantic coverage.</x:v>
      </x:c>
      <x:c r="W180" s="6" t="str">
        <x:v>作者明确指出由于非封闭式生成，无法进行自动化语义基准测试，当前研究仅使用代理指标，这是方法正确性的主要威胁。</x:v>
      </x:c>
      <x:c r="X180" s="2" t="str">
        <x:v>Accepted</x:v>
      </x:c>
      <x:c r="Y180" s="6" t="str">
        <x:v>NA</x:v>
      </x:c>
      <x:c r="Z180" s="2" t="n">
        <x:v>3</x:v>
      </x:c>
      <x:c r="AA180" s="2" t="n">
        <x:v>1</x:v>
      </x:c>
    </x:row>
    <x:row r="181" ht="76" customHeight="1">
      <x:c r="A181" s="2" t="str">
        <x:v>S34-LIMIT-R02</x:v>
      </x:c>
      <x:c r="B181" s="2" t="str">
        <x:v>S34</x:v>
      </x:c>
      <x:c r="C181" s="2" t="str">
        <x:v>merged_1224-v1</x:v>
      </x:c>
      <x:c r="D181" s="2" t="str">
        <x:v>Reviewer_A</x:v>
      </x:c>
      <x:c r="E181" s="2" t="str">
        <x:v>Reviewer_A</x:v>
      </x:c>
      <x:c r="F181" s="2" t="str">
        <x:v>S34-L02</x:v>
      </x:c>
      <x:c r="G181" s="6" t="str">
        <x:v>SR</x:v>
      </x:c>
      <x:c r="H181" s="2" t="str">
        <x:v>Authors</x:v>
      </x:c>
      <x:c r="I181" s="6" t="str">
        <x:v>基准稀缺性：缺乏公开可用的将用例链接到行为完整UML图的数据集，限制了严格的语义评估。</x:v>
      </x:c>
      <x:c r="J181" s="2" t="str">
        <x:v>Empirical</x:v>
      </x:c>
      <x:c r="K181" s="2" t="str">
        <x:v>S35-T01</x:v>
      </x:c>
      <x:c r="L181" s="2" t="str">
        <x:v>Multiple</x:v>
      </x:c>
      <x:c r="M181" s="2" t="str">
        <x:v>评估数据集的可用性</x:v>
      </x:c>
      <x:c r="N181" s="2" t="str">
        <x:v>语义评估的严谨性受限，无法进行基于标准基准的比较。</x:v>
      </x:c>
      <x:c r="O181" s="6" t="str">
        <x:v>source-reported basis</x:v>
      </x:c>
      <x:c r="P181" s="2" t="str">
        <x:v>No</x:v>
      </x:c>
      <x:c r="Q181" s="2" t="str">
        <x:v>Not proposed</x:v>
      </x:c>
      <x:c r="R181" s="2" t="str">
        <x:v>benchmark_scarcity</x:v>
      </x:c>
      <x:c r="S181" s="2" t="str">
        <x:v>evaluation_limitation</x:v>
      </x:c>
      <x:c r="T181" s="2" t="str">
        <x:v>Data and evidence quality</x:v>
      </x:c>
      <x:c r="U181" s="6" t="str">
        <x:v>p. 31; Section 5.5</x:v>
      </x:c>
      <x:c r="V181" s="6" t="str">
        <x:v>The lack of publicly available datasets linking use cases to fully behaviorally complete UML diagrams limits rigorous semantic evaluation.</x:v>
      </x:c>
      <x:c r="W181" s="6" t="str">
        <x:v>作者认为缺乏此类数据集是当前方法的一个关键限制，阻碍了语义层面的自动评估。</x:v>
      </x:c>
      <x:c r="X181" s="2" t="str">
        <x:v>Accepted</x:v>
      </x:c>
      <x:c r="Y181" s="6" t="str">
        <x:v>NA</x:v>
      </x:c>
      <x:c r="Z181" s="2" t="n">
        <x:v>3</x:v>
      </x:c>
      <x:c r="AA181" s="2" t="n">
        <x:v>1</x:v>
      </x:c>
    </x:row>
    <x:row r="182" ht="76" customHeight="1">
      <x:c r="A182" s="2" t="str">
        <x:v>S34-LIMIT-R03</x:v>
      </x:c>
      <x:c r="B182" s="2" t="str">
        <x:v>S34</x:v>
      </x:c>
      <x:c r="C182" s="2" t="str">
        <x:v>merged_1224-v1</x:v>
      </x:c>
      <x:c r="D182" s="2" t="str">
        <x:v>Reviewer_A</x:v>
      </x:c>
      <x:c r="E182" s="2" t="str">
        <x:v>Reviewer_A</x:v>
      </x:c>
      <x:c r="F182" s="2" t="str">
        <x:v>S34-L03</x:v>
      </x:c>
      <x:c r="G182" s="6" t="str">
        <x:v>SR</x:v>
      </x:c>
      <x:c r="H182" s="2" t="str">
        <x:v>Authors</x:v>
      </x:c>
      <x:c r="I182" s="6" t="str">
        <x:v>操作约束：LLM输出对输入质量和固定提示策略敏感，其概率性质需要人工监督，且固定提示和单次生成限制输出多样性与适应性，API版本和环境变化影响可重复性。</x:v>
      </x:c>
      <x:c r="J182" s="2" t="str">
        <x:v>Empirical</x:v>
      </x:c>
      <x:c r="K182" s="2" t="str">
        <x:v>S35-T01</x:v>
      </x:c>
      <x:c r="L182" s="2" t="str">
        <x:v>Multiple</x:v>
      </x:c>
      <x:c r="M182" s="2" t="str">
        <x:v>实验方案（提示设计、运行策略、模型环境）</x:v>
      </x:c>
      <x:c r="N182" s="2" t="str">
        <x:v>输出多样性受限，可重复性可能不足，实际部署中需要持续监控。</x:v>
      </x:c>
      <x:c r="O182" s="6" t="str">
        <x:v>source-reported basis</x:v>
      </x:c>
      <x:c r="P182" s="2" t="str">
        <x:v>No</x:v>
      </x:c>
      <x:c r="Q182" s="2" t="str">
        <x:v>Not proposed</x:v>
      </x:c>
      <x:c r="R182" s="2" t="str">
        <x:v>operational_constraints</x:v>
      </x:c>
      <x:c r="S182" s="2" t="str">
        <x:v>methodological_limitation</x:v>
      </x:c>
      <x:c r="T182" s="2" t="str">
        <x:v>Scalability and deployment</x:v>
      </x:c>
      <x:c r="U182" s="6" t="str">
        <x:v>p. 31; Section 5.5</x:v>
      </x:c>
      <x:c r="V182" s="6" t="str">
        <x:v>LLM outputs are sensitive to input quality and fixed prompting strategies, and the probabilistic nature of LLMs necessitates human oversight due to variability.</x:v>
      </x:c>
      <x:c r="W182" s="6" t="str">
        <x:v>作者承认提示设计、单次生成及环境变化会带来输出的不一致，这构成了内部有效性威胁。</x:v>
      </x:c>
      <x:c r="X182" s="2" t="str">
        <x:v>Accepted</x:v>
      </x:c>
      <x:c r="Y182" s="6" t="str">
        <x:v>NA</x:v>
      </x:c>
      <x:c r="Z182" s="2" t="n">
        <x:v>3</x:v>
      </x:c>
      <x:c r="AA182" s="2" t="n">
        <x:v>1</x:v>
      </x:c>
    </x:row>
    <x:row r="183" ht="76" customHeight="1">
      <x:c r="A183" s="2" t="str">
        <x:v>S34-LIMIT-R04</x:v>
      </x:c>
      <x:c r="B183" s="2" t="str">
        <x:v>S34</x:v>
      </x:c>
      <x:c r="C183" s="2" t="str">
        <x:v>merged_1224-v1</x:v>
      </x:c>
      <x:c r="D183" s="2" t="str">
        <x:v>Reviewer_A</x:v>
      </x:c>
      <x:c r="E183" s="2" t="str">
        <x:v>Reviewer_A</x:v>
      </x:c>
      <x:c r="F183" s="2" t="str">
        <x:v>S34-L04</x:v>
      </x:c>
      <x:c r="G183" s="6" t="str">
        <x:v>SR</x:v>
      </x:c>
      <x:c r="H183" s="2" t="str">
        <x:v>Authors</x:v>
      </x:c>
      <x:c r="I183" s="6" t="str">
        <x:v>领域特定性：评估聚焦于废物管理领域，可能限制其在安全关键系统或其他专业领域的适用性。</x:v>
      </x:c>
      <x:c r="J183" s="2" t="str">
        <x:v>Empirical</x:v>
      </x:c>
      <x:c r="K183" s="2" t="str">
        <x:v>S35-T01</x:v>
      </x:c>
      <x:c r="L183" s="2" t="str">
        <x:v>Multiple</x:v>
      </x:c>
      <x:c r="M183" s="2" t="str">
        <x:v>领域选择（废物管理）</x:v>
      </x:c>
      <x:c r="N183" s="2" t="str">
        <x:v>结论的外部有效性受限，无法直接推广到其他领域。</x:v>
      </x:c>
      <x:c r="O183" s="6" t="str">
        <x:v>source-reported basis</x:v>
      </x:c>
      <x:c r="P183" s="2" t="str">
        <x:v>No</x:v>
      </x:c>
      <x:c r="Q183" s="2" t="str">
        <x:v>Not proposed</x:v>
      </x:c>
      <x:c r="R183" s="2" t="str">
        <x:v>domain_specificity</x:v>
      </x:c>
      <x:c r="S183" s="2" t="str">
        <x:v>generalizability_limitation</x:v>
      </x:c>
      <x:c r="T183" s="2" t="str">
        <x:v>Generalizability and scope</x:v>
      </x:c>
      <x:c r="U183" s="6" t="str">
        <x:v>p. 31; Section 5.5</x:v>
      </x:c>
      <x:c r="V183" s="6" t="str">
        <x:v>Evaluation focused on the waste management domain, which may limit applicability to safety-critical or other specialized systems.</x:v>
      </x:c>
      <x:c r="W183" s="6" t="str">
        <x:v>作者指出选择单一领域可能影响结果的一般性，未来需要多领域验证。</x:v>
      </x:c>
      <x:c r="X183" s="2" t="str">
        <x:v>Accepted</x:v>
      </x:c>
      <x:c r="Y183" s="6" t="str">
        <x:v>NA</x:v>
      </x:c>
      <x:c r="Z183" s="2" t="n">
        <x:v>3</x:v>
      </x:c>
      <x:c r="AA183" s="2" t="n">
        <x:v>1</x:v>
      </x:c>
    </x:row>
    <x:row r="184" ht="76" customHeight="1">
      <x:c r="A184" s="2" t="str">
        <x:v>S35-LIMIT-R01</x:v>
      </x:c>
      <x:c r="B184" s="2" t="str">
        <x:v>S35</x:v>
      </x:c>
      <x:c r="C184" s="2" t="str">
        <x:v>merged_1225</x:v>
      </x:c>
      <x:c r="D184" s="2" t="str">
        <x:v>Reviewer_A</x:v>
      </x:c>
      <x:c r="E184" s="2" t="str">
        <x:v>Reviewer_A</x:v>
      </x:c>
      <x:c r="F184" s="2" t="str">
        <x:v>S35-L01</x:v>
      </x:c>
      <x:c r="G184" s="6" t="str">
        <x:v>SR</x:v>
      </x:c>
      <x:c r="H184" s="2" t="str">
        <x:v>Authors</x:v>
      </x:c>
      <x:c r="I184" s="6" t="str">
        <x:v>分析层次为测试文件级别可能影响构建效度。</x:v>
      </x:c>
      <x:c r="J184" s="2" t="str">
        <x:v>Empirical</x:v>
      </x:c>
      <x:c r="K184" s="2" t="str">
        <x:v>Multiple</x:v>
      </x:c>
      <x:c r="L184" s="2" t="str">
        <x:v>Multiple</x:v>
      </x:c>
      <x:c r="M184" s="2" t="str">
        <x:v>Scholar@UC案例研究</x:v>
      </x:c>
      <x:c r="N184" s="2" t="str">
        <x:v>可能无法捕捉单个测试用例级别的追踪关系</x:v>
      </x:c>
      <x:c r="O184" s="6" t="str">
        <x:v>NR</x:v>
      </x:c>
      <x:c r="P184" s="2" t="str">
        <x:v>研究者认为文件级别封装足够表示功能测试</x:v>
      </x:c>
      <x:c r="Q184" s="2" t="str">
        <x:v>Not proposed</x:v>
      </x:c>
      <x:c r="R184" s="2" t="str">
        <x:v>unit_of_analysis</x:v>
      </x:c>
      <x:c r="S184" s="2" t="str">
        <x:v>Construct Validity</x:v>
      </x:c>
      <x:c r="T184" s="2" t="str">
        <x:v>Evaluation and validity</x:v>
      </x:c>
      <x:c r="U184" s="6" t="str">
        <x:v>p. 5; Section III-C</x:v>
      </x:c>
      <x:c r="V184" s="6" t="str">
        <x:v>The construct validity of our exploratory case study can be affected by our unit of analysis at the test file level.</x:v>
      </x:c>
      <x:c r="W184" s="6" t="str">
        <x:v>以测试文件作为分析单元可能无法精确反映每个测试用例的追踪目标，但作者认为文件级封装对功能测试是合理的。</x:v>
      </x:c>
      <x:c r="X184" s="2" t="str">
        <x:v>Accepted</x:v>
      </x:c>
      <x:c r="Y184" s="6" t="str">
        <x:v>NA</x:v>
      </x:c>
      <x:c r="Z184" s="2" t="n">
        <x:v>3</x:v>
      </x:c>
      <x:c r="AA184" s="2" t="n">
        <x:v>1</x:v>
      </x:c>
    </x:row>
    <x:row r="185" ht="76" customHeight="1">
      <x:c r="A185" s="2" t="str">
        <x:v>S35-LIMIT-R02</x:v>
      </x:c>
      <x:c r="B185" s="2" t="str">
        <x:v>S35</x:v>
      </x:c>
      <x:c r="C185" s="2" t="str">
        <x:v>merged_1225</x:v>
      </x:c>
      <x:c r="D185" s="2" t="str">
        <x:v>Reviewer_A</x:v>
      </x:c>
      <x:c r="E185" s="2" t="str">
        <x:v>Reviewer_A</x:v>
      </x:c>
      <x:c r="F185" s="2" t="str">
        <x:v>S35-L02</x:v>
      </x:c>
      <x:c r="G185" s="6" t="str">
        <x:v>SR</x:v>
      </x:c>
      <x:c r="H185" s="2" t="str">
        <x:v>Authors</x:v>
      </x:c>
      <x:c r="I185" s="6" t="str">
        <x:v>ChatGPT生成追踪目标的提示存在模糊性，不清楚结果是用户可见功能描述还是测试文件摘要。</x:v>
      </x:c>
      <x:c r="J185" s="2" t="str">
        <x:v>Empirical</x:v>
      </x:c>
      <x:c r="K185" s="2" t="str">
        <x:v>S36-T02</x:v>
      </x:c>
      <x:c r="L185" s="2" t="str">
        <x:v>S36-MU01</x:v>
      </x:c>
      <x:c r="M185" s="2" t="str">
        <x:v>ChatGPT提示用于生成追踪目标</x:v>
      </x:c>
      <x:c r="N185" s="2" t="str">
        <x:v>生成的追踪目标可能不准确，影响追踪质量</x:v>
      </x:c>
      <x:c r="O185" s="6" t="str">
        <x:v>NR</x:v>
      </x:c>
      <x:c r="P185" s="2" t="str">
        <x:v>No</x:v>
      </x:c>
      <x:c r="Q185" s="2" t="str">
        <x:v>Not proposed</x:v>
      </x:c>
      <x:c r="R185" s="2" t="str">
        <x:v>prompting_ambiguity</x:v>
      </x:c>
      <x:c r="S185" s="2" t="str">
        <x:v>Internal Validity</x:v>
      </x:c>
      <x:c r="T185" s="2" t="str">
        <x:v>Context and prompt dependence</x:v>
      </x:c>
      <x:c r="U185" s="6" t="str">
        <x:v>p. 6; Section III-C</x:v>
      </x:c>
      <x:c r="V185" s="6" t="str">
        <x:v>the results from the baseline prompting, it remains somewhat unclear whether the baseline results are descriptions of uservisible features, or summaries of the test ﬁles. As discussed</x:v>
      </x:c>
      <x:c r="W185" s="6" t="str">
        <x:v>内部效度威胁：ChatGPT生成的特征描述可能不是真正的用户功能，而只是对测试代码的概括，影响了追踪的准确性。</x:v>
      </x:c>
      <x:c r="X185" s="2" t="str">
        <x:v>Accepted</x:v>
      </x:c>
      <x:c r="Y185" s="6" t="str">
        <x:v>NA</x:v>
      </x:c>
      <x:c r="Z185" s="2" t="n">
        <x:v>3</x:v>
      </x:c>
      <x:c r="AA185" s="2" t="n">
        <x:v>1</x:v>
      </x:c>
    </x:row>
    <x:row r="186" ht="76" customHeight="1">
      <x:c r="A186" s="2" t="str">
        <x:v>S35-LIMIT-R03</x:v>
      </x:c>
      <x:c r="B186" s="2" t="str">
        <x:v>S35</x:v>
      </x:c>
      <x:c r="C186" s="2" t="str">
        <x:v>merged_1225</x:v>
      </x:c>
      <x:c r="D186" s="2" t="str">
        <x:v>Reviewer_A</x:v>
      </x:c>
      <x:c r="E186" s="2" t="str">
        <x:v>Reviewer_A</x:v>
      </x:c>
      <x:c r="F186" s="2" t="str">
        <x:v>S35-L03</x:v>
      </x:c>
      <x:c r="G186" s="6" t="str">
        <x:v>SR</x:v>
      </x:c>
      <x:c r="H186" s="2" t="str">
        <x:v>Authors</x:v>
      </x:c>
      <x:c r="I186" s="6" t="str">
        <x:v>研究仅基于一个软件系统，威胁外部效度。</x:v>
      </x:c>
      <x:c r="J186" s="2" t="str">
        <x:v>Empirical</x:v>
      </x:c>
      <x:c r="K186" s="2" t="str">
        <x:v>Multiple</x:v>
      </x:c>
      <x:c r="L186" s="2" t="str">
        <x:v>Multiple</x:v>
      </x:c>
      <x:c r="M186" s="2" t="str">
        <x:v>Scholar@UC为唯一案例系统</x:v>
      </x:c>
      <x:c r="N186" s="2" t="str">
        <x:v>研究结果可能无法推广到其他系统</x:v>
      </x:c>
      <x:c r="O186" s="6" t="str">
        <x:v>NR</x:v>
      </x:c>
      <x:c r="P186" s="2" t="str">
        <x:v>No</x:v>
      </x:c>
      <x:c r="Q186" s="2" t="str">
        <x:v>Not proposed</x:v>
      </x:c>
      <x:c r="R186" s="2" t="str">
        <x:v>single_system</x:v>
      </x:c>
      <x:c r="S186" s="2" t="str">
        <x:v>External Validity</x:v>
      </x:c>
      <x:c r="T186" s="2" t="str">
        <x:v>Generalizability and scope</x:v>
      </x:c>
      <x:c r="U186" s="6" t="str">
        <x:v>p. 6; Section III-C</x:v>
      </x:c>
      <x:c r="V186" s="6" t="str">
        <x:v>Threats to the external validity include our investigations of only one software system, though our study has covered all of the system's feature tests.</x:v>
      </x:c>
      <x:c r="W186" s="6" t="str">
        <x:v>外部效度受单一系统限制，尽管覆盖了该系统全部特征测试，但泛化能力存疑。</x:v>
      </x:c>
      <x:c r="X186" s="2" t="str">
        <x:v>Accepted</x:v>
      </x:c>
      <x:c r="Y186" s="6" t="str">
        <x:v>NA</x:v>
      </x:c>
      <x:c r="Z186" s="2" t="n">
        <x:v>3</x:v>
      </x:c>
      <x:c r="AA186" s="2" t="n">
        <x:v>1</x:v>
      </x:c>
    </x:row>
    <x:row r="187" ht="76" customHeight="1">
      <x:c r="A187" s="2" t="str">
        <x:v>S35-LIMIT-R04</x:v>
      </x:c>
      <x:c r="B187" s="2" t="str">
        <x:v>S35</x:v>
      </x:c>
      <x:c r="C187" s="2" t="str">
        <x:v>merged_1225</x:v>
      </x:c>
      <x:c r="D187" s="2" t="str">
        <x:v>Reviewer_A</x:v>
      </x:c>
      <x:c r="E187" s="2" t="str">
        <x:v>Reviewer_A</x:v>
      </x:c>
      <x:c r="F187" s="2" t="str">
        <x:v>S35-L04</x:v>
      </x:c>
      <x:c r="G187" s="6" t="str">
        <x:v>SR</x:v>
      </x:c>
      <x:c r="H187" s="2" t="str">
        <x:v>Authors</x:v>
      </x:c>
      <x:c r="I187" s="6" t="str">
        <x:v>仅使用gpt-3.5-turbo，提示结果可能因不同LLM而异。</x:v>
      </x:c>
      <x:c r="J187" s="2" t="str">
        <x:v>Empirical</x:v>
      </x:c>
      <x:c r="K187" s="2" t="str">
        <x:v>S36-T02</x:v>
      </x:c>
      <x:c r="L187" s="2" t="str">
        <x:v>S36-MU01</x:v>
      </x:c>
      <x:c r="M187" s="2" t="str">
        <x:v>ChatGPT模型选择</x:v>
      </x:c>
      <x:c r="N187" s="2" t="str">
        <x:v>基于单一模型的结果可能不适用于其他大语言模型</x:v>
      </x:c>
      <x:c r="O187" s="6" t="str">
        <x:v>NR</x:v>
      </x:c>
      <x:c r="P187" s="2" t="str">
        <x:v>No</x:v>
      </x:c>
      <x:c r="Q187" s="2" t="str">
        <x:v>Not proposed</x:v>
      </x:c>
      <x:c r="R187" s="2" t="str">
        <x:v>single_llm</x:v>
      </x:c>
      <x:c r="S187" s="2" t="str">
        <x:v>External Validity</x:v>
      </x:c>
      <x:c r="T187" s="2" t="str">
        <x:v>Context and prompt dependence</x:v>
      </x:c>
      <x:c r="U187" s="6" t="str">
        <x:v>p. 6; Section III-C</x:v>
      </x:c>
      <x:c r="V187" s="6" t="str">
        <x:v>all of the system’s feature tests. In addition, we use only gpt3.5-turbo, and therefore the prompting results may differ with other large language models.</x:v>
      </x:c>
      <x:c r="W187" s="6" t="str">
        <x:v>仅采用一种大语言模型，限制了研究发现向其他模型的推广。</x:v>
      </x:c>
      <x:c r="X187" s="2" t="str">
        <x:v>Accepted</x:v>
      </x:c>
      <x:c r="Y187" s="6" t="str">
        <x:v>NA</x:v>
      </x:c>
      <x:c r="Z187" s="2" t="n">
        <x:v>3</x:v>
      </x:c>
      <x:c r="AA187" s="2" t="n">
        <x:v>1</x:v>
      </x:c>
    </x:row>
    <x:row r="188" ht="76" customHeight="1">
      <x:c r="A188" s="2" t="str">
        <x:v>S36-LIMIT-R01</x:v>
      </x:c>
      <x:c r="B188" s="2" t="str">
        <x:v>S36</x:v>
      </x:c>
      <x:c r="C188" s="2" t="str">
        <x:v>merged_1236</x:v>
      </x:c>
      <x:c r="D188" s="2" t="str">
        <x:v>Reviewer_A</x:v>
      </x:c>
      <x:c r="E188" s="2" t="str">
        <x:v>Reviewer_A</x:v>
      </x:c>
      <x:c r="F188" s="2" t="str">
        <x:v>S36-L01</x:v>
      </x:c>
      <x:c r="G188" s="6" t="str">
        <x:v>SR</x:v>
      </x:c>
      <x:c r="H188" s="2" t="str">
        <x:v>Authors</x:v>
      </x:c>
      <x:c r="I188" s="6" t="str">
        <x:v>当前仅支持Python语言，计划支持TypeScript、Java和C#。</x:v>
      </x:c>
      <x:c r="J188" s="2" t="str">
        <x:v>Empirical</x:v>
      </x:c>
      <x:c r="K188" s="2" t="str">
        <x:v>Multiple</x:v>
      </x:c>
      <x:c r="L188" s="2" t="str">
        <x:v>Multiple</x:v>
      </x:c>
      <x:c r="M188" s="2" t="str">
        <x:v>DDD-Enforcer工具实现</x:v>
      </x:c>
      <x:c r="N188" s="2" t="str">
        <x:v>限制了工具的使用范围，无法在非Python项目中应用</x:v>
      </x:c>
      <x:c r="O188" s="6" t="str">
        <x:v>NR</x:v>
      </x:c>
      <x:c r="P188" s="2" t="str">
        <x:v>Support for TypeScript, Java, and C# planned.</x:v>
      </x:c>
      <x:c r="Q188" s="2" t="str">
        <x:v>Proposed</x:v>
      </x:c>
      <x:c r="R188" s="2" t="str">
        <x:v>LANG_LIMIT</x:v>
      </x:c>
      <x:c r="S188" s="2" t="str">
        <x:v>Implementation Constraint</x:v>
      </x:c>
      <x:c r="T188" s="2" t="str">
        <x:v>Evaluation and validity</x:v>
      </x:c>
      <x:c r="U188" s="6" t="str">
        <x:v>p. 5; VII. DISCUSSION, B. Limitations</x:v>
      </x:c>
      <x:c r="V188" s="6" t="str">
        <x:v>restriction to Python, with support for TypeScript, Java, and C# planned.</x:v>
      </x:c>
      <x:c r="W188" s="6" t="str">
        <x:v>作者明确指出当前工具仅支持Python，限制了其在多语言项目中的适用性，并计划扩展语言支持。</x:v>
      </x:c>
      <x:c r="X188" s="2" t="str">
        <x:v>Accepted</x:v>
      </x:c>
      <x:c r="Y188" s="6" t="str">
        <x:v>NR</x:v>
      </x:c>
      <x:c r="Z188" s="2" t="n">
        <x:v>3</x:v>
      </x:c>
      <x:c r="AA188" s="2" t="n">
        <x:v>2</x:v>
      </x:c>
    </x:row>
    <x:row r="189" ht="76" customHeight="1">
      <x:c r="A189" s="2" t="str">
        <x:v>S36-LIMIT-R02</x:v>
      </x:c>
      <x:c r="B189" s="2" t="str">
        <x:v>S36</x:v>
      </x:c>
      <x:c r="C189" s="2" t="str">
        <x:v>merged_1236</x:v>
      </x:c>
      <x:c r="D189" s="2" t="str">
        <x:v>Reviewer_A</x:v>
      </x:c>
      <x:c r="E189" s="2" t="str">
        <x:v>Reviewer_A</x:v>
      </x:c>
      <x:c r="F189" s="2" t="str">
        <x:v>S36-L02</x:v>
      </x:c>
      <x:c r="G189" s="6" t="str">
        <x:v>SR</x:v>
      </x:c>
      <x:c r="H189" s="2" t="str">
        <x:v>Authors</x:v>
      </x:c>
      <x:c r="I189" s="6" t="str">
        <x:v>依赖LLM API需要互联网连接并产生运营成本。</x:v>
      </x:c>
      <x:c r="J189" s="2" t="str">
        <x:v>Empirical</x:v>
      </x:c>
      <x:c r="K189" s="2" t="str">
        <x:v>Multiple</x:v>
      </x:c>
      <x:c r="L189" s="2" t="str">
        <x:v>Multiple</x:v>
      </x:c>
      <x:c r="M189" s="2" t="str">
        <x:v>DDD-Enforcer运行环境</x:v>
      </x:c>
      <x:c r="N189" s="2" t="str">
        <x:v>需要持续的互联网连接，运营成本可能成为使用障碍</x:v>
      </x:c>
      <x:c r="O189" s="6" t="str">
        <x:v>stated by authors</x:v>
      </x:c>
      <x:c r="P189" s="2" t="str">
        <x:v>NR</x:v>
      </x:c>
      <x:c r="Q189" s="2" t="str">
        <x:v>Not proposed</x:v>
      </x:c>
      <x:c r="R189" s="2" t="str">
        <x:v>API_DEP</x:v>
      </x:c>
      <x:c r="S189" s="2" t="str">
        <x:v>Operational Constraint</x:v>
      </x:c>
      <x:c r="T189" s="2" t="str">
        <x:v>Scalability and deployment</x:v>
      </x:c>
      <x:c r="U189" s="6" t="str">
        <x:v>p. 5; VII. DISCUSSION, B. Limitations</x:v>
      </x:c>
      <x:c r="V189" s="6" t="str">
        <x:v>Reliance on LLM APIs necessitates internet access and incurs operational costs.</x:v>
      </x:c>
      <x:c r="W189" s="6" t="str">
        <x:v>作者指出系统依赖LLM API，因此需要网络连接并产生运营成本，未提出离线替代方案。</x:v>
      </x:c>
      <x:c r="X189" s="2" t="str">
        <x:v>Accepted</x:v>
      </x:c>
      <x:c r="Y189" s="6" t="str">
        <x:v>NR</x:v>
      </x:c>
      <x:c r="Z189" s="2" t="n">
        <x:v>3</x:v>
      </x:c>
      <x:c r="AA189" s="2" t="n">
        <x:v>1</x:v>
      </x:c>
    </x:row>
    <x:row r="190" ht="76" customHeight="1">
      <x:c r="A190" s="2" t="str">
        <x:v>S36-LIMIT-R03</x:v>
      </x:c>
      <x:c r="B190" s="2" t="str">
        <x:v>S36</x:v>
      </x:c>
      <x:c r="C190" s="2" t="str">
        <x:v>merged_1236</x:v>
      </x:c>
      <x:c r="D190" s="2" t="str">
        <x:v>Reviewer_A</x:v>
      </x:c>
      <x:c r="E190" s="2" t="str">
        <x:v>Reviewer_A</x:v>
      </x:c>
      <x:c r="F190" s="2" t="str">
        <x:v>S36-L03</x:v>
      </x:c>
      <x:c r="G190" s="6" t="str">
        <x:v>SR</x:v>
      </x:c>
      <x:c r="H190" s="2" t="str">
        <x:v>Authors</x:v>
      </x:c>
      <x:c r="I190" s="6" t="str">
        <x:v>系统偶尔会为非领域上下文中的常见术语产生误报，需要开发者复核。</x:v>
      </x:c>
      <x:c r="J190" s="2" t="str">
        <x:v>Speculative</x:v>
      </x:c>
      <x:c r="K190" s="2" t="str">
        <x:v>Multiple</x:v>
      </x:c>
      <x:c r="L190" s="2" t="str">
        <x:v>Multiple</x:v>
      </x:c>
      <x:c r="M190" s="2" t="str">
        <x:v>代码验证过程</x:v>
      </x:c>
      <x:c r="N190" s="2" t="str">
        <x:v>增加开发者的复核工作量，可能影响用户体验</x:v>
      </x:c>
      <x:c r="O190" s="6" t="str">
        <x:v>NR</x:v>
      </x:c>
      <x:c r="P190" s="2" t="str">
        <x:v>requiring developer review</x:v>
      </x:c>
      <x:c r="Q190" s="2" t="str">
        <x:v>Implemented</x:v>
      </x:c>
      <x:c r="R190" s="2" t="str">
        <x:v>FALSE_POS</x:v>
      </x:c>
      <x:c r="S190" s="2" t="str">
        <x:v>Accuracy Issue</x:v>
      </x:c>
      <x:c r="T190" s="2" t="str">
        <x:v>Model reliability</x:v>
      </x:c>
      <x:c r="U190" s="6" t="str">
        <x:v>p. 5; VII. DISCUSSION, B. Limitations</x:v>
      </x:c>
      <x:c r="V190" s="6" t="str">
        <x:v>the system may occasionally produce false positives for common terms in non-domain contexts, requiring developer review.</x:v>
      </x:c>
      <x:c r="W190" s="6" t="str">
        <x:v>作者承认系统可能产生误报，需开发者手动审查，这会影响自动化程度。</x:v>
      </x:c>
      <x:c r="X190" s="2" t="str">
        <x:v>Accepted</x:v>
      </x:c>
      <x:c r="Y190" s="6" t="str">
        <x:v>NR</x:v>
      </x:c>
      <x:c r="Z190" s="2" t="n">
        <x:v>2</x:v>
      </x:c>
      <x:c r="AA190" s="2" t="n">
        <x:v>3</x:v>
      </x:c>
    </x:row>
    <x:row r="191" ht="76" customHeight="1">
      <x:c r="A191" s="2" t="str">
        <x:v>S36-LIMIT-R04</x:v>
      </x:c>
      <x:c r="B191" s="2" t="str">
        <x:v>S36</x:v>
      </x:c>
      <x:c r="C191" s="2" t="str">
        <x:v>merged_1236</x:v>
      </x:c>
      <x:c r="D191" s="2" t="str">
        <x:v>Reviewer_A</x:v>
      </x:c>
      <x:c r="E191" s="2" t="str">
        <x:v>Reviewer_A</x:v>
      </x:c>
      <x:c r="F191" s="2" t="str">
        <x:v>S36-L04</x:v>
      </x:c>
      <x:c r="G191" s="6" t="str">
        <x:v>SR</x:v>
      </x:c>
      <x:c r="H191" s="2" t="str">
        <x:v>Authors</x:v>
      </x:c>
      <x:c r="I191" s="6" t="str">
        <x:v>生成的领域模型质量本质上依赖于输入SRS相关文档的完整性。</x:v>
      </x:c>
      <x:c r="J191" s="2" t="str">
        <x:v>Speculative</x:v>
      </x:c>
      <x:c r="K191" s="2" t="str">
        <x:v>Multiple</x:v>
      </x:c>
      <x:c r="L191" s="2" t="str">
        <x:v>Multiple</x:v>
      </x:c>
      <x:c r="M191" s="2" t="str">
        <x:v>领域模型生成</x:v>
      </x:c>
      <x:c r="N191" s="2" t="str">
        <x:v>若SRS文档不完整，生成的领域模型可能不准确，进而影响违规检测</x:v>
      </x:c>
      <x:c r="O191" s="6" t="str">
        <x:v>NR</x:v>
      </x:c>
      <x:c r="P191" s="2" t="str">
        <x:v>NR</x:v>
      </x:c>
      <x:c r="Q191" s="2" t="str">
        <x:v>Not proposed</x:v>
      </x:c>
      <x:c r="R191" s="2" t="str">
        <x:v>DOC_DEP</x:v>
      </x:c>
      <x:c r="S191" s="2" t="str">
        <x:v>Input Data Constraint</x:v>
      </x:c>
      <x:c r="T191" s="2" t="str">
        <x:v>Data and evidence quality</x:v>
      </x:c>
      <x:c r="U191" s="6" t="str">
        <x:v>p. 5; VII. DISCUSSION, B. Limitations</x:v>
      </x:c>
      <x:c r="V191" s="6" t="str">
        <x:v>the quality of generated domain models is intrinsically tied to the completeness of the input SRS-related documentation.</x:v>
      </x:c>
      <x:c r="W191" s="6" t="str">
        <x:v>作者指出领域模型质量取决于输入文档的完整性，未提出缓解措施。</x:v>
      </x:c>
      <x:c r="X191" s="2" t="str">
        <x:v>Accepted</x:v>
      </x:c>
      <x:c r="Y191" s="6" t="str">
        <x:v>NR</x:v>
      </x:c>
      <x:c r="Z191" s="2" t="n">
        <x:v>2</x:v>
      </x:c>
      <x:c r="AA191" s="2" t="n">
        <x:v>1</x:v>
      </x:c>
    </x:row>
    <x:row r="192" ht="76" customHeight="1">
      <x:c r="A192" s="2" t="str">
        <x:v>S36-LIMIT-R05</x:v>
      </x:c>
      <x:c r="B192" s="2" t="str">
        <x:v>S36</x:v>
      </x:c>
      <x:c r="C192" s="2" t="str">
        <x:v>merged_1236</x:v>
      </x:c>
      <x:c r="D192" s="2" t="str">
        <x:v>Reviewer_A</x:v>
      </x:c>
      <x:c r="E192" s="2" t="str">
        <x:v>Reviewer_A</x:v>
      </x:c>
      <x:c r="F192" s="2" t="str">
        <x:v>S36-L05</x:v>
      </x:c>
      <x:c r="G192" s="6" t="str">
        <x:v>SR</x:v>
      </x:c>
      <x:c r="H192" s="2" t="str">
        <x:v>Authors</x:v>
      </x:c>
      <x:c r="I192" s="6" t="str">
        <x:v>检索失败分析显示，上下文边界违规（ContextViolation）类型偶尔会检索到通用架构章节，而非具体的上下文定义。</x:v>
      </x:c>
      <x:c r="J192" s="2" t="str">
        <x:v>Empirical</x:v>
      </x:c>
      <x:c r="K192" s="2" t="str">
        <x:v>S38-T01</x:v>
      </x:c>
      <x:c r="L192" s="2" t="str">
        <x:v>Multiple</x:v>
      </x:c>
      <x:c r="M192" s="2" t="str">
        <x:v>RAG源追溯组件</x:v>
      </x:c>
      <x:c r="N192" s="2" t="str">
        <x:v>导致开发者可能无法获取准确的规则来源，影响违规理解</x:v>
      </x:c>
      <x:c r="O192" s="6" t="str">
        <x:v>observed in evaluation</x:v>
      </x:c>
      <x:c r="P192" s="2" t="str">
        <x:v>enhanced metadata tagging for bounded context relationships</x:v>
      </x:c>
      <x:c r="Q192" s="2" t="str">
        <x:v>Proposed</x:v>
      </x:c>
      <x:c r="R192" s="2" t="str">
        <x:v>RETRIEVAL_FAIL</x:v>
      </x:c>
      <x:c r="S192" s="2" t="str">
        <x:v>Performance Issue</x:v>
      </x:c>
      <x:c r="T192" s="2" t="str">
        <x:v>Context and prompt dependence</x:v>
      </x:c>
      <x:c r="U192" s="6" t="str">
        <x:v>p. 4; V. EVALUATION, D. RAG Source Retrieval</x:v>
      </x:c>
      <x:c r="V192" s="6" t="str">
        <x:v>ContextViolation types (architectural boundary violations) occasionally retrieved generic architecture sections rather than the specific context definition.</x:v>
      </x:c>
      <x:c r="W192" s="6" t="str">
        <x:v>在评估中，作者发现RAG管道在检索上下文违规来源时可能返回不精确的通用架构章节，影响源追溯准确性。</x:v>
      </x:c>
      <x:c r="X192" s="2" t="str">
        <x:v>Accepted</x:v>
      </x:c>
      <x:c r="Y192" s="6" t="str">
        <x:v>NR</x:v>
      </x:c>
      <x:c r="Z192" s="2" t="n">
        <x:v>3</x:v>
      </x:c>
      <x:c r="AA192" s="2" t="n">
        <x:v>2</x:v>
      </x:c>
    </x:row>
    <x:row r="193" ht="76" customHeight="1">
      <x:c r="A193" s="2" t="str">
        <x:v>S37-LIMIT-R01</x:v>
      </x:c>
      <x:c r="B193" s="2" t="str">
        <x:v>S37</x:v>
      </x:c>
      <x:c r="C193" s="2" t="str">
        <x:v>merged_1238</x:v>
      </x:c>
      <x:c r="D193" s="2" t="str">
        <x:v>Reviewer_A</x:v>
      </x:c>
      <x:c r="E193" s="2" t="str">
        <x:v>Reviewer_A</x:v>
      </x:c>
      <x:c r="F193" s="2" t="str">
        <x:v>S37-L01</x:v>
      </x:c>
      <x:c r="G193" s="6" t="str">
        <x:v>SR</x:v>
      </x:c>
      <x:c r="H193" s="2" t="str">
        <x:v>Authors</x:v>
      </x:c>
      <x:c r="I193" s="6" t="str">
        <x:v>由于篇幅限制和主题考虑，本文未讨论验证的形式一致性。</x:v>
      </x:c>
      <x:c r="J193" s="2" t="str">
        <x:v>Speculative</x:v>
      </x:c>
      <x:c r="K193" s="2" t="str">
        <x:v>Unclear</x:v>
      </x:c>
      <x:c r="L193" s="2" t="str">
        <x:v>Unclear</x:v>
      </x:c>
      <x:c r="M193" s="2" t="str">
        <x:v>整个流程中的形式一致性验证</x:v>
      </x:c>
      <x:c r="N193" s="2" t="str">
        <x:v>可能影响方法完整性的验证</x:v>
      </x:c>
      <x:c r="O193" s="6" t="str">
        <x:v>NR</x:v>
      </x:c>
      <x:c r="P193" s="2" t="str">
        <x:v>No</x:v>
      </x:c>
      <x:c r="Q193" s="2" t="str">
        <x:v>Not proposed</x:v>
      </x:c>
      <x:c r="R193" s="2" t="str">
        <x:v>formal verification gaps</x:v>
      </x:c>
      <x:c r="S193" s="2" t="str">
        <x:v>limitation_scope</x:v>
      </x:c>
      <x:c r="T193" s="2" t="str">
        <x:v>Evaluation and validity</x:v>
      </x:c>
      <x:c r="U193" s="6" t="str">
        <x:v>p. 27; Section 6</x:v>
      </x:c>
      <x:c r="V193" s="6" t="str">
        <x:v>due to the space constraints and thematic considerations, the formal consistency of verification has not been discussed.</x:v>
      </x:c>
      <x:c r="W193" s="6" t="str">
        <x:v>作者承认由于篇幅和主题限制，未讨论验证的形式一致性，这可能是方法完整性的一个限制。</x:v>
      </x:c>
      <x:c r="X193" s="2" t="str">
        <x:v>Accepted</x:v>
      </x:c>
      <x:c r="Y193" s="6" t="str">
        <x:v>NA</x:v>
      </x:c>
      <x:c r="Z193" s="2" t="n">
        <x:v>2</x:v>
      </x:c>
      <x:c r="AA193" s="2" t="n">
        <x:v>1</x:v>
      </x:c>
    </x:row>
    <x:row r="194" ht="76" customHeight="1">
      <x:c r="A194" s="2" t="str">
        <x:v>S37-LIMIT-R02</x:v>
      </x:c>
      <x:c r="B194" s="2" t="str">
        <x:v>S37</x:v>
      </x:c>
      <x:c r="C194" s="2" t="str">
        <x:v>merged_1238</x:v>
      </x:c>
      <x:c r="D194" s="2" t="str">
        <x:v>Reviewer_A</x:v>
      </x:c>
      <x:c r="E194" s="2" t="str">
        <x:v>Reviewer_A</x:v>
      </x:c>
      <x:c r="F194" s="2" t="str">
        <x:v>S37-L02</x:v>
      </x:c>
      <x:c r="G194" s="6" t="str">
        <x:v>SR</x:v>
      </x:c>
      <x:c r="H194" s="2" t="str">
        <x:v>Authors</x:v>
      </x:c>
      <x:c r="I194" s="6" t="str">
        <x:v>对于超过100,000个节点的超大规模业务流程，合并算法可能需要优化或使用近似算法。</x:v>
      </x:c>
      <x:c r="J194" s="2" t="str">
        <x:v>Empirical</x:v>
      </x:c>
      <x:c r="K194" s="2" t="str">
        <x:v>Unclear</x:v>
      </x:c>
      <x:c r="L194" s="2" t="str">
        <x:v>Unclear</x:v>
      </x:c>
      <x:c r="M194" s="2" t="str">
        <x:v>超大规模业务流程建模</x:v>
      </x:c>
      <x:c r="N194" s="2" t="str">
        <x:v>运行时间会显著增加，需要优化</x:v>
      </x:c>
      <x:c r="O194" s="6" t="str">
        <x:v>estimated running time 42 minutes for 100,000 nodes</x:v>
      </x:c>
      <x:c r="P194" s="2" t="str">
        <x:v>优化或使用近似算法</x:v>
      </x:c>
      <x:c r="Q194" s="2" t="str">
        <x:v>Proposed</x:v>
      </x:c>
      <x:c r="R194" s="2" t="str">
        <x:v>scalability limitations</x:v>
      </x:c>
      <x:c r="S194" s="2" t="str">
        <x:v>algorithm_scalability</x:v>
      </x:c>
      <x:c r="T194" s="2" t="str">
        <x:v>Scalability and deployment</x:v>
      </x:c>
      <x:c r="U194" s="6" t="str">
        <x:v>p. 16; Section 4.2</x:v>
      </x:c>
      <x:c r="V194" s="6" t="str">
        <x:v>(105 ~ 106 business processes with more than 100,000, nodes, optimization or the use of approximate algorithms may be necessary.</x:v>
      </x:c>
      <x:c r="W194" s="6" t="str">
        <x:v>作者指出对于超大规模流程，合并算法的可扩展性不足，可能需要优化，这是一个限制。</x:v>
      </x:c>
      <x:c r="X194" s="2" t="str">
        <x:v>Accepted</x:v>
      </x:c>
      <x:c r="Y194" s="6" t="str">
        <x:v>NA</x:v>
      </x:c>
      <x:c r="Z194" s="2" t="n">
        <x:v>3</x:v>
      </x:c>
      <x:c r="AA194" s="2" t="n">
        <x:v>2</x:v>
      </x:c>
    </x:row>
    <x:row r="195" ht="76" customHeight="1">
      <x:c r="A195" s="2" t="str">
        <x:v>S38-LIMIT-R01</x:v>
      </x:c>
      <x:c r="B195" s="2" t="str">
        <x:v>S38</x:v>
      </x:c>
      <x:c r="C195" s="2" t="str">
        <x:v>merged_1241</x:v>
      </x:c>
      <x:c r="D195" s="2" t="str">
        <x:v>Reviewer_A</x:v>
      </x:c>
      <x:c r="E195" s="2" t="str">
        <x:v>Reviewer_A</x:v>
      </x:c>
      <x:c r="F195" s="2" t="str">
        <x:v>S38-L01</x:v>
      </x:c>
      <x:c r="G195" s="6" t="str">
        <x:v>SR</x:v>
      </x:c>
      <x:c r="H195" s="2" t="str">
        <x:v>Authors</x:v>
      </x:c>
      <x:c r="I195" s="6" t="str">
        <x:v>属性与追溯正确性评估涉及由两名具有形式化方法专业知识的学生进行手工标注，尽管已采取一致性措施，但主观偏差可能仍然存在。</x:v>
      </x:c>
      <x:c r="J195" s="2" t="str">
        <x:v>Empirical</x:v>
      </x:c>
      <x:c r="K195" s="2" t="str">
        <x:v>S40-T01</x:v>
      </x:c>
      <x:c r="L195" s="2" t="str">
        <x:v>Unclear</x:v>
      </x:c>
      <x:c r="M195" s="2" t="str">
        <x:v>对生成的属性和追溯矩阵进行手工标注。</x:v>
      </x:c>
      <x:c r="N195" s="2" t="str">
        <x:v>可能存在主观偏差，影响评估结果的可靠性。</x:v>
      </x:c>
      <x:c r="O195" s="6" t="str">
        <x:v>作者承认尽管采取了缓解措施，风险仍然存在。</x:v>
      </x:c>
      <x:c r="P195" s="2" t="str">
        <x:v>对标注者进行了统一指南和案例培训，并对部分数据双重标注以计算一致性。</x:v>
      </x:c>
      <x:c r="Q195" s="2" t="str">
        <x:v>Implemented</x:v>
      </x:c>
      <x:c r="R195" s="2" t="str">
        <x:v>evaluation_bias</x:v>
      </x:c>
      <x:c r="S195" s="2" t="str">
        <x:v>internal_validity</x:v>
      </x:c>
      <x:c r="T195" s="2" t="str">
        <x:v>Evaluation and validity</x:v>
      </x:c>
      <x:c r="U195" s="6" t="str">
        <x:v>p. 20; Section 6 Threats to Validity, Internal validity.</x:v>
      </x:c>
      <x:c r="V195" s="6" t="str">
        <x:v>The evaluation of property and traceability correctness involves manual annotation by two students with formal methods expertise. Although care was taken to ensure consistency, subjective bias may still exist.</x:v>
      </x:c>
      <x:c r="W195" s="6" t="str">
        <x:v>内部有效性威胁：手工标注可能引入主观偏差，尽管采取了培训、指南和计算一致性等措施来缓解。</x:v>
      </x:c>
      <x:c r="X195" s="2" t="str">
        <x:v>Accepted</x:v>
      </x:c>
      <x:c r="Y195" s="6" t="str">
        <x:v>NA</x:v>
      </x:c>
      <x:c r="Z195" s="2" t="n">
        <x:v>3</x:v>
      </x:c>
      <x:c r="AA195" s="2" t="n">
        <x:v>3</x:v>
      </x:c>
    </x:row>
    <x:row r="196" ht="76" customHeight="1">
      <x:c r="A196" s="2" t="str">
        <x:v>S38-LIMIT-R02</x:v>
      </x:c>
      <x:c r="B196" s="2" t="str">
        <x:v>S38</x:v>
      </x:c>
      <x:c r="C196" s="2" t="str">
        <x:v>merged_1241</x:v>
      </x:c>
      <x:c r="D196" s="2" t="str">
        <x:v>Reviewer_A</x:v>
      </x:c>
      <x:c r="E196" s="2" t="str">
        <x:v>Reviewer_A</x:v>
      </x:c>
      <x:c r="F196" s="2" t="str">
        <x:v>S38-L02</x:v>
      </x:c>
      <x:c r="G196" s="6" t="str">
        <x:v>SR</x:v>
      </x:c>
      <x:c r="H196" s="2" t="str">
        <x:v>Authors</x:v>
      </x:c>
      <x:c r="I196" s="6" t="str">
        <x:v>基准数据集虽涵盖多个数据集，但范围有限，可能无法完全代表所有安全关键领域。此外，评估仅在四个代表性LLM上进行，对其他LLM或任务的泛化性有待进一步验证。</x:v>
      </x:c>
      <x:c r="J196" s="2" t="str">
        <x:v>Empirical</x:v>
      </x:c>
      <x:c r="K196" s="2" t="str">
        <x:v>S40-T01</x:v>
      </x:c>
      <x:c r="L196" s="2" t="str">
        <x:v>Multiple</x:v>
      </x:c>
      <x:c r="M196" s="2" t="str">
        <x:v>基准数据集和评估所用的LLM。</x:v>
      </x:c>
      <x:c r="N196" s="2" t="str">
        <x:v>限制了研究结果向其他安全关键领域、其他LLM或任务的推广。</x:v>
      </x:c>
      <x:c r="O196" s="6" t="str">
        <x:v>作者明确指出范围有限，泛化性需进一步验证。</x:v>
      </x:c>
      <x:c r="P196" s="2" t="str">
        <x:v>No</x:v>
      </x:c>
      <x:c r="Q196" s="2" t="str">
        <x:v>Not proposed</x:v>
      </x:c>
      <x:c r="R196" s="2" t="str">
        <x:v>external_generalizability</x:v>
      </x:c>
      <x:c r="S196" s="2" t="str">
        <x:v>external_validity</x:v>
      </x:c>
      <x:c r="T196" s="2" t="str">
        <x:v>Generalizability and scope</x:v>
      </x:c>
      <x:c r="U196" s="6" t="str">
        <x:v>p. 20; Section 6 Threats to Validity, External validity.</x:v>
      </x:c>
      <x:c r="V196" s="6" t="str">
        <x:v>While the benchmark covers multiple datasets, it remains limited in scope and may not fully represent all safety-critical domains. Moreover, the evaluation is conducted on four representative LLMs, and generalizability to other LLMs or tasks remains to be further validated.</x:v>
      </x:c>
      <x:c r="W196" s="6" t="str">
        <x:v>外部有效性威胁：数据集和评估范围有限，泛化性未验证。</x:v>
      </x:c>
      <x:c r="X196" s="2" t="str">
        <x:v>Accepted</x:v>
      </x:c>
      <x:c r="Y196" s="6" t="str">
        <x:v>NA</x:v>
      </x:c>
      <x:c r="Z196" s="2" t="n">
        <x:v>3</x:v>
      </x:c>
      <x:c r="AA196" s="2" t="n">
        <x:v>1</x:v>
      </x:c>
    </x:row>
    <x:row r="197" ht="76" customHeight="1">
      <x:c r="A197" s="2" t="str">
        <x:v>S38-LIMIT-R03</x:v>
      </x:c>
      <x:c r="B197" s="2" t="str">
        <x:v>S38</x:v>
      </x:c>
      <x:c r="C197" s="2" t="str">
        <x:v>merged_1241</x:v>
      </x:c>
      <x:c r="D197" s="2" t="str">
        <x:v>Reviewer_A</x:v>
      </x:c>
      <x:c r="E197" s="2" t="str">
        <x:v>Reviewer_A</x:v>
      </x:c>
      <x:c r="F197" s="2" t="str">
        <x:v>S38-L03</x:v>
      </x:c>
      <x:c r="G197" s="6" t="str">
        <x:v>SR</x:v>
      </x:c>
      <x:c r="H197" s="2" t="str">
        <x:v>Authors</x:v>
      </x:c>
      <x:c r="I197" s="6" t="str">
        <x:v>在RQ2和RQ3中使用@1指标忽略了多候选生成的潜力。</x:v>
      </x:c>
      <x:c r="J197" s="2" t="str">
        <x:v>Speculative</x:v>
      </x:c>
      <x:c r="K197" s="2" t="str">
        <x:v>Unclear</x:v>
      </x:c>
      <x:c r="L197" s="2" t="str">
        <x:v>Multiple</x:v>
      </x:c>
      <x:c r="M197" s="2" t="str">
        <x:v>RQ2与RQ3的评估指标。</x:v>
      </x:c>
      <x:c r="N197" s="2" t="str">
        <x:v>可能低估了模型在多次生成中的最佳表现。</x:v>
      </x:c>
      <x:c r="O197" s="6" t="str">
        <x:v>作者确认@1指标忽略了多候选生成。</x:v>
      </x:c>
      <x:c r="P197" s="2" t="str">
        <x:v>计划在未来工作中探索LLM输出重排序。</x:v>
      </x:c>
      <x:c r="Q197" s="2" t="str">
        <x:v>Proposed</x:v>
      </x:c>
      <x:c r="R197" s="2" t="str">
        <x:v>metric_limitation</x:v>
      </x:c>
      <x:c r="S197" s="2" t="str">
        <x:v>construct_validity</x:v>
      </x:c>
      <x:c r="T197" s="2" t="str">
        <x:v>Evaluation and validity</x:v>
      </x:c>
      <x:c r="U197" s="6" t="str">
        <x:v>p. 20; Section 6 Threats to Validity, Construct validity.</x:v>
      </x:c>
      <x:c r="V197" s="6" t="str">
        <x:v>The use of @1 metrics in RQ2 and RQ3 ignores the potential of multiple candidate generations.</x:v>
      </x:c>
      <x:c r="W197" s="6" t="str">
        <x:v>构造有效性威胁：采用@1指标忽略了多候选生成带来的潜力。</x:v>
      </x:c>
      <x:c r="X197" s="2" t="str">
        <x:v>Accepted</x:v>
      </x:c>
      <x:c r="Y197" s="6" t="str">
        <x:v>NA</x:v>
      </x:c>
      <x:c r="Z197" s="2" t="n">
        <x:v>2</x:v>
      </x:c>
      <x:c r="AA197" s="2" t="n">
        <x:v>2</x:v>
      </x:c>
    </x:row>
    <x:row r="198" ht="76" customHeight="1">
      <x:c r="A198" s="2" t="str">
        <x:v>S39-LIMIT-R01</x:v>
      </x:c>
      <x:c r="B198" s="2" t="str">
        <x:v>S39</x:v>
      </x:c>
      <x:c r="C198" s="2" t="str">
        <x:v>merged_1245</x:v>
      </x:c>
      <x:c r="D198" s="2" t="str">
        <x:v>Reviewer_A</x:v>
      </x:c>
      <x:c r="E198" s="2" t="str">
        <x:v>Reviewer_A</x:v>
      </x:c>
      <x:c r="F198" s="2" t="str">
        <x:v>S39-L01</x:v>
      </x:c>
      <x:c r="G198" s="6" t="str">
        <x:v>SR</x:v>
      </x:c>
      <x:c r="H198" s="2" t="str">
        <x:v>Authors</x:v>
      </x:c>
      <x:c r="I198" s="6" t="str">
        <x:v>需求可能包含重叠的异味，因此必须能够分别检测这些重叠的异味，这构成一个挑战。</x:v>
      </x:c>
      <x:c r="J198" s="2" t="str">
        <x:v>Speculative</x:v>
      </x:c>
      <x:c r="K198" s="2" t="str">
        <x:v>Unclear</x:v>
      </x:c>
      <x:c r="L198" s="2" t="str">
        <x:v>Unclear</x:v>
      </x:c>
      <x:c r="M198" s="2" t="str">
        <x:v>自动化检测需求异味</x:v>
      </x:c>
      <x:c r="N198" s="2" t="str">
        <x:v>可能使自动化检测复杂化</x:v>
      </x:c>
      <x:c r="O198" s="6" t="str">
        <x:v>NR</x:v>
      </x:c>
      <x:c r="P198" s="2" t="str">
        <x:v>No</x:v>
      </x:c>
      <x:c r="Q198" s="2" t="str">
        <x:v>Not proposed</x:v>
      </x:c>
      <x:c r="R198" s="2" t="str">
        <x:v>overlapping_smells_challenge</x:v>
      </x:c>
      <x:c r="S198" s="2" t="str">
        <x:v>detection_challenge</x:v>
      </x:c>
      <x:c r="T198" s="2" t="str">
        <x:v>Evaluation and validity</x:v>
      </x:c>
      <x:c r="U198" s="6" t="str">
        <x:v>p. 3; Section IV-C</x:v>
      </x:c>
      <x:c r="V198" s="6" t="str">
        <x:v>A challenge imposed for this research question will be that requirements may contain overlapping smells. Thus, it must be possible to detect these overlapping smells separately.</x:v>
      </x:c>
      <x:c r="W198" s="6" t="str">
        <x:v>作者在R3中提出，需求中可能存在重叠的异味，这使得分别检测每种异味成为必须解决的挑战。</x:v>
      </x:c>
      <x:c r="X198" s="2" t="str">
        <x:v>Accepted</x:v>
      </x:c>
      <x:c r="Y198" s="6" t="str">
        <x:v>NA</x:v>
      </x:c>
      <x:c r="Z198" s="2" t="n">
        <x:v>2</x:v>
      </x:c>
      <x:c r="AA198" s="2" t="n">
        <x:v>1</x:v>
      </x:c>
    </x:row>
    <x:row r="199" ht="76" customHeight="1">
      <x:c r="A199" s="2" t="str">
        <x:v>S40-LIMIT-R01</x:v>
      </x:c>
      <x:c r="B199" s="2" t="str">
        <x:v>S40</x:v>
      </x:c>
      <x:c r="C199" s="2" t="str">
        <x:v>merged_1263</x:v>
      </x:c>
      <x:c r="D199" s="2" t="str">
        <x:v>Reviewer_A</x:v>
      </x:c>
      <x:c r="E199" s="2" t="str">
        <x:v>Reviewer_A</x:v>
      </x:c>
      <x:c r="F199" s="2" t="str">
        <x:v>S40-L01</x:v>
      </x:c>
      <x:c r="G199" s="6" t="str">
        <x:v>SR</x:v>
      </x:c>
      <x:c r="H199" s="2" t="str">
        <x:v>Authors</x:v>
      </x:c>
      <x:c r="I199" s="6" t="str">
        <x:v>评估仅限于中型 Java 项目，向大型工业代码库的泛化性未知。</x:v>
      </x:c>
      <x:c r="J199" s="2" t="str">
        <x:v>Speculative</x:v>
      </x:c>
      <x:c r="K199" s="2" t="str">
        <x:v>S42-T01</x:v>
      </x:c>
      <x:c r="L199" s="2" t="str">
        <x:v>Multiple</x:v>
      </x:c>
      <x:c r="M199" s="2" t="str">
        <x:v>Benchmark datasets are moderate-sized Java projects</x:v>
      </x:c>
      <x:c r="N199" s="2" t="str">
        <x:v>Results may not generalize to larger industrial codebases</x:v>
      </x:c>
      <x:c r="O199" s="6" t="str">
        <x:v>External validity threat</x:v>
      </x:c>
      <x:c r="P199" s="2" t="str">
        <x:v>Future evaluation on industrial codebases</x:v>
      </x:c>
      <x:c r="Q199" s="2" t="str">
        <x:v>Proposed</x:v>
      </x:c>
      <x:c r="R199" s="2" t="str">
        <x:v>Generalizability</x:v>
      </x:c>
      <x:c r="S199" s="2" t="str">
        <x:v>Limitation_Generality</x:v>
      </x:c>
      <x:c r="T199" s="2" t="str">
        <x:v>Generalizability and scope</x:v>
      </x:c>
      <x:c r="U199" s="6" t="str">
        <x:v>p. 23; section 5.2</x:v>
      </x:c>
      <x:c r="V199" s="6" t="str">
        <x:v>The five tasks are dominated by Java projects of moderate size, so the reported gains are most directly supported for projects with similar artifact types, label granularity, and code organization. Evaluation on substantially larger industrial codebases remains future work.</x:v>
      </x:c>
      <x:c r="W199" s="6" t="str">
        <x:v>作者承认现有基准数据集均为中等规模 Java 项目，因此结果可能无法直接推广到大型工业代码库，视作外部效度威胁。</x:v>
      </x:c>
      <x:c r="X199" s="2" t="str">
        <x:v>Accepted</x:v>
      </x:c>
      <x:c r="Y199" s="6" t="str">
        <x:v>NA</x:v>
      </x:c>
      <x:c r="Z199" s="2" t="n">
        <x:v>2</x:v>
      </x:c>
      <x:c r="AA199" s="2" t="n">
        <x:v>2</x:v>
      </x:c>
    </x:row>
    <x:row r="200" ht="76" customHeight="1">
      <x:c r="A200" s="2" t="str">
        <x:v>S40-LIMIT-R02</x:v>
      </x:c>
      <x:c r="B200" s="2" t="str">
        <x:v>S40</x:v>
      </x:c>
      <x:c r="C200" s="2" t="str">
        <x:v>merged_1263</x:v>
      </x:c>
      <x:c r="D200" s="2" t="str">
        <x:v>Reviewer_A</x:v>
      </x:c>
      <x:c r="E200" s="2" t="str">
        <x:v>Reviewer_A</x:v>
      </x:c>
      <x:c r="F200" s="2" t="str">
        <x:v>S40-L02</x:v>
      </x:c>
      <x:c r="G200" s="6" t="str">
        <x:v>SR</x:v>
      </x:c>
      <x:c r="H200" s="2" t="str">
        <x:v>Authors</x:v>
      </x:c>
      <x:c r="I200" s="6" t="str">
        <x:v>仅使用静态依赖关系，未纳入动态依赖信息，可能导致假阴性。</x:v>
      </x:c>
      <x:c r="J200" s="2" t="str">
        <x:v>Speculative</x:v>
      </x:c>
      <x:c r="K200" s="2" t="str">
        <x:v>S42-T01</x:v>
      </x:c>
      <x:c r="L200" s="2" t="str">
        <x:v>Multiple</x:v>
      </x:c>
      <x:c r="M200" s="2" t="str">
        <x:v>Graph construction uses only static calls and inheritance</x:v>
      </x:c>
      <x:c r="N200" s="2" t="str">
        <x:v>Potential retrieval-stage false negatives</x:v>
      </x:c>
      <x:c r="O200" s="6" t="str">
        <x:v>Open issue</x:v>
      </x:c>
      <x:c r="P200" s="2" t="str">
        <x:v>Extend with dynamic dependency analysis</x:v>
      </x:c>
      <x:c r="Q200" s="2" t="str">
        <x:v>Proposed</x:v>
      </x:c>
      <x:c r="R200" s="2" t="str">
        <x:v>StaticAnalysis</x:v>
      </x:c>
      <x:c r="S200" s="2" t="str">
        <x:v>Limitation_StaticGraph</x:v>
      </x:c>
      <x:c r="T200" s="2" t="str">
        <x:v>Context and prompt dependence</x:v>
      </x:c>
      <x:c r="U200" s="6" t="str">
        <x:v>p. 23; section 5.2</x:v>
      </x:c>
      <x:c r="V200" s="6" t="str">
        <x:v>The current study does not incorporate dynamic dependency information, so the retrieval results should be interpreted as static-graph results.</x:v>
      </x:c>
      <x:c r="W200" s="6" t="str">
        <x:v>作者指出目前仅依赖静态代码结构，未包含动态依赖，可能遗漏运行时关系导致的链接，影响检索召回。</x:v>
      </x:c>
      <x:c r="X200" s="2" t="str">
        <x:v>Accepted</x:v>
      </x:c>
      <x:c r="Y200" s="6" t="str">
        <x:v>NA</x:v>
      </x:c>
      <x:c r="Z200" s="2" t="n">
        <x:v>2</x:v>
      </x:c>
      <x:c r="AA200" s="2" t="n">
        <x:v>2</x:v>
      </x:c>
    </x:row>
    <x:row r="201" ht="76" customHeight="1">
      <x:c r="A201" s="2" t="str">
        <x:v>S40-LIMIT-R03</x:v>
      </x:c>
      <x:c r="B201" s="2" t="str">
        <x:v>S40</x:v>
      </x:c>
      <x:c r="C201" s="2" t="str">
        <x:v>merged_1263</x:v>
      </x:c>
      <x:c r="D201" s="2" t="str">
        <x:v>Reviewer_A</x:v>
      </x:c>
      <x:c r="E201" s="2" t="str">
        <x:v>Reviewer_A</x:v>
      </x:c>
      <x:c r="F201" s="2" t="str">
        <x:v>S40-L03</x:v>
      </x:c>
      <x:c r="G201" s="6" t="str">
        <x:v>SR</x:v>
      </x:c>
      <x:c r="H201" s="2" t="str">
        <x:v>Authors</x:v>
      </x:c>
      <x:c r="I201" s="6" t="str">
        <x:v>输出粒度受限于类级标签，方法级定位能力被隐藏，大类评分可能不精确。</x:v>
      </x:c>
      <x:c r="J201" s="2" t="str">
        <x:v>Speculative</x:v>
      </x:c>
      <x:c r="K201" s="2" t="str">
        <x:v>S42-T01</x:v>
      </x:c>
      <x:c r="L201" s="2" t="str">
        <x:v>Multiple</x:v>
      </x:c>
      <x:c r="M201" s="2" t="str">
        <x:v>Benchmark labels are at class level</x:v>
      </x:c>
      <x:c r="N201" s="2" t="str">
        <x:v>Reduced precision for large or multi-responsibility classes</x:v>
      </x:c>
      <x:c r="O201" s="6" t="str">
        <x:v>Inherent granularity mismatch</x:v>
      </x:c>
      <x:c r="P201" s="2" t="str">
        <x:v>Adopt method-level aggregation with attention</x:v>
      </x:c>
      <x:c r="Q201" s="2" t="str">
        <x:v>Proposed</x:v>
      </x:c>
      <x:c r="R201" s="2" t="str">
        <x:v>Granularity</x:v>
      </x:c>
      <x:c r="S201" s="2" t="str">
        <x:v>Limitation_Granularity</x:v>
      </x:c>
      <x:c r="T201" s="2" t="str">
        <x:v>Context and prompt dependence</x:v>
      </x:c>
      <x:c r="U201" s="6" t="str">
        <x:v>p. 23; section 5.2</x:v>
      </x:c>
      <x:c r="V201" s="6" t="str">
        <x:v>labels. This granularity can hide method-level localization quality and can make class- level scores less precise for large or multi-responsibility classes. In settings with method-</x:v>
      </x:c>
      <x:c r="W201" s="6" t="str">
        <x:v>由于基准真值仅为类级，内部方法层信息被聚合，可能掩盖方法定位精度且对大类评分不利。</x:v>
      </x:c>
      <x:c r="X201" s="2" t="str">
        <x:v>Accepted</x:v>
      </x:c>
      <x:c r="Y201" s="6" t="str">
        <x:v>NA</x:v>
      </x:c>
      <x:c r="Z201" s="2" t="n">
        <x:v>2</x:v>
      </x:c>
      <x:c r="AA201" s="2" t="n">
        <x:v>2</x:v>
      </x:c>
    </x:row>
    <x:row r="202" ht="76" customHeight="1">
      <x:c r="A202" s="2" t="str">
        <x:v>S40-LIMIT-R04</x:v>
      </x:c>
      <x:c r="B202" s="2" t="str">
        <x:v>S40</x:v>
      </x:c>
      <x:c r="C202" s="2" t="str">
        <x:v>merged_1263</x:v>
      </x:c>
      <x:c r="D202" s="2" t="str">
        <x:v>Reviewer_A</x:v>
      </x:c>
      <x:c r="E202" s="2" t="str">
        <x:v>Reviewer_A</x:v>
      </x:c>
      <x:c r="F202" s="2" t="str">
        <x:v>S40-L04</x:v>
      </x:c>
      <x:c r="G202" s="6" t="str">
        <x:v>SR</x:v>
      </x:c>
      <x:c r="H202" s="2" t="str">
        <x:v>Authors</x:v>
      </x:c>
      <x:c r="I202" s="6" t="str">
        <x:v>校准参数（τ, α, K, β）固定且未按项目调整，可能偏离局部最优。</x:v>
      </x:c>
      <x:c r="J202" s="2" t="str">
        <x:v>Empirical</x:v>
      </x:c>
      <x:c r="K202" s="2" t="str">
        <x:v>S42-T01</x:v>
      </x:c>
      <x:c r="L202" s="2" t="str">
        <x:v>Multiple</x:v>
      </x:c>
      <x:c r="M202" s="2" t="str">
        <x:v>Fixed hyperparameters across datasets</x:v>
      </x:c>
      <x:c r="N202" s="2" t="str">
        <x:v>Suboptimal retrieval performance on some projects</x:v>
      </x:c>
      <x:c r="O202" s="6" t="str">
        <x:v>Sensitivity analysis shows parameter influence</x:v>
      </x:c>
      <x:c r="P202" s="2" t="str">
        <x:v>Adaptive calibration based on project statistics</x:v>
      </x:c>
      <x:c r="Q202" s="2" t="str">
        <x:v>Proposed</x:v>
      </x:c>
      <x:c r="R202" s="2" t="str">
        <x:v>FixedParameters</x:v>
      </x:c>
      <x:c r="S202" s="2" t="str">
        <x:v>Limitation_Hyperparameters</x:v>
      </x:c>
      <x:c r="T202" s="2" t="str">
        <x:v>Data and evidence quality</x:v>
      </x:c>
      <x:c r="U202" s="6" t="str">
        <x:v>p. 23; section 5.2</x:v>
      </x:c>
      <x:c r="V202" s="6" t="str">
        <x:v>Several calibration choices are fixed in the current evaluation setup</x:v>
      </x:c>
      <x:c r="W202" s="6" t="str">
        <x:v>作者在敏感性分析中发现阈值等参数影响显著，但评估中未按项目调节，可能未达最优。</x:v>
      </x:c>
      <x:c r="X202" s="2" t="str">
        <x:v>Accepted</x:v>
      </x:c>
      <x:c r="Y202" s="6" t="str">
        <x:v>NA</x:v>
      </x:c>
      <x:c r="Z202" s="2" t="n">
        <x:v>3</x:v>
      </x:c>
      <x:c r="AA202" s="2" t="n">
        <x:v>2</x:v>
      </x:c>
    </x:row>
    <x:row r="203" ht="76" customHeight="1">
      <x:c r="A203" s="2" t="str">
        <x:v>S40-LIMIT-R05</x:v>
      </x:c>
      <x:c r="B203" s="2" t="str">
        <x:v>S40</x:v>
      </x:c>
      <x:c r="C203" s="2" t="str">
        <x:v>merged_1263</x:v>
      </x:c>
      <x:c r="D203" s="2" t="str">
        <x:v>Reviewer_A</x:v>
      </x:c>
      <x:c r="E203" s="2" t="str">
        <x:v>Reviewer_A</x:v>
      </x:c>
      <x:c r="F203" s="2" t="str">
        <x:v>S40-L05</x:v>
      </x:c>
      <x:c r="G203" s="6" t="str">
        <x:v>SR</x:v>
      </x:c>
      <x:c r="H203" s="2" t="str">
        <x:v>Authors</x:v>
      </x:c>
      <x:c r="I203" s="6" t="str">
        <x:v>嵌入模型固定为 text-embedding-3-large，其他编码器的效果未知。</x:v>
      </x:c>
      <x:c r="J203" s="2" t="str">
        <x:v>Speculative</x:v>
      </x:c>
      <x:c r="K203" s="2" t="str">
        <x:v>S42-T01</x:v>
      </x:c>
      <x:c r="L203" s="2" t="str">
        <x:v>Multiple</x:v>
      </x:c>
      <x:c r="M203" s="2" t="str">
        <x:v>Embedding model fixed to LiSSA configuration</x:v>
      </x:c>
      <x:c r="N203" s="2" t="str">
        <x:v>Results may not transfer to other embedding models</x:v>
      </x:c>
      <x:c r="O203" s="6" t="str">
        <x:v>Construct validity threat</x:v>
      </x:c>
      <x:c r="P203" s="2" t="str">
        <x:v>No</x:v>
      </x:c>
      <x:c r="Q203" s="2" t="str">
        <x:v>Not proposed</x:v>
      </x:c>
      <x:c r="R203" s="2" t="str">
        <x:v>EmbeddingFixed</x:v>
      </x:c>
      <x:c r="S203" s="2" t="str">
        <x:v>Limitation_Embedding</x:v>
      </x:c>
      <x:c r="T203" s="2" t="str">
        <x:v>Context and prompt dependence</x:v>
      </x:c>
      <x:c r="U203" s="6" t="str">
        <x:v>p. 23; section 5.2</x:v>
      </x:c>
      <x:c r="V203" s="6" t="str">
        <x:v>The embedding model is also fixed to the LISSA configuration</x:v>
      </x:c>
      <x:c r="W203" s="6" t="str">
        <x:v>作者为与基线公平比较固定了嵌入模型，但声明结果可能不适用于其他编码器。</x:v>
      </x:c>
      <x:c r="X203" s="2" t="str">
        <x:v>Accepted</x:v>
      </x:c>
      <x:c r="Y203" s="6" t="str">
        <x:v>NA</x:v>
      </x:c>
      <x:c r="Z203" s="2" t="n">
        <x:v>2</x:v>
      </x:c>
      <x:c r="AA203" s="2" t="n">
        <x:v>1</x:v>
      </x:c>
    </x:row>
    <x:row r="204" ht="76" customHeight="1">
      <x:c r="A204" s="2" t="str">
        <x:v>S40-LIMIT-R06</x:v>
      </x:c>
      <x:c r="B204" s="2" t="str">
        <x:v>S40</x:v>
      </x:c>
      <x:c r="C204" s="2" t="str">
        <x:v>merged_1263</x:v>
      </x:c>
      <x:c r="D204" s="2" t="str">
        <x:v>Reviewer_A</x:v>
      </x:c>
      <x:c r="E204" s="2" t="str">
        <x:v>Reviewer_A</x:v>
      </x:c>
      <x:c r="F204" s="2" t="str">
        <x:v>S40-L06</x:v>
      </x:c>
      <x:c r="G204" s="6" t="str">
        <x:v>SR</x:v>
      </x:c>
      <x:c r="H204" s="2" t="str">
        <x:v>Authors</x:v>
      </x:c>
      <x:c r="I204" s="6" t="str">
        <x:v>LLM 验证器仅使用支持性路径，未生成对抗性证据，且模型选择影响行为。</x:v>
      </x:c>
      <x:c r="J204" s="2" t="str">
        <x:v>Speculative</x:v>
      </x:c>
      <x:c r="K204" s="2" t="str">
        <x:v>S42-T01</x:v>
      </x:c>
      <x:c r="L204" s="2" t="str">
        <x:v>Multiple</x:v>
      </x:c>
      <x:c r="M204" s="2" t="str">
        <x:v>LLM validator prompt and model selection</x:v>
      </x:c>
      <x:c r="N204" s="2" t="str">
        <x:v>Potential false positives from plausible but non-specific links</x:v>
      </x:c>
      <x:c r="O204" s="6" t="str">
        <x:v>Possible over-trust in supportive evidence</x:v>
      </x:c>
      <x:c r="P204" s="2" t="str">
        <x:v>Add debate-style verification with opposing paths</x:v>
      </x:c>
      <x:c r="Q204" s="2" t="str">
        <x:v>Proposed</x:v>
      </x:c>
      <x:c r="R204" s="2" t="str">
        <x:v>ValidatorLimitation</x:v>
      </x:c>
      <x:c r="S204" s="2" t="str">
        <x:v>Limitation_Validator</x:v>
      </x:c>
      <x:c r="T204" s="2" t="str">
        <x:v>Model reliability</x:v>
      </x:c>
      <x:c r="U204" s="6" t="str">
        <x:v>p. 23; section 5.2</x:v>
      </x:c>
      <x:c r="V204" s="6" t="str">
        <x:v>The path prompt uses the supportive evidence paths retrieved for the queried pair and does not construct opposing paths for adversarial or debate-style verification.</x:v>
      </x:c>
      <x:c r="W204" s="6" t="str">
        <x:v>当前验证提示仅提供支持性结构路径，缺失对立证据，可能引入假阳性。</x:v>
      </x:c>
      <x:c r="X204" s="2" t="str">
        <x:v>Accepted</x:v>
      </x:c>
      <x:c r="Y204" s="6" t="str">
        <x:v>NA</x:v>
      </x:c>
      <x:c r="Z204" s="2" t="n">
        <x:v>2</x:v>
      </x:c>
      <x:c r="AA204" s="2" t="n">
        <x:v>2</x:v>
      </x:c>
    </x:row>
    <x:row r="205" ht="76" customHeight="1">
      <x:c r="A205" s="2" t="str">
        <x:v>S40-LIMIT-R07</x:v>
      </x:c>
      <x:c r="B205" s="2" t="str">
        <x:v>S40</x:v>
      </x:c>
      <x:c r="C205" s="2" t="str">
        <x:v>merged_1263</x:v>
      </x:c>
      <x:c r="D205" s="2" t="str">
        <x:v>Reviewer_A</x:v>
      </x:c>
      <x:c r="E205" s="2" t="str">
        <x:v>Reviewer_A</x:v>
      </x:c>
      <x:c r="F205" s="2" t="str">
        <x:v>S40-L07</x:v>
      </x:c>
      <x:c r="G205" s="6" t="str">
        <x:v>SR</x:v>
      </x:c>
      <x:c r="H205" s="2" t="str">
        <x:v>Authors</x:v>
      </x:c>
      <x:c r="I205" s="6" t="str">
        <x:v>结构扩散可能过度强化枢纽类，压倒需求特定类，语义门控和 z-score 校准未能完全消除。</x:v>
      </x:c>
      <x:c r="J205" s="2" t="str">
        <x:v>Empirical</x:v>
      </x:c>
      <x:c r="K205" s="2" t="str">
        <x:v>S42-T01</x:v>
      </x:c>
      <x:c r="L205" s="2" t="str">
        <x:v>Multiple</x:v>
      </x:c>
      <x:c r="M205" s="2" t="str">
        <x:v>Case study on iTrust</x:v>
      </x:c>
      <x:c r="N205" s="2" t="str">
        <x:v>Hub class ranks higher than requirement-specific action class</x:v>
      </x:c>
      <x:c r="O205" s="6" t="str">
        <x:v>Observed negative case</x:v>
      </x:c>
      <x:c r="P205" s="2" t="str">
        <x:v>Semantic gating and z-score normalization reduce but do not remove</x:v>
      </x:c>
      <x:c r="Q205" s="2" t="str">
        <x:v>Implemented</x:v>
      </x:c>
      <x:c r="R205" s="2" t="str">
        <x:v>HubOveremphasis</x:v>
      </x:c>
      <x:c r="S205" s="2" t="str">
        <x:v>Limitation_Hub</x:v>
      </x:c>
      <x:c r="T205" s="2" t="str">
        <x:v>Context and prompt dependence</x:v>
      </x:c>
      <x:c r="U205" s="6" t="str">
        <x:v>p. 22; section 4.4</x:v>
      </x:c>
      <x:c r="V205" s="6" t="str">
        <x:v>This negative case marks a limitation of structural reinforcement. When many paths converge on a data-access or hub-like class, SG-DSDR can overemphasize that class relative to a more requirement-specific action class.</x:v>
      </x:c>
      <x:c r="W205" s="6" t="str">
        <x:v>案例中发现结构扩散有时会过度提升高连接度的数据访问类，掩盖直接实现类。</x:v>
      </x:c>
      <x:c r="X205" s="2" t="str">
        <x:v>Accepted</x:v>
      </x:c>
      <x:c r="Y205" s="6" t="str">
        <x:v>NA</x:v>
      </x:c>
      <x:c r="Z205" s="2" t="n">
        <x:v>3</x:v>
      </x:c>
      <x:c r="AA205" s="2" t="n">
        <x:v>3</x:v>
      </x:c>
    </x:row>
    <x:row r="206" ht="76" customHeight="1">
      <x:c r="A206" s="2" t="str">
        <x:v>S40-LIMIT-R08</x:v>
      </x:c>
      <x:c r="B206" s="2" t="str">
        <x:v>S40</x:v>
      </x:c>
      <x:c r="C206" s="2" t="str">
        <x:v>merged_1263</x:v>
      </x:c>
      <x:c r="D206" s="2" t="str">
        <x:v>Reviewer_A</x:v>
      </x:c>
      <x:c r="E206" s="2" t="str">
        <x:v>Reviewer_A</x:v>
      </x:c>
      <x:c r="F206" s="2" t="str">
        <x:v>S40-L08</x:v>
      </x:c>
      <x:c r="G206" s="6" t="str">
        <x:v>SR</x:v>
      </x:c>
      <x:c r="H206" s="2" t="str">
        <x:v>Authors</x:v>
      </x:c>
      <x:c r="I206" s="6" t="str">
        <x:v>类评分聚合偏向大类，当只有少数方法与需求相关时仍会受益。</x:v>
      </x:c>
      <x:c r="J206" s="2" t="str">
        <x:v>Speculative</x:v>
      </x:c>
      <x:c r="K206" s="2" t="str">
        <x:v>S42-T01</x:v>
      </x:c>
      <x:c r="L206" s="2" t="str">
        <x:v>Multiple</x:v>
      </x:c>
      <x:c r="M206" s="2" t="str">
        <x:v>Method-to-class score aggregation</x:v>
      </x:c>
      <x:c r="N206" s="2" t="str">
        <x:v>Large classes receive inflated scores</x:v>
      </x:c>
      <x:c r="O206" s="6" t="str">
        <x:v>Inherent aggregation bias</x:v>
      </x:c>
      <x:c r="P206" s="2" t="str">
        <x:v>Semantic gating and normalization partly reduce</x:v>
      </x:c>
      <x:c r="Q206" s="2" t="str">
        <x:v>Implemented</x:v>
      </x:c>
      <x:c r="R206" s="2" t="str">
        <x:v>ClassSizeBias</x:v>
      </x:c>
      <x:c r="S206" s="2" t="str">
        <x:v>Limitation_ClassSize</x:v>
      </x:c>
      <x:c r="T206" s="2" t="str">
        <x:v>Evaluation and validity</x:v>
      </x:c>
      <x:c r="U206" s="6" t="str">
        <x:v>p. 9; section 3.2.2</x:v>
      </x:c>
      <x:c r="V206" s="6" t="str">
        <x:v>It can also favor large classes when only a small subset of their methods is requirement-relevant. Semantic gating and later row-wise normalization reduce, but do not remove, this class-size effect.</x:v>
      </x:c>
      <x:c r="W206" s="6" t="str">
        <x:v>聚合方法倾向于给方法多的大类更高分，即使仅部分方法相关，语义门控和归一化仅部分缓解。</x:v>
      </x:c>
      <x:c r="X206" s="2" t="str">
        <x:v>Accepted</x:v>
      </x:c>
      <x:c r="Y206" s="6" t="str">
        <x:v>NA</x:v>
      </x:c>
      <x:c r="Z206" s="2" t="n">
        <x:v>2</x:v>
      </x:c>
      <x:c r="AA206" s="2" t="n">
        <x:v>3</x:v>
      </x:c>
    </x:row>
    <x:row r="207" ht="76" customHeight="1">
      <x:c r="A207" s="2" t="str">
        <x:v>S41-LIMIT-R01</x:v>
      </x:c>
      <x:c r="B207" s="2" t="str">
        <x:v>S41</x:v>
      </x:c>
      <x:c r="C207" s="2" t="str">
        <x:v>merged_1264</x:v>
      </x:c>
      <x:c r="D207" s="2" t="str">
        <x:v>Reviewer_A</x:v>
      </x:c>
      <x:c r="E207" s="2" t="str">
        <x:v>Reviewer_A</x:v>
      </x:c>
      <x:c r="F207" s="2" t="str">
        <x:v>S41-L01</x:v>
      </x:c>
      <x:c r="G207" s="6" t="str">
        <x:v>SR</x:v>
      </x:c>
      <x:c r="H207" s="2" t="str">
        <x:v>Authors</x:v>
      </x:c>
      <x:c r="I207" s="6" t="str">
        <x:v>本研究未探索跨项目泛化，这是因领域和词汇差异带来的已知挑战。</x:v>
      </x:c>
      <x:c r="J207" s="2" t="str">
        <x:v>Speculative</x:v>
      </x:c>
      <x:c r="K207" s="2" t="str">
        <x:v>S43-T01</x:v>
      </x:c>
      <x:c r="L207" s="2" t="str">
        <x:v>Multiple</x:v>
      </x:c>
      <x:c r="M207" s="2" t="str">
        <x:v>when applying to projects with different domains and vocabularies</x:v>
      </x:c>
      <x:c r="N207" s="2" t="str">
        <x:v>reduced generalizability and potential performance degradation in unseen projects</x:v>
      </x:c>
      <x:c r="O207" s="6" t="str">
        <x:v>NR</x:v>
      </x:c>
      <x:c r="P207" s="2" t="str">
        <x:v>No</x:v>
      </x:c>
      <x:c r="Q207" s="2" t="str">
        <x:v>Not proposed</x:v>
      </x:c>
      <x:c r="R207" s="2" t="str">
        <x:v>cross_project_generalization</x:v>
      </x:c>
      <x:c r="S207" s="2" t="str">
        <x:v>Generalizability</x:v>
      </x:c>
      <x:c r="T207" s="2" t="str">
        <x:v>Generalizability and scope</x:v>
      </x:c>
      <x:c r="U207" s="6" t="str">
        <x:v>p. 3; Introduction section, end of contribution summary</x:v>
      </x:c>
      <x:c r="V207" s="6" t="str">
        <x:v>First, this study does not explore cross-project generalization, a known challenge due to domain and vocabulary shifts.</x:v>
      </x:c>
      <x:c r="W207" s="6" t="str">
        <x:v>作者明确指出未进行跨项目泛化实验，承认该限制可能影响框架在不同项目上的适用性。</x:v>
      </x:c>
      <x:c r="X207" s="2" t="str">
        <x:v>Accepted</x:v>
      </x:c>
      <x:c r="Y207" s="6" t="str">
        <x:v>NA</x:v>
      </x:c>
      <x:c r="Z207" s="2" t="n">
        <x:v>2</x:v>
      </x:c>
      <x:c r="AA207" s="2" t="n">
        <x:v>1</x:v>
      </x:c>
    </x:row>
    <x:row r="208" ht="76" customHeight="1">
      <x:c r="A208" s="2" t="str">
        <x:v>S41-LIMIT-R02</x:v>
      </x:c>
      <x:c r="B208" s="2" t="str">
        <x:v>S41</x:v>
      </x:c>
      <x:c r="C208" s="2" t="str">
        <x:v>merged_1264</x:v>
      </x:c>
      <x:c r="D208" s="2" t="str">
        <x:v>Reviewer_A</x:v>
      </x:c>
      <x:c r="E208" s="2" t="str">
        <x:v>Reviewer_A</x:v>
      </x:c>
      <x:c r="F208" s="2" t="str">
        <x:v>S41-L02</x:v>
      </x:c>
      <x:c r="G208" s="6" t="str">
        <x:v>SR</x:v>
      </x:c>
      <x:c r="H208" s="2" t="str">
        <x:v>Authors</x:v>
      </x:c>
      <x:c r="I208" s="6" t="str">
        <x:v>摘要和重排序模块使用固定的同一个LLM，未探索更有效的混合组合。</x:v>
      </x:c>
      <x:c r="J208" s="2" t="str">
        <x:v>Speculative</x:v>
      </x:c>
      <x:c r="K208" s="2" t="str">
        <x:v>S43-T01</x:v>
      </x:c>
      <x:c r="L208" s="2" t="str">
        <x:v>Multiple</x:v>
      </x:c>
      <x:c r="M208" s="2" t="str">
        <x:v>in the current implementation of SELink</x:v>
      </x:c>
      <x:c r="N208" s="2" t="str">
        <x:v>may miss performance gains from using different LLMs tailored to each module</x:v>
      </x:c>
      <x:c r="O208" s="6" t="str">
        <x:v>NR</x:v>
      </x:c>
      <x:c r="P208" s="2" t="str">
        <x:v>No</x:v>
      </x:c>
      <x:c r="Q208" s="2" t="str">
        <x:v>Not proposed</x:v>
      </x:c>
      <x:c r="R208" s="2" t="str">
        <x:v>fixed_llm_selection</x:v>
      </x:c>
      <x:c r="S208" s="2" t="str">
        <x:v>Design choice</x:v>
      </x:c>
      <x:c r="T208" s="2" t="str">
        <x:v>Model reliability</x:v>
      </x:c>
      <x:c r="U208" s="6" t="str">
        <x:v>p. 3; Introduction section, end of contribution summary</x:v>
      </x:c>
      <x:c r="V208" s="6" t="str">
        <x:v>Second, we adopt a fixed LLM for both summarization and re-ranking, leaving open the opportunity to explore more effective hybrid combinations.</x:v>
      </x:c>
      <x:c r="W208" s="6" t="str">
        <x:v>框架在两个关键模块中使用同一个LLM，作者承认未来可考虑异构LLM配置以获得更好效果。</x:v>
      </x:c>
      <x:c r="X208" s="2" t="str">
        <x:v>Accepted</x:v>
      </x:c>
      <x:c r="Y208" s="6" t="str">
        <x:v>NA</x:v>
      </x:c>
      <x:c r="Z208" s="2" t="n">
        <x:v>2</x:v>
      </x:c>
      <x:c r="AA208" s="2" t="n">
        <x:v>1</x:v>
      </x:c>
    </x:row>
    <x:row r="209" ht="76" customHeight="1">
      <x:c r="A209" s="2" t="str">
        <x:v>S41-LIMIT-R03</x:v>
      </x:c>
      <x:c r="B209" s="2" t="str">
        <x:v>S41</x:v>
      </x:c>
      <x:c r="C209" s="2" t="str">
        <x:v>merged_1264</x:v>
      </x:c>
      <x:c r="D209" s="2" t="str">
        <x:v>Reviewer_A</x:v>
      </x:c>
      <x:c r="E209" s="2" t="str">
        <x:v>Reviewer_A</x:v>
      </x:c>
      <x:c r="F209" s="2" t="str">
        <x:v>S41-L03</x:v>
      </x:c>
      <x:c r="G209" s="6" t="str">
        <x:v>SR</x:v>
      </x:c>
      <x:c r="H209" s="2" t="str">
        <x:v>Authors</x:v>
      </x:c>
      <x:c r="I209" s="6" t="str">
        <x:v>重排序阶段基于固定的top-k阈值（k=10），可能并非所有项目最优。</x:v>
      </x:c>
      <x:c r="J209" s="2" t="str">
        <x:v>Speculative</x:v>
      </x:c>
      <x:c r="K209" s="2" t="str">
        <x:v>S43-T01</x:v>
      </x:c>
      <x:c r="L209" s="2" t="str">
        <x:v>Multiple</x:v>
      </x:c>
      <x:c r="M209" s="2" t="str">
        <x:v>when applying re-ranking to projects with varying link distributions</x:v>
      </x:c>
      <x:c r="N209" s="2" t="str">
        <x:v>suboptimal ranking in projects where true links frequently fall outside top-10</x:v>
      </x:c>
      <x:c r="O209" s="6" t="str">
        <x:v>NR</x:v>
      </x:c>
      <x:c r="P209" s="2" t="str">
        <x:v>No</x:v>
      </x:c>
      <x:c r="Q209" s="2" t="str">
        <x:v>Not proposed</x:v>
      </x:c>
      <x:c r="R209" s="2" t="str">
        <x:v>fixed_top_k</x:v>
      </x:c>
      <x:c r="S209" s="2" t="str">
        <x:v>Design choice</x:v>
      </x:c>
      <x:c r="T209" s="2" t="str">
        <x:v>Context and prompt dependence</x:v>
      </x:c>
      <x:c r="U209" s="6" t="str">
        <x:v>p. 3; Introduction section, end of contribution summary</x:v>
      </x:c>
      <x:c r="V209" s="6" t="str">
        <x:v>Third, the re-ranking stage is based on a fixed top-k threshold (k=10), which may not be optimal for all projects.</x:v>
      </x:c>
      <x:c r="W209" s="6" t="str">
        <x:v>固定的top-k限制了重排序的适应性，某些项目可能需要更大的候选集以保证正确链接被覆盖。</x:v>
      </x:c>
      <x:c r="X209" s="2" t="str">
        <x:v>Accepted</x:v>
      </x:c>
      <x:c r="Y209" s="6" t="str">
        <x:v>NA</x:v>
      </x:c>
      <x:c r="Z209" s="2" t="n">
        <x:v>2</x:v>
      </x:c>
      <x:c r="AA209" s="2" t="n">
        <x:v>1</x:v>
      </x:c>
    </x:row>
    <x:row r="210" ht="76" customHeight="1">
      <x:c r="A210" s="2" t="str">
        <x:v>S41-LIMIT-R04</x:v>
      </x:c>
      <x:c r="B210" s="2" t="str">
        <x:v>S41</x:v>
      </x:c>
      <x:c r="C210" s="2" t="str">
        <x:v>merged_1264</x:v>
      </x:c>
      <x:c r="D210" s="2" t="str">
        <x:v>Reviewer_A</x:v>
      </x:c>
      <x:c r="E210" s="2" t="str">
        <x:v>Reviewer_A</x:v>
      </x:c>
      <x:c r="F210" s="2" t="str">
        <x:v>S41-L04</x:v>
      </x:c>
      <x:c r="G210" s="6" t="str">
        <x:v>SR</x:v>
      </x:c>
      <x:c r="H210" s="2" t="str">
        <x:v>Authors</x:v>
      </x:c>
      <x:c r="I210" s="6" t="str">
        <x:v>遵循EALink将文本输入截断为35个token，可能造成长文本的语义信息丢失。</x:v>
      </x:c>
      <x:c r="J210" s="2" t="str">
        <x:v>Speculative</x:v>
      </x:c>
      <x:c r="K210" s="2" t="str">
        <x:v>S43-T01</x:v>
      </x:c>
      <x:c r="L210" s="2" t="str">
        <x:v>Multiple</x:v>
      </x:c>
      <x:c r="M210" s="2" t="str">
        <x:v>when processing issue reports or commit messages exceeding 35 tokens</x:v>
      </x:c>
      <x:c r="N210" s="2" t="str">
        <x:v>critical content may be omitted, reducing link prediction accuracy</x:v>
      </x:c>
      <x:c r="O210" s="6" t="str">
        <x:v>NR</x:v>
      </x:c>
      <x:c r="P210" s="2" t="str">
        <x:v>LLM-based semantic summarization is employed to reduce truncation loss, but critical content may still be omitted.</x:v>
      </x:c>
      <x:c r="Q210" s="2" t="str">
        <x:v>Implemented</x:v>
      </x:c>
      <x:c r="R210" s="2" t="str">
        <x:v>token_truncation</x:v>
      </x:c>
      <x:c r="S210" s="2" t="str">
        <x:v>Data preprocessing</x:v>
      </x:c>
      <x:c r="T210" s="2" t="str">
        <x:v>Context and prompt dependence</x:v>
      </x:c>
      <x:c r="U210" s="6" t="str">
        <x:v>p. 14; Threats to Validity, Construct Validity</x:v>
      </x:c>
      <x:c r="V210" s="6" t="str">
        <x:v>While this constraint ensures fairness and computational efficiency, it may result in partial loss of contextual information in longer descriptions.</x:v>
      </x:c>
      <x:c r="W210" s="6" t="str">
        <x:v>尽管有摘要模块缓解，但强制截断仍可能丢失位于文本后部的语义信息。</x:v>
      </x:c>
      <x:c r="X210" s="2" t="str">
        <x:v>Accepted</x:v>
      </x:c>
      <x:c r="Y210" s="6" t="str">
        <x:v>The mitigation (summarization) is implemented but does not fully eliminate the risk.</x:v>
      </x:c>
      <x:c r="Z210" s="2" t="n">
        <x:v>2</x:v>
      </x:c>
      <x:c r="AA210" s="2" t="n">
        <x:v>3</x:v>
      </x:c>
    </x:row>
    <x:row r="211" ht="76" customHeight="1">
      <x:c r="A211" s="2" t="str">
        <x:v>S41-LIMIT-R05</x:v>
      </x:c>
      <x:c r="B211" s="2" t="str">
        <x:v>S41</x:v>
      </x:c>
      <x:c r="C211" s="2" t="str">
        <x:v>merged_1264</x:v>
      </x:c>
      <x:c r="D211" s="2" t="str">
        <x:v>Reviewer_A</x:v>
      </x:c>
      <x:c r="E211" s="2" t="str">
        <x:v>Reviewer_A</x:v>
      </x:c>
      <x:c r="F211" s="2" t="str">
        <x:v>S41-L05</x:v>
      </x:c>
      <x:c r="G211" s="6" t="str">
        <x:v>SR</x:v>
      </x:c>
      <x:c r="H211" s="2" t="str">
        <x:v>Authors</x:v>
      </x:c>
      <x:c r="I211" s="6" t="str">
        <x:v>语义重排序仅在预测模块返回的top-10候选上执行，若正确链接不在前10则无法恢复。</x:v>
      </x:c>
      <x:c r="J211" s="2" t="str">
        <x:v>Speculative</x:v>
      </x:c>
      <x:c r="K211" s="2" t="str">
        <x:v>S43-T01</x:v>
      </x:c>
      <x:c r="L211" s="2" t="str">
        <x:v>Multiple</x:v>
      </x:c>
      <x:c r="M211" s="2" t="str">
        <x:v>cases where the base predictor fails to rank the true link within top-10</x:v>
      </x:c>
      <x:c r="N211" s="2" t="str">
        <x:v>potential underestimation of re-ranking effectiveness and missed true links</x:v>
      </x:c>
      <x:c r="O211" s="6" t="str">
        <x:v>NR</x:v>
      </x:c>
      <x:c r="P211" s="2" t="str">
        <x:v>No</x:v>
      </x:c>
      <x:c r="Q211" s="2" t="str">
        <x:v>Not proposed</x:v>
      </x:c>
      <x:c r="R211" s="2" t="str">
        <x:v>top10_re_ranking_limitation</x:v>
      </x:c>
      <x:c r="S211" s="2" t="str">
        <x:v>Design choice</x:v>
      </x:c>
      <x:c r="T211" s="2" t="str">
        <x:v>Context and prompt dependence</x:v>
      </x:c>
      <x:c r="U211" s="6" t="str">
        <x:v>p. 14; Threats to Validity, Construct Validity</x:v>
      </x:c>
      <x:c r="V211" s="6" t="str">
        <x:v>In cases where the true link falls outside this range, the re-ranking module has no opportunity to recover it</x:v>
      </x:c>
      <x:c r="W211" s="6" t="str">
        <x:v>重排序的top-10范围隐含正确链接已被检索的假设，限制了其在召回不足情况下的作用。</x:v>
      </x:c>
      <x:c r="X211" s="2" t="str">
        <x:v>Accepted</x:v>
      </x:c>
      <x:c r="Y211" s="6" t="str">
        <x:v>NA</x:v>
      </x:c>
      <x:c r="Z211" s="2" t="n">
        <x:v>2</x:v>
      </x:c>
      <x:c r="AA211" s="2" t="n">
        <x:v>1</x:v>
      </x:c>
    </x:row>
    <x:row r="212" ht="76" customHeight="1">
      <x:c r="A212" s="2" t="str">
        <x:v>S41-LIMIT-R06</x:v>
      </x:c>
      <x:c r="B212" s="2" t="str">
        <x:v>S41</x:v>
      </x:c>
      <x:c r="C212" s="2" t="str">
        <x:v>merged_1264</x:v>
      </x:c>
      <x:c r="D212" s="2" t="str">
        <x:v>Reviewer_A</x:v>
      </x:c>
      <x:c r="E212" s="2" t="str">
        <x:v>Reviewer_A</x:v>
      </x:c>
      <x:c r="F212" s="2" t="str">
        <x:v>S41-L06</x:v>
      </x:c>
      <x:c r="G212" s="6" t="str">
        <x:v>SR</x:v>
      </x:c>
      <x:c r="H212" s="2" t="str">
        <x:v>Authors</x:v>
      </x:c>
      <x:c r="I212" s="6" t="str">
        <x:v>内部效度可能受所选预测模型架构的影响，备选编码器可能产生不同结果。</x:v>
      </x:c>
      <x:c r="J212" s="2" t="str">
        <x:v>Speculative</x:v>
      </x:c>
      <x:c r="K212" s="2" t="str">
        <x:v>S43-T01</x:v>
      </x:c>
      <x:c r="L212" s="2" t="str">
        <x:v>Unclear</x:v>
      </x:c>
      <x:c r="M212" s="2" t="str">
        <x:v>if a different prediction backbone were used instead of the EALink-based student model</x:v>
      </x:c>
      <x:c r="N212" s="2" t="str">
        <x:v>performance may not generalize to other encoder architectures</x:v>
      </x:c>
      <x:c r="O212" s="6" t="str">
        <x:v>NR</x:v>
      </x:c>
      <x:c r="P212" s="2" t="str">
        <x:v>No</x:v>
      </x:c>
      <x:c r="Q212" s="2" t="str">
        <x:v>Not proposed</x:v>
      </x:c>
      <x:c r="R212" s="2" t="str">
        <x:v>prediction_model_choice</x:v>
      </x:c>
      <x:c r="S212" s="2" t="str">
        <x:v>Internal validity</x:v>
      </x:c>
      <x:c r="T212" s="2" t="str">
        <x:v>Generalizability and scope</x:v>
      </x:c>
      <x:c r="U212" s="6" t="str">
        <x:v>p. 14; Threats to Validity, Internal Validity</x:v>
      </x:c>
      <x:c r="V212" s="6" t="str">
        <x:v>internal validity may be influenced by our choice of prediction model architecture.</x:v>
      </x:c>
      <x:c r="W212" s="6" t="str">
        <x:v>使用EALink学生模型可能限制结论对其它编码器架构的可迁移性。</x:v>
      </x:c>
      <x:c r="X212" s="2" t="str">
        <x:v>Accepted</x:v>
      </x:c>
      <x:c r="Y212" s="6" t="str">
        <x:v>NA</x:v>
      </x:c>
      <x:c r="Z212" s="2" t="n">
        <x:v>2</x:v>
      </x:c>
      <x:c r="AA212" s="2" t="n">
        <x:v>1</x:v>
      </x:c>
    </x:row>
    <x:row r="213" ht="76" customHeight="1">
      <x:c r="A213" s="2" t="str">
        <x:v>S41-LIMIT-R07</x:v>
      </x:c>
      <x:c r="B213" s="2" t="str">
        <x:v>S41</x:v>
      </x:c>
      <x:c r="C213" s="2" t="str">
        <x:v>merged_1264</x:v>
      </x:c>
      <x:c r="D213" s="2" t="str">
        <x:v>Reviewer_A</x:v>
      </x:c>
      <x:c r="E213" s="2" t="str">
        <x:v>Reviewer_A</x:v>
      </x:c>
      <x:c r="F213" s="2" t="str">
        <x:v>S41-L07</x:v>
      </x:c>
      <x:c r="G213" s="6" t="str">
        <x:v>SR</x:v>
      </x:c>
      <x:c r="H213" s="2" t="str">
        <x:v>Authors</x:v>
      </x:c>
      <x:c r="I213" s="6" t="str">
        <x:v>不同开发实践、领域或语言的项目可能影响框架有效性。</x:v>
      </x:c>
      <x:c r="J213" s="2" t="str">
        <x:v>Speculative</x:v>
      </x:c>
      <x:c r="K213" s="2" t="str">
        <x:v>S43-T01</x:v>
      </x:c>
      <x:c r="L213" s="2" t="str">
        <x:v>Multiple</x:v>
      </x:c>
      <x:c r="M213" s="2" t="str">
        <x:v>projects outside the six Apache Java projects studied</x:v>
      </x:c>
      <x:c r="N213" s="2" t="str">
        <x:v>results may not generalize to diverse project ecosystems</x:v>
      </x:c>
      <x:c r="O213" s="6" t="str">
        <x:v>NR</x:v>
      </x:c>
      <x:c r="P213" s="2" t="str">
        <x:v>No</x:v>
      </x:c>
      <x:c r="Q213" s="2" t="str">
        <x:v>Not proposed</x:v>
      </x:c>
      <x:c r="R213" s="2" t="str">
        <x:v>project_diversity</x:v>
      </x:c>
      <x:c r="S213" s="2" t="str">
        <x:v>External validity</x:v>
      </x:c>
      <x:c r="T213" s="2" t="str">
        <x:v>Generalizability and scope</x:v>
      </x:c>
      <x:c r="U213" s="6" t="str">
        <x:v>p. 14; Threats to Validity, External Validity</x:v>
      </x:c>
      <x:c r="V213" s="6" t="str">
        <x:v>Projects with different development practices, domains or languages may affect the effectiveness of our framework.</x:v>
      </x:c>
      <x:c r="W213" s="6" t="str">
        <x:v>所选Apache项目不能完全代表所有软件项目，外部效度受限。</x:v>
      </x:c>
      <x:c r="X213" s="2" t="str">
        <x:v>Accepted</x:v>
      </x:c>
      <x:c r="Y213" s="6" t="str">
        <x:v>NA</x:v>
      </x:c>
      <x:c r="Z213" s="2" t="n">
        <x:v>2</x:v>
      </x:c>
      <x:c r="AA213" s="2" t="n">
        <x:v>1</x:v>
      </x:c>
    </x:row>
    <x:row r="214" ht="76" customHeight="1">
      <x:c r="A214" s="2" t="str">
        <x:v>S41-LIMIT-R08</x:v>
      </x:c>
      <x:c r="B214" s="2" t="str">
        <x:v>S41</x:v>
      </x:c>
      <x:c r="C214" s="2" t="str">
        <x:v>merged_1264</x:v>
      </x:c>
      <x:c r="D214" s="2" t="str">
        <x:v>Reviewer_A</x:v>
      </x:c>
      <x:c r="E214" s="2" t="str">
        <x:v>Reviewer_A</x:v>
      </x:c>
      <x:c r="F214" s="2" t="str">
        <x:v>S41-L08</x:v>
      </x:c>
      <x:c r="G214" s="6" t="str">
        <x:v>SR</x:v>
      </x:c>
      <x:c r="H214" s="2" t="str">
        <x:v>Authors</x:v>
      </x:c>
      <x:c r="I214" s="6" t="str">
        <x:v>问题报告和提交消息的质量与完整性威胁输入质量，缺失关键细节可能导致模型失败。</x:v>
      </x:c>
      <x:c r="J214" s="2" t="str">
        <x:v>Speculative</x:v>
      </x:c>
      <x:c r="K214" s="2" t="str">
        <x:v>S43-T01</x:v>
      </x:c>
      <x:c r="L214" s="2" t="str">
        <x:v>Multiple</x:v>
      </x:c>
      <x:c r="M214" s="2" t="str">
        <x:v>when issue reports or commit messages are poorly written or lack essential details</x:v>
      </x:c>
      <x:c r="N214" s="2" t="str">
        <x:v>even strong models may fail to recover correct semantic links</x:v>
      </x:c>
      <x:c r="O214" s="6" t="str">
        <x:v>NR</x:v>
      </x:c>
      <x:c r="P214" s="2" t="str">
        <x:v>No</x:v>
      </x:c>
      <x:c r="Q214" s="2" t="str">
        <x:v>Not proposed</x:v>
      </x:c>
      <x:c r="R214" s="2" t="str">
        <x:v>text_quality</x:v>
      </x:c>
      <x:c r="S214" s="2" t="str">
        <x:v>Data quality</x:v>
      </x:c>
      <x:c r="T214" s="2" t="str">
        <x:v>Data and evidence quality</x:v>
      </x:c>
      <x:c r="U214" s="6" t="str">
        <x:v>p. 14; Threats to Validity, External Validity</x:v>
      </x:c>
      <x:c r="V214" s="6" t="str">
        <x:v>If essential details—such as error symptoms or fix intent—are missing or poorly written, even models with strong reasoning capabilities may fail to recover correct semantic links.</x:v>
      </x:c>
      <x:c r="W214" s="6" t="str">
        <x:v>输入文本质量直接影响链路恢复，低质量文本可能导致恢复失败。</x:v>
      </x:c>
      <x:c r="X214" s="2" t="str">
        <x:v>Accepted</x:v>
      </x:c>
      <x:c r="Y214" s="6" t="str">
        <x:v>NA</x:v>
      </x:c>
      <x:c r="Z214" s="2" t="n">
        <x:v>2</x:v>
      </x:c>
      <x:c r="AA214" s="2" t="n">
        <x:v>1</x:v>
      </x:c>
    </x:row>
    <x:row r="215" ht="76" customHeight="1">
      <x:c r="A215" s="2" t="str">
        <x:v>S41-LIMIT-R09</x:v>
      </x:c>
      <x:c r="B215" s="2" t="str">
        <x:v>S41</x:v>
      </x:c>
      <x:c r="C215" s="2" t="str">
        <x:v>merged_1264</x:v>
      </x:c>
      <x:c r="D215" s="2" t="str">
        <x:v>Reviewer_A</x:v>
      </x:c>
      <x:c r="E215" s="2" t="str">
        <x:v>Reviewer_A</x:v>
      </x:c>
      <x:c r="F215" s="2" t="str">
        <x:v>S41-L09</x:v>
      </x:c>
      <x:c r="G215" s="6" t="str">
        <x:v>SR</x:v>
      </x:c>
      <x:c r="H215" s="2" t="str">
        <x:v>Authors</x:v>
      </x:c>
      <x:c r="I215" s="6" t="str">
        <x:v>开发者隐性知识未在文本中体现，限制链路恢复有效性。</x:v>
      </x:c>
      <x:c r="J215" s="2" t="str">
        <x:v>Speculative</x:v>
      </x:c>
      <x:c r="K215" s="2" t="str">
        <x:v>S43-T01</x:v>
      </x:c>
      <x:c r="L215" s="2" t="str">
        <x:v>Multiple</x:v>
      </x:c>
      <x:c r="M215" s="2" t="str">
        <x:v>when critical contextual knowledge is not recorded in textual artifacts</x:v>
      </x:c>
      <x:c r="N215" s="2" t="str">
        <x:v>link recovery effectiveness is limited because models assume all semantic cues are in the text</x:v>
      </x:c>
      <x:c r="O215" s="6" t="str">
        <x:v>NR</x:v>
      </x:c>
      <x:c r="P215" s="2" t="str">
        <x:v>No</x:v>
      </x:c>
      <x:c r="Q215" s="2" t="str">
        <x:v>Not proposed</x:v>
      </x:c>
      <x:c r="R215" s="2" t="str">
        <x:v>tacit_knowledge</x:v>
      </x:c>
      <x:c r="S215" s="2" t="str">
        <x:v>Data quality</x:v>
      </x:c>
      <x:c r="T215" s="2" t="str">
        <x:v>Data and evidence quality</x:v>
      </x:c>
      <x:c r="U215" s="6" t="str">
        <x:v>p. 14; Threats to Validity, External Validity</x:v>
      </x:c>
      <x:c r="V215" s="6" t="str">
        <x:v>unrecorded knowledge can significantly impact the informativeness and interpretability of issue reports and commits, and consequently limit the effectiveness of link recovery</x:v>
      </x:c>
      <x:c r="W215" s="6" t="str">
        <x:v>隐性知识缺失使模型难以捕捉完整的上下文，是重要的外部效度威胁。</x:v>
      </x:c>
      <x:c r="X215" s="2" t="str">
        <x:v>Accepted</x:v>
      </x:c>
      <x:c r="Y215" s="6" t="str">
        <x:v>原文拼写为 informtiveness，照录。</x:v>
      </x:c>
      <x:c r="Z215" s="2" t="n">
        <x:v>2</x:v>
      </x:c>
      <x:c r="AA215" s="2" t="n">
        <x:v>1</x:v>
      </x:c>
    </x:row>
    <x:row r="216" ht="76" customHeight="1">
      <x:c r="A216" s="2" t="str">
        <x:v>S41-LIMIT-R10</x:v>
      </x:c>
      <x:c r="B216" s="2" t="str">
        <x:v>S41</x:v>
      </x:c>
      <x:c r="C216" s="2" t="str">
        <x:v>merged_1264</x:v>
      </x:c>
      <x:c r="D216" s="2" t="str">
        <x:v>Reviewer_A</x:v>
      </x:c>
      <x:c r="E216" s="2" t="str">
        <x:v>Reviewer_A</x:v>
      </x:c>
      <x:c r="F216" s="2" t="str">
        <x:v>S41-L10</x:v>
      </x:c>
      <x:c r="G216" s="6" t="str">
        <x:v>SR</x:v>
      </x:c>
      <x:c r="H216" s="2" t="str">
        <x:v>Authors</x:v>
      </x:c>
      <x:c r="I216" s="6" t="str">
        <x:v>LLM固有的非确定性导致语义压缩生成的摘要可能因运行而异，影响结果再现性。</x:v>
      </x:c>
      <x:c r="J216" s="2" t="str">
        <x:v>Speculative</x:v>
      </x:c>
      <x:c r="K216" s="2" t="str">
        <x:v>S43-T01</x:v>
      </x:c>
      <x:c r="L216" s="2" t="str">
        <x:v>S43-MU02</x:v>
      </x:c>
      <x:c r="M216" s="2" t="str">
        <x:v>when LLM-based summarization is invoked multiple times</x:v>
      </x:c>
      <x:c r="N216" s="2" t="str">
        <x:v>potential variance in generated summaries could affect result reproducibility</x:v>
      </x:c>
      <x:c r="O216" s="6" t="str">
        <x:v>NR</x:v>
      </x:c>
      <x:c r="P216" s="2" t="str">
        <x:v>No</x:v>
      </x:c>
      <x:c r="Q216" s="2" t="str">
        <x:v>Not proposed</x:v>
      </x:c>
      <x:c r="R216" s="2" t="str">
        <x:v>llm_nondeterminism</x:v>
      </x:c>
      <x:c r="S216" s="2" t="str">
        <x:v>Reproducibility</x:v>
      </x:c>
      <x:c r="T216" s="2" t="str">
        <x:v>Context and prompt dependence</x:v>
      </x:c>
      <x:c r="U216" s="6" t="str">
        <x:v>p. 15; Threats to Validity, External Validity</x:v>
      </x:c>
      <x:c r="V216" s="6" t="str">
        <x:v>Since LLMs are inherently non-deterministic, the summaries generated during semantic compression may vary across runs, potentially impacting result reproducibility.</x:v>
      </x:c>
      <x:c r="W216" s="6" t="str">
        <x:v>尽管设置温度为0，作者仍指出LLM输出可能存在微小差异，影响可重复性。</x:v>
      </x:c>
      <x:c r="X216" s="2" t="str">
        <x:v>Accepted</x:v>
      </x:c>
      <x:c r="Y216" s="6" t="str">
        <x:v>NA</x:v>
      </x:c>
      <x:c r="Z216" s="2" t="n">
        <x:v>2</x:v>
      </x:c>
      <x:c r="AA216" s="2" t="n">
        <x:v>1</x:v>
      </x:c>
    </x:row>
    <x:row r="217" ht="76" customHeight="1">
      <x:c r="A217" s="2" t="str">
        <x:v>S41-LIMIT-R11</x:v>
      </x:c>
      <x:c r="B217" s="2" t="str">
        <x:v>S41</x:v>
      </x:c>
      <x:c r="C217" s="2" t="str">
        <x:v>merged_1264</x:v>
      </x:c>
      <x:c r="D217" s="2" t="str">
        <x:v>Reviewer_A</x:v>
      </x:c>
      <x:c r="E217" s="2" t="str">
        <x:v>Reviewer_A</x:v>
      </x:c>
      <x:c r="F217" s="2" t="str">
        <x:v>S41-L11</x:v>
      </x:c>
      <x:c r="G217" s="6" t="str">
        <x:v>SR</x:v>
      </x:c>
      <x:c r="H217" s="2" t="str">
        <x:v>Authors</x:v>
      </x:c>
      <x:c r="I217" s="6" t="str">
        <x:v>实验仅在零样本设置下评估LLM，可能未充分反映其特定任务能力。</x:v>
      </x:c>
      <x:c r="J217" s="2" t="str">
        <x:v>Speculative</x:v>
      </x:c>
      <x:c r="K217" s="2" t="str">
        <x:v>S43-T01</x:v>
      </x:c>
      <x:c r="L217" s="2" t="str">
        <x:v>S43-MU02</x:v>
      </x:c>
      <x:c r="M217" s="2" t="str">
        <x:v>when LLMs are used without task-specific examples or tuning</x:v>
      </x:c>
      <x:c r="N217" s="2" t="str">
        <x:v>performance may be suboptimal compared to few-shot or fine-tuned settings</x:v>
      </x:c>
      <x:c r="O217" s="6" t="str">
        <x:v>NR</x:v>
      </x:c>
      <x:c r="P217" s="2" t="str">
        <x:v>No</x:v>
      </x:c>
      <x:c r="Q217" s="2" t="str">
        <x:v>Not proposed</x:v>
      </x:c>
      <x:c r="R217" s="2" t="str">
        <x:v>zero_shot_evaluation</x:v>
      </x:c>
      <x:c r="S217" s="2" t="str">
        <x:v>Experimental design</x:v>
      </x:c>
      <x:c r="T217" s="2" t="str">
        <x:v>Evaluation and validity</x:v>
      </x:c>
      <x:c r="U217" s="6" t="str">
        <x:v>p. 15; Threats to Validity, External Validity</x:v>
      </x:c>
      <x:c r="V217" s="6" t="str">
        <x:v>Additionally, our experiments evaluate LLMs solely under zero-shot settings, which may not fully reflect their task-</x:v>
      </x:c>
      <x:c r="W217" s="6" t="str">
        <x:v>零样本设定可能低估LLM在链路恢复中的潜力，建议未来探索少样本或指令微调。</x:v>
      </x:c>
      <x:c r="X217" s="2" t="str">
        <x:v>Accepted</x:v>
      </x:c>
      <x:c r="Y217" s="6" t="str">
        <x:v>NA</x:v>
      </x:c>
      <x:c r="Z217" s="2" t="n">
        <x:v>2</x:v>
      </x:c>
      <x:c r="AA217" s="2" t="n">
        <x:v>1</x:v>
      </x:c>
    </x:row>
    <x:row r="218" ht="76" customHeight="1">
      <x:c r="A218" s="2" t="str">
        <x:v>S41-LIMIT-R12</x:v>
      </x:c>
      <x:c r="B218" s="2" t="str">
        <x:v>S41</x:v>
      </x:c>
      <x:c r="C218" s="2" t="str">
        <x:v>merged_1264</x:v>
      </x:c>
      <x:c r="D218" s="2" t="str">
        <x:v>Reviewer_A</x:v>
      </x:c>
      <x:c r="E218" s="2" t="str">
        <x:v>Reviewer_A</x:v>
      </x:c>
      <x:c r="F218" s="2" t="str">
        <x:v>S41-L12</x:v>
      </x:c>
      <x:c r="G218" s="6" t="str">
        <x:v>SR</x:v>
      </x:c>
      <x:c r="H218" s="2" t="str">
        <x:v>Authors</x:v>
      </x:c>
      <x:c r="I218" s="6" t="str">
        <x:v>仅考虑三个代表性LLM，结论可能无法推广到全系列模型。</x:v>
      </x:c>
      <x:c r="J218" s="2" t="str">
        <x:v>Speculative</x:v>
      </x:c>
      <x:c r="K218" s="2" t="str">
        <x:v>S43-T01</x:v>
      </x:c>
      <x:c r="L218" s="2" t="str">
        <x:v>S43-MU02</x:v>
      </x:c>
      <x:c r="M218" s="2" t="str">
        <x:v>when applying SELink with other LLMs not evaluated</x:v>
      </x:c>
      <x:c r="N218" s="2" t="str">
        <x:v>generalizability of the framework across diverse LLMs is not guaranteed</x:v>
      </x:c>
      <x:c r="O218" s="6" t="str">
        <x:v>NR</x:v>
      </x:c>
      <x:c r="P218" s="2" t="str">
        <x:v>No</x:v>
      </x:c>
      <x:c r="Q218" s="2" t="str">
        <x:v>Not proposed</x:v>
      </x:c>
      <x:c r="R218" s="2" t="str">
        <x:v>limited_llm_selection</x:v>
      </x:c>
      <x:c r="S218" s="2" t="str">
        <x:v>External validity</x:v>
      </x:c>
      <x:c r="T218" s="2" t="str">
        <x:v>Generalizability and scope</x:v>
      </x:c>
      <x:c r="U218" s="6" t="str">
        <x:v>p. 15; Threats to Validity, External Validity</x:v>
      </x:c>
      <x:c r="V218" s="6" t="str">
        <x:v>as this study considers only three representative LLMs, our conclusions may not generalize to the full spectrum of available models</x:v>
      </x:c>
      <x:c r="W218" s="6" t="str">
        <x:v>有限的LLM集合降低了框架对不同模型鲁棒性的信度。</x:v>
      </x:c>
      <x:c r="X218" s="2" t="str">
        <x:v>Accepted</x:v>
      </x:c>
      <x:c r="Y218" s="6" t="str">
        <x:v>NA</x:v>
      </x:c>
      <x:c r="Z218" s="2" t="n">
        <x:v>2</x:v>
      </x:c>
      <x:c r="AA218" s="2" t="n">
        <x:v>1</x:v>
      </x:c>
    </x:row>
    <x:row r="219" ht="76" customHeight="1">
      <x:c r="A219" s="2" t="str">
        <x:v>S41-LIMIT-R13</x:v>
      </x:c>
      <x:c r="B219" s="2" t="str">
        <x:v>S41</x:v>
      </x:c>
      <x:c r="C219" s="2" t="str">
        <x:v>merged_1264</x:v>
      </x:c>
      <x:c r="D219" s="2" t="str">
        <x:v>Reviewer_A</x:v>
      </x:c>
      <x:c r="E219" s="2" t="str">
        <x:v>Reviewer_A</x:v>
      </x:c>
      <x:c r="F219" s="2" t="str">
        <x:v>S41-L13</x:v>
      </x:c>
      <x:c r="G219" s="6" t="str">
        <x:v>SR</x:v>
      </x:c>
      <x:c r="H219" s="2" t="str">
        <x:v>Authors</x:v>
      </x:c>
      <x:c r="I219" s="6" t="str">
        <x:v>评估遵循项目内划分，未捕捉跨项目泛化性能。</x:v>
      </x:c>
      <x:c r="J219" s="2" t="str">
        <x:v>Speculative</x:v>
      </x:c>
      <x:c r="K219" s="2" t="str">
        <x:v>S43-T01</x:v>
      </x:c>
      <x:c r="L219" s="2" t="str">
        <x:v>Multiple</x:v>
      </x:c>
      <x:c r="M219" s="2" t="str">
        <x:v>when the model is applied to a new project without retraining</x:v>
      </x:c>
      <x:c r="N219" s="2" t="str">
        <x:v>cross-project performance remains unknown, hindering practical adoption</x:v>
      </x:c>
      <x:c r="O219" s="6" t="str">
        <x:v>NR</x:v>
      </x:c>
      <x:c r="P219" s="2" t="str">
        <x:v>No</x:v>
      </x:c>
      <x:c r="Q219" s="2" t="str">
        <x:v>Not proposed</x:v>
      </x:c>
      <x:c r="R219" s="2" t="str">
        <x:v>within_project_only</x:v>
      </x:c>
      <x:c r="S219" s="2" t="str">
        <x:v>Experimental design</x:v>
      </x:c>
      <x:c r="T219" s="2" t="str">
        <x:v>Generalizability and scope</x:v>
      </x:c>
      <x:c r="U219" s="6" t="str">
        <x:v>p. 15; Threats to Validity, External Validity</x:v>
      </x:c>
      <x:c r="V219" s="6" t="str">
        <x:v>facilitates controlled comparison, it does not capture crossproject generalization performance, which is crucial for practical adoption. We consider this an important direction</x:v>
      </x:c>
      <x:c r="W219" s="6" t="str">
        <x:v>项目的训练/测试划分无法保证模型对新项目的迁移能力。</x:v>
      </x:c>
      <x:c r="X219" s="2" t="str">
        <x:v>Accepted</x:v>
      </x:c>
      <x:c r="Y219" s="6" t="str">
        <x:v>NA</x:v>
      </x:c>
      <x:c r="Z219" s="2" t="n">
        <x:v>2</x:v>
      </x:c>
      <x:c r="AA219" s="2" t="n">
        <x:v>1</x:v>
      </x:c>
    </x:row>
    <x:row r="220" ht="76" customHeight="1">
      <x:c r="A220" s="2" t="str">
        <x:v>S42-LIMIT-R01</x:v>
      </x:c>
      <x:c r="B220" s="2" t="str">
        <x:v>S42</x:v>
      </x:c>
      <x:c r="C220" s="2" t="str">
        <x:v>merged_1266</x:v>
      </x:c>
      <x:c r="D220" s="2" t="str">
        <x:v>Reviewer_A</x:v>
      </x:c>
      <x:c r="E220" s="2" t="str">
        <x:v>Reviewer_A</x:v>
      </x:c>
      <x:c r="F220" s="2" t="str">
        <x:v>S42-L01</x:v>
      </x:c>
      <x:c r="G220" s="6" t="str">
        <x:v>SR</x:v>
      </x:c>
      <x:c r="H220" s="2" t="str">
        <x:v>Authors</x:v>
      </x:c>
      <x:c r="I220" s="6" t="str">
        <x:v>由于未专注于提示工程，提示词选择（如KISS提示词仅使用'related'而未定义其含义）可能影响结果有效性。</x:v>
      </x:c>
      <x:c r="J220" s="2" t="str">
        <x:v>Speculative</x:v>
      </x:c>
      <x:c r="K220" s="2" t="str">
        <x:v>S44-T01</x:v>
      </x:c>
      <x:c r="L220" s="2" t="str">
        <x:v>Multiple</x:v>
      </x:c>
      <x:c r="M220" s="2" t="str">
        <x:v>prompt design</x:v>
      </x:c>
      <x:c r="N220" s="2" t="str">
        <x:v>may affect validity of results</x:v>
      </x:c>
      <x:c r="O220" s="6" t="str">
        <x:v>NR</x:v>
      </x:c>
      <x:c r="P220" s="2" t="str">
        <x:v>derived prompts from Rodriguez et al. [33]</x:v>
      </x:c>
      <x:c r="Q220" s="2" t="str">
        <x:v>Implemented</x:v>
      </x:c>
      <x:c r="R220" s="2" t="str">
        <x:v>prompt-selection-threat</x:v>
      </x:c>
      <x:c r="S220" s="2" t="str">
        <x:v>Construct validity</x:v>
      </x:c>
      <x:c r="T220" s="2" t="str">
        <x:v>Context and prompt dependence</x:v>
      </x:c>
      <x:c r="U220" s="6" t="str">
        <x:v>p. 12; Section 4.3 Construct validity</x:v>
      </x:c>
      <x:c r="V220" s="6" t="str">
        <x:v>we explicitly did not focus on prompt engineering, as we aim to provide first exploratory results on RAG for TLR. Thus, a potential threat to the validity of our results is the selection of the prompts used, e.g., the KISS prompt just uses related without defining its meaning. However, we derive the prompts from the work of Rodriguez et al. [33].</x:v>
      </x:c>
      <x:c r="W220" s="6" t="str">
        <x:v>研究未进行系统提示工程，所选KISS等提示可能因不明确而影响结果，但提示源自已有研究。</x:v>
      </x:c>
      <x:c r="X220" s="2" t="str">
        <x:v>Accepted</x:v>
      </x:c>
      <x:c r="Y220" s="6" t="str">
        <x:v>NA</x:v>
      </x:c>
      <x:c r="Z220" s="2" t="n">
        <x:v>2</x:v>
      </x:c>
      <x:c r="AA220" s="2" t="n">
        <x:v>3</x:v>
      </x:c>
    </x:row>
    <x:row r="221" ht="76" customHeight="1">
      <x:c r="A221" s="2" t="str">
        <x:v>S42-LIMIT-R02</x:v>
      </x:c>
      <x:c r="B221" s="2" t="str">
        <x:v>S42</x:v>
      </x:c>
      <x:c r="C221" s="2" t="str">
        <x:v>merged_1266</x:v>
      </x:c>
      <x:c r="D221" s="2" t="str">
        <x:v>Reviewer_A</x:v>
      </x:c>
      <x:c r="E221" s="2" t="str">
        <x:v>Reviewer_A</x:v>
      </x:c>
      <x:c r="F221" s="2" t="str">
        <x:v>S42-L02</x:v>
      </x:c>
      <x:c r="G221" s="6" t="str">
        <x:v>SR</x:v>
      </x:c>
      <x:c r="H221" s="2" t="str">
        <x:v>Authors</x:v>
      </x:c>
      <x:c r="I221" s="6" t="str">
        <x:v>结果可能受到其他未知因素的影响。</x:v>
      </x:c>
      <x:c r="J221" s="2" t="str">
        <x:v>Speculative</x:v>
      </x:c>
      <x:c r="K221" s="2" t="str">
        <x:v>S44-T01</x:v>
      </x:c>
      <x:c r="L221" s="2" t="str">
        <x:v>Multiple</x:v>
      </x:c>
      <x:c r="M221" s="2" t="str">
        <x:v>experimental setup</x:v>
      </x:c>
      <x:c r="N221" s="2" t="str">
        <x:v>conclusions could be biased</x:v>
      </x:c>
      <x:c r="O221" s="6" t="str">
        <x:v>NR</x:v>
      </x:c>
      <x:c r="P221" s="2" t="str">
        <x:v>followed established practices, used established benchmark datasets and stated project origins</x:v>
      </x:c>
      <x:c r="Q221" s="2" t="str">
        <x:v>Implemented</x:v>
      </x:c>
      <x:c r="R221" s="2" t="str">
        <x:v>internal-validity-unknown-factors</x:v>
      </x:c>
      <x:c r="S221" s="2" t="str">
        <x:v>Internal validity</x:v>
      </x:c>
      <x:c r="T221" s="2" t="str">
        <x:v>Evaluation and validity</x:v>
      </x:c>
      <x:c r="U221" s="6" t="str">
        <x:v>p. 12; Section 4.3 Internal validity</x:v>
      </x:c>
      <x:c r="V221" s="6" t="str">
        <x:v>Our results and, thus, our conclusions might be influenced by other factors. To mitigate this threat, we follow established practices. We used established benchmark datasets and stated the origins of the projects. This reduces the risk of selection bias.</x:v>
      </x:c>
      <x:c r="W221" s="6" t="str">
        <x:v>承认可能存在未识别的混杂因素，通过使用公认基准数据集和明确来源进行缓解。</x:v>
      </x:c>
      <x:c r="X221" s="2" t="str">
        <x:v>Accepted</x:v>
      </x:c>
      <x:c r="Y221" s="6" t="str">
        <x:v>NA</x:v>
      </x:c>
      <x:c r="Z221" s="2" t="n">
        <x:v>2</x:v>
      </x:c>
      <x:c r="AA221" s="2" t="n">
        <x:v>3</x:v>
      </x:c>
    </x:row>
    <x:row r="222" ht="76" customHeight="1">
      <x:c r="A222" s="2" t="str">
        <x:v>S42-LIMIT-R03</x:v>
      </x:c>
      <x:c r="B222" s="2" t="str">
        <x:v>S42</x:v>
      </x:c>
      <x:c r="C222" s="2" t="str">
        <x:v>merged_1266</x:v>
      </x:c>
      <x:c r="D222" s="2" t="str">
        <x:v>Reviewer_A</x:v>
      </x:c>
      <x:c r="E222" s="2" t="str">
        <x:v>Reviewer_A</x:v>
      </x:c>
      <x:c r="F222" s="2" t="str">
        <x:v>S42-L03</x:v>
      </x:c>
      <x:c r="G222" s="6" t="str">
        <x:v>SR</x:v>
      </x:c>
      <x:c r="H222" s="2" t="str">
        <x:v>Authors</x:v>
      </x:c>
      <x:c r="I222" s="6" t="str">
        <x:v>仅在有限数量的旧项目上评估，结果可能不适用于其他项目或现代项目。</x:v>
      </x:c>
      <x:c r="J222" s="2" t="str">
        <x:v>Speculative</x:v>
      </x:c>
      <x:c r="K222" s="2" t="str">
        <x:v>S44-T01</x:v>
      </x:c>
      <x:c r="L222" s="2" t="str">
        <x:v>Multiple</x:v>
      </x:c>
      <x:c r="M222" s="2" t="str">
        <x:v>dataset selection</x:v>
      </x:c>
      <x:c r="N222" s="2" t="str">
        <x:v>results may not generalize</x:v>
      </x:c>
      <x:c r="O222" s="6" t="str">
        <x:v>NR</x:v>
      </x:c>
      <x:c r="P222" s="2" t="str">
        <x:v>used benchmark datasets commonly used in TLR research, covering different domains and sizes, but datasets are old</x:v>
      </x:c>
      <x:c r="Q222" s="2" t="str">
        <x:v>Implemented</x:v>
      </x:c>
      <x:c r="R222" s="2" t="str">
        <x:v>limited-project-diversity</x:v>
      </x:c>
      <x:c r="S222" s="2" t="str">
        <x:v>External validity</x:v>
      </x:c>
      <x:c r="T222" s="2" t="str">
        <x:v>Generalizability and scope</x:v>
      </x:c>
      <x:c r="U222" s="6" t="str">
        <x:v>p. 12; Section 4.3 External validity</x:v>
      </x:c>
      <x:c r="V222" s="6" t="str">
        <x:v>Nevertheless, most datasets are quite old and might not reflect the challenges for traceability in modern projects.</x:v>
      </x:c>
      <x:c r="W222" s="6" t="str">
        <x:v>评估仅使用六个数据集且多数老旧，可能影响结果在现代项目中的普适性。</x:v>
      </x:c>
      <x:c r="X222" s="2" t="str">
        <x:v>Accepted</x:v>
      </x:c>
      <x:c r="Y222" s="6" t="str">
        <x:v>NA</x:v>
      </x:c>
      <x:c r="Z222" s="2" t="n">
        <x:v>2</x:v>
      </x:c>
      <x:c r="AA222" s="2" t="n">
        <x:v>3</x:v>
      </x:c>
    </x:row>
    <x:row r="223" ht="76" customHeight="1">
      <x:c r="A223" s="2" t="str">
        <x:v>S42-LIMIT-R04</x:v>
      </x:c>
      <x:c r="B223" s="2" t="str">
        <x:v>S42</x:v>
      </x:c>
      <x:c r="C223" s="2" t="str">
        <x:v>merged_1266</x:v>
      </x:c>
      <x:c r="D223" s="2" t="str">
        <x:v>Reviewer_A</x:v>
      </x:c>
      <x:c r="E223" s="2" t="str">
        <x:v>Reviewer_A</x:v>
      </x:c>
      <x:c r="F223" s="2" t="str">
        <x:v>S42-L04</x:v>
      </x:c>
      <x:c r="G223" s="6" t="str">
        <x:v>SR</x:v>
      </x:c>
      <x:c r="H223" s="2" t="str">
        <x:v>Authors</x:v>
      </x:c>
      <x:c r="I223" s="6" t="str">
        <x:v>仅使用一种嵌入模型和四个LLMs，结果可能不适用于其他模型。</x:v>
      </x:c>
      <x:c r="J223" s="2" t="str">
        <x:v>Speculative</x:v>
      </x:c>
      <x:c r="K223" s="2" t="str">
        <x:v>S44-T01</x:v>
      </x:c>
      <x:c r="L223" s="2" t="str">
        <x:v>Multiple</x:v>
      </x:c>
      <x:c r="M223" s="2" t="str">
        <x:v>model selection</x:v>
      </x:c>
      <x:c r="N223" s="2" t="str">
        <x:v>cannot claim generalizability to other models</x:v>
      </x:c>
      <x:c r="O223" s="6" t="str">
        <x:v>NR</x:v>
      </x:c>
      <x:c r="P223" s="2" t="str">
        <x:v>make use of state-of-the-art models</x:v>
      </x:c>
      <x:c r="Q223" s="2" t="str">
        <x:v>Implemented</x:v>
      </x:c>
      <x:c r="R223" s="2" t="str">
        <x:v>limited-model-variety</x:v>
      </x:c>
      <x:c r="S223" s="2" t="str">
        <x:v>External validity</x:v>
      </x:c>
      <x:c r="T223" s="2" t="str">
        <x:v>Generalizability and scope</x:v>
      </x:c>
      <x:c r="U223" s="6" t="str">
        <x:v>p. 12; Section 4.3 External validity</x:v>
      </x:c>
      <x:c r="V223" s="6" t="str">
        <x:v>we evaluate the approach with only one embedding model and four LLMs, thus, we cannot state if the results hold for other models. To mitigate this threat, we make use of state-of-the-art models.</x:v>
      </x:c>
      <x:c r="W223" s="6" t="str">
        <x:v>模型选择范围有限，虽用先进模型但可能不涵盖所有变体。</x:v>
      </x:c>
      <x:c r="X223" s="2" t="str">
        <x:v>Accepted</x:v>
      </x:c>
      <x:c r="Y223" s="6" t="str">
        <x:v>NA</x:v>
      </x:c>
      <x:c r="Z223" s="2" t="n">
        <x:v>2</x:v>
      </x:c>
      <x:c r="AA223" s="2" t="n">
        <x:v>3</x:v>
      </x:c>
    </x:row>
    <x:row r="224" ht="76" customHeight="1">
      <x:c r="A224" s="2" t="str">
        <x:v>S42-LIMIT-R05</x:v>
      </x:c>
      <x:c r="B224" s="2" t="str">
        <x:v>S42</x:v>
      </x:c>
      <x:c r="C224" s="2" t="str">
        <x:v>merged_1266</x:v>
      </x:c>
      <x:c r="D224" s="2" t="str">
        <x:v>Reviewer_A</x:v>
      </x:c>
      <x:c r="E224" s="2" t="str">
        <x:v>Reviewer_A</x:v>
      </x:c>
      <x:c r="F224" s="2" t="str">
        <x:v>S42-L05</x:v>
      </x:c>
      <x:c r="G224" s="6" t="str">
        <x:v>SR</x:v>
      </x:c>
      <x:c r="H224" s="2" t="str">
        <x:v>Authors</x:v>
      </x:c>
      <x:c r="I224" s="6" t="str">
        <x:v>使用闭源模型，无法确保训练数据无数据泄露。</x:v>
      </x:c>
      <x:c r="J224" s="2" t="str">
        <x:v>Speculative</x:v>
      </x:c>
      <x:c r="K224" s="2" t="str">
        <x:v>S44-T01</x:v>
      </x:c>
      <x:c r="L224" s="2" t="str">
        <x:v>S44-MU01; S44-MU02; S44-MU05; S44-MU06</x:v>
      </x:c>
      <x:c r="M224" s="2" t="str">
        <x:v>model training data</x:v>
      </x:c>
      <x:c r="N224" s="2" t="str">
        <x:v>potential data leakage invalidating zero-shot assumption</x:v>
      </x:c>
      <x:c r="O224" s="6" t="str">
        <x:v>NR</x:v>
      </x:c>
      <x:c r="P224" s="2" t="str">
        <x:v>Not proposed</x:v>
      </x:c>
      <x:c r="Q224" s="2" t="str">
        <x:v>Not proposed</x:v>
      </x:c>
      <x:c r="R224" s="2" t="str">
        <x:v>data-leakage-threat</x:v>
      </x:c>
      <x:c r="S224" s="2" t="str">
        <x:v>External validity</x:v>
      </x:c>
      <x:c r="T224" s="2" t="str">
        <x:v>Data and evidence quality</x:v>
      </x:c>
      <x:c r="U224" s="6" t="str">
        <x:v>p. 12; Section 4.3 External validity</x:v>
      </x:c>
      <x:c r="V224" s="6" t="str">
        <x:v>The third threat is using closed source models for evaluation. Since we do not know the training data of these models, we cannot ensure that there is no data leakage.</x:v>
      </x:c>
      <x:c r="W224" s="6" t="str">
        <x:v>闭源模型训练数据未知，存在数据泄露风险，可能破坏零样本假设。</x:v>
      </x:c>
      <x:c r="X224" s="2" t="str">
        <x:v>Accepted</x:v>
      </x:c>
      <x:c r="Y224" s="6" t="str">
        <x:v>NA</x:v>
      </x:c>
      <x:c r="Z224" s="2" t="n">
        <x:v>2</x:v>
      </x:c>
      <x:c r="AA224" s="2" t="n">
        <x:v>1</x:v>
      </x:c>
    </x:row>
    <x:row r="225" ht="76" customHeight="1">
      <x:c r="A225" s="2" t="str">
        <x:v>S42-LIMIT-R06</x:v>
      </x:c>
      <x:c r="B225" s="2" t="str">
        <x:v>S42</x:v>
      </x:c>
      <x:c r="C225" s="2" t="str">
        <x:v>merged_1266</x:v>
      </x:c>
      <x:c r="D225" s="2" t="str">
        <x:v>Reviewer_A</x:v>
      </x:c>
      <x:c r="E225" s="2" t="str">
        <x:v>Reviewer_A</x:v>
      </x:c>
      <x:c r="F225" s="2" t="str">
        <x:v>S42-L06</x:v>
      </x:c>
      <x:c r="G225" s="6" t="str">
        <x:v>SR</x:v>
      </x:c>
      <x:c r="H225" s="2" t="str">
        <x:v>Authors</x:v>
      </x:c>
      <x:c r="I225" s="6" t="str">
        <x:v>LLM的非确定性使得结果依赖于所选随机种子。</x:v>
      </x:c>
      <x:c r="J225" s="2" t="str">
        <x:v>Speculative</x:v>
      </x:c>
      <x:c r="K225" s="2" t="str">
        <x:v>S44-T01</x:v>
      </x:c>
      <x:c r="L225" s="2" t="str">
        <x:v>Multiple</x:v>
      </x:c>
      <x:c r="M225" s="2" t="str">
        <x:v>LLM behavior</x:v>
      </x:c>
      <x:c r="N225" s="2" t="str">
        <x:v>results may vary with different seeds</x:v>
      </x:c>
      <x:c r="O225" s="6" t="str">
        <x:v>NR</x:v>
      </x:c>
      <x:c r="P225" s="2" t="str">
        <x:v>set random seed and temperature to 0, but results dependent on chosen seed 133742243</x:v>
      </x:c>
      <x:c r="Q225" s="2" t="str">
        <x:v>Implemented</x:v>
      </x:c>
      <x:c r="R225" s="2" t="str">
        <x:v>non-determinism-seed-dependence</x:v>
      </x:c>
      <x:c r="S225" s="2" t="str">
        <x:v>External validity</x:v>
      </x:c>
      <x:c r="T225" s="2" t="str">
        <x:v>Context and prompt dependence</x:v>
      </x:c>
      <x:c r="U225" s="6" t="str">
        <x:v>p. 12; Section 4.3 External validity</x:v>
      </x:c>
      <x:c r="V225" s="6" t="str">
        <x:v>The fourth threat is the non-determinism of the LLMs. To mitigate this threat, we set a random seed for the LLMs and set their temperature to 0. Thus, our results are dependent on the chosen seed 133742243.</x:v>
      </x:c>
      <x:c r="W225" s="6" t="str">
        <x:v>通过固定种子和温度将LLM确定性化，但结果仍依赖于该特定种子。</x:v>
      </x:c>
      <x:c r="X225" s="2" t="str">
        <x:v>Accepted</x:v>
      </x:c>
      <x:c r="Y225" s="6" t="str">
        <x:v>NA</x:v>
      </x:c>
      <x:c r="Z225" s="2" t="n">
        <x:v>2</x:v>
      </x:c>
      <x:c r="AA225" s="2" t="n">
        <x:v>3</x:v>
      </x:c>
    </x:row>
    <x:row r="226" ht="76" customHeight="1">
      <x:c r="A226" s="2" t="str">
        <x:v>S42-LIMIT-R07</x:v>
      </x:c>
      <x:c r="B226" s="2" t="str">
        <x:v>S42</x:v>
      </x:c>
      <x:c r="C226" s="2" t="str">
        <x:v>merged_1266</x:v>
      </x:c>
      <x:c r="D226" s="2" t="str">
        <x:v>Reviewer_A</x:v>
      </x:c>
      <x:c r="E226" s="2" t="str">
        <x:v>Reviewer_A</x:v>
      </x:c>
      <x:c r="F226" s="2" t="str">
        <x:v>S42-L07</x:v>
      </x:c>
      <x:c r="G226" s="6" t="str">
        <x:v>SR</x:v>
      </x:c>
      <x:c r="H226" s="2" t="str">
        <x:v>Authors</x:v>
      </x:c>
      <x:c r="I226" s="6" t="str">
        <x:v>即使最佳配置也仅达到约45% F1/F2，不足以全自动化实际使用。</x:v>
      </x:c>
      <x:c r="J226" s="2" t="str">
        <x:v>Empirical</x:v>
      </x:c>
      <x:c r="K226" s="2" t="str">
        <x:v>S44-T01</x:v>
      </x:c>
      <x:c r="L226" s="2" t="str">
        <x:v>S44-MU05</x:v>
      </x:c>
      <x:c r="M226" s="2" t="str">
        <x:v>overall approach performance</x:v>
      </x:c>
      <x:c r="N226" s="2" t="str">
        <x:v>not ready for fully automated setting</x:v>
      </x:c>
      <x:c r="O226" s="6" t="str">
        <x:v>45% F1-/F2-score is still insufficient</x:v>
      </x:c>
      <x:c r="P226" s="2" t="str">
        <x:v>Not proposed</x:v>
      </x:c>
      <x:c r="Q226" s="2" t="str">
        <x:v>Not proposed</x:v>
      </x:c>
      <x:c r="R226" s="2" t="str">
        <x:v>insufficient-performance-for-automation</x:v>
      </x:c>
      <x:c r="S226" s="2" t="str">
        <x:v>Performance limitation</x:v>
      </x:c>
      <x:c r="T226" s="2" t="str">
        <x:v>Model reliability</x:v>
      </x:c>
      <x:c r="U226" s="6" t="str">
        <x:v>p. 13; Section 5 Conclusion</x:v>
      </x:c>
      <x:c r="V226" s="6" t="str">
        <x:v>However, 45% F1 -/F2 -score is still insufficient to be used in a fully automated setting in practice.</x:v>
      </x:c>
      <x:c r="W226" s="6" t="str">
        <x:v>当前RAG方法性能尚不足以支持全自动化追溯链接恢复。</x:v>
      </x:c>
      <x:c r="X226" s="2" t="str">
        <x:v>Accepted</x:v>
      </x:c>
      <x:c r="Y226" s="6" t="str">
        <x:v>NA</x:v>
      </x:c>
      <x:c r="Z226" s="2" t="n">
        <x:v>4</x:v>
      </x:c>
      <x:c r="AA226" s="2" t="n">
        <x:v>1</x:v>
      </x:c>
    </x:row>
    <x:row r="227" ht="76" customHeight="1">
      <x:c r="A227" s="2" t="str">
        <x:v>S43-LIMIT-R01</x:v>
      </x:c>
      <x:c r="B227" s="2" t="str">
        <x:v>S43</x:v>
      </x:c>
      <x:c r="C227" s="2" t="str">
        <x:v>merged_1270</x:v>
      </x:c>
      <x:c r="D227" s="2" t="str">
        <x:v>Reviewer_A</x:v>
      </x:c>
      <x:c r="E227" s="2" t="str">
        <x:v>Reviewer_A</x:v>
      </x:c>
      <x:c r="F227" s="2" t="str">
        <x:v>S43-L01</x:v>
      </x:c>
      <x:c r="G227" s="6" t="str">
        <x:v>SR</x:v>
      </x:c>
      <x:c r="H227" s="2" t="str">
        <x:v>Authors</x:v>
      </x:c>
      <x:c r="I227" s="6" t="str">
        <x:v>结论有效性威胁：随机因素可能影响实验结果的稳定性。通过进行50次独立重复试验并采用Mann-Whitney U检验来减轻影响。</x:v>
      </x:c>
      <x:c r="J227" s="2" t="str">
        <x:v>Empirical</x:v>
      </x:c>
      <x:c r="K227" s="2" t="str">
        <x:v>S45-T01</x:v>
      </x:c>
      <x:c r="L227" s="2" t="str">
        <x:v>Multiple</x:v>
      </x:c>
      <x:c r="M227" s="2" t="str">
        <x:v>实验评估阶段</x:v>
      </x:c>
      <x:c r="N227" s="2" t="str">
        <x:v>随机误差可能导致性能比较结果不可靠。</x:v>
      </x:c>
      <x:c r="O227" s="6" t="str">
        <x:v>随机因素对实验结果的稳定性有潜在影响。</x:v>
      </x:c>
      <x:c r="P227" s="2" t="str">
        <x:v>50次重复试验并采用Mann-Whitney U检验（α=0.05）。</x:v>
      </x:c>
      <x:c r="Q227" s="2" t="str">
        <x:v>Implemented</x:v>
      </x:c>
      <x:c r="R227" s="2" t="str">
        <x:v>validity</x:v>
      </x:c>
      <x:c r="S227" s="2" t="str">
        <x:v>threat</x:v>
      </x:c>
      <x:c r="T227" s="2" t="str">
        <x:v>Evaluation and validity</x:v>
      </x:c>
      <x:c r="U227" s="6" t="str">
        <x:v>p. 10; Section VI. Threats to Validity, Conclusion Validity</x:v>
      </x:c>
      <x:c r="V227" s="6" t="str">
        <x:v>we conducted 50 independent repeated trials for each experimental configuration and used their average as the final result to reduce random errors and enhance data reliability. Additionally, we employed the Mann-Whitney U test (significance level α=0.05) to perform statistical analysis</x:v>
      </x:c>
      <x:c r="W227" s="6" t="str">
        <x:v>作者识别并减轻了结论有效性的随机因素威胁。</x:v>
      </x:c>
      <x:c r="X227" s="2" t="str">
        <x:v>Accepted</x:v>
      </x:c>
      <x:c r="Y227" s="6" t="str">
        <x:v>NA</x:v>
      </x:c>
      <x:c r="Z227" s="2" t="n">
        <x:v>3</x:v>
      </x:c>
      <x:c r="AA227" s="2" t="n">
        <x:v>3</x:v>
      </x:c>
    </x:row>
    <x:row r="228" ht="76" customHeight="1">
      <x:c r="A228" s="2" t="str">
        <x:v>S43-LIMIT-R02</x:v>
      </x:c>
      <x:c r="B228" s="2" t="str">
        <x:v>S43</x:v>
      </x:c>
      <x:c r="C228" s="2" t="str">
        <x:v>merged_1270</x:v>
      </x:c>
      <x:c r="D228" s="2" t="str">
        <x:v>Reviewer_A</x:v>
      </x:c>
      <x:c r="E228" s="2" t="str">
        <x:v>Reviewer_A</x:v>
      </x:c>
      <x:c r="F228" s="2" t="str">
        <x:v>S43-L02</x:v>
      </x:c>
      <x:c r="G228" s="6" t="str">
        <x:v>SR</x:v>
      </x:c>
      <x:c r="H228" s="2" t="str">
        <x:v>Authors</x:v>
      </x:c>
      <x:c r="I228" s="6" t="str">
        <x:v>构念有效性威胁：单一评估指标可能导致评估偏差。采用精确率、召回率和F1分数等多指标，并与多个基线方法比较以减轻威胁。</x:v>
      </x:c>
      <x:c r="J228" s="2" t="str">
        <x:v>Empirical</x:v>
      </x:c>
      <x:c r="K228" s="2" t="str">
        <x:v>S45-T01</x:v>
      </x:c>
      <x:c r="L228" s="2" t="str">
        <x:v>Multiple</x:v>
      </x:c>
      <x:c r="M228" s="2" t="str">
        <x:v>评估指标选择</x:v>
      </x:c>
      <x:c r="N228" s="2" t="str">
        <x:v>可能无法全面评估方法性能。</x:v>
      </x:c>
      <x:c r="O228" s="6" t="str">
        <x:v>避免依赖单一指标可能产生的偏差。</x:v>
      </x:c>
      <x:c r="P228" s="2" t="str">
        <x:v>采用多种广泛认可的指标并与多个基线对比。</x:v>
      </x:c>
      <x:c r="Q228" s="2" t="str">
        <x:v>Implemented</x:v>
      </x:c>
      <x:c r="R228" s="2" t="str">
        <x:v>validity</x:v>
      </x:c>
      <x:c r="S228" s="2" t="str">
        <x:v>threat</x:v>
      </x:c>
      <x:c r="T228" s="2" t="str">
        <x:v>Evaluation and validity</x:v>
      </x:c>
      <x:c r="U228" s="6" t="str">
        <x:v>p. 10; Section VI. Threats to Validity, Construct Validity</x:v>
      </x:c>
      <x:c r="V228" s="6" t="str">
        <x:v>Construct Validity: To ensure comprehensive and fair evaluation, this study adopts widely recognized metrics in the RCTLR domain, including Precision, Recall, and F1-score. These metrics comprehensively assess method performance from</x:v>
      </x:c>
      <x:c r="W228" s="6" t="str">
        <x:v>通过多指标和多基线比较降低构念有效性威胁。</x:v>
      </x:c>
      <x:c r="X228" s="2" t="str">
        <x:v>Accepted</x:v>
      </x:c>
      <x:c r="Y228" s="6" t="str">
        <x:v>NA</x:v>
      </x:c>
      <x:c r="Z228" s="2" t="n">
        <x:v>3</x:v>
      </x:c>
      <x:c r="AA228" s="2" t="n">
        <x:v>3</x:v>
      </x:c>
    </x:row>
    <x:row r="229" ht="76" customHeight="1">
      <x:c r="A229" s="2" t="str">
        <x:v>S43-LIMIT-R03</x:v>
      </x:c>
      <x:c r="B229" s="2" t="str">
        <x:v>S43</x:v>
      </x:c>
      <x:c r="C229" s="2" t="str">
        <x:v>merged_1270</x:v>
      </x:c>
      <x:c r="D229" s="2" t="str">
        <x:v>Reviewer_A</x:v>
      </x:c>
      <x:c r="E229" s="2" t="str">
        <x:v>Reviewer_A</x:v>
      </x:c>
      <x:c r="F229" s="2" t="str">
        <x:v>S43-L03</x:v>
      </x:c>
      <x:c r="G229" s="6" t="str">
        <x:v>SR</x:v>
      </x:c>
      <x:c r="H229" s="2" t="str">
        <x:v>Authors</x:v>
      </x:c>
      <x:c r="I229" s="6" t="str">
        <x:v>内部有效性威胁：实验的可重复性和可验证性可能受到影响。通过公开完整源代码并严格控制实验环境来减轻威胁。</x:v>
      </x:c>
      <x:c r="J229" s="2" t="str">
        <x:v>Empirical</x:v>
      </x:c>
      <x:c r="K229" s="2" t="str">
        <x:v>S45-T01</x:v>
      </x:c>
      <x:c r="L229" s="2" t="str">
        <x:v>Multiple</x:v>
      </x:c>
      <x:c r="M229" s="2" t="str">
        <x:v>实验实施</x:v>
      </x:c>
      <x:c r="N229" s="2" t="str">
        <x:v>可能无法再现或验证实验结果。</x:v>
      </x:c>
      <x:c r="O229" s="6" t="str">
        <x:v>确保公平比较。</x:v>
      </x:c>
      <x:c r="P229" s="2" t="str">
        <x:v>公开源代码并严格控制实验环境。</x:v>
      </x:c>
      <x:c r="Q229" s="2" t="str">
        <x:v>Implemented</x:v>
      </x:c>
      <x:c r="R229" s="2" t="str">
        <x:v>validity</x:v>
      </x:c>
      <x:c r="S229" s="2" t="str">
        <x:v>threat</x:v>
      </x:c>
      <x:c r="T229" s="2" t="str">
        <x:v>Evaluation and validity</x:v>
      </x:c>
      <x:c r="U229" s="6" t="str">
        <x:v>p. 11; Section VI. Threats to Validity, Internal Validity</x:v>
      </x:c>
      <x:c r="V229" s="6" t="str">
        <x:v>procedures or build upon our implementation for further optimization and extension. Additionally, we rigorously controlled the experimental environment to ensure all compared methods</x:v>
      </x:c>
      <x:c r="W229" s="6" t="str">
        <x:v>通过公开代码和统一环境提升内部有效性。</x:v>
      </x:c>
      <x:c r="X229" s="2" t="str">
        <x:v>Accepted</x:v>
      </x:c>
      <x:c r="Y229" s="6" t="str">
        <x:v>NA</x:v>
      </x:c>
      <x:c r="Z229" s="2" t="n">
        <x:v>3</x:v>
      </x:c>
      <x:c r="AA229" s="2" t="n">
        <x:v>3</x:v>
      </x:c>
    </x:row>
    <x:row r="230" ht="76" customHeight="1">
      <x:c r="A230" s="2" t="str">
        <x:v>S43-LIMIT-R04</x:v>
      </x:c>
      <x:c r="B230" s="2" t="str">
        <x:v>S43</x:v>
      </x:c>
      <x:c r="C230" s="2" t="str">
        <x:v>merged_1270</x:v>
      </x:c>
      <x:c r="D230" s="2" t="str">
        <x:v>Reviewer_A</x:v>
      </x:c>
      <x:c r="E230" s="2" t="str">
        <x:v>Reviewer_A</x:v>
      </x:c>
      <x:c r="F230" s="2" t="str">
        <x:v>S43-L04</x:v>
      </x:c>
      <x:c r="G230" s="6" t="str">
        <x:v>SR</x:v>
      </x:c>
      <x:c r="H230" s="2" t="str">
        <x:v>Authors</x:v>
      </x:c>
      <x:c r="I230" s="6" t="str">
        <x:v>外部有效性威胁：实验数据主要来自开源项目，结论对工业级专有系统或特定领域的适用性需要进一步验证。</x:v>
      </x:c>
      <x:c r="J230" s="2" t="str">
        <x:v>Speculative</x:v>
      </x:c>
      <x:c r="K230" s="2" t="str">
        <x:v>S45-T01</x:v>
      </x:c>
      <x:c r="L230" s="2" t="str">
        <x:v>Multiple</x:v>
      </x:c>
      <x:c r="M230" s="2" t="str">
        <x:v>实验数据集的选择范围</x:v>
      </x:c>
      <x:c r="N230" s="2" t="str">
        <x:v>结论可能不适用于工业级专有系统或特定领域。</x:v>
      </x:c>
      <x:c r="O230" s="6" t="str">
        <x:v>来源于开源项目。</x:v>
      </x:c>
      <x:c r="P230" s="2" t="str">
        <x:v>未提出具体缓解措施，仅指出需进一步验证。</x:v>
      </x:c>
      <x:c r="Q230" s="2" t="str">
        <x:v>Not proposed</x:v>
      </x:c>
      <x:c r="R230" s="2" t="str">
        <x:v>validity</x:v>
      </x:c>
      <x:c r="S230" s="2" t="str">
        <x:v>threat</x:v>
      </x:c>
      <x:c r="T230" s="2" t="str">
        <x:v>Evaluation and validity</x:v>
      </x:c>
      <x:c r="U230" s="6" t="str">
        <x:v>p. 11; Section VI. Threats to Validity, External Validity</x:v>
      </x:c>
      <x:c r="V230" s="6" t="str">
        <x:v>since our experimental data primarily comes from open-source projects, the conclusions’ validity for industrial-grade proprietary systems or specific domains requires further verification.</x:v>
      </x:c>
      <x:c r="W230" s="6" t="str">
        <x:v>外部有效性受限于数据集来源，需在工业场景中验证。</x:v>
      </x:c>
      <x:c r="X230" s="2" t="str">
        <x:v>Accepted</x:v>
      </x:c>
      <x:c r="Y230" s="6" t="str">
        <x:v>NA</x:v>
      </x:c>
      <x:c r="Z230" s="2" t="n">
        <x:v>2</x:v>
      </x:c>
      <x:c r="AA230" s="2" t="n">
        <x:v>1</x:v>
      </x:c>
    </x:row>
    <x:row r="231" ht="76" customHeight="1">
      <x:c r="A231" s="2" t="str">
        <x:v>S44-LIMIT-R01</x:v>
      </x:c>
      <x:c r="B231" s="2" t="str">
        <x:v>S44</x:v>
      </x:c>
      <x:c r="C231" s="2" t="str">
        <x:v>merged_1274</x:v>
      </x:c>
      <x:c r="D231" s="2" t="str">
        <x:v>Reviewer_A</x:v>
      </x:c>
      <x:c r="E231" s="2" t="str">
        <x:v>Reviewer_A</x:v>
      </x:c>
      <x:c r="F231" s="2" t="str">
        <x:v>S44-L01</x:v>
      </x:c>
      <x:c r="G231" s="6" t="str">
        <x:v>SR</x:v>
      </x:c>
      <x:c r="H231" s="2" t="str">
        <x:v>Authors</x:v>
      </x:c>
      <x:c r="I231" s="6" t="str">
        <x:v>通用功能的目标工件往往具有相似语义，导致源-目标匹配混淆。</x:v>
      </x:c>
      <x:c r="J231" s="2" t="str">
        <x:v>Empirical</x:v>
      </x:c>
      <x:c r="K231" s="2" t="str">
        <x:v>S46-T01</x:v>
      </x:c>
      <x:c r="L231" s="2" t="str">
        <x:v>S46-MU02</x:v>
      </x:c>
      <x:c r="M231" s="2" t="str">
        <x:v>目标工件为通用功能的代码</x:v>
      </x:c>
      <x:c r="N231" s="2" t="str">
        <x:v>降低候选列表中源工件与目标工件的匹配准确性</x:v>
      </x:c>
      <x:c r="O231" s="6" t="str">
        <x:v>Unclear</x:v>
      </x:c>
      <x:c r="P231" s="2" t="str">
        <x:v>提出重排序策略优化候选链接</x:v>
      </x:c>
      <x:c r="Q231" s="2" t="str">
        <x:v>Evaluated</x:v>
      </x:c>
      <x:c r="R231" s="2" t="str">
        <x:v>semantic_confusion</x:v>
      </x:c>
      <x:c r="S231" s="2" t="str">
        <x:v>artifact_challenge</x:v>
      </x:c>
      <x:c r="T231" s="2" t="str">
        <x:v>Context and prompt dependence</x:v>
      </x:c>
      <x:c r="U231" s="6" t="str">
        <x:v>p. 2; Section II-E</x:v>
      </x:c>
      <x:c r="V231" s="6" t="str">
        <x:v>Target artifacts for general functions often exhibit similar semantics, causing confusion in source-target matching;</x:v>
      </x:c>
      <x:c r="W231" s="6" t="str">
        <x:v>作者明确指出，通用功能的目标工件语义相似，导致匹配混淆，这是重新排序方法所要解决的主要问题之一。</x:v>
      </x:c>
      <x:c r="X231" s="2" t="str">
        <x:v>Accepted</x:v>
      </x:c>
      <x:c r="Y231" s="6" t="str">
        <x:v>NA</x:v>
      </x:c>
      <x:c r="Z231" s="2" t="n">
        <x:v>3</x:v>
      </x:c>
      <x:c r="AA231" s="2" t="n">
        <x:v>4</x:v>
      </x:c>
    </x:row>
    <x:row r="232" ht="76" customHeight="1">
      <x:c r="A232" s="2" t="str">
        <x:v>S44-LIMIT-R02</x:v>
      </x:c>
      <x:c r="B232" s="2" t="str">
        <x:v>S44</x:v>
      </x:c>
      <x:c r="C232" s="2" t="str">
        <x:v>merged_1274</x:v>
      </x:c>
      <x:c r="D232" s="2" t="str">
        <x:v>Reviewer_A</x:v>
      </x:c>
      <x:c r="E232" s="2" t="str">
        <x:v>Reviewer_A</x:v>
      </x:c>
      <x:c r="F232" s="2" t="str">
        <x:v>S44-L02</x:v>
      </x:c>
      <x:c r="G232" s="6" t="str">
        <x:v>SR</x:v>
      </x:c>
      <x:c r="H232" s="2" t="str">
        <x:v>Authors</x:v>
      </x:c>
      <x:c r="I232" s="6" t="str">
        <x:v>通过中介间接链接的工件可能与源描述相似度低，降低总体准确性。</x:v>
      </x:c>
      <x:c r="J232" s="2" t="str">
        <x:v>Empirical</x:v>
      </x:c>
      <x:c r="K232" s="2" t="str">
        <x:v>S46-T01</x:v>
      </x:c>
      <x:c r="L232" s="2" t="str">
        <x:v>S46-MU02</x:v>
      </x:c>
      <x:c r="M232" s="2" t="str">
        <x:v>间接链接的工件</x:v>
      </x:c>
      <x:c r="N232" s="2" t="str">
        <x:v>降低整体可追溯链接恢复的准确性</x:v>
      </x:c>
      <x:c r="O232" s="6" t="str">
        <x:v>Unclear</x:v>
      </x:c>
      <x:c r="P232" s="2" t="str">
        <x:v>提出重排序策略优化候选链接</x:v>
      </x:c>
      <x:c r="Q232" s="2" t="str">
        <x:v>Evaluated</x:v>
      </x:c>
      <x:c r="R232" s="2" t="str">
        <x:v>indirect_similarity_low</x:v>
      </x:c>
      <x:c r="S232" s="2" t="str">
        <x:v>artifact_challenge</x:v>
      </x:c>
      <x:c r="T232" s="2" t="str">
        <x:v>Context and prompt dependence</x:v>
      </x:c>
      <x:c r="U232" s="6" t="str">
        <x:v>p. 2; Section II-E</x:v>
      </x:c>
      <x:c r="V232" s="6" t="str">
        <x:v>Indirectly linked artifacts via intermediaries may show low similarity with source descriptions, reducing overall accuracy.</x:v>
      </x:c>
      <x:c r="W232" s="6" t="str">
        <x:v>作者指出间接链接的工件相似度低是另一个关键局限性，重排序策略旨在缓解此问题。</x:v>
      </x:c>
      <x:c r="X232" s="2" t="str">
        <x:v>Accepted</x:v>
      </x:c>
      <x:c r="Y232" s="6" t="str">
        <x:v>NA</x:v>
      </x:c>
      <x:c r="Z232" s="2" t="n">
        <x:v>3</x:v>
      </x:c>
      <x:c r="AA232" s="2" t="n">
        <x:v>4</x:v>
      </x:c>
    </x:row>
    <x:row r="233" ht="76" customHeight="1">
      <x:c r="A233" s="2" t="str">
        <x:v>S45-LIMIT-R01</x:v>
      </x:c>
      <x:c r="B233" s="2" t="str">
        <x:v>S45</x:v>
      </x:c>
      <x:c r="C233" s="2" t="str">
        <x:v>merged_1275</x:v>
      </x:c>
      <x:c r="D233" s="2" t="str">
        <x:v>Reviewer_A</x:v>
      </x:c>
      <x:c r="E233" s="2" t="str">
        <x:v>Reviewer_A</x:v>
      </x:c>
      <x:c r="F233" s="2" t="str">
        <x:v>S45-L01</x:v>
      </x:c>
      <x:c r="G233" s="6" t="str">
        <x:v>SR</x:v>
      </x:c>
      <x:c r="H233" s="2" t="str">
        <x:v>Authors</x:v>
      </x:c>
      <x:c r="I233" s="6" t="str">
        <x:v>数据集规模小且需求复杂度低，限制了对复杂情境的泛化能力。</x:v>
      </x:c>
      <x:c r="J233" s="2" t="str">
        <x:v>Empirical</x:v>
      </x:c>
      <x:c r="K233" s="2" t="str">
        <x:v>Multiple</x:v>
      </x:c>
      <x:c r="L233" s="2" t="str">
        <x:v>Multiple</x:v>
      </x:c>
      <x:c r="M233" s="2" t="str">
        <x:v>整个实证研究</x:v>
      </x:c>
      <x:c r="N233" s="2" t="str">
        <x:v>结果可能无法推广到更复杂或大规模项目</x:v>
      </x:c>
      <x:c r="O233" s="6" t="str">
        <x:v>NR</x:v>
      </x:c>
      <x:c r="P233" s="2" t="str">
        <x:v>No</x:v>
      </x:c>
      <x:c r="Q233" s="2" t="str">
        <x:v>Not proposed</x:v>
      </x:c>
      <x:c r="R233" s="2" t="str">
        <x:v>small_dataset</x:v>
      </x:c>
      <x:c r="S233" s="2" t="str">
        <x:v>validity_threat</x:v>
      </x:c>
      <x:c r="T233" s="2" t="str">
        <x:v>Data and evidence quality</x:v>
      </x:c>
      <x:c r="U233" s="6" t="str">
        <x:v>p. 5; section 3 Threats to Validity</x:v>
      </x:c>
      <x:c r="V233" s="6" t="str">
        <x:v>The dataset was small and consisted of low-complexity requirements, as more complex ones were restricted due to IP and confidentiality constraints.</x:v>
      </x:c>
      <x:c r="W233" s="6" t="str">
        <x:v>作者承认数据集的大小和需求复杂度较低，这威胁到研究的外部有效性，结果可能不适用于更复杂或更大规模的项目。</x:v>
      </x:c>
      <x:c r="X233" s="2" t="str">
        <x:v>Accepted</x:v>
      </x:c>
      <x:c r="Y233" s="6" t="str">
        <x:v>NA</x:v>
      </x:c>
      <x:c r="Z233" s="2" t="n">
        <x:v>3</x:v>
      </x:c>
      <x:c r="AA233" s="2" t="n">
        <x:v>1</x:v>
      </x:c>
    </x:row>
    <x:row r="234" ht="76" customHeight="1">
      <x:c r="A234" s="2" t="str">
        <x:v>S45-LIMIT-R02</x:v>
      </x:c>
      <x:c r="B234" s="2" t="str">
        <x:v>S45</x:v>
      </x:c>
      <x:c r="C234" s="2" t="str">
        <x:v>merged_1275</x:v>
      </x:c>
      <x:c r="D234" s="2" t="str">
        <x:v>Reviewer_A</x:v>
      </x:c>
      <x:c r="E234" s="2" t="str">
        <x:v>Reviewer_A</x:v>
      </x:c>
      <x:c r="F234" s="2" t="str">
        <x:v>S45-L02</x:v>
      </x:c>
      <x:c r="G234" s="6" t="str">
        <x:v>SR</x:v>
      </x:c>
      <x:c r="H234" s="2" t="str">
        <x:v>Authors</x:v>
      </x:c>
      <x:c r="I234" s="6" t="str">
        <x:v>仅使用ChatGPT-4o，结果可能不适用于其他LLM工具。</x:v>
      </x:c>
      <x:c r="J234" s="2" t="str">
        <x:v>Speculative</x:v>
      </x:c>
      <x:c r="K234" s="2" t="str">
        <x:v>Multiple</x:v>
      </x:c>
      <x:c r="L234" s="2" t="str">
        <x:v>S47-MU01</x:v>
      </x:c>
      <x:c r="M234" s="2" t="str">
        <x:v>所有研究</x:v>
      </x:c>
      <x:c r="N234" s="2" t="str">
        <x:v>结果可能无法推广到其他模型</x:v>
      </x:c>
      <x:c r="O234" s="6" t="str">
        <x:v>NR</x:v>
      </x:c>
      <x:c r="P234" s="2" t="str">
        <x:v>No</x:v>
      </x:c>
      <x:c r="Q234" s="2" t="str">
        <x:v>Not proposed</x:v>
      </x:c>
      <x:c r="R234" s="2" t="str">
        <x:v>single_llm_used</x:v>
      </x:c>
      <x:c r="S234" s="2" t="str">
        <x:v>validity_threat</x:v>
      </x:c>
      <x:c r="T234" s="2" t="str">
        <x:v>Generalizability and scope</x:v>
      </x:c>
      <x:c r="U234" s="6" t="str">
        <x:v>p. 5; section 3 Threats to Validity</x:v>
      </x:c>
      <x:c r="V234" s="6" t="str">
        <x:v>GenAI Tool Used: The study utilized ChatGPT-4o, but outcomes may vary with other tools like Gemini or even the newer versions of ChatGPT.</x:v>
      </x:c>
      <x:c r="W234" s="6" t="str">
        <x:v>作者指出仅使用一种LLM工具会限制结论的普适性，其他LLM可能表现不同。</x:v>
      </x:c>
      <x:c r="X234" s="2" t="str">
        <x:v>Accepted</x:v>
      </x:c>
      <x:c r="Y234" s="6" t="str">
        <x:v>NA</x:v>
      </x:c>
      <x:c r="Z234" s="2" t="n">
        <x:v>2</x:v>
      </x:c>
      <x:c r="AA234" s="2" t="n">
        <x:v>1</x:v>
      </x:c>
    </x:row>
    <x:row r="235" ht="76" customHeight="1">
      <x:c r="A235" s="2" t="str">
        <x:v>S45-LIMIT-R03</x:v>
      </x:c>
      <x:c r="B235" s="2" t="str">
        <x:v>S45</x:v>
      </x:c>
      <x:c r="C235" s="2" t="str">
        <x:v>merged_1275</x:v>
      </x:c>
      <x:c r="D235" s="2" t="str">
        <x:v>Reviewer_A</x:v>
      </x:c>
      <x:c r="E235" s="2" t="str">
        <x:v>Reviewer_A</x:v>
      </x:c>
      <x:c r="F235" s="2" t="str">
        <x:v>S45-L03</x:v>
      </x:c>
      <x:c r="G235" s="6" t="str">
        <x:v>SR</x:v>
      </x:c>
      <x:c r="H235" s="2" t="str">
        <x:v>Authors</x:v>
      </x:c>
      <x:c r="I235" s="6" t="str">
        <x:v>提示设计可能未覆盖所有评估标准，影响输出的全面性。</x:v>
      </x:c>
      <x:c r="J235" s="2" t="str">
        <x:v>Speculative</x:v>
      </x:c>
      <x:c r="K235" s="2" t="str">
        <x:v>Multiple</x:v>
      </x:c>
      <x:c r="L235" s="2" t="str">
        <x:v>S47-MU01</x:v>
      </x:c>
      <x:c r="M235" s="2" t="str">
        <x:v>提示设计过程</x:v>
      </x:c>
      <x:c r="N235" s="2" t="str">
        <x:v>ChatGPT-4o的输出可能不够多样化或完整</x:v>
      </x:c>
      <x:c r="O235" s="6" t="str">
        <x:v>NR</x:v>
      </x:c>
      <x:c r="P235" s="2" t="str">
        <x:v>进一步细化提示以包含额外标准可改善输出</x:v>
      </x:c>
      <x:c r="Q235" s="2" t="str">
        <x:v>Proposed</x:v>
      </x:c>
      <x:c r="R235" s="2" t="str">
        <x:v>prompt_engineering_limitation</x:v>
      </x:c>
      <x:c r="S235" s="2" t="str">
        <x:v>validity_threat</x:v>
      </x:c>
      <x:c r="T235" s="2" t="str">
        <x:v>Context and prompt dependence</x:v>
      </x:c>
      <x:c r="U235" s="6" t="str">
        <x:v>p. 5; section 3 Threats to Validity</x:v>
      </x:c>
      <x:c r="V235" s="6" t="str">
        <x:v>Prompt Engineering: The prompts were designed with specific criteria checks for the task. However, further refinement to include additional criteria could result in more diverse and comprehensive outputs.</x:v>
      </x:c>
      <x:c r="W235" s="6" t="str">
        <x:v>提示工程可能是一个局限性，因为当前的提示可能没有捕获所有相关方面，改进提示可能提升结果质量。</x:v>
      </x:c>
      <x:c r="X235" s="2" t="str">
        <x:v>Accepted</x:v>
      </x:c>
      <x:c r="Y235" s="6" t="str">
        <x:v>NA</x:v>
      </x:c>
      <x:c r="Z235" s="2" t="n">
        <x:v>2</x:v>
      </x:c>
      <x:c r="AA235" s="2" t="n">
        <x:v>2</x:v>
      </x:c>
    </x:row>
    <x:row r="236" ht="76" customHeight="1">
      <x:c r="A236" s="2" t="str">
        <x:v>S45-LIMIT-R04</x:v>
      </x:c>
      <x:c r="B236" s="2" t="str">
        <x:v>S45</x:v>
      </x:c>
      <x:c r="C236" s="2" t="str">
        <x:v>merged_1275</x:v>
      </x:c>
      <x:c r="D236" s="2" t="str">
        <x:v>Reviewer_A</x:v>
      </x:c>
      <x:c r="E236" s="2" t="str">
        <x:v>Reviewer_A</x:v>
      </x:c>
      <x:c r="F236" s="2" t="str">
        <x:v>S45-L04</x:v>
      </x:c>
      <x:c r="G236" s="6" t="str">
        <x:v>SR</x:v>
      </x:c>
      <x:c r="H236" s="2" t="str">
        <x:v>Authors</x:v>
      </x:c>
      <x:c r="I236" s="6" t="str">
        <x:v>专家受访者的回答质量受其理解、动机和评估方式影响。</x:v>
      </x:c>
      <x:c r="J236" s="2" t="str">
        <x:v>Empirical</x:v>
      </x:c>
      <x:c r="K236" s="2" t="str">
        <x:v>Multiple</x:v>
      </x:c>
      <x:c r="L236" s="2" t="str">
        <x:v>NA</x:v>
      </x:c>
      <x:c r="M236" s="2" t="str">
        <x:v>人类评估基准</x:v>
      </x:c>
      <x:c r="N236" s="2" t="str">
        <x:v>可能导致基准数据的不一致或偏差</x:v>
      </x:c>
      <x:c r="O236" s="6" t="str">
        <x:v>NR</x:v>
      </x:c>
      <x:c r="P236" s="2" t="str">
        <x:v>No</x:v>
      </x:c>
      <x:c r="Q236" s="2" t="str">
        <x:v>Not proposed</x:v>
      </x:c>
      <x:c r="R236" s="2" t="str">
        <x:v>human_response_quality</x:v>
      </x:c>
      <x:c r="S236" s="2" t="str">
        <x:v>validity_threat</x:v>
      </x:c>
      <x:c r="T236" s="2" t="str">
        <x:v>Model reliability</x:v>
      </x:c>
      <x:c r="U236" s="6" t="str">
        <x:v>p. 5; section 3 Threats to Validity</x:v>
      </x:c>
      <x:c r="V236" s="6" t="str">
        <x:v>Human Responses: The quality of responses from expert respondents was influenced by their understanding, motivation, and approach to the evaluation task.</x:v>
      </x:c>
      <x:c r="W236" s="6" t="str">
        <x:v>人类评估者的主观性可能影响真值标签的质量，从而影响模型性能评估的可靠性。</x:v>
      </x:c>
      <x:c r="X236" s="2" t="str">
        <x:v>Accepted</x:v>
      </x:c>
      <x:c r="Y236" s="6" t="str">
        <x:v>NA</x:v>
      </x:c>
      <x:c r="Z236" s="2" t="n">
        <x:v>3</x:v>
      </x:c>
      <x:c r="AA236" s="2" t="n">
        <x:v>1</x:v>
      </x:c>
    </x:row>
    <x:row r="237" ht="76" customHeight="1">
      <x:c r="A237" s="2" t="str">
        <x:v>S46-LIMIT-R01</x:v>
      </x:c>
      <x:c r="B237" s="2" t="str">
        <x:v>S46</x:v>
      </x:c>
      <x:c r="C237" s="2" t="str">
        <x:v>merged_1293</x:v>
      </x:c>
      <x:c r="D237" s="2" t="str">
        <x:v>Reviewer_A</x:v>
      </x:c>
      <x:c r="E237" s="2" t="str">
        <x:v>Reviewer_A</x:v>
      </x:c>
      <x:c r="F237" s="2" t="str">
        <x:v>S46-L01</x:v>
      </x:c>
      <x:c r="G237" s="6" t="str">
        <x:v>SR</x:v>
      </x:c>
      <x:c r="H237" s="2" t="str">
        <x:v>Authors</x:v>
      </x:c>
      <x:c r="I237" s="6" t="str">
        <x:v>AI模型未完全遵循结构化提示的指令，导致输出不完整或遗漏。</x:v>
      </x:c>
      <x:c r="J237" s="2" t="str">
        <x:v>Empirical</x:v>
      </x:c>
      <x:c r="K237" s="2" t="str">
        <x:v>Multiple</x:v>
      </x:c>
      <x:c r="L237" s="2" t="str">
        <x:v>Multiple</x:v>
      </x:c>
      <x:c r="M237" s="2" t="str">
        <x:v>结构化提示评估过程中，尤其在实现和测试阶段</x:v>
      </x:c>
      <x:c r="N237" s="2" t="str">
        <x:v>输出不完整，影响可追溯性测量可靠性</x:v>
      </x:c>
      <x:c r="O237" s="6" t="str">
        <x:v>在评估中观察到</x:v>
      </x:c>
      <x:c r="P237" s="2" t="str">
        <x:v>No</x:v>
      </x:c>
      <x:c r="Q237" s="2" t="str">
        <x:v>Not proposed</x:v>
      </x:c>
      <x:c r="R237" s="2" t="str">
        <x:v>incomplete_adherence</x:v>
      </x:c>
      <x:c r="S237" s="2" t="str">
        <x:v>model_control</x:v>
      </x:c>
      <x:c r="T237" s="2" t="str">
        <x:v>Model reliability</x:v>
      </x:c>
      <x:c r="U237" s="6" t="str">
        <x:v>p. 19; Threats to validity section</x:v>
      </x:c>
      <x:c r="V237" s="6" t="str">
        <x:v>instructions in structured prompts, AI models sometimes produced incomplete or partial implementations, particu­</x:v>
      </x:c>
      <x:c r="W237" s="6" t="str">
        <x:v>作者发现即使给出详细结构化提示，AI模型仍可能不完整地执行指令，特别是在实现和测试阶段，这影响了输出的可追溯性。</x:v>
      </x:c>
      <x:c r="X237" s="2" t="str">
        <x:v>Accepted</x:v>
      </x:c>
      <x:c r="Y237" s="6" t="str">
        <x:v>影响任务T9和T10</x:v>
      </x:c>
      <x:c r="Z237" s="2" t="n">
        <x:v>3</x:v>
      </x:c>
      <x:c r="AA237" s="2" t="n">
        <x:v>1</x:v>
      </x:c>
    </x:row>
    <x:row r="238" ht="76" customHeight="1">
      <x:c r="A238" s="2" t="str">
        <x:v>S46-LIMIT-R02</x:v>
      </x:c>
      <x:c r="B238" s="2" t="str">
        <x:v>S46</x:v>
      </x:c>
      <x:c r="C238" s="2" t="str">
        <x:v>merged_1293</x:v>
      </x:c>
      <x:c r="D238" s="2" t="str">
        <x:v>Reviewer_A</x:v>
      </x:c>
      <x:c r="E238" s="2" t="str">
        <x:v>Reviewer_A</x:v>
      </x:c>
      <x:c r="F238" s="2" t="str">
        <x:v>S46-L02</x:v>
      </x:c>
      <x:c r="G238" s="6" t="str">
        <x:v>SR</x:v>
      </x:c>
      <x:c r="H238" s="2" t="str">
        <x:v>Authors</x:v>
      </x:c>
      <x:c r="I238" s="6" t="str">
        <x:v>AI模型在输出中过度规格化，加入了超出需求范围的领域知识。</x:v>
      </x:c>
      <x:c r="J238" s="2" t="str">
        <x:v>Empirical</x:v>
      </x:c>
      <x:c r="K238" s="2" t="str">
        <x:v>Unclear</x:v>
      </x:c>
      <x:c r="L238" s="2" t="str">
        <x:v>Multiple</x:v>
      </x:c>
      <x:c r="M238" s="2" t="str">
        <x:v>特别是在需求分析阶段</x:v>
      </x:c>
      <x:c r="N238" s="2" t="str">
        <x:v>引入不受控变量，可能影响评估准确性</x:v>
      </x:c>
      <x:c r="O238" s="6" t="str">
        <x:v>在Claude等模型输出中观察到</x:v>
      </x:c>
      <x:c r="P238" s="2" t="str">
        <x:v>No</x:v>
      </x:c>
      <x:c r="Q238" s="2" t="str">
        <x:v>Not proposed</x:v>
      </x:c>
      <x:c r="R238" s="2" t="str">
        <x:v>over_specification</x:v>
      </x:c>
      <x:c r="S238" s="2" t="str">
        <x:v>model_control</x:v>
      </x:c>
      <x:c r="T238" s="2" t="str">
        <x:v>Context and prompt dependence</x:v>
      </x:c>
      <x:c r="U238" s="6" t="str">
        <x:v>p. 19; Threats to validity section</x:v>
      </x:c>
      <x:c r="V238" s="6" t="str">
        <x:v>els occasionally expanded beyond the intended scope, incorporating domain knowledge not explicitly specified</x:v>
      </x:c>
      <x:c r="W238" s="6" t="str">
        <x:v>AI模型有时会超出预定范围，利用其领域知识产生未明确要求的额外内容，这成为内部有效性威胁。</x:v>
      </x:c>
      <x:c r="X238" s="2" t="str">
        <x:v>Accepted</x:v>
      </x:c>
      <x:c r="Y238" s="6" t="str">
        <x:v>在Claude模型上尤为明显</x:v>
      </x:c>
      <x:c r="Z238" s="2" t="n">
        <x:v>3</x:v>
      </x:c>
      <x:c r="AA238" s="2" t="n">
        <x:v>1</x:v>
      </x:c>
    </x:row>
    <x:row r="239" ht="76" customHeight="1">
      <x:c r="A239" s="2" t="str">
        <x:v>S46-LIMIT-R03</x:v>
      </x:c>
      <x:c r="B239" s="2" t="str">
        <x:v>S46</x:v>
      </x:c>
      <x:c r="C239" s="2" t="str">
        <x:v>merged_1293</x:v>
      </x:c>
      <x:c r="D239" s="2" t="str">
        <x:v>Reviewer_A</x:v>
      </x:c>
      <x:c r="E239" s="2" t="str">
        <x:v>Reviewer_A</x:v>
      </x:c>
      <x:c r="F239" s="2" t="str">
        <x:v>S46-L03</x:v>
      </x:c>
      <x:c r="G239" s="6" t="str">
        <x:v>SR</x:v>
      </x:c>
      <x:c r="H239" s="2" t="str">
        <x:v>Authors</x:v>
      </x:c>
      <x:c r="I239" s="6" t="str">
        <x:v>研究仅基于一个智能家居系统案例，限制了结论的通用性。</x:v>
      </x:c>
      <x:c r="J239" s="2" t="str">
        <x:v>Speculative</x:v>
      </x:c>
      <x:c r="K239" s="2" t="str">
        <x:v>NA</x:v>
      </x:c>
      <x:c r="L239" s="2" t="str">
        <x:v>NA</x:v>
      </x:c>
      <x:c r="M239" s="2" t="str">
        <x:v>整个研究的外部有效性</x:v>
      </x:c>
      <x:c r="N239" s="2" t="str">
        <x:v>研究发现可能无法推广到其他软件领域或开发环境</x:v>
      </x:c>
      <x:c r="O239" s="6" t="str">
        <x:v>标准外部有效性威胁</x:v>
      </x:c>
      <x:c r="P239" s="2" t="str">
        <x:v>Future work includes multiple case studies</x:v>
      </x:c>
      <x:c r="Q239" s="2" t="str">
        <x:v>Proposed</x:v>
      </x:c>
      <x:c r="R239" s="2" t="str">
        <x:v>single_case_study</x:v>
      </x:c>
      <x:c r="S239" s="2" t="str">
        <x:v>generalizability</x:v>
      </x:c>
      <x:c r="T239" s="2" t="str">
        <x:v>Generalizability and scope</x:v>
      </x:c>
      <x:c r="U239" s="6" t="str">
        <x:v>p. 18; Threats to validity section</x:v>
      </x:c>
      <x:c r="V239" s="6" t="str">
        <x:v>the findings may not generalize across all software domains or development contexts.</x:v>
      </x:c>
      <x:c r="W239" s="6" t="str">
        <x:v>作者承认单一案例研究是主要外部有效性威胁，并建议未来通过多案例研究来减轻。</x:v>
      </x:c>
      <x:c r="X239" s="2" t="str">
        <x:v>Accepted</x:v>
      </x:c>
      <x:c r="Y239" s="6" t="str">
        <x:v>NA</x:v>
      </x:c>
      <x:c r="Z239" s="2" t="n">
        <x:v>2</x:v>
      </x:c>
      <x:c r="AA239" s="2" t="n">
        <x:v>2</x:v>
      </x:c>
    </x:row>
    <x:row r="240" ht="76" customHeight="1">
      <x:c r="A240" s="2" t="str">
        <x:v>S47-LIMIT-R01</x:v>
      </x:c>
      <x:c r="B240" s="2" t="str">
        <x:v>S47</x:v>
      </x:c>
      <x:c r="C240" s="2" t="str">
        <x:v>merged_1302-v1</x:v>
      </x:c>
      <x:c r="D240" s="2" t="str">
        <x:v>Reviewer_A</x:v>
      </x:c>
      <x:c r="E240" s="2" t="str">
        <x:v>Reviewer_A</x:v>
      </x:c>
      <x:c r="F240" s="2" t="str">
        <x:v>S47-L01</x:v>
      </x:c>
      <x:c r="G240" s="6" t="str">
        <x:v>SR</x:v>
      </x:c>
      <x:c r="H240" s="2" t="str">
        <x:v>Authors</x:v>
      </x:c>
      <x:c r="I240" s="6" t="str">
        <x:v>LLM置信度估计存在校准问题，预验证阶段置信度偏高（如90.1%），可能不够可靠。</x:v>
      </x:c>
      <x:c r="J240" s="2" t="str">
        <x:v>Empirical</x:v>
      </x:c>
      <x:c r="K240" s="2" t="str">
        <x:v>S49-T01</x:v>
      </x:c>
      <x:c r="L240" s="2" t="str">
        <x:v>Multiple</x:v>
      </x:c>
      <x:c r="M240" s="2" t="str">
        <x:v>预验证置信度估计阶段</x:v>
      </x:c>
      <x:c r="N240" s="2" t="str">
        <x:v>可能导致对映射结果过度信任，影响实际可用性。</x:v>
      </x:c>
      <x:c r="O240" s="6" t="str">
        <x:v>实验结果显示预验证置信度高达90.1%，最终校准后降至83.1%，表明存在高估。</x:v>
      </x:c>
      <x:c r="P240" s="2" t="str">
        <x:v>通过增加循序验证步骤（Sequential Validation）改进了置信度校准，使最终置信度降至83.1%。</x:v>
      </x:c>
      <x:c r="Q240" s="2" t="str">
        <x:v>Implemented</x:v>
      </x:c>
      <x:c r="R240" s="2" t="str">
        <x:v>confidence_calibration</x:v>
      </x:c>
      <x:c r="S240" s="2" t="str">
        <x:v>LLM_limitation</x:v>
      </x:c>
      <x:c r="T240" s="2" t="str">
        <x:v>Model reliability</x:v>
      </x:c>
      <x:c r="U240" s="6" t="str">
        <x:v>p. 11; Section 5.3 Discussion of Results</x:v>
      </x:c>
      <x:c r="V240" s="6" t="str">
        <x:v>pre-validation confidence remained high at 90.1%, indicating potential calibration issues.</x:v>
      </x:c>
      <x:c r="W240" s="6" t="str">
        <x:v>该方法在预验证阶段LLM给出的置信度偏高，存在校准问题，但通过后续验证步骤得到一定缓解。</x:v>
      </x:c>
      <x:c r="X240" s="2" t="str">
        <x:v>Accepted</x:v>
      </x:c>
      <x:c r="Y240" s="6" t="str">
        <x:v>NA</x:v>
      </x:c>
      <x:c r="Z240" s="2" t="n">
        <x:v>4</x:v>
      </x:c>
      <x:c r="AA240" s="2" t="n">
        <x:v>3</x:v>
      </x:c>
    </x:row>
    <x:row r="241" ht="76" customHeight="1">
      <x:c r="A241" s="2" t="str">
        <x:v>S47-LIMIT-R02</x:v>
      </x:c>
      <x:c r="B241" s="2" t="str">
        <x:v>S47</x:v>
      </x:c>
      <x:c r="C241" s="2" t="str">
        <x:v>merged_1302-v1</x:v>
      </x:c>
      <x:c r="D241" s="2" t="str">
        <x:v>Reviewer_A</x:v>
      </x:c>
      <x:c r="E241" s="2" t="str">
        <x:v>Reviewer_A</x:v>
      </x:c>
      <x:c r="F241" s="2" t="str">
        <x:v>S47-L02</x:v>
      </x:c>
      <x:c r="G241" s="6" t="str">
        <x:v>SR</x:v>
      </x:c>
      <x:c r="H241" s="2" t="str">
        <x:v>Authors</x:v>
      </x:c>
      <x:c r="I241" s="6" t="str">
        <x:v>当前实现仅专注于C/C++代码库，利用语言特定的解析能力，可能限制了在其他编程语言上的适用性。</x:v>
      </x:c>
      <x:c r="J241" s="2" t="str">
        <x:v>Speculative</x:v>
      </x:c>
      <x:c r="K241" s="2" t="str">
        <x:v>S49-T01</x:v>
      </x:c>
      <x:c r="L241" s="2" t="str">
        <x:v>NR</x:v>
      </x:c>
      <x:c r="M241" s="2" t="str">
        <x:v>代码符号发现步骤（Step 3）</x:v>
      </x:c>
      <x:c r="N241" s="2" t="str">
        <x:v>方法可能无法直接应用于其他编程语言如Python、Java等，需要额外适配。</x:v>
      </x:c>
      <x:c r="O241" s="6" t="str">
        <x:v>论文明确指出仅支持C/C++</x:v>
      </x:c>
      <x:c r="P241" s="2" t="str">
        <x:v>No</x:v>
      </x:c>
      <x:c r="Q241" s="2" t="str">
        <x:v>Not proposed</x:v>
      </x:c>
      <x:c r="R241" s="2" t="str">
        <x:v>language_scope</x:v>
      </x:c>
      <x:c r="S241" s="2" t="str">
        <x:v>scope_limitation</x:v>
      </x:c>
      <x:c r="T241" s="2" t="str">
        <x:v>Generalizability and scope</x:v>
      </x:c>
      <x:c r="U241" s="6" t="str">
        <x:v>p. 9; Section 4.4 Code Symbol Discovery</x:v>
      </x:c>
      <x:c r="V241" s="6" t="str">
        <x:v>The current implementation focuses on C/C++ codebases, leveraging language-specific parsing capabilities for optimal accuracy.</x:v>
      </x:c>
      <x:c r="W241" s="6" t="str">
        <x:v>该方法仅针对C/C++代码库实现，有语言限制，未来需扩展到其他语言。</x:v>
      </x:c>
      <x:c r="X241" s="2" t="str">
        <x:v>Accepted</x:v>
      </x:c>
      <x:c r="Y241" s="6" t="str">
        <x:v>NA</x:v>
      </x:c>
      <x:c r="Z241" s="2" t="n">
        <x:v>2</x:v>
      </x:c>
      <x:c r="AA241" s="2" t="n">
        <x:v>1</x:v>
      </x:c>
    </x:row>
    <x:row r="242" ht="76" customHeight="1">
      <x:c r="A242" s="2" t="str">
        <x:v>S49-LIMIT-R01</x:v>
      </x:c>
      <x:c r="B242" s="2" t="str">
        <x:v>S49</x:v>
      </x:c>
      <x:c r="C242" s="2" t="str">
        <x:v>merged_1486</x:v>
      </x:c>
      <x:c r="D242" s="2" t="str">
        <x:v>Reviewer_A</x:v>
      </x:c>
      <x:c r="E242" s="2" t="str">
        <x:v>Reviewer_A</x:v>
      </x:c>
      <x:c r="F242" s="2" t="str">
        <x:v>S49-L01</x:v>
      </x:c>
      <x:c r="G242" s="6" t="str">
        <x:v>SR</x:v>
      </x:c>
      <x:c r="H242" s="2" t="str">
        <x:v>Authors</x:v>
      </x:c>
      <x:c r="I242" s="6" t="str">
        <x:v>地面真值存在不确定性，因为所选数据集由人工标注，评测者间变异和潜在标注偏差可能影响性能指标的可靠性。</x:v>
      </x:c>
      <x:c r="J242" s="2" t="str">
        <x:v>Speculative</x:v>
      </x:c>
      <x:c r="K242" s="2" t="str">
        <x:v>Multiple</x:v>
      </x:c>
      <x:c r="L242" s="2" t="str">
        <x:v>Multiple</x:v>
      </x:c>
      <x:c r="M242" s="2" t="str">
        <x:v>数据集标注质量</x:v>
      </x:c>
      <x:c r="N242" s="2" t="str">
        <x:v>性能指标的可靠性</x:v>
      </x:c>
      <x:c r="O242" s="6" t="str">
        <x:v>Unclear</x:v>
      </x:c>
      <x:c r="P242" s="2" t="str">
        <x:v>NR</x:v>
      </x:c>
      <x:c r="Q242" s="2" t="str">
        <x:v>Not proposed</x:v>
      </x:c>
      <x:c r="R242" s="2" t="str">
        <x:v>ground_truth_quality</x:v>
      </x:c>
      <x:c r="S242" s="2" t="str">
        <x:v>validity_threat</x:v>
      </x:c>
      <x:c r="T242" s="2" t="str">
        <x:v>Data and evidence quality</x:v>
      </x:c>
      <x:c r="U242" s="6" t="str">
        <x:v>p. 9; 3.5 Threats to Validity</x:v>
      </x:c>
      <x:c r="V242" s="6" t="str">
        <x:v>There is a possibility for the existence of a degree of uncertainty in the ground truth since the data in our chosen datasets are labelled by humans(contributing authors of the dataset). Inter-rater variability and potential labelling bias could impact the reliability of performance metrics.</x:v>
      </x:c>
      <x:c r="W242" s="6" t="str">
        <x:v>作者指出由于数据集由人工标注，地面真值可能存在不确定性，标注者间的差异和偏差可能影响性能评估的可靠性。</x:v>
      </x:c>
      <x:c r="X242" s="2" t="str">
        <x:v>Accepted</x:v>
      </x:c>
      <x:c r="Y242" s="6" t="str">
        <x:v>NA</x:v>
      </x:c>
      <x:c r="Z242" s="2" t="n">
        <x:v>2</x:v>
      </x:c>
      <x:c r="AA242" s="2" t="n">
        <x:v>1</x:v>
      </x:c>
    </x:row>
    <x:row r="243" ht="76" customHeight="1">
      <x:c r="A243" s="2" t="str">
        <x:v>S49-LIMIT-R02</x:v>
      </x:c>
      <x:c r="B243" s="2" t="str">
        <x:v>S49</x:v>
      </x:c>
      <x:c r="C243" s="2" t="str">
        <x:v>merged_1486</x:v>
      </x:c>
      <x:c r="D243" s="2" t="str">
        <x:v>Reviewer_A</x:v>
      </x:c>
      <x:c r="E243" s="2" t="str">
        <x:v>Reviewer_A</x:v>
      </x:c>
      <x:c r="F243" s="2" t="str">
        <x:v>S49-L02</x:v>
      </x:c>
      <x:c r="G243" s="6" t="str">
        <x:v>SR</x:v>
      </x:c>
      <x:c r="H243" s="2" t="str">
        <x:v>Authors</x:v>
      </x:c>
      <x:c r="I243" s="6" t="str">
        <x:v>数据预处理步骤（如清洗）可能影响模型捕捉复杂模式的能力。</x:v>
      </x:c>
      <x:c r="J243" s="2" t="str">
        <x:v>Speculative</x:v>
      </x:c>
      <x:c r="K243" s="2" t="str">
        <x:v>Multiple</x:v>
      </x:c>
      <x:c r="L243" s="2" t="str">
        <x:v>Multiple</x:v>
      </x:c>
      <x:c r="M243" s="2" t="str">
        <x:v>数据预处理步骤</x:v>
      </x:c>
      <x:c r="N243" s="2" t="str">
        <x:v>模型捕捉复杂模式的能力下降</x:v>
      </x:c>
      <x:c r="O243" s="6" t="str">
        <x:v>Unclear</x:v>
      </x:c>
      <x:c r="P243" s="2" t="str">
        <x:v>NR</x:v>
      </x:c>
      <x:c r="Q243" s="2" t="str">
        <x:v>Not proposed</x:v>
      </x:c>
      <x:c r="R243" s="2" t="str">
        <x:v>data_preprocessing</x:v>
      </x:c>
      <x:c r="S243" s="2" t="str">
        <x:v>validity_threat</x:v>
      </x:c>
      <x:c r="T243" s="2" t="str">
        <x:v>Data and evidence quality</x:v>
      </x:c>
      <x:c r="U243" s="6" t="str">
        <x:v>p. 9; 3.5 Threats to Validity</x:v>
      </x:c>
      <x:c r="V243" s="6" t="str">
        <x:v>The preprocessing steps applied to the data, such as cleaning, could influence the model’s ability to capture complex patterns as well.</x:v>
      </x:c>
      <x:c r="W243" s="6" t="str">
        <x:v>数据清洗等预处理步骤可能改变数据分布，从而影响模型学习复杂模式的能力。</x:v>
      </x:c>
      <x:c r="X243" s="2" t="str">
        <x:v>Accepted</x:v>
      </x:c>
      <x:c r="Y243" s="6" t="str">
        <x:v>NA</x:v>
      </x:c>
      <x:c r="Z243" s="2" t="n">
        <x:v>2</x:v>
      </x:c>
      <x:c r="AA243" s="2" t="n">
        <x:v>1</x:v>
      </x:c>
    </x:row>
    <x:row r="244" ht="76" customHeight="1">
      <x:c r="A244" s="2" t="str">
        <x:v>S49-LIMIT-R03</x:v>
      </x:c>
      <x:c r="B244" s="2" t="str">
        <x:v>S49</x:v>
      </x:c>
      <x:c r="C244" s="2" t="str">
        <x:v>merged_1486</x:v>
      </x:c>
      <x:c r="D244" s="2" t="str">
        <x:v>Reviewer_A</x:v>
      </x:c>
      <x:c r="E244" s="2" t="str">
        <x:v>Reviewer_A</x:v>
      </x:c>
      <x:c r="F244" s="2" t="str">
        <x:v>S49-L03</x:v>
      </x:c>
      <x:c r="G244" s="6" t="str">
        <x:v>SR</x:v>
      </x:c>
      <x:c r="H244" s="2" t="str">
        <x:v>Authors</x:v>
      </x:c>
      <x:c r="I244" s="6" t="str">
        <x:v>根据提示模式构建的提示词依赖于作者的能力和对任务的熟练程度。</x:v>
      </x:c>
      <x:c r="J244" s="2" t="str">
        <x:v>Speculative</x:v>
      </x:c>
      <x:c r="K244" s="2" t="str">
        <x:v>Multiple</x:v>
      </x:c>
      <x:c r="L244" s="2" t="str">
        <x:v>Multiple</x:v>
      </x:c>
      <x:c r="M244" s="2" t="str">
        <x:v>提示词构建</x:v>
      </x:c>
      <x:c r="N244" s="2" t="str">
        <x:v>提示词效果受到作者能力影响</x:v>
      </x:c>
      <x:c r="O244" s="6" t="str">
        <x:v>Unclear</x:v>
      </x:c>
      <x:c r="P244" s="2" t="str">
        <x:v>NR</x:v>
      </x:c>
      <x:c r="Q244" s="2" t="str">
        <x:v>Not proposed</x:v>
      </x:c>
      <x:c r="R244" s="2" t="str">
        <x:v>prompt_crafting</x:v>
      </x:c>
      <x:c r="S244" s="2" t="str">
        <x:v>validity_threat</x:v>
      </x:c>
      <x:c r="T244" s="2" t="str">
        <x:v>Context and prompt dependence</x:v>
      </x:c>
      <x:c r="U244" s="6" t="str">
        <x:v>p. 9; 3.5 Threats to Validity</x:v>
      </x:c>
      <x:c r="V244" s="6" t="str">
        <x:v>The prompts crafted and presented in Table 1 using the prompt patterns are also subject to the authors’ capabilities and competence with the task at hand.</x:v>
      </x:c>
      <x:c r="W244" s="6" t="str">
        <x:v>提示词的设计质量取决于作者的经验，可能无法保证最优的提示模式实现。</x:v>
      </x:c>
      <x:c r="X244" s="2" t="str">
        <x:v>Accepted</x:v>
      </x:c>
      <x:c r="Y244" s="6" t="str">
        <x:v>NA</x:v>
      </x:c>
      <x:c r="Z244" s="2" t="n">
        <x:v>2</x:v>
      </x:c>
      <x:c r="AA244" s="2" t="n">
        <x:v>1</x:v>
      </x:c>
    </x:row>
    <x:row r="245" ht="76" customHeight="1">
      <x:c r="A245" s="2" t="str">
        <x:v>S49-LIMIT-R04</x:v>
      </x:c>
      <x:c r="B245" s="2" t="str">
        <x:v>S49</x:v>
      </x:c>
      <x:c r="C245" s="2" t="str">
        <x:v>merged_1486</x:v>
      </x:c>
      <x:c r="D245" s="2" t="str">
        <x:v>Reviewer_A</x:v>
      </x:c>
      <x:c r="E245" s="2" t="str">
        <x:v>Reviewer_A</x:v>
      </x:c>
      <x:c r="F245" s="2" t="str">
        <x:v>S49-L04</x:v>
      </x:c>
      <x:c r="G245" s="6" t="str">
        <x:v>SR</x:v>
      </x:c>
      <x:c r="H245" s="2" t="str">
        <x:v>Authors</x:v>
      </x:c>
      <x:c r="I245" s="6" t="str">
        <x:v>由于一些RE任务的独特性，本研究的发现可能无法泛化到二分类和追踪依赖需求之外的其他任务。</x:v>
      </x:c>
      <x:c r="J245" s="2" t="str">
        <x:v>Speculative</x:v>
      </x:c>
      <x:c r="K245" s="2" t="str">
        <x:v>Multiple</x:v>
      </x:c>
      <x:c r="L245" s="2" t="str">
        <x:v>Multiple</x:v>
      </x:c>
      <x:c r="M245" s="2" t="str">
        <x:v>任务泛化性</x:v>
      </x:c>
      <x:c r="N245" s="2" t="str">
        <x:v>结论可能不适用于其他RE任务</x:v>
      </x:c>
      <x:c r="O245" s="6" t="str">
        <x:v>Unclear</x:v>
      </x:c>
      <x:c r="P245" s="2" t="str">
        <x:v>NR</x:v>
      </x:c>
      <x:c r="Q245" s="2" t="str">
        <x:v>Not proposed</x:v>
      </x:c>
      <x:c r="R245" s="2" t="str">
        <x:v>generalizability</x:v>
      </x:c>
      <x:c r="S245" s="2" t="str">
        <x:v>validity_threat</x:v>
      </x:c>
      <x:c r="T245" s="2" t="str">
        <x:v>Generalizability and scope</x:v>
      </x:c>
      <x:c r="U245" s="6" t="str">
        <x:v>p. 9; 3.5 Threats to Validity</x:v>
      </x:c>
      <x:c r="V245" s="6" t="str">
        <x:v>Given the unique nature of some RE tasks, the findings from this study may not always generalize beyond binary requirements classification and tracing dependant requirements.</x:v>
      </x:c>
      <x:c r="W245" s="6" t="str">
        <x:v>研究对象仅限于两个特定RE任务，结论的外部有效性受限。</x:v>
      </x:c>
      <x:c r="X245" s="2" t="str">
        <x:v>Accepted</x:v>
      </x:c>
      <x:c r="Y245" s="6" t="str">
        <x:v>NA</x:v>
      </x:c>
      <x:c r="Z245" s="2" t="n">
        <x:v>2</x:v>
      </x:c>
      <x:c r="AA245" s="2" t="n">
        <x:v>1</x:v>
      </x:c>
    </x:row>
    <x:row r="246" ht="76" customHeight="1">
      <x:c r="A246" s="2" t="str">
        <x:v>S49-LIMIT-R05</x:v>
      </x:c>
      <x:c r="B246" s="2" t="str">
        <x:v>S49</x:v>
      </x:c>
      <x:c r="C246" s="2" t="str">
        <x:v>merged_1486</x:v>
      </x:c>
      <x:c r="D246" s="2" t="str">
        <x:v>Reviewer_A</x:v>
      </x:c>
      <x:c r="E246" s="2" t="str">
        <x:v>Reviewer_A</x:v>
      </x:c>
      <x:c r="F246" s="2" t="str">
        <x:v>S49-L05</x:v>
      </x:c>
      <x:c r="G246" s="6" t="str">
        <x:v>SR</x:v>
      </x:c>
      <x:c r="H246" s="2" t="str">
        <x:v>Authors</x:v>
      </x:c>
      <x:c r="I246" s="6" t="str">
        <x:v>研究结果可能受到所用数据集的特征和代表性的限制。</x:v>
      </x:c>
      <x:c r="J246" s="2" t="str">
        <x:v>Speculative</x:v>
      </x:c>
      <x:c r="K246" s="2" t="str">
        <x:v>Multiple</x:v>
      </x:c>
      <x:c r="L246" s="2" t="str">
        <x:v>Multiple</x:v>
      </x:c>
      <x:c r="M246" s="2" t="str">
        <x:v>数据集特征与代表性</x:v>
      </x:c>
      <x:c r="N246" s="2" t="str">
        <x:v>研究结论的适用性受限</x:v>
      </x:c>
      <x:c r="O246" s="6" t="str">
        <x:v>Unclear</x:v>
      </x:c>
      <x:c r="P246" s="2" t="str">
        <x:v>NR</x:v>
      </x:c>
      <x:c r="Q246" s="2" t="str">
        <x:v>Not proposed</x:v>
      </x:c>
      <x:c r="R246" s="2" t="str">
        <x:v>dataset_representativeness</x:v>
      </x:c>
      <x:c r="S246" s="2" t="str">
        <x:v>validity_threat</x:v>
      </x:c>
      <x:c r="T246" s="2" t="str">
        <x:v>Data and evidence quality</x:v>
      </x:c>
      <x:c r="U246" s="6" t="str">
        <x:v>p. 9; 3.5 Threats to Validity</x:v>
      </x:c>
      <x:c r="V246" s="6" t="str">
        <x:v>The findings of this study may be constrained by the characteristics and representativeness of the datasets in use.</x:v>
      </x:c>
      <x:c r="W246" s="6" t="str">
        <x:v>数据集的大小、领域覆盖度等特征可能影响结果的普适性。</x:v>
      </x:c>
      <x:c r="X246" s="2" t="str">
        <x:v>Accepted</x:v>
      </x:c>
      <x:c r="Y246" s="6" t="str">
        <x:v>NA</x:v>
      </x:c>
      <x:c r="Z246" s="2" t="n">
        <x:v>2</x:v>
      </x:c>
      <x:c r="AA246" s="2" t="n">
        <x:v>1</x:v>
      </x:c>
    </x:row>
    <x:row r="247" ht="76" customHeight="1">
      <x:c r="A247" s="2" t="str">
        <x:v>S49-LIMIT-R06</x:v>
      </x:c>
      <x:c r="B247" s="2" t="str">
        <x:v>S49</x:v>
      </x:c>
      <x:c r="C247" s="2" t="str">
        <x:v>merged_1486</x:v>
      </x:c>
      <x:c r="D247" s="2" t="str">
        <x:v>Reviewer_A</x:v>
      </x:c>
      <x:c r="E247" s="2" t="str">
        <x:v>Reviewer_A</x:v>
      </x:c>
      <x:c r="F247" s="2" t="str">
        <x:v>S49-L06</x:v>
      </x:c>
      <x:c r="G247" s="6" t="str">
        <x:v>SR</x:v>
      </x:c>
      <x:c r="H247" s="2" t="str">
        <x:v>Authors</x:v>
      </x:c>
      <x:c r="I247" s="6" t="str">
        <x:v>由于使用GPT模型，所用的数据集可能已被包含在模型的训练数据中，导致数据污染。</x:v>
      </x:c>
      <x:c r="J247" s="2" t="str">
        <x:v>Speculative</x:v>
      </x:c>
      <x:c r="K247" s="2" t="str">
        <x:v>Multiple</x:v>
      </x:c>
      <x:c r="L247" s="2" t="str">
        <x:v>Multiple</x:v>
      </x:c>
      <x:c r="M247" s="2" t="str">
        <x:v>模型训练数据污染</x:v>
      </x:c>
      <x:c r="N247" s="2" t="str">
        <x:v>模型可能已见过测试数据，影响性能评估的客观性</x:v>
      </x:c>
      <x:c r="O247" s="6" t="str">
        <x:v>Unclear</x:v>
      </x:c>
      <x:c r="P247" s="2" t="str">
        <x:v>NR</x:v>
      </x:c>
      <x:c r="Q247" s="2" t="str">
        <x:v>Not proposed</x:v>
      </x:c>
      <x:c r="R247" s="2" t="str">
        <x:v>data_contamination</x:v>
      </x:c>
      <x:c r="S247" s="2" t="str">
        <x:v>validity_threat</x:v>
      </x:c>
      <x:c r="T247" s="2" t="str">
        <x:v>Data and evidence quality</x:v>
      </x:c>
      <x:c r="U247" s="6" t="str">
        <x:v>p. 9; 3.5 Threats to Validity</x:v>
      </x:c>
      <x:c r="V247" s="6" t="str">
        <x:v>Since we used a GPT model, there is a possibility that the datasets we used could have been part of the training data for the GPT model.</x:v>
      </x:c>
      <x:c r="W247" s="6" t="str">
        <x:v>无法确定模型是否在预训练阶段见过评估数据集，这可能高估模型性能。</x:v>
      </x:c>
      <x:c r="X247" s="2" t="str">
        <x:v>Accepted</x:v>
      </x:c>
      <x:c r="Y247" s="6" t="str">
        <x:v>NA</x:v>
      </x:c>
      <x:c r="Z247" s="2" t="n">
        <x:v>2</x:v>
      </x:c>
      <x:c r="AA247" s="2" t="n">
        <x:v>1</x:v>
      </x:c>
    </x:row>
    <x:row r="248" ht="76" customHeight="1">
      <x:c r="A248" s="2" t="str">
        <x:v>S49-LIMIT-R07</x:v>
      </x:c>
      <x:c r="B248" s="2" t="str">
        <x:v>S49</x:v>
      </x:c>
      <x:c r="C248" s="2" t="str">
        <x:v>merged_1486</x:v>
      </x:c>
      <x:c r="D248" s="2" t="str">
        <x:v>Reviewer_A</x:v>
      </x:c>
      <x:c r="E248" s="2" t="str">
        <x:v>Reviewer_A</x:v>
      </x:c>
      <x:c r="F248" s="2" t="str">
        <x:v>S49-L07</x:v>
      </x:c>
      <x:c r="G248" s="6" t="str">
        <x:v>SR</x:v>
      </x:c>
      <x:c r="H248" s="2" t="str">
        <x:v>Authors</x:v>
      </x:c>
      <x:c r="I248" s="6" t="str">
        <x:v>所选择的提示模式可能没有完全涵盖所有可能的模式，可能导致对LLM在所选RE任务上性能的不完整表述。</x:v>
      </x:c>
      <x:c r="J248" s="2" t="str">
        <x:v>Speculative</x:v>
      </x:c>
      <x:c r="K248" s="2" t="str">
        <x:v>Multiple</x:v>
      </x:c>
      <x:c r="L248" s="2" t="str">
        <x:v>Multiple</x:v>
      </x:c>
      <x:c r="M248" s="2" t="str">
        <x:v>提示模式选择</x:v>
      </x:c>
      <x:c r="N248" s="2" t="str">
        <x:v>LLM性能表现不完整</x:v>
      </x:c>
      <x:c r="O248" s="6" t="str">
        <x:v>Unclear</x:v>
      </x:c>
      <x:c r="P248" s="2" t="str">
        <x:v>NR</x:v>
      </x:c>
      <x:c r="Q248" s="2" t="str">
        <x:v>Not proposed</x:v>
      </x:c>
      <x:c r="R248" s="2" t="str">
        <x:v>prompt_pattern_selection</x:v>
      </x:c>
      <x:c r="S248" s="2" t="str">
        <x:v>validity_threat</x:v>
      </x:c>
      <x:c r="T248" s="2" t="str">
        <x:v>Context and prompt dependence</x:v>
      </x:c>
      <x:c r="U248" s="6" t="str">
        <x:v>p. 9; 3.5 Threats to Validity</x:v>
      </x:c>
      <x:c r="V248" s="6" t="str">
        <x:v>The selected patterns may not fully encompass the spectrum of possible patterns, potentially leading to an incomplete representation of LLM performance for the selected RE tasks.</x:v>
      </x:c>
      <x:c r="W248" s="6" t="str">
        <x:v>只从16种模式中选取了5种，可能遗漏了更有效的模式。</x:v>
      </x:c>
      <x:c r="X248" s="2" t="str">
        <x:v>Accepted</x:v>
      </x:c>
      <x:c r="Y248" s="6" t="str">
        <x:v>NA</x:v>
      </x:c>
      <x:c r="Z248" s="2" t="n">
        <x:v>2</x:v>
      </x:c>
      <x:c r="AA248" s="2" t="n">
        <x:v>1</x:v>
      </x:c>
    </x:row>
    <x:row r="249" ht="76" customHeight="1">
      <x:c r="A249" s="2" t="str">
        <x:v>S49-LIMIT-R08</x:v>
      </x:c>
      <x:c r="B249" s="2" t="str">
        <x:v>S49</x:v>
      </x:c>
      <x:c r="C249" s="2" t="str">
        <x:v>merged_1486</x:v>
      </x:c>
      <x:c r="D249" s="2" t="str">
        <x:v>Reviewer_A</x:v>
      </x:c>
      <x:c r="E249" s="2" t="str">
        <x:v>Reviewer_A</x:v>
      </x:c>
      <x:c r="F249" s="2" t="str">
        <x:v>S49-L08</x:v>
      </x:c>
      <x:c r="G249" s="6" t="str">
        <x:v>SR</x:v>
      </x:c>
      <x:c r="H249" s="2" t="str">
        <x:v>Authors</x:v>
      </x:c>
      <x:c r="I249" s="6" t="str">
        <x:v>未手动调查被错误识别为相关或不相关的需求，无法了解错误分类的原因。</x:v>
      </x:c>
      <x:c r="J249" s="2" t="str">
        <x:v>Speculative</x:v>
      </x:c>
      <x:c r="K249" s="2" t="str">
        <x:v>S51-T01</x:v>
      </x:c>
      <x:c r="L249" s="2" t="str">
        <x:v>S51-MU01</x:v>
      </x:c>
      <x:c r="M249" s="2" t="str">
        <x:v>追踪链接错误分析</x:v>
      </x:c>
      <x:c r="N249" s="2" t="str">
        <x:v>无法了解错误分类的原因</x:v>
      </x:c>
      <x:c r="O249" s="6" t="str">
        <x:v>Unclear</x:v>
      </x:c>
      <x:c r="P249" s="2" t="str">
        <x:v>NR</x:v>
      </x:c>
      <x:c r="Q249" s="2" t="str">
        <x:v>Not proposed</x:v>
      </x:c>
      <x:c r="R249" s="2" t="str">
        <x:v>manual_investigation_lack</x:v>
      </x:c>
      <x:c r="S249" s="2" t="str">
        <x:v>study_limitation</x:v>
      </x:c>
      <x:c r="T249" s="2" t="str">
        <x:v>Evaluation and validity</x:v>
      </x:c>
      <x:c r="U249" s="6" t="str">
        <x:v>p. 17; 5 Discussion</x:v>
      </x:c>
      <x:c r="V249" s="6" t="str">
        <x:v>quirements that were misidentified as dependent (or independent). Further work,</x:v>
      </x:c>
      <x:c r="W249" s="6" t="str">
        <x:v>作者仅通过自动化指标评估，未深入分析追踪错误的个案，限制了对模型行为的理解。</x:v>
      </x:c>
      <x:c r="X249" s="2" t="str">
        <x:v>Accepted</x:v>
      </x:c>
      <x:c r="Y249" s="6" t="str">
        <x:v>NA</x:v>
      </x:c>
      <x:c r="Z249" s="2" t="n">
        <x:v>2</x:v>
      </x:c>
      <x:c r="AA249" s="2" t="n">
        <x:v>1</x:v>
      </x:c>
    </x:row>
    <x:row r="250" ht="76" customHeight="1">
      <x:c r="A250" s="2" t="str">
        <x:v>S49-LIMIT-R09</x:v>
      </x:c>
      <x:c r="B250" s="2" t="str">
        <x:v>S49</x:v>
      </x:c>
      <x:c r="C250" s="2" t="str">
        <x:v>merged_1486</x:v>
      </x:c>
      <x:c r="D250" s="2" t="str">
        <x:v>Reviewer_A</x:v>
      </x:c>
      <x:c r="E250" s="2" t="str">
        <x:v>Reviewer_A</x:v>
      </x:c>
      <x:c r="F250" s="2" t="str">
        <x:v>S49-L09</x:v>
      </x:c>
      <x:c r="G250" s="6" t="str">
        <x:v>SR</x:v>
      </x:c>
      <x:c r="H250" s="2" t="str">
        <x:v>Authors</x:v>
      </x:c>
      <x:c r="I250" s="6" t="str">
        <x:v>实验研究仅限于考察提示词中模式层面的变化，未涉及提示词的具体措辞，以保持实验结果的可处理性。</x:v>
      </x:c>
      <x:c r="J250" s="2" t="str">
        <x:v>Speculative</x:v>
      </x:c>
      <x:c r="K250" s="2" t="str">
        <x:v>Multiple</x:v>
      </x:c>
      <x:c r="L250" s="2" t="str">
        <x:v>Multiple</x:v>
      </x:c>
      <x:c r="M250" s="2" t="str">
        <x:v>提示词层面分析</x:v>
      </x:c>
      <x:c r="N250" s="2" t="str">
        <x:v>未探索具体措辞对性能的影响</x:v>
      </x:c>
      <x:c r="O250" s="6" t="str">
        <x:v>Unclear</x:v>
      </x:c>
      <x:c r="P250" s="2" t="str">
        <x:v>NR</x:v>
      </x:c>
      <x:c r="Q250" s="2" t="str">
        <x:v>Not proposed</x:v>
      </x:c>
      <x:c r="R250" s="2" t="str">
        <x:v>pattern_vs_wording</x:v>
      </x:c>
      <x:c r="S250" s="2" t="str">
        <x:v>study_limitation</x:v>
      </x:c>
      <x:c r="T250" s="2" t="str">
        <x:v>Generalizability and scope</x:v>
      </x:c>
      <x:c r="U250" s="6" t="str">
        <x:v>p. 17; 5 Discussion</x:v>
      </x:c>
      <x:c r="V250" s="6" t="str">
        <x:v>This experimental study was limited to examining the effect of pattern-level variations on the prompts used and did not look into the specific wording of the prompts, in order to keep the experimental results tractable.</x:v>
      </x:c>
      <x:c r="W250" s="6" t="str">
        <x:v>研究仅考虑模式模板，未调整具体表达，这可能忽略措辞对输出的重要影响。</x:v>
      </x:c>
      <x:c r="X250" s="2" t="str">
        <x:v>Accepted</x:v>
      </x:c>
      <x:c r="Y250" s="6" t="str">
        <x:v>NA</x:v>
      </x:c>
      <x:c r="Z250" s="2" t="n">
        <x:v>2</x:v>
      </x:c>
      <x:c r="AA250" s="2" t="n">
        <x:v>1</x:v>
      </x:c>
    </x:row>
    <x:row r="251" ht="76" customHeight="1">
      <x:c r="A251" s="2" t="str">
        <x:v>S49-LIMIT-R10</x:v>
      </x:c>
      <x:c r="B251" s="2" t="str">
        <x:v>S49</x:v>
      </x:c>
      <x:c r="C251" s="2" t="str">
        <x:v>merged_1486</x:v>
      </x:c>
      <x:c r="D251" s="2" t="str">
        <x:v>Reviewer_A</x:v>
      </x:c>
      <x:c r="E251" s="2" t="str">
        <x:v>Reviewer_A</x:v>
      </x:c>
      <x:c r="F251" s="2" t="str">
        <x:v>S49-L10</x:v>
      </x:c>
      <x:c r="G251" s="6" t="str">
        <x:v>SR</x:v>
      </x:c>
      <x:c r="H251" s="2" t="str">
        <x:v>Authors</x:v>
      </x:c>
      <x:c r="I251" s="6" t="str">
        <x:v>使用LLM进行RE任务应仅限于辅助相关利益相关者，并需有适当的人工监督机制，其有用性存在局限，需要更多深入研究。</x:v>
      </x:c>
      <x:c r="J251" s="2" t="str">
        <x:v>Speculative</x:v>
      </x:c>
      <x:c r="K251" s="2" t="str">
        <x:v>Multiple</x:v>
      </x:c>
      <x:c r="L251" s="2" t="str">
        <x:v>Multiple</x:v>
      </x:c>
      <x:c r="M251" s="2" t="str">
        <x:v>LLM使用范围与人工监督</x:v>
      </x:c>
      <x:c r="N251" s="2" t="str">
        <x:v>LLM在RE中的效用存在局限，需进一步研究</x:v>
      </x:c>
      <x:c r="O251" s="6" t="str">
        <x:v>Unclear</x:v>
      </x:c>
      <x:c r="P251" s="2" t="str">
        <x:v>NR</x:v>
      </x:c>
      <x:c r="Q251" s="2" t="str">
        <x:v>Not proposed</x:v>
      </x:c>
      <x:c r="R251" s="2" t="str">
        <x:v>llm_human_oversight</x:v>
      </x:c>
      <x:c r="S251" s="2" t="str">
        <x:v>study_limitation</x:v>
      </x:c>
      <x:c r="T251" s="2" t="str">
        <x:v>Governance and reproducibility</x:v>
      </x:c>
      <x:c r="U251" s="6" t="str">
        <x:v>p. 17; 5 Discussion</x:v>
      </x:c>
      <x:c r="V251" s="6" t="str">
        <x:v>It is equally important to remember that using LLMs for RE tasks should be limited to assisting relevant RE stakeholders with appropriate human oversight mechanisms in place instead of automating these tasks. Therefore, the usefulness of LLMs, and subsequently, prompt patterns that are used to craft the prompts to interact with the LLMs, comes with limitations and needs more dedicated research results to discuss it in depth.</x:v>
      </x:c>
      <x:c r="W251" s="6" t="str">
        <x:v>作者强调LLM在RE中的角色应是辅助而非自动化，当前研究尚不充分，需更多工作明确其适用范围和边界。</x:v>
      </x:c>
      <x:c r="X251" s="2" t="str">
        <x:v>Accepted</x:v>
      </x:c>
      <x:c r="Y251" s="6" t="str">
        <x:v>NA</x:v>
      </x:c>
      <x:c r="Z251" s="2" t="n">
        <x:v>2</x:v>
      </x:c>
      <x:c r="AA251" s="2" t="n">
        <x:v>1</x:v>
      </x:c>
    </x:row>
    <x:row r="252" ht="76" customHeight="1">
      <x:c r="A252" s="2" t="str">
        <x:v>S50-LIMIT-R01</x:v>
      </x:c>
      <x:c r="B252" s="2" t="str">
        <x:v>S50</x:v>
      </x:c>
      <x:c r="C252" s="2" t="str">
        <x:v>snowball_00068</x:v>
      </x:c>
      <x:c r="D252" s="2" t="str">
        <x:v>Reviewer_A</x:v>
      </x:c>
      <x:c r="E252" s="2" t="str">
        <x:v>Reviewer_A</x:v>
      </x:c>
      <x:c r="F252" s="2" t="str">
        <x:v>S50-L01</x:v>
      </x:c>
      <x:c r="G252" s="6" t="str">
        <x:v>SR</x:v>
      </x:c>
      <x:c r="H252" s="2" t="str">
        <x:v>Authors</x:v>
      </x:c>
      <x:c r="I252" s="6" t="str">
        <x:v>LLM可能产生幻觉，提供虚假或无意义的信息，这对安全应用造成问题，降低了工具的可靠性。</x:v>
      </x:c>
      <x:c r="J252" s="2" t="str">
        <x:v>Speculative</x:v>
      </x:c>
      <x:c r="K252" s="2" t="str">
        <x:v>S52-T01</x:v>
      </x:c>
      <x:c r="L252" s="2" t="str">
        <x:v>S52-MU01</x:v>
      </x:c>
      <x:c r="M252" s="2" t="str">
        <x:v>ICS安全设计中的问答服务</x:v>
      </x:c>
      <x:c r="N252" s="2" t="str">
        <x:v>降低LLM工具在安全应用中的可靠性</x:v>
      </x:c>
      <x:c r="O252" s="6" t="str">
        <x:v>NR</x:v>
      </x:c>
      <x:c r="P252" s="2" t="str">
        <x:v>使用简单句子模板替代RDF三元组以降低幻觉概率</x:v>
      </x:c>
      <x:c r="Q252" s="2" t="str">
        <x:v>Proposed</x:v>
      </x:c>
      <x:c r="R252" s="2" t="str">
        <x:v>hallucination</x:v>
      </x:c>
      <x:c r="S252" s="2" t="str">
        <x:v>LLM limitation</x:v>
      </x:c>
      <x:c r="T252" s="2" t="str">
        <x:v>Model reliability</x:v>
      </x:c>
      <x:c r="U252" s="6" t="str">
        <x:v>p. 12; Section VI.A</x:v>
      </x:c>
      <x:c r="V252" s="6" t="str">
        <x:v>Hallucinations occur when an LLM presents false or nonsensical information as if it were factual. This can be problematic for security applications and raises serious concerns regarding the information generated by an LLM</x:v>
      </x:c>
      <x:c r="W252" s="6" t="str">
        <x:v>作者明确指出LLM的幻觉问题对安全领域构成风险，通过句子模板改造输入格式以缓解。</x:v>
      </x:c>
      <x:c r="X252" s="2" t="str">
        <x:v>Accepted</x:v>
      </x:c>
      <x:c r="Y252" s="6" t="str">
        <x:v>NA</x:v>
      </x:c>
      <x:c r="Z252" s="2" t="n">
        <x:v>2</x:v>
      </x:c>
      <x:c r="AA252" s="2" t="n">
        <x:v>2</x:v>
      </x:c>
    </x:row>
    <x:row r="253" ht="76" customHeight="1">
      <x:c r="A253" s="2" t="str">
        <x:v>S50-LIMIT-R02</x:v>
      </x:c>
      <x:c r="B253" s="2" t="str">
        <x:v>S50</x:v>
      </x:c>
      <x:c r="C253" s="2" t="str">
        <x:v>snowball_00068</x:v>
      </x:c>
      <x:c r="D253" s="2" t="str">
        <x:v>Reviewer_A</x:v>
      </x:c>
      <x:c r="E253" s="2" t="str">
        <x:v>Reviewer_A</x:v>
      </x:c>
      <x:c r="F253" s="2" t="str">
        <x:v>S50-L02</x:v>
      </x:c>
      <x:c r="G253" s="6" t="str">
        <x:v>SR</x:v>
      </x:c>
      <x:c r="H253" s="2" t="str">
        <x:v>Authors</x:v>
      </x:c>
      <x:c r="I253" s="6" t="str">
        <x:v>LLM可能缺乏真正的逻辑推理能力，在复杂推理任务中表现为模式匹配而非形式推理。</x:v>
      </x:c>
      <x:c r="J253" s="2" t="str">
        <x:v>Speculative</x:v>
      </x:c>
      <x:c r="K253" s="2" t="str">
        <x:v>S52-T01</x:v>
      </x:c>
      <x:c r="L253" s="2" t="str">
        <x:v>S52-MU01</x:v>
      </x:c>
      <x:c r="M253" s="2" t="str">
        <x:v>ICS安全设计中的问答服务</x:v>
      </x:c>
      <x:c r="N253" s="2" t="str">
        <x:v>LLM在安全推理任务中可能不可靠</x:v>
      </x:c>
      <x:c r="O253" s="6" t="str">
        <x:v>NR</x:v>
      </x:c>
      <x:c r="P253" s="2" t="str">
        <x:v>通过使用句子模板维持提示一致性以提升推理表现</x:v>
      </x:c>
      <x:c r="Q253" s="2" t="str">
        <x:v>Proposed</x:v>
      </x:c>
      <x:c r="R253" s="2" t="str">
        <x:v>reasoning capability</x:v>
      </x:c>
      <x:c r="S253" s="2" t="str">
        <x:v>LLM limitation</x:v>
      </x:c>
      <x:c r="T253" s="2" t="str">
        <x:v>Model reliability</x:v>
      </x:c>
      <x:c r="U253" s="6" t="str">
        <x:v>p. 13; Section VI.B</x:v>
      </x:c>
      <x:c r="V253" s="6" t="str">
        <x:v>the question of whether current LLMs truly possess logical reasoning abilities is still a critical area of investigation</x:v>
      </x:c>
      <x:c r="W253" s="6" t="str">
        <x:v>作者质疑LLM的真实推理能力，指出其更接近概率性模式匹配，并通过统一提示格式尝试缓解。</x:v>
      </x:c>
      <x:c r="X253" s="2" t="str">
        <x:v>Accepted</x:v>
      </x:c>
      <x:c r="Y253" s="6" t="str">
        <x:v>NA</x:v>
      </x:c>
      <x:c r="Z253" s="2" t="n">
        <x:v>2</x:v>
      </x:c>
      <x:c r="AA253" s="2" t="n">
        <x:v>2</x:v>
      </x:c>
    </x:row>
    <x:row r="254" ht="76" customHeight="1">
      <x:c r="A254" s="2" t="str">
        <x:v>S50-LIMIT-R03</x:v>
      </x:c>
      <x:c r="B254" s="2" t="str">
        <x:v>S50</x:v>
      </x:c>
      <x:c r="C254" s="2" t="str">
        <x:v>snowball_00068</x:v>
      </x:c>
      <x:c r="D254" s="2" t="str">
        <x:v>Reviewer_A</x:v>
      </x:c>
      <x:c r="E254" s="2" t="str">
        <x:v>Reviewer_A</x:v>
      </x:c>
      <x:c r="F254" s="2" t="str">
        <x:v>S50-L03</x:v>
      </x:c>
      <x:c r="G254" s="6" t="str">
        <x:v>SR</x:v>
      </x:c>
      <x:c r="H254" s="2" t="str">
        <x:v>Authors</x:v>
      </x:c>
      <x:c r="I254" s="6" t="str">
        <x:v>框架在大型系统中的可扩展性有待提升，手动构建句子模板在知识图谱扩展时变得困难，长上下文处理可能导致响应变慢或质量下降。</x:v>
      </x:c>
      <x:c r="J254" s="2" t="str">
        <x:v>Speculative</x:v>
      </x:c>
      <x:c r="K254" s="2" t="str">
        <x:v>S52-T01</x:v>
      </x:c>
      <x:c r="L254" s="2" t="str">
        <x:v>S52-MU01</x:v>
      </x:c>
      <x:c r="M254" s="2" t="str">
        <x:v>ICS安全设计中的问答服务</x:v>
      </x:c>
      <x:c r="N254" s="2" t="str">
        <x:v>大规模应用时效率与效果下降</x:v>
      </x:c>
      <x:c r="O254" s="6" t="str">
        <x:v>NR</x:v>
      </x:c>
      <x:c r="P254" s="2" t="str">
        <x:v>应流线化或自动化句子模板构建过程</x:v>
      </x:c>
      <x:c r="Q254" s="2" t="str">
        <x:v>Proposed</x:v>
      </x:c>
      <x:c r="R254" s="2" t="str">
        <x:v>scalability</x:v>
      </x:c>
      <x:c r="S254" s="2" t="str">
        <x:v>framework limitation</x:v>
      </x:c>
      <x:c r="T254" s="2" t="str">
        <x:v>Scalability and deployment</x:v>
      </x:c>
      <x:c r="U254" s="6" t="str">
        <x:v>p. 13; Section VI.C</x:v>
      </x:c>
      <x:c r="V254" s="6" t="str">
        <x:v>the scalability of the solution built using the proposed framework can be further enhanced to be more practical in larger systems. Manually building sentence templates, like those shown in Table 2, can become challenging as the ontology expands to cover different aspects of systems</x:v>
      </x:c>
      <x:c r="W254" s="6" t="str">
        <x:v>作者承认当前框架在更大规模系统中的不足，并指出手工模板构建和长上下文注意力限制是瓶颈。</x:v>
      </x:c>
      <x:c r="X254" s="2" t="str">
        <x:v>Accepted</x:v>
      </x:c>
      <x:c r="Y254" s="6" t="str">
        <x:v>NA</x:v>
      </x:c>
      <x:c r="Z254" s="2" t="n">
        <x:v>2</x:v>
      </x:c>
      <x:c r="AA254" s="2" t="n">
        <x:v>2</x:v>
      </x:c>
    </x:row>
    <x:row r="255" ht="76" customHeight="1">
      <x:c r="A255" s="2" t="str">
        <x:v>S50-LIMIT-R04</x:v>
      </x:c>
      <x:c r="B255" s="2" t="str">
        <x:v>S50</x:v>
      </x:c>
      <x:c r="C255" s="2" t="str">
        <x:v>snowball_00068</x:v>
      </x:c>
      <x:c r="D255" s="2" t="str">
        <x:v>Reviewer_A</x:v>
      </x:c>
      <x:c r="E255" s="2" t="str">
        <x:v>Reviewer_A</x:v>
      </x:c>
      <x:c r="F255" s="2" t="str">
        <x:v>S50-L04</x:v>
      </x:c>
      <x:c r="G255" s="6" t="str">
        <x:v>SR</x:v>
      </x:c>
      <x:c r="H255" s="2" t="str">
        <x:v>Authors</x:v>
      </x:c>
      <x:c r="I255" s="6" t="str">
        <x:v>基于LLM构建的产品存在安全风险，包括数据泄露和模型被攻击的风险，需采用风险管理框架应对。</x:v>
      </x:c>
      <x:c r="J255" s="2" t="str">
        <x:v>Speculative</x:v>
      </x:c>
      <x:c r="K255" s="2" t="str">
        <x:v>S52-T01</x:v>
      </x:c>
      <x:c r="L255" s="2" t="str">
        <x:v>S52-MU01</x:v>
      </x:c>
      <x:c r="M255" s="2" t="str">
        <x:v>ICS安全设计中的问答服务</x:v>
      </x:c>
      <x:c r="N255" s="2" t="str">
        <x:v>敏感信息泄露或安全决策被误导</x:v>
      </x:c>
      <x:c r="O255" s="6" t="str">
        <x:v>NR</x:v>
      </x:c>
      <x:c r="P255" s="2" t="str">
        <x:v>采用NIST-AI-600-1和ISO42001等风险管理框架识别潜在风险</x:v>
      </x:c>
      <x:c r="Q255" s="2" t="str">
        <x:v>Proposed</x:v>
      </x:c>
      <x:c r="R255" s="2" t="str">
        <x:v>security concern</x:v>
      </x:c>
      <x:c r="S255" s="2" t="str">
        <x:v>LLM limitation</x:v>
      </x:c>
      <x:c r="T255" s="2" t="str">
        <x:v>Governance and reproducibility</x:v>
      </x:c>
      <x:c r="U255" s="6" t="str">
        <x:v>p. 3; Section VI.D</x:v>
      </x:c>
      <x:c r="V255" s="6" t="str">
        <x:v>The risks concerning products created on top of LLMs should be managed. To this end, some standardization bodies provide risk management frameworks and requirements for AI-based applications, such as NIST-AI-600-1 and ISO42001.</x:v>
      </x:c>
      <x:c r="W255" s="6" t="str">
        <x:v>作者关注LLM应用特有的安全风险，并提议用标准框架管理，但未在本研究中实施。</x:v>
      </x:c>
      <x:c r="X255" s="2" t="str">
        <x:v>Accepted</x:v>
      </x:c>
      <x:c r="Y255" s="6" t="str">
        <x:v>NA</x:v>
      </x:c>
      <x:c r="Z255" s="2" t="n">
        <x:v>2</x:v>
      </x:c>
      <x:c r="AA255" s="2" t="n">
        <x:v>2</x:v>
      </x:c>
    </x:row>
    <x:row r="256" ht="76" customHeight="1">
      <x:c r="A256" s="2" t="str">
        <x:v>S50-LIMIT-R05</x:v>
      </x:c>
      <x:c r="B256" s="2" t="str">
        <x:v>S50</x:v>
      </x:c>
      <x:c r="C256" s="2" t="str">
        <x:v>snowball_00068</x:v>
      </x:c>
      <x:c r="D256" s="2" t="str">
        <x:v>Reviewer_A</x:v>
      </x:c>
      <x:c r="E256" s="2" t="str">
        <x:v>Reviewer_A</x:v>
      </x:c>
      <x:c r="F256" s="2" t="str">
        <x:v>S50-L05</x:v>
      </x:c>
      <x:c r="G256" s="6" t="str">
        <x:v>SR</x:v>
      </x:c>
      <x:c r="H256" s="2" t="str">
        <x:v>Authors</x:v>
      </x:c>
      <x:c r="I256" s="6" t="str">
        <x:v>评估中每个场景只演示了一个问题，可能限制了结论的普遍性。</x:v>
      </x:c>
      <x:c r="J256" s="2" t="str">
        <x:v>Empirical</x:v>
      </x:c>
      <x:c r="K256" s="2" t="str">
        <x:v>S52-T01</x:v>
      </x:c>
      <x:c r="L256" s="2" t="str">
        <x:v>S52-MU01</x:v>
      </x:c>
      <x:c r="M256" s="2" t="str">
        <x:v>场景化评估</x:v>
      </x:c>
      <x:c r="N256" s="2" t="str">
        <x:v>结论的泛化能力可能受限</x:v>
      </x:c>
      <x:c r="O256" s="6" t="str">
        <x:v>NR</x:v>
      </x:c>
      <x:c r="P256" s="2" t="str">
        <x:v>NR</x:v>
      </x:c>
      <x:c r="Q256" s="2" t="str">
        <x:v>Not proposed</x:v>
      </x:c>
      <x:c r="R256" s="2" t="str">
        <x:v>limited evaluation</x:v>
      </x:c>
      <x:c r="S256" s="2" t="str">
        <x:v>evaluation limitation</x:v>
      </x:c>
      <x:c r="T256" s="2" t="str">
        <x:v>Evaluation and validity</x:v>
      </x:c>
      <x:c r="U256" s="6" t="str">
        <x:v>p. 11; Section V.C</x:v>
      </x:c>
      <x:c r="V256" s="6" t="str">
        <x:v>Despite demonstrating only one question for each scenario, which may limit the generality of the conclusions, the framework can handle a wide variety of questions within the same scenario</x:v>
      </x:c>
      <x:c r="W256" s="6" t="str">
        <x:v>作者承认情景评估的样本量小，但未提出改进措施，仅声明框架有能力处理更多问题。</x:v>
      </x:c>
      <x:c r="X256" s="2" t="str">
        <x:v>Accepted</x:v>
      </x:c>
      <x:c r="Y256" s="6" t="str">
        <x:v>NA</x:v>
      </x:c>
      <x:c r="Z256" s="2" t="n">
        <x:v>3</x:v>
      </x:c>
      <x:c r="AA256" s="2" t="n">
        <x:v>1</x:v>
      </x:c>
    </x:row>
    <x:row r="257" ht="76" customHeight="1">
      <x:c r="A257" s="2" t="str">
        <x:v>S51-LIMIT-R01</x:v>
      </x:c>
      <x:c r="B257" s="2" t="str">
        <x:v>S51</x:v>
      </x:c>
      <x:c r="C257" s="2" t="str">
        <x:v>snowball_00085</x:v>
      </x:c>
      <x:c r="D257" s="2" t="str">
        <x:v>Reviewer_A</x:v>
      </x:c>
      <x:c r="E257" s="2" t="str">
        <x:v>Reviewer_A</x:v>
      </x:c>
      <x:c r="F257" s="2" t="str">
        <x:v>S51-L01</x:v>
      </x:c>
      <x:c r="G257" s="6" t="str">
        <x:v>SR</x:v>
      </x:c>
      <x:c r="H257" s="2" t="str">
        <x:v>Authors</x:v>
      </x:c>
      <x:c r="I257" s="6" t="str">
        <x:v>数据集限制：研究中使用的系统规格和需求组合数较少（仅27种不同组合），且无现成数据集，需手动创建。</x:v>
      </x:c>
      <x:c r="J257" s="2" t="str">
        <x:v>Empirical</x:v>
      </x:c>
      <x:c r="K257" s="2" t="str">
        <x:v>S53-T01</x:v>
      </x:c>
      <x:c r="L257" s="2" t="str">
        <x:v>Multiple</x:v>
      </x:c>
      <x:c r="M257" s="2" t="str">
        <x:v>The dataset was created for the smart grid domain; limited diversity in specifications and requirements.</x:v>
      </x:c>
      <x:c r="N257" s="2" t="str">
        <x:v>Unable to fully assess generalizability and limits of LLM performance.</x:v>
      </x:c>
      <x:c r="O257" s="6" t="str">
        <x:v>The number of distinct system specification and requirement combinations is small (27) despite large prompt count (1944).</x:v>
      </x:c>
      <x:c r="P257" s="2" t="str">
        <x:v>NR</x:v>
      </x:c>
      <x:c r="Q257" s="2" t="str">
        <x:v>Not proposed</x:v>
      </x:c>
      <x:c r="R257" s="2" t="str">
        <x:v>LIM_DATASET_SIZE</x:v>
      </x:c>
      <x:c r="S257" s="2" t="str">
        <x:v>Limited scope</x:v>
      </x:c>
      <x:c r="T257" s="2" t="str">
        <x:v>Data and evidence quality</x:v>
      </x:c>
      <x:c r="U257" s="6" t="str">
        <x:v>p. 6; section V.B. Limitations of the study</x:v>
      </x:c>
      <x:c r="V257" s="6" t="str">
        <x:v>the number of different combinations of system specifications and sets of requirements was relatively small at 27</x:v>
      </x:c>
      <x:c r="W257" s="6" t="str">
        <x:v>研究的主要局限在于数据集：系统规格和需求的组合数量只有27种，虽然总提示数达1944，但多样性不足，且需要大量人工创建形式化基准。</x:v>
      </x:c>
      <x:c r="X257" s="2" t="str">
        <x:v>Accepted</x:v>
      </x:c>
      <x:c r="Y257" s="6" t="str">
        <x:v>NA</x:v>
      </x:c>
      <x:c r="Z257" s="2" t="n">
        <x:v>3</x:v>
      </x:c>
      <x:c r="AA257" s="2" t="n">
        <x:v>1</x:v>
      </x:c>
    </x:row>
    <x:row r="258" ht="76" customHeight="1">
      <x:c r="A258" s="2" t="str">
        <x:v>S52-LIMIT-R01</x:v>
      </x:c>
      <x:c r="B258" s="2" t="str">
        <x:v>S52</x:v>
      </x:c>
      <x:c r="C258" s="2" t="str">
        <x:v>snowball_00095</x:v>
      </x:c>
      <x:c r="D258" s="2" t="str">
        <x:v>Reviewer_A</x:v>
      </x:c>
      <x:c r="E258" s="2" t="str">
        <x:v>Reviewer_A</x:v>
      </x:c>
      <x:c r="F258" s="2" t="str">
        <x:v>S52-L01</x:v>
      </x:c>
      <x:c r="G258" s="6" t="str">
        <x:v>SR</x:v>
      </x:c>
      <x:c r="H258" s="2" t="str">
        <x:v>Authors</x:v>
      </x:c>
      <x:c r="I258" s="6" t="str">
        <x:v>我们的第一个研究仅聚焦于三个项目，限制了结果的通用性。</x:v>
      </x:c>
      <x:c r="J258" s="2" t="str">
        <x:v>Empirical</x:v>
      </x:c>
      <x:c r="K258" s="2" t="str">
        <x:v>S54-T01</x:v>
      </x:c>
      <x:c r="L258" s="2" t="str">
        <x:v>S54-MU01</x:v>
      </x:c>
      <x:c r="M258" s="2" t="str">
        <x:v>针对三个不同项目的初步评估</x:v>
      </x:c>
      <x:c r="N258" s="2" t="str">
        <x:v>对通用性的威胁</x:v>
      </x:c>
      <x:c r="O258" s="6" t="str">
        <x:v>作者提及部分缓解但仍存威胁</x:v>
      </x:c>
      <x:c r="P258" s="2" t="str">
        <x:v>通过选择多样化的项目领域部分缓解了此威胁</x:v>
      </x:c>
      <x:c r="Q258" s="2" t="str">
        <x:v>Implemented</x:v>
      </x:c>
      <x:c r="R258" s="2" t="str">
        <x:v>small_sample</x:v>
      </x:c>
      <x:c r="S258" s="2" t="str">
        <x:v>evaluation_threat</x:v>
      </x:c>
      <x:c r="T258" s="2" t="str">
        <x:v>Generalizability and scope</x:v>
      </x:c>
      <x:c r="U258" s="6" t="str">
        <x:v>p. 10; Section VII. Threats to Validity</x:v>
      </x:c>
      <x:c r="V258" s="6" t="str">
        <x:v>With respect to construct validity, our first study focused on three projects only.</x:v>
      </x:c>
      <x:c r="W258" s="6" t="str">
        <x:v>该研究仅在三个项目上评估，作者通过选择不同领域项目部分缓解了威胁，但仍存在泛化性问题。</x:v>
      </x:c>
      <x:c r="X258" s="2" t="str">
        <x:v>Accepted</x:v>
      </x:c>
      <x:c r="Y258" s="6" t="str">
        <x:v>NA</x:v>
      </x:c>
      <x:c r="Z258" s="2" t="n">
        <x:v>3</x:v>
      </x:c>
      <x:c r="AA258" s="2" t="n">
        <x:v>3</x:v>
      </x:c>
    </x:row>
    <x:row r="259" ht="76" customHeight="1">
      <x:c r="A259" s="2" t="str">
        <x:v>S52-LIMIT-R02</x:v>
      </x:c>
      <x:c r="B259" s="2" t="str">
        <x:v>S52</x:v>
      </x:c>
      <x:c r="C259" s="2" t="str">
        <x:v>snowball_00095</x:v>
      </x:c>
      <x:c r="D259" s="2" t="str">
        <x:v>Reviewer_A</x:v>
      </x:c>
      <x:c r="E259" s="2" t="str">
        <x:v>Reviewer_A</x:v>
      </x:c>
      <x:c r="F259" s="2" t="str">
        <x:v>S52-L02</x:v>
      </x:c>
      <x:c r="G259" s="6" t="str">
        <x:v>SR</x:v>
      </x:c>
      <x:c r="H259" s="2" t="str">
        <x:v>Authors</x:v>
      </x:c>
      <x:c r="I259" s="6" t="str">
        <x:v>HGEN管道相当复杂，开发过程中经过大量试错，其复制性复杂。</x:v>
      </x:c>
      <x:c r="J259" s="2" t="str">
        <x:v>Empirical</x:v>
      </x:c>
      <x:c r="K259" s="2" t="str">
        <x:v>S54-T01</x:v>
      </x:c>
      <x:c r="L259" s="2" t="str">
        <x:v>S54-MU01</x:v>
      </x:c>
      <x:c r="M259" s="2" t="str">
        <x:v>HGEN管道的设计与实现</x:v>
      </x:c>
      <x:c r="N259" s="2" t="str">
        <x:v>外部有效性受到威胁，复制困难</x:v>
      </x:c>
      <x:c r="O259" s="6" t="str">
        <x:v>作者提及并采取了缓解措施</x:v>
      </x:c>
      <x:c r="P259" s="2" t="str">
        <x:v>确保可重复性，减少随机性，保持确定性方法，多次运行确认一致结果</x:v>
      </x:c>
      <x:c r="Q259" s="2" t="str">
        <x:v>Implemented</x:v>
      </x:c>
      <x:c r="R259" s="2" t="str">
        <x:v>complexity</x:v>
      </x:c>
      <x:c r="S259" s="2" t="str">
        <x:v>replication_threat</x:v>
      </x:c>
      <x:c r="T259" s="2" t="str">
        <x:v>Scalability and deployment</x:v>
      </x:c>
      <x:c r="U259" s="6" t="str">
        <x:v>p. 10; Section VII. Threats to Validity</x:v>
      </x:c>
      <x:c r="V259" s="6" t="str">
        <x:v>In a threat to external validity, the HGEN pipeline is quite complex, developed following much trial and error and its replication is complex.</x:v>
      </x:c>
      <x:c r="W259" s="6" t="str">
        <x:v>HGEN管道复杂且开发过程依赖试错，作者通过确定性设计缓解了复制性问题。</x:v>
      </x:c>
      <x:c r="X259" s="2" t="str">
        <x:v>Accepted</x:v>
      </x:c>
      <x:c r="Y259" s="6" t="str">
        <x:v>NA</x:v>
      </x:c>
      <x:c r="Z259" s="2" t="n">
        <x:v>3</x:v>
      </x:c>
      <x:c r="AA259" s="2" t="n">
        <x:v>3</x:v>
      </x:c>
    </x:row>
    <x:row r="260" ht="76" customHeight="1">
      <x:c r="A260" s="2" t="str">
        <x:v>S52-LIMIT-R03</x:v>
      </x:c>
      <x:c r="B260" s="2" t="str">
        <x:v>S52</x:v>
      </x:c>
      <x:c r="C260" s="2" t="str">
        <x:v>snowball_00095</x:v>
      </x:c>
      <x:c r="D260" s="2" t="str">
        <x:v>Reviewer_A</x:v>
      </x:c>
      <x:c r="E260" s="2" t="str">
        <x:v>Reviewer_A</x:v>
      </x:c>
      <x:c r="F260" s="2" t="str">
        <x:v>S52-L03</x:v>
      </x:c>
      <x:c r="G260" s="6" t="str">
        <x:v>SR</x:v>
      </x:c>
      <x:c r="H260" s="2" t="str">
        <x:v>Authors</x:v>
      </x:c>
      <x:c r="I260" s="6" t="str">
        <x:v>这些结果基于试点研究，因此反馈依赖于利益相关者对HGEN效用的看法，而非其在实际中的采纳情况。</x:v>
      </x:c>
      <x:c r="J260" s="2" t="str">
        <x:v>Empirical</x:v>
      </x:c>
      <x:c r="K260" s="2" t="str">
        <x:v>S54-T01</x:v>
      </x:c>
      <x:c r="L260" s="2" t="str">
        <x:v>S54-MU01</x:v>
      </x:c>
      <x:c r="M260" s="2" t="str">
        <x:v>九项工业试点研究</x:v>
      </x:c>
      <x:c r="N260" s="2" t="str">
        <x:v>无法反映实际部署后的效用</x:v>
      </x:c>
      <x:c r="O260" s="6" t="str">
        <x:v>作者明确指出需要进一步研究</x:v>
      </x:c>
      <x:c r="P260" s="2" t="str">
        <x:v>No</x:v>
      </x:c>
      <x:c r="Q260" s="2" t="str">
        <x:v>Not proposed</x:v>
      </x:c>
      <x:c r="R260" s="2" t="str">
        <x:v>pilot_study</x:v>
      </x:c>
      <x:c r="S260" s="2" t="str">
        <x:v>evaluation_threat</x:v>
      </x:c>
      <x:c r="T260" s="2" t="str">
        <x:v>Scalability and deployment</x:v>
      </x:c>
      <x:c r="U260" s="6" t="str">
        <x:v>p. 10; Section V. Industrial Pilot Studies, C. Discussion of Results</x:v>
      </x:c>
      <x:c r="V260" s="6" t="str">
        <x:v>these results are based on a pilot study, and therefore feedback is based on stakeholders perspectives of HGEN’s utility rather than on its adoption in practice.</x:v>
      </x:c>
      <x:c r="W260" s="6" t="str">
        <x:v>工业试点结果基于演示反馈而非实际使用，限制了外部有效性，作者未提出缓解措施。</x:v>
      </x:c>
      <x:c r="X260" s="2" t="str">
        <x:v>Accepted</x:v>
      </x:c>
      <x:c r="Y260" s="6" t="str">
        <x:v>NA</x:v>
      </x:c>
      <x:c r="Z260" s="2" t="n">
        <x:v>3</x:v>
      </x:c>
      <x:c r="AA260" s="2" t="n">
        <x:v>1</x:v>
      </x:c>
    </x:row>
    <x:row r="261" ht="76" customHeight="1">
      <x:c r="A261" s="2" t="str">
        <x:v>S53-LIMIT-R01</x:v>
      </x:c>
      <x:c r="B261" s="2" t="str">
        <x:v>S53</x:v>
      </x:c>
      <x:c r="C261" s="2" t="str">
        <x:v>merged_1229</x:v>
      </x:c>
      <x:c r="D261" s="2" t="str">
        <x:v>Reviewer_A</x:v>
      </x:c>
      <x:c r="E261" s="2" t="str">
        <x:v>Reviewer_A</x:v>
      </x:c>
      <x:c r="F261" s="2" t="str">
        <x:v>S53-L01</x:v>
      </x:c>
      <x:c r="G261" s="6" t="str">
        <x:v>SR</x:v>
      </x:c>
      <x:c r="H261" s="2" t="str">
        <x:v>Authors</x:v>
      </x:c>
      <x:c r="I261" s="6" t="str">
        <x:v>The evaluated artifacts are smaller than real industrial documents.</x:v>
      </x:c>
      <x:c r="J261" s="2" t="str">
        <x:v>Empirical</x:v>
      </x:c>
      <x:c r="K261" s="2" t="str">
        <x:v>S53-T01; S53-T02; S53-T03; S53-T04</x:v>
      </x:c>
      <x:c r="L261" s="2" t="str">
        <x:v>All</x:v>
      </x:c>
      <x:c r="M261" s="2" t="str">
        <x:v>Industrial scale and document complexity</x:v>
      </x:c>
      <x:c r="N261" s="2" t="str">
        <x:v>External validity is limited.</x:v>
      </x:c>
      <x:c r="O261" s="6" t="str">
        <x:v>Author discussion and observed outputs</x:v>
      </x:c>
      <x:c r="P261" s="2" t="str">
        <x:v>NR</x:v>
      </x:c>
      <x:c r="Q261" s="2" t="str">
        <x:v>NR</x:v>
      </x:c>
      <x:c r="R261" s="2" t="str">
        <x:v>dataset scale and realism</x:v>
      </x:c>
      <x:c r="S261" s="2" t="str">
        <x:v>evaluation scope</x:v>
      </x:c>
      <x:c r="T261" s="2" t="str">
        <x:v>Data and evidence quality</x:v>
      </x:c>
      <x:c r="U261" s="6" t="str">
        <x:v>pp. 5-6; Section V</x:v>
      </x:c>
      <x:c r="V261" s="6" t="str">
        <x:v>the artifacts in the current study are reduced in size compared to real ones</x:v>
      </x:c>
      <x:c r="W261" s="6" t="str">
        <x:v>External validity is limited.</x:v>
      </x:c>
      <x:c r="X261" s="2" t="str">
        <x:v>Accepted</x:v>
      </x:c>
      <x:c r="Y261" s="6" t="str">
        <x:v>NR</x:v>
      </x:c>
      <x:c r="Z261" s="2" t="n">
        <x:v>3</x:v>
      </x:c>
      <x:c r="AA261" s="2" t="n">
        <x:v>1</x:v>
      </x:c>
    </x:row>
    <x:row r="262" ht="76" customHeight="1">
      <x:c r="A262" s="2" t="str">
        <x:v>S53-LIMIT-R02</x:v>
      </x:c>
      <x:c r="B262" s="2" t="str">
        <x:v>S53</x:v>
      </x:c>
      <x:c r="C262" s="2" t="str">
        <x:v>merged_1229</x:v>
      </x:c>
      <x:c r="D262" s="2" t="str">
        <x:v>Reviewer_A</x:v>
      </x:c>
      <x:c r="E262" s="2" t="str">
        <x:v>Reviewer_A</x:v>
      </x:c>
      <x:c r="F262" s="2" t="str">
        <x:v>S53-L02</x:v>
      </x:c>
      <x:c r="G262" s="6" t="str">
        <x:v>SR</x:v>
      </x:c>
      <x:c r="H262" s="2" t="str">
        <x:v>Authors</x:v>
      </x:c>
      <x:c r="I262" s="6" t="str">
        <x:v>Model outputs are imperfect and require human oversight.</x:v>
      </x:c>
      <x:c r="J262" s="2" t="str">
        <x:v>Empirical</x:v>
      </x:c>
      <x:c r="K262" s="2" t="str">
        <x:v>S53-T01; S53-T02; S53-T03; S53-T04</x:v>
      </x:c>
      <x:c r="L262" s="2" t="str">
        <x:v>All</x:v>
      </x:c>
      <x:c r="M262" s="2" t="str">
        <x:v>Safety-critical artifact creation</x:v>
      </x:c>
      <x:c r="N262" s="2" t="str">
        <x:v>Full automation is not supported by the evidence.</x:v>
      </x:c>
      <x:c r="O262" s="6" t="str">
        <x:v>Author discussion and observed outputs</x:v>
      </x:c>
      <x:c r="P262" s="2" t="str">
        <x:v>NR</x:v>
      </x:c>
      <x:c r="Q262" s="2" t="str">
        <x:v>NR</x:v>
      </x:c>
      <x:c r="R262" s="2" t="str">
        <x:v>mandatory human oversight</x:v>
      </x:c>
      <x:c r="S262" s="2" t="str">
        <x:v>operational reliability</x:v>
      </x:c>
      <x:c r="T262" s="2" t="str">
        <x:v>Governance and reproducibility</x:v>
      </x:c>
      <x:c r="U262" s="6" t="str">
        <x:v>p. 5; Section V</x:v>
      </x:c>
      <x:c r="V262" s="6" t="str">
        <x:v>human involvement remains strictly necessary in the creation of all the studied artifacts</x:v>
      </x:c>
      <x:c r="W262" s="6" t="str">
        <x:v>Full automation is not supported by the evidence.</x:v>
      </x:c>
      <x:c r="X262" s="2" t="str">
        <x:v>Accepted</x:v>
      </x:c>
      <x:c r="Y262" s="6" t="str">
        <x:v>NR</x:v>
      </x:c>
      <x:c r="Z262" s="2" t="n">
        <x:v>3</x:v>
      </x:c>
      <x:c r="AA262" s="2" t="n">
        <x:v>1</x:v>
      </x:c>
    </x:row>
    <x:row r="263" ht="76" customHeight="1">
      <x:c r="A263" s="2" t="str">
        <x:v>S53-LIMIT-R03</x:v>
      </x:c>
      <x:c r="B263" s="2" t="str">
        <x:v>S53</x:v>
      </x:c>
      <x:c r="C263" s="2" t="str">
        <x:v>merged_1229</x:v>
      </x:c>
      <x:c r="D263" s="2" t="str">
        <x:v>Reviewer_A</x:v>
      </x:c>
      <x:c r="E263" s="2" t="str">
        <x:v>Reviewer_A</x:v>
      </x:c>
      <x:c r="F263" s="2" t="str">
        <x:v>S53-L03</x:v>
      </x:c>
      <x:c r="G263" s="6" t="str">
        <x:v>SR</x:v>
      </x:c>
      <x:c r="H263" s="2" t="str">
        <x:v>Authors</x:v>
      </x:c>
      <x:c r="I263" s="6" t="str">
        <x:v>Commercial API costs may become prohibitive at industrial scale.</x:v>
      </x:c>
      <x:c r="J263" s="2" t="str">
        <x:v>Speculative</x:v>
      </x:c>
      <x:c r="K263" s="2" t="str">
        <x:v>S53-T01; S53-T02; S53-T03; S53-T04</x:v>
      </x:c>
      <x:c r="L263" s="2" t="str">
        <x:v>All</x:v>
      </x:c>
      <x:c r="M263" s="2" t="str">
        <x:v>Many users and large documents</x:v>
      </x:c>
      <x:c r="N263" s="2" t="str">
        <x:v>Economic viability may be reduced.</x:v>
      </x:c>
      <x:c r="O263" s="6" t="str">
        <x:v>Author discussion and observed outputs</x:v>
      </x:c>
      <x:c r="P263" s="2" t="str">
        <x:v>NR</x:v>
      </x:c>
      <x:c r="Q263" s="2" t="str">
        <x:v>NR</x:v>
      </x:c>
      <x:c r="R263" s="2" t="str">
        <x:v>commercial API cost</x:v>
      </x:c>
      <x:c r="S263" s="2" t="str">
        <x:v>deployment feasibility</x:v>
      </x:c>
      <x:c r="T263" s="2" t="str">
        <x:v>Scalability and deployment</x:v>
      </x:c>
      <x:c r="U263" s="6" t="str">
        <x:v>pp. 5-6; Section V</x:v>
      </x:c>
      <x:c r="V263" s="6" t="str">
        <x:v>subscription costs would end up being extremely high</x:v>
      </x:c>
      <x:c r="W263" s="6" t="str">
        <x:v>Economic viability may be reduced.</x:v>
      </x:c>
      <x:c r="X263" s="2" t="str">
        <x:v>Accepted</x:v>
      </x:c>
      <x:c r="Y263" s="6" t="str">
        <x:v>NR</x:v>
      </x:c>
      <x:c r="Z263" s="2" t="n">
        <x:v>4</x:v>
      </x:c>
      <x:c r="AA263" s="2" t="n">
        <x:v>1</x:v>
      </x:c>
    </x:row>
    <x:row r="264" ht="76" customHeight="1">
      <x:c r="A264" s="2" t="str">
        <x:v>S53-LIMIT-R04</x:v>
      </x:c>
      <x:c r="B264" s="2" t="str">
        <x:v>S53</x:v>
      </x:c>
      <x:c r="C264" s="2" t="str">
        <x:v>merged_1229</x:v>
      </x:c>
      <x:c r="D264" s="2" t="str">
        <x:v>Reviewer_A</x:v>
      </x:c>
      <x:c r="E264" s="2" t="str">
        <x:v>Reviewer_A</x:v>
      </x:c>
      <x:c r="F264" s="2" t="str">
        <x:v>S53-L04</x:v>
      </x:c>
      <x:c r="G264" s="6" t="str">
        <x:v>SR</x:v>
      </x:c>
      <x:c r="H264" s="2" t="str">
        <x:v>Authors</x:v>
      </x:c>
      <x:c r="I264" s="6" t="str">
        <x:v>Claude occasionally contradicted requirements that it had generated earlier.</x:v>
      </x:c>
      <x:c r="J264" s="2" t="str">
        <x:v>Empirical</x:v>
      </x:c>
      <x:c r="K264" s="2" t="str">
        <x:v>S53-T03</x:v>
      </x:c>
      <x:c r="L264" s="2" t="str">
        <x:v>Claude Sonnet 4</x:v>
      </x:c>
      <x:c r="M264" s="2" t="str">
        <x:v>Requirements refinement</x:v>
      </x:c>
      <x:c r="N264" s="2" t="str">
        <x:v>Self-contradiction can introduce or preserve safety-relevant defects.</x:v>
      </x:c>
      <x:c r="O264" s="6" t="str">
        <x:v>Author discussion and observed outputs</x:v>
      </x:c>
      <x:c r="P264" s="2" t="str">
        <x:v>NR</x:v>
      </x:c>
      <x:c r="Q264" s="2" t="str">
        <x:v>NR</x:v>
      </x:c>
      <x:c r="R264" s="2" t="str">
        <x:v>model self-consistency</x:v>
      </x:c>
      <x:c r="S264" s="2" t="str">
        <x:v>output reliability</x:v>
      </x:c>
      <x:c r="T264" s="2" t="str">
        <x:v>Model reliability</x:v>
      </x:c>
      <x:c r="U264" s="6" t="str">
        <x:v>p. 5; Section IV</x:v>
      </x:c>
      <x:c r="V264" s="6" t="str">
        <x:v>Claude occasionally contradicted its own generated requirements</x:v>
      </x:c>
      <x:c r="W264" s="6" t="str">
        <x:v>Self-contradiction can introduce or preserve safety-relevant defects.</x:v>
      </x:c>
      <x:c r="X264" s="2" t="str">
        <x:v>Accepted</x:v>
      </x:c>
      <x:c r="Y264" s="6" t="str">
        <x:v>NR</x:v>
      </x:c>
      <x:c r="Z264" s="2" t="n">
        <x:v>3</x:v>
      </x:c>
      <x:c r="AA264" s="2" t="n">
        <x:v>1</x:v>
      </x:c>
    </x:row>
    <x:row r="265" ht="76" customHeight="1">
      <x:c r="A265" s="2" t="str">
        <x:v>S48-LIMIT-R01</x:v>
      </x:c>
      <x:c r="B265" s="2" t="str">
        <x:v>S48</x:v>
      </x:c>
      <x:c r="C265" s="2" t="str">
        <x:v>merged_1441</x:v>
      </x:c>
      <x:c r="D265" s="2" t="str">
        <x:v>Reviewer_A</x:v>
      </x:c>
      <x:c r="E265" s="2" t="str">
        <x:v>Reviewer_A</x:v>
      </x:c>
      <x:c r="F265" s="2" t="str">
        <x:v>S48-L01</x:v>
      </x:c>
      <x:c r="G265" s="6" t="str">
        <x:v>SR</x:v>
      </x:c>
      <x:c r="H265" s="2" t="str">
        <x:v>Authors</x:v>
      </x:c>
      <x:c r="I265" s="6" t="str">
        <x:v>研究依赖单一智能家居系统案例，结论可能无法推广到其他软件领域或开发情境。</x:v>
      </x:c>
      <x:c r="J265" s="2" t="str">
        <x:v>Speculative</x:v>
      </x:c>
      <x:c r="K265" s="2" t="str">
        <x:v>Multiple</x:v>
      </x:c>
      <x:c r="L265" s="2" t="str">
        <x:v>Multiple</x:v>
      </x:c>
      <x:c r="M265" s="2" t="str">
        <x:v>Single smart-home case study</x:v>
      </x:c>
      <x:c r="N265" s="2" t="str">
        <x:v>降低结论向其他软件领域和开发情境迁移的外部有效性。</x:v>
      </x:c>
      <x:c r="O265" s="6" t="str">
        <x:v>Threats to validity, p. 17; single case study.</x:v>
      </x:c>
      <x:c r="P265" s="2" t="str">
        <x:v>研究将案例设计为包含多种常见软件开发活动，并提出需要跨领域的后续案例研究。</x:v>
      </x:c>
      <x:c r="Q265" s="2" t="str">
        <x:v>Proposed</x:v>
      </x:c>
      <x:c r="R265" s="2" t="str">
        <x:v>single_case_study</x:v>
      </x:c>
      <x:c r="S265" s="2" t="str">
        <x:v>External Validity</x:v>
      </x:c>
      <x:c r="T265" s="2" t="str">
        <x:v>Generalizability and scope</x:v>
      </x:c>
      <x:c r="U265" s="6" t="str">
        <x:v>p. 17; Threats to validity</x:v>
      </x:c>
      <x:c r="V265" s="6" t="str">
        <x:v>The primary threat to external validity stems from the reliance on a single case study—a smart home system.</x:v>
      </x:c>
      <x:c r="W265" s="6" t="str">
        <x:v>作者将单案例依赖明确视为外部有效性威胁，并建议在更多领域开展案例研究。</x:v>
      </x:c>
      <x:c r="X265" s="2" t="str">
        <x:v>Accepted</x:v>
      </x:c>
      <x:c r="Y265" s="6" t="str">
        <x:v>Added after checking the S48 full text.</x:v>
      </x:c>
      <x:c r="Z265" s="2" t="n">
        <x:v>2</x:v>
      </x:c>
      <x:c r="AA265" s="2" t="n">
        <x:v>2</x:v>
      </x:c>
    </x:row>
    <x:row r="266" ht="76" customHeight="1">
      <x:c r="A266" s="2" t="str">
        <x:v>S48-LIMIT-R02</x:v>
      </x:c>
      <x:c r="B266" s="2" t="str">
        <x:v>S48</x:v>
      </x:c>
      <x:c r="C266" s="2" t="str">
        <x:v>merged_1441</x:v>
      </x:c>
      <x:c r="D266" s="2" t="str">
        <x:v>Reviewer_A</x:v>
      </x:c>
      <x:c r="E266" s="2" t="str">
        <x:v>Reviewer_A</x:v>
      </x:c>
      <x:c r="F266" s="2" t="str">
        <x:v>S48-L02</x:v>
      </x:c>
      <x:c r="G266" s="6" t="str">
        <x:v>SR</x:v>
      </x:c>
      <x:c r="H266" s="2" t="str">
        <x:v>Authors</x:v>
      </x:c>
      <x:c r="I266" s="6" t="str">
        <x:v>结构化提示下模型有时未完整遵循指令，产生不完整或部分实现，可能影响追溯测量的可靠性。</x:v>
      </x:c>
      <x:c r="J266" s="2" t="str">
        <x:v>Empirical</x:v>
      </x:c>
      <x:c r="K266" s="2" t="str">
        <x:v>Multiple</x:v>
      </x:c>
      <x:c r="L266" s="2" t="str">
        <x:v>Multiple</x:v>
      </x:c>
      <x:c r="M266" s="2" t="str">
        <x:v>Structured prompting</x:v>
      </x:c>
      <x:c r="N266" s="2" t="str">
        <x:v>不完整输出可能影响追溯测量的可靠性。</x:v>
      </x:c>
      <x:c r="O266" s="6" t="str">
        <x:v>Observed incomplete or partial implementations, pp. 17–18.</x:v>
      </x:c>
      <x:c r="P266" s="2" t="str">
        <x:v>保持模型、提示类型、线程和执行条件一致，并避免重新生成输出。</x:v>
      </x:c>
      <x:c r="Q266" s="2" t="str">
        <x:v>Implemented</x:v>
      </x:c>
      <x:c r="R266" s="2" t="str">
        <x:v>incomplete_adherence</x:v>
      </x:c>
      <x:c r="S266" s="2" t="str">
        <x:v>Internal Validity</x:v>
      </x:c>
      <x:c r="T266" s="2" t="str">
        <x:v>Model reliability</x:v>
      </x:c>
      <x:c r="U266" s="6" t="str">
        <x:v>pp. 17–18; Threats to validity</x:v>
      </x:c>
      <x:c r="V266" s="6" t="str">
        <x:v>AI models sometimes produced incomplete or partial implementations, particularly in the Implementation and Testing phases.</x:v>
      </x:c>
      <x:c r="W266" s="6" t="str">
        <x:v>作者观察到结构化提示并不能保证完整遵循，因而将模型行为视为内部有效性风险。</x:v>
      </x:c>
      <x:c r="X266" s="2" t="str">
        <x:v>Accepted</x:v>
      </x:c>
      <x:c r="Y266" s="6" t="str">
        <x:v>Added after checking the S48 full text.</x:v>
      </x:c>
      <x:c r="Z266" s="2" t="n">
        <x:v>3</x:v>
      </x:c>
      <x:c r="AA266" s="2" t="n">
        <x:v>3</x:v>
      </x:c>
    </x:row>
    <x:row r="267" ht="76" customHeight="1">
      <x:c r="A267" s="2" t="str">
        <x:v>S48-LIMIT-R03</x:v>
      </x:c>
      <x:c r="B267" s="2" t="str">
        <x:v>S48</x:v>
      </x:c>
      <x:c r="C267" s="2" t="str">
        <x:v>merged_1441</x:v>
      </x:c>
      <x:c r="D267" s="2" t="str">
        <x:v>Reviewer_A</x:v>
      </x:c>
      <x:c r="E267" s="2" t="str">
        <x:v>Reviewer_A</x:v>
      </x:c>
      <x:c r="F267" s="2" t="str">
        <x:v>S48-L03</x:v>
      </x:c>
      <x:c r="G267" s="6" t="str">
        <x:v>SR</x:v>
      </x:c>
      <x:c r="H267" s="2" t="str">
        <x:v>Authors</x:v>
      </x:c>
      <x:c r="I267" s="6" t="str">
        <x:v>模型有时超出输入范围加入未明确指定的领域知识，形成过度细化输出并引入不可控变量。</x:v>
      </x:c>
      <x:c r="J267" s="2" t="str">
        <x:v>Empirical</x:v>
      </x:c>
      <x:c r="K267" s="2" t="str">
        <x:v>Multiple</x:v>
      </x:c>
      <x:c r="L267" s="2" t="str">
        <x:v>Multiple</x:v>
      </x:c>
      <x:c r="M267" s="2" t="str">
        <x:v>Structured prompting</x:v>
      </x:c>
      <x:c r="N267" s="2" t="str">
        <x:v>超出输入范围的输出可能引入不可控变量并影响评价解释。</x:v>
      </x:c>
      <x:c r="O267" s="6" t="str">
        <x:v>Observed over-specification, pp. 17–18.</x:v>
      </x:c>
      <x:c r="P267" s="2" t="str">
        <x:v>保持模型、提示类型、线程和执行条件一致，并避免重新生成输出。</x:v>
      </x:c>
      <x:c r="Q267" s="2" t="str">
        <x:v>Implemented</x:v>
      </x:c>
      <x:c r="R267" s="2" t="str">
        <x:v>over_specification</x:v>
      </x:c>
      <x:c r="S267" s="2" t="str">
        <x:v>Internal Validity</x:v>
      </x:c>
      <x:c r="T267" s="2" t="str">
        <x:v>Model reliability</x:v>
      </x:c>
      <x:c r="U267" s="6" t="str">
        <x:v>pp. 17–18; Threats to validity</x:v>
      </x:c>
      <x:c r="V267" s="6" t="str">
        <x:v>AI models occasionally expanded beyond the intended scope, incorporating domain knowledge not explicitly specified in the requirements.</x:v>
      </x:c>
      <x:c r="W267" s="6" t="str">
        <x:v>作者将超出需求范围的领域知识视为可能引入混杂因素的模型行为。</x:v>
      </x:c>
      <x:c r="X267" s="2" t="str">
        <x:v>Accepted</x:v>
      </x:c>
      <x:c r="Y267" s="6" t="str">
        <x:v>Added after checking the S48 full text.</x:v>
      </x:c>
      <x:c r="Z267" s="2" t="n">
        <x:v>3</x:v>
      </x:c>
      <x:c r="AA267" s="2" t="n">
        <x:v>3</x:v>
      </x:c>
    </x:row>
    <x:row r="268" ht="76" customHeight="1">
      <x:c r="A268" s="2" t="str">
        <x:v>G2-LIMIT-R01</x:v>
      </x:c>
      <x:c r="B268" s="2" t="str">
        <x:v>G2</x:v>
      </x:c>
      <x:c r="C268" s="2" t="str">
        <x:v>v1</x:v>
      </x:c>
      <x:c r="D268" s="2" t="str">
        <x:v>Reviewer_A</x:v>
      </x:c>
      <x:c r="E268" s="2" t="str">
        <x:v>Reviewer_A</x:v>
      </x:c>
      <x:c r="F268" s="2" t="str">
        <x:v>G2-L01</x:v>
      </x:c>
      <x:c r="G268" s="6" t="str">
        <x:v>SR</x:v>
      </x:c>
      <x:c r="H268" s="2" t="str">
        <x:v>Presenter</x:v>
      </x:c>
      <x:c r="I268" s="6" t="str">
        <x:v>we're not just using a big lm like jgpt grab your data forward it use a massive context window and hope that the reasoning capabilities get better because they are very bad in detail they're very good in general they're very bad in detail</x:v>
      </x:c>
      <x:c r="J268" s="2" t="str">
        <x:v>Speculative</x:v>
      </x:c>
      <x:c r="K268" s="2" t="str">
        <x:v>G2-T01</x:v>
      </x:c>
      <x:c r="L268" s="2" t="str">
        <x:v>NR</x:v>
      </x:c>
      <x:c r="M268" s="2" t="str">
        <x:v>answering traceability questions by putting the whole code base into a large model</x:v>
      </x:c>
      <x:c r="N268" s="2" t="str">
        <x:v>generic prompting over a large context window produces unreliable reasoning at the level of detail the domain needs</x:v>
      </x:c>
      <x:c r="O268" s="6" t="str">
        <x:v>报告者以一般性判断陈述大模型"总体强、细节差"，未附具体错误案例；风险被明确定性为细节层面的不可靠。缓解（仅供给相关静态证据、以静态分析为确定性基础）已作为其现行做法实施。</x:v>
      </x:c>
      <x:c r="P268" s="2" t="str">
        <x:v>supply the model only with the relevant statically derived traceability evidence instead of the whole code base ; keep the static analysis as the deterministic foundation</x:v>
      </x:c>
      <x:c r="Q268" s="2" t="str">
        <x:v>Implemented</x:v>
      </x:c>
      <x:c r="R268" s="2" t="str">
        <x:v>large_context_reasoning</x:v>
      </x:c>
      <x:c r="S268" s="2" t="str">
        <x:v>NR</x:v>
      </x:c>
      <x:c r="T268" s="2" t="str">
        <x:v>Model reliability</x:v>
      </x:c>
      <x:c r="U268" s="6" t="str">
        <x:v>G2_video_page.png (title, speaker and affiliation slide, channel, view count, likes) ; G2_page_description.png (page date, speaker attribution, description text, links) ; [00:59] ; [07:19] ; [07:32] ; [09:38] ; [10:14] ; [12:17] ; [12:24] ; [14:08] ; [17:39] ; [21:09] ; [26:46] ; [32:49] ; [37:01] ; [38:58] ; [39:01] ; [39:17] ; [40:47] </x:v>
      </x:c>
      <x:c r="V268" s="6" t="str">
        <x:v>we're not just using a big lm like jgpt grab your data forward it use a massive context window and hope that the reasoning capabilities get better because they are very bad in detail they're very good in general they're very bad in detail</x:v>
      </x:c>
      <x:c r="W268" s="6" t="str">
        <x:v>The presenter rejects the whole-context approach and reports that model reasoning degrades at the level of detail the domain needs.</x:v>
      </x:c>
      <x:c r="X268" s="2" t="str">
        <x:v>Accepted</x:v>
      </x:c>
      <x:c r="Y268" s="6" t="str">
        <x:v>The consequence and the mitigation recorded on this row are the parts of the material-level statement that address this limitation.</x:v>
      </x:c>
      <x:c r="Z268" s="2" t="n">
        <x:v>2</x:v>
      </x:c>
      <x:c r="AA268" s="2" t="n">
        <x:v>3</x:v>
      </x:c>
    </x:row>
    <x:row r="269" ht="76" customHeight="1">
      <x:c r="A269" s="2" t="str">
        <x:v>G2-LIMIT-R02</x:v>
      </x:c>
      <x:c r="B269" s="2" t="str">
        <x:v>G2</x:v>
      </x:c>
      <x:c r="C269" s="2" t="str">
        <x:v>v1</x:v>
      </x:c>
      <x:c r="D269" s="2" t="str">
        <x:v>Reviewer_A</x:v>
      </x:c>
      <x:c r="E269" s="2" t="str">
        <x:v>Reviewer_A</x:v>
      </x:c>
      <x:c r="F269" s="2" t="str">
        <x:v>G2-L02</x:v>
      </x:c>
      <x:c r="G269" s="6" t="str">
        <x:v>SR</x:v>
      </x:c>
      <x:c r="H269" s="2" t="str">
        <x:v>Presenter</x:v>
      </x:c>
      <x:c r="I269" s="6" t="str">
        <x:v>if your specs are are very vague there's very little anyone can do</x:v>
      </x:c>
      <x:c r="J269" s="2" t="str">
        <x:v>Speculative</x:v>
      </x:c>
      <x:c r="K269" s="2" t="str">
        <x:v>G2-T01</x:v>
      </x:c>
      <x:c r="L269" s="2" t="str">
        <x:v>NR</x:v>
      </x:c>
      <x:c r="M269" s="2" t="str">
        <x:v>specification validation where the specification text is the reference</x:v>
      </x:c>
      <x:c r="N269" s="2" t="str">
        <x:v>unclear specifications cannot be validated</x:v>
      </x:c>
      <x:c r="O269" s="6" t="str">
        <x:v>条件句指出参照规格含糊即无法验证，属推测性边界，无直接观察支持；材料未给出针对该限制的缓解。</x:v>
      </x:c>
      <x:c r="P269" s="2" t="str">
        <x:v>supply the model only with the relevant statically derived traceability evidence instead of the whole code base ; provide confidence scores and fall back to human review when a derivation is too long ; keep the static analysis as the deterministic foundation</x:v>
      </x:c>
      <x:c r="Q269" s="2" t="str">
        <x:v>Not proposed</x:v>
      </x:c>
      <x:c r="R269" s="2" t="str">
        <x:v>vague_specification_limits_validation</x:v>
      </x:c>
      <x:c r="S269" s="2" t="str">
        <x:v>NR</x:v>
      </x:c>
      <x:c r="T269" s="2" t="str">
        <x:v>Data and evidence quality</x:v>
      </x:c>
      <x:c r="U269" s="6" t="str">
        <x:v>G2_video_page.png (title, speaker and affiliation slide, channel, view count, likes) ; G2_page_description.png (page date, speaker attribution, description text, links) ; [00:59] ; [07:19] ; [07:32] ; [09:38] ; [10:14] ; [12:17] ; [12:24] ; [14:08] ; [17:39] ; [21:09] ; [26:46] ; [32:49] ; [37:01] ; [38:58] ; [39:01] ; [39:17] ; [40:47] </x:v>
      </x:c>
      <x:c r="V269" s="6" t="str">
        <x:v>if your specs are are very vague there's very little anyone can do</x:v>
      </x:c>
      <x:c r="W269" s="6" t="str">
        <x:v>The verification step depends on the specification being specific enough to compare against the code.</x:v>
      </x:c>
      <x:c r="X269" s="2" t="str">
        <x:v>Accepted</x:v>
      </x:c>
      <x:c r="Y269" s="6" t="str">
        <x:v>The material states the mitigation for the reported limitation set as a whole; the consequence recorded on this row is the part of the material-level consequence that addresses this limitation.</x:v>
      </x:c>
      <x:c r="Z269" s="2" t="n">
        <x:v>1</x:v>
      </x:c>
      <x:c r="AA269" s="2" t="n">
        <x:v>1</x:v>
      </x:c>
    </x:row>
    <x:row r="270" ht="76" customHeight="1">
      <x:c r="A270" s="2" t="str">
        <x:v>G2-LIMIT-R03</x:v>
      </x:c>
      <x:c r="B270" s="2" t="str">
        <x:v>G2</x:v>
      </x:c>
      <x:c r="C270" s="2" t="str">
        <x:v>v1</x:v>
      </x:c>
      <x:c r="D270" s="2" t="str">
        <x:v>Reviewer_A</x:v>
      </x:c>
      <x:c r="E270" s="2" t="str">
        <x:v>Reviewer_A</x:v>
      </x:c>
      <x:c r="F270" s="2" t="str">
        <x:v>G2-L03</x:v>
      </x:c>
      <x:c r="G270" s="6" t="str">
        <x:v>SR</x:v>
      </x:c>
      <x:c r="H270" s="2" t="str">
        <x:v>Presenter</x:v>
      </x:c>
      <x:c r="I270" s="6" t="str">
        <x:v>the point at which ais check ais to produce meaningful output i hope is still very far away</x:v>
      </x:c>
      <x:c r="J270" s="2" t="str">
        <x:v>Speculative</x:v>
      </x:c>
      <x:c r="K270" s="2" t="str">
        <x:v>G2-T01</x:v>
      </x:c>
      <x:c r="L270" s="2" t="str">
        <x:v>NR</x:v>
      </x:c>
      <x:c r="M270" s="2" t="str">
        <x:v>using one model to validate the output of another in a regulated setting</x:v>
      </x:c>
      <x:c r="N270" s="2" t="str">
        <x:v>AI checking AI is rejected as a direction</x:v>
      </x:c>
      <x:c r="O270" s="6" t="str">
        <x:v>对"AI 检查 AI"可行性的判断属推测性预测，未报告观察到的失败案例；以置信分加人工兜底替代模型互查已实施。</x:v>
      </x:c>
      <x:c r="P270" s="2" t="str">
        <x:v>provide confidence scores and fall back to human review when a derivation is too long</x:v>
      </x:c>
      <x:c r="Q270" s="2" t="str">
        <x:v>Implemented</x:v>
      </x:c>
      <x:c r="R270" s="2" t="str">
        <x:v>ai_checking_ai</x:v>
      </x:c>
      <x:c r="S270" s="2" t="str">
        <x:v>NR</x:v>
      </x:c>
      <x:c r="T270" s="2" t="str">
        <x:v>Model reliability</x:v>
      </x:c>
      <x:c r="U270" s="6" t="str">
        <x:v>G2_video_page.png (title, speaker and affiliation slide, channel, view count, likes) ; G2_page_description.png (page date, speaker attribution, description text, links) ; [00:59] ; [07:19] ; [07:32] ; [09:38] ; [10:14] ; [12:17] ; [12:24] ; [14:08] ; [17:39] ; [21:09] ; [26:46] ; [32:49] ; [37:01] ; [38:58] ; [39:01] ; [39:17] ; [40:47] </x:v>
      </x:c>
      <x:c r="V270" s="6" t="str">
        <x:v>the point at which ais check ais to produce meaningful output i hope is still very far away</x:v>
      </x:c>
      <x:c r="W270" s="6" t="str">
        <x:v>The presenter rules out model-checking-model as a validation route and keeps the deterministic analysis as the check.</x:v>
      </x:c>
      <x:c r="X270" s="2" t="str">
        <x:v>Accepted</x:v>
      </x:c>
      <x:c r="Y270" s="6" t="str">
        <x:v>The consequence and the mitigation recorded on this row are the parts of the material-level statement that address this limitation.</x:v>
      </x:c>
      <x:c r="Z270" s="2" t="n">
        <x:v>1</x:v>
      </x:c>
      <x:c r="AA270" s="2" t="n">
        <x:v>3</x:v>
      </x:c>
    </x:row>
    <x:row r="271" ht="76" customHeight="1">
      <x:c r="A271" s="2" t="str">
        <x:v>G3-LIMIT-R01</x:v>
      </x:c>
      <x:c r="B271" s="2" t="str">
        <x:v>G3</x:v>
      </x:c>
      <x:c r="C271" s="2" t="str">
        <x:v>v1</x:v>
      </x:c>
      <x:c r="D271" s="2" t="str">
        <x:v>Reviewer_A</x:v>
      </x:c>
      <x:c r="E271" s="2" t="str">
        <x:v>Reviewer_A</x:v>
      </x:c>
      <x:c r="F271" s="2" t="str">
        <x:v>G3-L01</x:v>
      </x:c>
      <x:c r="G271" s="6" t="str">
        <x:v>SR</x:v>
      </x:c>
      <x:c r="H271" s="2" t="str">
        <x:v>Presenter</x:v>
      </x:c>
      <x:c r="I271" s="6" t="str">
        <x:v>to maintain security, the software currently only allows ncsu domain emails to log into the system</x:v>
      </x:c>
      <x:c r="J271" s="2" t="str">
        <x:v>Empirical</x:v>
      </x:c>
      <x:c r="K271" s="2" t="str">
        <x:v>G3-T02</x:v>
      </x:c>
      <x:c r="L271" s="2" t="str">
        <x:v>NR</x:v>
      </x:c>
      <x:c r="M271" s="2" t="str">
        <x:v>access to the demonstrated platform instance</x:v>
      </x:c>
      <x:c r="N271" s="2" t="str">
        <x:v>the platform is restricted to users holding an institutional domain address, so external teams cannot use the demonstration instance</x:v>
      </x:c>
      <x:c r="O271" s="6" t="str">
        <x:v>材料直接陈述当前的登录限制（观察所得的现状），其后果（外部团队无法使用演示实例）为直接蕴含；未见缓解。</x:v>
      </x:c>
      <x:c r="P271" s="2" t="str">
        <x:v>NR</x:v>
      </x:c>
      <x:c r="Q271" s="2" t="str">
        <x:v>Not proposed</x:v>
      </x:c>
      <x:c r="R271" s="2" t="str">
        <x:v>domain_restricted_access</x:v>
      </x:c>
      <x:c r="S271" s="2" t="str">
        <x:v>NR</x:v>
      </x:c>
      <x:c r="T271" s="2" t="str">
        <x:v>Generalizability and scope</x:v>
      </x:c>
      <x:c r="U271" s="6" t="str">
        <x:v>G3_video_page.png (title, channel, view count, likes) ; G3_page_description.png (page date, description text, feature list, uploading account) ; [00:01] ; [00:10] ; [00:30] ; [00:45] ; [00:54] ; [01:04] ; [01:14] ; [01:26] ; [01:32] ; [01:39] ; [02:05] ; [02:15] ; [02:56] ; [03:13] </x:v>
      </x:c>
      <x:c r="V271" s="6" t="str">
        <x:v>to maintain security, the software currently only allows ncsu domain emails to log into the system</x:v>
      </x:c>
      <x:c r="W271" s="6" t="str">
        <x:v>The only access control described also limits the demonstration to one institution.</x:v>
      </x:c>
      <x:c r="X271" s="2" t="str">
        <x:v>Accepted</x:v>
      </x:c>
      <x:c r="Y271" s="6" t="str">
        <x:v>NR</x:v>
      </x:c>
      <x:c r="Z271" s="2" t="n">
        <x:v>2</x:v>
      </x:c>
      <x:c r="AA271" s="2" t="n">
        <x:v>1</x:v>
      </x:c>
    </x:row>
    <x:row r="272" ht="76" customHeight="1">
      <x:c r="A272" s="2" t="str">
        <x:v>G4-LIMIT-R01</x:v>
      </x:c>
      <x:c r="B272" s="2" t="str">
        <x:v>G4</x:v>
      </x:c>
      <x:c r="C272" s="2" t="str">
        <x:v>v1</x:v>
      </x:c>
      <x:c r="D272" s="2" t="str">
        <x:v>Reviewer_A</x:v>
      </x:c>
      <x:c r="E272" s="2" t="str">
        <x:v>Reviewer_A</x:v>
      </x:c>
      <x:c r="F272" s="2" t="str">
        <x:v>G4-L01</x:v>
      </x:c>
      <x:c r="G272" s="6" t="str">
        <x:v>SR</x:v>
      </x:c>
      <x:c r="H272" s="2" t="str">
        <x:v>Vendor</x:v>
      </x:c>
      <x:c r="I272" s="6" t="str">
        <x:v>AI tools in safety-critical development require controlled processes, transparent traceability, and effective human oversight. Without these, AI-generated artifacts can increase review burden and undermine software quality rather than improve it.</x:v>
      </x:c>
      <x:c r="J272" s="2" t="str">
        <x:v>Speculative</x:v>
      </x:c>
      <x:c r="K272" s="2" t="str">
        <x:v>G4-T01 ; G4-T02</x:v>
      </x:c>
      <x:c r="L272" s="2" t="str">
        <x:v>NR</x:v>
      </x:c>
      <x:c r="M272" s="2" t="str">
        <x:v>AI-assisted artefact generation in safety-critical development in general</x:v>
      </x:c>
      <x:c r="N272" s="2" t="str">
        <x:v>without control, transparency and oversight, AI-generated artefacts can add review burden and lower software quality</x:v>
      </x:c>
      <x:c r="O272" s="6" t="str">
        <x:v>以条件句陈述缺少受控、透明与监督时的风险（增加审查负担、降低质量），属报告的风险；人工在环、无自动采纳等已作为现行流程实施。</x:v>
      </x:c>
      <x:c r="P272" s="2" t="str">
        <x:v>generated mappings and test cases are presented for engineer review before they enter any verification workflow, nothing is accepted automatically, and the approach uses modular task-specific micro-agents inside controlled contexts</x:v>
      </x:c>
      <x:c r="Q272" s="2" t="str">
        <x:v>Implemented</x:v>
      </x:c>
      <x:c r="R272" s="2" t="str">
        <x:v>oversight_precondition</x:v>
      </x:c>
      <x:c r="S272" s="2" t="str">
        <x:v>NR</x:v>
      </x:c>
      <x:c r="T272" s="2" t="str">
        <x:v>Governance and reproducibility</x:v>
      </x:c>
      <x:c r="U272"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V272" s="6" t="str">
        <x:v>AI tools in safety-critical development require controlled processes, transparent traceability, and effective human oversight. Without these, AI-generated artifacts can increase review burden and undermine software quality rather than improve it.</x:v>
      </x:c>
      <x:c r="W272" s="6" t="str">
        <x:v>The page states a condition on AI use in this domain rather than a limitation of the tool itself.</x:v>
      </x:c>
      <x:c r="X272" s="2" t="str">
        <x:v>Accepted</x:v>
      </x:c>
      <x:c r="Y272" s="6" t="str">
        <x:v>NR</x:v>
      </x:c>
      <x:c r="Z272" s="2" t="n">
        <x:v>2</x:v>
      </x:c>
      <x:c r="AA272" s="2" t="n">
        <x:v>3</x:v>
      </x:c>
    </x:row>
    <x:row r="273" ht="76" customHeight="1">
      <x:c r="A273" s="2" t="str">
        <x:v>G5-LIMIT-R01</x:v>
      </x:c>
      <x:c r="B273" s="2" t="str">
        <x:v>G5</x:v>
      </x:c>
      <x:c r="C273" s="2" t="str">
        <x:v>v1</x:v>
      </x:c>
      <x:c r="D273" s="2" t="str">
        <x:v>Reviewer_A</x:v>
      </x:c>
      <x:c r="E273" s="2" t="str">
        <x:v>Reviewer_A</x:v>
      </x:c>
      <x:c r="F273" s="2" t="str">
        <x:v>G5-L01</x:v>
      </x:c>
      <x:c r="G273" s="6" t="str">
        <x:v>SR</x:v>
      </x:c>
      <x:c r="H273" s="2" t="str">
        <x:v>Presenter</x:v>
      </x:c>
      <x:c r="I273" s="6" t="str">
        <x:v>if you don't give llms enough information to understand what the problem context is and what the expected results are, u they they'll hallucinate</x:v>
      </x:c>
      <x:c r="J273" s="2" t="str">
        <x:v>Speculative</x:v>
      </x:c>
      <x:c r="K273" s="2" t="str">
        <x:v>G5-T02</x:v>
      </x:c>
      <x:c r="L273" s="2" t="str">
        <x:v>NR</x:v>
      </x:c>
      <x:c r="M273" s="2" t="str">
        <x:v>test case generation for flight software when the prompt lacks problem context</x:v>
      </x:c>
      <x:c r="N273" s="2" t="str">
        <x:v>hallucinated or fabricated artefacts when context is missing</x:v>
      </x:c>
      <x:c r="O273" s="6" t="str">
        <x:v>将幻觉归因于上下文不足，属对上下文敏感性的报告风险；以检索补充上下文等已实施。</x:v>
      </x:c>
      <x:c r="P273" s="2" t="str">
        <x:v>spec-driven workflow with a human determining the specification ; deterministic verification and validation through static analysis and on-target test execution ; RAG and vector databases for additional context ; no one-shot generation</x:v>
      </x:c>
      <x:c r="Q273" s="2" t="str">
        <x:v>Implemented</x:v>
      </x:c>
      <x:c r="R273" s="2" t="str">
        <x:v>insufficient_context_hallucination</x:v>
      </x:c>
      <x:c r="S273" s="2" t="str">
        <x:v>NR</x:v>
      </x:c>
      <x:c r="T273" s="2" t="str">
        <x:v>Context and prompt dependence</x:v>
      </x:c>
      <x:c r="U273"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V273" s="6" t="str">
        <x:v>if you don't give llms enough information to understand what the problem context is and what the expected results are, u they they'll hallucinate</x:v>
      </x:c>
      <x:c r="W273" s="6" t="str">
        <x:v>The talk attributes hallucination to missing context and answers it with retrieval and with a specification-driven workflow.</x:v>
      </x:c>
      <x:c r="X273" s="2" t="str">
        <x:v>Accepted</x:v>
      </x:c>
      <x:c r="Y273" s="6" t="str">
        <x:v>The material states the mitigation for the reported limitation set as a whole; the consequence recorded on this row is the part of the material-level consequence that addresses this limitation.</x:v>
      </x:c>
      <x:c r="Z273" s="2" t="n">
        <x:v>2</x:v>
      </x:c>
      <x:c r="AA273" s="2" t="n">
        <x:v>3</x:v>
      </x:c>
    </x:row>
    <x:row r="274" ht="76" customHeight="1">
      <x:c r="A274" s="2" t="str">
        <x:v>G5-LIMIT-R02</x:v>
      </x:c>
      <x:c r="B274" s="2" t="str">
        <x:v>G5</x:v>
      </x:c>
      <x:c r="C274" s="2" t="str">
        <x:v>v1</x:v>
      </x:c>
      <x:c r="D274" s="2" t="str">
        <x:v>Reviewer_A</x:v>
      </x:c>
      <x:c r="E274" s="2" t="str">
        <x:v>Reviewer_A</x:v>
      </x:c>
      <x:c r="F274" s="2" t="str">
        <x:v>G5-L02</x:v>
      </x:c>
      <x:c r="G274" s="6" t="str">
        <x:v>SR</x:v>
      </x:c>
      <x:c r="H274" s="2" t="str">
        <x:v>Presenter</x:v>
      </x:c>
      <x:c r="I274" s="6" t="str">
        <x:v>we can't take it to zero because llms are fundamentally probabilistic</x:v>
      </x:c>
      <x:c r="J274" s="2" t="str">
        <x:v>Speculative</x:v>
      </x:c>
      <x:c r="K274" s="2" t="str">
        <x:v>G5-T02</x:v>
      </x:c>
      <x:c r="L274" s="2" t="str">
        <x:v>NR</x:v>
      </x:c>
      <x:c r="M274" s="2" t="str">
        <x:v>generation of code and tests for flight software</x:v>
      </x:c>
      <x:c r="N274" s="2" t="str">
        <x:v>residual error because the model is probabilistic by nature</x:v>
      </x:c>
      <x:c r="O274" s="6" t="str">
        <x:v>以模型类别属性陈述残余误差不可消除，属报告风险而非具体观察案例；确定性验证与确认已实施。</x:v>
      </x:c>
      <x:c r="P274" s="2" t="str">
        <x:v>spec-driven workflow with a human determining the specification ; deterministic verification and validation through static analysis and on-target test execution ; RAG and vector databases for additional context ; no one-shot generation</x:v>
      </x:c>
      <x:c r="Q274" s="2" t="str">
        <x:v>Implemented</x:v>
      </x:c>
      <x:c r="R274" s="2" t="str">
        <x:v>residual_probabilistic_error</x:v>
      </x:c>
      <x:c r="S274" s="2" t="str">
        <x:v>NR</x:v>
      </x:c>
      <x:c r="T274" s="2" t="str">
        <x:v>Model reliability</x:v>
      </x:c>
      <x:c r="U274"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V274" s="6" t="str">
        <x:v>we can't take it to zero because llms are fundamentally probabilistic</x:v>
      </x:c>
      <x:c r="W274" s="6" t="str">
        <x:v>The residual error is presented as a property of the model class rather than as a fixable defect.</x:v>
      </x:c>
      <x:c r="X274" s="2" t="str">
        <x:v>Accepted</x:v>
      </x:c>
      <x:c r="Y274" s="6" t="str">
        <x:v>The material states the mitigation for the reported limitation set as a whole; the consequence recorded on this row is the part of the material-level consequence that addresses this limitation.</x:v>
      </x:c>
      <x:c r="Z274" s="2" t="n">
        <x:v>2</x:v>
      </x:c>
      <x:c r="AA274" s="2" t="n">
        <x:v>3</x:v>
      </x:c>
    </x:row>
    <x:row r="275" ht="76" customHeight="1">
      <x:c r="A275" s="2" t="str">
        <x:v>G5-LIMIT-R03</x:v>
      </x:c>
      <x:c r="B275" s="2" t="str">
        <x:v>G5</x:v>
      </x:c>
      <x:c r="C275" s="2" t="str">
        <x:v>v1</x:v>
      </x:c>
      <x:c r="D275" s="2" t="str">
        <x:v>Reviewer_A</x:v>
      </x:c>
      <x:c r="E275" s="2" t="str">
        <x:v>Reviewer_A</x:v>
      </x:c>
      <x:c r="F275" s="2" t="str">
        <x:v>G5-L03</x:v>
      </x:c>
      <x:c r="G275" s="6" t="str">
        <x:v>SR</x:v>
      </x:c>
      <x:c r="H275" s="2" t="str">
        <x:v>Presenter</x:v>
      </x:c>
      <x:c r="I275" s="6" t="str">
        <x:v>oneshotting doesn't work when you're writing flight software</x:v>
      </x:c>
      <x:c r="J275" s="2" t="str">
        <x:v>Speculative</x:v>
      </x:c>
      <x:c r="K275" s="2" t="str">
        <x:v>G5-T02</x:v>
      </x:c>
      <x:c r="L275" s="2" t="str">
        <x:v>NR</x:v>
      </x:c>
      <x:c r="M275" s="2" t="str">
        <x:v>single-shot generation of flight software artefacts</x:v>
      </x:c>
      <x:c r="N275" s="2" t="str">
        <x:v>no one-shot generation is acceptable for this artefact class</x:v>
      </x:c>
      <x:c r="O275" s="6" t="str">
        <x:v>对单次生成不可行的判断属报告边界，无具体失败案例；规格驱动、禁止单次生成已实施。</x:v>
      </x:c>
      <x:c r="P275" s="2" t="str">
        <x:v>spec-driven workflow with a human determining the specification ; deterministic verification and validation through static analysis and on-target test execution ; RAG and vector databases for additional context ; no one-shot generation</x:v>
      </x:c>
      <x:c r="Q275" s="2" t="str">
        <x:v>Implemented</x:v>
      </x:c>
      <x:c r="R275" s="2" t="str">
        <x:v>one_shot_generation_not_viable</x:v>
      </x:c>
      <x:c r="S275" s="2" t="str">
        <x:v>NR</x:v>
      </x:c>
      <x:c r="T275" s="2" t="str">
        <x:v>Context and prompt dependence</x:v>
      </x:c>
      <x:c r="U27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V275" s="6" t="str">
        <x:v>oneshotting doesn't work when you're writing flight software</x:v>
      </x:c>
      <x:c r="W275" s="6" t="str">
        <x:v>The talk rejects single-shot generation and requires a spec-driven workflow with human input.</x:v>
      </x:c>
      <x:c r="X275" s="2" t="str">
        <x:v>Accepted</x:v>
      </x:c>
      <x:c r="Y275" s="6" t="str">
        <x:v>The material states the mitigation for the reported limitation set as a whole; the consequence recorded on this row is the part of the material-level consequence that addresses this limitation.</x:v>
      </x:c>
      <x:c r="Z275" s="2" t="n">
        <x:v>2</x:v>
      </x:c>
      <x:c r="AA275" s="2" t="n">
        <x:v>3</x:v>
      </x:c>
    </x:row>
    <x:row r="276" ht="76" customHeight="1">
      <x:c r="A276" s="2" t="str">
        <x:v>G5-LIMIT-R04</x:v>
      </x:c>
      <x:c r="B276" s="2" t="str">
        <x:v>G5</x:v>
      </x:c>
      <x:c r="C276" s="2" t="str">
        <x:v>v1</x:v>
      </x:c>
      <x:c r="D276" s="2" t="str">
        <x:v>Reviewer_A</x:v>
      </x:c>
      <x:c r="E276" s="2" t="str">
        <x:v>Reviewer_A</x:v>
      </x:c>
      <x:c r="F276" s="2" t="str">
        <x:v>G5-L04</x:v>
      </x:c>
      <x:c r="G276" s="6" t="str">
        <x:v>SR</x:v>
      </x:c>
      <x:c r="H276" s="2" t="str">
        <x:v>Presenter</x:v>
      </x:c>
      <x:c r="I276" s="6" t="str">
        <x:v>but they can't be the only source of truth here because llms can do this in a probabilistic fashion</x:v>
      </x:c>
      <x:c r="J276" s="2" t="str">
        <x:v>Speculative</x:v>
      </x:c>
      <x:c r="K276" s="2" t="str">
        <x:v>G5-T01</x:v>
      </x:c>
      <x:c r="L276" s="2" t="str">
        <x:v>NR</x:v>
      </x:c>
      <x:c r="M276" s="2" t="str">
        <x:v>traceability verification for certification</x:v>
      </x:c>
      <x:c r="N276" s="2" t="str">
        <x:v>the model cannot be the only source of truth, so verification stays with the human</x:v>
      </x:c>
      <x:c r="O276" s="6" t="str">
        <x:v>以概率性为由否定模型承担唯一事实依据的角色，属报告风险；验证权交还人工、确定性验证与确认已实施。</x:v>
      </x:c>
      <x:c r="P276" s="2" t="str">
        <x:v>spec-driven workflow with a human determining the specification ; deterministic verification and validation through static analysis and on-target test execution ; RAG and vector databases for additional context ; no one-shot generation</x:v>
      </x:c>
      <x:c r="Q276" s="2" t="str">
        <x:v>Implemented</x:v>
      </x:c>
      <x:c r="R276" s="2" t="str">
        <x:v>not_only_source_of_truth</x:v>
      </x:c>
      <x:c r="S276" s="2" t="str">
        <x:v>NR</x:v>
      </x:c>
      <x:c r="T276" s="2" t="str">
        <x:v>Governance and reproducibility</x:v>
      </x:c>
      <x:c r="U276"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V276" s="6" t="str">
        <x:v>but they can't be the only source of truth here because llms can do this in a probabilistic fashion</x:v>
      </x:c>
      <x:c r="W276" s="6" t="str">
        <x:v>The talk places traceability verification with the human because the model cannot carry that responsibility.</x:v>
      </x:c>
      <x:c r="X276" s="2" t="str">
        <x:v>Accepted</x:v>
      </x:c>
      <x:c r="Y276" s="6" t="str">
        <x:v>The material states the mitigation for the reported limitation set as a whole; the consequence recorded on this row is the part of the material-level consequence that addresses this limitation.</x:v>
      </x:c>
      <x:c r="Z276" s="2" t="n">
        <x:v>2</x:v>
      </x:c>
      <x:c r="AA276" s="2" t="n">
        <x:v>3</x:v>
      </x:c>
    </x:row>
    <x:row r="277" ht="76" customHeight="1">
      <x:c r="A277" s="2" t="str">
        <x:v>G6-LIMIT-R01</x:v>
      </x:c>
      <x:c r="B277" s="2" t="str">
        <x:v>G6</x:v>
      </x:c>
      <x:c r="C277" s="2" t="str">
        <x:v>v1</x:v>
      </x:c>
      <x:c r="D277" s="2" t="str">
        <x:v>Reviewer_A</x:v>
      </x:c>
      <x:c r="E277" s="2" t="str">
        <x:v>Reviewer_A</x:v>
      </x:c>
      <x:c r="F277" s="2" t="str">
        <x:v>G6-L01</x:v>
      </x:c>
      <x:c r="G277" s="6" t="str">
        <x:v>SR</x:v>
      </x:c>
      <x:c r="H277" s="2" t="str">
        <x:v>Presenter</x:v>
      </x:c>
      <x:c r="I277" s="6" t="str">
        <x:v>we can't fully trust it</x:v>
      </x:c>
      <x:c r="J277" s="2" t="str">
        <x:v>Empirical</x:v>
      </x:c>
      <x:c r="K277" s="2" t="str">
        <x:v>G6-T01</x:v>
      </x:c>
      <x:c r="L277" s="2" t="str">
        <x:v>NR</x:v>
      </x:c>
      <x:c r="M277" s="2" t="str">
        <x:v>Ada code reading and MC/DC test generation with the model</x:v>
      </x:c>
      <x:c r="N277" s="2" t="str">
        <x:v>the generated artefact remains about an 80% solution and can be wrong in a way that is easy to miss because the engineer stops inspecting each part of the code as closely as before</x:v>
      </x:c>
      <x:c r="O277" s="6" t="str">
        <x:v>报告者据使用经验给出"约八成解法、易漏错误"的观察结论；人工在环、流程与覆盖视图已实施。</x:v>
      </x:c>
      <x:c r="P277" s="2" t="str">
        <x:v>feed the model small discrete chunks together with the truth table, the test case template and prior work examples ; keep a human actively in the loop ; rely on the flow graph and coverage views to detect wrong paths</x:v>
      </x:c>
      <x:c r="Q277" s="2" t="str">
        <x:v>Implemented</x:v>
      </x:c>
      <x:c r="R277" s="2" t="str">
        <x:v>limited_trust</x:v>
      </x:c>
      <x:c r="S277" s="2" t="str">
        <x:v>NR</x:v>
      </x:c>
      <x:c r="T277" s="2" t="str">
        <x:v>Model reliability</x:v>
      </x:c>
      <x:c r="U277"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V277" s="6" t="str">
        <x:v>we can't fully trust it</x:v>
      </x:c>
      <x:c r="W277" s="6" t="str">
        <x:v>The speaker states the trust limit directly and keeps a human in the loop as the response.</x:v>
      </x:c>
      <x:c r="X277" s="2" t="str">
        <x:v>Accepted</x:v>
      </x:c>
      <x:c r="Y277" s="6" t="str">
        <x:v>The material states the mitigation for the reported limitation set as a whole; the consequence recorded on this row is the part of the material-level consequence that addresses this limitation.</x:v>
      </x:c>
      <x:c r="Z277" s="2" t="n">
        <x:v>3</x:v>
      </x:c>
      <x:c r="AA277" s="2" t="n">
        <x:v>3</x:v>
      </x:c>
    </x:row>
    <x:row r="278" ht="76" customHeight="1">
      <x:c r="A278" s="2" t="str">
        <x:v>G6-LIMIT-R02</x:v>
      </x:c>
      <x:c r="B278" s="2" t="str">
        <x:v>G6</x:v>
      </x:c>
      <x:c r="C278" s="2" t="str">
        <x:v>v1</x:v>
      </x:c>
      <x:c r="D278" s="2" t="str">
        <x:v>Reviewer_A</x:v>
      </x:c>
      <x:c r="E278" s="2" t="str">
        <x:v>Reviewer_A</x:v>
      </x:c>
      <x:c r="F278" s="2" t="str">
        <x:v>G6-L02</x:v>
      </x:c>
      <x:c r="G278" s="6" t="str">
        <x:v>SR</x:v>
      </x:c>
      <x:c r="H278" s="2" t="str">
        <x:v>Presenter</x:v>
      </x:c>
      <x:c r="I278" s="6" t="str">
        <x:v>it did not under it it still messed it up. gave it a super easy prompt ... right in the beginning, it it gives me a keyword as a variable name</x:v>
      </x:c>
      <x:c r="J278" s="2" t="str">
        <x:v>Empirical</x:v>
      </x:c>
      <x:c r="K278" s="2" t="str">
        <x:v>G6-T01</x:v>
      </x:c>
      <x:c r="L278" s="2" t="str">
        <x:v>NR</x:v>
      </x:c>
      <x:c r="M278" s="2" t="str">
        <x:v>generating test cases for a small Ada example</x:v>
      </x:c>
      <x:c r="N278" s="2" t="str">
        <x:v>the generated test case file can be wrong even when the prompt is easy</x:v>
      </x:c>
      <x:c r="O278" s="6" t="str">
        <x:v>报告具体错误案例（简单提示下将关键字用作变量名），属观察到的具体不利后果；分块供给、人工在环已实施。</x:v>
      </x:c>
      <x:c r="P278" s="2" t="str">
        <x:v>feed the model small discrete chunks together with the truth table, the test case template and prior work examples ; keep a human actively in the loop ; rely on the flow graph and coverage views to detect wrong paths</x:v>
      </x:c>
      <x:c r="Q278" s="2" t="str">
        <x:v>Implemented</x:v>
      </x:c>
      <x:c r="R278" s="2" t="str">
        <x:v>keyword_as_variable_name</x:v>
      </x:c>
      <x:c r="S278" s="2" t="str">
        <x:v>NR</x:v>
      </x:c>
      <x:c r="T278" s="2" t="str">
        <x:v>Model reliability</x:v>
      </x:c>
      <x:c r="U278"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V278" s="6" t="str">
        <x:v>it did not under it it still messed it up. gave it a super easy prompt ... right in the beginning, it it gives me a keyword as a variable name</x:v>
      </x:c>
      <x:c r="W278" s="6" t="str">
        <x:v>A concrete wrong output on an easy prompt, reported by the speaker with the example visible on screen.</x:v>
      </x:c>
      <x:c r="X278" s="2" t="str">
        <x:v>Accepted</x:v>
      </x:c>
      <x:c r="Y278" s="6" t="str">
        <x:v>The material states the mitigation for the reported limitation set as a whole; the consequence recorded on this row is the part of the material-level consequence that addresses this limitation.</x:v>
      </x:c>
      <x:c r="Z278" s="2" t="n">
        <x:v>3</x:v>
      </x:c>
      <x:c r="AA278" s="2" t="n">
        <x:v>3</x:v>
      </x:c>
    </x:row>
    <x:row r="279" ht="76" customHeight="1">
      <x:c r="A279" s="2" t="str">
        <x:v>G6-LIMIT-R03</x:v>
      </x:c>
      <x:c r="B279" s="2" t="str">
        <x:v>G6</x:v>
      </x:c>
      <x:c r="C279" s="2" t="str">
        <x:v>v1</x:v>
      </x:c>
      <x:c r="D279" s="2" t="str">
        <x:v>Reviewer_A</x:v>
      </x:c>
      <x:c r="E279" s="2" t="str">
        <x:v>Reviewer_A</x:v>
      </x:c>
      <x:c r="F279" s="2" t="str">
        <x:v>G6-L03</x:v>
      </x:c>
      <x:c r="G279" s="6" t="str">
        <x:v>SR</x:v>
      </x:c>
      <x:c r="H279" s="2" t="str">
        <x:v>Presenter</x:v>
      </x:c>
      <x:c r="I279" s="6" t="str">
        <x:v>if if we're not, ooh, the machine will overlook and hallucinate everything it wants to</x:v>
      </x:c>
      <x:c r="J279" s="2" t="str">
        <x:v>Empirical</x:v>
      </x:c>
      <x:c r="K279" s="2" t="str">
        <x:v>G6-T02</x:v>
      </x:c>
      <x:c r="L279" s="2" t="str">
        <x:v>NR</x:v>
      </x:c>
      <x:c r="M279" s="2" t="str">
        <x:v>coverage and traceability checking of the generated artefacts</x:v>
      </x:c>
      <x:c r="N279" s="2" t="str">
        <x:v>the model can overlook or fabricate content when its output is not inspected</x:v>
      </x:c>
      <x:c r="O279" s="6" t="str">
        <x:v>属条件式警告（不检查时模型会遗漏或编造），倾向报告风险而非具体观察案例；人工在环与覆盖视图已实施。</x:v>
      </x:c>
      <x:c r="P279" s="2" t="str">
        <x:v>feed the model small discrete chunks together with the truth table, the test case template and prior work examples ; keep a human actively in the loop ; rely on the flow graph and coverage views to detect wrong paths</x:v>
      </x:c>
      <x:c r="Q279" s="2" t="str">
        <x:v>Implemented</x:v>
      </x:c>
      <x:c r="R279" s="2" t="str">
        <x:v>undetected_hallucination</x:v>
      </x:c>
      <x:c r="S279" s="2" t="str">
        <x:v>NR</x:v>
      </x:c>
      <x:c r="T279" s="2" t="str">
        <x:v>Model reliability</x:v>
      </x:c>
      <x:c r="U279"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V279" s="6" t="str">
        <x:v>if if we're not, ooh, the machine will overlook and hallucinate everything it wants to</x:v>
      </x:c>
      <x:c r="W279" s="6" t="str">
        <x:v>The warning is about what happens when the output is not inspected, which is a process risk rather than a model property.</x:v>
      </x:c>
      <x:c r="X279" s="2" t="str">
        <x:v>Accepted</x:v>
      </x:c>
      <x:c r="Y279" s="6" t="str">
        <x:v>The material states the mitigation for the reported limitation set as a whole; the consequence recorded on this row is the part of the material-level consequence that addresses this limitation.</x:v>
      </x:c>
      <x:c r="Z279" s="2" t="n">
        <x:v>2</x:v>
      </x:c>
      <x:c r="AA279" s="2" t="n">
        <x:v>3</x:v>
      </x:c>
    </x:row>
    <x:row r="280" ht="76" customHeight="1">
      <x:c r="A280" s="2" t="str">
        <x:v>G6-LIMIT-R04</x:v>
      </x:c>
      <x:c r="B280" s="2" t="str">
        <x:v>G6</x:v>
      </x:c>
      <x:c r="C280" s="2" t="str">
        <x:v>v1</x:v>
      </x:c>
      <x:c r="D280" s="2" t="str">
        <x:v>Reviewer_A</x:v>
      </x:c>
      <x:c r="E280" s="2" t="str">
        <x:v>Reviewer_A</x:v>
      </x:c>
      <x:c r="F280" s="2" t="str">
        <x:v>G6-L04</x:v>
      </x:c>
      <x:c r="G280" s="6" t="str">
        <x:v>SR</x:v>
      </x:c>
      <x:c r="H280" s="2" t="str">
        <x:v>Presenter</x:v>
      </x:c>
      <x:c r="I280" s="6" t="str">
        <x:v>you're not looking at it as closely as you used to</x:v>
      </x:c>
      <x:c r="J280" s="2" t="str">
        <x:v>Empirical</x:v>
      </x:c>
      <x:c r="K280" s="2" t="str">
        <x:v>G6-T02</x:v>
      </x:c>
      <x:c r="L280" s="2" t="str">
        <x:v>NR</x:v>
      </x:c>
      <x:c r="M280" s="2" t="str">
        <x:v>engineer review of generated test cases</x:v>
      </x:c>
      <x:c r="N280" s="2" t="str">
        <x:v>the engineer stops inspecting each part of the code as closely as before</x:v>
      </x:c>
      <x:c r="O280" s="6" t="str">
        <x:v>观察到的行为变化（检查变松），其不利后果（漏检错误）属风险；以流程与覆盖视图辅助检测已实施。</x:v>
      </x:c>
      <x:c r="P280" s="2" t="str">
        <x:v>feed the model small discrete chunks together with the truth table, the test case template and prior work examples ; keep a human actively in the loop ; rely on the flow graph and coverage views to detect wrong paths</x:v>
      </x:c>
      <x:c r="Q280" s="2" t="str">
        <x:v>Implemented</x:v>
      </x:c>
      <x:c r="R280" s="2" t="str">
        <x:v>reviewer_complacency</x:v>
      </x:c>
      <x:c r="S280" s="2" t="str">
        <x:v>NR</x:v>
      </x:c>
      <x:c r="T280" s="2" t="str">
        <x:v>Governance and reproducibility</x:v>
      </x:c>
      <x:c r="U280"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V280" s="6" t="str">
        <x:v>you're not looking at it as closely as you used to</x:v>
      </x:c>
      <x:c r="W280" s="6" t="str">
        <x:v>The speaker reports that automation changes how closely engineers inspect the artefacts, which lowers the chance of catching a wrong path.</x:v>
      </x:c>
      <x:c r="X280" s="2" t="str">
        <x:v>Accepted</x:v>
      </x:c>
      <x:c r="Y280" s="6" t="str">
        <x:v>The material states the mitigation for the reported limitation set as a whole; the consequence recorded on this row is the part of the material-level consequence that addresses this limitation.</x:v>
      </x:c>
      <x:c r="Z280" s="2" t="n">
        <x:v>2</x:v>
      </x:c>
      <x:c r="AA280" s="2" t="n">
        <x:v>3</x:v>
      </x:c>
    </x:row>
    <x:row r="281" ht="76" customHeight="1">
      <x:c r="A281" s="2" t="str">
        <x:v>G7-LIMIT-R01</x:v>
      </x:c>
      <x:c r="B281" s="2" t="str">
        <x:v>G7</x:v>
      </x:c>
      <x:c r="C281" s="2" t="str">
        <x:v>v1</x:v>
      </x:c>
      <x:c r="D281" s="2" t="str">
        <x:v>Reviewer_A</x:v>
      </x:c>
      <x:c r="E281" s="2" t="str">
        <x:v>Reviewer_A</x:v>
      </x:c>
      <x:c r="F281" s="2" t="str">
        <x:v>G7-L01</x:v>
      </x:c>
      <x:c r="G281" s="6" t="str">
        <x:v>SR</x:v>
      </x:c>
      <x:c r="H281" s="2" t="str">
        <x:v>Presenter</x:v>
      </x:c>
      <x:c r="I281" s="6" t="str">
        <x:v>unrestricted access to large datasets introduces context and reliability challenges</x:v>
      </x:c>
      <x:c r="J281" s="2" t="str">
        <x:v>Empirical</x:v>
      </x:c>
      <x:c r="K281" s="2" t="str">
        <x:v>G7-T02</x:v>
      </x:c>
      <x:c r="L281" s="2" t="str">
        <x:v>NR</x:v>
      </x:c>
      <x:c r="M281" s="2" t="str">
        <x:v>agent access to large document and code bases</x:v>
      </x:c>
      <x:c r="N281" s="2" t="str">
        <x:v>the agent loses context and reliability when too much data is exposed</x:v>
      </x:c>
      <x:c r="O281" s="6" t="str">
        <x:v>报告据使用经验观察到上下文过载导致的可靠性下降；以受限查询替代整库喂入已实施。</x:v>
      </x:c>
      <x:c r="P281" s="2" t="str">
        <x:v>restrict access through MCP-based querying and command-line tools instead of passing whole datasets ; define agents as traceable requirement objects with instructions, skills and tools ; validate generated output against the traceability graph, the link rules and an ontology, and control the input scope with deterministic code</x:v>
      </x:c>
      <x:c r="Q281" s="2" t="str">
        <x:v>Implemented</x:v>
      </x:c>
      <x:c r="R281" s="2" t="str">
        <x:v>context_overload</x:v>
      </x:c>
      <x:c r="S281" s="2" t="str">
        <x:v>NR</x:v>
      </x:c>
      <x:c r="T281" s="2" t="str">
        <x:v>Context and prompt dependence</x:v>
      </x:c>
      <x:c r="U281"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V281" s="6" t="str">
        <x:v>unrestricted access to large datasets introduces context and reliability challenges</x:v>
      </x:c>
      <x:c r="W281" s="6" t="str">
        <x:v>The limitation is stated as a property of unrestricted access, and the response is to filter the input through tools.</x:v>
      </x:c>
      <x:c r="X281" s="2" t="str">
        <x:v>Accepted</x:v>
      </x:c>
      <x:c r="Y281" s="6" t="str">
        <x:v>The material states the mitigation for the reported limitation set as a whole; the consequence recorded on this row is the part of the material-level consequence that addresses this limitation.</x:v>
      </x:c>
      <x:c r="Z281" s="2" t="n">
        <x:v>3</x:v>
      </x:c>
      <x:c r="AA281" s="2" t="n">
        <x:v>3</x:v>
      </x:c>
    </x:row>
    <x:row r="282" ht="76" customHeight="1">
      <x:c r="A282" s="2" t="str">
        <x:v>G7-LIMIT-R02</x:v>
      </x:c>
      <x:c r="B282" s="2" t="str">
        <x:v>G7</x:v>
      </x:c>
      <x:c r="C282" s="2" t="str">
        <x:v>v1</x:v>
      </x:c>
      <x:c r="D282" s="2" t="str">
        <x:v>Reviewer_A</x:v>
      </x:c>
      <x:c r="E282" s="2" t="str">
        <x:v>Reviewer_A</x:v>
      </x:c>
      <x:c r="F282" s="2" t="str">
        <x:v>G7-L02</x:v>
      </x:c>
      <x:c r="G282" s="6" t="str">
        <x:v>SR</x:v>
      </x:c>
      <x:c r="H282" s="2" t="str">
        <x:v>Presenter</x:v>
      </x:c>
      <x:c r="I282" s="6" t="str">
        <x:v>after a time you will recognize that instructions get lost, tools are used a different way, stuff gets added magically</x:v>
      </x:c>
      <x:c r="J282" s="2" t="str">
        <x:v>Empirical</x:v>
      </x:c>
      <x:c r="K282" s="2" t="str">
        <x:v>G7-T04</x:v>
      </x:c>
      <x:c r="L282" s="2" t="str">
        <x:v>NR</x:v>
      </x:c>
      <x:c r="M282" s="2" t="str">
        <x:v>repeated agent runs against the same project</x:v>
      </x:c>
      <x:c r="N282" s="2" t="str">
        <x:v>the agent forgets or ignores instructions over repeated runs and reports reasoning that does not hold</x:v>
      </x:c>
      <x:c r="O282" s="6" t="str">
        <x:v>报告据反复运行观察到的指令漂移与行为漂移；将智能体定义为可追踪需求对象已实施。</x:v>
      </x:c>
      <x:c r="P282" s="2" t="str">
        <x:v>restrict access through MCP-based querying and command-line tools instead of passing whole datasets ; define agents as traceable requirement objects with instructions, skills and tools ; validate generated output against the traceability graph, the link rules and an ontology, and control the input scope with deterministic code</x:v>
      </x:c>
      <x:c r="Q282" s="2" t="str">
        <x:v>Implemented</x:v>
      </x:c>
      <x:c r="R282" s="2" t="str">
        <x:v>instruction_drift</x:v>
      </x:c>
      <x:c r="S282" s="2" t="str">
        <x:v>NR</x:v>
      </x:c>
      <x:c r="T282" s="2" t="str">
        <x:v>Model reliability</x:v>
      </x:c>
      <x:c r="U282"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V282" s="6" t="str">
        <x:v>after a time you will recognize that instructions get lost, tools are used a different way, stuff gets added magically</x:v>
      </x:c>
      <x:c r="W282" s="6" t="str">
        <x:v>Drift across repeated runs is reported from use rather than predicted, and it motivates treating the agent definition as an artefact.</x:v>
      </x:c>
      <x:c r="X282" s="2" t="str">
        <x:v>Accepted</x:v>
      </x:c>
      <x:c r="Y282" s="6" t="str">
        <x:v>The material states the mitigation for the reported limitation set as a whole; the consequence recorded on this row is the part of the material-level consequence that addresses this limitation.</x:v>
      </x:c>
      <x:c r="Z282" s="2" t="n">
        <x:v>3</x:v>
      </x:c>
      <x:c r="AA282" s="2" t="n">
        <x:v>3</x:v>
      </x:c>
    </x:row>
    <x:row r="283" ht="76" customHeight="1">
      <x:c r="A283" s="2" t="str">
        <x:v>G7-LIMIT-R03</x:v>
      </x:c>
      <x:c r="B283" s="2" t="str">
        <x:v>G7</x:v>
      </x:c>
      <x:c r="C283" s="2" t="str">
        <x:v>v1</x:v>
      </x:c>
      <x:c r="D283" s="2" t="str">
        <x:v>Reviewer_A</x:v>
      </x:c>
      <x:c r="E283" s="2" t="str">
        <x:v>Reviewer_A</x:v>
      </x:c>
      <x:c r="F283" s="2" t="str">
        <x:v>G7-L03</x:v>
      </x:c>
      <x:c r="G283" s="6" t="str">
        <x:v>SR</x:v>
      </x:c>
      <x:c r="H283" s="2" t="str">
        <x:v>Presenter</x:v>
      </x:c>
      <x:c r="I283" s="6" t="str">
        <x:v>that would be great, but it was not always the truth. and it's also forgot a lot of stuff</x:v>
      </x:c>
      <x:c r="J283" s="2" t="str">
        <x:v>Empirical</x:v>
      </x:c>
      <x:c r="K283" s="2" t="str">
        <x:v>G7-T01</x:v>
      </x:c>
      <x:c r="L283" s="2" t="str">
        <x:v>NR</x:v>
      </x:c>
      <x:c r="M283" s="2" t="str">
        <x:v>agent answers about traceability completeness</x:v>
      </x:c>
      <x:c r="N283" s="2" t="str">
        <x:v>reported reasoning that does not hold</x:v>
      </x:c>
      <x:c r="O283" s="6" t="str">
        <x:v>报告观察到的"不总真实、遗忘"现象；对照追踪图、链接规则与本体校验已实施。</x:v>
      </x:c>
      <x:c r="P283" s="2" t="str">
        <x:v>restrict access through MCP-based querying and command-line tools instead of passing whole datasets ; define agents as traceable requirement objects with instructions, skills and tools ; validate generated output against the traceability graph, the link rules and an ontology, and control the input scope with deterministic code</x:v>
      </x:c>
      <x:c r="Q283" s="2" t="str">
        <x:v>Implemented</x:v>
      </x:c>
      <x:c r="R283" s="2" t="str">
        <x:v>unreliable_assertions</x:v>
      </x:c>
      <x:c r="S283" s="2" t="str">
        <x:v>NR</x:v>
      </x:c>
      <x:c r="T283" s="2" t="str">
        <x:v>Model reliability</x:v>
      </x:c>
      <x:c r="U283"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V283" s="6" t="str">
        <x:v>that would be great, but it was not always the truth. and it's also forgot a lot of stuff</x:v>
      </x:c>
      <x:c r="W283" s="6" t="str">
        <x:v>The speaker reports that the agent did not always tell the truth about the state of the links.</x:v>
      </x:c>
      <x:c r="X283" s="2" t="str">
        <x:v>Accepted</x:v>
      </x:c>
      <x:c r="Y283" s="6" t="str">
        <x:v>The material states the mitigation for the reported limitation set as a whole; the consequence recorded on this row is the part of the material-level consequence that addresses this limitation.</x:v>
      </x:c>
      <x:c r="Z283" s="2" t="n">
        <x:v>3</x:v>
      </x:c>
      <x:c r="AA283" s="2" t="n">
        <x:v>3</x:v>
      </x:c>
    </x:row>
    <x:row r="284" ht="76" customHeight="1">
      <x:c r="A284" s="2" t="str">
        <x:v>G7-LIMIT-R04</x:v>
      </x:c>
      <x:c r="B284" s="2" t="str">
        <x:v>G7</x:v>
      </x:c>
      <x:c r="C284" s="2" t="str">
        <x:v>v1</x:v>
      </x:c>
      <x:c r="D284" s="2" t="str">
        <x:v>Reviewer_A</x:v>
      </x:c>
      <x:c r="E284" s="2" t="str">
        <x:v>Reviewer_A</x:v>
      </x:c>
      <x:c r="F284" s="2" t="str">
        <x:v>G7-L04</x:v>
      </x:c>
      <x:c r="G284" s="6" t="str">
        <x:v>SR</x:v>
      </x:c>
      <x:c r="H284" s="2" t="str">
        <x:v>Presenter</x:v>
      </x:c>
      <x:c r="I284" s="6" t="str">
        <x:v>who is responsible for the agent code?</x:v>
      </x:c>
      <x:c r="J284" s="2" t="str">
        <x:v>Speculative</x:v>
      </x:c>
      <x:c r="K284" s="2" t="str">
        <x:v>G7-T04</x:v>
      </x:c>
      <x:c r="L284" s="2" t="str">
        <x:v>NR</x:v>
      </x:c>
      <x:c r="M284" s="2" t="str">
        <x:v>accountability for agent behaviour in a safety-critical process</x:v>
      </x:c>
      <x:c r="N284" s="2" t="str">
        <x:v>no one can yet say who is accountable for agent behaviour in a safety-critical process</x:v>
      </x:c>
      <x:c r="O284" s="6" t="str">
        <x:v>以开放问题提出责任归属空缺，属报告风险；将智能体建模为可追踪需求对象为建议，尚未实施。</x:v>
      </x:c>
      <x:c r="P284" s="2" t="str">
        <x:v>define agents as traceable requirement objects with instructions, skills and tools</x:v>
      </x:c>
      <x:c r="Q284" s="2" t="str">
        <x:v>Proposed</x:v>
      </x:c>
      <x:c r="R284" s="2" t="str">
        <x:v>agent_accountability</x:v>
      </x:c>
      <x:c r="S284" s="2" t="str">
        <x:v>NR</x:v>
      </x:c>
      <x:c r="T284" s="2" t="str">
        <x:v>Governance and reproducibility</x:v>
      </x:c>
      <x:c r="U284"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V284" s="6" t="str">
        <x:v>who is responsible for the agent code?</x:v>
      </x:c>
      <x:c r="W284" s="6" t="str">
        <x:v>Governance is raised as an open question, and the proposed answer is to model the agent as a traced requirement object.</x:v>
      </x:c>
      <x:c r="X284" s="2" t="str">
        <x:v>Accepted</x:v>
      </x:c>
      <x:c r="Y284" s="6" t="str">
        <x:v>The consequence and the mitigation recorded on this row are the parts of the material-level statement that address this limitation.</x:v>
      </x:c>
      <x:c r="Z284" s="2" t="n">
        <x:v>2</x:v>
      </x:c>
      <x:c r="AA284" s="2" t="n">
        <x:v>2</x:v>
      </x:c>
    </x:row>
    <x:row r="285" ht="76" customHeight="1">
      <x:c r="A285" s="2" t="str">
        <x:v>G8-LIMIT-R01</x:v>
      </x:c>
      <x:c r="B285" s="2" t="str">
        <x:v>G8</x:v>
      </x:c>
      <x:c r="C285" s="2" t="str">
        <x:v>v1</x:v>
      </x:c>
      <x:c r="D285" s="2" t="str">
        <x:v>Reviewer_A</x:v>
      </x:c>
      <x:c r="E285" s="2" t="str">
        <x:v>Reviewer_A</x:v>
      </x:c>
      <x:c r="F285" s="2" t="str">
        <x:v>G8-L01</x:v>
      </x:c>
      <x:c r="G285" s="6" t="str">
        <x:v>SR</x:v>
      </x:c>
      <x:c r="H285" s="2" t="str">
        <x:v>Presenter</x:v>
      </x:c>
      <x:c r="I285" s="6" t="str">
        <x:v>resolve a performance issue because right now 20 35 requirements takes 25 minutes so we are going to include rag to have no delays</x:v>
      </x:c>
      <x:c r="J285" s="2" t="str">
        <x:v>Empirical</x:v>
      </x:c>
      <x:c r="K285" s="2" t="str">
        <x:v>G8-T01</x:v>
      </x:c>
      <x:c r="L285" s="2" t="str">
        <x:v>G8-MU01</x:v>
      </x:c>
      <x:c r="M285" s="2" t="str">
        <x:v>a full run over one application in the demonstrated configuration</x:v>
      </x:c>
      <x:c r="N285" s="2" t="str">
        <x:v>a full run over a few dozen requirements takes about 25 minutes</x:v>
      </x:c>
      <x:c r="O285" s="6" t="str">
        <x:v>给出量化运行时长（20 至 35 项需求约 25 分钟），属量化后果；以检索提速为下一阶段计划，尚未实施。</x:v>
      </x:c>
      <x:c r="P285" s="2" t="str">
        <x:v>include retrieval augmented generation in the next phase so that there are no delays</x:v>
      </x:c>
      <x:c r="Q285" s="2" t="str">
        <x:v>Proposed</x:v>
      </x:c>
      <x:c r="R285" s="2" t="str">
        <x:v>runtime_scales_with_requirements</x:v>
      </x:c>
      <x:c r="S285" s="2" t="str">
        <x:v>NR</x:v>
      </x:c>
      <x:c r="T285" s="2" t="str">
        <x:v>Scalability and deployment</x:v>
      </x:c>
      <x:c r="U285"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V285" s="6" t="str">
        <x:v>resolve a performance issue because right now 20 35 requirements takes 25 minutes so we are going to include rag to have no delays</x:v>
      </x:c>
      <x:c r="W285" s="6" t="str">
        <x:v>The runtime is reported as a problem to be solved in the next phase, with retrieval named as the planned remedy.</x:v>
      </x:c>
      <x:c r="X285" s="2" t="str">
        <x:v>Accepted</x:v>
      </x:c>
      <x:c r="Y285" s="6" t="str">
        <x:v>The consequence and the mitigation recorded on this row are the parts of the material-level statement that address this limitation.</x:v>
      </x:c>
      <x:c r="Z285" s="2" t="n">
        <x:v>4</x:v>
      </x:c>
      <x:c r="AA285" s="2" t="n">
        <x:v>2</x:v>
      </x:c>
    </x:row>
    <x:row r="286" ht="76" customHeight="1">
      <x:c r="A286" s="2" t="str">
        <x:v>G8-LIMIT-R02</x:v>
      </x:c>
      <x:c r="B286" s="2" t="str">
        <x:v>G8</x:v>
      </x:c>
      <x:c r="C286" s="2" t="str">
        <x:v>v1</x:v>
      </x:c>
      <x:c r="D286" s="2" t="str">
        <x:v>Reviewer_A</x:v>
      </x:c>
      <x:c r="E286" s="2" t="str">
        <x:v>Reviewer_A</x:v>
      </x:c>
      <x:c r="F286" s="2" t="str">
        <x:v>G8-L02</x:v>
      </x:c>
      <x:c r="G286" s="6" t="str">
        <x:v>SR</x:v>
      </x:c>
      <x:c r="H286" s="2" t="str">
        <x:v>Presenter</x:v>
      </x:c>
      <x:c r="I286" s="6" t="str">
        <x:v>if the system is not certain about a mapping it will flag it for lc application we saw that</x:v>
      </x:c>
      <x:c r="J286" s="2" t="str">
        <x:v>Empirical</x:v>
      </x:c>
      <x:c r="K286" s="2" t="str">
        <x:v>G8-T02</x:v>
      </x:c>
      <x:c r="L286" s="2" t="str">
        <x:v>G8-MU02</x:v>
      </x:c>
      <x:c r="M286" s="2" t="str">
        <x:v>mapping requirements to code and tests when an artefact cannot be located</x:v>
      </x:c>
      <x:c r="N286" s="2" t="str">
        <x:v>mappings the agent is unsure about or artefacts it cannot locate are left for a human to fill in</x:v>
      </x:c>
      <x:c r="O286" s="6" t="str">
        <x:v>报告观察到的系统不确定或无法定位制品并留空的情况；标记不确定并交人工、留空待补已实施。</x:v>
      </x:c>
      <x:c r="P286" s="2" t="str">
        <x:v>flag uncertain mappings for human review and leave gaps blank instead of filling them in</x:v>
      </x:c>
      <x:c r="Q286" s="2" t="str">
        <x:v>Implemented</x:v>
      </x:c>
      <x:c r="R286" s="2" t="str">
        <x:v>uncertain_mapping_left_to_human</x:v>
      </x:c>
      <x:c r="S286" s="2" t="str">
        <x:v>NR</x:v>
      </x:c>
      <x:c r="T286" s="2" t="str">
        <x:v>Model reliability</x:v>
      </x:c>
      <x:c r="U286"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V286" s="6" t="str">
        <x:v>if the system is not certain about a mapping it will flag it for lc application we saw that ; since it couldn't locate the b build verification script, it made it blank</x:v>
      </x:c>
      <x:c r="W286" s="6" t="str">
        <x:v>Uncertainty is handed back to the human rather than resolved, which leaves work for the reviewer.</x:v>
      </x:c>
      <x:c r="X286" s="2" t="str">
        <x:v>Accepted</x:v>
      </x:c>
      <x:c r="Y286" s="6" t="str">
        <x:v>The consequence and the mitigation recorded on this row are the parts of the material-level statement that address this limitation.</x:v>
      </x:c>
      <x:c r="Z286" s="2" t="n">
        <x:v>3</x:v>
      </x:c>
      <x:c r="AA286" s="2" t="n">
        <x:v>3</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52" hidden="0" customWidth="1"/>
    <x:col min="8" max="8" width="52" hidden="0" customWidth="1"/>
    <x:col min="9" max="9" width="52" hidden="0" customWidth="1"/>
    <x:col min="10" max="10" width="19" hidden="0" customWidth="1"/>
    <x:col min="11" max="11" width="20" hidden="0" customWidth="1"/>
    <x:col min="12" max="12" width="20" hidden="0" customWidth="1"/>
    <x:col min="13" max="13" width="52" hidden="0" customWidth="1"/>
    <x:col min="14" max="14" width="20" hidden="0" customWidth="1"/>
    <x:col min="15" max="15" width="19" hidden="0" customWidth="1"/>
    <x:col min="16" max="16" width="19" hidden="0" customWidth="1"/>
    <x:col min="17" max="17" width="20" hidden="0" customWidth="1"/>
    <x:col min="18" max="18" width="52" hidden="0" customWidth="1"/>
    <x:col min="19" max="19" width="52" hidden="0" customWidth="1"/>
    <x:col min="20" max="20" width="52" hidden="0" customWidth="1"/>
    <x:col min="21" max="21" width="20" hidden="0" customWidth="1"/>
    <x:col min="22" max="22" width="52" hidden="0" customWidth="1"/>
    <x:col min="23" max="23" width="52" hidden="0" customWidth="1"/>
  </x:cols>
  <x:sheetData>
    <x:row r="1" ht="38" customHeight="1">
      <x:c r="A1" s="5" t="str">
        <x:v>record_id</x:v>
      </x:c>
      <x:c r="B1" s="5" t="str">
        <x:v>study_id</x:v>
      </x:c>
      <x:c r="C1" s="5" t="str">
        <x:v>version_id</x:v>
      </x:c>
      <x:c r="D1" s="5" t="str">
        <x:v>review_stage</x:v>
      </x:c>
      <x:c r="E1" s="5" t="str">
        <x:v>reviewer_id</x:v>
      </x:c>
      <x:c r="F1" s="5" t="str">
        <x:v>direction_id</x:v>
      </x:c>
      <x:c r="G1" s="5" t="str">
        <x:v>evidence_tag</x:v>
      </x:c>
      <x:c r="H1" s="5" t="str">
        <x:v>future_basis</x:v>
      </x:c>
      <x:c r="I1" s="5" t="str">
        <x:v>direction_raw</x:v>
      </x:c>
      <x:c r="J1" s="5" t="str">
        <x:v>linked_limitation_id</x:v>
      </x:c>
      <x:c r="K1" s="5" t="str">
        <x:v>target_problem</x:v>
      </x:c>
      <x:c r="L1" s="5" t="str">
        <x:v>implementation_condition</x:v>
      </x:c>
      <x:c r="M1" s="5" t="str">
        <x:v>initial_evidence</x:v>
      </x:c>
      <x:c r="N1" s="5" t="str">
        <x:v>empirical_or_speculative</x:v>
      </x:c>
      <x:c r="O1" s="5" t="str">
        <x:v>open_code</x:v>
      </x:c>
      <x:c r="P1" s="5" t="str">
        <x:v>axial_code</x:v>
      </x:c>
      <x:c r="Q1" s="5" t="str">
        <x:v>final_theme</x:v>
      </x:c>
      <x:c r="R1" s="5" t="str">
        <x:v>evidence_location</x:v>
      </x:c>
      <x:c r="S1" s="5" t="str">
        <x:v>evidence_verbatim</x:v>
      </x:c>
      <x:c r="T1" s="5" t="str">
        <x:v>reviewer_interpretation</x:v>
      </x:c>
      <x:c r="U1" s="5" t="str">
        <x:v>record_status</x:v>
      </x:c>
      <x:c r="V1" s="5" t="str">
        <x:v>notes</x:v>
      </x:c>
      <x:c r="W1" s="5" t="str">
        <x:v>rationale_basis</x:v>
      </x:c>
    </x:row>
    <x:row r="2" ht="76" customHeight="1">
      <x:c r="A2" s="2" t="str">
        <x:v>S01-FUTURE-R01</x:v>
      </x:c>
      <x:c r="B2" s="2" t="str">
        <x:v>S01</x:v>
      </x:c>
      <x:c r="C2" s="2" t="str">
        <x:v>merged_0002</x:v>
      </x:c>
      <x:c r="D2" s="2" t="str">
        <x:v>Reviewer_A</x:v>
      </x:c>
      <x:c r="E2" s="2" t="str">
        <x:v>Reviewer_A</x:v>
      </x:c>
      <x:c r="F2" s="2" t="str">
        <x:v>S01-D01</x:v>
      </x:c>
      <x:c r="G2" s="6" t="str">
        <x:v>SR</x:v>
      </x:c>
      <x:c r="H2" s="6" t="str">
        <x:v>Explicit future work</x:v>
      </x:c>
      <x:c r="I2" s="6" t="str">
        <x:v>未来研究可关注提示工程、融入更多上下文以及探索高级 RAG 技术，以提升性能。</x:v>
      </x:c>
      <x:c r="J2" s="2" t="str">
        <x:v>NR</x:v>
      </x:c>
      <x:c r="K2" s="2" t="str">
        <x:v>当前 RAG-based TLR 性能不足以实用。</x:v>
      </x:c>
      <x:c r="L2" s="2" t="str">
        <x:v>NR</x:v>
      </x:c>
      <x:c r="M2" s="6" t="str">
        <x:v>NR</x:v>
      </x:c>
      <x:c r="N2" s="2" t="str">
        <x:v>Speculative</x:v>
      </x:c>
      <x:c r="O2" s="2" t="str">
        <x:v>advanced_rag_techniques</x:v>
      </x:c>
      <x:c r="P2" s="2" t="str">
        <x:v>RAG_improvement</x:v>
      </x:c>
      <x:c r="Q2" s="2" t="str">
        <x:v>Context, retrieval, and model adaptation</x:v>
      </x:c>
      <x:c r="R2" s="6" t="str">
        <x:v>p. 11; Section V</x:v>
      </x:c>
      <x:c r="S2" s="6" t="str">
        <x:v>Future research could focus on prompt engineering, on incorporating more context, and on exploring advanced RAG techniques.</x:v>
      </x:c>
      <x:c r="T2" s="6" t="str">
        <x:v>作者建议从提示工程、上下文扩展和高级 RAG 入手改进方法。</x:v>
      </x:c>
      <x:c r="U2" s="2" t="str">
        <x:v>Accepted</x:v>
      </x:c>
      <x:c r="V2" s="6" t="str">
        <x:v>NA</x:v>
      </x:c>
      <x:c r="W2" s="6" t="str">
        <x:v>Agenda statement only</x:v>
      </x:c>
    </x:row>
    <x:row r="3" ht="76" customHeight="1">
      <x:c r="A3" s="2" t="str">
        <x:v>S01-FUTURE-R02</x:v>
      </x:c>
      <x:c r="B3" s="2" t="str">
        <x:v>S01</x:v>
      </x:c>
      <x:c r="C3" s="2" t="str">
        <x:v>merged_0002</x:v>
      </x:c>
      <x:c r="D3" s="2" t="str">
        <x:v>Reviewer_A</x:v>
      </x:c>
      <x:c r="E3" s="2" t="str">
        <x:v>Reviewer_A</x:v>
      </x:c>
      <x:c r="F3" s="2" t="str">
        <x:v>S01-D02</x:v>
      </x:c>
      <x:c r="G3" s="6" t="str">
        <x:v>SR</x:v>
      </x:c>
      <x:c r="H3" s="6" t="str">
        <x:v>Explicit future work</x:v>
      </x:c>
      <x:c r="I3" s="6" t="str">
        <x:v>计划探索更高级的聚合技术，如借鉴 FTLR 中的多数投票方法，以改善聚合步骤。</x:v>
      </x:c>
      <x:c r="J3" s="2" t="str">
        <x:v>NR</x:v>
      </x:c>
      <x:c r="K3" s="2" t="str">
        <x:v>当前细粒度映射未提升性能，聚合步骤可能不足。</x:v>
      </x:c>
      <x:c r="L3" s="2" t="str">
        <x:v>需要适配 FTLR 的方法。</x:v>
      </x:c>
      <x:c r="M3" s="6" t="str">
        <x:v>NR</x:v>
      </x:c>
      <x:c r="N3" s="2" t="str">
        <x:v>Speculative</x:v>
      </x:c>
      <x:c r="O3" s="2" t="str">
        <x:v>advanced_aggregation</x:v>
      </x:c>
      <x:c r="P3" s="2" t="str">
        <x:v>mapping_improvement</x:v>
      </x:c>
      <x:c r="Q3" s="2" t="str">
        <x:v>Context, retrieval, and model adaptation</x:v>
      </x:c>
      <x:c r="R3" s="6" t="str">
        <x:v>p. 11; Section V</x:v>
      </x:c>
      <x:c r="S3" s="6" t="str">
        <x:v>we plan to adapt methods like majority voting from FTLR [13] to improve the aggregation step.</x:v>
      </x:c>
      <x:c r="T3" s="6" t="str">
        <x:v>作者针对细粒度映射无效的问题，打算引入多数投票等聚合方法。</x:v>
      </x:c>
      <x:c r="U3" s="2" t="str">
        <x:v>Accepted</x:v>
      </x:c>
      <x:c r="V3" s="6" t="str">
        <x:v>NA</x:v>
      </x:c>
      <x:c r="W3" s="6" t="str">
        <x:v>Agenda statement only</x:v>
      </x:c>
    </x:row>
    <x:row r="4" ht="76" customHeight="1">
      <x:c r="A4" s="2" t="str">
        <x:v>S01-FUTURE-R03</x:v>
      </x:c>
      <x:c r="B4" s="2" t="str">
        <x:v>S01</x:v>
      </x:c>
      <x:c r="C4" s="2" t="str">
        <x:v>merged_0002</x:v>
      </x:c>
      <x:c r="D4" s="2" t="str">
        <x:v>Reviewer_A</x:v>
      </x:c>
      <x:c r="E4" s="2" t="str">
        <x:v>Reviewer_A</x:v>
      </x:c>
      <x:c r="F4" s="2" t="str">
        <x:v>S01-D03</x:v>
      </x:c>
      <x:c r="G4" s="6" t="str">
        <x:v>SR</x:v>
      </x:c>
      <x:c r="H4" s="6" t="str">
        <x:v>Explicit future work</x:v>
      </x:c>
      <x:c r="I4" s="6" t="str">
        <x:v>打算研究面向代码的摘要技术和聚类方法，以改进代码预处理，应对单个句子映射到大量代码文件的问题。</x:v>
      </x:c>
      <x:c r="J4" s="2" t="str">
        <x:v>S01-L02</x:v>
      </x:c>
      <x:c r="K4" s="2" t="str">
        <x:v>单个文档句子映射到大量代码文件导致检索性能下降。</x:v>
      </x:c>
      <x:c r="L4" s="2" t="str">
        <x:v>需要开发有效的摘要和聚类方法。</x:v>
      </x:c>
      <x:c r="M4" s="6" t="str">
        <x:v>NR</x:v>
      </x:c>
      <x:c r="N4" s="2" t="str">
        <x:v>Speculative</x:v>
      </x:c>
      <x:c r="O4" s="2" t="str">
        <x:v>code_preprocessing_improvement</x:v>
      </x:c>
      <x:c r="P4" s="2" t="str">
        <x:v>preprocessing</x:v>
      </x:c>
      <x:c r="Q4" s="2" t="str">
        <x:v>Context, retrieval, and model adaptation</x:v>
      </x:c>
      <x:c r="R4" s="6" t="str">
        <x:v>p. 11; Section V</x:v>
      </x:c>
      <x:c r="S4" s="6" t="str">
        <x:v>we intend to investigate summarization techniques and clustering methods for code preprocessing.</x:v>
      </x:c>
      <x:c r="T4" s="6" t="str">
        <x:v>为应对大规模代码文件映射问题，作者计划探索代码摘要和聚类预处理。</x:v>
      </x:c>
      <x:c r="U4" s="2" t="str">
        <x:v>Accepted</x:v>
      </x:c>
      <x:c r="V4" s="6" t="str">
        <x:v>NA</x:v>
      </x:c>
      <x:c r="W4" s="6" t="str">
        <x:v>Empirical limitation-grounded</x:v>
      </x:c>
    </x:row>
    <x:row r="5" ht="76" customHeight="1">
      <x:c r="A5" s="2" t="str">
        <x:v>S01-FUTURE-R04</x:v>
      </x:c>
      <x:c r="B5" s="2" t="str">
        <x:v>S01</x:v>
      </x:c>
      <x:c r="C5" s="2" t="str">
        <x:v>merged_0002</x:v>
      </x:c>
      <x:c r="D5" s="2" t="str">
        <x:v>Reviewer_A</x:v>
      </x:c>
      <x:c r="E5" s="2" t="str">
        <x:v>Reviewer_A</x:v>
      </x:c>
      <x:c r="F5" s="2" t="str">
        <x:v>S01-D04</x:v>
      </x:c>
      <x:c r="G5" s="6" t="str">
        <x:v>SR</x:v>
      </x:c>
      <x:c r="H5" s="6" t="str">
        <x:v>Explicit future work</x:v>
      </x:c>
      <x:c r="I5" s="6" t="str">
        <x:v>将在分类过程中利用 LLM 的推理，并计划在提示中融入项目特定或领域特定知识等额外上下文信息，以改进链接决策。</x:v>
      </x:c>
      <x:c r="J5" s="2" t="str">
        <x:v>S01-L01</x:v>
      </x:c>
      <x:c r="K5" s="2" t="str">
        <x:v>当前仅基于 LLM 分类结果的决策可能不充分，且提示缺乏上下文信息。</x:v>
      </x:c>
      <x:c r="L5" s="2" t="str">
        <x:v>需要整合推理过程和额外知识。</x:v>
      </x:c>
      <x:c r="M5" s="6" t="str">
        <x:v>NR</x:v>
      </x:c>
      <x:c r="N5" s="2" t="str">
        <x:v>Speculative</x:v>
      </x:c>
      <x:c r="O5" s="2" t="str">
        <x:v>reasoning_context_integration</x:v>
      </x:c>
      <x:c r="P5" s="2" t="str">
        <x:v>classification_improvement</x:v>
      </x:c>
      <x:c r="Q5" s="2" t="str">
        <x:v>Context, retrieval, and model adaptation</x:v>
      </x:c>
      <x:c r="R5" s="6" t="str">
        <x:v>p. 11; Section V</x:v>
      </x:c>
      <x:c r="S5" s="6" t="str">
        <x:v>we will explore incorporating the LLM’s reasoning into this decision-making process. We also plan to enhance prompts by integrating additional contextual information, such as project-specific or domain-specific knowledge.</x:v>
      </x:c>
      <x:c r="T5" s="6" t="str">
        <x:v>作者将从利用 LLM 推理和增加上下文两方面优化分类步骤。</x:v>
      </x:c>
      <x:c r="U5" s="2" t="str">
        <x:v>Accepted</x:v>
      </x:c>
      <x:c r="V5" s="6" t="str">
        <x:v>NA</x:v>
      </x:c>
      <x:c r="W5" s="6" t="str">
        <x:v>Reported limitation-grounded</x:v>
      </x:c>
    </x:row>
    <x:row r="6" ht="76" customHeight="1">
      <x:c r="A6" s="2" t="str">
        <x:v>S02-FUTURE-R01</x:v>
      </x:c>
      <x:c r="B6" s="2" t="str">
        <x:v>S02</x:v>
      </x:c>
      <x:c r="C6" s="2" t="str">
        <x:v>merged_0007</x:v>
      </x:c>
      <x:c r="D6" s="2" t="str">
        <x:v>Reviewer_A</x:v>
      </x:c>
      <x:c r="E6" s="2" t="str">
        <x:v>Reviewer_A</x:v>
      </x:c>
      <x:c r="F6" s="2" t="str">
        <x:v>S02-D01</x:v>
      </x:c>
      <x:c r="G6" s="6" t="str">
        <x:v>SR</x:v>
      </x:c>
      <x:c r="H6" s="6" t="str">
        <x:v>Explicit future work</x:v>
      </x:c>
      <x:c r="I6" s="6" t="str">
        <x:v>希望通过利用架构恢复技术推进基于代码的SAM提取；信息融合方法[69]尤其有前景。</x:v>
      </x:c>
      <x:c r="J6" s="2" t="str">
        <x:v>NR</x:v>
      </x:c>
      <x:c r="K6" s="2" t="str">
        <x:v>基于源码提取组件名称效果较差</x:v>
      </x:c>
      <x:c r="L6" s="2" t="str">
        <x:v>需结合架构恢复和信息融合方法</x:v>
      </x:c>
      <x:c r="M6" s="6" t="str">
        <x:v>No</x:v>
      </x:c>
      <x:c r="N6" s="2" t="str">
        <x:v>Speculative</x:v>
      </x:c>
      <x:c r="O6" s="2" t="str">
        <x:v>future-code-based-sam</x:v>
      </x:c>
      <x:c r="P6" s="2" t="str">
        <x:v>Future Work</x:v>
      </x:c>
      <x:c r="Q6" s="2" t="str">
        <x:v>Context, retrieval, and model adaptation</x:v>
      </x:c>
      <x:c r="R6" s="6" t="str">
        <x:v>p. 22; Section 6</x:v>
      </x:c>
      <x:c r="S6" s="6" t="str">
        <x:v>we want to advance code-based SAM extraction by leveraging architecture recovery techniques; information-fusion methods [69] appear particularly promising.</x:v>
      </x:c>
      <x:c r="T6" s="6" t="str">
        <x:v>未来将融合架构恢复技术改善基于代码的SAM生成。</x:v>
      </x:c>
      <x:c r="U6" s="2" t="str">
        <x:v>Accepted</x:v>
      </x:c>
      <x:c r="V6" s="6" t="str">
        <x:v>NA</x:v>
      </x:c>
      <x:c r="W6" s="6" t="str">
        <x:v>Agenda statement only</x:v>
      </x:c>
    </x:row>
    <x:row r="7" ht="76" customHeight="1">
      <x:c r="A7" s="2" t="str">
        <x:v>S02-FUTURE-R02</x:v>
      </x:c>
      <x:c r="B7" s="2" t="str">
        <x:v>S02</x:v>
      </x:c>
      <x:c r="C7" s="2" t="str">
        <x:v>merged_0007</x:v>
      </x:c>
      <x:c r="D7" s="2" t="str">
        <x:v>Reviewer_A</x:v>
      </x:c>
      <x:c r="E7" s="2" t="str">
        <x:v>Reviewer_A</x:v>
      </x:c>
      <x:c r="F7" s="2" t="str">
        <x:v>S02-D02</x:v>
      </x:c>
      <x:c r="G7" s="6" t="str">
        <x:v>SR</x:v>
      </x:c>
      <x:c r="H7" s="6" t="str">
        <x:v>Explicit future work</x:v>
      </x:c>
      <x:c r="I7" s="6" t="str">
        <x:v>希望用额外项目上下文（如ADRs、架构图和其他SAD章节）丰富提示。</x:v>
      </x:c>
      <x:c r="J7" s="2" t="str">
        <x:v>NR</x:v>
      </x:c>
      <x:c r="K7" s="2" t="str">
        <x:v>提示可能缺乏足够的项目上下文</x:v>
      </x:c>
      <x:c r="L7" s="2" t="str">
        <x:v>需获取适用的额外上下文</x:v>
      </x:c>
      <x:c r="M7" s="6" t="str">
        <x:v>No</x:v>
      </x:c>
      <x:c r="N7" s="2" t="str">
        <x:v>Speculative</x:v>
      </x:c>
      <x:c r="O7" s="2" t="str">
        <x:v>future-enrich-prompts</x:v>
      </x:c>
      <x:c r="P7" s="2" t="str">
        <x:v>Future Work</x:v>
      </x:c>
      <x:c r="Q7" s="2" t="str">
        <x:v>Context, retrieval, and model adaptation</x:v>
      </x:c>
      <x:c r="R7" s="6" t="str">
        <x:v>p. 22; Section 6</x:v>
      </x:c>
      <x:c r="S7" s="6" t="str">
        <x:v>We also want to enrich prompts with additional project context (e.g., ADRs, architecture diagrams, and other SAD sections).</x:v>
      </x:c>
      <x:c r="T7" s="6" t="str">
        <x:v>未来将通过增加项目上下文来改进提示。</x:v>
      </x:c>
      <x:c r="U7" s="2" t="str">
        <x:v>Accepted</x:v>
      </x:c>
      <x:c r="V7" s="6" t="str">
        <x:v>NA</x:v>
      </x:c>
      <x:c r="W7" s="6" t="str">
        <x:v>Agenda statement only</x:v>
      </x:c>
    </x:row>
    <x:row r="8" ht="76" customHeight="1">
      <x:c r="A8" s="2" t="str">
        <x:v>S02-FUTURE-R03</x:v>
      </x:c>
      <x:c r="B8" s="2" t="str">
        <x:v>S02</x:v>
      </x:c>
      <x:c r="C8" s="2" t="str">
        <x:v>merged_0007</x:v>
      </x:c>
      <x:c r="D8" s="2" t="str">
        <x:v>Reviewer_A</x:v>
      </x:c>
      <x:c r="E8" s="2" t="str">
        <x:v>Reviewer_A</x:v>
      </x:c>
      <x:c r="F8" s="2" t="str">
        <x:v>S02-D03</x:v>
      </x:c>
      <x:c r="G8" s="6" t="str">
        <x:v>SR</x:v>
      </x:c>
      <x:c r="H8" s="6" t="str">
        <x:v>Explicit future work</x:v>
      </x:c>
      <x:c r="I8" s="6" t="str">
        <x:v>为减少噪声，旨在分离生产代码和测试代码以派生组件名称，并优化预处理（如包选择和过滤）。</x:v>
      </x:c>
      <x:c r="J8" s="2" t="str">
        <x:v>NR</x:v>
      </x:c>
      <x:c r="K8" s="2" t="str">
        <x:v>源码提取中测试代码引入噪声</x:v>
      </x:c>
      <x:c r="L8" s="2" t="str">
        <x:v>需实现代码分类和预处理策略</x:v>
      </x:c>
      <x:c r="M8" s="6" t="str">
        <x:v>No</x:v>
      </x:c>
      <x:c r="N8" s="2" t="str">
        <x:v>Speculative</x:v>
      </x:c>
      <x:c r="O8" s="2" t="str">
        <x:v>future-separate-test-code</x:v>
      </x:c>
      <x:c r="P8" s="2" t="str">
        <x:v>Future Work</x:v>
      </x:c>
      <x:c r="Q8" s="2" t="str">
        <x:v>Context, retrieval, and model adaptation</x:v>
      </x:c>
      <x:c r="R8" s="6" t="str">
        <x:v>p. 22; Section 6</x:v>
      </x:c>
      <x:c r="S8" s="6" t="str">
        <x:v>To reduce noise, we aim to separate production and test code when deriving names, and refine pre-processing (e.g., package selection and filtering).</x:v>
      </x:c>
      <x:c r="T8" s="6" t="str">
        <x:v>未来将通过分离产测代码和优化预处理来减少噪声。</x:v>
      </x:c>
      <x:c r="U8" s="2" t="str">
        <x:v>Accepted</x:v>
      </x:c>
      <x:c r="V8" s="6" t="str">
        <x:v>NA</x:v>
      </x:c>
      <x:c r="W8" s="6" t="str">
        <x:v>Agenda statement only</x:v>
      </x:c>
    </x:row>
    <x:row r="9" ht="76" customHeight="1">
      <x:c r="A9" s="2" t="str">
        <x:v>S02-FUTURE-R04</x:v>
      </x:c>
      <x:c r="B9" s="2" t="str">
        <x:v>S02</x:v>
      </x:c>
      <x:c r="C9" s="2" t="str">
        <x:v>merged_0007</x:v>
      </x:c>
      <x:c r="D9" s="2" t="str">
        <x:v>Reviewer_A</x:v>
      </x:c>
      <x:c r="E9" s="2" t="str">
        <x:v>Reviewer_A</x:v>
      </x:c>
      <x:c r="F9" s="2" t="str">
        <x:v>S02-D04</x:v>
      </x:c>
      <x:c r="G9" s="6" t="str">
        <x:v>SR</x:v>
      </x:c>
      <x:c r="H9" s="6" t="str">
        <x:v>Explicit future work</x:v>
      </x:c>
      <x:c r="I9" s="6" t="str">
        <x:v>希望探索代码摘要以为LLM提供更多上下文，并研究具有集成思维链提示的模型（如OpenAI o1）。</x:v>
      </x:c>
      <x:c r="J9" s="2" t="str">
        <x:v>NR</x:v>
      </x:c>
      <x:c r="K9" s="2" t="str">
        <x:v>LLM对代码理解有限</x:v>
      </x:c>
      <x:c r="L9" s="2" t="str">
        <x:v>需使用代码摘要技术并尝试新型模型</x:v>
      </x:c>
      <x:c r="M9" s="6" t="str">
        <x:v>No</x:v>
      </x:c>
      <x:c r="N9" s="2" t="str">
        <x:v>Speculative</x:v>
      </x:c>
      <x:c r="O9" s="2" t="str">
        <x:v>future-code-summarization</x:v>
      </x:c>
      <x:c r="P9" s="2" t="str">
        <x:v>Future Work</x:v>
      </x:c>
      <x:c r="Q9" s="2" t="str">
        <x:v>Context, retrieval, and model adaptation</x:v>
      </x:c>
      <x:c r="R9" s="6" t="str">
        <x:v>p. 22; Section 6</x:v>
      </x:c>
      <x:c r="S9" s="6" t="str">
        <x:v>We want to explore code summarization to provide more context to LLMs and study models with integrated Chain-of-thought prompting (e.g., OpenAI o1).</x:v>
      </x:c>
      <x:c r="T9" s="6" t="str">
        <x:v>未来将尝试代码摘要和带思维链提示的模型。</x:v>
      </x:c>
      <x:c r="U9" s="2" t="str">
        <x:v>Accepted</x:v>
      </x:c>
      <x:c r="V9" s="6" t="str">
        <x:v>NA</x:v>
      </x:c>
      <x:c r="W9" s="6" t="str">
        <x:v>Agenda statement only</x:v>
      </x:c>
    </x:row>
    <x:row r="10" ht="76" customHeight="1">
      <x:c r="A10" s="2" t="str">
        <x:v>S02-FUTURE-R05</x:v>
      </x:c>
      <x:c r="B10" s="2" t="str">
        <x:v>S02</x:v>
      </x:c>
      <x:c r="C10" s="2" t="str">
        <x:v>merged_0007</x:v>
      </x:c>
      <x:c r="D10" s="2" t="str">
        <x:v>Reviewer_A</x:v>
      </x:c>
      <x:c r="E10" s="2" t="str">
        <x:v>Reviewer_A</x:v>
      </x:c>
      <x:c r="F10" s="2" t="str">
        <x:v>S02-D05</x:v>
      </x:c>
      <x:c r="G10" s="6" t="str">
        <x:v>SR</x:v>
      </x:c>
      <x:c r="H10" s="6" t="str">
        <x:v>Explicit future work</x:v>
      </x:c>
      <x:c r="I10" s="6" t="str">
        <x:v>打算评估按项目校准（如相似度阈值），并制定策略以提高链接较多项目的加权召回率。</x:v>
      </x:c>
      <x:c r="J10" s="2" t="str">
        <x:v>NR</x:v>
      </x:c>
      <x:c r="K10" s="2" t="str">
        <x:v>加权召回率在部分项目上较低</x:v>
      </x:c>
      <x:c r="L10" s="2" t="str">
        <x:v>需研究项目特定的阈值和策略</x:v>
      </x:c>
      <x:c r="M10" s="6" t="str">
        <x:v>No</x:v>
      </x:c>
      <x:c r="N10" s="2" t="str">
        <x:v>Speculative</x:v>
      </x:c>
      <x:c r="O10" s="2" t="str">
        <x:v>future-per-project-calibration</x:v>
      </x:c>
      <x:c r="P10" s="2" t="str">
        <x:v>Future Work</x:v>
      </x:c>
      <x:c r="Q10" s="2" t="str">
        <x:v>Reliability, explainability, and human oversight</x:v>
      </x:c>
      <x:c r="R10" s="6" t="str">
        <x:v>p. 22; Section 6</x:v>
      </x:c>
      <x:c r="S10" s="6" t="str">
        <x:v>Finally, we intend to assess per-project calibration (such as similarity thresholds) and devise strategies to improve weighted recall for projects with many links.</x:v>
      </x:c>
      <x:c r="T10" s="6" t="str">
        <x:v>未来将进行项目级校准以提升加权召回率。</x:v>
      </x:c>
      <x:c r="U10" s="2" t="str">
        <x:v>Accepted</x:v>
      </x:c>
      <x:c r="V10" s="6" t="str">
        <x:v>NA</x:v>
      </x:c>
      <x:c r="W10" s="6" t="str">
        <x:v>Agenda statement only</x:v>
      </x:c>
    </x:row>
    <x:row r="11" ht="76" customHeight="1">
      <x:c r="A11" s="2" t="str">
        <x:v>S03-FUTURE-R01</x:v>
      </x:c>
      <x:c r="B11" s="2" t="str">
        <x:v>S03</x:v>
      </x:c>
      <x:c r="C11" s="2" t="str">
        <x:v>merged_0014</x:v>
      </x:c>
      <x:c r="D11" s="2" t="str">
        <x:v>Reviewer_A</x:v>
      </x:c>
      <x:c r="E11" s="2" t="str">
        <x:v>Reviewer_A</x:v>
      </x:c>
      <x:c r="F11" s="2" t="str">
        <x:v>S03-D01</x:v>
      </x:c>
      <x:c r="G11" s="6" t="str">
        <x:v>SR</x:v>
      </x:c>
      <x:c r="H11" s="6" t="str">
        <x:v>Explicit future work</x:v>
      </x:c>
      <x:c r="I11" s="6" t="str">
        <x:v>创建不同规模、编程语言和领域的数据集，并附带专家标注的真实标签，用于评估方法。</x:v>
      </x:c>
      <x:c r="J11" s="2" t="str">
        <x:v>S03-L01</x:v>
      </x:c>
      <x:c r="K11" s="2" t="str">
        <x:v>数据集规模有限且缺乏多样性</x:v>
      </x:c>
      <x:c r="L11" s="2" t="str">
        <x:v>NR</x:v>
      </x:c>
      <x:c r="M11" s="6" t="str">
        <x:v>No</x:v>
      </x:c>
      <x:c r="N11" s="2" t="str">
        <x:v>Speculative</x:v>
      </x:c>
      <x:c r="O11" s="2" t="str">
        <x:v>diverse_datasets</x:v>
      </x:c>
      <x:c r="P11" s="2" t="str">
        <x:v>scalability_evaluation</x:v>
      </x:c>
      <x:c r="Q11" s="2" t="str">
        <x:v>Broader empirical validation</x:v>
      </x:c>
      <x:c r="R11" s="6" t="str">
        <x:v>p. 5; Section 6 Conclusion and future work</x:v>
      </x:c>
      <x:c r="S11" s="6" t="str">
        <x:v>For future work, we plan to create datasets of varying sizes, programming languages, and domains, along with corresponding ground truths curated by experts to evaluate our approach.</x:v>
      </x:c>
      <x:c r="T11" s="6" t="str">
        <x:v>计划构建更多样化的数据集以增强评估的泛化性。</x:v>
      </x:c>
      <x:c r="U11" s="2" t="str">
        <x:v>Accepted</x:v>
      </x:c>
      <x:c r="V11" s="6" t="str">
        <x:v>NA</x:v>
      </x:c>
      <x:c r="W11" s="6" t="str">
        <x:v>Empirical limitation-grounded</x:v>
      </x:c>
    </x:row>
    <x:row r="12" ht="76" customHeight="1">
      <x:c r="A12" s="2" t="str">
        <x:v>S03-FUTURE-R02</x:v>
      </x:c>
      <x:c r="B12" s="2" t="str">
        <x:v>S03</x:v>
      </x:c>
      <x:c r="C12" s="2" t="str">
        <x:v>merged_0014</x:v>
      </x:c>
      <x:c r="D12" s="2" t="str">
        <x:v>Reviewer_A</x:v>
      </x:c>
      <x:c r="E12" s="2" t="str">
        <x:v>Reviewer_A</x:v>
      </x:c>
      <x:c r="F12" s="2" t="str">
        <x:v>S03-D02</x:v>
      </x:c>
      <x:c r="G12" s="6" t="str">
        <x:v>SR</x:v>
      </x:c>
      <x:c r="H12" s="6" t="str">
        <x:v>Explicit future work</x:v>
      </x:c>
      <x:c r="I12" s="6" t="str">
        <x:v>扩展评估到多种大语言模型和小语言模型。</x:v>
      </x:c>
      <x:c r="J12" s="2" t="str">
        <x:v>S03-L03</x:v>
      </x:c>
      <x:c r="K12" s="2" t="str">
        <x:v>仅评估了单一大语言模型和单一嵌入模型，泛化性受限</x:v>
      </x:c>
      <x:c r="L12" s="2" t="str">
        <x:v>NR</x:v>
      </x:c>
      <x:c r="M12" s="6" t="str">
        <x:v>No</x:v>
      </x:c>
      <x:c r="N12" s="2" t="str">
        <x:v>Speculative</x:v>
      </x:c>
      <x:c r="O12" s="2" t="str">
        <x:v>multi_model_evaluation</x:v>
      </x:c>
      <x:c r="P12" s="2" t="str">
        <x:v>model_comparison</x:v>
      </x:c>
      <x:c r="Q12" s="2" t="str">
        <x:v>Broader empirical validation</x:v>
      </x:c>
      <x:c r="R12" s="6" t="str">
        <x:v>p. 5; Section 6 Conclusion and future work</x:v>
      </x:c>
      <x:c r="S12" s="6" t="str">
        <x:v>We plan to extend our evaluation to various large and small language models.</x:v>
      </x:c>
      <x:c r="T12" s="6" t="str">
        <x:v>计划使用多种语言模型进行对比评估。</x:v>
      </x:c>
      <x:c r="U12" s="2" t="str">
        <x:v>Accepted</x:v>
      </x:c>
      <x:c r="V12" s="6" t="str">
        <x:v>NA</x:v>
      </x:c>
      <x:c r="W12" s="6" t="str">
        <x:v>Empirical limitation-grounded</x:v>
      </x:c>
    </x:row>
    <x:row r="13" ht="76" customHeight="1">
      <x:c r="A13" s="2" t="str">
        <x:v>S03-FUTURE-R03</x:v>
      </x:c>
      <x:c r="B13" s="2" t="str">
        <x:v>S03</x:v>
      </x:c>
      <x:c r="C13" s="2" t="str">
        <x:v>merged_0014</x:v>
      </x:c>
      <x:c r="D13" s="2" t="str">
        <x:v>Reviewer_A</x:v>
      </x:c>
      <x:c r="E13" s="2" t="str">
        <x:v>Reviewer_A</x:v>
      </x:c>
      <x:c r="F13" s="2" t="str">
        <x:v>S03-D03</x:v>
      </x:c>
      <x:c r="G13" s="6" t="str">
        <x:v>SR</x:v>
      </x:c>
      <x:c r="H13" s="6" t="str">
        <x:v>Explicit future work</x:v>
      </x:c>
      <x:c r="I13" s="6" t="str">
        <x:v>将方法从类级别扩展到方法级别的粒度。</x:v>
      </x:c>
      <x:c r="J13" s="2" t="str">
        <x:v>NR</x:v>
      </x:c>
      <x:c r="K13" s="2" t="str">
        <x:v>当前方法仅在应用代码的类级别工作，细粒度匹配可能受限</x:v>
      </x:c>
      <x:c r="L13" s="2" t="str">
        <x:v>NR</x:v>
      </x:c>
      <x:c r="M13" s="6" t="str">
        <x:v>No</x:v>
      </x:c>
      <x:c r="N13" s="2" t="str">
        <x:v>Speculative</x:v>
      </x:c>
      <x:c r="O13" s="2" t="str">
        <x:v>method_level_granularity</x:v>
      </x:c>
      <x:c r="P13" s="2" t="str">
        <x:v>granularity_extension</x:v>
      </x:c>
      <x:c r="Q13" s="2" t="str">
        <x:v>Broader empirical validation</x:v>
      </x:c>
      <x:c r="R13" s="6" t="str">
        <x:v>p. 5; Section 6 Conclusion and future work</x:v>
      </x:c>
      <x:c r="S13" s="6" t="str">
        <x:v>Currently, our approach works at class-level granularity on the application side. We plan to extend it to the method-level granularity.</x:v>
      </x:c>
      <x:c r="T13" s="6" t="str">
        <x:v>计划将匹配粒度从类级别细化到方法级别。</x:v>
      </x:c>
      <x:c r="U13" s="2" t="str">
        <x:v>Accepted</x:v>
      </x:c>
      <x:c r="V13" s="6" t="str">
        <x:v>NA</x:v>
      </x:c>
      <x:c r="W13" s="6" t="str">
        <x:v>Agenda statement only</x:v>
      </x:c>
    </x:row>
    <x:row r="14" ht="76" customHeight="1">
      <x:c r="A14" s="2" t="str">
        <x:v>S04-FUTURE-R01</x:v>
      </x:c>
      <x:c r="B14" s="2" t="str">
        <x:v>S04</x:v>
      </x:c>
      <x:c r="C14" s="2" t="str">
        <x:v>merged_0075</x:v>
      </x:c>
      <x:c r="D14" s="2" t="str">
        <x:v>Reviewer_A</x:v>
      </x:c>
      <x:c r="E14" s="2" t="str">
        <x:v>Reviewer_A</x:v>
      </x:c>
      <x:c r="F14" s="2" t="str">
        <x:v>S04-D01</x:v>
      </x:c>
      <x:c r="G14" s="6" t="str">
        <x:v>SR</x:v>
      </x:c>
      <x:c r="H14" s="6" t="str">
        <x:v>Explicit future work</x:v>
      </x:c>
      <x:c r="I14" s="6" t="str">
        <x:v>通过在提示中开发特定的约束来处理每种类型的GRL构件（目标、软目标、任务），考虑其性质及链接方式。</x:v>
      </x:c>
      <x:c r="J14" s="2" t="str">
        <x:v>S04-L01</x:v>
      </x:c>
      <x:c r="K14" s="2" t="str">
        <x:v>处理不同类型的GRL构件</x:v>
      </x:c>
      <x:c r="L14" s="2" t="str">
        <x:v>在提示中开发特定的约束</x:v>
      </x:c>
      <x:c r="M14" s="6" t="str">
        <x:v>NR</x:v>
      </x:c>
      <x:c r="N14" s="2" t="str">
        <x:v>Speculative</x:v>
      </x:c>
      <x:c r="O14" s="2" t="str">
        <x:v>prompt refinement</x:v>
      </x:c>
      <x:c r="P14" s="2" t="str">
        <x:v>method improvement</x:v>
      </x:c>
      <x:c r="Q14" s="2" t="str">
        <x:v>Context, retrieval, and model adaptation</x:v>
      </x:c>
      <x:c r="R14" s="6" t="str">
        <x:v>p. 7; Section 7 Conclusions and Future Work</x:v>
      </x:c>
      <x:c r="S14" s="6" t="str">
        <x:v>As future work, we plan to refine our approach by developing specific constraints within the prompt to handle each type of GRL construct (i.e., goals, softgoals, tasks), considering their nature and how they are linked (through decompositions, dependencies and contribution links) to each other.</x:v>
      </x:c>
      <x:c r="T14" s="6" t="str">
        <x:v>作者计划通过在提示中加入区分不同GRL构件的约束来细化方法。</x:v>
      </x:c>
      <x:c r="U14" s="2" t="str">
        <x:v>Accepted</x:v>
      </x:c>
      <x:c r="V14" s="6" t="str">
        <x:v>NA</x:v>
      </x:c>
      <x:c r="W14" s="6" t="str">
        <x:v>Reported limitation-grounded</x:v>
      </x:c>
    </x:row>
    <x:row r="15" ht="76" customHeight="1">
      <x:c r="A15" s="2" t="str">
        <x:v>S04-FUTURE-R02</x:v>
      </x:c>
      <x:c r="B15" s="2" t="str">
        <x:v>S04</x:v>
      </x:c>
      <x:c r="C15" s="2" t="str">
        <x:v>merged_0075</x:v>
      </x:c>
      <x:c r="D15" s="2" t="str">
        <x:v>Reviewer_A</x:v>
      </x:c>
      <x:c r="E15" s="2" t="str">
        <x:v>Reviewer_A</x:v>
      </x:c>
      <x:c r="F15" s="2" t="str">
        <x:v>S04-D02</x:v>
      </x:c>
      <x:c r="G15" s="6" t="str">
        <x:v>SR</x:v>
      </x:c>
      <x:c r="H15" s="6" t="str">
        <x:v>Explicit recommendation</x:v>
      </x:c>
      <x:c r="I15" s="6" t="str">
        <x:v>采用少样本学习方法可能获得更优的结果。</x:v>
      </x:c>
      <x:c r="J15" s="2" t="str">
        <x:v>S04-L03</x:v>
      </x:c>
      <x:c r="K15" s="2" t="str">
        <x:v>提示词质量和模型性能</x:v>
      </x:c>
      <x:c r="L15" s="2" t="str">
        <x:v>采用少样本学习方法</x:v>
      </x:c>
      <x:c r="M15" s="6" t="str">
        <x:v>No</x:v>
      </x:c>
      <x:c r="N15" s="2" t="str">
        <x:v>Speculative</x:v>
      </x:c>
      <x:c r="O15" s="2" t="str">
        <x:v>few-shot learning</x:v>
      </x:c>
      <x:c r="P15" s="2" t="str">
        <x:v>method improvement</x:v>
      </x:c>
      <x:c r="Q15" s="2" t="str">
        <x:v>Context, retrieval, and model adaptation</x:v>
      </x:c>
      <x:c r="R15" s="6" t="str">
        <x:v>p. 7; Section 6, internal validity</x:v>
      </x:c>
      <x:c r="S15" s="6" t="str">
        <x:v>further refinement of the prompt and adoption of a few-shot learning approach could potentially yield superior results.</x:v>
      </x:c>
      <x:c r="T15" s="6" t="str">
        <x:v>作者建议通过少样本学习可能获得更好的结果。</x:v>
      </x:c>
      <x:c r="U15" s="2" t="str">
        <x:v>Accepted</x:v>
      </x:c>
      <x:c r="V15" s="6" t="str">
        <x:v>NA</x:v>
      </x:c>
      <x:c r="W15" s="6" t="str">
        <x:v>Empirical limitation-grounded</x:v>
      </x:c>
    </x:row>
    <x:row r="16" ht="76" customHeight="1">
      <x:c r="A16" s="2" t="str">
        <x:v>S04-FUTURE-R03</x:v>
      </x:c>
      <x:c r="B16" s="2" t="str">
        <x:v>S04</x:v>
      </x:c>
      <x:c r="C16" s="2" t="str">
        <x:v>merged_0075</x:v>
      </x:c>
      <x:c r="D16" s="2" t="str">
        <x:v>Reviewer_A</x:v>
      </x:c>
      <x:c r="E16" s="2" t="str">
        <x:v>Reviewer_A</x:v>
      </x:c>
      <x:c r="F16" s="2" t="str">
        <x:v>S04-D03</x:v>
      </x:c>
      <x:c r="G16" s="6" t="str">
        <x:v>SR</x:v>
      </x:c>
      <x:c r="H16" s="6" t="str">
        <x:v>Explicit research gap</x:v>
      </x:c>
      <x:c r="I16" s="6" t="str">
        <x:v>需要更多的实例和真实世界案例研究来推广方法的适用性。</x:v>
      </x:c>
      <x:c r="J16" s="2" t="str">
        <x:v>S04-L04</x:v>
      </x:c>
      <x:c r="K16" s="2" t="str">
        <x:v>案例多样性</x:v>
      </x:c>
      <x:c r="L16" s="2" t="str">
        <x:v>使用更多真实案例</x:v>
      </x:c>
      <x:c r="M16" s="6" t="str">
        <x:v>No</x:v>
      </x:c>
      <x:c r="N16" s="2" t="str">
        <x:v>Speculative</x:v>
      </x:c>
      <x:c r="O16" s="2" t="str">
        <x:v>case studies</x:v>
      </x:c>
      <x:c r="P16" s="2" t="str">
        <x:v>evaluation extension</x:v>
      </x:c>
      <x:c r="Q16" s="2" t="str">
        <x:v>Broader empirical validation</x:v>
      </x:c>
      <x:c r="R16" s="6" t="str">
        <x:v>p. 7; Section 6, external validity</x:v>
      </x:c>
      <x:c r="S16" s="6" t="str">
        <x:v>further examples and real-world case studies are necessary to generalize the approach's applicability.</x:v>
      </x:c>
      <x:c r="T16" s="6" t="str">
        <x:v>作者指出需要更多真实案例来增强方法的通用性。</x:v>
      </x:c>
      <x:c r="U16" s="2" t="str">
        <x:v>Accepted</x:v>
      </x:c>
      <x:c r="V16" s="6" t="str">
        <x:v>NA</x:v>
      </x:c>
      <x:c r="W16" s="6" t="str">
        <x:v>Empirical limitation-grounded</x:v>
      </x:c>
    </x:row>
    <x:row r="17" ht="76" customHeight="1">
      <x:c r="A17" s="2" t="str">
        <x:v>S04-FUTURE-R04</x:v>
      </x:c>
      <x:c r="B17" s="2" t="str">
        <x:v>S04</x:v>
      </x:c>
      <x:c r="C17" s="2" t="str">
        <x:v>merged_0075</x:v>
      </x:c>
      <x:c r="D17" s="2" t="str">
        <x:v>Reviewer_A</x:v>
      </x:c>
      <x:c r="E17" s="2" t="str">
        <x:v>Reviewer_A</x:v>
      </x:c>
      <x:c r="F17" s="2" t="str">
        <x:v>S04-D04</x:v>
      </x:c>
      <x:c r="G17" s="6" t="str">
        <x:v>SR</x:v>
      </x:c>
      <x:c r="H17" s="6" t="str">
        <x:v>Explicit recommendation</x:v>
      </x:c>
      <x:c r="I17" s="6" t="str">
        <x:v>使用敏捷用户故事进行实验将进一步提升方法的普适性。</x:v>
      </x:c>
      <x:c r="J17" s="2" t="str">
        <x:v>S04-L06</x:v>
      </x:c>
      <x:c r="K17" s="2" t="str">
        <x:v>测试敏捷用户故事</x:v>
      </x:c>
      <x:c r="L17" s="2" t="str">
        <x:v>进行敏捷用户故事实验</x:v>
      </x:c>
      <x:c r="M17" s="6" t="str">
        <x:v>No</x:v>
      </x:c>
      <x:c r="N17" s="2" t="str">
        <x:v>Speculative</x:v>
      </x:c>
      <x:c r="O17" s="2" t="str">
        <x:v>user stories</x:v>
      </x:c>
      <x:c r="P17" s="2" t="str">
        <x:v>evaluation extension</x:v>
      </x:c>
      <x:c r="Q17" s="2" t="str">
        <x:v>Broader empirical validation</x:v>
      </x:c>
      <x:c r="R17" s="6" t="str">
        <x:v>p. 7; Section 6, external validity</x:v>
      </x:c>
      <x:c r="S17" s="6" t="str">
        <x:v>conducting experiments with agile user stories will further enhance the generalizability of our approach.</x:v>
      </x:c>
      <x:c r="T17" s="6" t="str">
        <x:v>作者建议进行敏捷用户故事实验以提升方法的普适性。</x:v>
      </x:c>
      <x:c r="U17" s="2" t="str">
        <x:v>Accepted</x:v>
      </x:c>
      <x:c r="V17" s="6" t="str">
        <x:v>NA</x:v>
      </x:c>
      <x:c r="W17" s="6" t="str">
        <x:v>Empirical limitation-grounded</x:v>
      </x:c>
    </x:row>
    <x:row r="18" ht="76" customHeight="1">
      <x:c r="A18" s="2" t="str">
        <x:v>S04-FUTURE-R05</x:v>
      </x:c>
      <x:c r="B18" s="2" t="str">
        <x:v>S04</x:v>
      </x:c>
      <x:c r="C18" s="2" t="str">
        <x:v>merged_0075</x:v>
      </x:c>
      <x:c r="D18" s="2" t="str">
        <x:v>Reviewer_A</x:v>
      </x:c>
      <x:c r="E18" s="2" t="str">
        <x:v>Reviewer_A</x:v>
      </x:c>
      <x:c r="F18" s="2" t="str">
        <x:v>S04-D05</x:v>
      </x:c>
      <x:c r="G18" s="6" t="str">
        <x:v>SR</x:v>
      </x:c>
      <x:c r="H18" s="6" t="str">
        <x:v>Explicit research gap</x:v>
      </x:c>
      <x:c r="I18" s="6" t="str">
        <x:v>需要更大的GRL模型和更广泛的需求集来提高通用性。</x:v>
      </x:c>
      <x:c r="J18" s="2" t="str">
        <x:v>S04-L08</x:v>
      </x:c>
      <x:c r="K18" s="2" t="str">
        <x:v>扩大评估规模</x:v>
      </x:c>
      <x:c r="L18" s="2" t="str">
        <x:v>使用更大规模的GRL模型和需求集</x:v>
      </x:c>
      <x:c r="M18" s="6" t="str">
        <x:v>No</x:v>
      </x:c>
      <x:c r="N18" s="2" t="str">
        <x:v>Speculative</x:v>
      </x:c>
      <x:c r="O18" s="2" t="str">
        <x:v>scale</x:v>
      </x:c>
      <x:c r="P18" s="2" t="str">
        <x:v>evaluation extension</x:v>
      </x:c>
      <x:c r="Q18" s="2" t="str">
        <x:v>Broader empirical validation</x:v>
      </x:c>
      <x:c r="R18" s="6" t="str">
        <x:v>p. 7; Section 6, external validity</x:v>
      </x:c>
      <x:c r="S18" s="6" t="str">
        <x:v>larger GRL models and more extensive sets of requirements are imperative for improving generalizability.</x:v>
      </x:c>
      <x:c r="T18" s="6" t="str">
        <x:v>作者强调需要更大规模的模型和需求来提高通用性。</x:v>
      </x:c>
      <x:c r="U18" s="2" t="str">
        <x:v>Accepted</x:v>
      </x:c>
      <x:c r="V18" s="6" t="str">
        <x:v>NA</x:v>
      </x:c>
      <x:c r="W18" s="6" t="str">
        <x:v>Empirical limitation-grounded</x:v>
      </x:c>
    </x:row>
    <x:row r="19" ht="76" customHeight="1">
      <x:c r="A19" s="2" t="str">
        <x:v>S04-FUTURE-R06</x:v>
      </x:c>
      <x:c r="B19" s="2" t="str">
        <x:v>S04</x:v>
      </x:c>
      <x:c r="C19" s="2" t="str">
        <x:v>merged_0075</x:v>
      </x:c>
      <x:c r="D19" s="2" t="str">
        <x:v>Reviewer_A</x:v>
      </x:c>
      <x:c r="E19" s="2" t="str">
        <x:v>Reviewer_A</x:v>
      </x:c>
      <x:c r="F19" s="2" t="str">
        <x:v>S04-D06</x:v>
      </x:c>
      <x:c r="G19" s="6" t="str">
        <x:v>SR</x:v>
      </x:c>
      <x:c r="H19" s="6" t="str">
        <x:v>Explicit recommendation</x:v>
      </x:c>
      <x:c r="I19" s="6" t="str">
        <x:v>探索替代的LLM版本和模型以减轻局限性。</x:v>
      </x:c>
      <x:c r="J19" s="2" t="str">
        <x:v>S04-L09</x:v>
      </x:c>
      <x:c r="K19" s="2" t="str">
        <x:v>评估其他LLM</x:v>
      </x:c>
      <x:c r="L19" s="2" t="str">
        <x:v>探索替代的LLM版本和模型</x:v>
      </x:c>
      <x:c r="M19" s="6" t="str">
        <x:v>No</x:v>
      </x:c>
      <x:c r="N19" s="2" t="str">
        <x:v>Speculative</x:v>
      </x:c>
      <x:c r="O19" s="2" t="str">
        <x:v>model comparison</x:v>
      </x:c>
      <x:c r="P19" s="2" t="str">
        <x:v>evaluation extension</x:v>
      </x:c>
      <x:c r="Q19" s="2" t="str">
        <x:v>Broader empirical validation</x:v>
      </x:c>
      <x:c r="R19" s="6" t="str">
        <x:v>p. 7; Section 6, external validity</x:v>
      </x:c>
      <x:c r="S19" s="6" t="str">
        <x:v>Exploring alternative LLM versions and models is imperative to mitigate this limitation.</x:v>
      </x:c>
      <x:c r="T19" s="6" t="str">
        <x:v>作者强烈建议探索其他LLM以减轻单一模型依赖的限制。</x:v>
      </x:c>
      <x:c r="U19" s="2" t="str">
        <x:v>Accepted</x:v>
      </x:c>
      <x:c r="V19" s="6" t="str">
        <x:v>NA</x:v>
      </x:c>
      <x:c r="W19" s="6" t="str">
        <x:v>Empirical limitation-grounded</x:v>
      </x:c>
    </x:row>
    <x:row r="20" ht="76" customHeight="1">
      <x:c r="A20" s="2" t="str">
        <x:v>S05-FUTURE-R01</x:v>
      </x:c>
      <x:c r="B20" s="2" t="str">
        <x:v>S05</x:v>
      </x:c>
      <x:c r="C20" s="2" t="str">
        <x:v>merged_0077</x:v>
      </x:c>
      <x:c r="D20" s="2" t="str">
        <x:v>Reviewer_A</x:v>
      </x:c>
      <x:c r="E20" s="2" t="str">
        <x:v>Reviewer_A</x:v>
      </x:c>
      <x:c r="F20" s="2" t="str">
        <x:v>S05-D01</x:v>
      </x:c>
      <x:c r="G20" s="6" t="str">
        <x:v>SR</x:v>
      </x:c>
      <x:c r="H20" s="6" t="str">
        <x:v>Explicit recommendation</x:v>
      </x:c>
      <x:c r="I20" s="6" t="str">
        <x:v>训练模型明确识别何时不应建立连接。</x:v>
      </x:c>
      <x:c r="J20" s="2" t="str">
        <x:v>S05-L11</x:v>
      </x:c>
      <x:c r="K20" s="2" t="str">
        <x:v>LLM倾向于基于命名假设等产生误报。</x:v>
      </x:c>
      <x:c r="L20" s="2" t="str">
        <x:v>需要训练数据中包含负样本或明确的不连接信号。</x:v>
      </x:c>
      <x:c r="M20" s="6" t="str">
        <x:v>No</x:v>
      </x:c>
      <x:c r="N20" s="2" t="str">
        <x:v>Speculative</x:v>
      </x:c>
      <x:c r="O20" s="2" t="str">
        <x:v>train_to_recognize_non_connections</x:v>
      </x:c>
      <x:c r="P20" s="2" t="str">
        <x:v>AI/LLM research and development</x:v>
      </x:c>
      <x:c r="Q20" s="2" t="str">
        <x:v>Context, retrieval, and model adaptation</x:v>
      </x:c>
      <x:c r="R20" s="6" t="str">
        <x:v>p. 29; Section 8.3 AI/LLM Research &amp; Development</x:v>
      </x:c>
      <x:c r="S20" s="6" t="str">
        <x:v>Researchers could address these issues by training models to explicitly recognize when not to make connections</x:v>
      </x:c>
      <x:c r="T20" s="6" t="str">
        <x:v>建议通过针对性训练让LLM学会抑制不正确的链接。</x:v>
      </x:c>
      <x:c r="U20" s="2" t="str">
        <x:v>Accepted</x:v>
      </x:c>
      <x:c r="V20" s="6" t="str">
        <x:v>NA</x:v>
      </x:c>
      <x:c r="W20" s="6" t="str">
        <x:v>Empirical limitation-grounded</x:v>
      </x:c>
    </x:row>
    <x:row r="21" ht="76" customHeight="1">
      <x:c r="A21" s="2" t="str">
        <x:v>S05-FUTURE-R02</x:v>
      </x:c>
      <x:c r="B21" s="2" t="str">
        <x:v>S05</x:v>
      </x:c>
      <x:c r="C21" s="2" t="str">
        <x:v>merged_0077</x:v>
      </x:c>
      <x:c r="D21" s="2" t="str">
        <x:v>Reviewer_A</x:v>
      </x:c>
      <x:c r="E21" s="2" t="str">
        <x:v>Reviewer_A</x:v>
      </x:c>
      <x:c r="F21" s="2" t="str">
        <x:v>S05-D02</x:v>
      </x:c>
      <x:c r="G21" s="6" t="str">
        <x:v>SR</x:v>
      </x:c>
      <x:c r="H21" s="6" t="str">
        <x:v>Explicit recommendation</x:v>
      </x:c>
      <x:c r="I21" s="6" t="str">
        <x:v>开发能更好分离通用知识与特定上下文信息的模型架构。</x:v>
      </x:c>
      <x:c r="J21" s="2" t="str">
        <x:v>S05-L11</x:v>
      </x:c>
      <x:c r="K21" s="2" t="str">
        <x:v>LLM的预训练知识干扰对特定代码库的分析。</x:v>
      </x:c>
      <x:c r="L21" s="2" t="str">
        <x:v>可能需要架构创新或微调方法。</x:v>
      </x:c>
      <x:c r="M21" s="6" t="str">
        <x:v>No</x:v>
      </x:c>
      <x:c r="N21" s="2" t="str">
        <x:v>Speculative</x:v>
      </x:c>
      <x:c r="O21" s="2" t="str">
        <x:v>architecture_separate_knowledge</x:v>
      </x:c>
      <x:c r="P21" s="2" t="str">
        <x:v>AI/LLM research and development</x:v>
      </x:c>
      <x:c r="Q21" s="2" t="str">
        <x:v>Context, retrieval, and model adaptation</x:v>
      </x:c>
      <x:c r="R21" s="6" t="str">
        <x:v>p. 29; Section 8.3 AI/LLM Research &amp; Development</x:v>
      </x:c>
      <x:c r="S21" s="6" t="str">
        <x:v>developing architectures that better separate general knowledge from context-specific information</x:v>
      </x:c>
      <x:c r="T21" s="6" t="str">
        <x:v>提出从模型架构层面解决通用知识与项目特定上下文混淆的问题。</x:v>
      </x:c>
      <x:c r="U21" s="2" t="str">
        <x:v>Accepted</x:v>
      </x:c>
      <x:c r="V21" s="6" t="str">
        <x:v>NA</x:v>
      </x:c>
      <x:c r="W21" s="6" t="str">
        <x:v>Empirical limitation-grounded</x:v>
      </x:c>
    </x:row>
    <x:row r="22" ht="76" customHeight="1">
      <x:c r="A22" s="2" t="str">
        <x:v>S05-FUTURE-R03</x:v>
      </x:c>
      <x:c r="B22" s="2" t="str">
        <x:v>S05</x:v>
      </x:c>
      <x:c r="C22" s="2" t="str">
        <x:v>merged_0077</x:v>
      </x:c>
      <x:c r="D22" s="2" t="str">
        <x:v>Reviewer_A</x:v>
      </x:c>
      <x:c r="E22" s="2" t="str">
        <x:v>Reviewer_A</x:v>
      </x:c>
      <x:c r="F22" s="2" t="str">
        <x:v>S05-D03</x:v>
      </x:c>
      <x:c r="G22" s="6" t="str">
        <x:v>SR</x:v>
      </x:c>
      <x:c r="H22" s="6" t="str">
        <x:v>Explicit recommendation</x:v>
      </x:c>
      <x:c r="I22" s="6" t="str">
        <x:v>创建明确指示模型避免假设的提示技术。</x:v>
      </x:c>
      <x:c r="J22" s="2" t="str">
        <x:v>S05-L11</x:v>
      </x:c>
      <x:c r="K22" s="2" t="str">
        <x:v>LLM在提示中仍然倾向于过度推断。</x:v>
      </x:c>
      <x:c r="L22" s="2" t="str">
        <x:v>可设计专门的提示模板或约束机制。</x:v>
      </x:c>
      <x:c r="M22" s="6" t="str">
        <x:v>No</x:v>
      </x:c>
      <x:c r="N22" s="2" t="str">
        <x:v>Speculative</x:v>
      </x:c>
      <x:c r="O22" s="2" t="str">
        <x:v>prompt_technique_avoid_assumptions</x:v>
      </x:c>
      <x:c r="P22" s="2" t="str">
        <x:v>AI/LLM research and development</x:v>
      </x:c>
      <x:c r="Q22" s="2" t="str">
        <x:v>Context, retrieval, and model adaptation</x:v>
      </x:c>
      <x:c r="R22" s="6" t="str">
        <x:v>p. 29; Section 8.3 AI/LLM Research &amp; Development</x:v>
      </x:c>
      <x:c r="S22" s="6" t="str">
        <x:v>creating prompting techniques that explicitly tell models to avoid assumptions.</x:v>
      </x:c>
      <x:c r="T22" s="6" t="str">
        <x:v>通过改进提示策略来减少LLM的无根据假设。</x:v>
      </x:c>
      <x:c r="U22" s="2" t="str">
        <x:v>Accepted</x:v>
      </x:c>
      <x:c r="V22" s="6" t="str">
        <x:v>NA</x:v>
      </x:c>
      <x:c r="W22" s="6" t="str">
        <x:v>Empirical limitation-grounded</x:v>
      </x:c>
    </x:row>
    <x:row r="23" ht="76" customHeight="1">
      <x:c r="A23" s="2" t="str">
        <x:v>S05-FUTURE-R04</x:v>
      </x:c>
      <x:c r="B23" s="2" t="str">
        <x:v>S05</x:v>
      </x:c>
      <x:c r="C23" s="2" t="str">
        <x:v>merged_0077</x:v>
      </x:c>
      <x:c r="D23" s="2" t="str">
        <x:v>Reviewer_A</x:v>
      </x:c>
      <x:c r="E23" s="2" t="str">
        <x:v>Reviewer_A</x:v>
      </x:c>
      <x:c r="F23" s="2" t="str">
        <x:v>S05-D04</x:v>
      </x:c>
      <x:c r="G23" s="6" t="str">
        <x:v>SR</x:v>
      </x:c>
      <x:c r="H23" s="6" t="str">
        <x:v>Explicit future work</x:v>
      </x:c>
      <x:c r="I23" s="6" t="str">
        <x:v>在更大规模的代码库上测试该方法。</x:v>
      </x:c>
      <x:c r="J23" s="2" t="str">
        <x:v>S05-L05</x:v>
      </x:c>
      <x:c r="K23" s="2" t="str">
        <x:v>当前研究仅限于两个小型项目。</x:v>
      </x:c>
      <x:c r="L23" s="2" t="str">
        <x:v>需要获取或构建更大规模的标注数据集。</x:v>
      </x:c>
      <x:c r="M23" s="6" t="str">
        <x:v>No</x:v>
      </x:c>
      <x:c r="N23" s="2" t="str">
        <x:v>Speculative</x:v>
      </x:c>
      <x:c r="O23" s="2" t="str">
        <x:v>test_on_larger_codebases</x:v>
      </x:c>
      <x:c r="P23" s="2" t="str">
        <x:v>Generalization and scalability</x:v>
      </x:c>
      <x:c r="Q23" s="2" t="str">
        <x:v>Broader empirical validation</x:v>
      </x:c>
      <x:c r="R23" s="6" t="str">
        <x:v>p. 30; Section 8.3 AI/LLM Research &amp; Development</x:v>
      </x:c>
      <x:c r="S23" s="6" t="str">
        <x:v>Future work can extend this approach by testing on larger codebases</x:v>
      </x:c>
      <x:c r="T23" s="6" t="str">
        <x:v>建议未来在更大的项目上验证方法的可扩展性。</x:v>
      </x:c>
      <x:c r="U23" s="2" t="str">
        <x:v>Accepted</x:v>
      </x:c>
      <x:c r="V23" s="6" t="str">
        <x:v>NA</x:v>
      </x:c>
      <x:c r="W23" s="6" t="str">
        <x:v>Reported limitation-grounded</x:v>
      </x:c>
    </x:row>
    <x:row r="24" ht="76" customHeight="1">
      <x:c r="A24" s="2" t="str">
        <x:v>S05-FUTURE-R05</x:v>
      </x:c>
      <x:c r="B24" s="2" t="str">
        <x:v>S05</x:v>
      </x:c>
      <x:c r="C24" s="2" t="str">
        <x:v>merged_0077</x:v>
      </x:c>
      <x:c r="D24" s="2" t="str">
        <x:v>Reviewer_A</x:v>
      </x:c>
      <x:c r="E24" s="2" t="str">
        <x:v>Reviewer_A</x:v>
      </x:c>
      <x:c r="F24" s="2" t="str">
        <x:v>S05-D05</x:v>
      </x:c>
      <x:c r="G24" s="6" t="str">
        <x:v>SR</x:v>
      </x:c>
      <x:c r="H24" s="6" t="str">
        <x:v>Explicit future work</x:v>
      </x:c>
      <x:c r="I24" s="6" t="str">
        <x:v>探索专门训练是否能提高性能。</x:v>
      </x:c>
      <x:c r="J24" s="2" t="str">
        <x:v>NR</x:v>
      </x:c>
      <x:c r="K24" s="2" t="str">
        <x:v>通用LLM在特定追溯任务上可能未达到最优。</x:v>
      </x:c>
      <x:c r="L24" s="2" t="str">
        <x:v>需要领域特定的训练数据和微调流程。</x:v>
      </x:c>
      <x:c r="M24" s="6" t="str">
        <x:v>No</x:v>
      </x:c>
      <x:c r="N24" s="2" t="str">
        <x:v>Speculative</x:v>
      </x:c>
      <x:c r="O24" s="2" t="str">
        <x:v>specialized_training</x:v>
      </x:c>
      <x:c r="P24" s="2" t="str">
        <x:v>AI/LLM research and development</x:v>
      </x:c>
      <x:c r="Q24" s="2" t="str">
        <x:v>Context, retrieval, and model adaptation</x:v>
      </x:c>
      <x:c r="R24" s="6" t="str">
        <x:v>p. 30; Section 8.3 AI/LLM Research &amp; Development</x:v>
      </x:c>
      <x:c r="S24" s="6" t="str">
        <x:v>exploring whether specialized training improves performance</x:v>
      </x:c>
      <x:c r="T24" s="6" t="str">
        <x:v>建议研究领域自适应或任务特定的微调能否提升追溯性能。</x:v>
      </x:c>
      <x:c r="U24" s="2" t="str">
        <x:v>Accepted</x:v>
      </x:c>
      <x:c r="V24" s="6" t="str">
        <x:v>NA</x:v>
      </x:c>
      <x:c r="W24" s="6" t="str">
        <x:v>Agenda statement only</x:v>
      </x:c>
    </x:row>
    <x:row r="25" ht="76" customHeight="1">
      <x:c r="A25" s="2" t="str">
        <x:v>S05-FUTURE-R06</x:v>
      </x:c>
      <x:c r="B25" s="2" t="str">
        <x:v>S05</x:v>
      </x:c>
      <x:c r="C25" s="2" t="str">
        <x:v>merged_0077</x:v>
      </x:c>
      <x:c r="D25" s="2" t="str">
        <x:v>Reviewer_A</x:v>
      </x:c>
      <x:c r="E25" s="2" t="str">
        <x:v>Reviewer_A</x:v>
      </x:c>
      <x:c r="F25" s="2" t="str">
        <x:v>S05-D06</x:v>
      </x:c>
      <x:c r="G25" s="6" t="str">
        <x:v>SR</x:v>
      </x:c>
      <x:c r="H25" s="6" t="str">
        <x:v>Explicit future work</x:v>
      </x:c>
      <x:c r="I25" s="6" t="str">
        <x:v>为软件工程任务开发标准化的基准测试。</x:v>
      </x:c>
      <x:c r="J25" s="2" t="str">
        <x:v>NR</x:v>
      </x:c>
      <x:c r="K25" s="2" t="str">
        <x:v>缺乏公认的评估基准来比较不同方法。</x:v>
      </x:c>
      <x:c r="L25" s="2" t="str">
        <x:v>需要社区合作制定基准数据集和评估协议。</x:v>
      </x:c>
      <x:c r="M25" s="6" t="str">
        <x:v>No</x:v>
      </x:c>
      <x:c r="N25" s="2" t="str">
        <x:v>Speculative</x:v>
      </x:c>
      <x:c r="O25" s="2" t="str">
        <x:v>standardized_benchmarks</x:v>
      </x:c>
      <x:c r="P25" s="2" t="str">
        <x:v>Evaluation and benchmarking</x:v>
      </x:c>
      <x:c r="Q25" s="2" t="str">
        <x:v>Benchmark and measurement rigor</x:v>
      </x:c>
      <x:c r="R25" s="6" t="str">
        <x:v>p. 30; Section 8.3 AI/LLM Research &amp; Development</x:v>
      </x:c>
      <x:c r="S25" s="6" t="str">
        <x:v>developing standardized benchmarks for software engineering tasks</x:v>
      </x:c>
      <x:c r="T25" s="6" t="str">
        <x:v>呼吁为软件工程中的LLM应用建立标准化基准。</x:v>
      </x:c>
      <x:c r="U25" s="2" t="str">
        <x:v>Accepted</x:v>
      </x:c>
      <x:c r="V25" s="6" t="str">
        <x:v>NA</x:v>
      </x:c>
      <x:c r="W25" s="6" t="str">
        <x:v>Agenda statement only</x:v>
      </x:c>
    </x:row>
    <x:row r="26" ht="76" customHeight="1">
      <x:c r="A26" s="2" t="str">
        <x:v>S05-FUTURE-R07</x:v>
      </x:c>
      <x:c r="B26" s="2" t="str">
        <x:v>S05</x:v>
      </x:c>
      <x:c r="C26" s="2" t="str">
        <x:v>merged_0077</x:v>
      </x:c>
      <x:c r="D26" s="2" t="str">
        <x:v>Reviewer_A</x:v>
      </x:c>
      <x:c r="E26" s="2" t="str">
        <x:v>Reviewer_A</x:v>
      </x:c>
      <x:c r="F26" s="2" t="str">
        <x:v>S05-D07</x:v>
      </x:c>
      <x:c r="G26" s="6" t="str">
        <x:v>SR</x:v>
      </x:c>
      <x:c r="H26" s="6" t="str">
        <x:v>Explicit future work</x:v>
      </x:c>
      <x:c r="I26" s="6" t="str">
        <x:v>在更广泛的系统（如闭源遗留系统或工业代码库）上开展额外研究。</x:v>
      </x:c>
      <x:c r="J26" s="2" t="str">
        <x:v>S05-L05</x:v>
      </x:c>
      <x:c r="K26" s="2" t="str">
        <x:v>当前研究局限于开源项目，可能不适用于工业环境。</x:v>
      </x:c>
      <x:c r="L26" s="2" t="str">
        <x:v>需要与工业合作伙伴合作获取专有代码库。</x:v>
      </x:c>
      <x:c r="M26" s="6" t="str">
        <x:v>No</x:v>
      </x:c>
      <x:c r="N26" s="2" t="str">
        <x:v>Speculative</x:v>
      </x:c>
      <x:c r="O26" s="2" t="str">
        <x:v>wider_range_of_systems</x:v>
      </x:c>
      <x:c r="P26" s="2" t="str">
        <x:v>Generalization and scalability</x:v>
      </x:c>
      <x:c r="Q26" s="2" t="str">
        <x:v>Broader empirical validation</x:v>
      </x:c>
      <x:c r="R26" s="6" t="str">
        <x:v>p. 30; Section 9.2 External Validity</x:v>
      </x:c>
      <x:c r="S26" s="6" t="str">
        <x:v>Additional studies on a wider range of systems (e.g., closed-source legacy or industrial codebases) could further test how these methods generalize</x:v>
      </x:c>
      <x:c r="T26" s="6" t="str">
        <x:v>建议未来研究覆盖更多样的系统类型以检验泛化能力。</x:v>
      </x:c>
      <x:c r="U26" s="2" t="str">
        <x:v>Accepted</x:v>
      </x:c>
      <x:c r="V26" s="6" t="str">
        <x:v>NA</x:v>
      </x:c>
      <x:c r="W26" s="6" t="str">
        <x:v>Reported limitation-grounded</x:v>
      </x:c>
    </x:row>
    <x:row r="27" ht="76" customHeight="1">
      <x:c r="A27" s="2" t="str">
        <x:v>S05-FUTURE-R08</x:v>
      </x:c>
      <x:c r="B27" s="2" t="str">
        <x:v>S05</x:v>
      </x:c>
      <x:c r="C27" s="2" t="str">
        <x:v>merged_0077</x:v>
      </x:c>
      <x:c r="D27" s="2" t="str">
        <x:v>Reviewer_A</x:v>
      </x:c>
      <x:c r="E27" s="2" t="str">
        <x:v>Reviewer_A</x:v>
      </x:c>
      <x:c r="F27" s="2" t="str">
        <x:v>S05-D08</x:v>
      </x:c>
      <x:c r="G27" s="6" t="str">
        <x:v>SR</x:v>
      </x:c>
      <x:c r="H27" s="6" t="str">
        <x:v>Explicit future work</x:v>
      </x:c>
      <x:c r="I27" s="6" t="str">
        <x:v>比较更广泛的LLM集合，因为新兴模型快速发展。</x:v>
      </x:c>
      <x:c r="J27" s="2" t="str">
        <x:v>NR</x:v>
      </x:c>
      <x:c r="K27" s="2" t="str">
        <x:v>当前只评估了三款LLM，未来可能出现更强大的模型。</x:v>
      </x:c>
      <x:c r="L27" s="2" t="str">
        <x:v>需要持续跟踪并评估新发布的模型。</x:v>
      </x:c>
      <x:c r="M27" s="6" t="str">
        <x:v>No</x:v>
      </x:c>
      <x:c r="N27" s="2" t="str">
        <x:v>Speculative</x:v>
      </x:c>
      <x:c r="O27" s="2" t="str">
        <x:v>broader_llm_comparison</x:v>
      </x:c>
      <x:c r="P27" s="2" t="str">
        <x:v>AI/LLM research and development</x:v>
      </x:c>
      <x:c r="Q27" s="2" t="str">
        <x:v>Broader empirical validation</x:v>
      </x:c>
      <x:c r="R27" s="6" t="str">
        <x:v>p. 30; Section 9.2 External Validity</x:v>
      </x:c>
      <x:c r="S27" s="6" t="str">
        <x:v>Future work may compare an even broader set of LLMs, as emerging models continue to evolve rapidly.</x:v>
      </x:c>
      <x:c r="T27" s="6" t="str">
        <x:v>建议随着新模型出现，进行更广泛的LLM比较研究。</x:v>
      </x:c>
      <x:c r="U27" s="2" t="str">
        <x:v>Accepted</x:v>
      </x:c>
      <x:c r="V27" s="6" t="str">
        <x:v>NA</x:v>
      </x:c>
      <x:c r="W27" s="6" t="str">
        <x:v>Agenda statement only</x:v>
      </x:c>
    </x:row>
    <x:row r="28" ht="76" customHeight="1">
      <x:c r="A28" s="2" t="str">
        <x:v>S06-FUTURE-R01</x:v>
      </x:c>
      <x:c r="B28" s="2" t="str">
        <x:v>S06</x:v>
      </x:c>
      <x:c r="C28" s="2" t="str">
        <x:v>merged_0079</x:v>
      </x:c>
      <x:c r="D28" s="2" t="str">
        <x:v>Reviewer_A</x:v>
      </x:c>
      <x:c r="E28" s="2" t="str">
        <x:v>Reviewer_A</x:v>
      </x:c>
      <x:c r="F28" s="2" t="str">
        <x:v>S06-D01</x:v>
      </x:c>
      <x:c r="G28" s="6" t="str">
        <x:v>SR</x:v>
      </x:c>
      <x:c r="H28" s="6" t="str">
        <x:v>Explicit recommendation</x:v>
      </x:c>
      <x:c r="I28" s="6" t="str">
        <x:v>建议研究者将类似动态数据访问方法应用于其他追溯任务，以改善对边缘情况的覆盖并增强鲁棒性。</x:v>
      </x:c>
      <x:c r="J28" s="2" t="str">
        <x:v>NR</x:v>
      </x:c>
      <x:c r="K28" s="2" t="str">
        <x:v>其他追溯任务中固定特征集导致性能波动和边缘案例遗漏。</x:v>
      </x:c>
      <x:c r="L28" s="2" t="str">
        <x:v>NR</x:v>
      </x:c>
      <x:c r="M28" s="6" t="str">
        <x:v>RQ1结果显示动态数据访问在链接恢复任务中显著提升Hit@1并降低波动。</x:v>
      </x:c>
      <x:c r="N28" s="2" t="str">
        <x:v>Speculative</x:v>
      </x:c>
      <x:c r="O28" s="2" t="str">
        <x:v>apply_to_other_tasks</x:v>
      </x:c>
      <x:c r="P28" s="2" t="str">
        <x:v>broader_applicability</x:v>
      </x:c>
      <x:c r="Q28" s="2" t="str">
        <x:v>Broader empirical validation</x:v>
      </x:c>
      <x:c r="R28" s="6" t="str">
        <x:v>p. 9; Section VI Broader Applicability</x:v>
      </x:c>
      <x:c r="S28" s="6" t="str">
        <x:v>We recommend that researchers adopt a similar mindset to improve coverage of corner cases and enhance overall robustness in other tasks.</x:v>
      </x:c>
      <x:c r="T28" s="6" t="str">
        <x:v>作者基于自身实验发现，主张将按需数据获取策略推广至其他软件追溯任务，以提升通用性。</x:v>
      </x:c>
      <x:c r="U28" s="2" t="str">
        <x:v>Accepted</x:v>
      </x:c>
      <x:c r="V28" s="6" t="str">
        <x:v>NA</x:v>
      </x:c>
      <x:c r="W28" s="6" t="str">
        <x:v>Result-grounded</x:v>
      </x:c>
    </x:row>
    <x:row r="29" ht="76" customHeight="1">
      <x:c r="A29" s="2" t="str">
        <x:v>S06-FUTURE-R02</x:v>
      </x:c>
      <x:c r="B29" s="2" t="str">
        <x:v>S06</x:v>
      </x:c>
      <x:c r="C29" s="2" t="str">
        <x:v>merged_0079</x:v>
      </x:c>
      <x:c r="D29" s="2" t="str">
        <x:v>Reviewer_A</x:v>
      </x:c>
      <x:c r="E29" s="2" t="str">
        <x:v>Reviewer_A</x:v>
      </x:c>
      <x:c r="F29" s="2" t="str">
        <x:v>S06-D02</x:v>
      </x:c>
      <x:c r="G29" s="6" t="str">
        <x:v>SR</x:v>
      </x:c>
      <x:c r="H29" s="6" t="str">
        <x:v>Explicit recommendation</x:v>
      </x:c>
      <x:c r="I29" s="6" t="str">
        <x:v>鼓励未来代理开发者采用分页和反馈剪枝等技术有效处理大输出，避免超出上下文窗口。</x:v>
      </x:c>
      <x:c r="J29" s="2" t="str">
        <x:v>NR</x:v>
      </x:c>
      <x:c r="K29" s="2" t="str">
        <x:v>LLM代理在访问大量数据时易超出令牌限制。</x:v>
      </x:c>
      <x:c r="L29" s="2" t="str">
        <x:v>NR</x:v>
      </x:c>
      <x:c r="M29" s="6" t="str">
        <x:v>LinkAnchor中分页与反馈机制验证了可扩展上下文访问的可行性。</x:v>
      </x:c>
      <x:c r="N29" s="2" t="str">
        <x:v>Speculative</x:v>
      </x:c>
      <x:c r="O29" s="2" t="str">
        <x:v>scalable_context</x:v>
      </x:c>
      <x:c r="P29" s="2" t="str">
        <x:v>agent_design</x:v>
      </x:c>
      <x:c r="Q29" s="2" t="str">
        <x:v>Context, retrieval, and model adaptation</x:v>
      </x:c>
      <x:c r="R29" s="6" t="str">
        <x:v>p. 9; Section VI Scalable Context Access</x:v>
      </x:c>
      <x:c r="S29" s="6" t="str">
        <x:v>we encourage future agent developers to adopt similar techniques for handling large outputs effectively.</x:v>
      </x:c>
      <x:c r="T29" s="6" t="str">
        <x:v>作者将LinkAnchor应对大数据输出的实践提炼为可复用的设计原则，供其他代理开发者参考。</x:v>
      </x:c>
      <x:c r="U29" s="2" t="str">
        <x:v>Accepted</x:v>
      </x:c>
      <x:c r="V29" s="6" t="str">
        <x:v>NA</x:v>
      </x:c>
      <x:c r="W29" s="6" t="str">
        <x:v>Result-grounded</x:v>
      </x:c>
    </x:row>
    <x:row r="30" ht="76" customHeight="1">
      <x:c r="A30" s="2" t="str">
        <x:v>S06-FUTURE-R03</x:v>
      </x:c>
      <x:c r="B30" s="2" t="str">
        <x:v>S06</x:v>
      </x:c>
      <x:c r="C30" s="2" t="str">
        <x:v>merged_0079</x:v>
      </x:c>
      <x:c r="D30" s="2" t="str">
        <x:v>Reviewer_A</x:v>
      </x:c>
      <x:c r="E30" s="2" t="str">
        <x:v>Reviewer_A</x:v>
      </x:c>
      <x:c r="F30" s="2" t="str">
        <x:v>S06-D03</x:v>
      </x:c>
      <x:c r="G30" s="6" t="str">
        <x:v>SR</x:v>
      </x:c>
      <x:c r="H30" s="6" t="str">
        <x:v>Explicit recommendation</x:v>
      </x:c>
      <x:c r="I30" s="6" t="str">
        <x:v>利用收集的函数调用频次和序列指标来优化代理：剪枝低频函数、封装高频调用模式为“超级函数”、加速热点路径函数。</x:v>
      </x:c>
      <x:c r="J30" s="2" t="str">
        <x:v>NR</x:v>
      </x:c>
      <x:c r="K30" s="2" t="str">
        <x:v>代理函数调用开销和令牌消耗可能较高。</x:v>
      </x:c>
      <x:c r="L30" s="2" t="str">
        <x:v>NR</x:v>
      </x:c>
      <x:c r="M30" s="6" t="str">
        <x:v>已在评估中记录详细调用指标，支撑后续分析。</x:v>
      </x:c>
      <x:c r="N30" s="2" t="str">
        <x:v>Speculative</x:v>
      </x:c>
      <x:c r="O30" s="2" t="str">
        <x:v>metrics_optimization</x:v>
      </x:c>
      <x:c r="P30" s="2" t="str">
        <x:v>agent_optimization</x:v>
      </x:c>
      <x:c r="Q30" s="2" t="str">
        <x:v>Integration, evolution, and deployment</x:v>
      </x:c>
      <x:c r="R30" s="6" t="str">
        <x:v>p. 6; Section IV-A (end of section)</x:v>
      </x:c>
      <x:c r="S30" s="6" t="str">
        <x:v>be used to: (i) Prune unused or infrequently used functions to reduce the agent’s interface surface; (ii) Create “superfunctions” that encapsulate common call patterns, reducing</x:v>
      </x:c>
      <x:c r="T30" s="6" t="str">
        <x:v>作者提出基于运行时指标的精简与优化方向，是对代理性能工程的明确指引。</x:v>
      </x:c>
      <x:c r="U30" s="2" t="str">
        <x:v>Accepted</x:v>
      </x:c>
      <x:c r="V30" s="6" t="str">
        <x:v>NA</x:v>
      </x:c>
      <x:c r="W30" s="6" t="str">
        <x:v>Result-grounded</x:v>
      </x:c>
    </x:row>
    <x:row r="31" ht="76" customHeight="1">
      <x:c r="A31" s="2" t="str">
        <x:v>S06-FUTURE-R04</x:v>
      </x:c>
      <x:c r="B31" s="2" t="str">
        <x:v>S06</x:v>
      </x:c>
      <x:c r="C31" s="2" t="str">
        <x:v>merged_0079</x:v>
      </x:c>
      <x:c r="D31" s="2" t="str">
        <x:v>Reviewer_A</x:v>
      </x:c>
      <x:c r="E31" s="2" t="str">
        <x:v>Reviewer_A</x:v>
      </x:c>
      <x:c r="F31" s="2" t="str">
        <x:v>S06-D04</x:v>
      </x:c>
      <x:c r="G31" s="6" t="str">
        <x:v>SR</x:v>
      </x:c>
      <x:c r="H31" s="6" t="str">
        <x:v>Explicit recommendation</x:v>
      </x:c>
      <x:c r="I31" s="6" t="str">
        <x:v>支持其他研究者将LinkAnchor扩展至更多平台，如GitLab与Claude。</x:v>
      </x:c>
      <x:c r="J31" s="2" t="str">
        <x:v>S06-L03</x:v>
      </x:c>
      <x:c r="K31" s="2" t="str">
        <x:v>当前仅支持有限的平台和LLM，通用性不足。</x:v>
      </x:c>
      <x:c r="L31" s="2" t="str">
        <x:v>已有的模块化设计降低了扩展难度。</x:v>
      </x:c>
      <x:c r="M31" s="6" t="str">
        <x:v>NR</x:v>
      </x:c>
      <x:c r="N31" s="2" t="str">
        <x:v>Speculative</x:v>
      </x:c>
      <x:c r="O31" s="2" t="str">
        <x:v>platform_extension</x:v>
      </x:c>
      <x:c r="P31" s="2" t="str">
        <x:v>generalizability</x:v>
      </x:c>
      <x:c r="Q31" s="2" t="str">
        <x:v>Integration, evolution, and deployment</x:v>
      </x:c>
      <x:c r="R31" s="6" t="str">
        <x:v>p. 10; Section VI-A External Validity</x:v>
      </x:c>
      <x:c r="S31" s="6" t="str">
        <x:v>to enable other researchers to extend and evaluate LinkAnchor on other platforms and technologies such as GitLab for issue tracking or Claude for LLMs.</x:v>
      </x:c>
      <x:c r="T31" s="6" t="str">
        <x:v>作为外部效度威胁的延伸，作者倡导社区在更多平台验证并扩展LinkAnchor的功能。</x:v>
      </x:c>
      <x:c r="U31" s="2" t="str">
        <x:v>Accepted</x:v>
      </x:c>
      <x:c r="V31" s="6" t="str">
        <x:v>NA</x:v>
      </x:c>
      <x:c r="W31" s="6" t="str">
        <x:v>Reported limitation-grounded</x:v>
      </x:c>
    </x:row>
    <x:row r="32" ht="76" customHeight="1">
      <x:c r="A32" s="2" t="str">
        <x:v>S06-FUTURE-R05</x:v>
      </x:c>
      <x:c r="B32" s="2" t="str">
        <x:v>S06</x:v>
      </x:c>
      <x:c r="C32" s="2" t="str">
        <x:v>merged_0079</x:v>
      </x:c>
      <x:c r="D32" s="2" t="str">
        <x:v>Reviewer_A</x:v>
      </x:c>
      <x:c r="E32" s="2" t="str">
        <x:v>Reviewer_A</x:v>
      </x:c>
      <x:c r="F32" s="2" t="str">
        <x:v>S06-D05</x:v>
      </x:c>
      <x:c r="G32" s="6" t="str">
        <x:v>SR</x:v>
      </x:c>
      <x:c r="H32" s="6" t="str">
        <x:v>Explicit recommendation</x:v>
      </x:c>
      <x:c r="I32" s="6" t="str">
        <x:v>在构建LLM代理时采用渐进策略：先给予LLM高度自主权，再逐步将反复出现的错误或低效转化为确定性函数。</x:v>
      </x:c>
      <x:c r="J32" s="2" t="str">
        <x:v>NR</x:v>
      </x:c>
      <x:c r="K32" s="2" t="str">
        <x:v>完全确定性可能限制代理的适应性，过度自主则可能引入简单推理错误。</x:v>
      </x:c>
      <x:c r="L32" s="2" t="str">
        <x:v>NR</x:v>
      </x:c>
      <x:c r="M32" s="6" t="str">
        <x:v>LinkAnchor开发过程中观察到引入确定性组件能显著提升准确率。</x:v>
      </x:c>
      <x:c r="N32" s="2" t="str">
        <x:v>Speculative</x:v>
      </x:c>
      <x:c r="O32" s="2" t="str">
        <x:v>incremental_determinism</x:v>
      </x:c>
      <x:c r="P32" s="2" t="str">
        <x:v>agent_design</x:v>
      </x:c>
      <x:c r="Q32" s="2" t="str">
        <x:v>Integration, evolution, and deployment</x:v>
      </x:c>
      <x:c r="R32" s="6" t="str">
        <x:v>p. 10; Section VI Balancing Determinism</x:v>
      </x:c>
      <x:c r="S32" s="6" t="str">
        <x:v>We therefore advocate for an incremental strategy: start with high agency by giving the LLM broad access to data, and gradually convert recurring mistakes or inefficiencies into deterministic functions as they emerge.</x:v>
      </x:c>
      <x:c r="T32" s="6" t="str">
        <x:v>作者从自身实践中提炼出平衡自主性与确定性的方法论建议，可指导未来代理系统的开发。</x:v>
      </x:c>
      <x:c r="U32" s="2" t="str">
        <x:v>Accepted</x:v>
      </x:c>
      <x:c r="V32" s="6" t="str">
        <x:v>NA</x:v>
      </x:c>
      <x:c r="W32" s="6" t="str">
        <x:v>Result-grounded</x:v>
      </x:c>
    </x:row>
    <x:row r="33" ht="76" customHeight="1">
      <x:c r="A33" s="2" t="str">
        <x:v>S07-FUTURE-R01</x:v>
      </x:c>
      <x:c r="B33" s="2" t="str">
        <x:v>S07</x:v>
      </x:c>
      <x:c r="C33" s="2" t="str">
        <x:v>merged_0110</x:v>
      </x:c>
      <x:c r="D33" s="2" t="str">
        <x:v>Reviewer_A</x:v>
      </x:c>
      <x:c r="E33" s="2" t="str">
        <x:v>Reviewer_A</x:v>
      </x:c>
      <x:c r="F33" s="2" t="str">
        <x:v>S07-D01</x:v>
      </x:c>
      <x:c r="G33" s="6" t="str">
        <x:v>SR</x:v>
      </x:c>
      <x:c r="H33" s="6" t="str">
        <x:v>Explicit future work</x:v>
      </x:c>
      <x:c r="I33" s="6" t="str">
        <x:v>研究工具将需求链接到源代码工件（如单元测试）的性能</x:v>
      </x:c>
      <x:c r="J33" s="2" t="str">
        <x:v>NR</x:v>
      </x:c>
      <x:c r="K33" s="2" t="str">
        <x:v>扩展REST对齐到源代码层面</x:v>
      </x:c>
      <x:c r="L33" s="2" t="str">
        <x:v>未来工作</x:v>
      </x:c>
      <x:c r="M33" s="6" t="str">
        <x:v>No</x:v>
      </x:c>
      <x:c r="N33" s="2" t="str">
        <x:v>Speculative</x:v>
      </x:c>
      <x:c r="O33" s="2" t="str">
        <x:v>extend to source code</x:v>
      </x:c>
      <x:c r="P33" s="2" t="str">
        <x:v>Future tool extension</x:v>
      </x:c>
      <x:c r="Q33" s="2" t="str">
        <x:v>Broader empirical validation</x:v>
      </x:c>
      <x:c r="R33" s="6" t="str">
        <x:v>p. 3; section 3</x:v>
      </x:c>
      <x:c r="S33" s="6" t="str">
        <x:v>Our future work aims to examine how the tool performs when linking requirements to source code artifacts, such as unit tests.</x:v>
      </x:c>
      <x:c r="T33" s="6" t="str">
        <x:v>未来工作将研究工具在链接需求与源代码工件的性能。</x:v>
      </x:c>
      <x:c r="U33" s="2" t="str">
        <x:v>Accepted</x:v>
      </x:c>
      <x:c r="V33" s="6" t="str">
        <x:v>NA</x:v>
      </x:c>
      <x:c r="W33" s="6" t="str">
        <x:v>Agenda statement only</x:v>
      </x:c>
    </x:row>
    <x:row r="34" ht="76" customHeight="1">
      <x:c r="A34" s="2" t="str">
        <x:v>S07-FUTURE-R02</x:v>
      </x:c>
      <x:c r="B34" s="2" t="str">
        <x:v>S07</x:v>
      </x:c>
      <x:c r="C34" s="2" t="str">
        <x:v>merged_0110</x:v>
      </x:c>
      <x:c r="D34" s="2" t="str">
        <x:v>Reviewer_A</x:v>
      </x:c>
      <x:c r="E34" s="2" t="str">
        <x:v>Reviewer_A</x:v>
      </x:c>
      <x:c r="F34" s="2" t="str">
        <x:v>S07-D02</x:v>
      </x:c>
      <x:c r="G34" s="6" t="str">
        <x:v>SR</x:v>
      </x:c>
      <x:c r="H34" s="6" t="str">
        <x:v>Explicit future work</x:v>
      </x:c>
      <x:c r="I34" s="6" t="str">
        <x:v>纳入字符串距离技术和基于BERT的模型等额外方法进行比较</x:v>
      </x:c>
      <x:c r="J34" s="2" t="str">
        <x:v>NR</x:v>
      </x:c>
      <x:c r="K34" s="2" t="str">
        <x:v>扩展实验基线方法</x:v>
      </x:c>
      <x:c r="L34" s="2" t="str">
        <x:v>未来工作</x:v>
      </x:c>
      <x:c r="M34" s="6" t="str">
        <x:v>No</x:v>
      </x:c>
      <x:c r="N34" s="2" t="str">
        <x:v>Speculative</x:v>
      </x:c>
      <x:c r="O34" s="2" t="str">
        <x:v>include additional methods</x:v>
      </x:c>
      <x:c r="P34" s="2" t="str">
        <x:v>Future experiment extension</x:v>
      </x:c>
      <x:c r="Q34" s="2" t="str">
        <x:v>Benchmark and measurement rigor</x:v>
      </x:c>
      <x:c r="R34" s="6" t="str">
        <x:v>p. 5; section 4.2</x:v>
      </x:c>
      <x:c r="S34" s="6" t="str">
        <x:v>we defer the inclusion of additional methods such as string distance techniques (e.g., Jaccard, Cosine similarity) and BERT-based models to future work.</x:v>
      </x:c>
      <x:c r="T34" s="6" t="str">
        <x:v>未来工作将纳入更多方法进行比较，以增强实验的全面性。</x:v>
      </x:c>
      <x:c r="U34" s="2" t="str">
        <x:v>Accepted</x:v>
      </x:c>
      <x:c r="V34" s="6" t="str">
        <x:v>NA</x:v>
      </x:c>
      <x:c r="W34" s="6" t="str">
        <x:v>Agenda statement only</x:v>
      </x:c>
    </x:row>
    <x:row r="35" ht="76" customHeight="1">
      <x:c r="A35" s="2" t="str">
        <x:v>S07-FUTURE-R03</x:v>
      </x:c>
      <x:c r="B35" s="2" t="str">
        <x:v>S07</x:v>
      </x:c>
      <x:c r="C35" s="2" t="str">
        <x:v>merged_0110</x:v>
      </x:c>
      <x:c r="D35" s="2" t="str">
        <x:v>Reviewer_A</x:v>
      </x:c>
      <x:c r="E35" s="2" t="str">
        <x:v>Reviewer_A</x:v>
      </x:c>
      <x:c r="F35" s="2" t="str">
        <x:v>S07-D03</x:v>
      </x:c>
      <x:c r="G35" s="6" t="str">
        <x:v>SR</x:v>
      </x:c>
      <x:c r="H35" s="6" t="str">
        <x:v>Explicit future work</x:v>
      </x:c>
      <x:c r="I35" s="6" t="str">
        <x:v>集成量化模型以研究计算成本与性能损失的权衡</x:v>
      </x:c>
      <x:c r="J35" s="2" t="str">
        <x:v>NR</x:v>
      </x:c>
      <x:c r="K35" s="2" t="str">
        <x:v>降低硬件需求和成本</x:v>
      </x:c>
      <x:c r="L35" s="2" t="str">
        <x:v>未来迭代</x:v>
      </x:c>
      <x:c r="M35" s="6" t="str">
        <x:v>No</x:v>
      </x:c>
      <x:c r="N35" s="2" t="str">
        <x:v>Speculative</x:v>
      </x:c>
      <x:c r="O35" s="2" t="str">
        <x:v>quantization</x:v>
      </x:c>
      <x:c r="P35" s="2" t="str">
        <x:v>Future optimization</x:v>
      </x:c>
      <x:c r="Q35" s="2" t="str">
        <x:v>Integration, evolution, and deployment</x:v>
      </x:c>
      <x:c r="R35" s="6" t="str">
        <x:v>p. 9; section 6.3</x:v>
      </x:c>
      <x:c r="S35" s="6" t="str">
        <x:v>future iterations of REST-at will incorporate quantized models to examine whether the reduction in computational cost compensates for any loss in performance.</x:v>
      </x:c>
      <x:c r="T35" s="6" t="str">
        <x:v>未来版本将集成量化模型，以评估节省的成本是否值得性能的潜在下降。</x:v>
      </x:c>
      <x:c r="U35" s="2" t="str">
        <x:v>Accepted</x:v>
      </x:c>
      <x:c r="V35" s="6" t="str">
        <x:v>NA</x:v>
      </x:c>
      <x:c r="W35" s="6" t="str">
        <x:v>Agenda statement only</x:v>
      </x:c>
    </x:row>
    <x:row r="36" ht="76" customHeight="1">
      <x:c r="A36" s="2" t="str">
        <x:v>S07-FUTURE-R04</x:v>
      </x:c>
      <x:c r="B36" s="2" t="str">
        <x:v>S07</x:v>
      </x:c>
      <x:c r="C36" s="2" t="str">
        <x:v>merged_0110</x:v>
      </x:c>
      <x:c r="D36" s="2" t="str">
        <x:v>Reviewer_A</x:v>
      </x:c>
      <x:c r="E36" s="2" t="str">
        <x:v>Reviewer_A</x:v>
      </x:c>
      <x:c r="F36" s="2" t="str">
        <x:v>S07-D04</x:v>
      </x:c>
      <x:c r="G36" s="6" t="str">
        <x:v>SR</x:v>
      </x:c>
      <x:c r="H36" s="6" t="str">
        <x:v>Explicit future work</x:v>
      </x:c>
      <x:c r="I36" s="6" t="str">
        <x:v>使用更多模型、提示模板和数据集复制实验</x:v>
      </x:c>
      <x:c r="J36" s="2" t="str">
        <x:v>NR</x:v>
      </x:c>
      <x:c r="K36" s="2" t="str">
        <x:v>提高结果的泛化性和鲁棒性</x:v>
      </x:c>
      <x:c r="L36" s="2" t="str">
        <x:v>未来研究</x:v>
      </x:c>
      <x:c r="M36" s="6" t="str">
        <x:v>No</x:v>
      </x:c>
      <x:c r="N36" s="2" t="str">
        <x:v>Speculative</x:v>
      </x:c>
      <x:c r="O36" s="2" t="str">
        <x:v>replication and extension</x:v>
      </x:c>
      <x:c r="P36" s="2" t="str">
        <x:v>Future replication</x:v>
      </x:c>
      <x:c r="Q36" s="2" t="str">
        <x:v>Benchmark and measurement rigor</x:v>
      </x:c>
      <x:c r="R36" s="6" t="str">
        <x:v>p. 10; section 6.5</x:v>
      </x:c>
      <x:c r="S36" s="6" t="str">
        <x:v>We aim to replicate the experiments with more models, prompt templates and datasets in future studies.</x:v>
      </x:c>
      <x:c r="T36" s="6" t="str">
        <x:v>作者计划复制实验以增强结论的泛化能力。</x:v>
      </x:c>
      <x:c r="U36" s="2" t="str">
        <x:v>Accepted</x:v>
      </x:c>
      <x:c r="V36" s="6" t="str">
        <x:v>NA</x:v>
      </x:c>
      <x:c r="W36" s="6" t="str">
        <x:v>Agenda statement only</x:v>
      </x:c>
    </x:row>
    <x:row r="37" ht="76" customHeight="1">
      <x:c r="A37" s="2" t="str">
        <x:v>S07-FUTURE-R05</x:v>
      </x:c>
      <x:c r="B37" s="2" t="str">
        <x:v>S07</x:v>
      </x:c>
      <x:c r="C37" s="2" t="str">
        <x:v>merged_0110</x:v>
      </x:c>
      <x:c r="D37" s="2" t="str">
        <x:v>Reviewer_A</x:v>
      </x:c>
      <x:c r="E37" s="2" t="str">
        <x:v>Reviewer_A</x:v>
      </x:c>
      <x:c r="F37" s="2" t="str">
        <x:v>S07-D05</x:v>
      </x:c>
      <x:c r="G37" s="6" t="str">
        <x:v>SR</x:v>
      </x:c>
      <x:c r="H37" s="6" t="str">
        <x:v>Explicit research gap</x:v>
      </x:c>
      <x:c r="I37" s="6" t="str">
        <x:v>开发系统的提示评估策略</x:v>
      </x:c>
      <x:c r="J37" s="2" t="str">
        <x:v>NR</x:v>
      </x:c>
      <x:c r="K37" s="2" t="str">
        <x:v>当前缺乏系统的提示评估方法</x:v>
      </x:c>
      <x:c r="L37" s="2" t="str">
        <x:v>未来研究应优先</x:v>
      </x:c>
      <x:c r="M37" s="6" t="str">
        <x:v>No</x:v>
      </x:c>
      <x:c r="N37" s="2" t="str">
        <x:v>Speculative</x:v>
      </x:c>
      <x:c r="O37" s="2" t="str">
        <x:v>systematic prompt evaluation</x:v>
      </x:c>
      <x:c r="P37" s="2" t="str">
        <x:v>Future methodology</x:v>
      </x:c>
      <x:c r="Q37" s="2" t="str">
        <x:v>Benchmark and measurement rigor</x:v>
      </x:c>
      <x:c r="R37" s="6" t="str">
        <x:v>p. 10; section 7</x:v>
      </x:c>
      <x:c r="S37" s="6" t="str">
        <x:v>Future work should prioritize systematic prompt evaluation</x:v>
      </x:c>
      <x:c r="T37" s="6" t="str">
        <x:v>未来工作应优先开发系统的提示评估策略。</x:v>
      </x:c>
      <x:c r="U37" s="2" t="str">
        <x:v>Accepted</x:v>
      </x:c>
      <x:c r="V37" s="6" t="str">
        <x:v>NA</x:v>
      </x:c>
      <x:c r="W37" s="6" t="str">
        <x:v>Agenda statement only</x:v>
      </x:c>
    </x:row>
    <x:row r="38" ht="76" customHeight="1">
      <x:c r="A38" s="2" t="str">
        <x:v>S07-FUTURE-R06</x:v>
      </x:c>
      <x:c r="B38" s="2" t="str">
        <x:v>S07</x:v>
      </x:c>
      <x:c r="C38" s="2" t="str">
        <x:v>merged_0110</x:v>
      </x:c>
      <x:c r="D38" s="2" t="str">
        <x:v>Reviewer_A</x:v>
      </x:c>
      <x:c r="E38" s="2" t="str">
        <x:v>Reviewer_A</x:v>
      </x:c>
      <x:c r="F38" s="2" t="str">
        <x:v>S07-D06</x:v>
      </x:c>
      <x:c r="G38" s="6" t="str">
        <x:v>SR</x:v>
      </x:c>
      <x:c r="H38" s="6" t="str">
        <x:v>Explicit future work</x:v>
      </x:c>
      <x:c r="I38" s="6" t="str">
        <x:v>为开放权重模型开发提示技术</x:v>
      </x:c>
      <x:c r="J38" s="2" t="str">
        <x:v>NR</x:v>
      </x:c>
      <x:c r="K38" s="2" t="str">
        <x:v>开放权重模型缺乏有效的提示技术</x:v>
      </x:c>
      <x:c r="L38" s="2" t="str">
        <x:v>未来工作</x:v>
      </x:c>
      <x:c r="M38" s="6" t="str">
        <x:v>No</x:v>
      </x:c>
      <x:c r="N38" s="2" t="str">
        <x:v>Speculative</x:v>
      </x:c>
      <x:c r="O38" s="2" t="str">
        <x:v>prompt techniques for open-weight</x:v>
      </x:c>
      <x:c r="P38" s="2" t="str">
        <x:v>Future methodology</x:v>
      </x:c>
      <x:c r="Q38" s="2" t="str">
        <x:v>Context, retrieval, and model adaptation</x:v>
      </x:c>
      <x:c r="R38" s="6" t="str">
        <x:v>p. 10; section 7</x:v>
      </x:c>
      <x:c r="S38" s="6" t="str">
        <x:v>developing prompt techniques for open-weight models</x:v>
      </x:c>
      <x:c r="T38" s="6" t="str">
        <x:v>未来工作应开发针对开放权重模型的提示技术。</x:v>
      </x:c>
      <x:c r="U38" s="2" t="str">
        <x:v>Accepted</x:v>
      </x:c>
      <x:c r="V38" s="6" t="str">
        <x:v>NA</x:v>
      </x:c>
      <x:c r="W38" s="6" t="str">
        <x:v>Agenda statement only</x:v>
      </x:c>
    </x:row>
    <x:row r="39" ht="76" customHeight="1">
      <x:c r="A39" s="2" t="str">
        <x:v>S07-FUTURE-R07</x:v>
      </x:c>
      <x:c r="B39" s="2" t="str">
        <x:v>S07</x:v>
      </x:c>
      <x:c r="C39" s="2" t="str">
        <x:v>merged_0110</x:v>
      </x:c>
      <x:c r="D39" s="2" t="str">
        <x:v>Reviewer_A</x:v>
      </x:c>
      <x:c r="E39" s="2" t="str">
        <x:v>Reviewer_A</x:v>
      </x:c>
      <x:c r="F39" s="2" t="str">
        <x:v>S07-D07</x:v>
      </x:c>
      <x:c r="G39" s="6" t="str">
        <x:v>SR</x:v>
      </x:c>
      <x:c r="H39" s="6" t="str">
        <x:v>Explicit future work</x:v>
      </x:c>
      <x:c r="I39" s="6" t="str">
        <x:v>增强文档以提高LLM在软件追溯中的可靠性</x:v>
      </x:c>
      <x:c r="J39" s="2" t="str">
        <x:v>NR</x:v>
      </x:c>
      <x:c r="K39" s="2" t="str">
        <x:v>文档不足影响LLM的可靠应用</x:v>
      </x:c>
      <x:c r="L39" s="2" t="str">
        <x:v>未来工作</x:v>
      </x:c>
      <x:c r="M39" s="6" t="str">
        <x:v>No</x:v>
      </x:c>
      <x:c r="N39" s="2" t="str">
        <x:v>Speculative</x:v>
      </x:c>
      <x:c r="O39" s="2" t="str">
        <x:v>documentation enhancement</x:v>
      </x:c>
      <x:c r="P39" s="2" t="str">
        <x:v>Future practice</x:v>
      </x:c>
      <x:c r="Q39" s="2" t="str">
        <x:v>Reliability, explainability, and human oversight</x:v>
      </x:c>
      <x:c r="R39" s="6" t="str">
        <x:v>p. 10; section 7</x:v>
      </x:c>
      <x:c r="S39" s="6" t="str">
        <x:v>enhancing documentation to improve LLMs’ reliability in software traceability</x:v>
      </x:c>
      <x:c r="T39" s="6" t="str">
        <x:v>未来工作应增强文档以提高LLM的可靠性。</x:v>
      </x:c>
      <x:c r="U39" s="2" t="str">
        <x:v>Accepted</x:v>
      </x:c>
      <x:c r="V39" s="6" t="str">
        <x:v>NA</x:v>
      </x:c>
      <x:c r="W39" s="6" t="str">
        <x:v>Agenda statement only</x:v>
      </x:c>
    </x:row>
    <x:row r="40" ht="76" customHeight="1">
      <x:c r="A40" s="2" t="str">
        <x:v>S07-FUTURE-R08</x:v>
      </x:c>
      <x:c r="B40" s="2" t="str">
        <x:v>S07</x:v>
      </x:c>
      <x:c r="C40" s="2" t="str">
        <x:v>merged_0110</x:v>
      </x:c>
      <x:c r="D40" s="2" t="str">
        <x:v>Reviewer_A</x:v>
      </x:c>
      <x:c r="E40" s="2" t="str">
        <x:v>Reviewer_A</x:v>
      </x:c>
      <x:c r="F40" s="2" t="str">
        <x:v>S07-D08</x:v>
      </x:c>
      <x:c r="G40" s="6" t="str">
        <x:v>SR</x:v>
      </x:c>
      <x:c r="H40" s="6" t="str">
        <x:v>Explicit future work</x:v>
      </x:c>
      <x:c r="I40" s="6" t="str">
        <x:v>增加功能以改善测试人员与需求工程师之间的沟通</x:v>
      </x:c>
      <x:c r="J40" s="2" t="str">
        <x:v>NR</x:v>
      </x:c>
      <x:c r="K40" s="2" t="str">
        <x:v>沟通不畅导致误解和对齐错误</x:v>
      </x:c>
      <x:c r="L40" s="2" t="str">
        <x:v>REST-at的改进</x:v>
      </x:c>
      <x:c r="M40" s="6" t="str">
        <x:v>No</x:v>
      </x:c>
      <x:c r="N40" s="2" t="str">
        <x:v>Speculative</x:v>
      </x:c>
      <x:c r="O40" s="2" t="str">
        <x:v>communication features</x:v>
      </x:c>
      <x:c r="P40" s="2" t="str">
        <x:v>Future tool feature</x:v>
      </x:c>
      <x:c r="Q40" s="2" t="str">
        <x:v>Integration, evolution, and deployment</x:v>
      </x:c>
      <x:c r="R40" s="6" t="str">
        <x:v>p. 10; section 7</x:v>
      </x:c>
      <x:c r="S40" s="6" t="str">
        <x:v>REST-at can be improved by adding features that enhance communication between testers and requirements engineers</x:v>
      </x:c>
      <x:c r="T40" s="6" t="str">
        <x:v>REST-at将增加促进需求与测试工程师沟通的功能。</x:v>
      </x:c>
      <x:c r="U40" s="2" t="str">
        <x:v>Accepted</x:v>
      </x:c>
      <x:c r="V40" s="6" t="str">
        <x:v>NA</x:v>
      </x:c>
      <x:c r="W40" s="6" t="str">
        <x:v>Agenda statement only</x:v>
      </x:c>
    </x:row>
    <x:row r="41" ht="76" customHeight="1">
      <x:c r="A41" s="2" t="str">
        <x:v>S07-FUTURE-R09</x:v>
      </x:c>
      <x:c r="B41" s="2" t="str">
        <x:v>S07</x:v>
      </x:c>
      <x:c r="C41" s="2" t="str">
        <x:v>merged_0110</x:v>
      </x:c>
      <x:c r="D41" s="2" t="str">
        <x:v>Reviewer_A</x:v>
      </x:c>
      <x:c r="E41" s="2" t="str">
        <x:v>Reviewer_A</x:v>
      </x:c>
      <x:c r="F41" s="2" t="str">
        <x:v>S07-D09</x:v>
      </x:c>
      <x:c r="G41" s="6" t="str">
        <x:v>SR</x:v>
      </x:c>
      <x:c r="H41" s="6" t="str">
        <x:v>Explicit future work</x:v>
      </x:c>
      <x:c r="I41" s="6" t="str">
        <x:v>将实验扩展到更新的模型版本</x:v>
      </x:c>
      <x:c r="J41" s="2" t="str">
        <x:v>NR</x:v>
      </x:c>
      <x:c r="K41" s="2" t="str">
        <x:v>模型版本更新可能影响结果</x:v>
      </x:c>
      <x:c r="L41" s="2" t="str">
        <x:v>计划中的后续工作</x:v>
      </x:c>
      <x:c r="M41" s="6" t="str">
        <x:v>No</x:v>
      </x:c>
      <x:c r="N41" s="2" t="str">
        <x:v>Speculative</x:v>
      </x:c>
      <x:c r="O41" s="2" t="str">
        <x:v>newer model versions</x:v>
      </x:c>
      <x:c r="P41" s="2" t="str">
        <x:v>Future replication</x:v>
      </x:c>
      <x:c r="Q41" s="2" t="str">
        <x:v>Broader empirical validation</x:v>
      </x:c>
      <x:c r="R41" s="6" t="str">
        <x:v>p. 2; section 1</x:v>
      </x:c>
      <x:c r="S41" s="6" t="str">
        <x:v>Extending the experiments to newer model versions is part of the planned follow-up work in collaboration with our industry partner</x:v>
      </x:c>
      <x:c r="T41" s="6" t="str">
        <x:v>计划将实验扩展到较新的模型版本。</x:v>
      </x:c>
      <x:c r="U41" s="2" t="str">
        <x:v>Accepted</x:v>
      </x:c>
      <x:c r="V41" s="6" t="str">
        <x:v>NA</x:v>
      </x:c>
      <x:c r="W41" s="6" t="str">
        <x:v>Agenda statement only</x:v>
      </x:c>
    </x:row>
    <x:row r="42" ht="76" customHeight="1">
      <x:c r="A42" s="2" t="str">
        <x:v>S08-FUTURE-R01</x:v>
      </x:c>
      <x:c r="B42" s="2" t="str">
        <x:v>S08</x:v>
      </x:c>
      <x:c r="C42" s="2" t="str">
        <x:v>merged_0256</x:v>
      </x:c>
      <x:c r="D42" s="2" t="str">
        <x:v>Reviewer_A</x:v>
      </x:c>
      <x:c r="E42" s="2" t="str">
        <x:v>Reviewer_A</x:v>
      </x:c>
      <x:c r="F42" s="2" t="str">
        <x:v>S08-D01</x:v>
      </x:c>
      <x:c r="G42" s="6" t="str">
        <x:v>SR</x:v>
      </x:c>
      <x:c r="H42" s="6" t="str">
        <x:v>Explicit future work</x:v>
      </x:c>
      <x:c r="I42" s="6" t="str">
        <x:v>未来工作之一：评估可用的开源LLMs在开源和工业数据上的表现。</x:v>
      </x:c>
      <x:c r="J42" s="2" t="str">
        <x:v>NR</x:v>
      </x:c>
      <x:c r="K42" s="2" t="str">
        <x:v>当前研究仅评估了GPT模型，需要探索开源LLMs的可行性，特别是对于不能使用外部API的行业。</x:v>
      </x:c>
      <x:c r="L42" s="2" t="str">
        <x:v>使用开源LLMs，并在开源和工业数据上评估。</x:v>
      </x:c>
      <x:c r="M42" s="6" t="str">
        <x:v>NR</x:v>
      </x:c>
      <x:c r="N42" s="2" t="str">
        <x:v>Speculative</x:v>
      </x:c>
      <x:c r="O42" s="2" t="str">
        <x:v>future work open-source LLMs</x:v>
      </x:c>
      <x:c r="P42" s="2" t="str">
        <x:v>future work</x:v>
      </x:c>
      <x:c r="Q42" s="2" t="str">
        <x:v>Broader empirical validation</x:v>
      </x:c>
      <x:c r="R42" s="6" t="str">
        <x:v>p. 11; Section 8, Conclusion and Future Work</x:v>
      </x:c>
      <x:c r="S42" s="6" t="str">
        <x:v>Our future work consists, on the one hand, of evaluating available open-source LLMs on both open-source and industry data</x:v>
      </x:c>
      <x:c r="T42" s="6" t="str">
        <x:v>作者计划评估开源LLMs在需求覆盖率评估任务上的性能。</x:v>
      </x:c>
      <x:c r="U42" s="2" t="str">
        <x:v>Accepted</x:v>
      </x:c>
      <x:c r="V42" s="6" t="str">
        <x:v>NA</x:v>
      </x:c>
      <x:c r="W42" s="6" t="str">
        <x:v>Agenda statement only</x:v>
      </x:c>
    </x:row>
    <x:row r="43" ht="76" customHeight="1">
      <x:c r="A43" s="2" t="str">
        <x:v>S08-FUTURE-R02</x:v>
      </x:c>
      <x:c r="B43" s="2" t="str">
        <x:v>S08</x:v>
      </x:c>
      <x:c r="C43" s="2" t="str">
        <x:v>merged_0256</x:v>
      </x:c>
      <x:c r="D43" s="2" t="str">
        <x:v>Reviewer_A</x:v>
      </x:c>
      <x:c r="E43" s="2" t="str">
        <x:v>Reviewer_A</x:v>
      </x:c>
      <x:c r="F43" s="2" t="str">
        <x:v>S08-D02</x:v>
      </x:c>
      <x:c r="G43" s="6" t="str">
        <x:v>SR</x:v>
      </x:c>
      <x:c r="H43" s="6" t="str">
        <x:v>Explicit future work</x:v>
      </x:c>
      <x:c r="I43" s="6" t="str">
        <x:v>未来工作之二：理解如何通过提示增强和额外数据源来辅助需求细化过程。</x:v>
      </x:c>
      <x:c r="J43" s="2" t="str">
        <x:v>NR</x:v>
      </x:c>
      <x:c r="K43" s="2" t="str">
        <x:v>进一步提升LLM在需求细化中的辅助能力，可能涉及更好的提示策略和利用额外知识。</x:v>
      </x:c>
      <x:c r="L43" s="2" t="str">
        <x:v>研究提示增强方法和额外数据源的集成。</x:v>
      </x:c>
      <x:c r="M43" s="6" t="str">
        <x:v>NR</x:v>
      </x:c>
      <x:c r="N43" s="2" t="str">
        <x:v>Speculative</x:v>
      </x:c>
      <x:c r="O43" s="2" t="str">
        <x:v>future work prompt augmentation</x:v>
      </x:c>
      <x:c r="P43" s="2" t="str">
        <x:v>future work</x:v>
      </x:c>
      <x:c r="Q43" s="2" t="str">
        <x:v>Context, retrieval, and model adaptation</x:v>
      </x:c>
      <x:c r="R43" s="6" t="str">
        <x:v>p. 11; Section 8</x:v>
      </x:c>
      <x:c r="S43" s="6" t="str">
        <x:v>understanding how prompt augmentation and additional data sources may be utilized to assist the requirements refinement process.</x:v>
      </x:c>
      <x:c r="T43" s="6" t="str">
        <x:v>作者计划探索如何利用提示增强和额外数据来改进需求细化过程。</x:v>
      </x:c>
      <x:c r="U43" s="2" t="str">
        <x:v>Accepted</x:v>
      </x:c>
      <x:c r="V43" s="6" t="str">
        <x:v>NA</x:v>
      </x:c>
      <x:c r="W43" s="6" t="str">
        <x:v>Agenda statement only</x:v>
      </x:c>
    </x:row>
    <x:row r="44" ht="76" customHeight="1">
      <x:c r="A44" s="2" t="str">
        <x:v>S08-FUTURE-R03</x:v>
      </x:c>
      <x:c r="B44" s="2" t="str">
        <x:v>S08</x:v>
      </x:c>
      <x:c r="C44" s="2" t="str">
        <x:v>merged_0256</x:v>
      </x:c>
      <x:c r="D44" s="2" t="str">
        <x:v>Reviewer_A</x:v>
      </x:c>
      <x:c r="E44" s="2" t="str">
        <x:v>Reviewer_A</x:v>
      </x:c>
      <x:c r="F44" s="2" t="str">
        <x:v>S08-D03</x:v>
      </x:c>
      <x:c r="G44" s="6" t="str">
        <x:v>SR</x:v>
      </x:c>
      <x:c r="H44" s="6" t="str">
        <x:v>Explicit recommendation</x:v>
      </x:c>
      <x:c r="I44" s="6" t="str">
        <x:v>建议进一步在工业数据上评估，以了解评估数据集中的覆盖率是否与工业实践可比，或是否需要更细粒度的判断。</x:v>
      </x:c>
      <x:c r="J44" s="2" t="str">
        <x:v>S08-L03</x:v>
      </x:c>
      <x:c r="K44" s="2" t="str">
        <x:v>当前评估数据集的代表性未知，需要工业数据验证。</x:v>
      </x:c>
      <x:c r="L44" s="2" t="str">
        <x:v>获取工业数据集并重复实验。</x:v>
      </x:c>
      <x:c r="M44" s="6" t="str">
        <x:v>NR</x:v>
      </x:c>
      <x:c r="N44" s="2" t="str">
        <x:v>Speculative</x:v>
      </x:c>
      <x:c r="O44" s="2" t="str">
        <x:v>future research industry data</x:v>
      </x:c>
      <x:c r="P44" s="2" t="str">
        <x:v>future research direction</x:v>
      </x:c>
      <x:c r="Q44" s="2" t="str">
        <x:v>Broader empirical validation</x:v>
      </x:c>
      <x:c r="R44" s="6" t="str">
        <x:v>p. 9; Section 7, Implications for Researchers</x:v>
      </x:c>
      <x:c r="S44" s="6" t="str">
        <x:v>several new research lines. First, further evaluation of industry data would shed light on whether coverage in the evaluation data sets</x:v>
      </x:c>
      <x:c r="T44" s="6" t="str">
        <x:v>建议在工业数据上进一步验证需求覆盖评估的实用性。</x:v>
      </x:c>
      <x:c r="U44" s="2" t="str">
        <x:v>Accepted</x:v>
      </x:c>
      <x:c r="V44" s="6" t="str">
        <x:v>NA</x:v>
      </x:c>
      <x:c r="W44" s="6" t="str">
        <x:v>Reported limitation-grounded</x:v>
      </x:c>
    </x:row>
    <x:row r="45" ht="76" customHeight="1">
      <x:c r="A45" s="2" t="str">
        <x:v>S08-FUTURE-R04</x:v>
      </x:c>
      <x:c r="B45" s="2" t="str">
        <x:v>S08</x:v>
      </x:c>
      <x:c r="C45" s="2" t="str">
        <x:v>merged_0256</x:v>
      </x:c>
      <x:c r="D45" s="2" t="str">
        <x:v>Reviewer_A</x:v>
      </x:c>
      <x:c r="E45" s="2" t="str">
        <x:v>Reviewer_A</x:v>
      </x:c>
      <x:c r="F45" s="2" t="str">
        <x:v>S08-D04</x:v>
      </x:c>
      <x:c r="G45" s="6" t="str">
        <x:v>SR</x:v>
      </x:c>
      <x:c r="H45" s="6" t="str">
        <x:v>Explicit recommendation</x:v>
      </x:c>
      <x:c r="I45" s="6" t="str">
        <x:v>需要分析是否离线本地部署的开源LLMs能达到相似的性能。</x:v>
      </x:c>
      <x:c r="J45" s="2" t="str">
        <x:v>NR</x:v>
      </x:c>
      <x:c r="K45" s="2" t="str">
        <x:v>对于处理敏感数据的行业，不能使用外部API，因此需要验证开源LLMs的有效性。</x:v>
      </x:c>
      <x:c r="L45" s="2" t="str">
        <x:v>部署开源LLMs并进行评估。</x:v>
      </x:c>
      <x:c r="M45" s="6" t="str">
        <x:v>NR</x:v>
      </x:c>
      <x:c r="N45" s="2" t="str">
        <x:v>Speculative</x:v>
      </x:c>
      <x:c r="O45" s="2" t="str">
        <x:v>future research open-source offline</x:v>
      </x:c>
      <x:c r="P45" s="2" t="str">
        <x:v>future research direction</x:v>
      </x:c>
      <x:c r="Q45" s="2" t="str">
        <x:v>Integration, evolution, and deployment</x:v>
      </x:c>
      <x:c r="R45" s="6" t="str">
        <x:v>p. 10; Section 7</x:v>
      </x:c>
      <x:c r="S45" s="6" t="str">
        <x:v>There is also a need to analyze whether offline, locally hosted, open-source LLMs achieve similar performance.</x:v>
      </x:c>
      <x:c r="T45" s="6" t="str">
        <x:v>建议研究离线开源模型作为替代方案。</x:v>
      </x:c>
      <x:c r="U45" s="2" t="str">
        <x:v>Accepted</x:v>
      </x:c>
      <x:c r="V45" s="6" t="str">
        <x:v>NA</x:v>
      </x:c>
      <x:c r="W45" s="6" t="str">
        <x:v>Agenda statement only</x:v>
      </x:c>
    </x:row>
    <x:row r="46" ht="76" customHeight="1">
      <x:c r="A46" s="2" t="str">
        <x:v>S08-FUTURE-R05</x:v>
      </x:c>
      <x:c r="B46" s="2" t="str">
        <x:v>S08</x:v>
      </x:c>
      <x:c r="C46" s="2" t="str">
        <x:v>merged_0256</x:v>
      </x:c>
      <x:c r="D46" s="2" t="str">
        <x:v>Reviewer_A</x:v>
      </x:c>
      <x:c r="E46" s="2" t="str">
        <x:v>Reviewer_A</x:v>
      </x:c>
      <x:c r="F46" s="2" t="str">
        <x:v>S08-D05</x:v>
      </x:c>
      <x:c r="G46" s="6" t="str">
        <x:v>SR</x:v>
      </x:c>
      <x:c r="H46" s="6" t="str">
        <x:v>Explicit recommendation</x:v>
      </x:c>
      <x:c r="I46" s="6" t="str">
        <x:v>其他研究方向包括：研究更鲁棒、高效、有效的提示策略（如少样本提示）或针对特定领域术语微调LLMs，例如空中交通管制领域。</x:v>
      </x:c>
      <x:c r="J46" s="2" t="str">
        <x:v>NR</x:v>
      </x:c>
      <x:c r="K46" s="2" t="str">
        <x:v>当前提示策略可能不最优，且模型可能缺乏领域特定知识。</x:v>
      </x:c>
      <x:c r="L46" s="2" t="str">
        <x:v>开发新的提示策略或微调技术。</x:v>
      </x:c>
      <x:c r="M46" s="6" t="str">
        <x:v>NR</x:v>
      </x:c>
      <x:c r="N46" s="2" t="str">
        <x:v>Speculative</x:v>
      </x:c>
      <x:c r="O46" s="2" t="str">
        <x:v>future research prompting strategies</x:v>
      </x:c>
      <x:c r="P46" s="2" t="str">
        <x:v>future research direction</x:v>
      </x:c>
      <x:c r="Q46" s="2" t="str">
        <x:v>Context, retrieval, and model adaptation</x:v>
      </x:c>
      <x:c r="R46" s="6" t="str">
        <x:v>p. 10; Section 7</x:v>
      </x:c>
      <x:c r="S46" s="6" t="str">
        <x:v>Other research lines include investigating more robust, efficient, and effective prompting strategies (e.g., few-shot prompts) or finetuning LLMs on domain-specific terminology, e.g., the air traffic</x:v>
      </x:c>
      <x:c r="T46" s="6" t="str">
        <x:v>建议探索更好的提示工程和领域微调以提升性能。</x:v>
      </x:c>
      <x:c r="U46" s="2" t="str">
        <x:v>Accepted</x:v>
      </x:c>
      <x:c r="V46" s="6" t="str">
        <x:v>NA</x:v>
      </x:c>
      <x:c r="W46" s="6" t="str">
        <x:v>Agenda statement only</x:v>
      </x:c>
    </x:row>
    <x:row r="47" ht="76" customHeight="1">
      <x:c r="A47" s="2" t="str">
        <x:v>S08-FUTURE-R06</x:v>
      </x:c>
      <x:c r="B47" s="2" t="str">
        <x:v>S08</x:v>
      </x:c>
      <x:c r="C47" s="2" t="str">
        <x:v>merged_0256</x:v>
      </x:c>
      <x:c r="D47" s="2" t="str">
        <x:v>Reviewer_A</x:v>
      </x:c>
      <x:c r="E47" s="2" t="str">
        <x:v>Reviewer_A</x:v>
      </x:c>
      <x:c r="F47" s="2" t="str">
        <x:v>S08-D06</x:v>
      </x:c>
      <x:c r="G47" s="6" t="str">
        <x:v>SR</x:v>
      </x:c>
      <x:c r="H47" s="6" t="str">
        <x:v>Explicit recommendation</x:v>
      </x:c>
      <x:c r="I47" s="6" t="str">
        <x:v>最后，随着LLMs针对源代码进行微调，将覆盖挑战扩展到代码工件（如需求到测试用例覆盖）是可行的。</x:v>
      </x:c>
      <x:c r="J47" s="2" t="str">
        <x:v>NR</x:v>
      </x:c>
      <x:c r="K47" s="2" t="str">
        <x:v>目前只处理了自然语言需求，可以扩展到代码相关的追溯覆盖。</x:v>
      </x:c>
      <x:c r="L47" s="2" t="str">
        <x:v>需要LLMs微调到代码，并定义代码覆盖评估任务。</x:v>
      </x:c>
      <x:c r="M47" s="6" t="str">
        <x:v>NR</x:v>
      </x:c>
      <x:c r="N47" s="2" t="str">
        <x:v>Speculative</x:v>
      </x:c>
      <x:c r="O47" s="2" t="str">
        <x:v>future research code coverage</x:v>
      </x:c>
      <x:c r="P47" s="2" t="str">
        <x:v>future research direction</x:v>
      </x:c>
      <x:c r="Q47" s="2" t="str">
        <x:v>Broader empirical validation</x:v>
      </x:c>
      <x:c r="R47" s="6" t="str">
        <x:v>p. 10; Section 7</x:v>
      </x:c>
      <x:c r="S47" s="6" t="str">
        <x:v>Finally, with LLMs being fine-tuned to source code, extending the coverage challenge to code artifacts such as requirements to test cases coverage is within reach.</x:v>
      </x:c>
      <x:c r="T47" s="6" t="str">
        <x:v>建议将LLM用于需求到测试用例等代码覆盖任务。</x:v>
      </x:c>
      <x:c r="U47" s="2" t="str">
        <x:v>Accepted</x:v>
      </x:c>
      <x:c r="V47" s="6" t="str">
        <x:v>NA</x:v>
      </x:c>
      <x:c r="W47" s="6" t="str">
        <x:v>Agenda statement only</x:v>
      </x:c>
    </x:row>
    <x:row r="48" ht="76" customHeight="1">
      <x:c r="A48" s="2" t="str">
        <x:v>S09-FUTURE-R01</x:v>
      </x:c>
      <x:c r="B48" s="2" t="str">
        <x:v>S09</x:v>
      </x:c>
      <x:c r="C48" s="2" t="str">
        <x:v>merged_1114-v1</x:v>
      </x:c>
      <x:c r="D48" s="2" t="str">
        <x:v>Reviewer_A</x:v>
      </x:c>
      <x:c r="E48" s="2" t="str">
        <x:v>Reviewer_A</x:v>
      </x:c>
      <x:c r="F48" s="2" t="str">
        <x:v>S09-D01</x:v>
      </x:c>
      <x:c r="G48" s="6" t="str">
        <x:v>SR</x:v>
      </x:c>
      <x:c r="H48" s="6" t="str">
        <x:v>Explicit future work</x:v>
      </x:c>
      <x:c r="I48" s="6" t="str">
        <x:v>自动化冲突解决。</x:v>
      </x:c>
      <x:c r="J48" s="2" t="str">
        <x:v>NR</x:v>
      </x:c>
      <x:c r="K48" s="2" t="str">
        <x:v>当前冲突检测后的解决仍需人工介入。</x:v>
      </x:c>
      <x:c r="L48" s="2" t="str">
        <x:v>NR</x:v>
      </x:c>
      <x:c r="M48" s="6" t="str">
        <x:v>No</x:v>
      </x:c>
      <x:c r="N48" s="2" t="str">
        <x:v>Speculative</x:v>
      </x:c>
      <x:c r="O48" s="2" t="str">
        <x:v>NR</x:v>
      </x:c>
      <x:c r="P48" s="2" t="str">
        <x:v>NR</x:v>
      </x:c>
      <x:c r="Q48" s="2" t="str">
        <x:v>Integration, evolution, and deployment</x:v>
      </x:c>
      <x:c r="R48" s="6" t="str">
        <x:v>p. 8; Conclusion</x:v>
      </x:c>
      <x:c r="S48" s="6" t="str">
        <x:v>automated conflict resolution</x:v>
      </x:c>
      <x:c r="T48" s="6" t="str">
        <x:v>未来可研究自动解决检测到的冲突，减少人工参与。</x:v>
      </x:c>
      <x:c r="U48" s="2" t="str">
        <x:v>Accepted</x:v>
      </x:c>
      <x:c r="V48" s="6" t="str">
        <x:v>NA</x:v>
      </x:c>
      <x:c r="W48" s="6" t="str">
        <x:v>Agenda statement only</x:v>
      </x:c>
    </x:row>
    <x:row r="49" ht="76" customHeight="1">
      <x:c r="A49" s="2" t="str">
        <x:v>S09-FUTURE-R02</x:v>
      </x:c>
      <x:c r="B49" s="2" t="str">
        <x:v>S09</x:v>
      </x:c>
      <x:c r="C49" s="2" t="str">
        <x:v>merged_1114-v1</x:v>
      </x:c>
      <x:c r="D49" s="2" t="str">
        <x:v>Reviewer_A</x:v>
      </x:c>
      <x:c r="E49" s="2" t="str">
        <x:v>Reviewer_A</x:v>
      </x:c>
      <x:c r="F49" s="2" t="str">
        <x:v>S09-D02</x:v>
      </x:c>
      <x:c r="G49" s="6" t="str">
        <x:v>SR</x:v>
      </x:c>
      <x:c r="H49" s="6" t="str">
        <x:v>Explicit future work</x:v>
      </x:c>
      <x:c r="I49" s="6" t="str">
        <x:v>领域泛化到相邻受监管领域，如航空电子设备和医疗设备。</x:v>
      </x:c>
      <x:c r="J49" s="2" t="str">
        <x:v>S09-L01</x:v>
      </x:c>
      <x:c r="K49" s="2" t="str">
        <x:v>当前方法仅在汽车领域验证，需扩展到其他安全关键领域。</x:v>
      </x:c>
      <x:c r="L49" s="2" t="str">
        <x:v>NR</x:v>
      </x:c>
      <x:c r="M49" s="6" t="str">
        <x:v>No</x:v>
      </x:c>
      <x:c r="N49" s="2" t="str">
        <x:v>Speculative</x:v>
      </x:c>
      <x:c r="O49" s="2" t="str">
        <x:v>NR</x:v>
      </x:c>
      <x:c r="P49" s="2" t="str">
        <x:v>NR</x:v>
      </x:c>
      <x:c r="Q49" s="2" t="str">
        <x:v>Broader empirical validation</x:v>
      </x:c>
      <x:c r="R49" s="6" t="str">
        <x:v>p. 8; Conclusion</x:v>
      </x:c>
      <x:c r="S49" s="6" t="str">
        <x:v>domain generalization to adjacent regulated areas such as avionics and medical devices</x:v>
      </x:c>
      <x:c r="T49" s="6" t="str">
        <x:v>将框架应用于航空和医疗等同样有严格法规的领域，验证其通用性。</x:v>
      </x:c>
      <x:c r="U49" s="2" t="str">
        <x:v>Accepted</x:v>
      </x:c>
      <x:c r="V49" s="6" t="str">
        <x:v>NA</x:v>
      </x:c>
      <x:c r="W49" s="6" t="str">
        <x:v>Empirical limitation-grounded</x:v>
      </x:c>
    </x:row>
    <x:row r="50" ht="76" customHeight="1">
      <x:c r="A50" s="2" t="str">
        <x:v>S09-FUTURE-R03</x:v>
      </x:c>
      <x:c r="B50" s="2" t="str">
        <x:v>S09</x:v>
      </x:c>
      <x:c r="C50" s="2" t="str">
        <x:v>merged_1114-v1</x:v>
      </x:c>
      <x:c r="D50" s="2" t="str">
        <x:v>Reviewer_A</x:v>
      </x:c>
      <x:c r="E50" s="2" t="str">
        <x:v>Reviewer_A</x:v>
      </x:c>
      <x:c r="F50" s="2" t="str">
        <x:v>S09-D03</x:v>
      </x:c>
      <x:c r="G50" s="6" t="str">
        <x:v>SR</x:v>
      </x:c>
      <x:c r="H50" s="6" t="str">
        <x:v>Explicit future work</x:v>
      </x:c>
      <x:c r="I50" s="6" t="str">
        <x:v>在无真实标签情况下的置信度校准。</x:v>
      </x:c>
      <x:c r="J50" s="2" t="str">
        <x:v>S09-L03</x:v>
      </x:c>
      <x:c r="K50" s="2" t="str">
        <x:v>缺乏基准真值时如何进行有效的置信度校准。</x:v>
      </x:c>
      <x:c r="L50" s="2" t="str">
        <x:v>NR</x:v>
      </x:c>
      <x:c r="M50" s="6" t="str">
        <x:v>No</x:v>
      </x:c>
      <x:c r="N50" s="2" t="str">
        <x:v>Speculative</x:v>
      </x:c>
      <x:c r="O50" s="2" t="str">
        <x:v>NR</x:v>
      </x:c>
      <x:c r="P50" s="2" t="str">
        <x:v>NR</x:v>
      </x:c>
      <x:c r="Q50" s="2" t="str">
        <x:v>Reliability, explainability, and human oversight</x:v>
      </x:c>
      <x:c r="R50" s="6" t="str">
        <x:v>p. 8; Conclusion</x:v>
      </x:c>
      <x:c r="S50" s="6" t="str">
        <x:v>confidence calibration in the absence of ground truth</x:v>
      </x:c>
      <x:c r="T50" s="6" t="str">
        <x:v>探索不依赖标注数据实现置信度校准的方法，以支持无监督或零样本场景。</x:v>
      </x:c>
      <x:c r="U50" s="2" t="str">
        <x:v>Accepted</x:v>
      </x:c>
      <x:c r="V50" s="6" t="str">
        <x:v>NA</x:v>
      </x:c>
      <x:c r="W50" s="6" t="str">
        <x:v>Empirical limitation-grounded</x:v>
      </x:c>
    </x:row>
    <x:row r="51" ht="76" customHeight="1">
      <x:c r="A51" s="2" t="str">
        <x:v>S10-FUTURE-R01</x:v>
      </x:c>
      <x:c r="B51" s="2" t="str">
        <x:v>S10</x:v>
      </x:c>
      <x:c r="C51" s="2" t="str">
        <x:v>merged_1119-v2</x:v>
      </x:c>
      <x:c r="D51" s="2" t="str">
        <x:v>Reviewer_A</x:v>
      </x:c>
      <x:c r="E51" s="2" t="str">
        <x:v>Reviewer_A</x:v>
      </x:c>
      <x:c r="F51" s="2" t="str">
        <x:v>S10-D01</x:v>
      </x:c>
      <x:c r="G51" s="6" t="str">
        <x:v>SR</x:v>
      </x:c>
      <x:c r="H51" s="6" t="str">
        <x:v>Explicit future work</x:v>
      </x:c>
      <x:c r="I51" s="6" t="str">
        <x:v>检查任务特定提示是否能提升较小的开源LLM的性能。</x:v>
      </x:c>
      <x:c r="J51" s="2" t="str">
        <x:v>NR</x:v>
      </x:c>
      <x:c r="K51" s="2" t="str">
        <x:v>较小的LLM在重排序中表现不佳</x:v>
      </x:c>
      <x:c r="L51" s="2" t="str">
        <x:v>NR</x:v>
      </x:c>
      <x:c r="M51" s="6" t="str">
        <x:v>NR</x:v>
      </x:c>
      <x:c r="N51" s="2" t="str">
        <x:v>Speculative</x:v>
      </x:c>
      <x:c r="O51" s="2" t="str">
        <x:v>prompt_engineering</x:v>
      </x:c>
      <x:c r="P51" s="2" t="str">
        <x:v>future_work</x:v>
      </x:c>
      <x:c r="Q51" s="2" t="str">
        <x:v>Context, retrieval, and model adaptation</x:v>
      </x:c>
      <x:c r="R51" s="6" t="str">
        <x:v>p. 10; section 9 Conclusion</x:v>
      </x:c>
      <x:c r="S51" s="6" t="str">
        <x:v>Future work should examine whether task-specific prompts can improve smaller open-source LLMs.</x:v>
      </x:c>
      <x:c r="T51" s="6" t="str">
        <x:v>未来可研究通过优化提示词提升小模型表现。</x:v>
      </x:c>
      <x:c r="U51" s="2" t="str">
        <x:v>Accepted</x:v>
      </x:c>
      <x:c r="V51" s="6" t="str">
        <x:v>NR</x:v>
      </x:c>
      <x:c r="W51" s="6" t="str">
        <x:v>Agenda statement only</x:v>
      </x:c>
    </x:row>
    <x:row r="52" ht="76" customHeight="1">
      <x:c r="A52" s="2" t="str">
        <x:v>S10-FUTURE-R02</x:v>
      </x:c>
      <x:c r="B52" s="2" t="str">
        <x:v>S10</x:v>
      </x:c>
      <x:c r="C52" s="2" t="str">
        <x:v>merged_1119-v2</x:v>
      </x:c>
      <x:c r="D52" s="2" t="str">
        <x:v>Reviewer_A</x:v>
      </x:c>
      <x:c r="E52" s="2" t="str">
        <x:v>Reviewer_A</x:v>
      </x:c>
      <x:c r="F52" s="2" t="str">
        <x:v>S10-D02</x:v>
      </x:c>
      <x:c r="G52" s="6" t="str">
        <x:v>SR</x:v>
      </x:c>
      <x:c r="H52" s="6" t="str">
        <x:v>Explicit future work</x:v>
      </x:c>
      <x:c r="I52" s="6" t="str">
        <x:v>对新模型（如 Claude 和 Gemini）进行基准测试，并与专有方法和传统方法（如 RCLinker）进行比较。</x:v>
      </x:c>
      <x:c r="J52" s="2" t="str">
        <x:v>NR</x:v>
      </x:c>
      <x:c r="K52" s="2" t="str">
        <x:v>未将较新的模型纳入比较</x:v>
      </x:c>
      <x:c r="L52" s="2" t="str">
        <x:v>NR</x:v>
      </x:c>
      <x:c r="M52" s="6" t="str">
        <x:v>NR</x:v>
      </x:c>
      <x:c r="N52" s="2" t="str">
        <x:v>Speculative</x:v>
      </x:c>
      <x:c r="O52" s="2" t="str">
        <x:v>model_benchmarking</x:v>
      </x:c>
      <x:c r="P52" s="2" t="str">
        <x:v>future_work</x:v>
      </x:c>
      <x:c r="Q52" s="2" t="str">
        <x:v>Benchmark and measurement rigor</x:v>
      </x:c>
      <x:c r="R52" s="6" t="str">
        <x:v>p. 10; section 9 Conclusion</x:v>
      </x:c>
      <x:c r="S52" s="6" t="str">
        <x:v>It should also benchmark newer models, such as Claude and Gemini, against proprietary and traditional methods (e.g., RCLinker).</x:v>
      </x:c>
      <x:c r="T52" s="6" t="str">
        <x:v>建议扩展基准测试，纳入最新的商业和传统方法。</x:v>
      </x:c>
      <x:c r="U52" s="2" t="str">
        <x:v>Accepted</x:v>
      </x:c>
      <x:c r="V52" s="6" t="str">
        <x:v>NR</x:v>
      </x:c>
      <x:c r="W52" s="6" t="str">
        <x:v>Agenda statement only</x:v>
      </x:c>
    </x:row>
    <x:row r="53" ht="76" customHeight="1">
      <x:c r="A53" s="2" t="str">
        <x:v>S10-FUTURE-R03</x:v>
      </x:c>
      <x:c r="B53" s="2" t="str">
        <x:v>S10</x:v>
      </x:c>
      <x:c r="C53" s="2" t="str">
        <x:v>merged_1119-v2</x:v>
      </x:c>
      <x:c r="D53" s="2" t="str">
        <x:v>Reviewer_A</x:v>
      </x:c>
      <x:c r="E53" s="2" t="str">
        <x:v>Reviewer_A</x:v>
      </x:c>
      <x:c r="F53" s="2" t="str">
        <x:v>S10-D03</x:v>
      </x:c>
      <x:c r="G53" s="6" t="str">
        <x:v>SR</x:v>
      </x:c>
      <x:c r="H53" s="6" t="str">
        <x:v>Explicit future work</x:v>
      </x:c>
      <x:c r="I53" s="6" t="str">
        <x:v>改进负采样和学习型融合策略以进一步提高检索性能。</x:v>
      </x:c>
      <x:c r="J53" s="2" t="str">
        <x:v>NR</x:v>
      </x:c>
      <x:c r="K53" s="2" t="str">
        <x:v>检索性能仍有提升空间</x:v>
      </x:c>
      <x:c r="L53" s="2" t="str">
        <x:v>NR</x:v>
      </x:c>
      <x:c r="M53" s="6" t="str">
        <x:v>NR</x:v>
      </x:c>
      <x:c r="N53" s="2" t="str">
        <x:v>Speculative</x:v>
      </x:c>
      <x:c r="O53" s="2" t="str">
        <x:v>negative_sampling</x:v>
      </x:c>
      <x:c r="P53" s="2" t="str">
        <x:v>future_work</x:v>
      </x:c>
      <x:c r="Q53" s="2" t="str">
        <x:v>Context, retrieval, and model adaptation</x:v>
      </x:c>
      <x:c r="R53" s="6" t="str">
        <x:v>p. 10; section 9 Conclusion</x:v>
      </x:c>
      <x:c r="S53" s="6" t="str">
        <x:v>Finally, improved negative sampling and learned fusion strategies could further enhance retrieval performance.</x:v>
      </x:c>
      <x:c r="T53" s="6" t="str">
        <x:v>通过负采样和融合策略优化，检索效果有望进一步提升。</x:v>
      </x:c>
      <x:c r="U53" s="2" t="str">
        <x:v>Accepted</x:v>
      </x:c>
      <x:c r="V53" s="6" t="str">
        <x:v>NR</x:v>
      </x:c>
      <x:c r="W53" s="6" t="str">
        <x:v>Agenda statement only</x:v>
      </x:c>
    </x:row>
    <x:row r="54" ht="76" customHeight="1">
      <x:c r="A54" s="2" t="str">
        <x:v>S11-FUTURE-R01</x:v>
      </x:c>
      <x:c r="B54" s="2" t="str">
        <x:v>S11</x:v>
      </x:c>
      <x:c r="C54" s="2" t="str">
        <x:v>merged_1121-v1</x:v>
      </x:c>
      <x:c r="D54" s="2" t="str">
        <x:v>Reviewer_A</x:v>
      </x:c>
      <x:c r="E54" s="2" t="str">
        <x:v>Reviewer_A</x:v>
      </x:c>
      <x:c r="F54" s="2" t="str">
        <x:v>S11-D01</x:v>
      </x:c>
      <x:c r="G54" s="6" t="str">
        <x:v>SR</x:v>
      </x:c>
      <x:c r="H54" s="6" t="str">
        <x:v>Explicit future work</x:v>
      </x:c>
      <x:c r="I54" s="6" t="str">
        <x:v>将R2Code扩展到更大规模的工业仓库和额外的软件工件（如设计文档、问题讨论和提交），以在更现实的开发环境中评估其适用性。</x:v>
      </x:c>
      <x:c r="J54" s="2" t="str">
        <x:v>S11-L03</x:v>
      </x:c>
      <x:c r="K54" s="2" t="str">
        <x:v>当前评估仅限于公共数据集，未涵盖工业规模和其他工件类型</x:v>
      </x:c>
      <x:c r="L54" s="2" t="str">
        <x:v>需要大规模工业仓库和多类型工件数据</x:v>
      </x:c>
      <x:c r="M54" s="6" t="str">
        <x:v>No</x:v>
      </x:c>
      <x:c r="N54" s="2" t="str">
        <x:v>Speculative</x:v>
      </x:c>
      <x:c r="O54" s="2" t="str">
        <x:v>Industrial Extension</x:v>
      </x:c>
      <x:c r="P54" s="2" t="str">
        <x:v>Future Work</x:v>
      </x:c>
      <x:c r="Q54" s="2" t="str">
        <x:v>Broader empirical validation</x:v>
      </x:c>
      <x:c r="R54" s="6" t="str">
        <x:v>p. 9; Section VIII Conclusion</x:v>
      </x:c>
      <x:c r="S54" s="6" t="str">
        <x:v>Future work will extend R2Code to larger-scale industrial repositories and additional software artifacts, such as design documents, issue discussions, and commits, to further evaluate its applicability in more realistic development settings.</x:v>
      </x:c>
      <x:c r="T54" s="6" t="str">
        <x:v>未来工作将扩展至工业场景和多类型工件评估。</x:v>
      </x:c>
      <x:c r="U54" s="2" t="str">
        <x:v>Accepted</x:v>
      </x:c>
      <x:c r="V54" s="6" t="str">
        <x:v>NA</x:v>
      </x:c>
      <x:c r="W54" s="6" t="str">
        <x:v>Reported limitation-grounded</x:v>
      </x:c>
    </x:row>
    <x:row r="55" ht="76" customHeight="1">
      <x:c r="A55" s="2" t="str">
        <x:v>S11-FUTURE-R02</x:v>
      </x:c>
      <x:c r="B55" s="2" t="str">
        <x:v>S11</x:v>
      </x:c>
      <x:c r="C55" s="2" t="str">
        <x:v>merged_1121-v1</x:v>
      </x:c>
      <x:c r="D55" s="2" t="str">
        <x:v>Reviewer_A</x:v>
      </x:c>
      <x:c r="E55" s="2" t="str">
        <x:v>Reviewer_A</x:v>
      </x:c>
      <x:c r="F55" s="2" t="str">
        <x:v>S11-D02</x:v>
      </x:c>
      <x:c r="G55" s="6" t="str">
        <x:v>SR</x:v>
      </x:c>
      <x:c r="H55" s="6" t="str">
        <x:v>Explicit future work</x:v>
      </x:c>
      <x:c r="I55" s="6" t="str">
        <x:v>通过引入增量摘要刷新和针对高度分散实现的更自适应证据扩展，增强不断演进代码库中的鲁棒性。</x:v>
      </x:c>
      <x:c r="J55" s="2" t="str">
        <x:v>S11-L05</x:v>
      </x:c>
      <x:c r="K55" s="2" t="str">
        <x:v>代码演化导致摘要过时，高度分散实现可能缺失中间证据</x:v>
      </x:c>
      <x:c r="L55" s="2" t="str">
        <x:v>开发增量刷新机制和自适应扩展策略</x:v>
      </x:c>
      <x:c r="M55" s="6" t="str">
        <x:v>NR</x:v>
      </x:c>
      <x:c r="N55" s="2" t="str">
        <x:v>Speculative</x:v>
      </x:c>
      <x:c r="O55" s="2" t="str">
        <x:v>Incremental Refresh</x:v>
      </x:c>
      <x:c r="P55" s="2" t="str">
        <x:v>Future Work</x:v>
      </x:c>
      <x:c r="Q55" s="2" t="str">
        <x:v>Integration, evolution, and deployment</x:v>
      </x:c>
      <x:c r="R55" s="6" t="str">
        <x:v>p. 9; Section VIII Conclusion</x:v>
      </x:c>
      <x:c r="S55" s="6" t="str">
        <x:v>strengthen robustness in continuously evolving codebases by introducing incremental summary refresh and more adaptive evidence expansion for highly scattered implementations.</x:v>
      </x:c>
      <x:c r="T55" s="6" t="str">
        <x:v>增强演进代码库的鲁棒性。</x:v>
      </x:c>
      <x:c r="U55" s="2" t="str">
        <x:v>Accepted</x:v>
      </x:c>
      <x:c r="V55" s="6" t="str">
        <x:v>NA</x:v>
      </x:c>
      <x:c r="W55" s="6" t="str">
        <x:v>Reported limitation-grounded</x:v>
      </x:c>
    </x:row>
    <x:row r="56" ht="76" customHeight="1">
      <x:c r="A56" s="2" t="str">
        <x:v>S11-FUTURE-R03</x:v>
      </x:c>
      <x:c r="B56" s="2" t="str">
        <x:v>S11</x:v>
      </x:c>
      <x:c r="C56" s="2" t="str">
        <x:v>merged_1121-v1</x:v>
      </x:c>
      <x:c r="D56" s="2" t="str">
        <x:v>Reviewer_A</x:v>
      </x:c>
      <x:c r="E56" s="2" t="str">
        <x:v>Reviewer_A</x:v>
      </x:c>
      <x:c r="F56" s="2" t="str">
        <x:v>S11-D03</x:v>
      </x:c>
      <x:c r="G56" s="6" t="str">
        <x:v>SR</x:v>
      </x:c>
      <x:c r="H56" s="6" t="str">
        <x:v>Explicit future work</x:v>
      </x:c>
      <x:c r="I56" s="6" t="str">
        <x:v>探索更可控的分解和验证策略，以提高追踪决策的可靠性和可解释性。</x:v>
      </x:c>
      <x:c r="J56" s="2" t="str">
        <x:v>S11-L02</x:v>
      </x:c>
      <x:c r="K56" s="2" t="str">
        <x:v>当前分解和验证可能不够可控，影响可靠性和可解释性</x:v>
      </x:c>
      <x:c r="L56" s="2" t="str">
        <x:v>研究新的分解和验证方法</x:v>
      </x:c>
      <x:c r="M56" s="6" t="str">
        <x:v>NR</x:v>
      </x:c>
      <x:c r="N56" s="2" t="str">
        <x:v>Speculative</x:v>
      </x:c>
      <x:c r="O56" s="2" t="str">
        <x:v>Controllable Strategies</x:v>
      </x:c>
      <x:c r="P56" s="2" t="str">
        <x:v>Future Work</x:v>
      </x:c>
      <x:c r="Q56" s="2" t="str">
        <x:v>Reliability, explainability, and human oversight</x:v>
      </x:c>
      <x:c r="R56" s="6" t="str">
        <x:v>p. 9; Section VIII Conclusion</x:v>
      </x:c>
      <x:c r="S56" s="6" t="str">
        <x:v>explore more controllable decomposition and verification strategies to improve the reliability and interpretability of trace decisions.</x:v>
      </x:c>
      <x:c r="T56" s="6" t="str">
        <x:v>提高可解释性。</x:v>
      </x:c>
      <x:c r="U56" s="2" t="str">
        <x:v>Accepted</x:v>
      </x:c>
      <x:c r="V56" s="6" t="str">
        <x:v>NA</x:v>
      </x:c>
      <x:c r="W56" s="6" t="str">
        <x:v>Reported limitation-grounded</x:v>
      </x:c>
    </x:row>
    <x:row r="57" ht="76" customHeight="1">
      <x:c r="A57" s="2" t="str">
        <x:v>S11-FUTURE-R04</x:v>
      </x:c>
      <x:c r="B57" s="2" t="str">
        <x:v>S11</x:v>
      </x:c>
      <x:c r="C57" s="2" t="str">
        <x:v>merged_1121-v1</x:v>
      </x:c>
      <x:c r="D57" s="2" t="str">
        <x:v>Reviewer_A</x:v>
      </x:c>
      <x:c r="E57" s="2" t="str">
        <x:v>Reviewer_A</x:v>
      </x:c>
      <x:c r="F57" s="2" t="str">
        <x:v>S11-D04</x:v>
      </x:c>
      <x:c r="G57" s="6" t="str">
        <x:v>SR</x:v>
      </x:c>
      <x:c r="H57" s="6" t="str">
        <x:v>Explicit future work</x:v>
      </x:c>
      <x:c r="I57" s="6" t="str">
        <x:v>调查多语言追踪设置和更广泛的跨项目场景，以进一步增强所提出框架的泛化能力和实际采用。</x:v>
      </x:c>
      <x:c r="J57" s="2" t="str">
        <x:v>S11-L03</x:v>
      </x:c>
      <x:c r="K57" s="2" t="str">
        <x:v>当前仅跨域和两种语言评估，未涵盖多语言和跨项目场景</x:v>
      </x:c>
      <x:c r="L57" s="2" t="str">
        <x:v>需要多语言和多项目数据集</x:v>
      </x:c>
      <x:c r="M57" s="6" t="str">
        <x:v>No</x:v>
      </x:c>
      <x:c r="N57" s="2" t="str">
        <x:v>Speculative</x:v>
      </x:c>
      <x:c r="O57" s="2" t="str">
        <x:v>Multilingual and Cross-project</x:v>
      </x:c>
      <x:c r="P57" s="2" t="str">
        <x:v>Future Work</x:v>
      </x:c>
      <x:c r="Q57" s="2" t="str">
        <x:v>Broader empirical validation</x:v>
      </x:c>
      <x:c r="R57" s="6" t="str">
        <x:v>p. 9; Section VIII Conclusion</x:v>
      </x:c>
      <x:c r="S57" s="6" t="str">
        <x:v>investigate multilingual traceability settings and broader crossproject scenarios to further enhance the generalization and practical adoption of the proposed framework.</x:v>
      </x:c>
      <x:c r="T57" s="6" t="str">
        <x:v>多语言与跨项目扩展。</x:v>
      </x:c>
      <x:c r="U57" s="2" t="str">
        <x:v>Accepted</x:v>
      </x:c>
      <x:c r="V57" s="6" t="str">
        <x:v>NA</x:v>
      </x:c>
      <x:c r="W57" s="6" t="str">
        <x:v>Reported limitation-grounded</x:v>
      </x:c>
    </x:row>
    <x:row r="58" ht="76" customHeight="1">
      <x:c r="A58" s="2" t="str">
        <x:v>S12-FUTURE-R01</x:v>
      </x:c>
      <x:c r="B58" s="2" t="str">
        <x:v>S12</x:v>
      </x:c>
      <x:c r="C58" s="2" t="str">
        <x:v>merged_1133</x:v>
      </x:c>
      <x:c r="D58" s="2" t="str">
        <x:v>Reviewer_A</x:v>
      </x:c>
      <x:c r="E58" s="2" t="str">
        <x:v>Reviewer_A</x:v>
      </x:c>
      <x:c r="F58" s="2" t="str">
        <x:v>S12-D01</x:v>
      </x:c>
      <x:c r="G58" s="6" t="str">
        <x:v>SR</x:v>
      </x:c>
      <x:c r="H58" s="6" t="str">
        <x:v>Explicit future work</x:v>
      </x:c>
      <x:c r="I58" s="6" t="str">
        <x:v>评估TraceLLM在动态项目环境中进行追溯链接的维护和演化。</x:v>
      </x:c>
      <x:c r="J58" s="2" t="str">
        <x:v>NR</x:v>
      </x:c>
      <x:c r="K58" s="2" t="str">
        <x:v>动态项目环境中的追溯链接维护与演化</x:v>
      </x:c>
      <x:c r="L58" s="2" t="str">
        <x:v>NR</x:v>
      </x:c>
      <x:c r="M58" s="6" t="str">
        <x:v>NR</x:v>
      </x:c>
      <x:c r="N58" s="2" t="str">
        <x:v>Speculative</x:v>
      </x:c>
      <x:c r="O58" s="2" t="str">
        <x:v>traceability evolution</x:v>
      </x:c>
      <x:c r="P58" s="2" t="str">
        <x:v>Future Work</x:v>
      </x:c>
      <x:c r="Q58" s="2" t="str">
        <x:v>Integration, evolution, and deployment</x:v>
      </x:c>
      <x:c r="R58" s="6" t="str">
        <x:v>p. 40; Section 8</x:v>
      </x:c>
      <x:c r="S58" s="6" t="str">
        <x:v>evaluating TraceLLM in the context of trace link maintenance and evolution within dynamic project environments</x:v>
      </x:c>
      <x:c r="T58" s="6" t="str">
        <x:v>未来工作可研究TraceLLM在需求变更频繁的项目中如何维护和更新已有追溯链接。</x:v>
      </x:c>
      <x:c r="U58" s="2" t="str">
        <x:v>Accepted</x:v>
      </x:c>
      <x:c r="V58" s="6" t="str">
        <x:v>NA</x:v>
      </x:c>
      <x:c r="W58" s="6" t="str">
        <x:v>Agenda statement only</x:v>
      </x:c>
    </x:row>
    <x:row r="59" ht="76" customHeight="1">
      <x:c r="A59" s="2" t="str">
        <x:v>S12-FUTURE-R02</x:v>
      </x:c>
      <x:c r="B59" s="2" t="str">
        <x:v>S12</x:v>
      </x:c>
      <x:c r="C59" s="2" t="str">
        <x:v>merged_1133</x:v>
      </x:c>
      <x:c r="D59" s="2" t="str">
        <x:v>Reviewer_A</x:v>
      </x:c>
      <x:c r="E59" s="2" t="str">
        <x:v>Reviewer_A</x:v>
      </x:c>
      <x:c r="F59" s="2" t="str">
        <x:v>S12-D02</x:v>
      </x:c>
      <x:c r="G59" s="6" t="str">
        <x:v>SR</x:v>
      </x:c>
      <x:c r="H59" s="6" t="str">
        <x:v>Explicit future work</x:v>
      </x:c>
      <x:c r="I59" s="6" t="str">
        <x:v>探索高级提示技术，如思维链（CoT）和思维树（ToT）。</x:v>
      </x:c>
      <x:c r="J59" s="2" t="str">
        <x:v>NR</x:v>
      </x:c>
      <x:c r="K59" s="2" t="str">
        <x:v>高级提示技术的有效性</x:v>
      </x:c>
      <x:c r="L59" s="2" t="str">
        <x:v>NR</x:v>
      </x:c>
      <x:c r="M59" s="6" t="str">
        <x:v>NR</x:v>
      </x:c>
      <x:c r="N59" s="2" t="str">
        <x:v>Speculative</x:v>
      </x:c>
      <x:c r="O59" s="2" t="str">
        <x:v>advanced prompting</x:v>
      </x:c>
      <x:c r="P59" s="2" t="str">
        <x:v>Future Work</x:v>
      </x:c>
      <x:c r="Q59" s="2" t="str">
        <x:v>Context, retrieval, and model adaptation</x:v>
      </x:c>
      <x:c r="R59" s="6" t="str">
        <x:v>p. 40; Section 8</x:v>
      </x:c>
      <x:c r="S59" s="6" t="str">
        <x:v>exploring advanced prompting techniques such as Chain-of-Thought (CoT) and Tree-of-Thought (ToT)</x:v>
      </x:c>
      <x:c r="T59" s="6" t="str">
        <x:v>可尝试将更复杂的提示策略应用于追溯任务，以进一步提升性能。</x:v>
      </x:c>
      <x:c r="U59" s="2" t="str">
        <x:v>Accepted</x:v>
      </x:c>
      <x:c r="V59" s="6" t="str">
        <x:v>NA</x:v>
      </x:c>
      <x:c r="W59" s="6" t="str">
        <x:v>Agenda statement only</x:v>
      </x:c>
    </x:row>
    <x:row r="60" ht="76" customHeight="1">
      <x:c r="A60" s="2" t="str">
        <x:v>S12-FUTURE-R03</x:v>
      </x:c>
      <x:c r="B60" s="2" t="str">
        <x:v>S12</x:v>
      </x:c>
      <x:c r="C60" s="2" t="str">
        <x:v>merged_1133</x:v>
      </x:c>
      <x:c r="D60" s="2" t="str">
        <x:v>Reviewer_A</x:v>
      </x:c>
      <x:c r="E60" s="2" t="str">
        <x:v>Reviewer_A</x:v>
      </x:c>
      <x:c r="F60" s="2" t="str">
        <x:v>S12-D03</x:v>
      </x:c>
      <x:c r="G60" s="6" t="str">
        <x:v>SR</x:v>
      </x:c>
      <x:c r="H60" s="6" t="str">
        <x:v>Explicit future work</x:v>
      </x:c>
      <x:c r="I60" s="6" t="str">
        <x:v>评估对LLM进行领域特定微调对追溯任务的益处。</x:v>
      </x:c>
      <x:c r="J60" s="2" t="str">
        <x:v>NR</x:v>
      </x:c>
      <x:c r="K60" s="2" t="str">
        <x:v>领域特定微调对追溯性的益处</x:v>
      </x:c>
      <x:c r="L60" s="2" t="str">
        <x:v>NR</x:v>
      </x:c>
      <x:c r="M60" s="6" t="str">
        <x:v>NR</x:v>
      </x:c>
      <x:c r="N60" s="2" t="str">
        <x:v>Speculative</x:v>
      </x:c>
      <x:c r="O60" s="2" t="str">
        <x:v>domain-specific fine-tuning</x:v>
      </x:c>
      <x:c r="P60" s="2" t="str">
        <x:v>Future Work</x:v>
      </x:c>
      <x:c r="Q60" s="2" t="str">
        <x:v>Context, retrieval, and model adaptation</x:v>
      </x:c>
      <x:c r="R60" s="6" t="str">
        <x:v>p. 40; Section 8</x:v>
      </x:c>
      <x:c r="S60" s="6" t="str">
        <x:v>assessing the benefits of fine-tuning LLMs for domain-specific traceability tasks</x:v>
      </x:c>
      <x:c r="T60" s="6" t="str">
        <x:v>考虑针对特定领域（如航空、医疗）对LLM进行微调，以检验是否能超越通用提示的效果。</x:v>
      </x:c>
      <x:c r="U60" s="2" t="str">
        <x:v>Accepted</x:v>
      </x:c>
      <x:c r="V60" s="6" t="str">
        <x:v>NA</x:v>
      </x:c>
      <x:c r="W60" s="6" t="str">
        <x:v>Agenda statement only</x:v>
      </x:c>
    </x:row>
    <x:row r="61" ht="76" customHeight="1">
      <x:c r="A61" s="2" t="str">
        <x:v>S12-FUTURE-R04</x:v>
      </x:c>
      <x:c r="B61" s="2" t="str">
        <x:v>S12</x:v>
      </x:c>
      <x:c r="C61" s="2" t="str">
        <x:v>merged_1133</x:v>
      </x:c>
      <x:c r="D61" s="2" t="str">
        <x:v>Reviewer_A</x:v>
      </x:c>
      <x:c r="E61" s="2" t="str">
        <x:v>Reviewer_A</x:v>
      </x:c>
      <x:c r="F61" s="2" t="str">
        <x:v>S12-D04</x:v>
      </x:c>
      <x:c r="G61" s="6" t="str">
        <x:v>SR</x:v>
      </x:c>
      <x:c r="H61" s="6" t="str">
        <x:v>Explicit future work</x:v>
      </x:c>
      <x:c r="I61" s="6" t="str">
        <x:v>将评估扩展到工业数据集和更广泛的工件类型。</x:v>
      </x:c>
      <x:c r="J61" s="2" t="str">
        <x:v>NR</x:v>
      </x:c>
      <x:c r="K61" s="2" t="str">
        <x:v>工业数据集和更广泛工件类型的可扩展性</x:v>
      </x:c>
      <x:c r="L61" s="2" t="str">
        <x:v>NR</x:v>
      </x:c>
      <x:c r="M61" s="6" t="str">
        <x:v>NR</x:v>
      </x:c>
      <x:c r="N61" s="2" t="str">
        <x:v>Speculative</x:v>
      </x:c>
      <x:c r="O61" s="2" t="str">
        <x:v>industrial evaluation</x:v>
      </x:c>
      <x:c r="P61" s="2" t="str">
        <x:v>Future Work</x:v>
      </x:c>
      <x:c r="Q61" s="2" t="str">
        <x:v>Broader empirical validation</x:v>
      </x:c>
      <x:c r="R61" s="6" t="str">
        <x:v>p. 40; Section 8</x:v>
      </x:c>
      <x:c r="S61" s="6" t="str">
        <x:v>expanding the evaluation to industrial datasets and a wider range of artifact types</x:v>
      </x:c>
      <x:c r="T61" s="6" t="str">
        <x:v>在真实的工业数据上进行验证，并覆盖更多种类的软件工件，以更全面地评估方法的泛化能力。</x:v>
      </x:c>
      <x:c r="U61" s="2" t="str">
        <x:v>Accepted</x:v>
      </x:c>
      <x:c r="V61" s="6" t="str">
        <x:v>NA</x:v>
      </x:c>
      <x:c r="W61" s="6" t="str">
        <x:v>Agenda statement only</x:v>
      </x:c>
    </x:row>
    <x:row r="62" ht="76" customHeight="1">
      <x:c r="A62" s="2" t="str">
        <x:v>S13-FUTURE-R01</x:v>
      </x:c>
      <x:c r="B62" s="2" t="str">
        <x:v>S13</x:v>
      </x:c>
      <x:c r="C62" s="2" t="str">
        <x:v>merged_1140</x:v>
      </x:c>
      <x:c r="D62" s="2" t="str">
        <x:v>Reviewer_A</x:v>
      </x:c>
      <x:c r="E62" s="2" t="str">
        <x:v>Reviewer_A</x:v>
      </x:c>
      <x:c r="F62" s="2" t="str">
        <x:v>S13-D01</x:v>
      </x:c>
      <x:c r="G62" s="6" t="str">
        <x:v>SR</x:v>
      </x:c>
      <x:c r="H62" s="6" t="str">
        <x:v>Explicit future work</x:v>
      </x:c>
      <x:c r="I62" s="6" t="str">
        <x:v>调查不同数据增强策略与先进编码器架构之间的潜在交互效应</x:v>
      </x:c>
      <x:c r="J62" s="2" t="str">
        <x:v>S13-L01</x:v>
      </x:c>
      <x:c r="K62" s="2" t="str">
        <x:v>sequential design may miss synergistic combinations</x:v>
      </x:c>
      <x:c r="L62" s="2" t="str">
        <x:v>fully factorial experiment</x:v>
      </x:c>
      <x:c r="M62" s="6" t="str">
        <x:v>NR</x:v>
      </x:c>
      <x:c r="N62" s="2" t="str">
        <x:v>Speculative</x:v>
      </x:c>
      <x:c r="O62" s="2" t="str">
        <x:v>interaction_effects_investigation</x:v>
      </x:c>
      <x:c r="P62" s="2" t="str">
        <x:v>methodology_improvement</x:v>
      </x:c>
      <x:c r="Q62" s="2" t="str">
        <x:v>Benchmark and measurement rigor</x:v>
      </x:c>
      <x:c r="R62" s="6" t="str">
        <x:v>p. 31; Section 6.3 Threats to Validity</x:v>
      </x:c>
      <x:c r="S62" s="6" t="str">
        <x:v>a promising avenue for future work is to investigate the potential interaction effects between different data augmentation strategies and advanced encoder architectures.</x:v>
      </x:c>
      <x:c r="T62" s="6" t="str">
        <x:v>建议进行全因子实验以发现提示策略与编码器的最优组合</x:v>
      </x:c>
      <x:c r="U62" s="2" t="str">
        <x:v>Accepted</x:v>
      </x:c>
      <x:c r="V62" s="6" t="str">
        <x:v>NA</x:v>
      </x:c>
      <x:c r="W62" s="6" t="str">
        <x:v>Reported limitation-grounded</x:v>
      </x:c>
    </x:row>
    <x:row r="63" ht="76" customHeight="1">
      <x:c r="A63" s="2" t="str">
        <x:v>S13-FUTURE-R02</x:v>
      </x:c>
      <x:c r="B63" s="2" t="str">
        <x:v>S13</x:v>
      </x:c>
      <x:c r="C63" s="2" t="str">
        <x:v>merged_1140</x:v>
      </x:c>
      <x:c r="D63" s="2" t="str">
        <x:v>Reviewer_A</x:v>
      </x:c>
      <x:c r="E63" s="2" t="str">
        <x:v>Reviewer_A</x:v>
      </x:c>
      <x:c r="F63" s="2" t="str">
        <x:v>S13-D02</x:v>
      </x:c>
      <x:c r="G63" s="6" t="str">
        <x:v>SR</x:v>
      </x:c>
      <x:c r="H63" s="6" t="str">
        <x:v>Explicit recommendation</x:v>
      </x:c>
      <x:c r="I63" s="6" t="str">
        <x:v>使用后续世代大语言模型复现本文发现，以评估长期稳定性</x:v>
      </x:c>
      <x:c r="J63" s="2" t="str">
        <x:v>S13-L02</x:v>
      </x:c>
      <x:c r="K63" s="2" t="str">
        <x:v>temporal validity threat</x:v>
      </x:c>
      <x:c r="L63" s="2" t="str">
        <x:v>replicate with subsequent generations of LLMs</x:v>
      </x:c>
      <x:c r="M63" s="6" t="str">
        <x:v>NR</x:v>
      </x:c>
      <x:c r="N63" s="2" t="str">
        <x:v>Speculative</x:v>
      </x:c>
      <x:c r="O63" s="2" t="str">
        <x:v>replication_with_new_llms</x:v>
      </x:c>
      <x:c r="P63" s="2" t="str">
        <x:v>external_validity</x:v>
      </x:c>
      <x:c r="Q63" s="2" t="str">
        <x:v>Benchmark and measurement rigor</x:v>
      </x:c>
      <x:c r="R63" s="6" t="str">
        <x:v>p. 31; Section 6.3 Threats to Validity</x:v>
      </x:c>
      <x:c r="S63" s="6" t="str">
        <x:v>Future work should therefore focus on replicating these findings with subsequent generations of LLMs to assess the long-term stability of our conclusions.</x:v>
      </x:c>
      <x:c r="T63" s="6" t="str">
        <x:v>强调需要在未来LLM版本上验证方法有效性</x:v>
      </x:c>
      <x:c r="U63" s="2" t="str">
        <x:v>Accepted</x:v>
      </x:c>
      <x:c r="V63" s="6" t="str">
        <x:v>NA</x:v>
      </x:c>
      <x:c r="W63" s="6" t="str">
        <x:v>Reported limitation-grounded</x:v>
      </x:c>
    </x:row>
    <x:row r="64" ht="76" customHeight="1">
      <x:c r="A64" s="2" t="str">
        <x:v>S13-FUTURE-R03</x:v>
      </x:c>
      <x:c r="B64" s="2" t="str">
        <x:v>S13</x:v>
      </x:c>
      <x:c r="C64" s="2" t="str">
        <x:v>merged_1140</x:v>
      </x:c>
      <x:c r="D64" s="2" t="str">
        <x:v>Reviewer_A</x:v>
      </x:c>
      <x:c r="E64" s="2" t="str">
        <x:v>Reviewer_A</x:v>
      </x:c>
      <x:c r="F64" s="2" t="str">
        <x:v>S13-D03</x:v>
      </x:c>
      <x:c r="G64" s="6" t="str">
        <x:v>SR</x:v>
      </x:c>
      <x:c r="H64" s="6" t="str">
        <x:v>Explicit recommendation</x:v>
      </x:c>
      <x:c r="I64" s="6" t="str">
        <x:v>在更多编程语言（如Python、C++）和大规模工业数据集上验证框架有效性</x:v>
      </x:c>
      <x:c r="J64" s="2" t="str">
        <x:v>S13-L03</x:v>
      </x:c>
      <x:c r="K64" s="2" t="str">
        <x:v>limited evaluation scope</x:v>
      </x:c>
      <x:c r="L64" s="2" t="str">
        <x:v>validate on broader languages and industrial datasets</x:v>
      </x:c>
      <x:c r="M64" s="6" t="str">
        <x:v>NR</x:v>
      </x:c>
      <x:c r="N64" s="2" t="str">
        <x:v>Speculative</x:v>
      </x:c>
      <x:c r="O64" s="2" t="str">
        <x:v>broader_validation</x:v>
      </x:c>
      <x:c r="P64" s="2" t="str">
        <x:v>external_validity</x:v>
      </x:c>
      <x:c r="Q64" s="2" t="str">
        <x:v>Broader empirical validation</x:v>
      </x:c>
      <x:c r="R64" s="6" t="str">
        <x:v>p. 31; Section 6.3 Threats to Validity</x:v>
      </x:c>
      <x:c r="S64" s="6" t="str">
        <x:v>future research is needed to validate the framework's effectiveness on a broader range of programming languages, such as Python and C++, and on larger-scale industrial datasets.</x:v>
      </x:c>
      <x:c r="T64" s="6" t="str">
        <x:v>建议扩展评估范围，提升泛化性证据</x:v>
      </x:c>
      <x:c r="U64" s="2" t="str">
        <x:v>Accepted</x:v>
      </x:c>
      <x:c r="V64" s="6" t="str">
        <x:v>NA</x:v>
      </x:c>
      <x:c r="W64" s="6" t="str">
        <x:v>Reported limitation-grounded</x:v>
      </x:c>
    </x:row>
    <x:row r="65" ht="76" customHeight="1">
      <x:c r="A65" s="2" t="str">
        <x:v>S13-FUTURE-R04</x:v>
      </x:c>
      <x:c r="B65" s="2" t="str">
        <x:v>S13</x:v>
      </x:c>
      <x:c r="C65" s="2" t="str">
        <x:v>merged_1140</x:v>
      </x:c>
      <x:c r="D65" s="2" t="str">
        <x:v>Reviewer_A</x:v>
      </x:c>
      <x:c r="E65" s="2" t="str">
        <x:v>Reviewer_A</x:v>
      </x:c>
      <x:c r="F65" s="2" t="str">
        <x:v>S13-D04</x:v>
      </x:c>
      <x:c r="G65" s="6" t="str">
        <x:v>SR</x:v>
      </x:c>
      <x:c r="H65" s="6" t="str">
        <x:v>Explicit recommendation</x:v>
      </x:c>
      <x:c r="I65" s="6" t="str">
        <x:v>评估并整合领先的开源大语言模型（如Llama和DeepSeek）到框架中</x:v>
      </x:c>
      <x:c r="J65" s="2" t="str">
        <x:v>S13-L04</x:v>
      </x:c>
      <x:c r="K65" s="2" t="str">
        <x:v>reliance on closed-source LLMs</x:v>
      </x:c>
      <x:c r="L65" s="2" t="str">
        <x:v>evaluate and incorporate open-source LLMs</x:v>
      </x:c>
      <x:c r="M65" s="6" t="str">
        <x:v>NR</x:v>
      </x:c>
      <x:c r="N65" s="2" t="str">
        <x:v>Speculative</x:v>
      </x:c>
      <x:c r="O65" s="2" t="str">
        <x:v>open_source_llm_integration</x:v>
      </x:c>
      <x:c r="P65" s="2" t="str">
        <x:v>accessibility</x:v>
      </x:c>
      <x:c r="Q65" s="2" t="str">
        <x:v>Integration, evolution, and deployment</x:v>
      </x:c>
      <x:c r="R65" s="6" t="str">
        <x:v>p. 31; Section 6.3 Threats to Validity</x:v>
      </x:c>
      <x:c r="S65" s="6" t="str">
        <x:v>their current performance advantages (Hou et al., 2024). A valuable next step would be to evaluate and incorporate leading open-source LLMs (e.g., Llama (Touvron et al., 2023) and DeepSeek (Yuan et al., 2025)) into our framework.</x:v>
      </x:c>
      <x:c r="T65" s="6" t="str">
        <x:v>建议引入开源模型以增强框架的普适性和可及性</x:v>
      </x:c>
      <x:c r="U65" s="2" t="str">
        <x:v>Accepted</x:v>
      </x:c>
      <x:c r="V65" s="6" t="str">
        <x:v>NA</x:v>
      </x:c>
      <x:c r="W65" s="6" t="str">
        <x:v>Reported limitation-grounded</x:v>
      </x:c>
    </x:row>
    <x:row r="66" ht="76" customHeight="1">
      <x:c r="A66" s="2" t="str">
        <x:v>S13-FUTURE-R05</x:v>
      </x:c>
      <x:c r="B66" s="2" t="str">
        <x:v>S13</x:v>
      </x:c>
      <x:c r="C66" s="2" t="str">
        <x:v>merged_1140</x:v>
      </x:c>
      <x:c r="D66" s="2" t="str">
        <x:v>Reviewer_A</x:v>
      </x:c>
      <x:c r="E66" s="2" t="str">
        <x:v>Reviewer_A</x:v>
      </x:c>
      <x:c r="F66" s="2" t="str">
        <x:v>S13-D05</x:v>
      </x:c>
      <x:c r="G66" s="6" t="str">
        <x:v>SR</x:v>
      </x:c>
      <x:c r="H66" s="6" t="str">
        <x:v>Explicit recommendation</x:v>
      </x:c>
      <x:c r="I66" s="6" t="str">
        <x:v>将框架应用扩展到其他关键可追溯性任务，如需求到测试用例和设计文档的链接</x:v>
      </x:c>
      <x:c r="J66" s="2" t="str">
        <x:v>NR</x:v>
      </x:c>
      <x:c r="K66" s="2" t="str">
        <x:v>framework currently only applied to requirement-to-code traceability</x:v>
      </x:c>
      <x:c r="L66" s="2" t="str">
        <x:v>extend to other traceability tasks</x:v>
      </x:c>
      <x:c r="M66" s="6" t="str">
        <x:v>NR</x:v>
      </x:c>
      <x:c r="N66" s="2" t="str">
        <x:v>Speculative</x:v>
      </x:c>
      <x:c r="O66" s="2" t="str">
        <x:v>task_extension</x:v>
      </x:c>
      <x:c r="P66" s="2" t="str">
        <x:v>future_application</x:v>
      </x:c>
      <x:c r="Q66" s="2" t="str">
        <x:v>Broader empirical validation</x:v>
      </x:c>
      <x:c r="R66" s="6" t="str">
        <x:v>p. 32; Section 7. Conclusion and Future Work</x:v>
      </x:c>
      <x:c r="S66" s="6" t="str">
        <x:v>future research could also extend the application of this framework to other critical traceability tasks, such as linking requirements to test cases and design documents.</x:v>
      </x:c>
      <x:c r="T66" s="6" t="str">
        <x:v>建议将同一方法论推广至其他追踪任务</x:v>
      </x:c>
      <x:c r="U66" s="2" t="str">
        <x:v>Accepted</x:v>
      </x:c>
      <x:c r="V66" s="6" t="str">
        <x:v>NA</x:v>
      </x:c>
      <x:c r="W66" s="6" t="str">
        <x:v>Agenda statement only</x:v>
      </x:c>
    </x:row>
    <x:row r="67" ht="76" customHeight="1">
      <x:c r="A67" s="2" t="str">
        <x:v>S14-FUTURE-R01</x:v>
      </x:c>
      <x:c r="B67" s="2" t="str">
        <x:v>S14</x:v>
      </x:c>
      <x:c r="C67" s="2" t="str">
        <x:v>merged_1142-v1</x:v>
      </x:c>
      <x:c r="D67" s="2" t="str">
        <x:v>Reviewer_A</x:v>
      </x:c>
      <x:c r="E67" s="2" t="str">
        <x:v>Reviewer_A</x:v>
      </x:c>
      <x:c r="F67" s="2" t="str">
        <x:v>S14-D01</x:v>
      </x:c>
      <x:c r="G67" s="6" t="str">
        <x:v>SR</x:v>
      </x:c>
      <x:c r="H67" s="6" t="str">
        <x:v>Explicit future work</x:v>
      </x:c>
      <x:c r="I67" s="6" t="str">
        <x:v>未来工作可以探索集成能够处理JSP文件的静态分析工具，以改进内部效度。</x:v>
      </x:c>
      <x:c r="J67" s="2" t="str">
        <x:v>S14-L01</x:v>
      </x:c>
      <x:c r="K67" s="2" t="str">
        <x:v>Spoon包无法分析JSP文件，导致代码依赖提取不完整。</x:v>
      </x:c>
      <x:c r="L67" s="2" t="str">
        <x:v>NR</x:v>
      </x:c>
      <x:c r="M67" s="6" t="str">
        <x:v>No</x:v>
      </x:c>
      <x:c r="N67" s="2" t="str">
        <x:v>Speculative</x:v>
      </x:c>
      <x:c r="O67" s="2" t="str">
        <x:v>tool integration; JSP analysis</x:v>
      </x:c>
      <x:c r="P67" s="2" t="str">
        <x:v>Tool improvement</x:v>
      </x:c>
      <x:c r="Q67" s="2" t="str">
        <x:v>Integration, evolution, and deployment</x:v>
      </x:c>
      <x:c r="R67" s="6" t="str">
        <x:v>p. 31; Section 6</x:v>
      </x:c>
      <x:c r="S67" s="6" t="str">
        <x:v>To further improve internal validity, future work could explore integrating static analysis tools capable of handling JSP files.</x:v>
      </x:c>
      <x:c r="T67" s="6" t="str">
        <x:v>未来工作建议集成处理JSP的静态分析工具以提升内部效度。</x:v>
      </x:c>
      <x:c r="U67" s="2" t="str">
        <x:v>Accepted</x:v>
      </x:c>
      <x:c r="V67" s="6" t="str">
        <x:v>NA</x:v>
      </x:c>
      <x:c r="W67" s="6" t="str">
        <x:v>Empirical limitation-grounded</x:v>
      </x:c>
    </x:row>
    <x:row r="68" ht="76" customHeight="1">
      <x:c r="A68" s="2" t="str">
        <x:v>S14-FUTURE-R02</x:v>
      </x:c>
      <x:c r="B68" s="2" t="str">
        <x:v>S14</x:v>
      </x:c>
      <x:c r="C68" s="2" t="str">
        <x:v>merged_1142-v1</x:v>
      </x:c>
      <x:c r="D68" s="2" t="str">
        <x:v>Reviewer_A</x:v>
      </x:c>
      <x:c r="E68" s="2" t="str">
        <x:v>Reviewer_A</x:v>
      </x:c>
      <x:c r="F68" s="2" t="str">
        <x:v>S14-D02</x:v>
      </x:c>
      <x:c r="G68" s="6" t="str">
        <x:v>SR</x:v>
      </x:c>
      <x:c r="H68" s="6" t="str">
        <x:v>Explicit future work</x:v>
      </x:c>
      <x:c r="I68" s="6" t="str">
        <x:v>未来工作将考虑扩展对其他编程语言（如Python、C++）的支持，以提高模型的通用性和适应性。</x:v>
      </x:c>
      <x:c r="J68" s="2" t="str">
        <x:v>S14-L02</x:v>
      </x:c>
      <x:c r="K68" s="2" t="str">
        <x:v>当前方法仅支持Java项目，限制了多语言软件项目的适用性。</x:v>
      </x:c>
      <x:c r="L68" s="2" t="str">
        <x:v>NR</x:v>
      </x:c>
      <x:c r="M68" s="6" t="str">
        <x:v>No</x:v>
      </x:c>
      <x:c r="N68" s="2" t="str">
        <x:v>Speculative</x:v>
      </x:c>
      <x:c r="O68" s="2" t="str">
        <x:v>multi-language support; generalizability</x:v>
      </x:c>
      <x:c r="P68" s="2" t="str">
        <x:v>Language expansion</x:v>
      </x:c>
      <x:c r="Q68" s="2" t="str">
        <x:v>Broader empirical validation</x:v>
      </x:c>
      <x:c r="R68" s="6" t="str">
        <x:v>p. 31; Section 6</x:v>
      </x:c>
      <x:c r="S68" s="6" t="str">
        <x:v>future work will consider extending support to additional languages to improve the model’s generalizability and adaptability.</x:v>
      </x:c>
      <x:c r="T68" s="6" t="str">
        <x:v>未来工作将扩展多语言支持以提高通用性。</x:v>
      </x:c>
      <x:c r="U68" s="2" t="str">
        <x:v>Accepted</x:v>
      </x:c>
      <x:c r="V68" s="6" t="str">
        <x:v>NA</x:v>
      </x:c>
      <x:c r="W68" s="6" t="str">
        <x:v>Empirical limitation-grounded</x:v>
      </x:c>
    </x:row>
    <x:row r="69" ht="76" customHeight="1">
      <x:c r="A69" s="2" t="str">
        <x:v>S15-FUTURE-R01</x:v>
      </x:c>
      <x:c r="B69" s="2" t="str">
        <x:v>S15</x:v>
      </x:c>
      <x:c r="C69" s="2" t="str">
        <x:v>merged_1143</x:v>
      </x:c>
      <x:c r="D69" s="2" t="str">
        <x:v>Reviewer_A</x:v>
      </x:c>
      <x:c r="E69" s="2" t="str">
        <x:v>Reviewer_A</x:v>
      </x:c>
      <x:c r="F69" s="2" t="str">
        <x:v>S15-D01</x:v>
      </x:c>
      <x:c r="G69" s="6" t="str">
        <x:v>SR</x:v>
      </x:c>
      <x:c r="H69" s="6" t="str">
        <x:v>Explicit future work</x:v>
      </x:c>
      <x:c r="I69" s="6" t="str">
        <x:v>未来工作包括使用自我反思等新技术来减少细化关系错误，并引入代理、操作、冲突和障碍等额外的目标模型元素。</x:v>
      </x:c>
      <x:c r="J69" s="2" t="str">
        <x:v>NR</x:v>
      </x:c>
      <x:c r="K69" s="2" t="str">
        <x:v>reduce error in refinement relationships and add missing elements</x:v>
      </x:c>
      <x:c r="L69" s="2" t="str">
        <x:v>NR</x:v>
      </x:c>
      <x:c r="M69" s="6" t="str">
        <x:v>No</x:v>
      </x:c>
      <x:c r="N69" s="2" t="str">
        <x:v>Speculative</x:v>
      </x:c>
      <x:c r="O69" s="2" t="str">
        <x:v>NR</x:v>
      </x:c>
      <x:c r="P69" s="2" t="str">
        <x:v>NR</x:v>
      </x:c>
      <x:c r="Q69" s="2" t="str">
        <x:v>Reliability, explainability, and human oversight</x:v>
      </x:c>
      <x:c r="R69" s="6" t="str">
        <x:v>p. 11; Section VIII</x:v>
      </x:c>
      <x:c r="S69" s="6" t="str">
        <x:v>negatives. Future work includes new techniques, such as selfreflection, to reduce this error and to introduce additional goal model elements, such as agents, operations, conflicts, and</x:v>
      </x:c>
      <x:c r="T69" s="6" t="str">
        <x:v>作者计划通过自我反思等技术改进目标模型生成的准确性并扩展模型元素。</x:v>
      </x:c>
      <x:c r="U69" s="2" t="str">
        <x:v>Accepted</x:v>
      </x:c>
      <x:c r="V69" s="6" t="str">
        <x:v>NA</x:v>
      </x:c>
      <x:c r="W69" s="6" t="str">
        <x:v>Agenda statement only</x:v>
      </x:c>
    </x:row>
    <x:row r="70" ht="76" customHeight="1">
      <x:c r="A70" s="2" t="str">
        <x:v>S15-FUTURE-R02</x:v>
      </x:c>
      <x:c r="B70" s="2" t="str">
        <x:v>S15</x:v>
      </x:c>
      <x:c r="C70" s="2" t="str">
        <x:v>merged_1143</x:v>
      </x:c>
      <x:c r="D70" s="2" t="str">
        <x:v>Reviewer_A</x:v>
      </x:c>
      <x:c r="E70" s="2" t="str">
        <x:v>Reviewer_A</x:v>
      </x:c>
      <x:c r="F70" s="2" t="str">
        <x:v>S15-D02</x:v>
      </x:c>
      <x:c r="G70" s="6" t="str">
        <x:v>SR</x:v>
      </x:c>
      <x:c r="H70" s="6" t="str">
        <x:v>Explicit recommendation</x:v>
      </x:c>
      <x:c r="I70" s="6" t="str">
        <x:v>建议通过检查簇内相似性来发现混合目标簇，并基于距离阈值选择目标，以解决聚类中混合不同目标的问题。</x:v>
      </x:c>
      <x:c r="J70" s="2" t="str">
        <x:v>NR</x:v>
      </x:c>
      <x:c r="K70" s="2" t="str">
        <x:v>mixed-goal clusters in agglomerative clustering</x:v>
      </x:c>
      <x:c r="L70" s="2" t="str">
        <x:v>NR</x:v>
      </x:c>
      <x:c r="M70" s="6" t="str">
        <x:v>No</x:v>
      </x:c>
      <x:c r="N70" s="2" t="str">
        <x:v>Speculative</x:v>
      </x:c>
      <x:c r="O70" s="2" t="str">
        <x:v>NR</x:v>
      </x:c>
      <x:c r="P70" s="2" t="str">
        <x:v>NR</x:v>
      </x:c>
      <x:c r="Q70" s="2" t="str">
        <x:v>Context, retrieval, and model adaptation</x:v>
      </x:c>
      <x:c r="R70" s="6" t="str">
        <x:v>p. 9; Section VI.A</x:v>
      </x:c>
      <x:c r="S70" s="6" t="str">
        <x:v>To address this issue, we propose to extend the method by checking intra-cluster similarity to find the 1-2 mixed goal clusters and then to select goals using a distance threshold and metric, such as cosine similarity.</x:v>
      </x:c>
      <x:c r="T70" s="6" t="str">
        <x:v>针对聚类中出现的混合目标簇问题，作者提出了改进方法。</x:v>
      </x:c>
      <x:c r="U70" s="2" t="str">
        <x:v>Accepted</x:v>
      </x:c>
      <x:c r="V70" s="6" t="str">
        <x:v>NA</x:v>
      </x:c>
      <x:c r="W70" s="6" t="str">
        <x:v>Agenda statement only</x:v>
      </x:c>
    </x:row>
    <x:row r="71" ht="76" customHeight="1">
      <x:c r="A71" s="2" t="str">
        <x:v>S15-FUTURE-R03</x:v>
      </x:c>
      <x:c r="B71" s="2" t="str">
        <x:v>S15</x:v>
      </x:c>
      <x:c r="C71" s="2" t="str">
        <x:v>merged_1143</x:v>
      </x:c>
      <x:c r="D71" s="2" t="str">
        <x:v>Reviewer_A</x:v>
      </x:c>
      <x:c r="E71" s="2" t="str">
        <x:v>Reviewer_A</x:v>
      </x:c>
      <x:c r="F71" s="2" t="str">
        <x:v>S15-D03</x:v>
      </x:c>
      <x:c r="G71" s="6" t="str">
        <x:v>SR</x:v>
      </x:c>
      <x:c r="H71" s="6" t="str">
        <x:v>Explicit future work</x:v>
      </x:c>
      <x:c r="I71" s="6" t="str">
        <x:v>曾考虑将目标转换为KAOS格式，但因需要额外建模从示例中调整输出而推迟到未来工作。</x:v>
      </x:c>
      <x:c r="J71" s="2" t="str">
        <x:v>NR</x:v>
      </x:c>
      <x:c r="K71" s="2" t="str">
        <x:v>goal format not standard</x:v>
      </x:c>
      <x:c r="L71" s="2" t="str">
        <x:v>NR</x:v>
      </x:c>
      <x:c r="M71" s="6" t="str">
        <x:v>No</x:v>
      </x:c>
      <x:c r="N71" s="2" t="str">
        <x:v>Speculative</x:v>
      </x:c>
      <x:c r="O71" s="2" t="str">
        <x:v>NR</x:v>
      </x:c>
      <x:c r="P71" s="2" t="str">
        <x:v>NR</x:v>
      </x:c>
      <x:c r="Q71" s="2" t="str">
        <x:v>Context, retrieval, and model adaptation</x:v>
      </x:c>
      <x:c r="R71" s="6" t="str">
        <x:v>p. 3; Section III.B</x:v>
      </x:c>
      <x:c r="S71" s="6" t="str">
        <x:v>However, due to the added effort required to shape the output through demonstrations, we chose to postpone this translation to future work.</x:v>
      </x:c>
      <x:c r="T71" s="6" t="str">
        <x:v>作者将目标格式标准化的工作留待未来。</x:v>
      </x:c>
      <x:c r="U71" s="2" t="str">
        <x:v>Accepted</x:v>
      </x:c>
      <x:c r="V71" s="6" t="str">
        <x:v>NA</x:v>
      </x:c>
      <x:c r="W71" s="6" t="str">
        <x:v>Agenda statement only</x:v>
      </x:c>
    </x:row>
    <x:row r="72" ht="76" customHeight="1">
      <x:c r="A72" s="2" t="str">
        <x:v>S16-FUTURE-R01</x:v>
      </x:c>
      <x:c r="B72" s="2" t="str">
        <x:v>S16</x:v>
      </x:c>
      <x:c r="C72" s="2" t="str">
        <x:v>merged_1144</x:v>
      </x:c>
      <x:c r="D72" s="2" t="str">
        <x:v>Reviewer_A</x:v>
      </x:c>
      <x:c r="E72" s="2" t="str">
        <x:v>Reviewer_A</x:v>
      </x:c>
      <x:c r="F72" s="2" t="str">
        <x:v>S16-D01</x:v>
      </x:c>
      <x:c r="G72" s="6" t="str">
        <x:v>SR</x:v>
      </x:c>
      <x:c r="H72" s="6" t="str">
        <x:v>Explicit future work</x:v>
      </x:c>
      <x:c r="I72" s="6" t="str">
        <x:v>计划将EasyLink扩展到其他软件追溯任务，例如将功能映射到其实现以及将需求链接到代码变更。</x:v>
      </x:c>
      <x:c r="J72" s="2" t="str">
        <x:v>NR</x:v>
      </x:c>
      <x:c r="K72" s="2" t="str">
        <x:v>当前仅验证了issue-commit链接，未覆盖其他追溯任务</x:v>
      </x:c>
      <x:c r="L72" s="2" t="str">
        <x:v>基于EasyLink的两阶段架构</x:v>
      </x:c>
      <x:c r="M72" s="6" t="str">
        <x:v>NR</x:v>
      </x:c>
      <x:c r="N72" s="2" t="str">
        <x:v>Speculative</x:v>
      </x:c>
      <x:c r="O72" s="2" t="str">
        <x:v>extend_to_other_tasks</x:v>
      </x:c>
      <x:c r="P72" s="2" t="str">
        <x:v>future_work</x:v>
      </x:c>
      <x:c r="Q72" s="2" t="str">
        <x:v>Broader empirical validation</x:v>
      </x:c>
      <x:c r="R72" s="6" t="str">
        <x:v>p. 11; Section 9</x:v>
      </x:c>
      <x:c r="S72" s="6" t="str">
        <x:v>In the future, we plan to extend EasyLink for other tasks in software traceability, such as mapping features to their implementations and linking requirements to code changes.</x:v>
      </x:c>
      <x:c r="T72" s="6" t="str">
        <x:v>作者明确表达了将所提方法泛化到更广泛追溯任务的未来工作计划。</x:v>
      </x:c>
      <x:c r="U72" s="2" t="str">
        <x:v>Accepted</x:v>
      </x:c>
      <x:c r="V72" s="6" t="str">
        <x:v>NR</x:v>
      </x:c>
      <x:c r="W72" s="6" t="str">
        <x:v>Agenda statement only</x:v>
      </x:c>
    </x:row>
    <x:row r="73" ht="76" customHeight="1">
      <x:c r="A73" s="2" t="str">
        <x:v>S16-FUTURE-R02</x:v>
      </x:c>
      <x:c r="B73" s="2" t="str">
        <x:v>S16</x:v>
      </x:c>
      <x:c r="C73" s="2" t="str">
        <x:v>merged_1144</x:v>
      </x:c>
      <x:c r="D73" s="2" t="str">
        <x:v>Reviewer_A</x:v>
      </x:c>
      <x:c r="E73" s="2" t="str">
        <x:v>Reviewer_A</x:v>
      </x:c>
      <x:c r="F73" s="2" t="str">
        <x:v>S16-D02</x:v>
      </x:c>
      <x:c r="G73" s="6" t="str">
        <x:v>SR</x:v>
      </x:c>
      <x:c r="H73" s="6" t="str">
        <x:v>Explicit recommendation</x:v>
      </x:c>
      <x:c r="I73" s="6" t="str">
        <x:v>未来的研究应使用能更好反映实际使用场景的评估方法。</x:v>
      </x:c>
      <x:c r="J73" s="2" t="str">
        <x:v>NR</x:v>
      </x:c>
      <x:c r="K73" s="2" t="str">
        <x:v>现有评估设置缺乏现实性，导致模型性能被高估</x:v>
      </x:c>
      <x:c r="L73" s="2" t="str">
        <x:v>构建更贴近真实开发历史的评估数据集</x:v>
      </x:c>
      <x:c r="M73" s="6" t="str">
        <x:v>本研究发现现有工具在真实分布下性能大幅下降</x:v>
      </x:c>
      <x:c r="N73" s="2" t="str">
        <x:v>Speculative</x:v>
      </x:c>
      <x:c r="O73" s="2" t="str">
        <x:v>realistic_evaluation_future</x:v>
      </x:c>
      <x:c r="P73" s="2" t="str">
        <x:v>recommendation</x:v>
      </x:c>
      <x:c r="Q73" s="2" t="str">
        <x:v>Benchmark and measurement rigor</x:v>
      </x:c>
      <x:c r="R73" s="6" t="str">
        <x:v>p. 9; Section 7.1</x:v>
      </x:c>
      <x:c r="S73" s="6" t="str">
        <x:v>Future research should use evaluations that better reflect a practical usage scenario.</x:v>
      </x:c>
      <x:c r="T73" s="6" t="str">
        <x:v>作者基于实验发现，建议后续研究采用更现实的评估方案，以准确衡量进展。</x:v>
      </x:c>
      <x:c r="U73" s="2" t="str">
        <x:v>Accepted</x:v>
      </x:c>
      <x:c r="V73" s="6" t="str">
        <x:v>NR</x:v>
      </x:c>
      <x:c r="W73" s="6" t="str">
        <x:v>Result-grounded</x:v>
      </x:c>
    </x:row>
    <x:row r="74" ht="76" customHeight="1">
      <x:c r="A74" s="2" t="str">
        <x:v>S16-FUTURE-R03</x:v>
      </x:c>
      <x:c r="B74" s="2" t="str">
        <x:v>S16</x:v>
      </x:c>
      <x:c r="C74" s="2" t="str">
        <x:v>merged_1144</x:v>
      </x:c>
      <x:c r="D74" s="2" t="str">
        <x:v>Reviewer_A</x:v>
      </x:c>
      <x:c r="E74" s="2" t="str">
        <x:v>Reviewer_A</x:v>
      </x:c>
      <x:c r="F74" s="2" t="str">
        <x:v>S16-D03</x:v>
      </x:c>
      <x:c r="G74" s="6" t="str">
        <x:v>SR</x:v>
      </x:c>
      <x:c r="H74" s="6" t="str">
        <x:v>Explicit recommendation</x:v>
      </x:c>
      <x:c r="I74" s="6" t="str">
        <x:v>呼吁新提出的方法应与持续更新的基线进行比较，以准确衡量真实进展。</x:v>
      </x:c>
      <x:c r="J74" s="2" t="str">
        <x:v>NR</x:v>
      </x:c>
      <x:c r="K74" s="2" t="str">
        <x:v>当前研究未及时纳入现代信息检索基线，导致比较不充分</x:v>
      </x:c>
      <x:c r="L74" s="2" t="str">
        <x:v>将向量数据库等现代IR方法作为强制基线</x:v>
      </x:c>
      <x:c r="M74" s="6" t="str">
        <x:v>本实验中现成的向量数据库已取得64.03% Precision@1</x:v>
      </x:c>
      <x:c r="N74" s="2" t="str">
        <x:v>Speculative</x:v>
      </x:c>
      <x:c r="O74" s="2" t="str">
        <x:v>update_baselines</x:v>
      </x:c>
      <x:c r="P74" s="2" t="str">
        <x:v>recommendation</x:v>
      </x:c>
      <x:c r="Q74" s="2" t="str">
        <x:v>Benchmark and measurement rigor</x:v>
      </x:c>
      <x:c r="R74" s="6" t="str">
        <x:v>p. 10; Section 7.1</x:v>
      </x:c>
      <x:c r="S74" s="6" t="str">
        <x:v>We call for the need for newly proposed methods to be evaluated with baselines that are continuously updated to accurately measure real progress.</x:v>
      </x:c>
      <x:c r="T74" s="6" t="str">
        <x:v>作者强调需要更新基线以反映IR领域最新进展，确保评估公平。</x:v>
      </x:c>
      <x:c r="U74" s="2" t="str">
        <x:v>Accepted</x:v>
      </x:c>
      <x:c r="V74" s="6" t="str">
        <x:v>NR</x:v>
      </x:c>
      <x:c r="W74" s="6" t="str">
        <x:v>Result-grounded</x:v>
      </x:c>
    </x:row>
    <x:row r="75" ht="76" customHeight="1">
      <x:c r="A75" s="2" t="str">
        <x:v>S16-FUTURE-R04</x:v>
      </x:c>
      <x:c r="B75" s="2" t="str">
        <x:v>S16</x:v>
      </x:c>
      <x:c r="C75" s="2" t="str">
        <x:v>merged_1144</x:v>
      </x:c>
      <x:c r="D75" s="2" t="str">
        <x:v>Reviewer_A</x:v>
      </x:c>
      <x:c r="E75" s="2" t="str">
        <x:v>Reviewer_A</x:v>
      </x:c>
      <x:c r="F75" s="2" t="str">
        <x:v>S16-D04</x:v>
      </x:c>
      <x:c r="G75" s="6" t="str">
        <x:v>SR</x:v>
      </x:c>
      <x:c r="H75" s="6" t="str">
        <x:v>Explicit future work</x:v>
      </x:c>
      <x:c r="I75" s="6" t="str">
        <x:v>未来工作可以探索LLM提示的优化，并应用特定领域微调以进一步提升重排序步骤。</x:v>
      </x:c>
      <x:c r="J75" s="2" t="str">
        <x:v>NR</x:v>
      </x:c>
      <x:c r="K75" s="2" t="str">
        <x:v>当前LLM重排序仍有提升空间</x:v>
      </x:c>
      <x:c r="L75" s="2" t="str">
        <x:v>利用特定领域数据微调LLM或优化提示设计</x:v>
      </x:c>
      <x:c r="M75" s="6" t="str">
        <x:v>NR</x:v>
      </x:c>
      <x:c r="N75" s="2" t="str">
        <x:v>Speculative</x:v>
      </x:c>
      <x:c r="O75" s="2" t="str">
        <x:v>prompt_optimization_fine_tuning</x:v>
      </x:c>
      <x:c r="P75" s="2" t="str">
        <x:v>future_work</x:v>
      </x:c>
      <x:c r="Q75" s="2" t="str">
        <x:v>Context, retrieval, and model adaptation</x:v>
      </x:c>
      <x:c r="R75" s="6" t="str">
        <x:v>p. 10; Section 7.1</x:v>
      </x:c>
      <x:c r="S75" s="6" t="str">
        <x:v>Future work can explore the optimization of LLM prompts and apply domain-specific fine-tuning to further improve the refinement step.</x:v>
      </x:c>
      <x:c r="T75" s="6" t="str">
        <x:v>作者指出了通过提示工程和微调进一步增强LLM重排序能力的潜在方向。</x:v>
      </x:c>
      <x:c r="U75" s="2" t="str">
        <x:v>Accepted</x:v>
      </x:c>
      <x:c r="V75" s="6" t="str">
        <x:v>NR</x:v>
      </x:c>
      <x:c r="W75" s="6" t="str">
        <x:v>Agenda statement only</x:v>
      </x:c>
    </x:row>
    <x:row r="76" ht="76" customHeight="1">
      <x:c r="A76" s="2" t="str">
        <x:v>S17-FUTURE-R01</x:v>
      </x:c>
      <x:c r="B76" s="2" t="str">
        <x:v>S17</x:v>
      </x:c>
      <x:c r="C76" s="2" t="str">
        <x:v>merged_1148-v1</x:v>
      </x:c>
      <x:c r="D76" s="2" t="str">
        <x:v>Reviewer_A</x:v>
      </x:c>
      <x:c r="E76" s="2" t="str">
        <x:v>Reviewer_A</x:v>
      </x:c>
      <x:c r="F76" s="2" t="str">
        <x:v>S17-D01</x:v>
      </x:c>
      <x:c r="G76" s="6" t="str">
        <x:v>SR</x:v>
      </x:c>
      <x:c r="H76" s="6" t="str">
        <x:v>Explicit future work</x:v>
      </x:c>
      <x:c r="I76" s="6" t="str">
        <x:v>探索AI驱动的实时安全监控，分析实时系统日志以检测新兴危险和UCAs。</x:v>
      </x:c>
      <x:c r="J76" s="2" t="str">
        <x:v>NR</x:v>
      </x:c>
      <x:c r="K76" s="2" t="str">
        <x:v>当前方法假设静态分析，无法处理系统演化中的未知风险。</x:v>
      </x:c>
      <x:c r="L76" s="2" t="str">
        <x:v>需要集成自适应安全框架，实时更新STPA工件。</x:v>
      </x:c>
      <x:c r="M76" s="6" t="str">
        <x:v>NR</x:v>
      </x:c>
      <x:c r="N76" s="2" t="str">
        <x:v>Speculative</x:v>
      </x:c>
      <x:c r="O76" s="2" t="str">
        <x:v>Real-time monitoring</x:v>
      </x:c>
      <x:c r="P76" s="2" t="str">
        <x:v>Real-time monitoring</x:v>
      </x:c>
      <x:c r="Q76" s="2" t="str">
        <x:v>Integration, evolution, and deployment</x:v>
      </x:c>
      <x:c r="R76" s="6" t="str">
        <x:v>p. 10; Section VI-C, Future Work</x:v>
      </x:c>
      <x:c r="S76" s="6" t="str">
        <x:v>unforeseen risks. Future work could explore AI-driven realtime safety monitoring, analyzing live system logs to detect emerging hazards and UCAs. Given the high-intelligence of</x:v>
      </x:c>
      <x:c r="T76" s="6" t="str">
        <x:v>未来可研究利用AI实时监控系统运行数据，动态识别危险和不安全控制动作。</x:v>
      </x:c>
      <x:c r="U76" s="2" t="str">
        <x:v>Accepted</x:v>
      </x:c>
      <x:c r="V76" s="6" t="str">
        <x:v>NR</x:v>
      </x:c>
      <x:c r="W76" s="6" t="str">
        <x:v>Agenda statement only</x:v>
      </x:c>
    </x:row>
    <x:row r="77" ht="76" customHeight="1">
      <x:c r="A77" s="2" t="str">
        <x:v>S17-FUTURE-R02</x:v>
      </x:c>
      <x:c r="B77" s="2" t="str">
        <x:v>S17</x:v>
      </x:c>
      <x:c r="C77" s="2" t="str">
        <x:v>merged_1148-v1</x:v>
      </x:c>
      <x:c r="D77" s="2" t="str">
        <x:v>Reviewer_A</x:v>
      </x:c>
      <x:c r="E77" s="2" t="str">
        <x:v>Reviewer_A</x:v>
      </x:c>
      <x:c r="F77" s="2" t="str">
        <x:v>S17-D02</x:v>
      </x:c>
      <x:c r="G77" s="6" t="str">
        <x:v>SR</x:v>
      </x:c>
      <x:c r="H77" s="6" t="str">
        <x:v>Explicit future work</x:v>
      </x:c>
      <x:c r="I77" s="6" t="str">
        <x:v>使用LLM自动化风险评估，从非结构化数据（如事故报告）中提取失效模式，确定危险优先级。</x:v>
      </x:c>
      <x:c r="J77" s="2" t="str">
        <x:v>NR</x:v>
      </x:c>
      <x:c r="K77" s="2" t="str">
        <x:v>安全关键洞察常存在于非结构化数据中，难以自动提取。</x:v>
      </x:c>
      <x:c r="L77" s="2" t="str">
        <x:v>需要开发特定领域的NLP模型。</x:v>
      </x:c>
      <x:c r="M77" s="6" t="str">
        <x:v>NR</x:v>
      </x:c>
      <x:c r="N77" s="2" t="str">
        <x:v>Speculative</x:v>
      </x:c>
      <x:c r="O77" s="2" t="str">
        <x:v>Automated risk assessment</x:v>
      </x:c>
      <x:c r="P77" s="2" t="str">
        <x:v>Automated risk assessment</x:v>
      </x:c>
      <x:c r="Q77" s="2" t="str">
        <x:v>Reliability, explainability, and human oversight</x:v>
      </x:c>
      <x:c r="R77" s="6" t="str">
        <x:v>p. 10; Section VI-C, Future Work</x:v>
      </x:c>
      <x:c r="S77" s="6" t="str">
        <x:v>Another possible research focus is automating risk assessments with LLMs.</x:v>
      </x:c>
      <x:c r="T77" s="6" t="str">
        <x:v>未来可探索利用LLM自动分析事故报告等非结构化数据，辅助风险评估。</x:v>
      </x:c>
      <x:c r="U77" s="2" t="str">
        <x:v>Accepted</x:v>
      </x:c>
      <x:c r="V77" s="6" t="str">
        <x:v>NR</x:v>
      </x:c>
      <x:c r="W77" s="6" t="str">
        <x:v>Agenda statement only</x:v>
      </x:c>
    </x:row>
    <x:row r="78" ht="76" customHeight="1">
      <x:c r="A78" s="2" t="str">
        <x:v>S17-FUTURE-R03</x:v>
      </x:c>
      <x:c r="B78" s="2" t="str">
        <x:v>S17</x:v>
      </x:c>
      <x:c r="C78" s="2" t="str">
        <x:v>merged_1148-v1</x:v>
      </x:c>
      <x:c r="D78" s="2" t="str">
        <x:v>Reviewer_A</x:v>
      </x:c>
      <x:c r="E78" s="2" t="str">
        <x:v>Reviewer_A</x:v>
      </x:c>
      <x:c r="F78" s="2" t="str">
        <x:v>S17-D03</x:v>
      </x:c>
      <x:c r="G78" s="6" t="str">
        <x:v>SR</x:v>
      </x:c>
      <x:c r="H78" s="6" t="str">
        <x:v>Explicit future work</x:v>
      </x:c>
      <x:c r="I78" s="6" t="str">
        <x:v>研究工程师如何解读和验证AI生成的STPA工件，分析信任、采纳和偏见问题。</x:v>
      </x:c>
      <x:c r="J78" s="2" t="str">
        <x:v>S17-L04</x:v>
      </x:c>
      <x:c r="K78" s="2" t="str">
        <x:v>工程师对AI辅助安全分析的信任和解释可能影响实际应用。</x:v>
      </x:c>
      <x:c r="L78" s="2" t="str">
        <x:v>需要开展用户研究。</x:v>
      </x:c>
      <x:c r="M78" s="6" t="str">
        <x:v>NR</x:v>
      </x:c>
      <x:c r="N78" s="2" t="str">
        <x:v>Speculative</x:v>
      </x:c>
      <x:c r="O78" s="2" t="str">
        <x:v>Human-AI interaction</x:v>
      </x:c>
      <x:c r="P78" s="2" t="str">
        <x:v>Human-AI interaction</x:v>
      </x:c>
      <x:c r="Q78" s="2" t="str">
        <x:v>Reliability, explainability, and human oversight</x:v>
      </x:c>
      <x:c r="R78" s="6" t="str">
        <x:v>p. 10; Section VI-C, Future Work</x:v>
      </x:c>
      <x:c r="S78" s="6" t="str">
        <x:v>It may also be interesting to research the effectiveness of AIenhanced STPA by analyzing how engineers actually interpret and validate the AI-generated artifacts. Future work would</x:v>
      </x:c>
      <x:c r="T78" s="6" t="str">
        <x:v>未来可研究人工工程师与AI生成的安全分析结果之间的交互，关注信任、采纳和偏见。</x:v>
      </x:c>
      <x:c r="U78" s="2" t="str">
        <x:v>Accepted</x:v>
      </x:c>
      <x:c r="V78" s="6" t="str">
        <x:v>NR</x:v>
      </x:c>
      <x:c r="W78" s="6" t="str">
        <x:v>Reported limitation-grounded</x:v>
      </x:c>
    </x:row>
    <x:row r="79" ht="76" customHeight="1">
      <x:c r="A79" s="2" t="str">
        <x:v>S17-FUTURE-R04</x:v>
      </x:c>
      <x:c r="B79" s="2" t="str">
        <x:v>S17</x:v>
      </x:c>
      <x:c r="C79" s="2" t="str">
        <x:v>merged_1148-v1</x:v>
      </x:c>
      <x:c r="D79" s="2" t="str">
        <x:v>Reviewer_A</x:v>
      </x:c>
      <x:c r="E79" s="2" t="str">
        <x:v>Reviewer_A</x:v>
      </x:c>
      <x:c r="F79" s="2" t="str">
        <x:v>S17-D04</x:v>
      </x:c>
      <x:c r="G79" s="6" t="str">
        <x:v>SR</x:v>
      </x:c>
      <x:c r="H79" s="6" t="str">
        <x:v>Explicit future work</x:v>
      </x:c>
      <x:c r="I79" s="6" t="str">
        <x:v>研究不同提示技术（如零样本、思维链）对准确性和响应质量的影响。</x:v>
      </x:c>
      <x:c r="J79" s="2" t="str">
        <x:v>S17-L02</x:v>
      </x:c>
      <x:c r="K79" s="2" t="str">
        <x:v>目前仅使用了少样本提示，可能影响生成质量。</x:v>
      </x:c>
      <x:c r="L79" s="2" t="str">
        <x:v>需要设计实验比较不同提示策略。</x:v>
      </x:c>
      <x:c r="M79" s="6" t="str">
        <x:v>NR</x:v>
      </x:c>
      <x:c r="N79" s="2" t="str">
        <x:v>Speculative</x:v>
      </x:c>
      <x:c r="O79" s="2" t="str">
        <x:v>Prompting techniques</x:v>
      </x:c>
      <x:c r="P79" s="2" t="str">
        <x:v>Prompting techniques</x:v>
      </x:c>
      <x:c r="Q79" s="2" t="str">
        <x:v>Context, retrieval, and model adaptation</x:v>
      </x:c>
      <x:c r="R79" s="6" t="str">
        <x:v>p. 10; Section VI-C, Future Work</x:v>
      </x:c>
      <x:c r="S79" s="6" t="str">
        <x:v>Purely from a performance perspective, the impact of different prompting techniques outside of the few-shot prompting we use (e.g., zero-shot, chain-of-thought, and more) would be interesting to look at, especially if they offer higher accuracy or response quality.</x:v>
      </x:c>
      <x:c r="T79" s="6" t="str">
        <x:v>未来可研究不同的提示工程技术，以提升LLM生成STPA工件的准确性和质量。</x:v>
      </x:c>
      <x:c r="U79" s="2" t="str">
        <x:v>Accepted</x:v>
      </x:c>
      <x:c r="V79" s="6" t="str">
        <x:v>NR</x:v>
      </x:c>
      <x:c r="W79" s="6" t="str">
        <x:v>Empirical limitation-grounded</x:v>
      </x:c>
    </x:row>
    <x:row r="80" ht="76" customHeight="1">
      <x:c r="A80" s="2" t="str">
        <x:v>S17-FUTURE-R05</x:v>
      </x:c>
      <x:c r="B80" s="2" t="str">
        <x:v>S17</x:v>
      </x:c>
      <x:c r="C80" s="2" t="str">
        <x:v>merged_1148-v1</x:v>
      </x:c>
      <x:c r="D80" s="2" t="str">
        <x:v>Reviewer_A</x:v>
      </x:c>
      <x:c r="E80" s="2" t="str">
        <x:v>Reviewer_A</x:v>
      </x:c>
      <x:c r="F80" s="2" t="str">
        <x:v>S17-D05</x:v>
      </x:c>
      <x:c r="G80" s="6" t="str">
        <x:v>SR</x:v>
      </x:c>
      <x:c r="H80" s="6" t="str">
        <x:v>Explicit future work</x:v>
      </x:c>
      <x:c r="I80" s="6" t="str">
        <x:v>整合所有公开可用的STPA应用示例到一个统一的Python数据源中，方便研究人员下载和实验。</x:v>
      </x:c>
      <x:c r="J80" s="2" t="str">
        <x:v>S17-L02</x:v>
      </x:c>
      <x:c r="K80" s="2" t="str">
        <x:v>当前STPA案例散落在各种PDF报告中，难以程序化分析。</x:v>
      </x:c>
      <x:c r="L80" s="2" t="str">
        <x:v>需要收集和转换现有案例为Python格式。</x:v>
      </x:c>
      <x:c r="M80" s="6" t="str">
        <x:v>NR</x:v>
      </x:c>
      <x:c r="N80" s="2" t="str">
        <x:v>Speculative</x:v>
      </x:c>
      <x:c r="O80" s="2" t="str">
        <x:v>Data consolidation</x:v>
      </x:c>
      <x:c r="P80" s="2" t="str">
        <x:v>Data consolidation</x:v>
      </x:c>
      <x:c r="Q80" s="2" t="str">
        <x:v>Context, retrieval, and model adaptation</x:v>
      </x:c>
      <x:c r="R80" s="6" t="str">
        <x:v>p. 10; Section VI-C, Future Work</x:v>
      </x:c>
      <x:c r="S80" s="6" t="str">
        <x:v>It may be interesting to consolidate all open and publicly-available STPA applications in a single data source in Python (as we propose) for others to easily download and experiment, with our framework as a backbone.</x:v>
      </x:c>
      <x:c r="T80" s="6" t="str">
        <x:v>未来可建立一个统一的公开STPA案例数据库，以促进研究和工具开发。</x:v>
      </x:c>
      <x:c r="U80" s="2" t="str">
        <x:v>Accepted</x:v>
      </x:c>
      <x:c r="V80" s="6" t="str">
        <x:v>NR</x:v>
      </x:c>
      <x:c r="W80" s="6" t="str">
        <x:v>Empirical limitation-grounded</x:v>
      </x:c>
    </x:row>
    <x:row r="81" ht="76" customHeight="1">
      <x:c r="A81" s="2" t="str">
        <x:v>S17-FUTURE-R06</x:v>
      </x:c>
      <x:c r="B81" s="2" t="str">
        <x:v>S17</x:v>
      </x:c>
      <x:c r="C81" s="2" t="str">
        <x:v>merged_1148-v1</x:v>
      </x:c>
      <x:c r="D81" s="2" t="str">
        <x:v>Reviewer_A</x:v>
      </x:c>
      <x:c r="E81" s="2" t="str">
        <x:v>Reviewer_A</x:v>
      </x:c>
      <x:c r="F81" s="2" t="str">
        <x:v>S17-D06</x:v>
      </x:c>
      <x:c r="G81" s="6" t="str">
        <x:v>SR</x:v>
      </x:c>
      <x:c r="H81" s="6" t="str">
        <x:v>Explicit future work</x:v>
      </x:c>
      <x:c r="I81" s="6" t="str">
        <x:v>需要使用更多公开示例之外的现实案例进行进一步研究，以评估方法的有效性。</x:v>
      </x:c>
      <x:c r="J81" s="2" t="str">
        <x:v>S17-L02</x:v>
      </x:c>
      <x:c r="K81" s="2" t="str">
        <x:v>当前评估仅限于公开的STPA手册示例，需要更多真实案例。</x:v>
      </x:c>
      <x:c r="L81" s="2" t="str">
        <x:v>需要收集真实世界的STPA分析案例。</x:v>
      </x:c>
      <x:c r="M81" s="6" t="str">
        <x:v>NR</x:v>
      </x:c>
      <x:c r="N81" s="2" t="str">
        <x:v>Speculative</x:v>
      </x:c>
      <x:c r="O81" s="2" t="str">
        <x:v>Real-world case studies</x:v>
      </x:c>
      <x:c r="P81" s="2" t="str">
        <x:v>Real-world case studies</x:v>
      </x:c>
      <x:c r="Q81" s="2" t="str">
        <x:v>Broader empirical validation</x:v>
      </x:c>
      <x:c r="R81" s="6" t="str">
        <x:v>p. 10; Section VI-B, Limitations</x:v>
      </x:c>
      <x:c r="S81" s="6" t="str">
        <x:v>in future studies including real exemplars outside the publicly available ones will be useful to assess the effectiveness of our approach.</x:v>
      </x:c>
      <x:c r="T81" s="6" t="str">
        <x:v>未来需要在非公开真实案例上评估方法，以验证其普遍有效性。</x:v>
      </x:c>
      <x:c r="U81" s="2" t="str">
        <x:v>Accepted</x:v>
      </x:c>
      <x:c r="V81" s="6" t="str">
        <x:v>NR</x:v>
      </x:c>
      <x:c r="W81" s="6" t="str">
        <x:v>Empirical limitation-grounded</x:v>
      </x:c>
    </x:row>
    <x:row r="82" ht="76" customHeight="1">
      <x:c r="A82" s="2" t="str">
        <x:v>S18-FUTURE-R01</x:v>
      </x:c>
      <x:c r="B82" s="2" t="str">
        <x:v>S18</x:v>
      </x:c>
      <x:c r="C82" s="2" t="str">
        <x:v>merged_1149</x:v>
      </x:c>
      <x:c r="D82" s="2" t="str">
        <x:v>Reviewer_A</x:v>
      </x:c>
      <x:c r="E82" s="2" t="str">
        <x:v>Reviewer_A</x:v>
      </x:c>
      <x:c r="F82" s="2" t="str">
        <x:v>S18-D01</x:v>
      </x:c>
      <x:c r="G82" s="6" t="str">
        <x:v>SR</x:v>
      </x:c>
      <x:c r="H82" s="6" t="str">
        <x:v>Explicit future work</x:v>
      </x:c>
      <x:c r="I82" s="6" t="str">
        <x:v>探索交互式人机协同（Human-in-the-Loop）技术。</x:v>
      </x:c>
      <x:c r="J82" s="2" t="str">
        <x:v>NR</x:v>
      </x:c>
      <x:c r="K82" s="2" t="str">
        <x:v>减少分析师工作量，提高追溯链接召回率。</x:v>
      </x:c>
      <x:c r="L82" s="2" t="str">
        <x:v>NR</x:v>
      </x:c>
      <x:c r="M82" s="6" t="str">
        <x:v>No</x:v>
      </x:c>
      <x:c r="N82" s="2" t="str">
        <x:v>Speculative</x:v>
      </x:c>
      <x:c r="O82" s="2" t="str">
        <x:v>human_in_the_loop</x:v>
      </x:c>
      <x:c r="P82" s="2" t="str">
        <x:v>future_direction</x:v>
      </x:c>
      <x:c r="Q82" s="2" t="str">
        <x:v>Reliability, explainability, and human oversight</x:v>
      </x:c>
      <x:c r="R82" s="6" t="str">
        <x:v>p. 29; Limitations</x:v>
      </x:c>
      <x:c r="S82" s="6" t="str">
        <x:v>In the future, we plan to conduct a human-in-the-loop study with a domain expert to investigate the</x:v>
      </x:c>
      <x:c r="T82" s="6" t="str">
        <x:v>作者建议未来工作可以引入人工反馈来提升追溯链接预测的质量和实用性。</x:v>
      </x:c>
      <x:c r="U82" s="2" t="str">
        <x:v>Accepted</x:v>
      </x:c>
      <x:c r="V82" s="6" t="str">
        <x:v>NA</x:v>
      </x:c>
      <x:c r="W82" s="6" t="str">
        <x:v>Agenda statement only</x:v>
      </x:c>
    </x:row>
    <x:row r="83" ht="76" customHeight="1">
      <x:c r="A83" s="2" t="str">
        <x:v>S18-FUTURE-R02</x:v>
      </x:c>
      <x:c r="B83" s="2" t="str">
        <x:v>S18</x:v>
      </x:c>
      <x:c r="C83" s="2" t="str">
        <x:v>merged_1149</x:v>
      </x:c>
      <x:c r="D83" s="2" t="str">
        <x:v>Reviewer_A</x:v>
      </x:c>
      <x:c r="E83" s="2" t="str">
        <x:v>Reviewer_A</x:v>
      </x:c>
      <x:c r="F83" s="2" t="str">
        <x:v>S18-D02</x:v>
      </x:c>
      <x:c r="G83" s="6" t="str">
        <x:v>SR</x:v>
      </x:c>
      <x:c r="H83" s="6" t="str">
        <x:v>Explicit research gap</x:v>
      </x:c>
      <x:c r="I83" s="6" t="str">
        <x:v>研究提示设计中哪些具体元素影响模型行为，这超出了当前研究范围。</x:v>
      </x:c>
      <x:c r="J83" s="2" t="str">
        <x:v>S18-L01</x:v>
      </x:c>
      <x:c r="K83" s="2" t="str">
        <x:v>理解提示组成部分（如角色、指令、示例）对LLM输出行为的影响。</x:v>
      </x:c>
      <x:c r="L83" s="2" t="str">
        <x:v>NR</x:v>
      </x:c>
      <x:c r="M83" s="6" t="str">
        <x:v>No</x:v>
      </x:c>
      <x:c r="N83" s="2" t="str">
        <x:v>Speculative</x:v>
      </x:c>
      <x:c r="O83" s="2" t="str">
        <x:v>prompt_analysis</x:v>
      </x:c>
      <x:c r="P83" s="2" t="str">
        <x:v>research_gap</x:v>
      </x:c>
      <x:c r="Q83" s="2" t="str">
        <x:v>Context, retrieval, and model adaptation</x:v>
      </x:c>
      <x:c r="R83" s="6" t="str">
        <x:v>p. 24; Section 4.8 (Results)</x:v>
      </x:c>
      <x:c r="S83" s="6" t="str">
        <x:v>an investigation into which specific elements of the prompt design influence the model’s behavior falls outside the scope of the current study.</x:v>
      </x:c>
      <x:c r="T83" s="6" t="str">
        <x:v>当前研究未对提示工程进行要素分析，未来可系统探究提示结构对性能的影响。</x:v>
      </x:c>
      <x:c r="U83" s="2" t="str">
        <x:v>Accepted</x:v>
      </x:c>
      <x:c r="V83" s="6" t="str">
        <x:v>NA</x:v>
      </x:c>
      <x:c r="W83" s="6" t="str">
        <x:v>Reported limitation-grounded</x:v>
      </x:c>
    </x:row>
    <x:row r="84" ht="76" customHeight="1">
      <x:c r="A84" s="2" t="str">
        <x:v>S19-FUTURE-R01</x:v>
      </x:c>
      <x:c r="B84" s="2" t="str">
        <x:v>S19</x:v>
      </x:c>
      <x:c r="C84" s="2" t="str">
        <x:v>merged_1150</x:v>
      </x:c>
      <x:c r="D84" s="2" t="str">
        <x:v>Reviewer_A</x:v>
      </x:c>
      <x:c r="E84" s="2" t="str">
        <x:v>Reviewer_A</x:v>
      </x:c>
      <x:c r="F84" s="2" t="str">
        <x:v>S19-D01</x:v>
      </x:c>
      <x:c r="G84" s="6" t="str">
        <x:v>SR</x:v>
      </x:c>
      <x:c r="H84" s="6" t="str">
        <x:v>Explicit future work</x:v>
      </x:c>
      <x:c r="I84" s="6" t="str">
        <x:v>将实验适配到其他软件工程任务，如代码生成、模型综合和测试用例推导，以检验需求异味如何影响这些活动。</x:v>
      </x:c>
      <x:c r="J84" s="2" t="str">
        <x:v>S19-L02</x:v>
      </x:c>
      <x:c r="K84" s="2" t="str">
        <x:v>理解需求异味在不同SE任务中的影响</x:v>
      </x:c>
      <x:c r="L84" s="2" t="str">
        <x:v>NR</x:v>
      </x:c>
      <x:c r="M84" s="6" t="str">
        <x:v>本研究在追溯任务中发现了异味的某些影响，但需要进一步验证。</x:v>
      </x:c>
      <x:c r="N84" s="2" t="str">
        <x:v>Speculative</x:v>
      </x:c>
      <x:c r="O84" s="2" t="str">
        <x:v>NR</x:v>
      </x:c>
      <x:c r="P84" s="2" t="str">
        <x:v>NR</x:v>
      </x:c>
      <x:c r="Q84" s="2" t="str">
        <x:v>Broader empirical validation</x:v>
      </x:c>
      <x:c r="R84" s="6" t="str">
        <x:v>p. 4; Section V Future Plans</x:v>
      </x:c>
      <x:c r="S84" s="6" t="str">
        <x:v>We plan to adapt our experiments to other SE tasks, such as code generation, model synthesis, and test case derivation, to examine if and how requirements smells affect these activities.</x:v>
      </x:c>
      <x:c r="T84" s="6" t="str">
        <x:v>明确未来的研究方向是扩大任务范围。</x:v>
      </x:c>
      <x:c r="U84" s="2" t="str">
        <x:v>Accepted</x:v>
      </x:c>
      <x:c r="V84" s="6" t="str">
        <x:v>NA</x:v>
      </x:c>
      <x:c r="W84" s="6" t="str">
        <x:v>Result-grounded</x:v>
      </x:c>
    </x:row>
    <x:row r="85" ht="76" customHeight="1">
      <x:c r="A85" s="2" t="str">
        <x:v>S19-FUTURE-R02</x:v>
      </x:c>
      <x:c r="B85" s="2" t="str">
        <x:v>S19</x:v>
      </x:c>
      <x:c r="C85" s="2" t="str">
        <x:v>merged_1150</x:v>
      </x:c>
      <x:c r="D85" s="2" t="str">
        <x:v>Reviewer_A</x:v>
      </x:c>
      <x:c r="E85" s="2" t="str">
        <x:v>Reviewer_A</x:v>
      </x:c>
      <x:c r="F85" s="2" t="str">
        <x:v>S19-D02</x:v>
      </x:c>
      <x:c r="G85" s="6" t="str">
        <x:v>SR</x:v>
      </x:c>
      <x:c r="H85" s="6" t="str">
        <x:v>Explicit future work</x:v>
      </x:c>
      <x:c r="I85" s="6" t="str">
        <x:v>评估需求异味与生成产物的异味（如代码异味或测试异味）之间的关联。</x:v>
      </x:c>
      <x:c r="J85" s="2" t="str">
        <x:v>NR</x:v>
      </x:c>
      <x:c r="K85" s="2" t="str">
        <x:v>探究需求质量对生成产物质量的传递效应</x:v>
      </x:c>
      <x:c r="L85" s="2" t="str">
        <x:v>NR</x:v>
      </x:c>
      <x:c r="M85" s="6" t="str">
        <x:v>NR</x:v>
      </x:c>
      <x:c r="N85" s="2" t="str">
        <x:v>Speculative</x:v>
      </x:c>
      <x:c r="O85" s="2" t="str">
        <x:v>NR</x:v>
      </x:c>
      <x:c r="P85" s="2" t="str">
        <x:v>NR</x:v>
      </x:c>
      <x:c r="Q85" s="2" t="str">
        <x:v>Context, retrieval, and model adaptation</x:v>
      </x:c>
      <x:c r="R85" s="6" t="str">
        <x:v>p. 4; Section V Future Plans</x:v>
      </x:c>
      <x:c r="S85" s="6" t="str">
        <x:v>We will assess the correlation between requirements smells and generated artifact smells, such as code or test smells</x:v>
      </x:c>
      <x:c r="T85" s="6" t="str">
        <x:v>计划研究需求异味对下游产物的影响。</x:v>
      </x:c>
      <x:c r="U85" s="2" t="str">
        <x:v>Accepted</x:v>
      </x:c>
      <x:c r="V85" s="6" t="str">
        <x:v>NA</x:v>
      </x:c>
      <x:c r="W85" s="6" t="str">
        <x:v>Agenda statement only</x:v>
      </x:c>
    </x:row>
    <x:row r="86" ht="76" customHeight="1">
      <x:c r="A86" s="2" t="str">
        <x:v>S19-FUTURE-R03</x:v>
      </x:c>
      <x:c r="B86" s="2" t="str">
        <x:v>S19</x:v>
      </x:c>
      <x:c r="C86" s="2" t="str">
        <x:v>merged_1150</x:v>
      </x:c>
      <x:c r="D86" s="2" t="str">
        <x:v>Reviewer_A</x:v>
      </x:c>
      <x:c r="E86" s="2" t="str">
        <x:v>Reviewer_A</x:v>
      </x:c>
      <x:c r="F86" s="2" t="str">
        <x:v>S19-D03</x:v>
      </x:c>
      <x:c r="G86" s="6" t="str">
        <x:v>SR</x:v>
      </x:c>
      <x:c r="H86" s="6" t="str">
        <x:v>Explicit future work</x:v>
      </x:c>
      <x:c r="I86" s="6" t="str">
        <x:v>收集定性见解以识别生成产物中的新问题，利用专家意见补充性能结果。</x:v>
      </x:c>
      <x:c r="J86" s="2" t="str">
        <x:v>NR</x:v>
      </x:c>
      <x:c r="K86" s="2" t="str">
        <x:v>确保LLM输出的质量不仅依靠量化指标，还需定性评估。</x:v>
      </x:c>
      <x:c r="L86" s="2" t="str">
        <x:v>NR</x:v>
      </x:c>
      <x:c r="M86" s="6" t="str">
        <x:v>NR</x:v>
      </x:c>
      <x:c r="N86" s="2" t="str">
        <x:v>Speculative</x:v>
      </x:c>
      <x:c r="O86" s="2" t="str">
        <x:v>NR</x:v>
      </x:c>
      <x:c r="P86" s="2" t="str">
        <x:v>NR</x:v>
      </x:c>
      <x:c r="Q86" s="2" t="str">
        <x:v>Benchmark and measurement rigor</x:v>
      </x:c>
      <x:c r="R86" s="6" t="str">
        <x:v>p. 4; Section V Future Plans</x:v>
      </x:c>
      <x:c r="S86" s="6" t="str">
        <x:v>In addition to quantitative analysis, we will gather qualitative insights to identify emerging problems in generated artifacts. Expert opinions will complement performance results</x:v>
      </x:c>
      <x:c r="T86" s="6" t="str">
        <x:v>计划采用混合方法评估生成质量。</x:v>
      </x:c>
      <x:c r="U86" s="2" t="str">
        <x:v>Accepted</x:v>
      </x:c>
      <x:c r="V86" s="6" t="str">
        <x:v>NA</x:v>
      </x:c>
      <x:c r="W86" s="6" t="str">
        <x:v>Agenda statement only</x:v>
      </x:c>
    </x:row>
    <x:row r="87" ht="76" customHeight="1">
      <x:c r="A87" s="2" t="str">
        <x:v>S19-FUTURE-R04</x:v>
      </x:c>
      <x:c r="B87" s="2" t="str">
        <x:v>S19</x:v>
      </x:c>
      <x:c r="C87" s="2" t="str">
        <x:v>merged_1150</x:v>
      </x:c>
      <x:c r="D87" s="2" t="str">
        <x:v>Reviewer_A</x:v>
      </x:c>
      <x:c r="E87" s="2" t="str">
        <x:v>Reviewer_A</x:v>
      </x:c>
      <x:c r="F87" s="2" t="str">
        <x:v>S19-D04</x:v>
      </x:c>
      <x:c r="G87" s="6" t="str">
        <x:v>SR</x:v>
      </x:c>
      <x:c r="H87" s="6" t="str">
        <x:v>Explicit future work</x:v>
      </x:c>
      <x:c r="I87" s="6" t="str">
        <x:v>在更大、更复杂的系统上复制实验，研究项目规模和领域的影响。</x:v>
      </x:c>
      <x:c r="J87" s="2" t="str">
        <x:v>S19-L01</x:v>
      </x:c>
      <x:c r="K87" s="2" t="str">
        <x:v>验证小规模发现的可扩展性</x:v>
      </x:c>
      <x:c r="L87" s="2" t="str">
        <x:v>NR</x:v>
      </x:c>
      <x:c r="M87" s="6" t="str">
        <x:v>NR</x:v>
      </x:c>
      <x:c r="N87" s="2" t="str">
        <x:v>Speculative</x:v>
      </x:c>
      <x:c r="O87" s="2" t="str">
        <x:v>NR</x:v>
      </x:c>
      <x:c r="P87" s="2" t="str">
        <x:v>NR</x:v>
      </x:c>
      <x:c r="Q87" s="2" t="str">
        <x:v>Broader empirical validation</x:v>
      </x:c>
      <x:c r="R87" s="6" t="str">
        <x:v>p. 4; Section V Future Plans</x:v>
      </x:c>
      <x:c r="S87" s="6" t="str">
        <x:v>We plan to replicate our experiments on larger, more complex systems.</x:v>
      </x:c>
      <x:c r="T87" s="6" t="str">
        <x:v>直接针对复杂系统局限性提出未来工作。</x:v>
      </x:c>
      <x:c r="U87" s="2" t="str">
        <x:v>Accepted</x:v>
      </x:c>
      <x:c r="V87" s="6" t="str">
        <x:v>NA</x:v>
      </x:c>
      <x:c r="W87" s="6" t="str">
        <x:v>Empirical limitation-grounded</x:v>
      </x:c>
    </x:row>
    <x:row r="88" ht="76" customHeight="1">
      <x:c r="A88" s="2" t="str">
        <x:v>S19-FUTURE-R05</x:v>
      </x:c>
      <x:c r="B88" s="2" t="str">
        <x:v>S19</x:v>
      </x:c>
      <x:c r="C88" s="2" t="str">
        <x:v>merged_1150</x:v>
      </x:c>
      <x:c r="D88" s="2" t="str">
        <x:v>Reviewer_A</x:v>
      </x:c>
      <x:c r="E88" s="2" t="str">
        <x:v>Reviewer_A</x:v>
      </x:c>
      <x:c r="F88" s="2" t="str">
        <x:v>S19-D05</x:v>
      </x:c>
      <x:c r="G88" s="6" t="str">
        <x:v>SR</x:v>
      </x:c>
      <x:c r="H88" s="6" t="str">
        <x:v>Explicit future work</x:v>
      </x:c>
      <x:c r="I88" s="6" t="str">
        <x:v>研究自我和人工辅助的异味纠正技术，如LLM自我纠正或分析师的澄清查询。</x:v>
      </x:c>
      <x:c r="J88" s="2" t="str">
        <x:v>NR</x:v>
      </x:c>
      <x:c r="K88" s="2" t="str">
        <x:v>减轻需求异味的负面影响</x:v>
      </x:c>
      <x:c r="L88" s="2" t="str">
        <x:v>NR</x:v>
      </x:c>
      <x:c r="M88" s="6" t="str">
        <x:v>NR</x:v>
      </x:c>
      <x:c r="N88" s="2" t="str">
        <x:v>Speculative</x:v>
      </x:c>
      <x:c r="O88" s="2" t="str">
        <x:v>NR</x:v>
      </x:c>
      <x:c r="P88" s="2" t="str">
        <x:v>NR</x:v>
      </x:c>
      <x:c r="Q88" s="2" t="str">
        <x:v>Reliability, explainability, and human oversight</x:v>
      </x:c>
      <x:c r="R88" s="6" t="str">
        <x:v>p. 4; Section V Future Plans</x:v>
      </x:c>
      <x:c r="S88" s="6" t="str">
        <x:v>We will investigate self- and human-assisted correction techniques, such as self-correction by LLMs or clarification queries from the analyst.</x:v>
      </x:c>
      <x:c r="T88" s="6" t="str">
        <x:v>提出开发实用的异味缓解方案。</x:v>
      </x:c>
      <x:c r="U88" s="2" t="str">
        <x:v>Accepted</x:v>
      </x:c>
      <x:c r="V88" s="6" t="str">
        <x:v>NA</x:v>
      </x:c>
      <x:c r="W88" s="6" t="str">
        <x:v>Agenda statement only</x:v>
      </x:c>
    </x:row>
    <x:row r="89" ht="76" customHeight="1">
      <x:c r="A89" s="2" t="str">
        <x:v>S19-FUTURE-R06</x:v>
      </x:c>
      <x:c r="B89" s="2" t="str">
        <x:v>S19</x:v>
      </x:c>
      <x:c r="C89" s="2" t="str">
        <x:v>merged_1150</x:v>
      </x:c>
      <x:c r="D89" s="2" t="str">
        <x:v>Reviewer_A</x:v>
      </x:c>
      <x:c r="E89" s="2" t="str">
        <x:v>Reviewer_A</x:v>
      </x:c>
      <x:c r="F89" s="2" t="str">
        <x:v>S19-D06</x:v>
      </x:c>
      <x:c r="G89" s="6" t="str">
        <x:v>SR</x:v>
      </x:c>
      <x:c r="H89" s="6" t="str">
        <x:v>Explicit future work</x:v>
      </x:c>
      <x:c r="I89" s="6" t="str">
        <x:v>评估‘有异味的提示’是否影响基准任务（如数学推理、反事实评估），或是否需要新的提示异味定义。</x:v>
      </x:c>
      <x:c r="J89" s="2" t="str">
        <x:v>NR</x:v>
      </x:c>
      <x:c r="K89" s="2" t="str">
        <x:v>探索提示工程中的质量问题</x:v>
      </x:c>
      <x:c r="L89" s="2" t="str">
        <x:v>NR</x:v>
      </x:c>
      <x:c r="M89" s="6" t="str">
        <x:v>NR</x:v>
      </x:c>
      <x:c r="N89" s="2" t="str">
        <x:v>Speculative</x:v>
      </x:c>
      <x:c r="O89" s="2" t="str">
        <x:v>NR</x:v>
      </x:c>
      <x:c r="P89" s="2" t="str">
        <x:v>NR</x:v>
      </x:c>
      <x:c r="Q89" s="2" t="str">
        <x:v>Context, retrieval, and model adaptation</x:v>
      </x:c>
      <x:c r="R89" s="6" t="str">
        <x:v>p. 4; Section V Future Plans</x:v>
      </x:c>
      <x:c r="S89" s="6" t="str">
        <x:v>We aim to assess whether ‘smelly’ prompts impact benchmark tasks (e.g., math reasoning, counterfactual evaluation) or if new prompt smells are needed.</x:v>
      </x:c>
      <x:c r="T89" s="6" t="str">
        <x:v>将研究从需求异味拓展到提示异味。</x:v>
      </x:c>
      <x:c r="U89" s="2" t="str">
        <x:v>Accepted</x:v>
      </x:c>
      <x:c r="V89" s="6" t="str">
        <x:v>NA</x:v>
      </x:c>
      <x:c r="W89" s="6" t="str">
        <x:v>Agenda statement only</x:v>
      </x:c>
    </x:row>
    <x:row r="90" ht="76" customHeight="1">
      <x:c r="A90" s="2" t="str">
        <x:v>S20-FUTURE-R01</x:v>
      </x:c>
      <x:c r="B90" s="2" t="str">
        <x:v>S20</x:v>
      </x:c>
      <x:c r="C90" s="2" t="str">
        <x:v>merged_1151-v1</x:v>
      </x:c>
      <x:c r="D90" s="2" t="str">
        <x:v>Reviewer_A</x:v>
      </x:c>
      <x:c r="E90" s="2" t="str">
        <x:v>Reviewer_A</x:v>
      </x:c>
      <x:c r="F90" s="2" t="str">
        <x:v>S20-D01</x:v>
      </x:c>
      <x:c r="G90" s="6" t="str">
        <x:v>SR</x:v>
      </x:c>
      <x:c r="H90" s="6" t="str">
        <x:v>Explicit future work</x:v>
      </x:c>
      <x:c r="I90" s="6" t="str">
        <x:v>框架可以扩展以适应不同形式和结构的SRS文档，强调跨不同领域和格式的泛化需求。</x:v>
      </x:c>
      <x:c r="J90" s="2" t="str">
        <x:v>S20-L06</x:v>
      </x:c>
      <x:c r="K90" s="2" t="str">
        <x:v>lack of generalization across diverse SRS document forms and structures</x:v>
      </x:c>
      <x:c r="L90" s="2" t="str">
        <x:v>NR</x:v>
      </x:c>
      <x:c r="M90" s="6" t="str">
        <x:v>NR</x:v>
      </x:c>
      <x:c r="N90" s="2" t="str">
        <x:v>Speculative</x:v>
      </x:c>
      <x:c r="O90" s="2" t="str">
        <x:v>generalization</x:v>
      </x:c>
      <x:c r="P90" s="2" t="str">
        <x:v>framework_extension</x:v>
      </x:c>
      <x:c r="Q90" s="2" t="str">
        <x:v>Broader empirical validation</x:v>
      </x:c>
      <x:c r="R90" s="6" t="str">
        <x:v>p. 22; section 7 Conclusion and future work</x:v>
      </x:c>
      <x:c r="S90" s="6" t="str">
        <x:v>the framework could be extended to accommodate the diverse forms and structures of SRS documents, emphasizing the need for generalization across different domains and formats.</x:v>
      </x:c>
      <x:c r="T90" s="6" t="str">
        <x:v>作者提出未来需扩展框架以适应多样化SRS文档，提升跨领域泛化能力。</x:v>
      </x:c>
      <x:c r="U90" s="2" t="str">
        <x:v>Accepted</x:v>
      </x:c>
      <x:c r="V90" s="6" t="str">
        <x:v>NA</x:v>
      </x:c>
      <x:c r="W90" s="6" t="str">
        <x:v>Reported limitation-grounded</x:v>
      </x:c>
    </x:row>
    <x:row r="91" ht="76" customHeight="1">
      <x:c r="A91" s="2" t="str">
        <x:v>S20-FUTURE-R02</x:v>
      </x:c>
      <x:c r="B91" s="2" t="str">
        <x:v>S20</x:v>
      </x:c>
      <x:c r="C91" s="2" t="str">
        <x:v>merged_1151-v1</x:v>
      </x:c>
      <x:c r="D91" s="2" t="str">
        <x:v>Reviewer_A</x:v>
      </x:c>
      <x:c r="E91" s="2" t="str">
        <x:v>Reviewer_A</x:v>
      </x:c>
      <x:c r="F91" s="2" t="str">
        <x:v>S20-D02</x:v>
      </x:c>
      <x:c r="G91" s="6" t="str">
        <x:v>SR</x:v>
      </x:c>
      <x:c r="H91" s="6" t="str">
        <x:v>Explicit future work</x:v>
      </x:c>
      <x:c r="I91" s="6" t="str">
        <x:v>开发鲁棒的搜索工具以自动化检索相关参考文本，进一步提升系统的效率和适用性。</x:v>
      </x:c>
      <x:c r="J91" s="2" t="str">
        <x:v>S20-L02</x:v>
      </x:c>
      <x:c r="K91" s="2" t="str">
        <x:v>manual or semi-automated retrieval of reference texts may be inefficient</x:v>
      </x:c>
      <x:c r="L91" s="2" t="str">
        <x:v>NR</x:v>
      </x:c>
      <x:c r="M91" s="6" t="str">
        <x:v>NR</x:v>
      </x:c>
      <x:c r="N91" s="2" t="str">
        <x:v>Speculative</x:v>
      </x:c>
      <x:c r="O91" s="2" t="str">
        <x:v>search_tool</x:v>
      </x:c>
      <x:c r="P91" s="2" t="str">
        <x:v>automation</x:v>
      </x:c>
      <x:c r="Q91" s="2" t="str">
        <x:v>Integration, evolution, and deployment</x:v>
      </x:c>
      <x:c r="R91" s="6" t="str">
        <x:v>p. 22; section 7 Conclusion and future work</x:v>
      </x:c>
      <x:c r="S91" s="6" t="str">
        <x:v>Developing robust search tools to automate the retrieval of relevant reference texts would further enhance the system’s efficiency and applicability.</x:v>
      </x:c>
      <x:c r="T91" s="6" t="str">
        <x:v>作者建议开发自动化检索工具以提升整个系统的效率和实用性。</x:v>
      </x:c>
      <x:c r="U91" s="2" t="str">
        <x:v>Accepted</x:v>
      </x:c>
      <x:c r="V91" s="6" t="str">
        <x:v>NA</x:v>
      </x:c>
      <x:c r="W91" s="6" t="str">
        <x:v>Empirical limitation-grounded</x:v>
      </x:c>
    </x:row>
    <x:row r="92" ht="76" customHeight="1">
      <x:c r="A92" s="2" t="str">
        <x:v>S20-FUTURE-R03</x:v>
      </x:c>
      <x:c r="B92" s="2" t="str">
        <x:v>S20</x:v>
      </x:c>
      <x:c r="C92" s="2" t="str">
        <x:v>merged_1151-v1</x:v>
      </x:c>
      <x:c r="D92" s="2" t="str">
        <x:v>Reviewer_A</x:v>
      </x:c>
      <x:c r="E92" s="2" t="str">
        <x:v>Reviewer_A</x:v>
      </x:c>
      <x:c r="F92" s="2" t="str">
        <x:v>S20-D03</x:v>
      </x:c>
      <x:c r="G92" s="6" t="str">
        <x:v>SR</x:v>
      </x:c>
      <x:c r="H92" s="6" t="str">
        <x:v>Explicit research gap</x:v>
      </x:c>
      <x:c r="I92" s="6" t="str">
        <x:v>需要在不同领域进行更广泛的测试以评估其泛化能力。</x:v>
      </x:c>
      <x:c r="J92" s="2" t="str">
        <x:v>S20-L06</x:v>
      </x:c>
      <x:c r="K92" s="2" t="str">
        <x:v>uncertain generalizability</x:v>
      </x:c>
      <x:c r="L92" s="2" t="str">
        <x:v>NR</x:v>
      </x:c>
      <x:c r="M92" s="6" t="str">
        <x:v>NR</x:v>
      </x:c>
      <x:c r="N92" s="2" t="str">
        <x:v>Speculative</x:v>
      </x:c>
      <x:c r="O92" s="2" t="str">
        <x:v>broader_testing</x:v>
      </x:c>
      <x:c r="P92" s="2" t="str">
        <x:v>evaluation</x:v>
      </x:c>
      <x:c r="Q92" s="2" t="str">
        <x:v>Broader empirical validation</x:v>
      </x:c>
      <x:c r="R92" s="6" t="str">
        <x:v>p. 22; section 6.2 Threats to Validity</x:v>
      </x:c>
      <x:c r="S92" s="6" t="str">
        <x:v>Broader testing across diverse domains is necessary to assess its generalizability.</x:v>
      </x:c>
      <x:c r="T92" s="6" t="str">
        <x:v>作者强调需跨领域广泛测试以验证框架的泛化能力。</x:v>
      </x:c>
      <x:c r="U92" s="2" t="str">
        <x:v>Accepted</x:v>
      </x:c>
      <x:c r="V92" s="6" t="str">
        <x:v>NA</x:v>
      </x:c>
      <x:c r="W92" s="6" t="str">
        <x:v>Reported limitation-grounded</x:v>
      </x:c>
    </x:row>
    <x:row r="93" ht="76" customHeight="1">
      <x:c r="A93" s="2" t="str">
        <x:v>S20-FUTURE-R04</x:v>
      </x:c>
      <x:c r="B93" s="2" t="str">
        <x:v>S20</x:v>
      </x:c>
      <x:c r="C93" s="2" t="str">
        <x:v>merged_1151-v1</x:v>
      </x:c>
      <x:c r="D93" s="2" t="str">
        <x:v>Reviewer_A</x:v>
      </x:c>
      <x:c r="E93" s="2" t="str">
        <x:v>Reviewer_A</x:v>
      </x:c>
      <x:c r="F93" s="2" t="str">
        <x:v>S20-D04</x:v>
      </x:c>
      <x:c r="G93" s="6" t="str">
        <x:v>SR</x:v>
      </x:c>
      <x:c r="H93" s="6" t="str">
        <x:v>Explicit research gap</x:v>
      </x:c>
      <x:c r="I93" s="6" t="str">
        <x:v>需要进一步优化以提高效率。</x:v>
      </x:c>
      <x:c r="J93" s="2" t="str">
        <x:v>S20-L07</x:v>
      </x:c>
      <x:c r="K93" s="2" t="str">
        <x:v>high computational cost and scalability</x:v>
      </x:c>
      <x:c r="L93" s="2" t="str">
        <x:v>NR</x:v>
      </x:c>
      <x:c r="M93" s="6" t="str">
        <x:v>NR</x:v>
      </x:c>
      <x:c r="N93" s="2" t="str">
        <x:v>Speculative</x:v>
      </x:c>
      <x:c r="O93" s="2" t="str">
        <x:v>optimization</x:v>
      </x:c>
      <x:c r="P93" s="2" t="str">
        <x:v>efficiency</x:v>
      </x:c>
      <x:c r="Q93" s="2" t="str">
        <x:v>Integration, evolution, and deployment</x:v>
      </x:c>
      <x:c r="R93" s="6" t="str">
        <x:v>p. 22; section 6.2 Threats to Validity</x:v>
      </x:c>
      <x:c r="S93" s="6" t="str">
        <x:v>requiring further optimization to enhance efficiency</x:v>
      </x:c>
      <x:c r="T93" s="6" t="str">
        <x:v>作者提出需优化方法以降低成本并提高效率。</x:v>
      </x:c>
      <x:c r="U93" s="2" t="str">
        <x:v>Accepted</x:v>
      </x:c>
      <x:c r="V93" s="6" t="str">
        <x:v>NA</x:v>
      </x:c>
      <x:c r="W93" s="6" t="str">
        <x:v>Reported limitation-grounded</x:v>
      </x:c>
    </x:row>
    <x:row r="94" ht="76" customHeight="1">
      <x:c r="A94" s="2" t="str">
        <x:v>S21-FUTURE-R01</x:v>
      </x:c>
      <x:c r="B94" s="2" t="str">
        <x:v>S21</x:v>
      </x:c>
      <x:c r="C94" s="2" t="str">
        <x:v>merged_1152</x:v>
      </x:c>
      <x:c r="D94" s="2" t="str">
        <x:v>Reviewer_A</x:v>
      </x:c>
      <x:c r="E94" s="2" t="str">
        <x:v>Reviewer_A</x:v>
      </x:c>
      <x:c r="F94" s="2" t="str">
        <x:v>S21-D01</x:v>
      </x:c>
      <x:c r="G94" s="6" t="str">
        <x:v>SR</x:v>
      </x:c>
      <x:c r="H94" s="6" t="str">
        <x:v>Explicit future work</x:v>
      </x:c>
      <x:c r="I94" s="6" t="str">
        <x:v>我们计划探索将整体任务分解为更简单、增量的步骤，以减少模型的复杂性，就像我们在分类任务中所做的那样。</x:v>
      </x:c>
      <x:c r="J94" s="2" t="str">
        <x:v>NR</x:v>
      </x:c>
      <x:c r="K94" s="2" t="str">
        <x:v>排名任务性能需进一步提升</x:v>
      </x:c>
      <x:c r="L94" s="2" t="str">
        <x:v>NR</x:v>
      </x:c>
      <x:c r="M94" s="6" t="str">
        <x:v>分类任务中分解步骤有效</x:v>
      </x:c>
      <x:c r="N94" s="2" t="str">
        <x:v>Speculative</x:v>
      </x:c>
      <x:c r="O94" s="2" t="str">
        <x:v>task_decomposition</x:v>
      </x:c>
      <x:c r="P94" s="2" t="str">
        <x:v>prompt_engineering</x:v>
      </x:c>
      <x:c r="Q94" s="2" t="str">
        <x:v>Context, retrieval, and model adaptation</x:v>
      </x:c>
      <x:c r="R94" s="6" t="str">
        <x:v>p. 6; Section IV-E</x:v>
      </x:c>
      <x:c r="S94" s="6" t="str">
        <x:v>In the future, we plan to explore ways of decomposing the overall task into simpler, incremental steps to reduce complexity for the model as we did for the classification task.</x:v>
      </x:c>
      <x:c r="T94" s="6" t="str">
        <x:v>作者计划将任务分解方法扩展到排名任务以提升性能。</x:v>
      </x:c>
      <x:c r="U94" s="2" t="str">
        <x:v>Accepted</x:v>
      </x:c>
      <x:c r="V94" s="6" t="str">
        <x:v>NR</x:v>
      </x:c>
      <x:c r="W94" s="6" t="str">
        <x:v>Result-grounded</x:v>
      </x:c>
    </x:row>
    <x:row r="95" ht="76" customHeight="1">
      <x:c r="A95" s="2" t="str">
        <x:v>S21-FUTURE-R02</x:v>
      </x:c>
      <x:c r="B95" s="2" t="str">
        <x:v>S21</x:v>
      </x:c>
      <x:c r="C95" s="2" t="str">
        <x:v>merged_1152</x:v>
      </x:c>
      <x:c r="D95" s="2" t="str">
        <x:v>Reviewer_A</x:v>
      </x:c>
      <x:c r="E95" s="2" t="str">
        <x:v>Reviewer_A</x:v>
      </x:c>
      <x:c r="F95" s="2" t="str">
        <x:v>S21-D02</x:v>
      </x:c>
      <x:c r="G95" s="6" t="str">
        <x:v>SR</x:v>
      </x:c>
      <x:c r="H95" s="6" t="str">
        <x:v>Explicit future work</x:v>
      </x:c>
      <x:c r="I95" s="6" t="str">
        <x:v>在未来的研究中，我们旨在探索缓解这种变异性的策略，并深入研究不同提示在不同模型上的有效性。</x:v>
      </x:c>
      <x:c r="J95" s="2" t="str">
        <x:v>NR</x:v>
      </x:c>
      <x:c r="K95" s="2" t="str">
        <x:v>提示在不同模型上的性能差异</x:v>
      </x:c>
      <x:c r="L95" s="2" t="str">
        <x:v>NR</x:v>
      </x:c>
      <x:c r="M95" s="6" t="str">
        <x:v>NR</x:v>
      </x:c>
      <x:c r="N95" s="2" t="str">
        <x:v>Speculative</x:v>
      </x:c>
      <x:c r="O95" s="2" t="str">
        <x:v>prompt_variability</x:v>
      </x:c>
      <x:c r="P95" s="2" t="str">
        <x:v>robustness</x:v>
      </x:c>
      <x:c r="Q95" s="2" t="str">
        <x:v>Reliability, explainability, and human oversight</x:v>
      </x:c>
      <x:c r="R95" s="6" t="str">
        <x:v>p. 7; Section VI-A</x:v>
      </x:c>
      <x:c r="S95" s="6" t="str">
        <x:v>In future research, we aim to explore strategies that mitigate such variability and delve into the effectiveness of different prompts across different models.</x:v>
      </x:c>
      <x:c r="T95" s="6" t="str">
        <x:v>作者计划研究如何减少提示在不同模型上的性能波动。</x:v>
      </x:c>
      <x:c r="U95" s="2" t="str">
        <x:v>Accepted</x:v>
      </x:c>
      <x:c r="V95" s="6" t="str">
        <x:v>NR</x:v>
      </x:c>
      <x:c r="W95" s="6" t="str">
        <x:v>Agenda statement only</x:v>
      </x:c>
    </x:row>
    <x:row r="96" ht="76" customHeight="1">
      <x:c r="A96" s="2" t="str">
        <x:v>S21-FUTURE-R03</x:v>
      </x:c>
      <x:c r="B96" s="2" t="str">
        <x:v>S21</x:v>
      </x:c>
      <x:c r="C96" s="2" t="str">
        <x:v>merged_1152</x:v>
      </x:c>
      <x:c r="D96" s="2" t="str">
        <x:v>Reviewer_A</x:v>
      </x:c>
      <x:c r="E96" s="2" t="str">
        <x:v>Reviewer_A</x:v>
      </x:c>
      <x:c r="F96" s="2" t="str">
        <x:v>S21-D03</x:v>
      </x:c>
      <x:c r="G96" s="6" t="str">
        <x:v>SR</x:v>
      </x:c>
      <x:c r="H96" s="6" t="str">
        <x:v>Explicit future work</x:v>
      </x:c>
      <x:c r="I96" s="6" t="str">
        <x:v>我们计划在未来进行预训练实验，以查看它是否能提供性能提升。此外，我们希望在一个更广泛的数据集上测试模型的知识。</x:v>
      </x:c>
      <x:c r="J96" s="2" t="str">
        <x:v>S21-L01</x:v>
      </x:c>
      <x:c r="K96" s="2" t="str">
        <x:v>模型在领域特定词汇上的性能</x:v>
      </x:c>
      <x:c r="L96" s="2" t="str">
        <x:v>NR</x:v>
      </x:c>
      <x:c r="M96" s="6" t="str">
        <x:v>NR</x:v>
      </x:c>
      <x:c r="N96" s="2" t="str">
        <x:v>Speculative</x:v>
      </x:c>
      <x:c r="O96" s="2" t="str">
        <x:v>pre-training</x:v>
      </x:c>
      <x:c r="P96" s="2" t="str">
        <x:v>domain_adaptation</x:v>
      </x:c>
      <x:c r="Q96" s="2" t="str">
        <x:v>Context, retrieval, and model adaptation</x:v>
      </x:c>
      <x:c r="R96" s="6" t="str">
        <x:v>p. 7; Section VI-B</x:v>
      </x:c>
      <x:c r="S96" s="6" t="str">
        <x:v>Nevertheless, we plan to experiment with pre-training in the future to see if it can provide a performance boost. Additionally, we hope to test the model’s knowledge on a wider range of datasets.</x:v>
      </x:c>
      <x:c r="T96" s="6" t="str">
        <x:v>作者计划通过预训练和更多数据集来验证和提升模型表现。</x:v>
      </x:c>
      <x:c r="U96" s="2" t="str">
        <x:v>Accepted</x:v>
      </x:c>
      <x:c r="V96" s="6" t="str">
        <x:v>NR</x:v>
      </x:c>
      <x:c r="W96" s="6" t="str">
        <x:v>Empirical limitation-grounded</x:v>
      </x:c>
    </x:row>
    <x:row r="97" ht="76" customHeight="1">
      <x:c r="A97" s="2" t="str">
        <x:v>S21-FUTURE-R04</x:v>
      </x:c>
      <x:c r="B97" s="2" t="str">
        <x:v>S21</x:v>
      </x:c>
      <x:c r="C97" s="2" t="str">
        <x:v>merged_1152</x:v>
      </x:c>
      <x:c r="D97" s="2" t="str">
        <x:v>Reviewer_A</x:v>
      </x:c>
      <x:c r="E97" s="2" t="str">
        <x:v>Reviewer_A</x:v>
      </x:c>
      <x:c r="F97" s="2" t="str">
        <x:v>S21-D04</x:v>
      </x:c>
      <x:c r="G97" s="6" t="str">
        <x:v>SR</x:v>
      </x:c>
      <x:c r="H97" s="6" t="str">
        <x:v>Explicit recommendation</x:v>
      </x:c>
      <x:c r="I97" s="6" t="str">
        <x:v>链式思维推理有潜力改进排名任务，应在未来的工作中进行评估。</x:v>
      </x:c>
      <x:c r="J97" s="2" t="str">
        <x:v>NR</x:v>
      </x:c>
      <x:c r="K97" s="2" t="str">
        <x:v>排名任务性能</x:v>
      </x:c>
      <x:c r="L97" s="2" t="str">
        <x:v>NR</x:v>
      </x:c>
      <x:c r="M97" s="6" t="str">
        <x:v>分类任务中链式思维有效</x:v>
      </x:c>
      <x:c r="N97" s="2" t="str">
        <x:v>Speculative</x:v>
      </x:c>
      <x:c r="O97" s="2" t="str">
        <x:v>chain_of_thought</x:v>
      </x:c>
      <x:c r="P97" s="2" t="str">
        <x:v>reasoning</x:v>
      </x:c>
      <x:c r="Q97" s="2" t="str">
        <x:v>Context, retrieval, and model adaptation</x:v>
      </x:c>
      <x:c r="R97" s="6" t="str">
        <x:v>p. 8; Section VI-E</x:v>
      </x:c>
      <x:c r="S97" s="6" t="str">
        <x:v>Further, chain-of-thought reasoning has the potential to improve the ranking task and should be evaluated in future work.</x:v>
      </x:c>
      <x:c r="T97" s="6" t="str">
        <x:v>作者建议将链式思维推理应用于排名任务。</x:v>
      </x:c>
      <x:c r="U97" s="2" t="str">
        <x:v>Accepted</x:v>
      </x:c>
      <x:c r="V97" s="6" t="str">
        <x:v>NR</x:v>
      </x:c>
      <x:c r="W97" s="6" t="str">
        <x:v>Result-grounded</x:v>
      </x:c>
    </x:row>
    <x:row r="98" ht="76" customHeight="1">
      <x:c r="A98" s="2" t="str">
        <x:v>S21-FUTURE-R05</x:v>
      </x:c>
      <x:c r="B98" s="2" t="str">
        <x:v>S21</x:v>
      </x:c>
      <x:c r="C98" s="2" t="str">
        <x:v>merged_1152</x:v>
      </x:c>
      <x:c r="D98" s="2" t="str">
        <x:v>Reviewer_A</x:v>
      </x:c>
      <x:c r="E98" s="2" t="str">
        <x:v>Reviewer_A</x:v>
      </x:c>
      <x:c r="F98" s="2" t="str">
        <x:v>S21-D05</x:v>
      </x:c>
      <x:c r="G98" s="6" t="str">
        <x:v>SR</x:v>
      </x:c>
      <x:c r="H98" s="6" t="str">
        <x:v>Explicit recommendation</x:v>
      </x:c>
      <x:c r="I98" s="6" t="str">
        <x:v>未来的工作可能受益于将本文讨论的方法与这种方法（使用嵌入）进行比较。</x:v>
      </x:c>
      <x:c r="J98" s="2" t="str">
        <x:v>NR</x:v>
      </x:c>
      <x:c r="K98" s="2" t="str">
        <x:v>替代方法的比较</x:v>
      </x:c>
      <x:c r="L98" s="2" t="str">
        <x:v>NR</x:v>
      </x:c>
      <x:c r="M98" s="6" t="str">
        <x:v>NR</x:v>
      </x:c>
      <x:c r="N98" s="2" t="str">
        <x:v>Speculative</x:v>
      </x:c>
      <x:c r="O98" s="2" t="str">
        <x:v>method_comparison</x:v>
      </x:c>
      <x:c r="P98" s="2" t="str">
        <x:v>evaluation</x:v>
      </x:c>
      <x:c r="Q98" s="2" t="str">
        <x:v>Benchmark and measurement rigor</x:v>
      </x:c>
      <x:c r="R98" s="6" t="str">
        <x:v>p. 8; Section VI-F</x:v>
      </x:c>
      <x:c r="S98" s="6" t="str">
        <x:v>future works might benefit from comparing this approach to those discussed in this paper.</x:v>
      </x:c>
      <x:c r="T98" s="6" t="str">
        <x:v>作者建议将基于嵌入的方法与本文方法进行比较。</x:v>
      </x:c>
      <x:c r="U98" s="2" t="str">
        <x:v>Accepted</x:v>
      </x:c>
      <x:c r="V98" s="6" t="str">
        <x:v>NR</x:v>
      </x:c>
      <x:c r="W98" s="6" t="str">
        <x:v>Agenda statement only</x:v>
      </x:c>
    </x:row>
    <x:row r="99" ht="76" customHeight="1">
      <x:c r="A99" s="2" t="str">
        <x:v>S22-FUTURE-R01</x:v>
      </x:c>
      <x:c r="B99" s="2" t="str">
        <x:v>S22</x:v>
      </x:c>
      <x:c r="C99" s="2" t="str">
        <x:v>merged_1154-v1</x:v>
      </x:c>
      <x:c r="D99" s="2" t="str">
        <x:v>Reviewer_A</x:v>
      </x:c>
      <x:c r="E99" s="2" t="str">
        <x:v>Reviewer_A</x:v>
      </x:c>
      <x:c r="F99" s="2" t="str">
        <x:v>S22-D01</x:v>
      </x:c>
      <x:c r="G99" s="6" t="str">
        <x:v>SR</x:v>
      </x:c>
      <x:c r="H99" s="6" t="str">
        <x:v>Explicit future work</x:v>
      </x:c>
      <x:c r="I99" s="6" t="str">
        <x:v>增加实验重复次数，评估多个模型家族，并明确控制温度、代理设置、上下文窗口配置和工具策略。</x:v>
      </x:c>
      <x:c r="J99" s="2" t="str">
        <x:v>S22-L01</x:v>
      </x:c>
      <x:c r="K99" s="2" t="str">
        <x:v>充分表征随机生成行为的变异性</x:v>
      </x:c>
      <x:c r="L99" s="2" t="str">
        <x:v>Unclear</x:v>
      </x:c>
      <x:c r="M99" s="6" t="str">
        <x:v>No</x:v>
      </x:c>
      <x:c r="N99" s="2" t="str">
        <x:v>Speculative</x:v>
      </x:c>
      <x:c r="O99" s="2" t="str">
        <x:v>increase_replication_and_control</x:v>
      </x:c>
      <x:c r="P99" s="2" t="str">
        <x:v>methodology_improvement</x:v>
      </x:c>
      <x:c r="Q99" s="2" t="str">
        <x:v>Benchmark and measurement rigor</x:v>
      </x:c>
      <x:c r="R99" s="6" t="str">
        <x:v>p. 14; section XI.A</x:v>
      </x:c>
      <x:c r="S99" s="6" t="str">
        <x:v>Future work should increase the number of replications, evaluate multiple model families, and explicitly control temperature, agent settings, context window configuration, and tool policies.</x:v>
      </x:c>
      <x:c r="T99" s="6" t="str">
        <x:v>未来工作应增强实验重复性和参数控制，以更可靠地评估生成稳定性。</x:v>
      </x:c>
      <x:c r="U99" s="2" t="str">
        <x:v>Accepted</x:v>
      </x:c>
      <x:c r="V99" s="6" t="str">
        <x:v>NA</x:v>
      </x:c>
      <x:c r="W99" s="6" t="str">
        <x:v>Empirical limitation-grounded</x:v>
      </x:c>
    </x:row>
    <x:row r="100" ht="76" customHeight="1">
      <x:c r="A100" s="2" t="str">
        <x:v>S22-FUTURE-R02</x:v>
      </x:c>
      <x:c r="B100" s="2" t="str">
        <x:v>S22</x:v>
      </x:c>
      <x:c r="C100" s="2" t="str">
        <x:v>merged_1154-v1</x:v>
      </x:c>
      <x:c r="D100" s="2" t="str">
        <x:v>Reviewer_A</x:v>
      </x:c>
      <x:c r="E100" s="2" t="str">
        <x:v>Reviewer_A</x:v>
      </x:c>
      <x:c r="F100" s="2" t="str">
        <x:v>S22-D02</x:v>
      </x:c>
      <x:c r="G100" s="6" t="str">
        <x:v>SR</x:v>
      </x:c>
      <x:c r="H100" s="6" t="str">
        <x:v>Explicit future work</x:v>
      </x:c>
      <x:c r="I100" s="6" t="str">
        <x:v>未来工作应将功能失败、架构失败、安全失败和可利用性更明确地分开。</x:v>
      </x:c>
      <x:c r="J100" s="2" t="str">
        <x:v>S22-L02</x:v>
      </x:c>
      <x:c r="K100" s="2" t="str">
        <x:v>更精确地评估安全质量而非笼统计数</x:v>
      </x:c>
      <x:c r="L100" s="2" t="str">
        <x:v>Unclear</x:v>
      </x:c>
      <x:c r="M100" s="6" t="str">
        <x:v>No</x:v>
      </x:c>
      <x:c r="N100" s="2" t="str">
        <x:v>Speculative</x:v>
      </x:c>
      <x:c r="O100" s="2" t="str">
        <x:v>separate_failure_types</x:v>
      </x:c>
      <x:c r="P100" s="2" t="str">
        <x:v>evaluation_improvement</x:v>
      </x:c>
      <x:c r="Q100" s="2" t="str">
        <x:v>Benchmark and measurement rigor</x:v>
      </x:c>
      <x:c r="R100" s="6" t="str">
        <x:v>p. 14; section XI.B</x:v>
      </x:c>
      <x:c r="S100" s="6" t="str">
        <x:v>future work should separate functional failures, schema failures, security failures, and exploitability more explicitly.</x:v>
      </x:c>
      <x:c r="T100" s="6" t="str">
        <x:v>未来工作应细化失败分类，以区分安全影响与架构不一致。</x:v>
      </x:c>
      <x:c r="U100" s="2" t="str">
        <x:v>Accepted</x:v>
      </x:c>
      <x:c r="V100" s="6" t="str">
        <x:v>NA</x:v>
      </x:c>
      <x:c r="W100" s="6" t="str">
        <x:v>Empirical limitation-grounded</x:v>
      </x:c>
    </x:row>
    <x:row r="101" ht="76" customHeight="1">
      <x:c r="A101" s="2" t="str">
        <x:v>S22-FUTURE-R03</x:v>
      </x:c>
      <x:c r="B101" s="2" t="str">
        <x:v>S22</x:v>
      </x:c>
      <x:c r="C101" s="2" t="str">
        <x:v>merged_1154-v1</x:v>
      </x:c>
      <x:c r="D101" s="2" t="str">
        <x:v>Reviewer_A</x:v>
      </x:c>
      <x:c r="E101" s="2" t="str">
        <x:v>Reviewer_A</x:v>
      </x:c>
      <x:c r="F101" s="2" t="str">
        <x:v>S22-D03</x:v>
      </x:c>
      <x:c r="G101" s="6" t="str">
        <x:v>SR</x:v>
      </x:c>
      <x:c r="H101" s="6" t="str">
        <x:v>Explicit recommendation</x:v>
      </x:c>
      <x:c r="I101" s="6" t="str">
        <x:v>在更广泛的领域（如金融系统、医疗系统、分布式微服务等）进行评估，以获得普遍性结论。</x:v>
      </x:c>
      <x:c r="J101" s="2" t="str">
        <x:v>S22-L03</x:v>
      </x:c>
      <x:c r="K101" s="2" t="str">
        <x:v>研究结论的泛化性</x:v>
      </x:c>
      <x:c r="L101" s="2" t="str">
        <x:v>Unclear</x:v>
      </x:c>
      <x:c r="M101" s="6" t="str">
        <x:v>No</x:v>
      </x:c>
      <x:c r="N101" s="2" t="str">
        <x:v>Speculative</x:v>
      </x:c>
      <x:c r="O101" s="2" t="str">
        <x:v>multi_domain_evaluation</x:v>
      </x:c>
      <x:c r="P101" s="2" t="str">
        <x:v>external_validity</x:v>
      </x:c>
      <x:c r="Q101" s="2" t="str">
        <x:v>Broader empirical validation</x:v>
      </x:c>
      <x:c r="R101" s="6" t="str">
        <x:v>p. 14; section XI.C</x:v>
      </x:c>
      <x:c r="S101" s="6" t="str">
        <x:v>More domains are required before broad generalization.</x:v>
      </x:c>
      <x:c r="T101" s="6" t="str">
        <x:v>未来应在多领域评估，以验证方法的通用性。</x:v>
      </x:c>
      <x:c r="U101" s="2" t="str">
        <x:v>Accepted</x:v>
      </x:c>
      <x:c r="V101" s="6" t="str">
        <x:v>NA</x:v>
      </x:c>
      <x:c r="W101" s="6" t="str">
        <x:v>Reported limitation-grounded</x:v>
      </x:c>
    </x:row>
    <x:row r="102" ht="76" customHeight="1">
      <x:c r="A102" s="2" t="str">
        <x:v>S22-FUTURE-R04</x:v>
      </x:c>
      <x:c r="B102" s="2" t="str">
        <x:v>S22</x:v>
      </x:c>
      <x:c r="C102" s="2" t="str">
        <x:v>merged_1154-v1</x:v>
      </x:c>
      <x:c r="D102" s="2" t="str">
        <x:v>Reviewer_A</x:v>
      </x:c>
      <x:c r="E102" s="2" t="str">
        <x:v>Reviewer_A</x:v>
      </x:c>
      <x:c r="F102" s="2" t="str">
        <x:v>S22-D04</x:v>
      </x:c>
      <x:c r="G102" s="6" t="str">
        <x:v>SR</x:v>
      </x:c>
      <x:c r="H102" s="6" t="str">
        <x:v>Explicit future work</x:v>
      </x:c>
      <x:c r="I102" s="6" t="str">
        <x:v>使用多位评审员、明确的映射指南和评审员间一致性来评估安全模型生成。</x:v>
      </x:c>
      <x:c r="J102" s="2" t="str">
        <x:v>S22-L04</x:v>
      </x:c>
      <x:c r="K102" s="2" t="str">
        <x:v>减少手动语义匹配的主观性</x:v>
      </x:c>
      <x:c r="L102" s="2" t="str">
        <x:v>Unclear</x:v>
      </x:c>
      <x:c r="M102" s="6" t="str">
        <x:v>No</x:v>
      </x:c>
      <x:c r="N102" s="2" t="str">
        <x:v>Speculative</x:v>
      </x:c>
      <x:c r="O102" s="2" t="str">
        <x:v>multiple_reviewers_for_evaluation</x:v>
      </x:c>
      <x:c r="P102" s="2" t="str">
        <x:v>evaluation_improvement</x:v>
      </x:c>
      <x:c r="Q102" s="2" t="str">
        <x:v>Benchmark and measurement rigor</x:v>
      </x:c>
      <x:c r="R102" s="6" t="str">
        <x:v>p. 14; section XI.D</x:v>
      </x:c>
      <x:c r="S102" s="6" t="str">
        <x:v>Future work should use multiple reviewers, explicit mapping guidelines, and inter-rater agreement.</x:v>
      </x:c>
      <x:c r="T102" s="6" t="str">
        <x:v>未来应通过多评审员和明确指南提高安全模型评估的可靠性。</x:v>
      </x:c>
      <x:c r="U102" s="2" t="str">
        <x:v>Accepted</x:v>
      </x:c>
      <x:c r="V102" s="6" t="str">
        <x:v>NA</x:v>
      </x:c>
      <x:c r="W102" s="6" t="str">
        <x:v>Empirical limitation-grounded</x:v>
      </x:c>
    </x:row>
    <x:row r="103" ht="76" customHeight="1">
      <x:c r="A103" s="2" t="str">
        <x:v>S22-FUTURE-R05</x:v>
      </x:c>
      <x:c r="B103" s="2" t="str">
        <x:v>S22</x:v>
      </x:c>
      <x:c r="C103" s="2" t="str">
        <x:v>merged_1154-v1</x:v>
      </x:c>
      <x:c r="D103" s="2" t="str">
        <x:v>Reviewer_A</x:v>
      </x:c>
      <x:c r="E103" s="2" t="str">
        <x:v>Reviewer_A</x:v>
      </x:c>
      <x:c r="F103" s="2" t="str">
        <x:v>S22-D05</x:v>
      </x:c>
      <x:c r="G103" s="6" t="str">
        <x:v>SR</x:v>
      </x:c>
      <x:c r="H103" s="6" t="str">
        <x:v>Explicit research gap</x:v>
      </x:c>
      <x:c r="I103" s="6" t="str">
        <x:v>将研究 1 中的验证场景针对真实实现执行，以验证其有效性。</x:v>
      </x:c>
      <x:c r="J103" s="2" t="str">
        <x:v>S22-L04</x:v>
      </x:c>
      <x:c r="K103" s="2" t="str">
        <x:v>验证场景仅作为可追溯性工件，未在实际实现上测试</x:v>
      </x:c>
      <x:c r="L103" s="2" t="str">
        <x:v>Unclear</x:v>
      </x:c>
      <x:c r="M103" s="6" t="str">
        <x:v>No</x:v>
      </x:c>
      <x:c r="N103" s="2" t="str">
        <x:v>Speculative</x:v>
      </x:c>
      <x:c r="O103" s="2" t="str">
        <x:v>execute_verification_scenarios</x:v>
      </x:c>
      <x:c r="P103" s="2" t="str">
        <x:v>evaluation_improvement</x:v>
      </x:c>
      <x:c r="Q103" s="2" t="str">
        <x:v>Reliability, explainability, and human oversight</x:v>
      </x:c>
      <x:c r="R103" s="6" t="str">
        <x:v>p. 14; section XI.D</x:v>
      </x:c>
      <x:c r="S103" s="6" t="str">
        <x:v>verification scenarios in Study 1 were assessed as traceability artifacts and not executed against a real implementation.</x:v>
      </x:c>
      <x:c r="T103" s="6" t="str">
        <x:v>未来应执行验证场景以确认其实际有效性。</x:v>
      </x:c>
      <x:c r="U103" s="2" t="str">
        <x:v>Accepted</x:v>
      </x:c>
      <x:c r="V103" s="6" t="str">
        <x:v>NA</x:v>
      </x:c>
      <x:c r="W103" s="6" t="str">
        <x:v>Empirical limitation-grounded</x:v>
      </x:c>
    </x:row>
    <x:row r="104" ht="76" customHeight="1">
      <x:c r="A104" s="2" t="str">
        <x:v>S22-FUTURE-R06</x:v>
      </x:c>
      <x:c r="B104" s="2" t="str">
        <x:v>S22</x:v>
      </x:c>
      <x:c r="C104" s="2" t="str">
        <x:v>merged_1154-v1</x:v>
      </x:c>
      <x:c r="D104" s="2" t="str">
        <x:v>Reviewer_A</x:v>
      </x:c>
      <x:c r="E104" s="2" t="str">
        <x:v>Reviewer_A</x:v>
      </x:c>
      <x:c r="F104" s="2" t="str">
        <x:v>S22-D06</x:v>
      </x:c>
      <x:c r="G104" s="6" t="str">
        <x:v>SR</x:v>
      </x:c>
      <x:c r="H104" s="6" t="str">
        <x:v>Explicit future work</x:v>
      </x:c>
      <x:c r="I104" s="6" t="str">
        <x:v>在未来的研究中，提供显式的需求到代码和需求到测试的映射，以全面操作化安全知识覆盖率等协议指标。</x:v>
      </x:c>
      <x:c r="J104" s="2" t="str">
        <x:v>NR</x:v>
      </x:c>
      <x:c r="K104" s="2" t="str">
        <x:v>当前未计算安全知识覆盖率等更全面的指标</x:v>
      </x:c>
      <x:c r="L104" s="2" t="str">
        <x:v>需要显式的需求到代码和测试映射</x:v>
      </x:c>
      <x:c r="M104" s="6" t="str">
        <x:v>No</x:v>
      </x:c>
      <x:c r="N104" s="2" t="str">
        <x:v>Speculative</x:v>
      </x:c>
      <x:c r="O104" s="2" t="str">
        <x:v>operationalize_protocol_metrics</x:v>
      </x:c>
      <x:c r="P104" s="2" t="str">
        <x:v>benchmark_extension</x:v>
      </x:c>
      <x:c r="Q104" s="2" t="str">
        <x:v>Benchmark and measurement rigor</x:v>
      </x:c>
      <x:c r="R104" s="6" t="str">
        <x:v>p. 10; section VIII.D</x:v>
      </x:c>
      <x:c r="S104" s="6" t="str">
        <x:v>Metrics such as SKC, SRP, IRR, VAS, and TC define the broader evaluation protocol and can be fully operationalized in future studies with explicit requirement-to-code and requirement-to-test mappings.</x:v>
      </x:c>
      <x:c r="T104" s="6" t="str">
        <x:v>未来研究应提供详细映射以支持更全面的安全知识评估指标。</x:v>
      </x:c>
      <x:c r="U104" s="2" t="str">
        <x:v>Accepted</x:v>
      </x:c>
      <x:c r="V104" s="6" t="str">
        <x:v>NA</x:v>
      </x:c>
      <x:c r="W104" s="6" t="str">
        <x:v>Agenda statement only</x:v>
      </x:c>
    </x:row>
    <x:row r="105" ht="76" customHeight="1">
      <x:c r="A105" s="2" t="str">
        <x:v>S23-FUTURE-R01</x:v>
      </x:c>
      <x:c r="B105" s="2" t="str">
        <x:v>S23</x:v>
      </x:c>
      <x:c r="C105" s="2" t="str">
        <x:v>merged_1156</x:v>
      </x:c>
      <x:c r="D105" s="2" t="str">
        <x:v>Reviewer_A</x:v>
      </x:c>
      <x:c r="E105" s="2" t="str">
        <x:v>Reviewer_A</x:v>
      </x:c>
      <x:c r="F105" s="2" t="str">
        <x:v>S23-D01</x:v>
      </x:c>
      <x:c r="G105" s="6" t="str">
        <x:v>SR</x:v>
      </x:c>
      <x:c r="H105" s="6" t="str">
        <x:v>Explicit future work</x:v>
      </x:c>
      <x:c r="I105" s="6" t="str">
        <x:v>在更大的数据集上验证结果。</x:v>
      </x:c>
      <x:c r="J105" s="2" t="str">
        <x:v>S23-L03</x:v>
      </x:c>
      <x:c r="K105" s="2" t="str">
        <x:v>当前HumanEval数据集过小，结果方差高</x:v>
      </x:c>
      <x:c r="L105" s="2" t="str">
        <x:v>NR</x:v>
      </x:c>
      <x:c r="M105" s="6" t="str">
        <x:v>No</x:v>
      </x:c>
      <x:c r="N105" s="2" t="str">
        <x:v>Speculative</x:v>
      </x:c>
      <x:c r="O105" s="2" t="str">
        <x:v>LargerDataset</x:v>
      </x:c>
      <x:c r="P105" s="2" t="str">
        <x:v>Future_Validation</x:v>
      </x:c>
      <x:c r="Q105" s="2" t="str">
        <x:v>Broader empirical validation</x:v>
      </x:c>
      <x:c r="R105" s="6" t="str">
        <x:v>p. 7; Section VI. FUTURE WORK</x:v>
      </x:c>
      <x:c r="S105" s="6" t="str">
        <x:v>our next step will be validating our results on larger datasets</x:v>
      </x:c>
      <x:c r="T105" s="6" t="str">
        <x:v>计划在更大规模基准上重复实验以降低方差，增强统计说服力。</x:v>
      </x:c>
      <x:c r="U105" s="2" t="str">
        <x:v>Accepted</x:v>
      </x:c>
      <x:c r="V105" s="6" t="str">
        <x:v>NR</x:v>
      </x:c>
      <x:c r="W105" s="6" t="str">
        <x:v>Empirical limitation-grounded</x:v>
      </x:c>
    </x:row>
    <x:row r="106" ht="76" customHeight="1">
      <x:c r="A106" s="2" t="str">
        <x:v>S23-FUTURE-R02</x:v>
      </x:c>
      <x:c r="B106" s="2" t="str">
        <x:v>S23</x:v>
      </x:c>
      <x:c r="C106" s="2" t="str">
        <x:v>merged_1156</x:v>
      </x:c>
      <x:c r="D106" s="2" t="str">
        <x:v>Reviewer_A</x:v>
      </x:c>
      <x:c r="E106" s="2" t="str">
        <x:v>Reviewer_A</x:v>
      </x:c>
      <x:c r="F106" s="2" t="str">
        <x:v>S23-D02</x:v>
      </x:c>
      <x:c r="G106" s="6" t="str">
        <x:v>SR</x:v>
      </x:c>
      <x:c r="H106" s="6" t="str">
        <x:v>Explicit future work</x:v>
      </x:c>
      <x:c r="I106" s="6" t="str">
        <x:v>使用阈值判定需求是否被忽略，仅对低于阈值的需求进行重提示。</x:v>
      </x:c>
      <x:c r="J106" s="2" t="str">
        <x:v>S23-L05</x:v>
      </x:c>
      <x:c r="K106" s="2" t="str">
        <x:v>当前总是假设存在未满足需求，导致正确代码被错误重写</x:v>
      </x:c>
      <x:c r="L106" s="2" t="str">
        <x:v>NR</x:v>
      </x:c>
      <x:c r="M106" s="6" t="str">
        <x:v>No</x:v>
      </x:c>
      <x:c r="N106" s="2" t="str">
        <x:v>Speculative</x:v>
      </x:c>
      <x:c r="O106" s="2" t="str">
        <x:v>ThresholdIgnored</x:v>
      </x:c>
      <x:c r="P106" s="2" t="str">
        <x:v>Future_Heuristic</x:v>
      </x:c>
      <x:c r="Q106" s="2" t="str">
        <x:v>Context, retrieval, and model adaptation</x:v>
      </x:c>
      <x:c r="R106" s="6" t="str">
        <x:v>p. 7; Section VI. FUTURE WORK</x:v>
      </x:c>
      <x:c r="S106" s="6" t="str">
        <x:v>One such variation will be using a threshold for considering a requirement ‘ignored’. In our preliminary experiment, we</x:v>
      </x:c>
      <x:c r="T106" s="6" t="str">
        <x:v>引入梯度阈值来智能判断是否真正存在被忽略的需求，避免对已正确满足的需求进行不必要的重提示，以减少回归。</x:v>
      </x:c>
      <x:c r="U106" s="2" t="str">
        <x:v>Accepted</x:v>
      </x:c>
      <x:c r="V106" s="6" t="str">
        <x:v>NR</x:v>
      </x:c>
      <x:c r="W106" s="6" t="str">
        <x:v>Empirical limitation-grounded</x:v>
      </x:c>
    </x:row>
    <x:row r="107" ht="76" customHeight="1">
      <x:c r="A107" s="2" t="str">
        <x:v>S23-FUTURE-R03</x:v>
      </x:c>
      <x:c r="B107" s="2" t="str">
        <x:v>S23</x:v>
      </x:c>
      <x:c r="C107" s="2" t="str">
        <x:v>merged_1156</x:v>
      </x:c>
      <x:c r="D107" s="2" t="str">
        <x:v>Reviewer_A</x:v>
      </x:c>
      <x:c r="E107" s="2" t="str">
        <x:v>Reviewer_A</x:v>
      </x:c>
      <x:c r="F107" s="2" t="str">
        <x:v>S23-D03</x:v>
      </x:c>
      <x:c r="G107" s="6" t="str">
        <x:v>SR</x:v>
      </x:c>
      <x:c r="H107" s="6" t="str">
        <x:v>Explicit future work</x:v>
      </x:c>
      <x:c r="I107" s="6" t="str">
        <x:v>检查重提示阶段的梯度，探究其是否能用于检测代码回归。</x:v>
      </x:c>
      <x:c r="J107" s="2" t="str">
        <x:v>S23-L05</x:v>
      </x:c>
      <x:c r="K107" s="2" t="str">
        <x:v>重提示可能引入回归，需要检测手段</x:v>
      </x:c>
      <x:c r="L107" s="2" t="str">
        <x:v>NR</x:v>
      </x:c>
      <x:c r="M107" s="6" t="str">
        <x:v>No</x:v>
      </x:c>
      <x:c r="N107" s="2" t="str">
        <x:v>Speculative</x:v>
      </x:c>
      <x:c r="O107" s="2" t="str">
        <x:v>GradientRegressionDetection</x:v>
      </x:c>
      <x:c r="P107" s="2" t="str">
        <x:v>Future_Monitoring</x:v>
      </x:c>
      <x:c r="Q107" s="2" t="str">
        <x:v>Reliability, explainability, and human oversight</x:v>
      </x:c>
      <x:c r="R107" s="6" t="str">
        <x:v>p. 8; Section VI. A. LLM Gradients</x:v>
      </x:c>
      <x:c r="S107" s="6" t="str">
        <x:v>gradients during the reprompting phase and explore whether these gradients can be used to detect code regressions.</x:v>
      </x:c>
      <x:c r="T107" s="6" t="str">
        <x:v>旨在利用重提示过程中的梯度信号识别代码是否正确被修改，从而实现对回归的自动检测。</x:v>
      </x:c>
      <x:c r="U107" s="2" t="str">
        <x:v>Accepted</x:v>
      </x:c>
      <x:c r="V107" s="6" t="str">
        <x:v>NR</x:v>
      </x:c>
      <x:c r="W107" s="6" t="str">
        <x:v>Empirical limitation-grounded</x:v>
      </x:c>
    </x:row>
    <x:row r="108" ht="76" customHeight="1">
      <x:c r="A108" s="2" t="str">
        <x:v>S23-FUTURE-R04</x:v>
      </x:c>
      <x:c r="B108" s="2" t="str">
        <x:v>S23</x:v>
      </x:c>
      <x:c r="C108" s="2" t="str">
        <x:v>merged_1156</x:v>
      </x:c>
      <x:c r="D108" s="2" t="str">
        <x:v>Reviewer_A</x:v>
      </x:c>
      <x:c r="E108" s="2" t="str">
        <x:v>Reviewer_A</x:v>
      </x:c>
      <x:c r="F108" s="2" t="str">
        <x:v>S23-D04</x:v>
      </x:c>
      <x:c r="G108" s="6" t="str">
        <x:v>SR</x:v>
      </x:c>
      <x:c r="H108" s="6" t="str">
        <x:v>Explicit future work</x:v>
      </x:c>
      <x:c r="I108" s="6" t="str">
        <x:v>指导模型一次性修复所有低于阈值的要求。</x:v>
      </x:c>
      <x:c r="J108" s="2" t="str">
        <x:v>NR</x:v>
      </x:c>
      <x:c r="K108" s="2" t="str">
        <x:v>当前假设最多只有一个未满足要求</x:v>
      </x:c>
      <x:c r="L108" s="2" t="str">
        <x:v>NR</x:v>
      </x:c>
      <x:c r="M108" s="6" t="str">
        <x:v>No</x:v>
      </x:c>
      <x:c r="N108" s="2" t="str">
        <x:v>Speculative</x:v>
      </x:c>
      <x:c r="O108" s="2" t="str">
        <x:v>MultipleFix</x:v>
      </x:c>
      <x:c r="P108" s="2" t="str">
        <x:v>Future_Enhancement</x:v>
      </x:c>
      <x:c r="Q108" s="2" t="str">
        <x:v>Context, retrieval, and model adaptation</x:v>
      </x:c>
      <x:c r="R108" s="6" t="str">
        <x:v>p. 8; Section VI. A. LLM Gradients</x:v>
      </x:c>
      <x:c r="S108" s="6" t="str">
        <x:v>Future work will also instruct the model to fix all requirements falling below the threshold</x:v>
      </x:c>
      <x:c r="T108" s="6" t="str">
        <x:v>扩展方法以支持同时处理多个被忽略的需求，提升修复效率。</x:v>
      </x:c>
      <x:c r="U108" s="2" t="str">
        <x:v>Accepted</x:v>
      </x:c>
      <x:c r="V108" s="6" t="str">
        <x:v>NR</x:v>
      </x:c>
      <x:c r="W108" s="6" t="str">
        <x:v>Agenda statement only</x:v>
      </x:c>
    </x:row>
    <x:row r="109" ht="76" customHeight="1">
      <x:c r="A109" s="2" t="str">
        <x:v>S23-FUTURE-R05</x:v>
      </x:c>
      <x:c r="B109" s="2" t="str">
        <x:v>S23</x:v>
      </x:c>
      <x:c r="C109" s="2" t="str">
        <x:v>merged_1156</x:v>
      </x:c>
      <x:c r="D109" s="2" t="str">
        <x:v>Reviewer_A</x:v>
      </x:c>
      <x:c r="E109" s="2" t="str">
        <x:v>Reviewer_A</x:v>
      </x:c>
      <x:c r="F109" s="2" t="str">
        <x:v>S23-D05</x:v>
      </x:c>
      <x:c r="G109" s="6" t="str">
        <x:v>SR</x:v>
      </x:c>
      <x:c r="H109" s="6" t="str">
        <x:v>Explicit future work</x:v>
      </x:c>
      <x:c r="I109" s="6" t="str">
        <x:v>比较不同AI可解释性方法（如SHAP、LIME）在LLM代码可追踪性上的适用性。</x:v>
      </x:c>
      <x:c r="J109" s="2" t="str">
        <x:v>NR</x:v>
      </x:c>
      <x:c r="K109" s="2" t="str">
        <x:v>当前仅使用了SmoothGrad，可能非最优</x:v>
      </x:c>
      <x:c r="L109" s="2" t="str">
        <x:v>NR</x:v>
      </x:c>
      <x:c r="M109" s="6" t="str">
        <x:v>No</x:v>
      </x:c>
      <x:c r="N109" s="2" t="str">
        <x:v>Speculative</x:v>
      </x:c>
      <x:c r="O109" s="2" t="str">
        <x:v>ExplainabilityMethods</x:v>
      </x:c>
      <x:c r="P109" s="2" t="str">
        <x:v>Future_Comparison</x:v>
      </x:c>
      <x:c r="Q109" s="2" t="str">
        <x:v>Reliability, explainability, and human oversight</x:v>
      </x:c>
      <x:c r="R109" s="6" t="str">
        <x:v>p. 8; Section VI. A. LLM Gradients</x:v>
      </x:c>
      <x:c r="S109" s="6" t="str">
        <x:v>future work will compare different AI explainability methods in NLP and other AI domains, such as [19] SHAP [35] and LIME [36], and explore whether any features of these methods are specifically suitable for LLM-code traceability.</x:v>
      </x:c>
      <x:c r="T109" s="6" t="str">
        <x:v>将探索多种可解释性技术，以寻找更有效反映需求与代码关联的方法。</x:v>
      </x:c>
      <x:c r="U109" s="2" t="str">
        <x:v>Accepted</x:v>
      </x:c>
      <x:c r="V109" s="6" t="str">
        <x:v>NR</x:v>
      </x:c>
      <x:c r="W109" s="6" t="str">
        <x:v>Agenda statement only</x:v>
      </x:c>
    </x:row>
    <x:row r="110" ht="76" customHeight="1">
      <x:c r="A110" s="2" t="str">
        <x:v>S23-FUTURE-R06</x:v>
      </x:c>
      <x:c r="B110" s="2" t="str">
        <x:v>S23</x:v>
      </x:c>
      <x:c r="C110" s="2" t="str">
        <x:v>merged_1156</x:v>
      </x:c>
      <x:c r="D110" s="2" t="str">
        <x:v>Reviewer_A</x:v>
      </x:c>
      <x:c r="E110" s="2" t="str">
        <x:v>Reviewer_A</x:v>
      </x:c>
      <x:c r="F110" s="2" t="str">
        <x:v>S23-D06</x:v>
      </x:c>
      <x:c r="G110" s="6" t="str">
        <x:v>SR</x:v>
      </x:c>
      <x:c r="H110" s="6" t="str">
        <x:v>Explicit future work</x:v>
      </x:c>
      <x:c r="I110" s="6" t="str">
        <x:v>识别LLM中关注需求特征的注意力头和层，并追踪其输出处理。</x:v>
      </x:c>
      <x:c r="J110" s="2" t="str">
        <x:v>NR</x:v>
      </x:c>
      <x:c r="K110" s="2" t="str">
        <x:v>对LLM内部如何处理需求信息理解不足</x:v>
      </x:c>
      <x:c r="L110" s="2" t="str">
        <x:v>NR</x:v>
      </x:c>
      <x:c r="M110" s="6" t="str">
        <x:v>No</x:v>
      </x:c>
      <x:c r="N110" s="2" t="str">
        <x:v>Speculative</x:v>
      </x:c>
      <x:c r="O110" s="2" t="str">
        <x:v>AttentionAnalysis</x:v>
      </x:c>
      <x:c r="P110" s="2" t="str">
        <x:v>Future_Mechanism</x:v>
      </x:c>
      <x:c r="Q110" s="2" t="str">
        <x:v>Context, retrieval, and model adaptation</x:v>
      </x:c>
      <x:c r="R110" s="6" t="str">
        <x:v>p. 8; Section VI. B. Transformer Attention</x:v>
      </x:c>
      <x:c r="S110" s="6" t="str">
        <x:v>identify which layers and attention heads in LLMs attend to different features of requirement inputs, and then trace how the outputs of those specific attention heads are processed by the model.</x:v>
      </x:c>
      <x:c r="T110" s="6" t="str">
        <x:v>从Transformer内部注意力机制入手，定位需求片段对应的注意力头，以更精细地揭示模型决策过程。</x:v>
      </x:c>
      <x:c r="U110" s="2" t="str">
        <x:v>Accepted</x:v>
      </x:c>
      <x:c r="V110" s="6" t="str">
        <x:v>NR</x:v>
      </x:c>
      <x:c r="W110" s="6" t="str">
        <x:v>Agenda statement only</x:v>
      </x:c>
    </x:row>
    <x:row r="111" ht="76" customHeight="1">
      <x:c r="A111" s="2" t="str">
        <x:v>S23-FUTURE-R07</x:v>
      </x:c>
      <x:c r="B111" s="2" t="str">
        <x:v>S23</x:v>
      </x:c>
      <x:c r="C111" s="2" t="str">
        <x:v>merged_1156</x:v>
      </x:c>
      <x:c r="D111" s="2" t="str">
        <x:v>Reviewer_A</x:v>
      </x:c>
      <x:c r="E111" s="2" t="str">
        <x:v>Reviewer_A</x:v>
      </x:c>
      <x:c r="F111" s="2" t="str">
        <x:v>S23-D07</x:v>
      </x:c>
      <x:c r="G111" s="6" t="str">
        <x:v>SR</x:v>
      </x:c>
      <x:c r="H111" s="6" t="str">
        <x:v>Explicit future work</x:v>
      </x:c>
      <x:c r="I111" s="6" t="str">
        <x:v>探索不同的重提示方法，如调整模型参数以强调被忽略的需求。</x:v>
      </x:c>
      <x:c r="J111" s="2" t="str">
        <x:v>NR</x:v>
      </x:c>
      <x:c r="K111" s="2" t="str">
        <x:v>当前重提示仅通过追加用户消息实现，可能非最优</x:v>
      </x:c>
      <x:c r="L111" s="2" t="str">
        <x:v>NR</x:v>
      </x:c>
      <x:c r="M111" s="6" t="str">
        <x:v>No</x:v>
      </x:c>
      <x:c r="N111" s="2" t="str">
        <x:v>Speculative</x:v>
      </x:c>
      <x:c r="O111" s="2" t="str">
        <x:v>RepromptVariant</x:v>
      </x:c>
      <x:c r="P111" s="2" t="str">
        <x:v>Future_Method</x:v>
      </x:c>
      <x:c r="Q111" s="2" t="str">
        <x:v>Context, retrieval, and model adaptation</x:v>
      </x:c>
      <x:c r="R111" s="6" t="str">
        <x:v>p. 8; Section VI. C. Reprompting</x:v>
      </x:c>
      <x:c r="S111" s="6" t="str">
        <x:v>explore different ways of directing the LLM's focus to the ignored requirements. For example, not by including the ignored requirement in a new input, but rather by tweaking the model's parameters</x:v>
      </x:c>
      <x:c r="T111" s="6" t="str">
        <x:v>尝试通过直接干预模型参数（如对输入嵌入加权）来引导模型关注被忽略的需求，可能比文本重提示更直接。</x:v>
      </x:c>
      <x:c r="U111" s="2" t="str">
        <x:v>Accepted</x:v>
      </x:c>
      <x:c r="V111" s="6" t="str">
        <x:v>NR</x:v>
      </x:c>
      <x:c r="W111" s="6" t="str">
        <x:v>Agenda statement only</x:v>
      </x:c>
    </x:row>
    <x:row r="112" ht="76" customHeight="1">
      <x:c r="A112" s="2" t="str">
        <x:v>S23-FUTURE-R08</x:v>
      </x:c>
      <x:c r="B112" s="2" t="str">
        <x:v>S23</x:v>
      </x:c>
      <x:c r="C112" s="2" t="str">
        <x:v>merged_1156</x:v>
      </x:c>
      <x:c r="D112" s="2" t="str">
        <x:v>Reviewer_A</x:v>
      </x:c>
      <x:c r="E112" s="2" t="str">
        <x:v>Reviewer_A</x:v>
      </x:c>
      <x:c r="F112" s="2" t="str">
        <x:v>S23-D08</x:v>
      </x:c>
      <x:c r="G112" s="6" t="str">
        <x:v>SR</x:v>
      </x:c>
      <x:c r="H112" s="6" t="str">
        <x:v>Explicit future work</x:v>
      </x:c>
      <x:c r="I112" s="6" t="str">
        <x:v>将该概念扩展到软件工程以外的领域，如AI生成文本文档的需求可追踪性。</x:v>
      </x:c>
      <x:c r="J112" s="2" t="str">
        <x:v>NR</x:v>
      </x:c>
      <x:c r="K112" s="2" t="str">
        <x:v>当前仅关注代码生成场景</x:v>
      </x:c>
      <x:c r="L112" s="2" t="str">
        <x:v>NR</x:v>
      </x:c>
      <x:c r="M112" s="6" t="str">
        <x:v>No</x:v>
      </x:c>
      <x:c r="N112" s="2" t="str">
        <x:v>Speculative</x:v>
      </x:c>
      <x:c r="O112" s="2" t="str">
        <x:v>DomainExtension</x:v>
      </x:c>
      <x:c r="P112" s="2" t="str">
        <x:v>Future_Application</x:v>
      </x:c>
      <x:c r="Q112" s="2" t="str">
        <x:v>Broader empirical validation</x:v>
      </x:c>
      <x:c r="R112" s="6" t="str">
        <x:v>p. 8; Section VI. C. Reprompting</x:v>
      </x:c>
      <x:c r="S112" s="6" t="str">
        <x:v>the concept underlying our work could also be expanded to explore NLP explainability and requirements in other domains outside of software engineering.</x:v>
      </x:c>
      <x:c r="T112" s="6" t="str">
        <x:v>将梯度可追踪性思想推广至自然语言生成等其他领域，验证其通用性。</x:v>
      </x:c>
      <x:c r="U112" s="2" t="str">
        <x:v>Accepted</x:v>
      </x:c>
      <x:c r="V112" s="6" t="str">
        <x:v>NR</x:v>
      </x:c>
      <x:c r="W112" s="6" t="str">
        <x:v>Agenda statement only</x:v>
      </x:c>
    </x:row>
    <x:row r="113" ht="76" customHeight="1">
      <x:c r="A113" s="2" t="str">
        <x:v>S23-FUTURE-R09</x:v>
      </x:c>
      <x:c r="B113" s="2" t="str">
        <x:v>S23</x:v>
      </x:c>
      <x:c r="C113" s="2" t="str">
        <x:v>merged_1156</x:v>
      </x:c>
      <x:c r="D113" s="2" t="str">
        <x:v>Reviewer_A</x:v>
      </x:c>
      <x:c r="E113" s="2" t="str">
        <x:v>Reviewer_A</x:v>
      </x:c>
      <x:c r="F113" s="2" t="str">
        <x:v>S23-D09</x:v>
      </x:c>
      <x:c r="G113" s="6" t="str">
        <x:v>SR</x:v>
      </x:c>
      <x:c r="H113" s="6" t="str">
        <x:v>Explicit future work</x:v>
      </x:c>
      <x:c r="I113" s="6" t="str">
        <x:v>使用不保留完整对话历史的技术重写代码，以克服输入长度限制。</x:v>
      </x:c>
      <x:c r="J113" s="2" t="str">
        <x:v>S23-L02</x:v>
      </x:c>
      <x:c r="K113" s="2" t="str">
        <x:v>对话历史导致输入可能超出模型上下文窗口</x:v>
      </x:c>
      <x:c r="L113" s="2" t="str">
        <x:v>NR</x:v>
      </x:c>
      <x:c r="M113" s="6" t="str">
        <x:v>No</x:v>
      </x:c>
      <x:c r="N113" s="2" t="str">
        <x:v>Speculative</x:v>
      </x:c>
      <x:c r="O113" s="2" t="str">
        <x:v>HistoryFreeRewrite</x:v>
      </x:c>
      <x:c r="P113" s="2" t="str">
        <x:v>Future_Scalability</x:v>
      </x:c>
      <x:c r="Q113" s="2" t="str">
        <x:v>Context, retrieval, and model adaptation</x:v>
      </x:c>
      <x:c r="R113" s="6" t="str">
        <x:v>p. 7; Section V. A. Limitations</x:v>
      </x:c>
      <x:c r="S113" s="6" t="str">
        <x:v>Future work could address this by using different techniques to rewrite the code that do not require keeping the full conversation history in the input.</x:v>
      </x:c>
      <x:c r="T113" s="6" t="str">
        <x:v>针对输入长度限制，研究无需完整历史记录的代码改写策略，提升可扩展性。</x:v>
      </x:c>
      <x:c r="U113" s="2" t="str">
        <x:v>Accepted</x:v>
      </x:c>
      <x:c r="V113" s="6" t="str">
        <x:v>NR</x:v>
      </x:c>
      <x:c r="W113" s="6" t="str">
        <x:v>Reported limitation-grounded</x:v>
      </x:c>
    </x:row>
    <x:row r="114" ht="76" customHeight="1">
      <x:c r="A114" s="2" t="str">
        <x:v>S23-FUTURE-R10</x:v>
      </x:c>
      <x:c r="B114" s="2" t="str">
        <x:v>S23</x:v>
      </x:c>
      <x:c r="C114" s="2" t="str">
        <x:v>merged_1156</x:v>
      </x:c>
      <x:c r="D114" s="2" t="str">
        <x:v>Reviewer_A</x:v>
      </x:c>
      <x:c r="E114" s="2" t="str">
        <x:v>Reviewer_A</x:v>
      </x:c>
      <x:c r="F114" s="2" t="str">
        <x:v>S23-D10</x:v>
      </x:c>
      <x:c r="G114" s="6" t="str">
        <x:v>SR</x:v>
      </x:c>
      <x:c r="H114" s="6" t="str">
        <x:v>Explicit future work</x:v>
      </x:c>
      <x:c r="I114" s="6" t="str">
        <x:v>减少回归数量，同时不影响修复能力。</x:v>
      </x:c>
      <x:c r="J114" s="2" t="str">
        <x:v>S23-L05</x:v>
      </x:c>
      <x:c r="K114" s="2" t="str">
        <x:v>重提示导致回归，破坏了原本正确的代码</x:v>
      </x:c>
      <x:c r="L114" s="2" t="str">
        <x:v>NR</x:v>
      </x:c>
      <x:c r="M114" s="6" t="str">
        <x:v>No</x:v>
      </x:c>
      <x:c r="N114" s="2" t="str">
        <x:v>Speculative</x:v>
      </x:c>
      <x:c r="O114" s="2" t="str">
        <x:v>ReduceRegression</x:v>
      </x:c>
      <x:c r="P114" s="2" t="str">
        <x:v>Future_Stability</x:v>
      </x:c>
      <x:c r="Q114" s="2" t="str">
        <x:v>Reliability, explainability, and human oversight</x:v>
      </x:c>
      <x:c r="R114" s="6" t="str">
        <x:v>p. 6; Section IV. B. Regressions</x:v>
      </x:c>
      <x:c r="S114" s="6" t="str">
        <x:v>Future work could also focus on reducing the number of such regressions without impacting corrections.</x:v>
      </x:c>
      <x:c r="T114" s="6" t="str">
        <x:v>着眼于降低重提示引发的负优化，保持对错误代码的修复效果。</x:v>
      </x:c>
      <x:c r="U114" s="2" t="str">
        <x:v>Accepted</x:v>
      </x:c>
      <x:c r="V114" s="6" t="str">
        <x:v>NR</x:v>
      </x:c>
      <x:c r="W114" s="6" t="str">
        <x:v>Empirical limitation-grounded</x:v>
      </x:c>
    </x:row>
    <x:row r="115" ht="76" customHeight="1">
      <x:c r="A115" s="2" t="str">
        <x:v>S24-FUTURE-R01</x:v>
      </x:c>
      <x:c r="B115" s="2" t="str">
        <x:v>S24</x:v>
      </x:c>
      <x:c r="C115" s="2" t="str">
        <x:v>merged_1172</x:v>
      </x:c>
      <x:c r="D115" s="2" t="str">
        <x:v>Reviewer_A</x:v>
      </x:c>
      <x:c r="E115" s="2" t="str">
        <x:v>Reviewer_A</x:v>
      </x:c>
      <x:c r="F115" s="2" t="str">
        <x:v>S24-D01</x:v>
      </x:c>
      <x:c r="G115" s="6" t="str">
        <x:v>SR</x:v>
      </x:c>
      <x:c r="H115" s="6" t="str">
        <x:v>Explicit future work</x:v>
      </x:c>
      <x:c r="I115" s="6" t="str">
        <x:v>增强对更大规模、更多样化文档与版式的鲁棒性</x:v>
      </x:c>
      <x:c r="J115" s="2" t="str">
        <x:v>NR</x:v>
      </x:c>
      <x:c r="K115" s="2" t="str">
        <x:v>NR</x:v>
      </x:c>
      <x:c r="L115" s="2" t="str">
        <x:v>NR</x:v>
      </x:c>
      <x:c r="M115" s="6" t="str">
        <x:v>NR</x:v>
      </x:c>
      <x:c r="N115" s="2" t="str">
        <x:v>Speculative</x:v>
      </x:c>
      <x:c r="O115" s="2" t="str">
        <x:v>NR</x:v>
      </x:c>
      <x:c r="P115" s="2" t="str">
        <x:v>NR</x:v>
      </x:c>
      <x:c r="Q115" s="2" t="str">
        <x:v>Broader empirical validation</x:v>
      </x:c>
      <x:c r="R115" s="6" t="str">
        <x:v>p. 8; Section 5 Conclusion</x:v>
      </x:c>
      <x:c r="S115" s="6" t="str">
        <x:v>strengthen robustness across larger and more diverse documents and layouts</x:v>
      </x:c>
      <x:c r="T115" s="6" t="str">
        <x:v>作者计划扩展流水线以处理更多样化的文档格式和布局，提高解析和语义分析的普适性。</x:v>
      </x:c>
      <x:c r="U115" s="2" t="str">
        <x:v>Accepted</x:v>
      </x:c>
      <x:c r="V115" s="6" t="str">
        <x:v>NR</x:v>
      </x:c>
      <x:c r="W115" s="6" t="str">
        <x:v>Agenda statement only</x:v>
      </x:c>
    </x:row>
    <x:row r="116" ht="76" customHeight="1">
      <x:c r="A116" s="2" t="str">
        <x:v>S24-FUTURE-R02</x:v>
      </x:c>
      <x:c r="B116" s="2" t="str">
        <x:v>S24</x:v>
      </x:c>
      <x:c r="C116" s="2" t="str">
        <x:v>merged_1172</x:v>
      </x:c>
      <x:c r="D116" s="2" t="str">
        <x:v>Reviewer_A</x:v>
      </x:c>
      <x:c r="E116" s="2" t="str">
        <x:v>Reviewer_A</x:v>
      </x:c>
      <x:c r="F116" s="2" t="str">
        <x:v>S24-D02</x:v>
      </x:c>
      <x:c r="G116" s="6" t="str">
        <x:v>SR</x:v>
      </x:c>
      <x:c r="H116" s="6" t="str">
        <x:v>Explicit future work</x:v>
      </x:c>
      <x:c r="I116" s="6" t="str">
        <x:v>研究患病率与子系统风格对性能的敏感性</x:v>
      </x:c>
      <x:c r="J116" s="2" t="str">
        <x:v>NR</x:v>
      </x:c>
      <x:c r="K116" s="2" t="str">
        <x:v>NR</x:v>
      </x:c>
      <x:c r="L116" s="2" t="str">
        <x:v>NR</x:v>
      </x:c>
      <x:c r="M116" s="6" t="str">
        <x:v>NR</x:v>
      </x:c>
      <x:c r="N116" s="2" t="str">
        <x:v>Speculative</x:v>
      </x:c>
      <x:c r="O116" s="2" t="str">
        <x:v>NR</x:v>
      </x:c>
      <x:c r="P116" s="2" t="str">
        <x:v>NR</x:v>
      </x:c>
      <x:c r="Q116" s="2" t="str">
        <x:v>Benchmark and measurement rigor</x:v>
      </x:c>
      <x:c r="R116" s="6" t="str">
        <x:v>p. 8; Section 5 Conclusion</x:v>
      </x:c>
      <x:c r="S116" s="6" t="str">
        <x:v>study sensitivity to prevalence and subsystem style</x:v>
      </x:c>
      <x:c r="T116" s="6" t="str">
        <x:v>将来分析不同子系统需求风格的分布（如歧义比例）对模型性能的影响，以优化调度策略。</x:v>
      </x:c>
      <x:c r="U116" s="2" t="str">
        <x:v>Accepted</x:v>
      </x:c>
      <x:c r="V116" s="6" t="str">
        <x:v>NR</x:v>
      </x:c>
      <x:c r="W116" s="6" t="str">
        <x:v>Agenda statement only</x:v>
      </x:c>
    </x:row>
    <x:row r="117" ht="76" customHeight="1">
      <x:c r="A117" s="2" t="str">
        <x:v>S24-FUTURE-R03</x:v>
      </x:c>
      <x:c r="B117" s="2" t="str">
        <x:v>S24</x:v>
      </x:c>
      <x:c r="C117" s="2" t="str">
        <x:v>merged_1172</x:v>
      </x:c>
      <x:c r="D117" s="2" t="str">
        <x:v>Reviewer_A</x:v>
      </x:c>
      <x:c r="E117" s="2" t="str">
        <x:v>Reviewer_A</x:v>
      </x:c>
      <x:c r="F117" s="2" t="str">
        <x:v>S24-D03</x:v>
      </x:c>
      <x:c r="G117" s="6" t="str">
        <x:v>SR</x:v>
      </x:c>
      <x:c r="H117" s="6" t="str">
        <x:v>Explicit future work</x:v>
      </x:c>
      <x:c r="I117" s="6" t="str">
        <x:v>将提示词和评价准则与ECSS/CCSDS对齐</x:v>
      </x:c>
      <x:c r="J117" s="2" t="str">
        <x:v>NR</x:v>
      </x:c>
      <x:c r="K117" s="2" t="str">
        <x:v>NR</x:v>
      </x:c>
      <x:c r="L117" s="2" t="str">
        <x:v>NR</x:v>
      </x:c>
      <x:c r="M117" s="6" t="str">
        <x:v>NR</x:v>
      </x:c>
      <x:c r="N117" s="2" t="str">
        <x:v>Speculative</x:v>
      </x:c>
      <x:c r="O117" s="2" t="str">
        <x:v>NR</x:v>
      </x:c>
      <x:c r="P117" s="2" t="str">
        <x:v>NR</x:v>
      </x:c>
      <x:c r="Q117" s="2" t="str">
        <x:v>Benchmark and measurement rigor</x:v>
      </x:c>
      <x:c r="R117" s="6" t="str">
        <x:v>p. 8; Section 5 Conclusion</x:v>
      </x:c>
      <x:c r="S117" s="6" t="str">
        <x:v>prevalence and subsystem style, align prompts and rubrics with ECSS/Consultative Committee for Space Data Systems</x:v>
      </x:c>
      <x:c r="T117" s="6" t="str">
        <x:v>整合航天领域标准（ECSS/CCSDS）到审核提示中，使检测更贴合工程实践。</x:v>
      </x:c>
      <x:c r="U117" s="2" t="str">
        <x:v>Accepted</x:v>
      </x:c>
      <x:c r="V117" s="6" t="str">
        <x:v>NR</x:v>
      </x:c>
      <x:c r="W117" s="6" t="str">
        <x:v>Agenda statement only</x:v>
      </x:c>
    </x:row>
    <x:row r="118" ht="76" customHeight="1">
      <x:c r="A118" s="2" t="str">
        <x:v>S24-FUTURE-R04</x:v>
      </x:c>
      <x:c r="B118" s="2" t="str">
        <x:v>S24</x:v>
      </x:c>
      <x:c r="C118" s="2" t="str">
        <x:v>merged_1172</x:v>
      </x:c>
      <x:c r="D118" s="2" t="str">
        <x:v>Reviewer_A</x:v>
      </x:c>
      <x:c r="E118" s="2" t="str">
        <x:v>Reviewer_A</x:v>
      </x:c>
      <x:c r="F118" s="2" t="str">
        <x:v>S24-D04</x:v>
      </x:c>
      <x:c r="G118" s="6" t="str">
        <x:v>SR</x:v>
      </x:c>
      <x:c r="H118" s="6" t="str">
        <x:v>Explicit future work</x:v>
      </x:c>
      <x:c r="I118" s="6" t="str">
        <x:v>开发一个标准感知模型，基于ECSS/CCSDS指南进行领域自适应微调，以直接检查标准符合性</x:v>
      </x:c>
      <x:c r="J118" s="2" t="str">
        <x:v>NR</x:v>
      </x:c>
      <x:c r="K118" s="2" t="str">
        <x:v>NR</x:v>
      </x:c>
      <x:c r="L118" s="2" t="str">
        <x:v>NR</x:v>
      </x:c>
      <x:c r="M118" s="6" t="str">
        <x:v>NR</x:v>
      </x:c>
      <x:c r="N118" s="2" t="str">
        <x:v>Speculative</x:v>
      </x:c>
      <x:c r="O118" s="2" t="str">
        <x:v>NR</x:v>
      </x:c>
      <x:c r="P118" s="2" t="str">
        <x:v>NR</x:v>
      </x:c>
      <x:c r="Q118" s="2" t="str">
        <x:v>Context, retrieval, and model adaptation</x:v>
      </x:c>
      <x:c r="R118" s="6" t="str">
        <x:v>p. 8; Section 5 Conclusion</x:v>
      </x:c>
      <x:c r="S118" s="6" t="str">
        <x:v>(CCSDS), develop a standards-aware model via domainadaptive fine-tuning on ECSS/CCSDS guidelines [17] to enable direct conformance checks against the standards themselves, and normalize statements into templates that compile</x:v>
      </x:c>
      <x:c r="T118" s="6" t="str">
        <x:v>通过微调使模型内嵌航天标准知识，实现自动化标准合规检查。</x:v>
      </x:c>
      <x:c r="U118" s="2" t="str">
        <x:v>Accepted</x:v>
      </x:c>
      <x:c r="V118" s="6" t="str">
        <x:v>NR</x:v>
      </x:c>
      <x:c r="W118" s="6" t="str">
        <x:v>Agenda statement only</x:v>
      </x:c>
    </x:row>
    <x:row r="119" ht="76" customHeight="1">
      <x:c r="A119" s="2" t="str">
        <x:v>S24-FUTURE-R05</x:v>
      </x:c>
      <x:c r="B119" s="2" t="str">
        <x:v>S24</x:v>
      </x:c>
      <x:c r="C119" s="2" t="str">
        <x:v>merged_1172</x:v>
      </x:c>
      <x:c r="D119" s="2" t="str">
        <x:v>Reviewer_A</x:v>
      </x:c>
      <x:c r="E119" s="2" t="str">
        <x:v>Reviewer_A</x:v>
      </x:c>
      <x:c r="F119" s="2" t="str">
        <x:v>S24-D05</x:v>
      </x:c>
      <x:c r="G119" s="6" t="str">
        <x:v>SR</x:v>
      </x:c>
      <x:c r="H119" s="6" t="str">
        <x:v>Explicit future work</x:v>
      </x:c>
      <x:c r="I119" s="6" t="str">
        <x:v>将需求语句标准化为模板，并编译为时序逻辑以加强MBSE耦合</x:v>
      </x:c>
      <x:c r="J119" s="2" t="str">
        <x:v>NR</x:v>
      </x:c>
      <x:c r="K119" s="2" t="str">
        <x:v>NR</x:v>
      </x:c>
      <x:c r="L119" s="2" t="str">
        <x:v>NR</x:v>
      </x:c>
      <x:c r="M119" s="6" t="str">
        <x:v>NR</x:v>
      </x:c>
      <x:c r="N119" s="2" t="str">
        <x:v>Speculative</x:v>
      </x:c>
      <x:c r="O119" s="2" t="str">
        <x:v>NR</x:v>
      </x:c>
      <x:c r="P119" s="2" t="str">
        <x:v>NR</x:v>
      </x:c>
      <x:c r="Q119" s="2" t="str">
        <x:v>Context, retrieval, and model adaptation</x:v>
      </x:c>
      <x:c r="R119" s="6" t="str">
        <x:v>p. 8; Section 5 Conclusion</x:v>
      </x:c>
      <x:c r="S119" s="6" t="str">
        <x:v>normalize statements into templates that compile to temporal logics for tighter MBSE coupling</x:v>
      </x:c>
      <x:c r="T119" s="6" t="str">
        <x:v>探索从自然语言需求到形式化验证模型的自动映射，连接需求管理与基于模型的系统工程。</x:v>
      </x:c>
      <x:c r="U119" s="2" t="str">
        <x:v>Accepted</x:v>
      </x:c>
      <x:c r="V119" s="6" t="str">
        <x:v>NR</x:v>
      </x:c>
      <x:c r="W119" s="6" t="str">
        <x:v>Agenda statement only</x:v>
      </x:c>
    </x:row>
    <x:row r="120" ht="76" customHeight="1">
      <x:c r="A120" s="2" t="str">
        <x:v>S25-FUTURE-R01</x:v>
      </x:c>
      <x:c r="B120" s="2" t="str">
        <x:v>S25</x:v>
      </x:c>
      <x:c r="C120" s="2" t="str">
        <x:v>merged_1185</x:v>
      </x:c>
      <x:c r="D120" s="2" t="str">
        <x:v>Reviewer_A</x:v>
      </x:c>
      <x:c r="E120" s="2" t="str">
        <x:v>Reviewer_A</x:v>
      </x:c>
      <x:c r="F120" s="2" t="str">
        <x:v>S25-D01</x:v>
      </x:c>
      <x:c r="G120" s="6" t="str">
        <x:v>SR</x:v>
      </x:c>
      <x:c r="H120" s="6" t="str">
        <x:v>Explicit future work</x:v>
      </x:c>
      <x:c r="I120" s="6" t="str">
        <x:v>实现基于测试执行反馈的强化学习机制，优化代理性能</x:v>
      </x:c>
      <x:c r="J120" s="2" t="str">
        <x:v>NR</x:v>
      </x:c>
      <x:c r="K120" s="2" t="str">
        <x:v>Optimize agent performance based on feedback from test execution</x:v>
      </x:c>
      <x:c r="L120" s="2" t="str">
        <x:v>Reinforcement learning mechanisms</x:v>
      </x:c>
      <x:c r="M120" s="6" t="str">
        <x:v>No</x:v>
      </x:c>
      <x:c r="N120" s="2" t="str">
        <x:v>Speculative</x:v>
      </x:c>
      <x:c r="O120" s="2" t="str">
        <x:v>NR</x:v>
      </x:c>
      <x:c r="P120" s="2" t="str">
        <x:v>NR</x:v>
      </x:c>
      <x:c r="Q120" s="2" t="str">
        <x:v>Integration, evolution, and deployment</x:v>
      </x:c>
      <x:c r="R120" s="6" t="str">
        <x:v>p. 7; Section V-C</x:v>
      </x:c>
      <x:c r="S120" s="6" t="str">
        <x:v>Feedback loop: Implementing reinforcement learning mechanisms that optimize agent performance based on feedback from test execution.</x:v>
      </x:c>
      <x:c r="T120" s="6" t="str">
        <x:v>未来工作包括实现反馈循环，利用强化学习根据测试执行反馈优化代理性能，以持续提升准确性和效率。</x:v>
      </x:c>
      <x:c r="U120" s="2" t="str">
        <x:v>Accepted</x:v>
      </x:c>
      <x:c r="V120" s="6" t="str">
        <x:v>NR</x:v>
      </x:c>
      <x:c r="W120" s="6" t="str">
        <x:v>Agenda statement only</x:v>
      </x:c>
    </x:row>
    <x:row r="121" ht="76" customHeight="1">
      <x:c r="A121" s="2" t="str">
        <x:v>S25-FUTURE-R02</x:v>
      </x:c>
      <x:c r="B121" s="2" t="str">
        <x:v>S25</x:v>
      </x:c>
      <x:c r="C121" s="2" t="str">
        <x:v>merged_1185</x:v>
      </x:c>
      <x:c r="D121" s="2" t="str">
        <x:v>Reviewer_A</x:v>
      </x:c>
      <x:c r="E121" s="2" t="str">
        <x:v>Reviewer_A</x:v>
      </x:c>
      <x:c r="F121" s="2" t="str">
        <x:v>S25-D02</x:v>
      </x:c>
      <x:c r="G121" s="6" t="str">
        <x:v>SR</x:v>
      </x:c>
      <x:c r="H121" s="6" t="str">
        <x:v>Explicit future work</x:v>
      </x:c>
      <x:c r="I121" s="6" t="str">
        <x:v>扩展多模态智能：处理UI/UX模型、音视频记录、代码仓库等非文本要求</x:v>
      </x:c>
      <x:c r="J121" s="2" t="str">
        <x:v>NR</x:v>
      </x:c>
      <x:c r="K121" s="2" t="str">
        <x:v>Expand contextual understanding beyond text-based requirements</x:v>
      </x:c>
      <x:c r="L121" s="2" t="str">
        <x:v>Visual processing of UI/UX mockups, audio/video recordings, code repositories</x:v>
      </x:c>
      <x:c r="M121" s="6" t="str">
        <x:v>No</x:v>
      </x:c>
      <x:c r="N121" s="2" t="str">
        <x:v>Speculative</x:v>
      </x:c>
      <x:c r="O121" s="2" t="str">
        <x:v>NR</x:v>
      </x:c>
      <x:c r="P121" s="2" t="str">
        <x:v>NR</x:v>
      </x:c>
      <x:c r="Q121" s="2" t="str">
        <x:v>Context, retrieval, and model adaptation</x:v>
      </x:c>
      <x:c r="R121" s="6" t="str">
        <x:v>p. 7; Section V-C</x:v>
      </x:c>
      <x:c r="S121" s="6" t="str">
        <x:v>• Multi-Modal Intelligence Expansion: Visual Processing of UI/UX mockups, audio/video recordings, code repositories</x:v>
      </x:c>
      <x:c r="T121" s="6" t="str">
        <x:v>未来方向包括多模态智能扩展，处理UI/UX模型、音视频记录和代码仓库，以实现超越文本需求的上下文理解。</x:v>
      </x:c>
      <x:c r="U121" s="2" t="str">
        <x:v>Accepted</x:v>
      </x:c>
      <x:c r="V121" s="6" t="str">
        <x:v>NR</x:v>
      </x:c>
      <x:c r="W121" s="6" t="str">
        <x:v>Agenda statement only</x:v>
      </x:c>
    </x:row>
    <x:row r="122" ht="76" customHeight="1">
      <x:c r="A122" s="2" t="str">
        <x:v>S26-FUTURE-R01</x:v>
      </x:c>
      <x:c r="B122" s="2" t="str">
        <x:v>S26</x:v>
      </x:c>
      <x:c r="C122" s="2" t="str">
        <x:v>merged_1212</x:v>
      </x:c>
      <x:c r="D122" s="2" t="str">
        <x:v>Reviewer_A</x:v>
      </x:c>
      <x:c r="E122" s="2" t="str">
        <x:v>Reviewer_A</x:v>
      </x:c>
      <x:c r="F122" s="2" t="str">
        <x:v>S26-D01</x:v>
      </x:c>
      <x:c r="G122" s="6" t="str">
        <x:v>SR</x:v>
      </x:c>
      <x:c r="H122" s="6" t="str">
        <x:v>Explicit future work</x:v>
      </x:c>
      <x:c r="I122" s="6" t="str">
        <x:v>将所开发的追溯技术扩展到差分测试中，以支持调试和分析，并从环境差异追溯到可能的根本原因。</x:v>
      </x:c>
      <x:c r="J122" s="2" t="str">
        <x:v>NR</x:v>
      </x:c>
      <x:c r="K122" s="2" t="str">
        <x:v>差分测试中行为差异的根本原因追溯问题</x:v>
      </x:c>
      <x:c r="L122" s="2" t="str">
        <x:v>使用Graph-RAG、代码搜索策略和模型上下文协议，并与微软开发团队合作评估</x:v>
      </x:c>
      <x:c r="M122" s="6" t="str">
        <x:v>No</x:v>
      </x:c>
      <x:c r="N122" s="2" t="str">
        <x:v>Speculative</x:v>
      </x:c>
      <x:c r="O122" s="2" t="str">
        <x:v>differential_testing_traceability</x:v>
      </x:c>
      <x:c r="P122" s="2" t="str">
        <x:v>future_work</x:v>
      </x:c>
      <x:c r="Q122" s="2" t="str">
        <x:v>Broader empirical validation</x:v>
      </x:c>
      <x:c r="R122" s="6" t="str">
        <x:v>p. 4; Section III-D</x:v>
      </x:c>
      <x:c r="S122" s="6" t="str">
        <x:v>To address RQ4, the next phase of research will focus on extending the traceability techniques developed thus far to support debugging and analysis within differential testing.</x:v>
      </x:c>
      <x:c r="T122" s="6" t="str">
        <x:v>作者明确未来工作将扩展当前技术至差分测试领域，以支持调试和根因分析。</x:v>
      </x:c>
      <x:c r="U122" s="2" t="str">
        <x:v>Accepted</x:v>
      </x:c>
      <x:c r="V122" s="6" t="str">
        <x:v>NR</x:v>
      </x:c>
      <x:c r="W122" s="6" t="str">
        <x:v>Agenda statement only</x:v>
      </x:c>
    </x:row>
    <x:row r="123" ht="76" customHeight="1">
      <x:c r="A123" s="2" t="str">
        <x:v>S27-FUTURE-R01</x:v>
      </x:c>
      <x:c r="B123" s="2" t="str">
        <x:v>S27</x:v>
      </x:c>
      <x:c r="C123" s="2" t="str">
        <x:v>merged_1213</x:v>
      </x:c>
      <x:c r="D123" s="2" t="str">
        <x:v>Reviewer_A</x:v>
      </x:c>
      <x:c r="E123" s="2" t="str">
        <x:v>Reviewer_A</x:v>
      </x:c>
      <x:c r="F123" s="2" t="str">
        <x:v>S27-D01</x:v>
      </x:c>
      <x:c r="G123" s="6" t="str">
        <x:v>SR</x:v>
      </x:c>
      <x:c r="H123" s="6" t="str">
        <x:v>Explicit future work</x:v>
      </x:c>
      <x:c r="I123" s="6" t="str">
        <x:v>将方法扩展到更广泛的可追溯性任务，如从需求到代码的TLR</x:v>
      </x:c>
      <x:c r="J123" s="2" t="str">
        <x:v>NR</x:v>
      </x:c>
      <x:c r="K123" s="2" t="str">
        <x:v>搜索空间缩减在需求到代码TLR中仍是关键挑战</x:v>
      </x:c>
      <x:c r="L123" s="2" t="str">
        <x:v>NR</x:v>
      </x:c>
      <x:c r="M123" s="6" t="str">
        <x:v>No</x:v>
      </x:c>
      <x:c r="N123" s="2" t="str">
        <x:v>Speculative</x:v>
      </x:c>
      <x:c r="O123" s="2" t="str">
        <x:v>broaden_tasks</x:v>
      </x:c>
      <x:c r="P123" s="2" t="str">
        <x:v>Generalization</x:v>
      </x:c>
      <x:c r="Q123" s="2" t="str">
        <x:v>Broader empirical validation</x:v>
      </x:c>
      <x:c r="R123" s="6" t="str">
        <x:v>p. 7; VI. CONCLUSION</x:v>
      </x:c>
      <x:c r="S123" s="6" t="str">
        <x:v>One natural extension is to evaluate the proposed approach on broader traceability tasks beyond inter-requirements links, such as requirements-to-code TLR, where search space reduction remains a key challenge.</x:v>
      </x:c>
      <x:c r="T123" s="6" t="str">
        <x:v>建议将方法扩展到需求到代码的TLR任务。</x:v>
      </x:c>
      <x:c r="U123" s="2" t="str">
        <x:v>Accepted</x:v>
      </x:c>
      <x:c r="V123" s="6" t="str">
        <x:v>NA</x:v>
      </x:c>
      <x:c r="W123" s="6" t="str">
        <x:v>Agenda statement only</x:v>
      </x:c>
    </x:row>
    <x:row r="124" ht="76" customHeight="1">
      <x:c r="A124" s="2" t="str">
        <x:v>S27-FUTURE-R02</x:v>
      </x:c>
      <x:c r="B124" s="2" t="str">
        <x:v>S27</x:v>
      </x:c>
      <x:c r="C124" s="2" t="str">
        <x:v>merged_1213</x:v>
      </x:c>
      <x:c r="D124" s="2" t="str">
        <x:v>Reviewer_A</x:v>
      </x:c>
      <x:c r="E124" s="2" t="str">
        <x:v>Reviewer_A</x:v>
      </x:c>
      <x:c r="F124" s="2" t="str">
        <x:v>S27-D02</x:v>
      </x:c>
      <x:c r="G124" s="6" t="str">
        <x:v>SR</x:v>
      </x:c>
      <x:c r="H124" s="6" t="str">
        <x:v>Explicit future work</x:v>
      </x:c>
      <x:c r="I124" s="6" t="str">
        <x:v>探索更自适应的提示工程技术，专门针对可追溯性上下文中的过滤和排序</x:v>
      </x:c>
      <x:c r="J124" s="2" t="str">
        <x:v>S27-L01</x:v>
      </x:c>
      <x:c r="K124" s="2" t="str">
        <x:v>当前方法使用固定提示模板</x:v>
      </x:c>
      <x:c r="L124" s="2" t="str">
        <x:v>NR</x:v>
      </x:c>
      <x:c r="M124" s="6" t="str">
        <x:v>No</x:v>
      </x:c>
      <x:c r="N124" s="2" t="str">
        <x:v>Speculative</x:v>
      </x:c>
      <x:c r="O124" s="2" t="str">
        <x:v>adaptive_prompting</x:v>
      </x:c>
      <x:c r="P124" s="2" t="str">
        <x:v>Prompt Engineering</x:v>
      </x:c>
      <x:c r="Q124" s="2" t="str">
        <x:v>Context, retrieval, and model adaptation</x:v>
      </x:c>
      <x:c r="R124" s="6" t="str">
        <x:v>p. 7; VI. CONCLUSION</x:v>
      </x:c>
      <x:c r="S124" s="6" t="str">
        <x:v>future work could explore more adaptive prompt engineering techniques, specifically tailored to filtering and ranking in traceability contexts.</x:v>
      </x:c>
      <x:c r="T124" s="6" t="str">
        <x:v>建议未来工作探索自适应提示工程以优化过滤和排序。</x:v>
      </x:c>
      <x:c r="U124" s="2" t="str">
        <x:v>Accepted</x:v>
      </x:c>
      <x:c r="V124" s="6" t="str">
        <x:v>NA</x:v>
      </x:c>
      <x:c r="W124" s="6" t="str">
        <x:v>Reported limitation-grounded</x:v>
      </x:c>
    </x:row>
    <x:row r="125" ht="76" customHeight="1">
      <x:c r="A125" s="2" t="str">
        <x:v>S27-FUTURE-R03</x:v>
      </x:c>
      <x:c r="B125" s="2" t="str">
        <x:v>S27</x:v>
      </x:c>
      <x:c r="C125" s="2" t="str">
        <x:v>merged_1213</x:v>
      </x:c>
      <x:c r="D125" s="2" t="str">
        <x:v>Reviewer_A</x:v>
      </x:c>
      <x:c r="E125" s="2" t="str">
        <x:v>Reviewer_A</x:v>
      </x:c>
      <x:c r="F125" s="2" t="str">
        <x:v>S27-D03</x:v>
      </x:c>
      <x:c r="G125" s="6" t="str">
        <x:v>SR</x:v>
      </x:c>
      <x:c r="H125" s="6" t="str">
        <x:v>Explicit future work</x:v>
      </x:c>
      <x:c r="I125" s="6" t="str">
        <x:v>深入研究集成设计选择，包括LLM层的数量和顺序、使用的模型以及组合输出的策略</x:v>
      </x:c>
      <x:c r="J125" s="2" t="str">
        <x:v>NR</x:v>
      </x:c>
      <x:c r="K125" s="2" t="str">
        <x:v>当前集成设计可能不是最优</x:v>
      </x:c>
      <x:c r="L125" s="2" t="str">
        <x:v>NR</x:v>
      </x:c>
      <x:c r="M125" s="6" t="str">
        <x:v>No</x:v>
      </x:c>
      <x:c r="N125" s="2" t="str">
        <x:v>Speculative</x:v>
      </x:c>
      <x:c r="O125" s="2" t="str">
        <x:v>ensemble_design</x:v>
      </x:c>
      <x:c r="P125" s="2" t="str">
        <x:v>Model Architecture</x:v>
      </x:c>
      <x:c r="Q125" s="2" t="str">
        <x:v>Context, retrieval, and model adaptation</x:v>
      </x:c>
      <x:c r="R125" s="6" t="str">
        <x:v>p. 7; VI. CONCLUSION</x:v>
      </x:c>
      <x:c r="S125" s="6" t="str">
        <x:v>Another promising direction involves a deeper investigation into ensemble design choices, including the number and sequencing of LLM layers, the used models, as well as strategies for combining their outputs (e.g., majority voting, weighted aggregation, or confidence-based filtering).</x:v>
      </x:c>
      <x:c r="T125" s="6" t="str">
        <x:v>建议研究集成模型的设计选择以提升性能。</x:v>
      </x:c>
      <x:c r="U125" s="2" t="str">
        <x:v>Accepted</x:v>
      </x:c>
      <x:c r="V125" s="6" t="str">
        <x:v>NA</x:v>
      </x:c>
      <x:c r="W125" s="6" t="str">
        <x:v>Agenda statement only</x:v>
      </x:c>
    </x:row>
    <x:row r="126" ht="76" customHeight="1">
      <x:c r="A126" s="2" t="str">
        <x:v>S27-FUTURE-R04</x:v>
      </x:c>
      <x:c r="B126" s="2" t="str">
        <x:v>S27</x:v>
      </x:c>
      <x:c r="C126" s="2" t="str">
        <x:v>merged_1213</x:v>
      </x:c>
      <x:c r="D126" s="2" t="str">
        <x:v>Reviewer_A</x:v>
      </x:c>
      <x:c r="E126" s="2" t="str">
        <x:v>Reviewer_A</x:v>
      </x:c>
      <x:c r="F126" s="2" t="str">
        <x:v>S27-D04</x:v>
      </x:c>
      <x:c r="G126" s="6" t="str">
        <x:v>SR</x:v>
      </x:c>
      <x:c r="H126" s="6" t="str">
        <x:v>Explicit future work</x:v>
      </x:c>
      <x:c r="I126" s="6" t="str">
        <x:v>探索将LLM过滤与传统IR技术结合的混合方法</x:v>
      </x:c>
      <x:c r="J126" s="2" t="str">
        <x:v>NR</x:v>
      </x:c>
      <x:c r="K126" s="2" t="str">
        <x:v>LLM和IR各有优缺点</x:v>
      </x:c>
      <x:c r="L126" s="2" t="str">
        <x:v>NR</x:v>
      </x:c>
      <x:c r="M126" s="6" t="str">
        <x:v>No</x:v>
      </x:c>
      <x:c r="N126" s="2" t="str">
        <x:v>Speculative</x:v>
      </x:c>
      <x:c r="O126" s="2" t="str">
        <x:v>hybrid_approach</x:v>
      </x:c>
      <x:c r="P126" s="2" t="str">
        <x:v>Integration</x:v>
      </x:c>
      <x:c r="Q126" s="2" t="str">
        <x:v>Context, retrieval, and model adaptation</x:v>
      </x:c>
      <x:c r="R126" s="6" t="str">
        <x:v>p. 7; VI. CONCLUSION</x:v>
      </x:c>
      <x:c r="S126" s="6" t="str">
        <x:v>we see potential in hybrid approaches that integrate LLMbased filtering with traditional IR techniques. By combining</x:v>
      </x:c>
      <x:c r="T126" s="6" t="str">
        <x:v>建议结合LLM过滤与传统IR以实现更鲁棒和适应性强的解决方案。</x:v>
      </x:c>
      <x:c r="U126" s="2" t="str">
        <x:v>Accepted</x:v>
      </x:c>
      <x:c r="V126" s="6" t="str">
        <x:v>NA</x:v>
      </x:c>
      <x:c r="W126" s="6" t="str">
        <x:v>Agenda statement only</x:v>
      </x:c>
    </x:row>
    <x:row r="127" ht="76" customHeight="1">
      <x:c r="A127" s="2" t="str">
        <x:v>S28-FUTURE-R01</x:v>
      </x:c>
      <x:c r="B127" s="2" t="str">
        <x:v>S28</x:v>
      </x:c>
      <x:c r="C127" s="2" t="str">
        <x:v>merged_1214</x:v>
      </x:c>
      <x:c r="D127" s="2" t="str">
        <x:v>Reviewer_A</x:v>
      </x:c>
      <x:c r="E127" s="2" t="str">
        <x:v>Reviewer_A</x:v>
      </x:c>
      <x:c r="F127" s="2" t="str">
        <x:v>S28-D01</x:v>
      </x:c>
      <x:c r="G127" s="6" t="str">
        <x:v>SR</x:v>
      </x:c>
      <x:c r="H127" s="6" t="str">
        <x:v>Explicit future work</x:v>
      </x:c>
      <x:c r="I127" s="6" t="str">
        <x:v>通过放宽初始文档检索约束以检索更多文档，然后利用领域特定标准从检索到的文档中提取相关信息，从而在不牺牲召回率的情况下逐步构建更相关的上下文。</x:v>
      </x:c>
      <x:c r="J127" s="2" t="str">
        <x:v>S28-L01</x:v>
      </x:c>
      <x:c r="K127" s="2" t="str">
        <x:v>低召回率</x:v>
      </x:c>
      <x:c r="L127" s="2" t="str">
        <x:v>需要定义领域特定标准并实施分层检索策略。</x:v>
      </x:c>
      <x:c r="M127" s="6" t="str">
        <x:v>No</x:v>
      </x:c>
      <x:c r="N127" s="2" t="str">
        <x:v>Speculative</x:v>
      </x:c>
      <x:c r="O127" s="2" t="str">
        <x:v>improve_recall_layered_retrieval</x:v>
      </x:c>
      <x:c r="P127" s="2" t="str">
        <x:v>method_improvement</x:v>
      </x:c>
      <x:c r="Q127" s="2" t="str">
        <x:v>Context, retrieval, and model adaptation</x:v>
      </x:c>
      <x:c r="R127" s="6" t="str">
        <x:v>p. 15; Section 6 Discussion</x:v>
      </x:c>
      <x:c r="S127" s="6" t="str">
        <x:v>As part of our future work, we aim to improve the recall scores by relaxing the initial documents retrieval constraints to retrieve more documents and then employing domain-specific criteria to perform a relevant information retrieval from the retrieved documents itself.</x:v>
      </x:c>
      <x:c r="T127" s="6" t="str">
        <x:v>作者提出未来通过分层检索和领域特定过滤来提升召回率。</x:v>
      </x:c>
      <x:c r="U127" s="2" t="str">
        <x:v>Accepted</x:v>
      </x:c>
      <x:c r="V127" s="6" t="str">
        <x:v>NA</x:v>
      </x:c>
      <x:c r="W127" s="6" t="str">
        <x:v>Empirical limitation-grounded</x:v>
      </x:c>
    </x:row>
    <x:row r="128" ht="76" customHeight="1">
      <x:c r="A128" s="2" t="str">
        <x:v>S28-FUTURE-R02</x:v>
      </x:c>
      <x:c r="B128" s="2" t="str">
        <x:v>S28</x:v>
      </x:c>
      <x:c r="C128" s="2" t="str">
        <x:v>merged_1214</x:v>
      </x:c>
      <x:c r="D128" s="2" t="str">
        <x:v>Reviewer_A</x:v>
      </x:c>
      <x:c r="E128" s="2" t="str">
        <x:v>Reviewer_A</x:v>
      </x:c>
      <x:c r="F128" s="2" t="str">
        <x:v>S28-D02</x:v>
      </x:c>
      <x:c r="G128" s="6" t="str">
        <x:v>SR</x:v>
      </x:c>
      <x:c r="H128" s="6" t="str">
        <x:v>Explicit future work</x:v>
      </x:c>
      <x:c r="I128" s="6" t="str">
        <x:v>扩展解决方案以开发一个工具，用于跟踪UML类图演变和对需求变化的影响分析，从而在设计时提供关于需求历史及其对软件工件影响的反馈。</x:v>
      </x:c>
      <x:c r="J128" s="2" t="str">
        <x:v>NR</x:v>
      </x:c>
      <x:c r="K128" s="2" t="str">
        <x:v>缺乏对UML类图演变和影响分析的设计时支持</x:v>
      </x:c>
      <x:c r="L128" s="2" t="str">
        <x:v>需要开发新工具，并将现有方法集成到UML建模环境。</x:v>
      </x:c>
      <x:c r="M128" s="6" t="str">
        <x:v>No</x:v>
      </x:c>
      <x:c r="N128" s="2" t="str">
        <x:v>Speculative</x:v>
      </x:c>
      <x:c r="O128" s="2" t="str">
        <x:v>uml_evolution_tool</x:v>
      </x:c>
      <x:c r="P128" s="2" t="str">
        <x:v>tool_development</x:v>
      </x:c>
      <x:c r="Q128" s="2" t="str">
        <x:v>Integration, evolution, and deployment</x:v>
      </x:c>
      <x:c r="R128" s="6" t="str">
        <x:v>p. 16; Section 7 Conclusion</x:v>
      </x:c>
      <x:c r="S128" s="6" t="str">
        <x:v>In the future, we aim to extend our solution to develop a tool for tracking a UML class diagrams evolution and impact analysis with changing requirements, thereby providing an feedback during design time about the history and impact of the requirement on the software artifacts.</x:v>
      </x:c>
      <x:c r="T128" s="6" t="str">
        <x:v>作者计划开发一个设计时工具，用于跟踪需求变更对UML类图的影响。</x:v>
      </x:c>
      <x:c r="U128" s="2" t="str">
        <x:v>Accepted</x:v>
      </x:c>
      <x:c r="V128" s="6" t="str">
        <x:v>NA</x:v>
      </x:c>
      <x:c r="W128" s="6" t="str">
        <x:v>Agenda statement only</x:v>
      </x:c>
    </x:row>
    <x:row r="129" ht="76" customHeight="1">
      <x:c r="A129" s="2" t="str">
        <x:v>S29-FUTURE-R01</x:v>
      </x:c>
      <x:c r="B129" s="2" t="str">
        <x:v>S29</x:v>
      </x:c>
      <x:c r="C129" s="2" t="str">
        <x:v>merged_1215-v4</x:v>
      </x:c>
      <x:c r="D129" s="2" t="str">
        <x:v>Reviewer_A</x:v>
      </x:c>
      <x:c r="E129" s="2" t="str">
        <x:v>Reviewer_A</x:v>
      </x:c>
      <x:c r="F129" s="2" t="str">
        <x:v>S29-D01</x:v>
      </x:c>
      <x:c r="G129" s="6" t="str">
        <x:v>SR</x:v>
      </x:c>
      <x:c r="H129" s="6" t="str">
        <x:v>Explicit future work</x:v>
      </x:c>
      <x:c r="I129" s="6" t="str">
        <x:v>将TVR的基本原理适应到其他类型需求或领域。</x:v>
      </x:c>
      <x:c r="J129" s="2" t="str">
        <x:v>S29-L01</x:v>
      </x:c>
      <x:c r="K129" s="2" t="str">
        <x:v>TVR在非DTC需求或领域的应用</x:v>
      </x:c>
      <x:c r="L129" s="2" t="str">
        <x:v>NR</x:v>
      </x:c>
      <x:c r="M129" s="6" t="str">
        <x:v>NR</x:v>
      </x:c>
      <x:c r="N129" s="2" t="str">
        <x:v>Speculative</x:v>
      </x:c>
      <x:c r="O129" s="2" t="str">
        <x:v>generalizability</x:v>
      </x:c>
      <x:c r="P129" s="2" t="str">
        <x:v>Future Work</x:v>
      </x:c>
      <x:c r="Q129" s="2" t="str">
        <x:v>Broader empirical validation</x:v>
      </x:c>
      <x:c r="R129" s="6" t="str">
        <x:v>p. 25; Section 9 Conclusion</x:v>
      </x:c>
      <x:c r="S129" s="6" t="str">
        <x:v>In the future, the basic principles of TVR can be adapted to other types of requirements and domains where such traceability is important.</x:v>
      </x:c>
      <x:c r="T129" s="6" t="str">
        <x:v>作者明确将TVR扩展到其它需求类型和领域列为未来工作方向。</x:v>
      </x:c>
      <x:c r="U129" s="2" t="str">
        <x:v>Accepted</x:v>
      </x:c>
      <x:c r="V129" s="6" t="str">
        <x:v>NA</x:v>
      </x:c>
      <x:c r="W129" s="6" t="str">
        <x:v>Reported limitation-grounded</x:v>
      </x:c>
    </x:row>
    <x:row r="130" ht="76" customHeight="1">
      <x:c r="A130" s="2" t="str">
        <x:v>S29-FUTURE-R02</x:v>
      </x:c>
      <x:c r="B130" s="2" t="str">
        <x:v>S29</x:v>
      </x:c>
      <x:c r="C130" s="2" t="str">
        <x:v>merged_1215-v4</x:v>
      </x:c>
      <x:c r="D130" s="2" t="str">
        <x:v>Reviewer_A</x:v>
      </x:c>
      <x:c r="E130" s="2" t="str">
        <x:v>Reviewer_A</x:v>
      </x:c>
      <x:c r="F130" s="2" t="str">
        <x:v>S29-D02</x:v>
      </x:c>
      <x:c r="G130" s="6" t="str">
        <x:v>SR</x:v>
      </x:c>
      <x:c r="H130" s="6" t="str">
        <x:v>Explicit recommendation</x:v>
      </x:c>
      <x:c r="I130" s="6" t="str">
        <x:v>进一步减少误报以提高精确度。</x:v>
      </x:c>
      <x:c r="J130" s="2" t="str">
        <x:v>NR</x:v>
      </x:c>
      <x:c r="K130" s="2" t="str">
        <x:v>误报（假阳性）</x:v>
      </x:c>
      <x:c r="L130" s="2" t="str">
        <x:v>NR</x:v>
      </x:c>
      <x:c r="M130" s="6" t="str">
        <x:v>NR</x:v>
      </x:c>
      <x:c r="N130" s="2" t="str">
        <x:v>Speculative</x:v>
      </x:c>
      <x:c r="O130" s="2" t="str">
        <x:v>false_positive_reduction</x:v>
      </x:c>
      <x:c r="P130" s="2" t="str">
        <x:v>Future Work</x:v>
      </x:c>
      <x:c r="Q130" s="2" t="str">
        <x:v>Reliability, explainability, and human oversight</x:v>
      </x:c>
      <x:c r="R130" s="6" t="str">
        <x:v>p. 22; Section 6.1 Industry Feedback on TVR</x:v>
      </x:c>
      <x:c r="S130" s="6" t="str">
        <x:v>Further minimizing false positives to further refine precision</x:v>
      </x:c>
      <x:c r="T130" s="6" t="str">
        <x:v>行业反馈建议降低误报以提升精确度，作者将此作为改进方向。</x:v>
      </x:c>
      <x:c r="U130" s="2" t="str">
        <x:v>Accepted</x:v>
      </x:c>
      <x:c r="V130" s="6" t="str">
        <x:v>NA</x:v>
      </x:c>
      <x:c r="W130" s="6" t="str">
        <x:v>Agenda statement only</x:v>
      </x:c>
    </x:row>
    <x:row r="131" ht="76" customHeight="1">
      <x:c r="A131" s="2" t="str">
        <x:v>S29-FUTURE-R03</x:v>
      </x:c>
      <x:c r="B131" s="2" t="str">
        <x:v>S29</x:v>
      </x:c>
      <x:c r="C131" s="2" t="str">
        <x:v>merged_1215-v4</x:v>
      </x:c>
      <x:c r="D131" s="2" t="str">
        <x:v>Reviewer_A</x:v>
      </x:c>
      <x:c r="E131" s="2" t="str">
        <x:v>Reviewer_A</x:v>
      </x:c>
      <x:c r="F131" s="2" t="str">
        <x:v>S29-D03</x:v>
      </x:c>
      <x:c r="G131" s="6" t="str">
        <x:v>SR</x:v>
      </x:c>
      <x:c r="H131" s="6" t="str">
        <x:v>Explicit recommendation</x:v>
      </x:c>
      <x:c r="I131" s="6" t="str">
        <x:v>增强可扩展性以更好地适应大规模工业数据集。</x:v>
      </x:c>
      <x:c r="J131" s="2" t="str">
        <x:v>NR</x:v>
      </x:c>
      <x:c r="K131" s="2" t="str">
        <x:v>大规模工业数据集上的可扩展性</x:v>
      </x:c>
      <x:c r="L131" s="2" t="str">
        <x:v>NR</x:v>
      </x:c>
      <x:c r="M131" s="6" t="str">
        <x:v>NR</x:v>
      </x:c>
      <x:c r="N131" s="2" t="str">
        <x:v>Speculative</x:v>
      </x:c>
      <x:c r="O131" s="2" t="str">
        <x:v>scalability</x:v>
      </x:c>
      <x:c r="P131" s="2" t="str">
        <x:v>Future Work</x:v>
      </x:c>
      <x:c r="Q131" s="2" t="str">
        <x:v>Broader empirical validation</x:v>
      </x:c>
      <x:c r="R131" s="6" t="str">
        <x:v>p. 22; Section 6.1 Industry Feedback on TVR</x:v>
      </x:c>
      <x:c r="S131" s="6" t="str">
        <x:v>enhancing scalability to better adapt to large-scale industrial datasets with diverse requirements</x:v>
      </x:c>
      <x:c r="T131" s="6" t="str">
        <x:v>行业反馈指出需要提升TVR应对大规模数据的能力，是未来的优化方向。</x:v>
      </x:c>
      <x:c r="U131" s="2" t="str">
        <x:v>Accepted</x:v>
      </x:c>
      <x:c r="V131" s="6" t="str">
        <x:v>NA</x:v>
      </x:c>
      <x:c r="W131" s="6" t="str">
        <x:v>Agenda statement only</x:v>
      </x:c>
    </x:row>
    <x:row r="132" ht="76" customHeight="1">
      <x:c r="A132" s="2" t="str">
        <x:v>S29-FUTURE-R04</x:v>
      </x:c>
      <x:c r="B132" s="2" t="str">
        <x:v>S29</x:v>
      </x:c>
      <x:c r="C132" s="2" t="str">
        <x:v>merged_1215-v4</x:v>
      </x:c>
      <x:c r="D132" s="2" t="str">
        <x:v>Reviewer_A</x:v>
      </x:c>
      <x:c r="E132" s="2" t="str">
        <x:v>Reviewer_A</x:v>
      </x:c>
      <x:c r="F132" s="2" t="str">
        <x:v>S29-D04</x:v>
      </x:c>
      <x:c r="G132" s="6" t="str">
        <x:v>SR</x:v>
      </x:c>
      <x:c r="H132" s="6" t="str">
        <x:v>Explicit recommendation</x:v>
      </x:c>
      <x:c r="I132" s="6" t="str">
        <x:v>通过识别并排除触发条件来改进检索准确性。</x:v>
      </x:c>
      <x:c r="J132" s="2" t="str">
        <x:v>NR</x:v>
      </x:c>
      <x:c r="K132" s="2" t="str">
        <x:v>因触发条件混淆导致的假阳性</x:v>
      </x:c>
      <x:c r="L132" s="2" t="str">
        <x:v>NR</x:v>
      </x:c>
      <x:c r="M132" s="6" t="str">
        <x:v>73个预测错误源于触发条件混淆</x:v>
      </x:c>
      <x:c r="N132" s="2" t="str">
        <x:v>Speculative</x:v>
      </x:c>
      <x:c r="O132" s="2" t="str">
        <x:v>trigger_condition_removal</x:v>
      </x:c>
      <x:c r="P132" s="2" t="str">
        <x:v>Future Work</x:v>
      </x:c>
      <x:c r="Q132" s="2" t="str">
        <x:v>Context, retrieval, and model adaptation</x:v>
      </x:c>
      <x:c r="R132" s="6" t="str">
        <x:v>p. 21; Section 5.4 Performance on Requirements Traceability Links Recovery (RQ4)</x:v>
      </x:c>
      <x:c r="S132" s="6" t="str">
        <x:v>To enhance retrieval accuracy, future approaches can further improve by identifying and excluding the trigger condition while retaining only the content related to the input message.</x:v>
      </x:c>
      <x:c r="T132" s="6" t="str">
        <x:v>基于错误分析，作者建议未来方法可以通过去除触发条件来提高检索准确性。</x:v>
      </x:c>
      <x:c r="U132" s="2" t="str">
        <x:v>Accepted</x:v>
      </x:c>
      <x:c r="V132" s="6" t="str">
        <x:v>NA</x:v>
      </x:c>
      <x:c r="W132" s="6" t="str">
        <x:v>Result-grounded</x:v>
      </x:c>
    </x:row>
    <x:row r="133" ht="76" customHeight="1">
      <x:c r="A133" s="2" t="str">
        <x:v>S29-FUTURE-R05</x:v>
      </x:c>
      <x:c r="B133" s="2" t="str">
        <x:v>S29</x:v>
      </x:c>
      <x:c r="C133" s="2" t="str">
        <x:v>merged_1215-v4</x:v>
      </x:c>
      <x:c r="D133" s="2" t="str">
        <x:v>Reviewer_A</x:v>
      </x:c>
      <x:c r="E133" s="2" t="str">
        <x:v>Reviewer_A</x:v>
      </x:c>
      <x:c r="F133" s="2" t="str">
        <x:v>S29-D05</x:v>
      </x:c>
      <x:c r="G133" s="6" t="str">
        <x:v>SR</x:v>
      </x:c>
      <x:c r="H133" s="6" t="str">
        <x:v>Explicit future work</x:v>
      </x:c>
      <x:c r="I133" s="6" t="str">
        <x:v>在开源模型和数据集上评估TVR。</x:v>
      </x:c>
      <x:c r="J133" s="2" t="str">
        <x:v>S29-L07</x:v>
      </x:c>
      <x:c r="K133" s="2" t="str">
        <x:v>模型集受限</x:v>
      </x:c>
      <x:c r="L133" s="2" t="str">
        <x:v>NR</x:v>
      </x:c>
      <x:c r="M133" s="6" t="str">
        <x:v>NR</x:v>
      </x:c>
      <x:c r="N133" s="2" t="str">
        <x:v>Speculative</x:v>
      </x:c>
      <x:c r="O133" s="2" t="str">
        <x:v>open_source_evaluation</x:v>
      </x:c>
      <x:c r="P133" s="2" t="str">
        <x:v>Future Work</x:v>
      </x:c>
      <x:c r="Q133" s="2" t="str">
        <x:v>Broader empirical validation</x:v>
      </x:c>
      <x:c r="R133" s="6" t="str">
        <x:v>p. 23; Section 7 Threats to Validity, Internal Validity</x:v>
      </x:c>
      <x:c r="S133" s="6" t="str">
        <x:v>In future work, we plan to evaluate TVR on open-source models and datasets, as well as more recent models.</x:v>
      </x:c>
      <x:c r="T133" s="6" t="str">
        <x:v>作者计划将TVR的评估扩展到开源模型和更多数据集，以弥补当前模型选择的限制。</x:v>
      </x:c>
      <x:c r="U133" s="2" t="str">
        <x:v>Accepted</x:v>
      </x:c>
      <x:c r="V133" s="6" t="str">
        <x:v>NA</x:v>
      </x:c>
      <x:c r="W133" s="6" t="str">
        <x:v>Reported limitation-grounded</x:v>
      </x:c>
    </x:row>
    <x:row r="134" ht="76" customHeight="1">
      <x:c r="A134" s="2" t="str">
        <x:v>S30-FUTURE-R01</x:v>
      </x:c>
      <x:c r="B134" s="2" t="str">
        <x:v>S30</x:v>
      </x:c>
      <x:c r="C134" s="2" t="str">
        <x:v>merged_1218</x:v>
      </x:c>
      <x:c r="D134" s="2" t="str">
        <x:v>Reviewer_A</x:v>
      </x:c>
      <x:c r="E134" s="2" t="str">
        <x:v>Reviewer_A</x:v>
      </x:c>
      <x:c r="F134" s="2" t="str">
        <x:v>S30-D01</x:v>
      </x:c>
      <x:c r="G134" s="6" t="str">
        <x:v>SR</x:v>
      </x:c>
      <x:c r="H134" s="6" t="str">
        <x:v>Explicit future work</x:v>
      </x:c>
      <x:c r="I134" s="6" t="str">
        <x:v>通过集成附加数据（评论、历史、拉取请求链接、文档）来扩展知识图谱。</x:v>
      </x:c>
      <x:c r="J134" s="2" t="str">
        <x:v>S30-L07</x:v>
      </x:c>
      <x:c r="K134" s="2" t="str">
        <x:v>Improve comprehensiveness of knowledge graph.</x:v>
      </x:c>
      <x:c r="L134" s="2" t="str">
        <x:v>NR</x:v>
      </x:c>
      <x:c r="M134" s="6" t="str">
        <x:v>NR</x:v>
      </x:c>
      <x:c r="N134" s="2" t="str">
        <x:v>Speculative</x:v>
      </x:c>
      <x:c r="O134" s="2" t="str">
        <x:v>future_work</x:v>
      </x:c>
      <x:c r="P134" s="2" t="str">
        <x:v>graph_expansion</x:v>
      </x:c>
      <x:c r="Q134" s="2" t="str">
        <x:v>Context, retrieval, and model adaptation</x:v>
      </x:c>
      <x:c r="R134" s="6" t="str">
        <x:v>p. 11; Section VIII, Conclusions</x:v>
      </x:c>
      <x:c r="S134" s="6" t="str">
        <x:v>We aim to expand the knowledge graphs by integrating additional data, including comments, history, pull request links, and documentation, to provide a more comprehensive representation of the data.</x:v>
      </x:c>
      <x:c r="T134" s="6" t="str">
        <x:v>扩大知识图谱的数据源，有望丰富上下文，支持更复杂的查询和用例。</x:v>
      </x:c>
      <x:c r="U134" s="2" t="str">
        <x:v>Accepted</x:v>
      </x:c>
      <x:c r="V134" s="6" t="str">
        <x:v>NA</x:v>
      </x:c>
      <x:c r="W134" s="6" t="str">
        <x:v>Empirical limitation-grounded</x:v>
      </x:c>
    </x:row>
    <x:row r="135" ht="76" customHeight="1">
      <x:c r="A135" s="2" t="str">
        <x:v>S30-FUTURE-R02</x:v>
      </x:c>
      <x:c r="B135" s="2" t="str">
        <x:v>S30</x:v>
      </x:c>
      <x:c r="C135" s="2" t="str">
        <x:v>merged_1218</x:v>
      </x:c>
      <x:c r="D135" s="2" t="str">
        <x:v>Reviewer_A</x:v>
      </x:c>
      <x:c r="E135" s="2" t="str">
        <x:v>Reviewer_A</x:v>
      </x:c>
      <x:c r="F135" s="2" t="str">
        <x:v>S30-D02</x:v>
      </x:c>
      <x:c r="G135" s="6" t="str">
        <x:v>SR</x:v>
      </x:c>
      <x:c r="H135" s="6" t="str">
        <x:v>Explicit future work</x:v>
      </x:c>
      <x:c r="I135" s="6" t="str">
        <x:v>将GDI应用于更大的系统和项目，进行更全面的评估。</x:v>
      </x:c>
      <x:c r="J135" s="2" t="str">
        <x:v>S30-L09</x:v>
      </x:c>
      <x:c r="K135" s="2" t="str">
        <x:v>Assess scalability and performance.</x:v>
      </x:c>
      <x:c r="L135" s="2" t="str">
        <x:v>NR</x:v>
      </x:c>
      <x:c r="M135" s="6" t="str">
        <x:v>NR</x:v>
      </x:c>
      <x:c r="N135" s="2" t="str">
        <x:v>Speculative</x:v>
      </x:c>
      <x:c r="O135" s="2" t="str">
        <x:v>future_work</x:v>
      </x:c>
      <x:c r="P135" s="2" t="str">
        <x:v>large_scale_evaluation</x:v>
      </x:c>
      <x:c r="Q135" s="2" t="str">
        <x:v>Broader empirical validation</x:v>
      </x:c>
      <x:c r="R135" s="6" t="str">
        <x:v>p. 11; Section VIII, Conclusions</x:v>
      </x:c>
      <x:c r="S135" s="6" t="str">
        <x:v>We plan to conduct a more comprehensive evaluation by applying GDI to larger systems and projects.</x:v>
      </x:c>
      <x:c r="T135" s="6" t="str">
        <x:v>更大规模系统的评估将验证GDI在工业级环境中的实用性和效率。</x:v>
      </x:c>
      <x:c r="U135" s="2" t="str">
        <x:v>Accepted</x:v>
      </x:c>
      <x:c r="V135" s="6" t="str">
        <x:v>NA</x:v>
      </x:c>
      <x:c r="W135" s="6" t="str">
        <x:v>Reported limitation-grounded</x:v>
      </x:c>
    </x:row>
    <x:row r="136" ht="76" customHeight="1">
      <x:c r="A136" s="2" t="str">
        <x:v>S30-FUTURE-R03</x:v>
      </x:c>
      <x:c r="B136" s="2" t="str">
        <x:v>S30</x:v>
      </x:c>
      <x:c r="C136" s="2" t="str">
        <x:v>merged_1218</x:v>
      </x:c>
      <x:c r="D136" s="2" t="str">
        <x:v>Reviewer_A</x:v>
      </x:c>
      <x:c r="E136" s="2" t="str">
        <x:v>Reviewer_A</x:v>
      </x:c>
      <x:c r="F136" s="2" t="str">
        <x:v>S30-D03</x:v>
      </x:c>
      <x:c r="G136" s="6" t="str">
        <x:v>SR</x:v>
      </x:c>
      <x:c r="H136" s="6" t="str">
        <x:v>Explicit future work</x:v>
      </x:c>
      <x:c r="I136" s="6" t="str">
        <x:v>与其他软件组织合作，增加参与者数量，以增强研究结果的普遍性。</x:v>
      </x:c>
      <x:c r="J136" s="2" t="str">
        <x:v>S30-L06</x:v>
      </x:c>
      <x:c r="K136" s="2" t="str">
        <x:v>Improve generalizability of findings.</x:v>
      </x:c>
      <x:c r="L136" s="2" t="str">
        <x:v>NR</x:v>
      </x:c>
      <x:c r="M136" s="6" t="str">
        <x:v>NR</x:v>
      </x:c>
      <x:c r="N136" s="2" t="str">
        <x:v>Speculative</x:v>
      </x:c>
      <x:c r="O136" s="2" t="str">
        <x:v>future_work</x:v>
      </x:c>
      <x:c r="P136" s="2" t="str">
        <x:v>increase_participants</x:v>
      </x:c>
      <x:c r="Q136" s="2" t="str">
        <x:v>Broader empirical validation</x:v>
      </x:c>
      <x:c r="R136" s="6" t="str">
        <x:v>p. 11; Section VIII, Conclusions</x:v>
      </x:c>
      <x:c r="S136" s="6" t="str">
        <x:v>We intend to collaborate with other software organizations to increase the number of participants.</x:v>
      </x:c>
      <x:c r="T136" s="6" t="str">
        <x:v>通过跨组织合作扩大样本量，使结论更具推广性。</x:v>
      </x:c>
      <x:c r="U136" s="2" t="str">
        <x:v>Accepted</x:v>
      </x:c>
      <x:c r="V136" s="6" t="str">
        <x:v>NA</x:v>
      </x:c>
      <x:c r="W136" s="6" t="str">
        <x:v>Empirical limitation-grounded</x:v>
      </x:c>
    </x:row>
    <x:row r="137" ht="76" customHeight="1">
      <x:c r="A137" s="2" t="str">
        <x:v>S30-FUTURE-R04</x:v>
      </x:c>
      <x:c r="B137" s="2" t="str">
        <x:v>S30</x:v>
      </x:c>
      <x:c r="C137" s="2" t="str">
        <x:v>merged_1218</x:v>
      </x:c>
      <x:c r="D137" s="2" t="str">
        <x:v>Reviewer_A</x:v>
      </x:c>
      <x:c r="E137" s="2" t="str">
        <x:v>Reviewer_A</x:v>
      </x:c>
      <x:c r="F137" s="2" t="str">
        <x:v>S30-D04</x:v>
      </x:c>
      <x:c r="G137" s="6" t="str">
        <x:v>SR</x:v>
      </x:c>
      <x:c r="H137" s="6" t="str">
        <x:v>Explicit future work</x:v>
      </x:c>
      <x:c r="I137" s="6" t="str">
        <x:v>优化提示工程并基于数据微调模型，以确保查询的正确解释并减少幻觉。</x:v>
      </x:c>
      <x:c r="J137" s="2" t="str">
        <x:v>S30-L03</x:v>
      </x:c>
      <x:c r="K137" s="2" t="str">
        <x:v>Improve query interpretation accuracy and reduce hallucinations.</x:v>
      </x:c>
      <x:c r="L137" s="2" t="str">
        <x:v>NR</x:v>
      </x:c>
      <x:c r="M137" s="6" t="str">
        <x:v>NR</x:v>
      </x:c>
      <x:c r="N137" s="2" t="str">
        <x:v>Speculative</x:v>
      </x:c>
      <x:c r="O137" s="2" t="str">
        <x:v>future_work</x:v>
      </x:c>
      <x:c r="P137" s="2" t="str">
        <x:v>prompt_optimization_finetuning</x:v>
      </x:c>
      <x:c r="Q137" s="2" t="str">
        <x:v>Reliability, explainability, and human oversight</x:v>
      </x:c>
      <x:c r="R137" s="6" t="str">
        <x:v>p. 11; Section VIII, Conclusions</x:v>
      </x:c>
      <x:c r="S137" s="6" t="str">
        <x:v>to ensure that GDI interprets queries correctly, regardless of capitalization or syntactic features, and to minimize hallucinations, we aim to optimize the prompts and fine-tune the model based on the data for query generation.</x:v>
      </x:c>
      <x:c r="T137" s="6" t="str">
        <x:v>目前的系统对大小写敏感且存在幻觉，提示优化和微调有望提升鲁棒性。</x:v>
      </x:c>
      <x:c r="U137" s="2" t="str">
        <x:v>Accepted</x:v>
      </x:c>
      <x:c r="V137" s="6" t="str">
        <x:v>NA</x:v>
      </x:c>
      <x:c r="W137" s="6" t="str">
        <x:v>Empirical limitation-grounded</x:v>
      </x:c>
    </x:row>
    <x:row r="138" ht="76" customHeight="1">
      <x:c r="A138" s="2" t="str">
        <x:v>S30-FUTURE-R05</x:v>
      </x:c>
      <x:c r="B138" s="2" t="str">
        <x:v>S30</x:v>
      </x:c>
      <x:c r="C138" s="2" t="str">
        <x:v>merged_1218</x:v>
      </x:c>
      <x:c r="D138" s="2" t="str">
        <x:v>Reviewer_A</x:v>
      </x:c>
      <x:c r="E138" s="2" t="str">
        <x:v>Reviewer_A</x:v>
      </x:c>
      <x:c r="F138" s="2" t="str">
        <x:v>S30-D05</x:v>
      </x:c>
      <x:c r="G138" s="6" t="str">
        <x:v>SR</x:v>
      </x:c>
      <x:c r="H138" s="6" t="str">
        <x:v>Explicit future work</x:v>
      </x:c>
      <x:c r="I138" s="6" t="str">
        <x:v>使系统能够将先前的回答纳入上下文，以支持多轮对话。</x:v>
      </x:c>
      <x:c r="J138" s="2" t="str">
        <x:v>NR</x:v>
      </x:c>
      <x:c r="K138" s="2" t="str">
        <x:v>Missing multi-turn conversation context.</x:v>
      </x:c>
      <x:c r="L138" s="2" t="str">
        <x:v>NR</x:v>
      </x:c>
      <x:c r="M138" s="6" t="str">
        <x:v>NR</x:v>
      </x:c>
      <x:c r="N138" s="2" t="str">
        <x:v>Speculative</x:v>
      </x:c>
      <x:c r="O138" s="2" t="str">
        <x:v>future_work</x:v>
      </x:c>
      <x:c r="P138" s="2" t="str">
        <x:v>multiturn_context</x:v>
      </x:c>
      <x:c r="Q138" s="2" t="str">
        <x:v>Context, retrieval, and model adaptation</x:v>
      </x:c>
      <x:c r="R138" s="6" t="str">
        <x:v>p. 8; Section V, Pilot</x:v>
      </x:c>
      <x:c r="S138" s="6" t="str">
        <x:v>the system is currently unable to incorporate the previous responses as context. We leave these points for future work.</x:v>
      </x:c>
      <x:c r="T138" s="6" t="str">
        <x:v>当前系统为单轮问答，缺乏对话历史记忆，限制了交互的自然性。</x:v>
      </x:c>
      <x:c r="U138" s="2" t="str">
        <x:v>Accepted</x:v>
      </x:c>
      <x:c r="V138" s="6" t="str">
        <x:v>NA</x:v>
      </x:c>
      <x:c r="W138" s="6" t="str">
        <x:v>Agenda statement only</x:v>
      </x:c>
    </x:row>
    <x:row r="139" ht="76" customHeight="1">
      <x:c r="A139" s="2" t="str">
        <x:v>S31-FUTURE-R01</x:v>
      </x:c>
      <x:c r="B139" s="2" t="str">
        <x:v>S31</x:v>
      </x:c>
      <x:c r="C139" s="2" t="str">
        <x:v>merged_1219</x:v>
      </x:c>
      <x:c r="D139" s="2" t="str">
        <x:v>Reviewer_A</x:v>
      </x:c>
      <x:c r="E139" s="2" t="str">
        <x:v>Reviewer_A</x:v>
      </x:c>
      <x:c r="F139" s="2" t="str">
        <x:v>S31-D01</x:v>
      </x:c>
      <x:c r="G139" s="6" t="str">
        <x:v>SR</x:v>
      </x:c>
      <x:c r="H139" s="6" t="str">
        <x:v>Explicit future work</x:v>
      </x:c>
      <x:c r="I139" s="6" t="str">
        <x:v>引入延迟后测和基于任务的评估，以检验短期学习增益能否持续并转化为实际工程能力</x:v>
      </x:c>
      <x:c r="J139" s="2" t="str">
        <x:v>S31-L01</x:v>
      </x:c>
      <x:c r="K139" s="2" t="str">
        <x:v>短期学习效果无法证明长期留存和实际能力迁移</x:v>
      </x:c>
      <x:c r="L139" s="2" t="str">
        <x:v>NR</x:v>
      </x:c>
      <x:c r="M139" s="6" t="str">
        <x:v>NR</x:v>
      </x:c>
      <x:c r="N139" s="2" t="str">
        <x:v>Speculative</x:v>
      </x:c>
      <x:c r="O139" s="2" t="str">
        <x:v>delayed-retention</x:v>
      </x:c>
      <x:c r="P139" s="2" t="str">
        <x:v>evaluation-enhancement</x:v>
      </x:c>
      <x:c r="Q139" s="2" t="str">
        <x:v>Benchmark and measurement rigor</x:v>
      </x:c>
      <x:c r="R139" s="6" t="str">
        <x:v>p. 8; Section V-D Future Work</x:v>
      </x:c>
      <x:c r="S139" s="6" t="str">
        <x:v>incorporating delayed post-quiz and task-based evaluations would reveal whether the observed short-term gains persist and translate into real engineering competence.</x:v>
      </x:c>
      <x:c r="T139" s="6" t="str">
        <x:v>建议增加延迟测验和实际任务评估，以验证知识的长期保持和迁移效果。</x:v>
      </x:c>
      <x:c r="U139" s="2" t="str">
        <x:v>Accepted</x:v>
      </x:c>
      <x:c r="V139" s="6" t="str">
        <x:v>NA</x:v>
      </x:c>
      <x:c r="W139" s="6" t="str">
        <x:v>Reported limitation-grounded</x:v>
      </x:c>
    </x:row>
    <x:row r="140" ht="76" customHeight="1">
      <x:c r="A140" s="2" t="str">
        <x:v>S31-FUTURE-R02</x:v>
      </x:c>
      <x:c r="B140" s="2" t="str">
        <x:v>S31</x:v>
      </x:c>
      <x:c r="C140" s="2" t="str">
        <x:v>merged_1219</x:v>
      </x:c>
      <x:c r="D140" s="2" t="str">
        <x:v>Reviewer_A</x:v>
      </x:c>
      <x:c r="E140" s="2" t="str">
        <x:v>Reviewer_A</x:v>
      </x:c>
      <x:c r="F140" s="2" t="str">
        <x:v>S31-D02</x:v>
      </x:c>
      <x:c r="G140" s="6" t="str">
        <x:v>SR</x:v>
      </x:c>
      <x:c r="H140" s="6" t="str">
        <x:v>Explicit future work</x:v>
      </x:c>
      <x:c r="I140" s="6" t="str">
        <x:v>在医疗、航空、金融等其他领域复现研究，以检验方法的可移植性</x:v>
      </x:c>
      <x:c r="J140" s="2" t="str">
        <x:v>S31-L02</x:v>
      </x:c>
      <x:c r="K140" s="2" t="str">
        <x:v>当前研究局限于汽车领域，未知跨行业适用性</x:v>
      </x:c>
      <x:c r="L140" s="2" t="str">
        <x:v>NR</x:v>
      </x:c>
      <x:c r="M140" s="6" t="str">
        <x:v>NR</x:v>
      </x:c>
      <x:c r="N140" s="2" t="str">
        <x:v>Speculative</x:v>
      </x:c>
      <x:c r="O140" s="2" t="str">
        <x:v>domain-replication</x:v>
      </x:c>
      <x:c r="P140" s="2" t="str">
        <x:v>generalization</x:v>
      </x:c>
      <x:c r="Q140" s="2" t="str">
        <x:v>Broader empirical validation</x:v>
      </x:c>
      <x:c r="R140" s="6" t="str">
        <x:v>p. 8; Section V-D Future Work</x:v>
      </x:c>
      <x:c r="S140" s="6" t="str">
        <x:v>replicating the study in domains such as healthcare, aerospace, and finance would test the portability of the approach across vocabularies and regulatory regimes.</x:v>
      </x:c>
      <x:c r="T140" s="6" t="str">
        <x:v>建议跨领域复现，以评估方法在不同术语和法规环境下的适用性。</x:v>
      </x:c>
      <x:c r="U140" s="2" t="str">
        <x:v>Accepted</x:v>
      </x:c>
      <x:c r="V140" s="6" t="str">
        <x:v>NA</x:v>
      </x:c>
      <x:c r="W140" s="6" t="str">
        <x:v>Reported limitation-grounded</x:v>
      </x:c>
    </x:row>
    <x:row r="141" ht="76" customHeight="1">
      <x:c r="A141" s="2" t="str">
        <x:v>S31-FUTURE-R03</x:v>
      </x:c>
      <x:c r="B141" s="2" t="str">
        <x:v>S31</x:v>
      </x:c>
      <x:c r="C141" s="2" t="str">
        <x:v>merged_1219</x:v>
      </x:c>
      <x:c r="D141" s="2" t="str">
        <x:v>Reviewer_A</x:v>
      </x:c>
      <x:c r="E141" s="2" t="str">
        <x:v>Reviewer_A</x:v>
      </x:c>
      <x:c r="F141" s="2" t="str">
        <x:v>S31-D03</x:v>
      </x:c>
      <x:c r="G141" s="6" t="str">
        <x:v>SR</x:v>
      </x:c>
      <x:c r="H141" s="6" t="str">
        <x:v>Explicit future work</x:v>
      </x:c>
      <x:c r="I141" s="6" t="str">
        <x:v>使用多个专家文档替代单一控制文本，以控制风格差异并分离教学因素</x:v>
      </x:c>
      <x:c r="J141" s="2" t="str">
        <x:v>NR</x:v>
      </x:c>
      <x:c r="K141" s="2" t="str">
        <x:v>单一专家报告可能因个人风格干扰，无法确定教学效果来源</x:v>
      </x:c>
      <x:c r="L141" s="2" t="str">
        <x:v>NR</x:v>
      </x:c>
      <x:c r="M141" s="6" t="str">
        <x:v>NR</x:v>
      </x:c>
      <x:c r="N141" s="2" t="str">
        <x:v>Speculative</x:v>
      </x:c>
      <x:c r="O141" s="2" t="str">
        <x:v>multiple-controls</x:v>
      </x:c>
      <x:c r="P141" s="2" t="str">
        <x:v>experimental-design</x:v>
      </x:c>
      <x:c r="Q141" s="2" t="str">
        <x:v>Benchmark and measurement rigor</x:v>
      </x:c>
      <x:c r="R141" s="6" t="str">
        <x:v>p. 8; Section V-D Future Work</x:v>
      </x:c>
      <x:c r="S141" s="6" t="str">
        <x:v>replacing the single control text with multiple expert documents would control for stylistic variance and isolate the pedagogical factors behind human authorship.</x:v>
      </x:c>
      <x:c r="T141" s="6" t="str">
        <x:v>建议采用多份专家文档作为对照，以排除风格差异，更清晰地识别教学有效因素。</x:v>
      </x:c>
      <x:c r="U141" s="2" t="str">
        <x:v>Accepted</x:v>
      </x:c>
      <x:c r="V141" s="6" t="str">
        <x:v>NA</x:v>
      </x:c>
      <x:c r="W141" s="6" t="str">
        <x:v>Agenda statement only</x:v>
      </x:c>
    </x:row>
    <x:row r="142" ht="76" customHeight="1">
      <x:c r="A142" s="2" t="str">
        <x:v>S31-FUTURE-R04</x:v>
      </x:c>
      <x:c r="B142" s="2" t="str">
        <x:v>S31</x:v>
      </x:c>
      <x:c r="C142" s="2" t="str">
        <x:v>merged_1219</x:v>
      </x:c>
      <x:c r="D142" s="2" t="str">
        <x:v>Reviewer_A</x:v>
      </x:c>
      <x:c r="E142" s="2" t="str">
        <x:v>Reviewer_A</x:v>
      </x:c>
      <x:c r="F142" s="2" t="str">
        <x:v>S31-D04</x:v>
      </x:c>
      <x:c r="G142" s="6" t="str">
        <x:v>SR</x:v>
      </x:c>
      <x:c r="H142" s="6" t="str">
        <x:v>Explicit future work</x:v>
      </x:c>
      <x:c r="I142" s="6" t="str">
        <x:v>嵌入自适应用户建模，根据学习者的先前测验表现或专业角色动态调整示例、深度和术语表</x:v>
      </x:c>
      <x:c r="J142" s="2" t="str">
        <x:v>NR</x:v>
      </x:c>
      <x:c r="K142" s="2" t="str">
        <x:v>当前生成材料缺乏个性化，无法适应不同学习者的需求</x:v>
      </x:c>
      <x:c r="L142" s="2" t="str">
        <x:v>NR</x:v>
      </x:c>
      <x:c r="M142" s="6" t="str">
        <x:v>NR</x:v>
      </x:c>
      <x:c r="N142" s="2" t="str">
        <x:v>Speculative</x:v>
      </x:c>
      <x:c r="O142" s="2" t="str">
        <x:v>adaptive-personalization</x:v>
      </x:c>
      <x:c r="P142" s="2" t="str">
        <x:v>learning-enhancement</x:v>
      </x:c>
      <x:c r="Q142" s="2" t="str">
        <x:v>Reliability, explainability, and human oversight</x:v>
      </x:c>
      <x:c r="R142" s="6" t="str">
        <x:v>p. 8; Section V-D Future Work</x:v>
      </x:c>
      <x:c r="S142" s="6" t="str">
        <x:v>embedding adaptive user-modelling logic–so that examples, depth, and glossaries adjust dynamically to the learner’s prior quiz performance or professional role–could further enhance effectiveness.</x:v>
      </x:c>
      <x:c r="T142" s="6" t="str">
        <x:v>建议加入自适应机制，根据用户水平和角色动态调整内容，以进一步增强学习效果。</x:v>
      </x:c>
      <x:c r="U142" s="2" t="str">
        <x:v>Accepted</x:v>
      </x:c>
      <x:c r="V142" s="6" t="str">
        <x:v>NA</x:v>
      </x:c>
      <x:c r="W142" s="6" t="str">
        <x:v>Agenda statement only</x:v>
      </x:c>
    </x:row>
    <x:row r="143" ht="76" customHeight="1">
      <x:c r="A143" s="2" t="str">
        <x:v>S31-FUTURE-R05</x:v>
      </x:c>
      <x:c r="B143" s="2" t="str">
        <x:v>S31</x:v>
      </x:c>
      <x:c r="C143" s="2" t="str">
        <x:v>merged_1219</x:v>
      </x:c>
      <x:c r="D143" s="2" t="str">
        <x:v>Reviewer_A</x:v>
      </x:c>
      <x:c r="E143" s="2" t="str">
        <x:v>Reviewer_A</x:v>
      </x:c>
      <x:c r="F143" s="2" t="str">
        <x:v>S31-D05</x:v>
      </x:c>
      <x:c r="G143" s="6" t="str">
        <x:v>SR</x:v>
      </x:c>
      <x:c r="H143" s="6" t="str">
        <x:v>Explicit future work</x:v>
      </x:c>
      <x:c r="I143" s="6" t="str">
        <x:v>研究界面设计、出处提示和解释部件如何影响开发者信任和采纳</x:v>
      </x:c>
      <x:c r="J143" s="2" t="str">
        <x:v>NR</x:v>
      </x:c>
      <x:c r="K143" s="2" t="str">
        <x:v>生成式文档在专业环境中的安全可靠部署需要适当的设计和信任机制</x:v>
      </x:c>
      <x:c r="L143" s="2" t="str">
        <x:v>NR</x:v>
      </x:c>
      <x:c r="M143" s="6" t="str">
        <x:v>NR</x:v>
      </x:c>
      <x:c r="N143" s="2" t="str">
        <x:v>Speculative</x:v>
      </x:c>
      <x:c r="O143" s="2" t="str">
        <x:v>interface-trust</x:v>
      </x:c>
      <x:c r="P143" s="2" t="str">
        <x:v>human-factors</x:v>
      </x:c>
      <x:c r="Q143" s="2" t="str">
        <x:v>Reliability, explainability, and human oversight</x:v>
      </x:c>
      <x:c r="R143" s="6" t="str">
        <x:v>p. 8; Section V-D Future Work</x:v>
      </x:c>
      <x:c r="S143" s="6" t="str">
        <x:v>examining how interface design, provenance cues and explanation widgets affect developer trust and adoption would inform safe and responsible deployment of generative documentation in professional settings.</x:v>
      </x:c>
      <x:c r="T143" s="6" t="str">
        <x:v>建议探索界面设计和解释机制对信任与采纳的影响，以支持生成式文档的安全部署。</x:v>
      </x:c>
      <x:c r="U143" s="2" t="str">
        <x:v>Accepted</x:v>
      </x:c>
      <x:c r="V143" s="6" t="str">
        <x:v>NA</x:v>
      </x:c>
      <x:c r="W143" s="6" t="str">
        <x:v>Agenda statement only</x:v>
      </x:c>
    </x:row>
    <x:row r="144" ht="76" customHeight="1">
      <x:c r="A144" s="2" t="str">
        <x:v>S31-FUTURE-R06</x:v>
      </x:c>
      <x:c r="B144" s="2" t="str">
        <x:v>S31</x:v>
      </x:c>
      <x:c r="C144" s="2" t="str">
        <x:v>merged_1219</x:v>
      </x:c>
      <x:c r="D144" s="2" t="str">
        <x:v>Reviewer_A</x:v>
      </x:c>
      <x:c r="E144" s="2" t="str">
        <x:v>Reviewer_A</x:v>
      </x:c>
      <x:c r="F144" s="2" t="str">
        <x:v>S31-D06</x:v>
      </x:c>
      <x:c r="G144" s="6" t="str">
        <x:v>SR</x:v>
      </x:c>
      <x:c r="H144" s="6" t="str">
        <x:v>Explicit future work</x:v>
      </x:c>
      <x:c r="I144" s="6" t="str">
        <x:v>必须扩展研究以防范幻觉等常见问题</x:v>
      </x:c>
      <x:c r="J144" s="2" t="str">
        <x:v>S31-L05</x:v>
      </x:c>
      <x:c r="K144" s="2" t="str">
        <x:v>LLM可能产生幻觉，影响安全关键场景下的可靠性</x:v>
      </x:c>
      <x:c r="L144" s="2" t="str">
        <x:v>NR</x:v>
      </x:c>
      <x:c r="M144" s="6" t="str">
        <x:v>NR</x:v>
      </x:c>
      <x:c r="N144" s="2" t="str">
        <x:v>Speculative</x:v>
      </x:c>
      <x:c r="O144" s="2" t="str">
        <x:v>hallucination-safeguard</x:v>
      </x:c>
      <x:c r="P144" s="2" t="str">
        <x:v>model-reliability</x:v>
      </x:c>
      <x:c r="Q144" s="2" t="str">
        <x:v>Reliability, explainability, and human oversight</x:v>
      </x:c>
      <x:c r="R144" s="6" t="str">
        <x:v>p. 8; Section VI Conclusion</x:v>
      </x:c>
      <x:c r="S144" s="6" t="str">
        <x:v>However, the research has to be extended to safeguard against common issues such as hallucinations, which has to be considered when evaluating their practical deployment in safety-critical contexts.</x:v>
      </x:c>
      <x:c r="T144" s="6" t="str">
        <x:v>明确要求未来工作需解决幻觉问题，以保障在安全关键环境中的实际应用。</x:v>
      </x:c>
      <x:c r="U144" s="2" t="str">
        <x:v>Accepted</x:v>
      </x:c>
      <x:c r="V144" s="6" t="str">
        <x:v>NA</x:v>
      </x:c>
      <x:c r="W144" s="6" t="str">
        <x:v>Reported limitation-grounded</x:v>
      </x:c>
    </x:row>
    <x:row r="145" ht="76" customHeight="1">
      <x:c r="A145" s="2" t="str">
        <x:v>S32-FUTURE-R01</x:v>
      </x:c>
      <x:c r="B145" s="2" t="str">
        <x:v>S32</x:v>
      </x:c>
      <x:c r="C145" s="2" t="str">
        <x:v>merged_1220</x:v>
      </x:c>
      <x:c r="D145" s="2" t="str">
        <x:v>Reviewer_A</x:v>
      </x:c>
      <x:c r="E145" s="2" t="str">
        <x:v>Reviewer_A</x:v>
      </x:c>
      <x:c r="F145" s="2" t="str">
        <x:v>S32-D01</x:v>
      </x:c>
      <x:c r="G145" s="6" t="str">
        <x:v>SR</x:v>
      </x:c>
      <x:c r="H145" s="6" t="str">
        <x:v>Explicit future work</x:v>
      </x:c>
      <x:c r="I145" s="6" t="str">
        <x:v>未来将探索集成增量学习和基于NLP的同义词检测技术，以减少人工干预。</x:v>
      </x:c>
      <x:c r="J145" s="2" t="str">
        <x:v>S32-L02</x:v>
      </x:c>
      <x:c r="K145" s="2" t="str">
        <x:v>术语字典构建依赖人工，可扩展性和自动化不足。</x:v>
      </x:c>
      <x:c r="L145" s="2" t="str">
        <x:v>需要增量学习和NLP技术。</x:v>
      </x:c>
      <x:c r="M145" s="6" t="str">
        <x:v>No</x:v>
      </x:c>
      <x:c r="N145" s="2" t="str">
        <x:v>Speculative</x:v>
      </x:c>
      <x:c r="O145" s="2" t="str">
        <x:v>automate_dictionary_construction</x:v>
      </x:c>
      <x:c r="P145" s="2" t="str">
        <x:v>automation</x:v>
      </x:c>
      <x:c r="Q145" s="2" t="str">
        <x:v>Integration, evolution, and deployment</x:v>
      </x:c>
      <x:c r="R145" s="6" t="str">
        <x:v>p. 7; IV. D. Discussion</x:v>
      </x:c>
      <x:c r="S145" s="6" t="str">
        <x:v>Future improvements will explore the integration of incremental learning and NLP-based synonym detection techniques to reduce manual intervention.</x:v>
      </x:c>
      <x:c r="T145" s="6" t="str">
        <x:v>提出通过增量学习和NLP自动构建术语字典。</x:v>
      </x:c>
      <x:c r="U145" s="2" t="str">
        <x:v>Accepted</x:v>
      </x:c>
      <x:c r="V145" s="6" t="str">
        <x:v>NA</x:v>
      </x:c>
      <x:c r="W145" s="6" t="str">
        <x:v>Reported limitation-grounded</x:v>
      </x:c>
    </x:row>
    <x:row r="146" ht="76" customHeight="1">
      <x:c r="A146" s="2" t="str">
        <x:v>S32-FUTURE-R02</x:v>
      </x:c>
      <x:c r="B146" s="2" t="str">
        <x:v>S32</x:v>
      </x:c>
      <x:c r="C146" s="2" t="str">
        <x:v>merged_1220</x:v>
      </x:c>
      <x:c r="D146" s="2" t="str">
        <x:v>Reviewer_A</x:v>
      </x:c>
      <x:c r="E146" s="2" t="str">
        <x:v>Reviewer_A</x:v>
      </x:c>
      <x:c r="F146" s="2" t="str">
        <x:v>S32-D02</x:v>
      </x:c>
      <x:c r="G146" s="6" t="str">
        <x:v>SR</x:v>
      </x:c>
      <x:c r="H146" s="6" t="str">
        <x:v>Explicit future work</x:v>
      </x:c>
      <x:c r="I146" s="6" t="str">
        <x:v>未来工作将聚焦于优化提示模板、扩展训练数据，并增强领域特定术语的理解。</x:v>
      </x:c>
      <x:c r="J146" s="2" t="str">
        <x:v>NR</x:v>
      </x:c>
      <x:c r="K146" s="2" t="str">
        <x:v>提示模板、训练数据和领域术语理解有待改进。</x:v>
      </x:c>
      <x:c r="L146" s="2" t="str">
        <x:v>NR</x:v>
      </x:c>
      <x:c r="M146" s="6" t="str">
        <x:v>No</x:v>
      </x:c>
      <x:c r="N146" s="2" t="str">
        <x:v>Speculative</x:v>
      </x:c>
      <x:c r="O146" s="2" t="str">
        <x:v>improve_prompting_and_data</x:v>
      </x:c>
      <x:c r="P146" s="2" t="str">
        <x:v>method_improvement</x:v>
      </x:c>
      <x:c r="Q146" s="2" t="str">
        <x:v>Context, retrieval, and model adaptation</x:v>
      </x:c>
      <x:c r="R146" s="6" t="str">
        <x:v>p. 8; V. CONCLUSION</x:v>
      </x:c>
      <x:c r="S146" s="6" t="str">
        <x:v>Future work will focus on refining prompt templates, expanding training data, and enhancing domain-specific terminology understanding.</x:v>
      </x:c>
      <x:c r="T146" s="6" t="str">
        <x:v>未来将改进提示模板和训练数据，增强领域术语理解。</x:v>
      </x:c>
      <x:c r="U146" s="2" t="str">
        <x:v>Accepted</x:v>
      </x:c>
      <x:c r="V146" s="6" t="str">
        <x:v>NA</x:v>
      </x:c>
      <x:c r="W146" s="6" t="str">
        <x:v>Agenda statement only</x:v>
      </x:c>
    </x:row>
    <x:row r="147" ht="76" customHeight="1">
      <x:c r="A147" s="2" t="str">
        <x:v>S32-FUTURE-R03</x:v>
      </x:c>
      <x:c r="B147" s="2" t="str">
        <x:v>S32</x:v>
      </x:c>
      <x:c r="C147" s="2" t="str">
        <x:v>merged_1220</x:v>
      </x:c>
      <x:c r="D147" s="2" t="str">
        <x:v>Reviewer_A</x:v>
      </x:c>
      <x:c r="E147" s="2" t="str">
        <x:v>Reviewer_A</x:v>
      </x:c>
      <x:c r="F147" s="2" t="str">
        <x:v>S32-D03</x:v>
      </x:c>
      <x:c r="G147" s="6" t="str">
        <x:v>SR</x:v>
      </x:c>
      <x:c r="H147" s="6" t="str">
        <x:v>Explicit future work</x:v>
      </x:c>
      <x:c r="I147" s="6" t="str">
        <x:v>将寻求在多样化的案例中更广泛的应用，以验证和扩展方法的适用性。</x:v>
      </x:c>
      <x:c r="J147" s="2" t="str">
        <x:v>S32-L01</x:v>
      </x:c>
      <x:c r="K147" s="2" t="str">
        <x:v>方法的通用性和适用性需要更广泛验证。</x:v>
      </x:c>
      <x:c r="L147" s="2" t="str">
        <x:v>NR</x:v>
      </x:c>
      <x:c r="M147" s="6" t="str">
        <x:v>No</x:v>
      </x:c>
      <x:c r="N147" s="2" t="str">
        <x:v>Speculative</x:v>
      </x:c>
      <x:c r="O147" s="2" t="str">
        <x:v>large_scale_validation</x:v>
      </x:c>
      <x:c r="P147" s="2" t="str">
        <x:v>generalizability</x:v>
      </x:c>
      <x:c r="Q147" s="2" t="str">
        <x:v>Broader empirical validation</x:v>
      </x:c>
      <x:c r="R147" s="6" t="str">
        <x:v>p. 8; V. CONCLUSION</x:v>
      </x:c>
      <x:c r="S147" s="6" t="str">
        <x:v>Broader application across diverse cases will also be pursued to validate and extend the method’s applicability</x:v>
      </x:c>
      <x:c r="T147" s="6" t="str">
        <x:v>计划在更多样化的案例上应用以验证和扩展适用性。</x:v>
      </x:c>
      <x:c r="U147" s="2" t="str">
        <x:v>Accepted</x:v>
      </x:c>
      <x:c r="V147" s="6" t="str">
        <x:v>NA</x:v>
      </x:c>
      <x:c r="W147" s="6" t="str">
        <x:v>Reported limitation-grounded</x:v>
      </x:c>
    </x:row>
    <x:row r="148" ht="76" customHeight="1">
      <x:c r="A148" s="2" t="str">
        <x:v>S33-FUTURE-R01</x:v>
      </x:c>
      <x:c r="B148" s="2" t="str">
        <x:v>S33</x:v>
      </x:c>
      <x:c r="C148" s="2" t="str">
        <x:v>merged_1222</x:v>
      </x:c>
      <x:c r="D148" s="2" t="str">
        <x:v>Reviewer_A</x:v>
      </x:c>
      <x:c r="E148" s="2" t="str">
        <x:v>Reviewer_A</x:v>
      </x:c>
      <x:c r="F148" s="2" t="str">
        <x:v>S33-D01</x:v>
      </x:c>
      <x:c r="G148" s="6" t="str">
        <x:v>SR</x:v>
      </x:c>
      <x:c r="H148" s="6" t="str">
        <x:v>Explicit recommendation</x:v>
      </x:c>
      <x:c r="I148" s="6" t="str">
        <x:v>尝试使用已开发的新LLM模型以显著改善结果。</x:v>
      </x:c>
      <x:c r="J148" s="2" t="str">
        <x:v>S33-L02</x:v>
      </x:c>
      <x:c r="K148" s="2" t="str">
        <x:v>当前召回率低，整体性能可提升</x:v>
      </x:c>
      <x:c r="L148" s="2" t="str">
        <x:v>新一代LLM可用</x:v>
      </x:c>
      <x:c r="M148" s="6" t="str">
        <x:v>NR</x:v>
      </x:c>
      <x:c r="N148" s="2" t="str">
        <x:v>Speculative</x:v>
      </x:c>
      <x:c r="O148" s="2" t="str">
        <x:v>model_advancement</x:v>
      </x:c>
      <x:c r="P148" s="2" t="str">
        <x:v>Technological Advancement</x:v>
      </x:c>
      <x:c r="Q148" s="2" t="str">
        <x:v>Broader empirical validation</x:v>
      </x:c>
      <x:c r="R148" s="6" t="str">
        <x:v>p. 8; section V.B</x:v>
      </x:c>
      <x:c r="S148" s="6" t="str">
        <x:v>For example, new models of LLMs have already been developed that can significantly improve the results.</x:v>
      </x:c>
      <x:c r="T148" s="6" t="str">
        <x:v>建议采用更新、更强大的LLM来提升追踪性能，特别是召回率。</x:v>
      </x:c>
      <x:c r="U148" s="2" t="str">
        <x:v>Accepted</x:v>
      </x:c>
      <x:c r="V148" s="6" t="str">
        <x:v>NA</x:v>
      </x:c>
      <x:c r="W148" s="6" t="str">
        <x:v>Empirical limitation-grounded</x:v>
      </x:c>
    </x:row>
    <x:row r="149" ht="76" customHeight="1">
      <x:c r="A149" s="2" t="str">
        <x:v>S33-FUTURE-R02</x:v>
      </x:c>
      <x:c r="B149" s="2" t="str">
        <x:v>S33</x:v>
      </x:c>
      <x:c r="C149" s="2" t="str">
        <x:v>merged_1222</x:v>
      </x:c>
      <x:c r="D149" s="2" t="str">
        <x:v>Reviewer_A</x:v>
      </x:c>
      <x:c r="E149" s="2" t="str">
        <x:v>Reviewer_A</x:v>
      </x:c>
      <x:c r="F149" s="2" t="str">
        <x:v>S33-D02</x:v>
      </x:c>
      <x:c r="G149" s="6" t="str">
        <x:v>SR</x:v>
      </x:c>
      <x:c r="H149" s="6" t="str">
        <x:v>Explicit recommendation</x:v>
      </x:c>
      <x:c r="I149" s="6" t="str">
        <x:v>尝试其他组合变体（例如模型与配置的不同组合）。</x:v>
      </x:c>
      <x:c r="J149" s="2" t="str">
        <x:v>NR</x:v>
      </x:c>
      <x:c r="K149" s="2" t="str">
        <x:v>当前组合方式可能非最优</x:v>
      </x:c>
      <x:c r="L149" s="2" t="str">
        <x:v>NR</x:v>
      </x:c>
      <x:c r="M149" s="6" t="str">
        <x:v>NR</x:v>
      </x:c>
      <x:c r="N149" s="2" t="str">
        <x:v>Speculative</x:v>
      </x:c>
      <x:c r="O149" s="2" t="str">
        <x:v>combination_exploration</x:v>
      </x:c>
      <x:c r="P149" s="2" t="str">
        <x:v>Experimental Exploration</x:v>
      </x:c>
      <x:c r="Q149" s="2" t="str">
        <x:v>Context, retrieval, and model adaptation</x:v>
      </x:c>
      <x:c r="R149" s="6" t="str">
        <x:v>p. 8; section V.B</x:v>
      </x:c>
      <x:c r="S149" s="6" t="str">
        <x:v>It could be interesting to try out other variants of combinations.</x:v>
      </x:c>
      <x:c r="T149" s="6" t="str">
        <x:v>探索不同的模型、提示或配对模式组合，以发现更优配置。</x:v>
      </x:c>
      <x:c r="U149" s="2" t="str">
        <x:v>Accepted</x:v>
      </x:c>
      <x:c r="V149" s="6" t="str">
        <x:v>NA</x:v>
      </x:c>
      <x:c r="W149" s="6" t="str">
        <x:v>Agenda statement only</x:v>
      </x:c>
    </x:row>
    <x:row r="150" ht="76" customHeight="1">
      <x:c r="A150" s="2" t="str">
        <x:v>S33-FUTURE-R03</x:v>
      </x:c>
      <x:c r="B150" s="2" t="str">
        <x:v>S33</x:v>
      </x:c>
      <x:c r="C150" s="2" t="str">
        <x:v>merged_1222</x:v>
      </x:c>
      <x:c r="D150" s="2" t="str">
        <x:v>Reviewer_A</x:v>
      </x:c>
      <x:c r="E150" s="2" t="str">
        <x:v>Reviewer_A</x:v>
      </x:c>
      <x:c r="F150" s="2" t="str">
        <x:v>S33-D03</x:v>
      </x:c>
      <x:c r="G150" s="6" t="str">
        <x:v>SR</x:v>
      </x:c>
      <x:c r="H150" s="6" t="str">
        <x:v>Explicit recommendation</x:v>
      </x:c>
      <x:c r="I150" s="6" t="str">
        <x:v>研究其他编程语言以更好地理解不同应用领域。</x:v>
      </x:c>
      <x:c r="J150" s="2" t="str">
        <x:v>S33-L05</x:v>
      </x:c>
      <x:c r="K150" s="2" t="str">
        <x:v>当前仅评估三种语言，覆盖面窄</x:v>
      </x:c>
      <x:c r="L150" s="2" t="str">
        <x:v>获取更多语言的数据集或案例</x:v>
      </x:c>
      <x:c r="M150" s="6" t="str">
        <x:v>NR</x:v>
      </x:c>
      <x:c r="N150" s="2" t="str">
        <x:v>Speculative</x:v>
      </x:c>
      <x:c r="O150" s="2" t="str">
        <x:v>language_diversity</x:v>
      </x:c>
      <x:c r="P150" s="2" t="str">
        <x:v>Scope Expansion</x:v>
      </x:c>
      <x:c r="Q150" s="2" t="str">
        <x:v>Broader empirical validation</x:v>
      </x:c>
      <x:c r="R150" s="6" t="str">
        <x:v>p. 8; section V.B</x:v>
      </x:c>
      <x:c r="S150" s="6" t="str">
        <x:v>It is also beneficial to investigate other programming languages so that different areas of application can be better understood.</x:v>
      </x:c>
      <x:c r="T150" s="6" t="str">
        <x:v>扩展语言种类以验证LLM追踪的泛化能力，纳入脚本语言等。</x:v>
      </x:c>
      <x:c r="U150" s="2" t="str">
        <x:v>Accepted</x:v>
      </x:c>
      <x:c r="V150" s="6" t="str">
        <x:v>NA</x:v>
      </x:c>
      <x:c r="W150" s="6" t="str">
        <x:v>Reported limitation-grounded</x:v>
      </x:c>
    </x:row>
    <x:row r="151" ht="76" customHeight="1">
      <x:c r="A151" s="2" t="str">
        <x:v>S33-FUTURE-R04</x:v>
      </x:c>
      <x:c r="B151" s="2" t="str">
        <x:v>S33</x:v>
      </x:c>
      <x:c r="C151" s="2" t="str">
        <x:v>merged_1222</x:v>
      </x:c>
      <x:c r="D151" s="2" t="str">
        <x:v>Reviewer_A</x:v>
      </x:c>
      <x:c r="E151" s="2" t="str">
        <x:v>Reviewer_A</x:v>
      </x:c>
      <x:c r="F151" s="2" t="str">
        <x:v>S33-D04</x:v>
      </x:c>
      <x:c r="G151" s="6" t="str">
        <x:v>SR</x:v>
      </x:c>
      <x:c r="H151" s="6" t="str">
        <x:v>Explicit research gap</x:v>
      </x:c>
      <x:c r="I151" s="6" t="str">
        <x:v>查明LLM如何获得各种结果，以便重建决策过程。</x:v>
      </x:c>
      <x:c r="J151" s="2" t="str">
        <x:v>NR</x:v>
      </x:c>
      <x:c r="K151" s="2" t="str">
        <x:v>LLM决策黑箱，难以解释和重建追踪结果</x:v>
      </x:c>
      <x:c r="L151" s="2" t="str">
        <x:v>可解释性技术或日志机制</x:v>
      </x:c>
      <x:c r="M151" s="6" t="str">
        <x:v>NR</x:v>
      </x:c>
      <x:c r="N151" s="2" t="str">
        <x:v>Speculative</x:v>
      </x:c>
      <x:c r="O151" s="2" t="str">
        <x:v>explainability</x:v>
      </x:c>
      <x:c r="P151" s="2" t="str">
        <x:v>Interpretability</x:v>
      </x:c>
      <x:c r="Q151" s="2" t="str">
        <x:v>Reliability, explainability, and human oversight</x:v>
      </x:c>
      <x:c r="R151" s="6" t="str">
        <x:v>p. 8; section V.B</x:v>
      </x:c>
      <x:c r="S151" s="6" t="str">
        <x:v>Another important point is to find out how the various results were achieved by the LLMs. This means that it is often difficult to reconstruct the results based on the data entered.</x:v>
      </x:c>
      <x:c r="T151" s="6" t="str">
        <x:v>研究LLM追踪的可解释性，使开发者理解链接背后的推理逻辑。</x:v>
      </x:c>
      <x:c r="U151" s="2" t="str">
        <x:v>Accepted</x:v>
      </x:c>
      <x:c r="V151" s="6" t="str">
        <x:v>NA</x:v>
      </x:c>
      <x:c r="W151" s="6" t="str">
        <x:v>Agenda statement only</x:v>
      </x:c>
    </x:row>
    <x:row r="152" ht="76" customHeight="1">
      <x:c r="A152" s="2" t="str">
        <x:v>S33-FUTURE-R05</x:v>
      </x:c>
      <x:c r="B152" s="2" t="str">
        <x:v>S33</x:v>
      </x:c>
      <x:c r="C152" s="2" t="str">
        <x:v>merged_1222</x:v>
      </x:c>
      <x:c r="D152" s="2" t="str">
        <x:v>Reviewer_A</x:v>
      </x:c>
      <x:c r="E152" s="2" t="str">
        <x:v>Reviewer_A</x:v>
      </x:c>
      <x:c r="F152" s="2" t="str">
        <x:v>S33-D05</x:v>
      </x:c>
      <x:c r="G152" s="6" t="str">
        <x:v>SR</x:v>
      </x:c>
      <x:c r="H152" s="6" t="str">
        <x:v>Explicit recommendation</x:v>
      </x:c>
      <x:c r="I152" s="6" t="str">
        <x:v>改进插件及后端LLM相关部分。</x:v>
      </x:c>
      <x:c r="J152" s="2" t="str">
        <x:v>NR</x:v>
      </x:c>
      <x:c r="K152" s="2" t="str">
        <x:v>当前工具原型可能需要优化以提升实用性</x:v>
      </x:c>
      <x:c r="L152" s="2" t="str">
        <x:v>软件工程资源</x:v>
      </x:c>
      <x:c r="M152" s="6" t="str">
        <x:v>NR</x:v>
      </x:c>
      <x:c r="N152" s="2" t="str">
        <x:v>Speculative</x:v>
      </x:c>
      <x:c r="O152" s="2" t="str">
        <x:v>tool_improvement</x:v>
      </x:c>
      <x:c r="P152" s="2" t="str">
        <x:v>Tool Enhancement</x:v>
      </x:c>
      <x:c r="Q152" s="2" t="str">
        <x:v>Integration, evolution, and deployment</x:v>
      </x:c>
      <x:c r="R152" s="6" t="str">
        <x:v>p. 8; section V.B</x:v>
      </x:c>
      <x:c r="S152" s="6" t="str">
        <x:v>In addition to the improvements of the plugin and the backend around LLMs,</x:v>
      </x:c>
      <x:c r="T152" s="6" t="str">
        <x:v>增强VSCode插件的功能、稳定性与用户交互，便于实际部署。</x:v>
      </x:c>
      <x:c r="U152" s="2" t="str">
        <x:v>Accepted</x:v>
      </x:c>
      <x:c r="V152" s="6" t="str">
        <x:v>NA</x:v>
      </x:c>
      <x:c r="W152" s="6" t="str">
        <x:v>Agenda statement only</x:v>
      </x:c>
    </x:row>
    <x:row r="153" ht="76" customHeight="1">
      <x:c r="A153" s="2" t="str">
        <x:v>S33-FUTURE-R06</x:v>
      </x:c>
      <x:c r="B153" s="2" t="str">
        <x:v>S33</x:v>
      </x:c>
      <x:c r="C153" s="2" t="str">
        <x:v>merged_1222</x:v>
      </x:c>
      <x:c r="D153" s="2" t="str">
        <x:v>Reviewer_A</x:v>
      </x:c>
      <x:c r="E153" s="2" t="str">
        <x:v>Reviewer_A</x:v>
      </x:c>
      <x:c r="F153" s="2" t="str">
        <x:v>S33-D06</x:v>
      </x:c>
      <x:c r="G153" s="6" t="str">
        <x:v>SR</x:v>
      </x:c>
      <x:c r="H153" s="6" t="str">
        <x:v>Explicit future work</x:v>
      </x:c>
      <x:c r="I153" s="6" t="str">
        <x:v>开展实际案例研究以证明插件的效益。</x:v>
      </x:c>
      <x:c r="J153" s="2" t="str">
        <x:v>S33-L01</x:v>
      </x:c>
      <x:c r="K153" s="2" t="str">
        <x:v>当前为实验室评估，缺乏真实场景证据</x:v>
      </x:c>
      <x:c r="L153" s="2" t="str">
        <x:v>合作企业或真实项目</x:v>
      </x:c>
      <x:c r="M153" s="6" t="str">
        <x:v>NR</x:v>
      </x:c>
      <x:c r="N153" s="2" t="str">
        <x:v>Speculative</x:v>
      </x:c>
      <x:c r="O153" s="2" t="str">
        <x:v>case_study</x:v>
      </x:c>
      <x:c r="P153" s="2" t="str">
        <x:v>Empirical Validation</x:v>
      </x:c>
      <x:c r="Q153" s="2" t="str">
        <x:v>Broader empirical validation</x:v>
      </x:c>
      <x:c r="R153" s="6" t="str">
        <x:v>p. 8; section V.B</x:v>
      </x:c>
      <x:c r="S153" s="6" t="str">
        <x:v>a practical case study with the plugin is necessary to show the benefits</x:v>
      </x:c>
      <x:c r="T153" s="6" t="str">
        <x:v>在真实开发环境中验证插件，收集开发者反馈与效能数据。</x:v>
      </x:c>
      <x:c r="U153" s="2" t="str">
        <x:v>Accepted</x:v>
      </x:c>
      <x:c r="V153" s="6" t="str">
        <x:v>NA</x:v>
      </x:c>
      <x:c r="W153" s="6" t="str">
        <x:v>Reported limitation-grounded</x:v>
      </x:c>
    </x:row>
    <x:row r="154" ht="76" customHeight="1">
      <x:c r="A154" s="2" t="str">
        <x:v>S33-FUTURE-R07</x:v>
      </x:c>
      <x:c r="B154" s="2" t="str">
        <x:v>S33</x:v>
      </x:c>
      <x:c r="C154" s="2" t="str">
        <x:v>merged_1222</x:v>
      </x:c>
      <x:c r="D154" s="2" t="str">
        <x:v>Reviewer_A</x:v>
      </x:c>
      <x:c r="E154" s="2" t="str">
        <x:v>Reviewer_A</x:v>
      </x:c>
      <x:c r="F154" s="2" t="str">
        <x:v>S33-D07</x:v>
      </x:c>
      <x:c r="G154" s="6" t="str">
        <x:v>SR</x:v>
      </x:c>
      <x:c r="H154" s="6" t="str">
        <x:v>Explicit recommendation</x:v>
      </x:c>
      <x:c r="I154" s="6" t="str">
        <x:v>进行与人类感知的直接比较，包括在实际环境中。</x:v>
      </x:c>
      <x:c r="J154" s="2" t="str">
        <x:v>NR</x:v>
      </x:c>
      <x:c r="K154" s="2" t="str">
        <x:v>缺乏LLM与人类追踪能力的基准对比</x:v>
      </x:c>
      <x:c r="L154" s="2" t="str">
        <x:v>人工标注或专家评估</x:v>
      </x:c>
      <x:c r="M154" s="6" t="str">
        <x:v>NR</x:v>
      </x:c>
      <x:c r="N154" s="2" t="str">
        <x:v>Speculative</x:v>
      </x:c>
      <x:c r="O154" s="2" t="str">
        <x:v>human_comparison</x:v>
      </x:c>
      <x:c r="P154" s="2" t="str">
        <x:v>Benchmarking</x:v>
      </x:c>
      <x:c r="Q154" s="2" t="str">
        <x:v>Benchmark and measurement rigor</x:v>
      </x:c>
      <x:c r="R154" s="6" t="str">
        <x:v>p. 9; section VI</x:v>
      </x:c>
      <x:c r="S154" s="6" t="str">
        <x:v>it would be important to see a direct comparison with human perception, including in a direct practical environment.</x:v>
      </x:c>
      <x:c r="T154" s="6" t="str">
        <x:v>评估人类在相同任务上的表现，为LLM辅助追踪设定参考标准。</x:v>
      </x:c>
      <x:c r="U154" s="2" t="str">
        <x:v>Accepted</x:v>
      </x:c>
      <x:c r="V154" s="6" t="str">
        <x:v>NA</x:v>
      </x:c>
      <x:c r="W154" s="6" t="str">
        <x:v>Agenda statement only</x:v>
      </x:c>
    </x:row>
    <x:row r="155" ht="76" customHeight="1">
      <x:c r="A155" s="2" t="str">
        <x:v>S33-FUTURE-R08</x:v>
      </x:c>
      <x:c r="B155" s="2" t="str">
        <x:v>S33</x:v>
      </x:c>
      <x:c r="C155" s="2" t="str">
        <x:v>merged_1222</x:v>
      </x:c>
      <x:c r="D155" s="2" t="str">
        <x:v>Reviewer_A</x:v>
      </x:c>
      <x:c r="E155" s="2" t="str">
        <x:v>Reviewer_A</x:v>
      </x:c>
      <x:c r="F155" s="2" t="str">
        <x:v>S33-D08</x:v>
      </x:c>
      <x:c r="G155" s="6" t="str">
        <x:v>SR</x:v>
      </x:c>
      <x:c r="H155" s="6" t="str">
        <x:v>Explicit recommendation</x:v>
      </x:c>
      <x:c r="I155" s="6" t="str">
        <x:v>在后续研究中更详细地检查参数及其对结果的影响。</x:v>
      </x:c>
      <x:c r="J155" s="2" t="str">
        <x:v>S33-L03</x:v>
      </x:c>
      <x:c r="K155" s="2" t="str">
        <x:v>参数（如温度）的影响未量化</x:v>
      </x:c>
      <x:c r="L155" s="2" t="str">
        <x:v>控制实验设计</x:v>
      </x:c>
      <x:c r="M155" s="6" t="str">
        <x:v>NR</x:v>
      </x:c>
      <x:c r="N155" s="2" t="str">
        <x:v>Speculative</x:v>
      </x:c>
      <x:c r="O155" s="2" t="str">
        <x:v>parameter_study</x:v>
      </x:c>
      <x:c r="P155" s="2" t="str">
        <x:v>Parameter Tuning</x:v>
      </x:c>
      <x:c r="Q155" s="2" t="str">
        <x:v>Benchmark and measurement rigor</x:v>
      </x:c>
      <x:c r="R155" s="6" t="str">
        <x:v>p. 8; section V.C (Internal Validity)</x:v>
      </x:c>
      <x:c r="S155" s="6" t="str">
        <x:v>In later studies, the parameters can be examined in more detail and what influence they have on the results.</x:v>
      </x:c>
      <x:c r="T155" s="6" t="str">
        <x:v>系统研究温度、提示等参数对追踪性能的敏感性。</x:v>
      </x:c>
      <x:c r="U155" s="2" t="str">
        <x:v>Accepted</x:v>
      </x:c>
      <x:c r="V155" s="6" t="str">
        <x:v>NA</x:v>
      </x:c>
      <x:c r="W155" s="6" t="str">
        <x:v>Reported limitation-grounded</x:v>
      </x:c>
    </x:row>
    <x:row r="156" ht="76" customHeight="1">
      <x:c r="A156" s="2" t="str">
        <x:v>S34-FUTURE-R01</x:v>
      </x:c>
      <x:c r="B156" s="2" t="str">
        <x:v>S34</x:v>
      </x:c>
      <x:c r="C156" s="2" t="str">
        <x:v>merged_1224-v1</x:v>
      </x:c>
      <x:c r="D156" s="2" t="str">
        <x:v>Reviewer_A</x:v>
      </x:c>
      <x:c r="E156" s="2" t="str">
        <x:v>Reviewer_A</x:v>
      </x:c>
      <x:c r="F156" s="2" t="str">
        <x:v>S34-D01</x:v>
      </x:c>
      <x:c r="G156" s="6" t="str">
        <x:v>SR</x:v>
      </x:c>
      <x:c r="H156" s="6" t="str">
        <x:v>Explicit future work</x:v>
      </x:c>
      <x:c r="I156" s="6" t="str">
        <x:v>语义验证：开发结合专家审查、形式验证和行为测试的集成框架。</x:v>
      </x:c>
      <x:c r="J156" s="2" t="str">
        <x:v>S34-L01</x:v>
      </x:c>
      <x:c r="K156" s="2" t="str">
        <x:v>语义正确性无法自动评估</x:v>
      </x:c>
      <x:c r="L156" s="2" t="str">
        <x:v>NR</x:v>
      </x:c>
      <x:c r="M156" s="6" t="str">
        <x:v>No</x:v>
      </x:c>
      <x:c r="N156" s="2" t="str">
        <x:v>Speculative</x:v>
      </x:c>
      <x:c r="O156" s="2" t="str">
        <x:v>semantic_validation_framework</x:v>
      </x:c>
      <x:c r="P156" s="2" t="str">
        <x:v>semantic_evaluation</x:v>
      </x:c>
      <x:c r="Q156" s="2" t="str">
        <x:v>Reliability, explainability, and human oversight</x:v>
      </x:c>
      <x:c r="R156" s="6" t="str">
        <x:v>p. 32; Section 5.8</x:v>
      </x:c>
      <x:c r="S156" s="6" t="str">
        <x:v>Development of integrated frameworks combining expert review, formal verification, and behavioral testing.</x:v>
      </x:c>
      <x:c r="T156" s="6" t="str">
        <x:v>作者建议未来工作应整合多种技术来验证方法的语义正确性。</x:v>
      </x:c>
      <x:c r="U156" s="2" t="str">
        <x:v>Accepted</x:v>
      </x:c>
      <x:c r="V156" s="6" t="str">
        <x:v>NA</x:v>
      </x:c>
      <x:c r="W156" s="6" t="str">
        <x:v>Empirical limitation-grounded</x:v>
      </x:c>
    </x:row>
    <x:row r="157" ht="76" customHeight="1">
      <x:c r="A157" s="2" t="str">
        <x:v>S34-FUTURE-R02</x:v>
      </x:c>
      <x:c r="B157" s="2" t="str">
        <x:v>S34</x:v>
      </x:c>
      <x:c r="C157" s="2" t="str">
        <x:v>merged_1224-v1</x:v>
      </x:c>
      <x:c r="D157" s="2" t="str">
        <x:v>Reviewer_A</x:v>
      </x:c>
      <x:c r="E157" s="2" t="str">
        <x:v>Reviewer_A</x:v>
      </x:c>
      <x:c r="F157" s="2" t="str">
        <x:v>S34-D02</x:v>
      </x:c>
      <x:c r="G157" s="6" t="str">
        <x:v>SR</x:v>
      </x:c>
      <x:c r="H157" s="6" t="str">
        <x:v>Explicit future work</x:v>
      </x:c>
      <x:c r="I157" s="6" t="str">
        <x:v>基准创建：建立由专家验证的数据集，将自然语言规范链接到行为完整的UML模型。</x:v>
      </x:c>
      <x:c r="J157" s="2" t="str">
        <x:v>S34-L02</x:v>
      </x:c>
      <x:c r="K157" s="2" t="str">
        <x:v>缺乏标准基准数据集</x:v>
      </x:c>
      <x:c r="L157" s="2" t="str">
        <x:v>NR</x:v>
      </x:c>
      <x:c r="M157" s="6" t="str">
        <x:v>No</x:v>
      </x:c>
      <x:c r="N157" s="2" t="str">
        <x:v>Speculative</x:v>
      </x:c>
      <x:c r="O157" s="2" t="str">
        <x:v>benchmark_creation</x:v>
      </x:c>
      <x:c r="P157" s="2" t="str">
        <x:v>evaluation_resource</x:v>
      </x:c>
      <x:c r="Q157" s="2" t="str">
        <x:v>Benchmark and measurement rigor</x:v>
      </x:c>
      <x:c r="R157" s="6" t="str">
        <x:v>p. 32; Section 5.8</x:v>
      </x:c>
      <x:c r="S157" s="6" t="str">
        <x:v>Establishment of expert-validated datasets linking natural language specifications to behaviorally complete UML models.</x:v>
      </x:c>
      <x:c r="T157" s="6" t="str">
        <x:v>创建专家标注的数据集将有助于更严格的语义评估和模型比较。</x:v>
      </x:c>
      <x:c r="U157" s="2" t="str">
        <x:v>Accepted</x:v>
      </x:c>
      <x:c r="V157" s="6" t="str">
        <x:v>NA</x:v>
      </x:c>
      <x:c r="W157" s="6" t="str">
        <x:v>Empirical limitation-grounded</x:v>
      </x:c>
    </x:row>
    <x:row r="158" ht="76" customHeight="1">
      <x:c r="A158" s="2" t="str">
        <x:v>S34-FUTURE-R03</x:v>
      </x:c>
      <x:c r="B158" s="2" t="str">
        <x:v>S34</x:v>
      </x:c>
      <x:c r="C158" s="2" t="str">
        <x:v>merged_1224-v1</x:v>
      </x:c>
      <x:c r="D158" s="2" t="str">
        <x:v>Reviewer_A</x:v>
      </x:c>
      <x:c r="E158" s="2" t="str">
        <x:v>Reviewer_A</x:v>
      </x:c>
      <x:c r="F158" s="2" t="str">
        <x:v>S34-D03</x:v>
      </x:c>
      <x:c r="G158" s="6" t="str">
        <x:v>SR</x:v>
      </x:c>
      <x:c r="H158" s="6" t="str">
        <x:v>Explicit future work</x:v>
      </x:c>
      <x:c r="I158" s="6" t="str">
        <x:v>语义共识：进一步研究共识度量如何为语义验证方法提供信息和补充。</x:v>
      </x:c>
      <x:c r="J158" s="2" t="str">
        <x:v>NR</x:v>
      </x:c>
      <x:c r="K158" s="2" t="str">
        <x:v>共识与语义之间的关系未充分探索</x:v>
      </x:c>
      <x:c r="L158" s="2" t="str">
        <x:v>NR</x:v>
      </x:c>
      <x:c r="M158" s="6" t="str">
        <x:v>No</x:v>
      </x:c>
      <x:c r="N158" s="2" t="str">
        <x:v>Speculative</x:v>
      </x:c>
      <x:c r="O158" s="2" t="str">
        <x:v>consensus_for_semantics</x:v>
      </x:c>
      <x:c r="P158" s="2" t="str">
        <x:v>semantic_evaluation</x:v>
      </x:c>
      <x:c r="Q158" s="2" t="str">
        <x:v>Benchmark and measurement rigor</x:v>
      </x:c>
      <x:c r="R158" s="6" t="str">
        <x:v>p. 32; Section 5.8</x:v>
      </x:c>
      <x:c r="S158" s="6" t="str">
        <x:v>Further work should investigate how consensus measures can inform and complement semantic validation approaches.</x:v>
      </x:c>
      <x:c r="T158" s="6" t="str">
        <x:v>利用模型间的一致性作为语义质量的一个代理是值得探索的方向。</x:v>
      </x:c>
      <x:c r="U158" s="2" t="str">
        <x:v>Accepted</x:v>
      </x:c>
      <x:c r="V158" s="6" t="str">
        <x:v>NA</x:v>
      </x:c>
      <x:c r="W158" s="6" t="str">
        <x:v>Agenda statement only</x:v>
      </x:c>
    </x:row>
    <x:row r="159" ht="76" customHeight="1">
      <x:c r="A159" s="2" t="str">
        <x:v>S34-FUTURE-R04</x:v>
      </x:c>
      <x:c r="B159" s="2" t="str">
        <x:v>S34</x:v>
      </x:c>
      <x:c r="C159" s="2" t="str">
        <x:v>merged_1224-v1</x:v>
      </x:c>
      <x:c r="D159" s="2" t="str">
        <x:v>Reviewer_A</x:v>
      </x:c>
      <x:c r="E159" s="2" t="str">
        <x:v>Reviewer_A</x:v>
      </x:c>
      <x:c r="F159" s="2" t="str">
        <x:v>S34-D04</x:v>
      </x:c>
      <x:c r="G159" s="6" t="str">
        <x:v>SR</x:v>
      </x:c>
      <x:c r="H159" s="6" t="str">
        <x:v>Explicit future work</x:v>
      </x:c>
      <x:c r="I159" s="6" t="str">
        <x:v>模型增强：探索自适应提示和领域特定微调，以提高输出相关性。</x:v>
      </x:c>
      <x:c r="J159" s="2" t="str">
        <x:v>NR</x:v>
      </x:c>
      <x:c r="K159" s="2" t="str">
        <x:v>输出质量受限于当前提示策略和通用模型</x:v>
      </x:c>
      <x:c r="L159" s="2" t="str">
        <x:v>NR</x:v>
      </x:c>
      <x:c r="M159" s="6" t="str">
        <x:v>No</x:v>
      </x:c>
      <x:c r="N159" s="2" t="str">
        <x:v>Speculative</x:v>
      </x:c>
      <x:c r="O159" s="2" t="str">
        <x:v>model_enhancement</x:v>
      </x:c>
      <x:c r="P159" s="2" t="str">
        <x:v>model_improvement</x:v>
      </x:c>
      <x:c r="Q159" s="2" t="str">
        <x:v>Context, retrieval, and model adaptation</x:v>
      </x:c>
      <x:c r="R159" s="6" t="str">
        <x:v>p. 32; Section 5.8</x:v>
      </x:c>
      <x:c r="S159" s="6" t="str">
        <x:v>Exploration of adaptive prompting and domain-specific fine-tuning to improve output relevance.</x:v>
      </x:c>
      <x:c r="T159" s="6" t="str">
        <x:v>通过改进模型交互和调整可以提高方法生成的质量，这是常见的未来工作。</x:v>
      </x:c>
      <x:c r="U159" s="2" t="str">
        <x:v>Accepted</x:v>
      </x:c>
      <x:c r="V159" s="6" t="str">
        <x:v>NA</x:v>
      </x:c>
      <x:c r="W159" s="6" t="str">
        <x:v>Agenda statement only</x:v>
      </x:c>
    </x:row>
    <x:row r="160" ht="76" customHeight="1">
      <x:c r="A160" s="2" t="str">
        <x:v>S34-FUTURE-R05</x:v>
      </x:c>
      <x:c r="B160" s="2" t="str">
        <x:v>S34</x:v>
      </x:c>
      <x:c r="C160" s="2" t="str">
        <x:v>merged_1224-v1</x:v>
      </x:c>
      <x:c r="D160" s="2" t="str">
        <x:v>Reviewer_A</x:v>
      </x:c>
      <x:c r="E160" s="2" t="str">
        <x:v>Reviewer_A</x:v>
      </x:c>
      <x:c r="F160" s="2" t="str">
        <x:v>S34-D05</x:v>
      </x:c>
      <x:c r="G160" s="6" t="str">
        <x:v>SR</x:v>
      </x:c>
      <x:c r="H160" s="6" t="str">
        <x:v>Explicit future work</x:v>
      </x:c>
      <x:c r="I160" s="6" t="str">
        <x:v>混合架构：研究利用不同LLM互补优势的集成方法。</x:v>
      </x:c>
      <x:c r="J160" s="2" t="str">
        <x:v>NR</x:v>
      </x:c>
      <x:c r="K160" s="2" t="str">
        <x:v>单一模型可能无法在所有指标上最优</x:v>
      </x:c>
      <x:c r="L160" s="2" t="str">
        <x:v>NR</x:v>
      </x:c>
      <x:c r="M160" s="6" t="str">
        <x:v>No</x:v>
      </x:c>
      <x:c r="N160" s="2" t="str">
        <x:v>Speculative</x:v>
      </x:c>
      <x:c r="O160" s="2" t="str">
        <x:v>hybrid_architectures</x:v>
      </x:c>
      <x:c r="P160" s="2" t="str">
        <x:v>ensemble_methods</x:v>
      </x:c>
      <x:c r="Q160" s="2" t="str">
        <x:v>Context, retrieval, and model adaptation</x:v>
      </x:c>
      <x:c r="R160" s="6" t="str">
        <x:v>p. 32; Section 5.8</x:v>
      </x:c>
      <x:c r="S160" s="6" t="str">
        <x:v>Investigation of ensemble methods leveraging complementary strengths of diverse LLMs.</x:v>
      </x:c>
      <x:c r="T160" s="6" t="str">
        <x:v>集成多个模型可以综合优点，提高整体性能和鲁棒性。</x:v>
      </x:c>
      <x:c r="U160" s="2" t="str">
        <x:v>Accepted</x:v>
      </x:c>
      <x:c r="V160" s="6" t="str">
        <x:v>NA</x:v>
      </x:c>
      <x:c r="W160" s="6" t="str">
        <x:v>Agenda statement only</x:v>
      </x:c>
    </x:row>
    <x:row r="161" ht="76" customHeight="1">
      <x:c r="A161" s="2" t="str">
        <x:v>S34-FUTURE-R06</x:v>
      </x:c>
      <x:c r="B161" s="2" t="str">
        <x:v>S34</x:v>
      </x:c>
      <x:c r="C161" s="2" t="str">
        <x:v>merged_1224-v1</x:v>
      </x:c>
      <x:c r="D161" s="2" t="str">
        <x:v>Reviewer_A</x:v>
      </x:c>
      <x:c r="E161" s="2" t="str">
        <x:v>Reviewer_A</x:v>
      </x:c>
      <x:c r="F161" s="2" t="str">
        <x:v>S34-D06</x:v>
      </x:c>
      <x:c r="G161" s="6" t="str">
        <x:v>SR</x:v>
      </x:c>
      <x:c r="H161" s="6" t="str">
        <x:v>Explicit future work</x:v>
      </x:c>
      <x:c r="I161" s="6" t="str">
        <x:v>泛化性研究：将评估扩展到多个领域，包括安全关键系统。</x:v>
      </x:c>
      <x:c r="J161" s="2" t="str">
        <x:v>S34-L04</x:v>
      </x:c>
      <x:c r="K161" s="2" t="str">
        <x:v>当前研究局限于单一领域</x:v>
      </x:c>
      <x:c r="L161" s="2" t="str">
        <x:v>NR</x:v>
      </x:c>
      <x:c r="M161" s="6" t="str">
        <x:v>No</x:v>
      </x:c>
      <x:c r="N161" s="2" t="str">
        <x:v>Speculative</x:v>
      </x:c>
      <x:c r="O161" s="2" t="str">
        <x:v>generalizability_studies</x:v>
      </x:c>
      <x:c r="P161" s="2" t="str">
        <x:v>domain_generalization</x:v>
      </x:c>
      <x:c r="Q161" s="2" t="str">
        <x:v>Broader empirical validation</x:v>
      </x:c>
      <x:c r="R161" s="6" t="str">
        <x:v>p. 32; Section 5.8</x:v>
      </x:c>
      <x:c r="S161" s="6" t="str">
        <x:v>Extension of evaluations to multiple domains, including safety-critical systems.</x:v>
      </x:c>
      <x:c r="T161" s="6" t="str">
        <x:v>多领域评估可以验证方法的可移植性，增强外部有效性。</x:v>
      </x:c>
      <x:c r="U161" s="2" t="str">
        <x:v>Accepted</x:v>
      </x:c>
      <x:c r="V161" s="6" t="str">
        <x:v>NA</x:v>
      </x:c>
      <x:c r="W161" s="6" t="str">
        <x:v>Empirical limitation-grounded</x:v>
      </x:c>
    </x:row>
    <x:row r="162" ht="76" customHeight="1">
      <x:c r="A162" s="2" t="str">
        <x:v>S34-FUTURE-R07</x:v>
      </x:c>
      <x:c r="B162" s="2" t="str">
        <x:v>S34</x:v>
      </x:c>
      <x:c r="C162" s="2" t="str">
        <x:v>merged_1224-v1</x:v>
      </x:c>
      <x:c r="D162" s="2" t="str">
        <x:v>Reviewer_A</x:v>
      </x:c>
      <x:c r="E162" s="2" t="str">
        <x:v>Reviewer_A</x:v>
      </x:c>
      <x:c r="F162" s="2" t="str">
        <x:v>S34-D07</x:v>
      </x:c>
      <x:c r="G162" s="6" t="str">
        <x:v>SR</x:v>
      </x:c>
      <x:c r="H162" s="6" t="str">
        <x:v>Explicit future work</x:v>
      </x:c>
      <x:c r="I162" s="6" t="str">
        <x:v>人-AI协作工作流：设计将人类专业知识与AI辅助相结合的交互式细化协议。</x:v>
      </x:c>
      <x:c r="J162" s="2" t="str">
        <x:v>NR</x:v>
      </x:c>
      <x:c r="K162" s="2" t="str">
        <x:v>当前生成过程完全自动化，缺乏交互式协作</x:v>
      </x:c>
      <x:c r="L162" s="2" t="str">
        <x:v>NR</x:v>
      </x:c>
      <x:c r="M162" s="6" t="str">
        <x:v>No</x:v>
      </x:c>
      <x:c r="N162" s="2" t="str">
        <x:v>Speculative</x:v>
      </x:c>
      <x:c r="O162" s="2" t="str">
        <x:v>human_ai_collaboration</x:v>
      </x:c>
      <x:c r="P162" s="2" t="str">
        <x:v>interactive_modeling</x:v>
      </x:c>
      <x:c r="Q162" s="2" t="str">
        <x:v>Reliability, explainability, and human oversight</x:v>
      </x:c>
      <x:c r="R162" s="6" t="str">
        <x:v>p. 32; Section 5.8</x:v>
      </x:c>
      <x:c r="S162" s="6" t="str">
        <x:v>Design of interactive refinement protocols integrating human expertise with AI assistance.</x:v>
      </x:c>
      <x:c r="T162" s="6" t="str">
        <x:v>通过人机交互可以弥补自动生成的不足，提升模型质量。</x:v>
      </x:c>
      <x:c r="U162" s="2" t="str">
        <x:v>Accepted</x:v>
      </x:c>
      <x:c r="V162" s="6" t="str">
        <x:v>NA</x:v>
      </x:c>
      <x:c r="W162" s="6" t="str">
        <x:v>Agenda statement only</x:v>
      </x:c>
    </x:row>
    <x:row r="163" ht="76" customHeight="1">
      <x:c r="A163" s="2" t="str">
        <x:v>S34-FUTURE-R08</x:v>
      </x:c>
      <x:c r="B163" s="2" t="str">
        <x:v>S34</x:v>
      </x:c>
      <x:c r="C163" s="2" t="str">
        <x:v>merged_1224-v1</x:v>
      </x:c>
      <x:c r="D163" s="2" t="str">
        <x:v>Reviewer_A</x:v>
      </x:c>
      <x:c r="E163" s="2" t="str">
        <x:v>Reviewer_A</x:v>
      </x:c>
      <x:c r="F163" s="2" t="str">
        <x:v>S34-D08</x:v>
      </x:c>
      <x:c r="G163" s="6" t="str">
        <x:v>SR</x:v>
      </x:c>
      <x:c r="H163" s="6" t="str">
        <x:v>Explicit future work</x:v>
      </x:c>
      <x:c r="I163" s="6" t="str">
        <x:v>偏见缓解：开发领域特定的去偏见技术和偏见检测工具。</x:v>
      </x:c>
      <x:c r="J163" s="2" t="str">
        <x:v>NR</x:v>
      </x:c>
      <x:c r="K163" s="2" t="str">
        <x:v>LLM可能存在训练数据引入的偏见</x:v>
      </x:c>
      <x:c r="L163" s="2" t="str">
        <x:v>NR</x:v>
      </x:c>
      <x:c r="M163" s="6" t="str">
        <x:v>No</x:v>
      </x:c>
      <x:c r="N163" s="2" t="str">
        <x:v>Speculative</x:v>
      </x:c>
      <x:c r="O163" s="2" t="str">
        <x:v>bias_mitigation</x:v>
      </x:c>
      <x:c r="P163" s="2" t="str">
        <x:v>fairness</x:v>
      </x:c>
      <x:c r="Q163" s="2" t="str">
        <x:v>Reliability, explainability, and human oversight</x:v>
      </x:c>
      <x:c r="R163" s="6" t="str">
        <x:v>p. 32; Section 5.8</x:v>
      </x:c>
      <x:c r="S163" s="6" t="str">
        <x:v>Development of domain-specific debiasing techniques and bias detection tools.</x:v>
      </x:c>
      <x:c r="T163" s="6" t="str">
        <x:v>检测和减少模型偏见是负责任AI的重要方向。</x:v>
      </x:c>
      <x:c r="U163" s="2" t="str">
        <x:v>Accepted</x:v>
      </x:c>
      <x:c r="V163" s="6" t="str">
        <x:v>NA</x:v>
      </x:c>
      <x:c r="W163" s="6" t="str">
        <x:v>Agenda statement only</x:v>
      </x:c>
    </x:row>
    <x:row r="164" ht="76" customHeight="1">
      <x:c r="A164" s="2" t="str">
        <x:v>S34-FUTURE-R09</x:v>
      </x:c>
      <x:c r="B164" s="2" t="str">
        <x:v>S34</x:v>
      </x:c>
      <x:c r="C164" s="2" t="str">
        <x:v>merged_1224-v1</x:v>
      </x:c>
      <x:c r="D164" s="2" t="str">
        <x:v>Reviewer_A</x:v>
      </x:c>
      <x:c r="E164" s="2" t="str">
        <x:v>Reviewer_A</x:v>
      </x:c>
      <x:c r="F164" s="2" t="str">
        <x:v>S34-D09</x:v>
      </x:c>
      <x:c r="G164" s="6" t="str">
        <x:v>SR</x:v>
      </x:c>
      <x:c r="H164" s="6" t="str">
        <x:v>Explicit future work</x:v>
      </x:c>
      <x:c r="I164" s="6" t="str">
        <x:v>验证管道：创建集成的度量反馈系统，以持续监控和改进输出质量。</x:v>
      </x:c>
      <x:c r="J164" s="2" t="str">
        <x:v>NR</x:v>
      </x:c>
      <x:c r="K164" s="2" t="str">
        <x:v>缺乏持续的自动质量监控机制</x:v>
      </x:c>
      <x:c r="L164" s="2" t="str">
        <x:v>NR</x:v>
      </x:c>
      <x:c r="M164" s="6" t="str">
        <x:v>No</x:v>
      </x:c>
      <x:c r="N164" s="2" t="str">
        <x:v>Speculative</x:v>
      </x:c>
      <x:c r="O164" s="2" t="str">
        <x:v>validation_pipelines</x:v>
      </x:c>
      <x:c r="P164" s="2" t="str">
        <x:v>continuous_quality</x:v>
      </x:c>
      <x:c r="Q164" s="2" t="str">
        <x:v>Integration, evolution, and deployment</x:v>
      </x:c>
      <x:c r="R164" s="6" t="str">
        <x:v>p. 32; Section 5.8</x:v>
      </x:c>
      <x:c r="S164" s="6" t="str">
        <x:v>Creation of integrated metric-feedback systems to continuously monitor and improve output quality.</x:v>
      </x:c>
      <x:c r="T164" s="6" t="str">
        <x:v>将评估指标集成到开发流程中，实现自动质量巡检和迭代改进。</x:v>
      </x:c>
      <x:c r="U164" s="2" t="str">
        <x:v>Accepted</x:v>
      </x:c>
      <x:c r="V164" s="6" t="str">
        <x:v>NA</x:v>
      </x:c>
      <x:c r="W164" s="6" t="str">
        <x:v>Agenda statement only</x:v>
      </x:c>
    </x:row>
    <x:row r="165" ht="76" customHeight="1">
      <x:c r="A165" s="2" t="str">
        <x:v>S35-FUTURE-R01</x:v>
      </x:c>
      <x:c r="B165" s="2" t="str">
        <x:v>S35</x:v>
      </x:c>
      <x:c r="C165" s="2" t="str">
        <x:v>merged_1225</x:v>
      </x:c>
      <x:c r="D165" s="2" t="str">
        <x:v>Reviewer_A</x:v>
      </x:c>
      <x:c r="E165" s="2" t="str">
        <x:v>Reviewer_A</x:v>
      </x:c>
      <x:c r="F165" s="2" t="str">
        <x:v>S35-D01</x:v>
      </x:c>
      <x:c r="G165" s="6" t="str">
        <x:v>SR</x:v>
      </x:c>
      <x:c r="H165" s="6" t="str">
        <x:v>Explicit research gap</x:v>
      </x:c>
      <x:c r="I165" s="6" t="str">
        <x:v>为未来研究留下空间，以更好地与ChatGPT合作，提高其任务可理解性。</x:v>
      </x:c>
      <x:c r="J165" s="2" t="str">
        <x:v>S35-L02</x:v>
      </x:c>
      <x:c r="K165" s="2" t="str">
        <x:v>ChatGPT任务可理解性不足</x:v>
      </x:c>
      <x:c r="L165" s="2" t="str">
        <x:v>NR</x:v>
      </x:c>
      <x:c r="M165" s="6" t="str">
        <x:v>No</x:v>
      </x:c>
      <x:c r="N165" s="2" t="str">
        <x:v>Speculative</x:v>
      </x:c>
      <x:c r="O165" s="2" t="str">
        <x:v>task_understandability</x:v>
      </x:c>
      <x:c r="P165" s="2" t="str">
        <x:v>Future Work</x:v>
      </x:c>
      <x:c r="Q165" s="2" t="str">
        <x:v>Reliability, explainability, and human oversight</x:v>
      </x:c>
      <x:c r="R165" s="6" t="str">
        <x:v>p. 6; Section III-C</x:v>
      </x:c>
      <x:c r="S165" s="6" t="str">
        <x:v>leaving room for future research to better work with ChatGPT to improve its task understandability.</x:v>
      </x:c>
      <x:c r="T165" s="6" t="str">
        <x:v>明确指出未来需要提升ChatGPT在追踪任务中的可理解性，以生成更准确的功能描述。</x:v>
      </x:c>
      <x:c r="U165" s="2" t="str">
        <x:v>Accepted</x:v>
      </x:c>
      <x:c r="V165" s="6" t="str">
        <x:v>NA</x:v>
      </x:c>
      <x:c r="W165" s="6" t="str">
        <x:v>Empirical limitation-grounded</x:v>
      </x:c>
    </x:row>
    <x:row r="166" ht="76" customHeight="1">
      <x:c r="A166" s="2" t="str">
        <x:v>S35-FUTURE-R02</x:v>
      </x:c>
      <x:c r="B166" s="2" t="str">
        <x:v>S35</x:v>
      </x:c>
      <x:c r="C166" s="2" t="str">
        <x:v>merged_1225</x:v>
      </x:c>
      <x:c r="D166" s="2" t="str">
        <x:v>Reviewer_A</x:v>
      </x:c>
      <x:c r="E166" s="2" t="str">
        <x:v>Reviewer_A</x:v>
      </x:c>
      <x:c r="F166" s="2" t="str">
        <x:v>S35-D02</x:v>
      </x:c>
      <x:c r="G166" s="6" t="str">
        <x:v>SR</x:v>
      </x:c>
      <x:c r="H166" s="6" t="str">
        <x:v>Explicit future work</x:v>
      </x:c>
      <x:c r="I166" s="6" t="str">
        <x:v>试验更多提示模式。</x:v>
      </x:c>
      <x:c r="J166" s="2" t="str">
        <x:v>NR</x:v>
      </x:c>
      <x:c r="K166" s="2" t="str">
        <x:v>当前提示模式效果有限</x:v>
      </x:c>
      <x:c r="L166" s="2" t="str">
        <x:v>NR</x:v>
      </x:c>
      <x:c r="M166" s="6" t="str">
        <x:v>No</x:v>
      </x:c>
      <x:c r="N166" s="2" t="str">
        <x:v>Speculative</x:v>
      </x:c>
      <x:c r="O166" s="2" t="str">
        <x:v>prompt_patterns</x:v>
      </x:c>
      <x:c r="P166" s="2" t="str">
        <x:v>Future Work</x:v>
      </x:c>
      <x:c r="Q166" s="2" t="str">
        <x:v>Context, retrieval, and model adaptation</x:v>
      </x:c>
      <x:c r="R166" s="6" t="str">
        <x:v>p. 6; Section V</x:v>
      </x:c>
      <x:c r="S166" s="6" t="str">
        <x:v>Our future work includes experimenting more prompting patterns, performing theoretical replications [30], and using traceability to improve test coverage [31].</x:v>
      </x:c>
      <x:c r="T166" s="6" t="str">
        <x:v>计划探索多种提示工程模式以增强ChatGPT在追踪中的表现。</x:v>
      </x:c>
      <x:c r="U166" s="2" t="str">
        <x:v>Accepted</x:v>
      </x:c>
      <x:c r="V166" s="6" t="str">
        <x:v>NA</x:v>
      </x:c>
      <x:c r="W166" s="6" t="str">
        <x:v>Agenda statement only</x:v>
      </x:c>
    </x:row>
    <x:row r="167" ht="76" customHeight="1">
      <x:c r="A167" s="2" t="str">
        <x:v>S35-FUTURE-R03</x:v>
      </x:c>
      <x:c r="B167" s="2" t="str">
        <x:v>S35</x:v>
      </x:c>
      <x:c r="C167" s="2" t="str">
        <x:v>merged_1225</x:v>
      </x:c>
      <x:c r="D167" s="2" t="str">
        <x:v>Reviewer_A</x:v>
      </x:c>
      <x:c r="E167" s="2" t="str">
        <x:v>Reviewer_A</x:v>
      </x:c>
      <x:c r="F167" s="2" t="str">
        <x:v>S35-D03</x:v>
      </x:c>
      <x:c r="G167" s="6" t="str">
        <x:v>SR</x:v>
      </x:c>
      <x:c r="H167" s="6" t="str">
        <x:v>Explicit future work</x:v>
      </x:c>
      <x:c r="I167" s="6" t="str">
        <x:v>执行理论复制。</x:v>
      </x:c>
      <x:c r="J167" s="2" t="str">
        <x:v>NR</x:v>
      </x:c>
      <x:c r="K167" s="2" t="str">
        <x:v>研究结论需要重复验证</x:v>
      </x:c>
      <x:c r="L167" s="2" t="str">
        <x:v>NR</x:v>
      </x:c>
      <x:c r="M167" s="6" t="str">
        <x:v>No</x:v>
      </x:c>
      <x:c r="N167" s="2" t="str">
        <x:v>Speculative</x:v>
      </x:c>
      <x:c r="O167" s="2" t="str">
        <x:v>theoretical_replication</x:v>
      </x:c>
      <x:c r="P167" s="2" t="str">
        <x:v>Future Work</x:v>
      </x:c>
      <x:c r="Q167" s="2" t="str">
        <x:v>Benchmark and measurement rigor</x:v>
      </x:c>
      <x:c r="R167" s="6" t="str">
        <x:v>p. 6; Section V</x:v>
      </x:c>
      <x:c r="S167" s="6" t="str">
        <x:v>Our future work includes experimenting more prompting patterns, performing theoretical replications [30], and using traceability to improve test coverage [31].</x:v>
      </x:c>
      <x:c r="T167" s="6" t="str">
        <x:v>通过理论复制来验证当前案例研究的发现。</x:v>
      </x:c>
      <x:c r="U167" s="2" t="str">
        <x:v>Accepted</x:v>
      </x:c>
      <x:c r="V167" s="6" t="str">
        <x:v>NA</x:v>
      </x:c>
      <x:c r="W167" s="6" t="str">
        <x:v>Agenda statement only</x:v>
      </x:c>
    </x:row>
    <x:row r="168" ht="76" customHeight="1">
      <x:c r="A168" s="2" t="str">
        <x:v>S35-FUTURE-R04</x:v>
      </x:c>
      <x:c r="B168" s="2" t="str">
        <x:v>S35</x:v>
      </x:c>
      <x:c r="C168" s="2" t="str">
        <x:v>merged_1225</x:v>
      </x:c>
      <x:c r="D168" s="2" t="str">
        <x:v>Reviewer_A</x:v>
      </x:c>
      <x:c r="E168" s="2" t="str">
        <x:v>Reviewer_A</x:v>
      </x:c>
      <x:c r="F168" s="2" t="str">
        <x:v>S35-D04</x:v>
      </x:c>
      <x:c r="G168" s="6" t="str">
        <x:v>SR</x:v>
      </x:c>
      <x:c r="H168" s="6" t="str">
        <x:v>Explicit future work</x:v>
      </x:c>
      <x:c r="I168" s="6" t="str">
        <x:v>利用可追溯性提高测试覆盖率。</x:v>
      </x:c>
      <x:c r="J168" s="2" t="str">
        <x:v>NR</x:v>
      </x:c>
      <x:c r="K168" s="2" t="str">
        <x:v>测试覆盖率不足</x:v>
      </x:c>
      <x:c r="L168" s="2" t="str">
        <x:v>NR</x:v>
      </x:c>
      <x:c r="M168" s="6" t="str">
        <x:v>No</x:v>
      </x:c>
      <x:c r="N168" s="2" t="str">
        <x:v>Speculative</x:v>
      </x:c>
      <x:c r="O168" s="2" t="str">
        <x:v>test_coverage</x:v>
      </x:c>
      <x:c r="P168" s="2" t="str">
        <x:v>Future Work</x:v>
      </x:c>
      <x:c r="Q168" s="2" t="str">
        <x:v>Broader empirical validation</x:v>
      </x:c>
      <x:c r="R168" s="6" t="str">
        <x:v>p. 6; Section V</x:v>
      </x:c>
      <x:c r="S168" s="6" t="str">
        <x:v>Our future work includes experimenting more prompting patterns, performing theoretical replications [30], and using traceability to improve test coverage [31].</x:v>
      </x:c>
      <x:c r="T168" s="6" t="str">
        <x:v>意图利用追踪信息来增强测试覆盖，从而提高软件质量。</x:v>
      </x:c>
      <x:c r="U168" s="2" t="str">
        <x:v>Accepted</x:v>
      </x:c>
      <x:c r="V168" s="6" t="str">
        <x:v>NA</x:v>
      </x:c>
      <x:c r="W168" s="6" t="str">
        <x:v>Agenda statement only</x:v>
      </x:c>
    </x:row>
    <x:row r="169" ht="76" customHeight="1">
      <x:c r="A169" s="2" t="str">
        <x:v>S36-FUTURE-R01</x:v>
      </x:c>
      <x:c r="B169" s="2" t="str">
        <x:v>S36</x:v>
      </x:c>
      <x:c r="C169" s="2" t="str">
        <x:v>merged_1236</x:v>
      </x:c>
      <x:c r="D169" s="2" t="str">
        <x:v>Reviewer_A</x:v>
      </x:c>
      <x:c r="E169" s="2" t="str">
        <x:v>Reviewer_A</x:v>
      </x:c>
      <x:c r="F169" s="2" t="str">
        <x:v>S36-D01</x:v>
      </x:c>
      <x:c r="G169" s="6" t="str">
        <x:v>SR</x:v>
      </x:c>
      <x:c r="H169" s="6" t="str">
        <x:v>Explicit future work</x:v>
      </x:c>
      <x:c r="I169" s="6" t="str">
        <x:v>扩展解析器以支持Java、TypeScript、C#和Go等多语言。</x:v>
      </x:c>
      <x:c r="J169" s="2" t="str">
        <x:v>S36-L01</x:v>
      </x:c>
      <x:c r="K169" s="2" t="str">
        <x:v>当前仅支持Python，限制了工具的适用范围。</x:v>
      </x:c>
      <x:c r="L169" s="2" t="str">
        <x:v>extending parsers</x:v>
      </x:c>
      <x:c r="M169" s="6" t="str">
        <x:v>No</x:v>
      </x:c>
      <x:c r="N169" s="2" t="str">
        <x:v>Speculative</x:v>
      </x:c>
      <x:c r="O169" s="2" t="str">
        <x:v>MULTI_LANG</x:v>
      </x:c>
      <x:c r="P169" s="2" t="str">
        <x:v>Enhancement</x:v>
      </x:c>
      <x:c r="Q169" s="2" t="str">
        <x:v>Broader empirical validation</x:v>
      </x:c>
      <x:c r="R169" s="6" t="str">
        <x:v>p. 6; VIII. FUTURE WORK</x:v>
      </x:c>
      <x:c r="S169" s="6" t="str">
        <x:v>language support by extending parsers to Java, TypeScript,</x:v>
      </x:c>
      <x:c r="T169" s="6" t="str">
        <x:v>作者计划通过扩展解析器来支持多种编程语言，以突破Python限制。</x:v>
      </x:c>
      <x:c r="U169" s="2" t="str">
        <x:v>Accepted</x:v>
      </x:c>
      <x:c r="V169" s="6" t="str">
        <x:v>NR</x:v>
      </x:c>
      <x:c r="W169" s="6" t="str">
        <x:v>Empirical limitation-grounded</x:v>
      </x:c>
    </x:row>
    <x:row r="170" ht="76" customHeight="1">
      <x:c r="A170" s="2" t="str">
        <x:v>S36-FUTURE-R02</x:v>
      </x:c>
      <x:c r="B170" s="2" t="str">
        <x:v>S36</x:v>
      </x:c>
      <x:c r="C170" s="2" t="str">
        <x:v>merged_1236</x:v>
      </x:c>
      <x:c r="D170" s="2" t="str">
        <x:v>Reviewer_A</x:v>
      </x:c>
      <x:c r="E170" s="2" t="str">
        <x:v>Reviewer_A</x:v>
      </x:c>
      <x:c r="F170" s="2" t="str">
        <x:v>S36-D02</x:v>
      </x:c>
      <x:c r="G170" s="6" t="str">
        <x:v>SR</x:v>
      </x:c>
      <x:c r="H170" s="6" t="str">
        <x:v>Explicit future work</x:v>
      </x:c>
      <x:c r="I170" s="6" t="str">
        <x:v>实现快速修复操作，自动转换代码以解决违规。</x:v>
      </x:c>
      <x:c r="J170" s="2" t="str">
        <x:v>NR</x:v>
      </x:c>
      <x:c r="K170" s="2" t="str">
        <x:v>违规修复仍需手动，效率较低。</x:v>
      </x:c>
      <x:c r="L170" s="2" t="str">
        <x:v>NR</x:v>
      </x:c>
      <x:c r="M170" s="6" t="str">
        <x:v>No</x:v>
      </x:c>
      <x:c r="N170" s="2" t="str">
        <x:v>Speculative</x:v>
      </x:c>
      <x:c r="O170" s="2" t="str">
        <x:v>QUICK_FIX</x:v>
      </x:c>
      <x:c r="P170" s="2" t="str">
        <x:v>Feature</x:v>
      </x:c>
      <x:c r="Q170" s="2" t="str">
        <x:v>Integration, evolution, and deployment</x:v>
      </x:c>
      <x:c r="R170" s="6" t="str">
        <x:v>p. 6; VIII. FUTURE WORK</x:v>
      </x:c>
      <x:c r="S170" s="6" t="str">
        <x:v>implementation of quick fix actions for automatic code transformation to resolve violations</x:v>
      </x:c>
      <x:c r="T170" s="6" t="str">
        <x:v>计划添加自动修复功能，提升开发体验。</x:v>
      </x:c>
      <x:c r="U170" s="2" t="str">
        <x:v>Accepted</x:v>
      </x:c>
      <x:c r="V170" s="6" t="str">
        <x:v>NR</x:v>
      </x:c>
      <x:c r="W170" s="6" t="str">
        <x:v>Agenda statement only</x:v>
      </x:c>
    </x:row>
    <x:row r="171" ht="76" customHeight="1">
      <x:c r="A171" s="2" t="str">
        <x:v>S36-FUTURE-R03</x:v>
      </x:c>
      <x:c r="B171" s="2" t="str">
        <x:v>S36</x:v>
      </x:c>
      <x:c r="C171" s="2" t="str">
        <x:v>merged_1236</x:v>
      </x:c>
      <x:c r="D171" s="2" t="str">
        <x:v>Reviewer_A</x:v>
      </x:c>
      <x:c r="E171" s="2" t="str">
        <x:v>Reviewer_A</x:v>
      </x:c>
      <x:c r="F171" s="2" t="str">
        <x:v>S36-D03</x:v>
      </x:c>
      <x:c r="G171" s="6" t="str">
        <x:v>SR</x:v>
      </x:c>
      <x:c r="H171" s="6" t="str">
        <x:v>Explicit future work</x:v>
      </x:c>
      <x:c r="I171" s="6" t="str">
        <x:v>开发团队协作功能，支持共享领域模型和版本控制集成。</x:v>
      </x:c>
      <x:c r="J171" s="2" t="str">
        <x:v>NR</x:v>
      </x:c>
      <x:c r="K171" s="2" t="str">
        <x:v>目前缺乏对团队协作和版本控制的支持。</x:v>
      </x:c>
      <x:c r="L171" s="2" t="str">
        <x:v>NR</x:v>
      </x:c>
      <x:c r="M171" s="6" t="str">
        <x:v>No</x:v>
      </x:c>
      <x:c r="N171" s="2" t="str">
        <x:v>Speculative</x:v>
      </x:c>
      <x:c r="O171" s="2" t="str">
        <x:v>TEAM_COLLAB</x:v>
      </x:c>
      <x:c r="P171" s="2" t="str">
        <x:v>Feature</x:v>
      </x:c>
      <x:c r="Q171" s="2" t="str">
        <x:v>Integration, evolution, and deployment</x:v>
      </x:c>
      <x:c r="R171" s="6" t="str">
        <x:v>p. 6; VIII. FUTURE WORK</x:v>
      </x:c>
      <x:c r="S171" s="6" t="str">
        <x:v>team collaboration features with shared domain models and version control integration</x:v>
      </x:c>
      <x:c r="T171" s="6" t="str">
        <x:v>作者计划增加团队协作特性，使领域模型可在团队间共享并纳入版本控制。</x:v>
      </x:c>
      <x:c r="U171" s="2" t="str">
        <x:v>Accepted</x:v>
      </x:c>
      <x:c r="V171" s="6" t="str">
        <x:v>NR</x:v>
      </x:c>
      <x:c r="W171" s="6" t="str">
        <x:v>Agenda statement only</x:v>
      </x:c>
    </x:row>
    <x:row r="172" ht="76" customHeight="1">
      <x:c r="A172" s="2" t="str">
        <x:v>S36-FUTURE-R04</x:v>
      </x:c>
      <x:c r="B172" s="2" t="str">
        <x:v>S36</x:v>
      </x:c>
      <x:c r="C172" s="2" t="str">
        <x:v>merged_1236</x:v>
      </x:c>
      <x:c r="D172" s="2" t="str">
        <x:v>Reviewer_A</x:v>
      </x:c>
      <x:c r="E172" s="2" t="str">
        <x:v>Reviewer_A</x:v>
      </x:c>
      <x:c r="F172" s="2" t="str">
        <x:v>S36-D04</x:v>
      </x:c>
      <x:c r="G172" s="6" t="str">
        <x:v>SR</x:v>
      </x:c>
      <x:c r="H172" s="6" t="str">
        <x:v>Explicit future work</x:v>
      </x:c>
      <x:c r="I172" s="6" t="str">
        <x:v>构建指标仪表盘，追踪DDD合规趋势随时间的变化。</x:v>
      </x:c>
      <x:c r="J172" s="2" t="str">
        <x:v>NR</x:v>
      </x:c>
      <x:c r="K172" s="2" t="str">
        <x:v>缺乏对合规状况的持续监控手段。</x:v>
      </x:c>
      <x:c r="L172" s="2" t="str">
        <x:v>NR</x:v>
      </x:c>
      <x:c r="M172" s="6" t="str">
        <x:v>No</x:v>
      </x:c>
      <x:c r="N172" s="2" t="str">
        <x:v>Speculative</x:v>
      </x:c>
      <x:c r="O172" s="2" t="str">
        <x:v>METRICS_DASH</x:v>
      </x:c>
      <x:c r="P172" s="2" t="str">
        <x:v>Feature</x:v>
      </x:c>
      <x:c r="Q172" s="2" t="str">
        <x:v>Integration, evolution, and deployment</x:v>
      </x:c>
      <x:c r="R172" s="6" t="str">
        <x:v>p. 6; VIII. FUTURE WORK</x:v>
      </x:c>
      <x:c r="S172" s="6" t="str">
        <x:v>metrics dashboards for tracking DDD compliance trends over time</x:v>
      </x:c>
      <x:c r="T172" s="6" t="str">
        <x:v>作者计划提供可视化仪表盘，帮助团队监控DDD合规性趋势。</x:v>
      </x:c>
      <x:c r="U172" s="2" t="str">
        <x:v>Accepted</x:v>
      </x:c>
      <x:c r="V172" s="6" t="str">
        <x:v>NR</x:v>
      </x:c>
      <x:c r="W172" s="6" t="str">
        <x:v>Agenda statement only</x:v>
      </x:c>
    </x:row>
    <x:row r="173" ht="76" customHeight="1">
      <x:c r="A173" s="2" t="str">
        <x:v>S36-FUTURE-R05</x:v>
      </x:c>
      <x:c r="B173" s="2" t="str">
        <x:v>S36</x:v>
      </x:c>
      <x:c r="C173" s="2" t="str">
        <x:v>merged_1236</x:v>
      </x:c>
      <x:c r="D173" s="2" t="str">
        <x:v>Reviewer_A</x:v>
      </x:c>
      <x:c r="E173" s="2" t="str">
        <x:v>Reviewer_A</x:v>
      </x:c>
      <x:c r="F173" s="2" t="str">
        <x:v>S36-D05</x:v>
      </x:c>
      <x:c r="G173" s="6" t="str">
        <x:v>SR</x:v>
      </x:c>
      <x:c r="H173" s="6" t="str">
        <x:v>Explicit future work</x:v>
      </x:c>
      <x:c r="I173" s="6" t="str">
        <x:v>通过领域特定的训练开发微调模型，以提高准确性。</x:v>
      </x:c>
      <x:c r="J173" s="2" t="str">
        <x:v>NR</x:v>
      </x:c>
      <x:c r="K173" s="2" t="str">
        <x:v>当前通用模型可能在某些领域准确性不足。</x:v>
      </x:c>
      <x:c r="L173" s="2" t="str">
        <x:v>NR</x:v>
      </x:c>
      <x:c r="M173" s="6" t="str">
        <x:v>No</x:v>
      </x:c>
      <x:c r="N173" s="2" t="str">
        <x:v>Speculative</x:v>
      </x:c>
      <x:c r="O173" s="2" t="str">
        <x:v>FINE_TUNE</x:v>
      </x:c>
      <x:c r="P173" s="2" t="str">
        <x:v>Enhancement</x:v>
      </x:c>
      <x:c r="Q173" s="2" t="str">
        <x:v>Context, retrieval, and model adaptation</x:v>
      </x:c>
      <x:c r="R173" s="6" t="str">
        <x:v>p. 6; VIII. FUTURE WORK</x:v>
      </x:c>
      <x:c r="S173" s="6" t="str">
        <x:v>DDD compliance trends over time, development of finetuned models through domain-specific training for improved</x:v>
      </x:c>
      <x:c r="T173" s="6" t="str">
        <x:v>作者计划通过领域微调提升模型准确率。</x:v>
      </x:c>
      <x:c r="U173" s="2" t="str">
        <x:v>Accepted</x:v>
      </x:c>
      <x:c r="V173" s="6" t="str">
        <x:v>NR</x:v>
      </x:c>
      <x:c r="W173" s="6" t="str">
        <x:v>Agenda statement only</x:v>
      </x:c>
    </x:row>
    <x:row r="174" ht="76" customHeight="1">
      <x:c r="A174" s="2" t="str">
        <x:v>S36-FUTURE-R06</x:v>
      </x:c>
      <x:c r="B174" s="2" t="str">
        <x:v>S36</x:v>
      </x:c>
      <x:c r="C174" s="2" t="str">
        <x:v>merged_1236</x:v>
      </x:c>
      <x:c r="D174" s="2" t="str">
        <x:v>Reviewer_A</x:v>
      </x:c>
      <x:c r="E174" s="2" t="str">
        <x:v>Reviewer_A</x:v>
      </x:c>
      <x:c r="F174" s="2" t="str">
        <x:v>S36-D06</x:v>
      </x:c>
      <x:c r="G174" s="6" t="str">
        <x:v>SR</x:v>
      </x:c>
      <x:c r="H174" s="6" t="str">
        <x:v>Explicit future work</x:v>
      </x:c>
      <x:c r="I174" s="6" t="str">
        <x:v>集成Graph-RAG以提取知识图谱，捕获复杂的领域关系和依赖。</x:v>
      </x:c>
      <x:c r="J174" s="2" t="str">
        <x:v>S36-L05</x:v>
      </x:c>
      <x:c r="K174" s="2" t="str">
        <x:v>RAG检索有时无法定位准确的上下文定义。</x:v>
      </x:c>
      <x:c r="L174" s="2" t="str">
        <x:v>NR</x:v>
      </x:c>
      <x:c r="M174" s="6" t="str">
        <x:v>No</x:v>
      </x:c>
      <x:c r="N174" s="2" t="str">
        <x:v>Speculative</x:v>
      </x:c>
      <x:c r="O174" s="2" t="str">
        <x:v>GRAPH_RAG</x:v>
      </x:c>
      <x:c r="P174" s="2" t="str">
        <x:v>Enhancement</x:v>
      </x:c>
      <x:c r="Q174" s="2" t="str">
        <x:v>Context, retrieval, and model adaptation</x:v>
      </x:c>
      <x:c r="R174" s="6" t="str">
        <x:v>p. 6; VIII. FUTURE WORK</x:v>
      </x:c>
      <x:c r="S174" s="6" t="str">
        <x:v>Graph-RAG integration for knowledge graph extraction that can capture complex domain relationships and dependencies.</x:v>
      </x:c>
      <x:c r="T174" s="6" t="str">
        <x:v>作者计划引入Graph-RAG以提高对复杂领域关系的理解，改善源追溯效果。</x:v>
      </x:c>
      <x:c r="U174" s="2" t="str">
        <x:v>Accepted</x:v>
      </x:c>
      <x:c r="V174" s="6" t="str">
        <x:v>NR</x:v>
      </x:c>
      <x:c r="W174" s="6" t="str">
        <x:v>Empirical limitation-grounded</x:v>
      </x:c>
    </x:row>
    <x:row r="175" ht="76" customHeight="1">
      <x:c r="A175" s="2" t="str">
        <x:v>S36-FUTURE-R07</x:v>
      </x:c>
      <x:c r="B175" s="2" t="str">
        <x:v>S36</x:v>
      </x:c>
      <x:c r="C175" s="2" t="str">
        <x:v>merged_1236</x:v>
      </x:c>
      <x:c r="D175" s="2" t="str">
        <x:v>Reviewer_A</x:v>
      </x:c>
      <x:c r="E175" s="2" t="str">
        <x:v>Reviewer_A</x:v>
      </x:c>
      <x:c r="F175" s="2" t="str">
        <x:v>S36-D07</x:v>
      </x:c>
      <x:c r="G175" s="6" t="str">
        <x:v>SR</x:v>
      </x:c>
      <x:c r="H175" s="6" t="str">
        <x:v>Explicit recommendation</x:v>
      </x:c>
      <x:c r="I175" s="6" t="str">
        <x:v>增强有界上下文关系的元数据标记，可能通过基于图的检索策略。</x:v>
      </x:c>
      <x:c r="J175" s="2" t="str">
        <x:v>S36-L05</x:v>
      </x:c>
      <x:c r="K175" s="2" t="str">
        <x:v>上下文边界违规检索常返回通用架构章节而非具体上下文定义。</x:v>
      </x:c>
      <x:c r="L175" s="2" t="str">
        <x:v>NR</x:v>
      </x:c>
      <x:c r="M175" s="6" t="str">
        <x:v>No</x:v>
      </x:c>
      <x:c r="N175" s="2" t="str">
        <x:v>Speculative</x:v>
      </x:c>
      <x:c r="O175" s="2" t="str">
        <x:v>ENH_META_RET</x:v>
      </x:c>
      <x:c r="P175" s="2" t="str">
        <x:v>Improvement</x:v>
      </x:c>
      <x:c r="Q175" s="2" t="str">
        <x:v>Context, retrieval, and model adaptation</x:v>
      </x:c>
      <x:c r="R175" s="6" t="str">
        <x:v>p. 4; V. EVALUATION, D. RAG Source Retrieval</x:v>
      </x:c>
      <x:c r="S175" s="6" t="str">
        <x:v>future improvements should focus on enhanced metadata tagging for bounded context relationships, potentially through graph-based retrieval strategies.</x:v>
      </x:c>
      <x:c r="T175" s="6" t="str">
        <x:v>作者建议通过改进元数据标记和基于图的检索策略来提升上下文违规源追溯的准确性。</x:v>
      </x:c>
      <x:c r="U175" s="2" t="str">
        <x:v>Accepted</x:v>
      </x:c>
      <x:c r="V175" s="6" t="str">
        <x:v>NR</x:v>
      </x:c>
      <x:c r="W175" s="6" t="str">
        <x:v>Empirical limitation-grounded</x:v>
      </x:c>
    </x:row>
    <x:row r="176" ht="76" customHeight="1">
      <x:c r="A176" s="2" t="str">
        <x:v>S37-FUTURE-R01</x:v>
      </x:c>
      <x:c r="B176" s="2" t="str">
        <x:v>S37</x:v>
      </x:c>
      <x:c r="C176" s="2" t="str">
        <x:v>merged_1238</x:v>
      </x:c>
      <x:c r="D176" s="2" t="str">
        <x:v>Reviewer_A</x:v>
      </x:c>
      <x:c r="E176" s="2" t="str">
        <x:v>Reviewer_A</x:v>
      </x:c>
      <x:c r="F176" s="2" t="str">
        <x:v>S37-D01</x:v>
      </x:c>
      <x:c r="G176" s="6" t="str">
        <x:v>SR</x:v>
      </x:c>
      <x:c r="H176" s="6" t="str">
        <x:v>Explicit future work</x:v>
      </x:c>
      <x:c r="I176" s="6" t="str">
        <x:v>在后续研究中，将研究需求的行为验证方法和标准。</x:v>
      </x:c>
      <x:c r="J176" s="2" t="str">
        <x:v>S37-L01</x:v>
      </x:c>
      <x:c r="K176" s="2" t="str">
        <x:v>需求行为验证方法和标准</x:v>
      </x:c>
      <x:c r="L176" s="2" t="str">
        <x:v>Unclear</x:v>
      </x:c>
      <x:c r="M176" s="6" t="str">
        <x:v>No</x:v>
      </x:c>
      <x:c r="N176" s="2" t="str">
        <x:v>Speculative</x:v>
      </x:c>
      <x:c r="O176" s="2" t="str">
        <x:v>verification_methods</x:v>
      </x:c>
      <x:c r="P176" s="2" t="str">
        <x:v>future_verification</x:v>
      </x:c>
      <x:c r="Q176" s="2" t="str">
        <x:v>Reliability, explainability, and human oversight</x:v>
      </x:c>
      <x:c r="R176" s="6" t="str">
        <x:v>p. 27; Section 6</x:v>
      </x:c>
      <x:c r="S176" s="6" t="str">
        <x:v>the behavior verification methods and standards of requirements will be investigated in the follow-up study.</x:v>
      </x:c>
      <x:c r="T176" s="6" t="str">
        <x:v>作者计划在后续研究中研究需求行为验证方法和标准，以补充当前工作的不足。</x:v>
      </x:c>
      <x:c r="U176" s="2" t="str">
        <x:v>Accepted</x:v>
      </x:c>
      <x:c r="V176" s="6" t="str">
        <x:v>NA</x:v>
      </x:c>
      <x:c r="W176" s="6" t="str">
        <x:v>Reported limitation-grounded</x:v>
      </x:c>
    </x:row>
    <x:row r="177" ht="76" customHeight="1">
      <x:c r="A177" s="2" t="str">
        <x:v>S38-FUTURE-R01</x:v>
      </x:c>
      <x:c r="B177" s="2" t="str">
        <x:v>S38</x:v>
      </x:c>
      <x:c r="C177" s="2" t="str">
        <x:v>merged_1241</x:v>
      </x:c>
      <x:c r="D177" s="2" t="str">
        <x:v>Reviewer_A</x:v>
      </x:c>
      <x:c r="E177" s="2" t="str">
        <x:v>Reviewer_A</x:v>
      </x:c>
      <x:c r="F177" s="2" t="str">
        <x:v>S38-D01</x:v>
      </x:c>
      <x:c r="G177" s="6" t="str">
        <x:v>SR</x:v>
      </x:c>
      <x:c r="H177" s="6" t="str">
        <x:v>Explicit future work</x:v>
      </x:c>
      <x:c r="I177" s="6" t="str">
        <x:v>探索LLM输出重排序，以利用多候选生成的优势。</x:v>
      </x:c>
      <x:c r="J177" s="2" t="str">
        <x:v>S38-L03</x:v>
      </x:c>
      <x:c r="K177" s="2" t="str">
        <x:v>当前使用的@1指标忽略了多候选生成的潜力，可能无法捕获最佳输出。</x:v>
      </x:c>
      <x:c r="L177" s="2" t="str">
        <x:v>NR</x:v>
      </x:c>
      <x:c r="M177" s="6" t="str">
        <x:v>No</x:v>
      </x:c>
      <x:c r="N177" s="2" t="str">
        <x:v>Speculative</x:v>
      </x:c>
      <x:c r="O177" s="2" t="str">
        <x:v>output_reranking</x:v>
      </x:c>
      <x:c r="P177" s="2" t="str">
        <x:v>future_work</x:v>
      </x:c>
      <x:c r="Q177" s="2" t="str">
        <x:v>Context, retrieval, and model adaptation</x:v>
      </x:c>
      <x:c r="R177" s="6" t="str">
        <x:v>p. 20; Section 6 Threats to Validity, Construct validity.</x:v>
      </x:c>
      <x:c r="S177" s="6" t="str">
        <x:v>As future work, we plan to explore LLM output reranking.</x:v>
      </x:c>
      <x:c r="T177" s="6" t="str">
        <x:v>未来工作：计划探索LLM输出重排序技术，以改进评估指标。</x:v>
      </x:c>
      <x:c r="U177" s="2" t="str">
        <x:v>Accepted</x:v>
      </x:c>
      <x:c r="V177" s="6" t="str">
        <x:v>NA</x:v>
      </x:c>
      <x:c r="W177" s="6" t="str">
        <x:v>Reported limitation-grounded</x:v>
      </x:c>
    </x:row>
    <x:row r="178" ht="76" customHeight="1">
      <x:c r="A178" s="2" t="str">
        <x:v>S39-FUTURE-R01</x:v>
      </x:c>
      <x:c r="B178" s="2" t="str">
        <x:v>S39</x:v>
      </x:c>
      <x:c r="C178" s="2" t="str">
        <x:v>merged_1245</x:v>
      </x:c>
      <x:c r="D178" s="2" t="str">
        <x:v>Reviewer_A</x:v>
      </x:c>
      <x:c r="E178" s="2" t="str">
        <x:v>Reviewer_A</x:v>
      </x:c>
      <x:c r="F178" s="2" t="str">
        <x:v>S39-D01</x:v>
      </x:c>
      <x:c r="G178" s="6" t="str">
        <x:v>SR</x:v>
      </x:c>
      <x:c r="H178" s="6" t="str">
        <x:v>Explicit future work</x:v>
      </x:c>
      <x:c r="I178" s="6" t="str">
        <x:v>获取用于实验的数据集，包括来自真实系统的需求和标注的异味。</x:v>
      </x:c>
      <x:c r="J178" s="2" t="str">
        <x:v>NR</x:v>
      </x:c>
      <x:c r="K178" s="2" t="str">
        <x:v>为实验提供真实需求数据</x:v>
      </x:c>
      <x:c r="L178" s="2" t="str">
        <x:v>NR</x:v>
      </x:c>
      <x:c r="M178" s="6" t="str">
        <x:v>NR</x:v>
      </x:c>
      <x:c r="N178" s="2" t="str">
        <x:v>Speculative</x:v>
      </x:c>
      <x:c r="O178" s="2" t="str">
        <x:v>dataset_acquisition</x:v>
      </x:c>
      <x:c r="P178" s="2" t="str">
        <x:v>data_collection</x:v>
      </x:c>
      <x:c r="Q178" s="2" t="str">
        <x:v>Broader empirical validation</x:v>
      </x:c>
      <x:c r="R178" s="6" t="str">
        <x:v>p. 4; Section VI-A (Year 1 ongoing)</x:v>
      </x:c>
      <x:c r="S178" s="6" t="str">
        <x:v>Acquiring datasets for use in the experiments, including requirements from real-world systems, and annotations marking the included smells.</x:v>
      </x:c>
      <x:c r="T178" s="6" t="str">
        <x:v>作者计划获取真实系统的需求数据集及异味标注，用于后续实验。</x:v>
      </x:c>
      <x:c r="U178" s="2" t="str">
        <x:v>Accepted</x:v>
      </x:c>
      <x:c r="V178" s="6" t="str">
        <x:v>NA</x:v>
      </x:c>
      <x:c r="W178" s="6" t="str">
        <x:v>Agenda statement only</x:v>
      </x:c>
    </x:row>
    <x:row r="179" ht="76" customHeight="1">
      <x:c r="A179" s="2" t="str">
        <x:v>S39-FUTURE-R02</x:v>
      </x:c>
      <x:c r="B179" s="2" t="str">
        <x:v>S39</x:v>
      </x:c>
      <x:c r="C179" s="2" t="str">
        <x:v>merged_1245</x:v>
      </x:c>
      <x:c r="D179" s="2" t="str">
        <x:v>Reviewer_A</x:v>
      </x:c>
      <x:c r="E179" s="2" t="str">
        <x:v>Reviewer_A</x:v>
      </x:c>
      <x:c r="F179" s="2" t="str">
        <x:v>S39-D02</x:v>
      </x:c>
      <x:c r="G179" s="6" t="str">
        <x:v>SR</x:v>
      </x:c>
      <x:c r="H179" s="6" t="str">
        <x:v>Explicit future work</x:v>
      </x:c>
      <x:c r="I179" s="6" t="str">
        <x:v>设计关于RQ1的进一步实验，调查需求异味对其他软件工程任务的影响。</x:v>
      </x:c>
      <x:c r="J179" s="2" t="str">
        <x:v>NR</x:v>
      </x:c>
      <x:c r="K179" s="2" t="str">
        <x:v>将RQ1的调查扩展到其他SE任务</x:v>
      </x:c>
      <x:c r="L179" s="2" t="str">
        <x:v>NR</x:v>
      </x:c>
      <x:c r="M179" s="6" t="str">
        <x:v>No</x:v>
      </x:c>
      <x:c r="N179" s="2" t="str">
        <x:v>Speculative</x:v>
      </x:c>
      <x:c r="O179" s="2" t="str">
        <x:v>experiments_other_tasks</x:v>
      </x:c>
      <x:c r="P179" s="2" t="str">
        <x:v>extended_impact_study</x:v>
      </x:c>
      <x:c r="Q179" s="2" t="str">
        <x:v>Broader empirical validation</x:v>
      </x:c>
      <x:c r="R179" s="6" t="str">
        <x:v>p. 4; Section VI-A (Year 1 ongoing)</x:v>
      </x:c>
      <x:c r="S179" s="6" t="str">
        <x:v>Designing further experiments regarding RQ1, investigating the impact of requirements smells on other SE tasks.</x:v>
      </x:c>
      <x:c r="T179" s="6" t="str">
        <x:v>作者计划设计更多实验来研究需求异味对其他软件工程任务的影响。</x:v>
      </x:c>
      <x:c r="U179" s="2" t="str">
        <x:v>Accepted</x:v>
      </x:c>
      <x:c r="V179" s="6" t="str">
        <x:v>NA</x:v>
      </x:c>
      <x:c r="W179" s="6" t="str">
        <x:v>Agenda statement only</x:v>
      </x:c>
    </x:row>
    <x:row r="180" ht="76" customHeight="1">
      <x:c r="A180" s="2" t="str">
        <x:v>S39-FUTURE-R03</x:v>
      </x:c>
      <x:c r="B180" s="2" t="str">
        <x:v>S39</x:v>
      </x:c>
      <x:c r="C180" s="2" t="str">
        <x:v>merged_1245</x:v>
      </x:c>
      <x:c r="D180" s="2" t="str">
        <x:v>Reviewer_A</x:v>
      </x:c>
      <x:c r="E180" s="2" t="str">
        <x:v>Reviewer_A</x:v>
      </x:c>
      <x:c r="F180" s="2" t="str">
        <x:v>S39-D03</x:v>
      </x:c>
      <x:c r="G180" s="6" t="str">
        <x:v>SR</x:v>
      </x:c>
      <x:c r="H180" s="6" t="str">
        <x:v>Explicit future work</x:v>
      </x:c>
      <x:c r="I180" s="6" t="str">
        <x:v>进行RQ2的实验分析，研究每种异味类型和类别对LLM性能的影响。</x:v>
      </x:c>
      <x:c r="J180" s="2" t="str">
        <x:v>NR</x:v>
      </x:c>
      <x:c r="K180" s="2" t="str">
        <x:v>确定哪种异味类型对LLM性能影响最大</x:v>
      </x:c>
      <x:c r="L180" s="2" t="str">
        <x:v>NR</x:v>
      </x:c>
      <x:c r="M180" s="6" t="str">
        <x:v>NR</x:v>
      </x:c>
      <x:c r="N180" s="2" t="str">
        <x:v>Speculative</x:v>
      </x:c>
      <x:c r="O180" s="2" t="str">
        <x:v>rq2_experiment</x:v>
      </x:c>
      <x:c r="P180" s="2" t="str">
        <x:v>smell_type_analysis</x:v>
      </x:c>
      <x:c r="Q180" s="2" t="str">
        <x:v>Benchmark and measurement rigor</x:v>
      </x:c>
      <x:c r="R180" s="6" t="str">
        <x:v>p. 4; Section VI-B (Year 2)</x:v>
      </x:c>
      <x:c r="S180" s="6" t="str">
        <x:v>Conducting the experimental analysis for RQ2, investigating the per-type and per-category impact of smells.</x:v>
      </x:c>
      <x:c r="T180" s="6" t="str">
        <x:v>作者计划在第二年进行RQ2的实验分析，以了解每种异味类型和类别对LLM性能的影响。</x:v>
      </x:c>
      <x:c r="U180" s="2" t="str">
        <x:v>Accepted</x:v>
      </x:c>
      <x:c r="V180" s="6" t="str">
        <x:v>NA</x:v>
      </x:c>
      <x:c r="W180" s="6" t="str">
        <x:v>Agenda statement only</x:v>
      </x:c>
    </x:row>
    <x:row r="181" ht="76" customHeight="1">
      <x:c r="A181" s="2" t="str">
        <x:v>S39-FUTURE-R04</x:v>
      </x:c>
      <x:c r="B181" s="2" t="str">
        <x:v>S39</x:v>
      </x:c>
      <x:c r="C181" s="2" t="str">
        <x:v>merged_1245</x:v>
      </x:c>
      <x:c r="D181" s="2" t="str">
        <x:v>Reviewer_A</x:v>
      </x:c>
      <x:c r="E181" s="2" t="str">
        <x:v>Reviewer_A</x:v>
      </x:c>
      <x:c r="F181" s="2" t="str">
        <x:v>S39-D04</x:v>
      </x:c>
      <x:c r="G181" s="6" t="str">
        <x:v>SR</x:v>
      </x:c>
      <x:c r="H181" s="6" t="str">
        <x:v>Explicit future work</x:v>
      </x:c>
      <x:c r="I181" s="6" t="str">
        <x:v>开发并评估使用LLM的自动化异味检测策略（RQ3）。</x:v>
      </x:c>
      <x:c r="J181" s="2" t="str">
        <x:v>S39-L01</x:v>
      </x:c>
      <x:c r="K181" s="2" t="str">
        <x:v>实现自动化检测需求异味</x:v>
      </x:c>
      <x:c r="L181" s="2" t="str">
        <x:v>NR</x:v>
      </x:c>
      <x:c r="M181" s="6" t="str">
        <x:v>NR</x:v>
      </x:c>
      <x:c r="N181" s="2" t="str">
        <x:v>Speculative</x:v>
      </x:c>
      <x:c r="O181" s="2" t="str">
        <x:v>smell_detection_development</x:v>
      </x:c>
      <x:c r="P181" s="2" t="str">
        <x:v>automated_detection</x:v>
      </x:c>
      <x:c r="Q181" s="2" t="str">
        <x:v>Integration, evolution, and deployment</x:v>
      </x:c>
      <x:c r="R181" s="6" t="str">
        <x:v>p. 4; Section VI-B (Year 2)</x:v>
      </x:c>
      <x:c r="S181" s="6" t="str">
        <x:v>Developing and evaluating automated smell detection strategies using LLMs (RQ3).</x:v>
      </x:c>
      <x:c r="T181" s="6" t="str">
        <x:v>作者计划开发并评估使用大语言模型的自动化异味检测策略。</x:v>
      </x:c>
      <x:c r="U181" s="2" t="str">
        <x:v>Accepted</x:v>
      </x:c>
      <x:c r="V181" s="6" t="str">
        <x:v>This may address the overlapping smell challenge (L1).</x:v>
      </x:c>
      <x:c r="W181" s="6" t="str">
        <x:v>Reported limitation-grounded</x:v>
      </x:c>
    </x:row>
    <x:row r="182" ht="76" customHeight="1">
      <x:c r="A182" s="2" t="str">
        <x:v>S39-FUTURE-R05</x:v>
      </x:c>
      <x:c r="B182" s="2" t="str">
        <x:v>S39</x:v>
      </x:c>
      <x:c r="C182" s="2" t="str">
        <x:v>merged_1245</x:v>
      </x:c>
      <x:c r="D182" s="2" t="str">
        <x:v>Reviewer_A</x:v>
      </x:c>
      <x:c r="E182" s="2" t="str">
        <x:v>Reviewer_A</x:v>
      </x:c>
      <x:c r="F182" s="2" t="str">
        <x:v>S39-D05</x:v>
      </x:c>
      <x:c r="G182" s="6" t="str">
        <x:v>SR</x:v>
      </x:c>
      <x:c r="H182" s="6" t="str">
        <x:v>Explicit future work</x:v>
      </x:c>
      <x:c r="I182" s="6" t="str">
        <x:v>比较不同模型和提示策略下的模型性能。</x:v>
      </x:c>
      <x:c r="J182" s="2" t="str">
        <x:v>NR</x:v>
      </x:c>
      <x:c r="K182" s="2" t="str">
        <x:v>确定最佳的模型和提示策略用于异味检测</x:v>
      </x:c>
      <x:c r="L182" s="2" t="str">
        <x:v>NR</x:v>
      </x:c>
      <x:c r="M182" s="6" t="str">
        <x:v>NR</x:v>
      </x:c>
      <x:c r="N182" s="2" t="str">
        <x:v>Speculative</x:v>
      </x:c>
      <x:c r="O182" s="2" t="str">
        <x:v>model_comparison</x:v>
      </x:c>
      <x:c r="P182" s="2" t="str">
        <x:v>model_evaluation</x:v>
      </x:c>
      <x:c r="Q182" s="2" t="str">
        <x:v>Benchmark and measurement rigor</x:v>
      </x:c>
      <x:c r="R182" s="6" t="str">
        <x:v>p. 4; Section VI-B (Year 2 sub of RQ3)</x:v>
      </x:c>
      <x:c r="S182" s="6" t="str">
        <x:v>Comparing model performance across different models, using different prompt strategies.</x:v>
      </x:c>
      <x:c r="T182" s="6" t="str">
        <x:v>作者计划比较不同模型和不同提示策略的检测性能。</x:v>
      </x:c>
      <x:c r="U182" s="2" t="str">
        <x:v>Accepted</x:v>
      </x:c>
      <x:c r="V182" s="6" t="str">
        <x:v>NA</x:v>
      </x:c>
      <x:c r="W182" s="6" t="str">
        <x:v>Agenda statement only</x:v>
      </x:c>
    </x:row>
    <x:row r="183" ht="76" customHeight="1">
      <x:c r="A183" s="2" t="str">
        <x:v>S39-FUTURE-R06</x:v>
      </x:c>
      <x:c r="B183" s="2" t="str">
        <x:v>S39</x:v>
      </x:c>
      <x:c r="C183" s="2" t="str">
        <x:v>merged_1245</x:v>
      </x:c>
      <x:c r="D183" s="2" t="str">
        <x:v>Reviewer_A</x:v>
      </x:c>
      <x:c r="E183" s="2" t="str">
        <x:v>Reviewer_A</x:v>
      </x:c>
      <x:c r="F183" s="2" t="str">
        <x:v>S39-D06</x:v>
      </x:c>
      <x:c r="G183" s="6" t="str">
        <x:v>SR</x:v>
      </x:c>
      <x:c r="H183" s="6" t="str">
        <x:v>Explicit future work</x:v>
      </x:c>
      <x:c r="I183" s="6" t="str">
        <x:v>建立度量标准以衡量检测质量。</x:v>
      </x:c>
      <x:c r="J183" s="2" t="str">
        <x:v>NR</x:v>
      </x:c>
      <x:c r="K183" s="2" t="str">
        <x:v>需要一个基准度量来评估检测方法</x:v>
      </x:c>
      <x:c r="L183" s="2" t="str">
        <x:v>NR</x:v>
      </x:c>
      <x:c r="M183" s="6" t="str">
        <x:v>NR</x:v>
      </x:c>
      <x:c r="N183" s="2" t="str">
        <x:v>Speculative</x:v>
      </x:c>
      <x:c r="O183" s="2" t="str">
        <x:v>metric_development</x:v>
      </x:c>
      <x:c r="P183" s="2" t="str">
        <x:v>evaluation_metric</x:v>
      </x:c>
      <x:c r="Q183" s="2" t="str">
        <x:v>Benchmark and measurement rigor</x:v>
      </x:c>
      <x:c r="R183" s="6" t="str">
        <x:v>p. 4; Section VI-B (Year 2 sub of RQ3)</x:v>
      </x:c>
      <x:c r="S183" s="6" t="str">
        <x:v>Establishing a metric to benchmark the detection quality.</x:v>
      </x:c>
      <x:c r="T183" s="6" t="str">
        <x:v>作者计划建立一个度量标准来评估异味检测的质量。</x:v>
      </x:c>
      <x:c r="U183" s="2" t="str">
        <x:v>Accepted</x:v>
      </x:c>
      <x:c r="V183" s="6" t="str">
        <x:v>NA</x:v>
      </x:c>
      <x:c r="W183" s="6" t="str">
        <x:v>Agenda statement only</x:v>
      </x:c>
    </x:row>
    <x:row r="184" ht="76" customHeight="1">
      <x:c r="A184" s="2" t="str">
        <x:v>S39-FUTURE-R07</x:v>
      </x:c>
      <x:c r="B184" s="2" t="str">
        <x:v>S39</x:v>
      </x:c>
      <x:c r="C184" s="2" t="str">
        <x:v>merged_1245</x:v>
      </x:c>
      <x:c r="D184" s="2" t="str">
        <x:v>Reviewer_A</x:v>
      </x:c>
      <x:c r="E184" s="2" t="str">
        <x:v>Reviewer_A</x:v>
      </x:c>
      <x:c r="F184" s="2" t="str">
        <x:v>S39-D07</x:v>
      </x:c>
      <x:c r="G184" s="6" t="str">
        <x:v>SR</x:v>
      </x:c>
      <x:c r="H184" s="6" t="str">
        <x:v>Explicit future work</x:v>
      </x:c>
      <x:c r="I184" s="6" t="str">
        <x:v>提交RQ2和RQ3的结果作为出版物。</x:v>
      </x:c>
      <x:c r="J184" s="2" t="str">
        <x:v>NR</x:v>
      </x:c>
      <x:c r="K184" s="2" t="str">
        <x:v>发表研究成果</x:v>
      </x:c>
      <x:c r="L184" s="2" t="str">
        <x:v>NR</x:v>
      </x:c>
      <x:c r="M184" s="6" t="str">
        <x:v>NR</x:v>
      </x:c>
      <x:c r="N184" s="2" t="str">
        <x:v>Speculative</x:v>
      </x:c>
      <x:c r="O184" s="2" t="str">
        <x:v>publication_plan</x:v>
      </x:c>
      <x:c r="P184" s="2" t="str">
        <x:v>dissemination</x:v>
      </x:c>
      <x:c r="Q184" s="2" t="str">
        <x:v>Out of scope</x:v>
      </x:c>
      <x:c r="R184" s="6" t="str">
        <x:v>p. 4; Section VI-B (Year 2)</x:v>
      </x:c>
      <x:c r="S184" s="6" t="str">
        <x:v>Submitting the results for RQ2, and RQ3 as publications.</x:v>
      </x:c>
      <x:c r="T184" s="6" t="str">
        <x:v>作者计划将RQ2和RQ3的研究结果以论文形式提交发表。</x:v>
      </x:c>
      <x:c r="U184" s="2" t="str">
        <x:v>Accepted</x:v>
      </x:c>
      <x:c r="V184" s="6" t="str">
        <x:v>NA</x:v>
      </x:c>
      <x:c r="W184" s="6" t="str">
        <x:v>Agenda statement only</x:v>
      </x:c>
    </x:row>
    <x:row r="185" ht="76" customHeight="1">
      <x:c r="A185" s="2" t="str">
        <x:v>S39-FUTURE-R08</x:v>
      </x:c>
      <x:c r="B185" s="2" t="str">
        <x:v>S39</x:v>
      </x:c>
      <x:c r="C185" s="2" t="str">
        <x:v>merged_1245</x:v>
      </x:c>
      <x:c r="D185" s="2" t="str">
        <x:v>Reviewer_A</x:v>
      </x:c>
      <x:c r="E185" s="2" t="str">
        <x:v>Reviewer_A</x:v>
      </x:c>
      <x:c r="F185" s="2" t="str">
        <x:v>S39-D08</x:v>
      </x:c>
      <x:c r="G185" s="6" t="str">
        <x:v>SR</x:v>
      </x:c>
      <x:c r="H185" s="6" t="str">
        <x:v>Explicit future work</x:v>
      </x:c>
      <x:c r="I185" s="6" t="str">
        <x:v>开发基于LLM的重写工具，自动改进有异味的需求（RQ4）。</x:v>
      </x:c>
      <x:c r="J185" s="2" t="str">
        <x:v>NR</x:v>
      </x:c>
      <x:c r="K185" s="2" t="str">
        <x:v>自动修复有异味的需求</x:v>
      </x:c>
      <x:c r="L185" s="2" t="str">
        <x:v>NR</x:v>
      </x:c>
      <x:c r="M185" s="6" t="str">
        <x:v>NR</x:v>
      </x:c>
      <x:c r="N185" s="2" t="str">
        <x:v>Speculative</x:v>
      </x:c>
      <x:c r="O185" s="2" t="str">
        <x:v>rewriting_tool</x:v>
      </x:c>
      <x:c r="P185" s="2" t="str">
        <x:v>automated_improvement</x:v>
      </x:c>
      <x:c r="Q185" s="2" t="str">
        <x:v>Integration, evolution, and deployment</x:v>
      </x:c>
      <x:c r="R185" s="6" t="str">
        <x:v>p. 4; Section VI-C (Year 3)</x:v>
      </x:c>
      <x:c r="S185" s="6" t="str">
        <x:v>Developing an LLM-based rewriting tool to automatically improve smelly requirements (RQ4).</x:v>
      </x:c>
      <x:c r="T185" s="6" t="str">
        <x:v>作者计划开发一个基于大语言模型的重写工具，以自动改进有异味的需求。</x:v>
      </x:c>
      <x:c r="U185" s="2" t="str">
        <x:v>Accepted</x:v>
      </x:c>
      <x:c r="V185" s="6" t="str">
        <x:v>NA</x:v>
      </x:c>
      <x:c r="W185" s="6" t="str">
        <x:v>Agenda statement only</x:v>
      </x:c>
    </x:row>
    <x:row r="186" ht="76" customHeight="1">
      <x:c r="A186" s="2" t="str">
        <x:v>S39-FUTURE-R09</x:v>
      </x:c>
      <x:c r="B186" s="2" t="str">
        <x:v>S39</x:v>
      </x:c>
      <x:c r="C186" s="2" t="str">
        <x:v>merged_1245</x:v>
      </x:c>
      <x:c r="D186" s="2" t="str">
        <x:v>Reviewer_A</x:v>
      </x:c>
      <x:c r="E186" s="2" t="str">
        <x:v>Reviewer_A</x:v>
      </x:c>
      <x:c r="F186" s="2" t="str">
        <x:v>S39-D09</x:v>
      </x:c>
      <x:c r="G186" s="6" t="str">
        <x:v>SR</x:v>
      </x:c>
      <x:c r="H186" s="6" t="str">
        <x:v>Explicit future work</x:v>
      </x:c>
      <x:c r="I186" s="6" t="str">
        <x:v>评估改进后的需求在各种软件工程任务中的质量。</x:v>
      </x:c>
      <x:c r="J186" s="2" t="str">
        <x:v>NR</x:v>
      </x:c>
      <x:c r="K186" s="2" t="str">
        <x:v>验证需求改进对下游SE任务的影响</x:v>
      </x:c>
      <x:c r="L186" s="2" t="str">
        <x:v>NR</x:v>
      </x:c>
      <x:c r="M186" s="6" t="str">
        <x:v>NR</x:v>
      </x:c>
      <x:c r="N186" s="2" t="str">
        <x:v>Speculative</x:v>
      </x:c>
      <x:c r="O186" s="2" t="str">
        <x:v>evaluation_improvements</x:v>
      </x:c>
      <x:c r="P186" s="2" t="str">
        <x:v>impact_assessment</x:v>
      </x:c>
      <x:c r="Q186" s="2" t="str">
        <x:v>Benchmark and measurement rigor</x:v>
      </x:c>
      <x:c r="R186" s="6" t="str">
        <x:v>p. 4; Section VI-C (Year 3)</x:v>
      </x:c>
      <x:c r="S186" s="6" t="str">
        <x:v>Evaluating the quality of improvements across various SE tasks.</x:v>
      </x:c>
      <x:c r="T186" s="6" t="str">
        <x:v>作者计划评估需求质量改进后对多个软件工程任务的效果。</x:v>
      </x:c>
      <x:c r="U186" s="2" t="str">
        <x:v>Accepted</x:v>
      </x:c>
      <x:c r="V186" s="6" t="str">
        <x:v>NA</x:v>
      </x:c>
      <x:c r="W186" s="6" t="str">
        <x:v>Agenda statement only</x:v>
      </x:c>
    </x:row>
    <x:row r="187" ht="76" customHeight="1">
      <x:c r="A187" s="2" t="str">
        <x:v>S39-FUTURE-R10</x:v>
      </x:c>
      <x:c r="B187" s="2" t="str">
        <x:v>S39</x:v>
      </x:c>
      <x:c r="C187" s="2" t="str">
        <x:v>merged_1245</x:v>
      </x:c>
      <x:c r="D187" s="2" t="str">
        <x:v>Reviewer_A</x:v>
      </x:c>
      <x:c r="E187" s="2" t="str">
        <x:v>Reviewer_A</x:v>
      </x:c>
      <x:c r="F187" s="2" t="str">
        <x:v>S39-D10</x:v>
      </x:c>
      <x:c r="G187" s="6" t="str">
        <x:v>SR</x:v>
      </x:c>
      <x:c r="H187" s="6" t="str">
        <x:v>Explicit future work</x:v>
      </x:c>
      <x:c r="I187" s="6" t="str">
        <x:v>最终完成、答辩并提交论文。</x:v>
      </x:c>
      <x:c r="J187" s="2" t="str">
        <x:v>NR</x:v>
      </x:c>
      <x:c r="K187" s="2" t="str">
        <x:v>完成博士学位</x:v>
      </x:c>
      <x:c r="L187" s="2" t="str">
        <x:v>NR</x:v>
      </x:c>
      <x:c r="M187" s="6" t="str">
        <x:v>NR</x:v>
      </x:c>
      <x:c r="N187" s="2" t="str">
        <x:v>Speculative</x:v>
      </x:c>
      <x:c r="O187" s="2" t="str">
        <x:v>dissertation_completion</x:v>
      </x:c>
      <x:c r="P187" s="2" t="str">
        <x:v>degree_completion</x:v>
      </x:c>
      <x:c r="Q187" s="2" t="str">
        <x:v>Out of scope</x:v>
      </x:c>
      <x:c r="R187" s="6" t="str">
        <x:v>p. 4; Section VI-C (Year 3)</x:v>
      </x:c>
      <x:c r="S187" s="6" t="str">
        <x:v>Finalizing, defending, and submitting the dissertation.</x:v>
      </x:c>
      <x:c r="T187" s="6" t="str">
        <x:v>作者计划在第三年完成论文，进行答辩并提交。</x:v>
      </x:c>
      <x:c r="U187" s="2" t="str">
        <x:v>Accepted</x:v>
      </x:c>
      <x:c r="V187" s="6" t="str">
        <x:v>NA</x:v>
      </x:c>
      <x:c r="W187" s="6" t="str">
        <x:v>Agenda statement only</x:v>
      </x:c>
    </x:row>
    <x:row r="188" ht="76" customHeight="1">
      <x:c r="A188" s="2" t="str">
        <x:v>S40-FUTURE-R01</x:v>
      </x:c>
      <x:c r="B188" s="2" t="str">
        <x:v>S40</x:v>
      </x:c>
      <x:c r="C188" s="2" t="str">
        <x:v>merged_1263</x:v>
      </x:c>
      <x:c r="D188" s="2" t="str">
        <x:v>Reviewer_A</x:v>
      </x:c>
      <x:c r="E188" s="2" t="str">
        <x:v>Reviewer_A</x:v>
      </x:c>
      <x:c r="F188" s="2" t="str">
        <x:v>S40-D01</x:v>
      </x:c>
      <x:c r="G188" s="6" t="str">
        <x:v>SR</x:v>
      </x:c>
      <x:c r="H188" s="6" t="str">
        <x:v>Explicit future work</x:v>
      </x:c>
      <x:c r="I188" s="6" t="str">
        <x:v>在更大规模的工业代码库上评估 DSDR。</x:v>
      </x:c>
      <x:c r="J188" s="2" t="str">
        <x:v>S40-L01</x:v>
      </x:c>
      <x:c r="K188" s="2" t="str">
        <x:v>Generalizability to industrial projects</x:v>
      </x:c>
      <x:c r="L188" s="2" t="str">
        <x:v>Obtain large-scale industrial datasets</x:v>
      </x:c>
      <x:c r="M188" s="6" t="str">
        <x:v>NR</x:v>
      </x:c>
      <x:c r="N188" s="2" t="str">
        <x:v>Speculative</x:v>
      </x:c>
      <x:c r="O188" s="2" t="str">
        <x:v>IndustrialEvaluation</x:v>
      </x:c>
      <x:c r="P188" s="2" t="str">
        <x:v>Future_LargeScale</x:v>
      </x:c>
      <x:c r="Q188" s="2" t="str">
        <x:v>Broader empirical validation</x:v>
      </x:c>
      <x:c r="R188" s="6" t="str">
        <x:v>p. 23; section 5.2</x:v>
      </x:c>
      <x:c r="S188" s="6" t="str">
        <x:v>Evaluation on substantially larger industrial codebases remains future work.</x:v>
      </x:c>
      <x:c r="T188" s="6" t="str">
        <x:v>作者明确指出需要在大型工业项目中验证方法。</x:v>
      </x:c>
      <x:c r="U188" s="2" t="str">
        <x:v>Accepted</x:v>
      </x:c>
      <x:c r="V188" s="6" t="str">
        <x:v>NA</x:v>
      </x:c>
      <x:c r="W188" s="6" t="str">
        <x:v>Reported limitation-grounded</x:v>
      </x:c>
    </x:row>
    <x:row r="189" ht="76" customHeight="1">
      <x:c r="A189" s="2" t="str">
        <x:v>S40-FUTURE-R02</x:v>
      </x:c>
      <x:c r="B189" s="2" t="str">
        <x:v>S40</x:v>
      </x:c>
      <x:c r="C189" s="2" t="str">
        <x:v>merged_1263</x:v>
      </x:c>
      <x:c r="D189" s="2" t="str">
        <x:v>Reviewer_A</x:v>
      </x:c>
      <x:c r="E189" s="2" t="str">
        <x:v>Reviewer_A</x:v>
      </x:c>
      <x:c r="F189" s="2" t="str">
        <x:v>S40-D02</x:v>
      </x:c>
      <x:c r="G189" s="6" t="str">
        <x:v>SR</x:v>
      </x:c>
      <x:c r="H189" s="6" t="str">
        <x:v>Explicit future work</x:v>
      </x:c>
      <x:c r="I189" s="6" t="str">
        <x:v>集成动态依赖分析，评估其对检索覆盖率的影响。</x:v>
      </x:c>
      <x:c r="J189" s="2" t="str">
        <x:v>S40-L02</x:v>
      </x:c>
      <x:c r="K189" s="2" t="str">
        <x:v>Lack of dynamic dependency information</x:v>
      </x:c>
      <x:c r="L189" s="2" t="str">
        <x:v>Incorporate dynamic analysis tools</x:v>
      </x:c>
      <x:c r="M189" s="6" t="str">
        <x:v>NR</x:v>
      </x:c>
      <x:c r="N189" s="2" t="str">
        <x:v>Speculative</x:v>
      </x:c>
      <x:c r="O189" s="2" t="str">
        <x:v>DynamicAnalysis</x:v>
      </x:c>
      <x:c r="P189" s="2" t="str">
        <x:v>Future_Dynamic</x:v>
      </x:c>
      <x:c r="Q189" s="2" t="str">
        <x:v>Context, retrieval, and model adaptation</x:v>
      </x:c>
      <x:c r="R189" s="6" t="str">
        <x:v>p. 23; section 5.2</x:v>
      </x:c>
      <x:c r="S189" s="6" t="str">
        <x:v>Extending DSDR with dynamic dependency analysis and evaluating its influence on retrieval coverage are important directions for future work.</x:v>
      </x:c>
      <x:c r="T189" s="6" t="str">
        <x:v>下一步计划加入动态依赖，以捕获静态分析无法发现的链接证据。</x:v>
      </x:c>
      <x:c r="U189" s="2" t="str">
        <x:v>Accepted</x:v>
      </x:c>
      <x:c r="V189" s="6" t="str">
        <x:v>NA</x:v>
      </x:c>
      <x:c r="W189" s="6" t="str">
        <x:v>Reported limitation-grounded</x:v>
      </x:c>
    </x:row>
    <x:row r="190" ht="76" customHeight="1">
      <x:c r="A190" s="2" t="str">
        <x:v>S40-FUTURE-R03</x:v>
      </x:c>
      <x:c r="B190" s="2" t="str">
        <x:v>S40</x:v>
      </x:c>
      <x:c r="C190" s="2" t="str">
        <x:v>merged_1263</x:v>
      </x:c>
      <x:c r="D190" s="2" t="str">
        <x:v>Reviewer_A</x:v>
      </x:c>
      <x:c r="E190" s="2" t="str">
        <x:v>Reviewer_A</x:v>
      </x:c>
      <x:c r="F190" s="2" t="str">
        <x:v>S40-D03</x:v>
      </x:c>
      <x:c r="G190" s="6" t="str">
        <x:v>SR</x:v>
      </x:c>
      <x:c r="H190" s="6" t="str">
        <x:v>Explicit future work</x:v>
      </x:c>
      <x:c r="I190" s="6" t="str">
        <x:v>构建支持性和对抗性路径并用于辩论式验证，以减少假阳性。</x:v>
      </x:c>
      <x:c r="J190" s="2" t="str">
        <x:v>S40-L06</x:v>
      </x:c>
      <x:c r="K190" s="2" t="str">
        <x:v>Lack of adversarial evidence in validation</x:v>
      </x:c>
      <x:c r="L190" s="2" t="str">
        <x:v>Design a counter-evidence search component</x:v>
      </x:c>
      <x:c r="M190" s="6" t="str">
        <x:v>NR</x:v>
      </x:c>
      <x:c r="N190" s="2" t="str">
        <x:v>Speculative</x:v>
      </x:c>
      <x:c r="O190" s="2" t="str">
        <x:v>AdversarialVerification</x:v>
      </x:c>
      <x:c r="P190" s="2" t="str">
        <x:v>Future_Adversarial</x:v>
      </x:c>
      <x:c r="Q190" s="2" t="str">
        <x:v>Reliability, explainability, and human oversight</x:v>
      </x:c>
      <x:c r="R190" s="6" t="str">
        <x:v>p. 24; section 5.2</x:v>
      </x:c>
      <x:c r="S190" s="6" t="str">
        <x:v>A future extension could combine supportive and opposing paths in an LLM debate-style verification process before the final trace decision.</x:v>
      </x:c>
      <x:c r="T190" s="6" t="str">
        <x:v>作者设想通过同时提供正面和反面结构路径，让 LLM 进行辩论式验证，提升精度。</x:v>
      </x:c>
      <x:c r="U190" s="2" t="str">
        <x:v>Accepted</x:v>
      </x:c>
      <x:c r="V190" s="6" t="str">
        <x:v>NA</x:v>
      </x:c>
      <x:c r="W190" s="6" t="str">
        <x:v>Reported limitation-grounded</x:v>
      </x:c>
    </x:row>
    <x:row r="191" ht="76" customHeight="1">
      <x:c r="A191" s="2" t="str">
        <x:v>S40-FUTURE-R04</x:v>
      </x:c>
      <x:c r="B191" s="2" t="str">
        <x:v>S40</x:v>
      </x:c>
      <x:c r="C191" s="2" t="str">
        <x:v>merged_1263</x:v>
      </x:c>
      <x:c r="D191" s="2" t="str">
        <x:v>Reviewer_A</x:v>
      </x:c>
      <x:c r="E191" s="2" t="str">
        <x:v>Reviewer_A</x:v>
      </x:c>
      <x:c r="F191" s="2" t="str">
        <x:v>S40-D04</x:v>
      </x:c>
      <x:c r="G191" s="6" t="str">
        <x:v>SR</x:v>
      </x:c>
      <x:c r="H191" s="6" t="str">
        <x:v>Explicit recommendation</x:v>
      </x:c>
      <x:c r="I191" s="6" t="str">
        <x:v>探索更精细的方法级聚合方案（如最大池化、注意力），以改善类评分质量。</x:v>
      </x:c>
      <x:c r="J191" s="2" t="str">
        <x:v>S40-L03</x:v>
      </x:c>
      <x:c r="K191" s="2" t="str">
        <x:v>Coarse class-level aggregation hides method-level relevance</x:v>
      </x:c>
      <x:c r="L191" s="2" t="str">
        <x:v>Method-level labels or developer-facing localization</x:v>
      </x:c>
      <x:c r="M191" s="6" t="str">
        <x:v>NR</x:v>
      </x:c>
      <x:c r="N191" s="2" t="str">
        <x:v>Speculative</x:v>
      </x:c>
      <x:c r="O191" s="2" t="str">
        <x:v>MethodAggregation</x:v>
      </x:c>
      <x:c r="P191" s="2" t="str">
        <x:v>Future_Aggregation</x:v>
      </x:c>
      <x:c r="Q191" s="2" t="str">
        <x:v>Context, retrieval, and model adaptation</x:v>
      </x:c>
      <x:c r="R191" s="6" t="str">
        <x:v>p. 9; section 3.2.2</x:v>
      </x:c>
      <x:c r="S191" s="6" t="str">
        <x:v>More selective alternatives, such as max pooling, top-m method pooling, or learned attention over methods, are natural extensions when method-level supervision or developer-facing localization is available.</x:v>
      </x:c>
      <x:c r="T191" s="6" t="str">
        <x:v>建议使用方法级监督时采用更精细的聚合办法，避免大类偏差。</x:v>
      </x:c>
      <x:c r="U191" s="2" t="str">
        <x:v>Accepted</x:v>
      </x:c>
      <x:c r="V191" s="6" t="str">
        <x:v>NA</x:v>
      </x:c>
      <x:c r="W191" s="6" t="str">
        <x:v>Reported limitation-grounded</x:v>
      </x:c>
    </x:row>
    <x:row r="192" ht="76" customHeight="1">
      <x:c r="A192" s="2" t="str">
        <x:v>S40-FUTURE-R05</x:v>
      </x:c>
      <x:c r="B192" s="2" t="str">
        <x:v>S40</x:v>
      </x:c>
      <x:c r="C192" s="2" t="str">
        <x:v>merged_1263</x:v>
      </x:c>
      <x:c r="D192" s="2" t="str">
        <x:v>Reviewer_A</x:v>
      </x:c>
      <x:c r="E192" s="2" t="str">
        <x:v>Reviewer_A</x:v>
      </x:c>
      <x:c r="F192" s="2" t="str">
        <x:v>S40-D05</x:v>
      </x:c>
      <x:c r="G192" s="6" t="str">
        <x:v>SR</x:v>
      </x:c>
      <x:c r="H192" s="6" t="str">
        <x:v>Explicit recommendation</x:v>
      </x:c>
      <x:c r="I192" s="6" t="str">
        <x:v>实现基于项目统计的自适应校准，例如根据实体-标识符相似度分布动态选择桥接阈值 τ。</x:v>
      </x:c>
      <x:c r="J192" s="2" t="str">
        <x:v>S40-L04</x:v>
      </x:c>
      <x:c r="K192" s="2" t="str">
        <x:v>Fixed hyperparameters are suboptimal across projects</x:v>
      </x:c>
      <x:c r="L192" s="2" t="str">
        <x:v>Deployment labels or graph-density constraints</x:v>
      </x:c>
      <x:c r="M192" s="6" t="str">
        <x:v>NR</x:v>
      </x:c>
      <x:c r="N192" s="2" t="str">
        <x:v>Speculative</x:v>
      </x:c>
      <x:c r="O192" s="2" t="str">
        <x:v>AdaptiveCalibration</x:v>
      </x:c>
      <x:c r="P192" s="2" t="str">
        <x:v>Future_Calibration</x:v>
      </x:c>
      <x:c r="Q192" s="2" t="str">
        <x:v>Reliability, explainability, and human oversight</x:v>
      </x:c>
      <x:c r="R192" s="6" t="str">
        <x:v>p. 23; section 5.2</x:v>
      </x:c>
      <x:c r="S192" s="6" t="str">
        <x:v>τ should be calibrated as an operating parameter when deployment labels, runtime budgets, or graph-density constraints are available.</x:v>
      </x:c>
      <x:c r="T192" s="6" t="str">
        <x:v>作者强调应视作运行参数，依据项目特征动态调整，而非固定值。</x:v>
      </x:c>
      <x:c r="U192" s="2" t="str">
        <x:v>Accepted</x:v>
      </x:c>
      <x:c r="V192" s="6" t="str">
        <x:v>NA</x:v>
      </x:c>
      <x:c r="W192" s="6" t="str">
        <x:v>Empirical limitation-grounded</x:v>
      </x:c>
    </x:row>
    <x:row r="193" ht="76" customHeight="1">
      <x:c r="A193" s="2" t="str">
        <x:v>S40-FUTURE-R06</x:v>
      </x:c>
      <x:c r="B193" s="2" t="str">
        <x:v>S40</x:v>
      </x:c>
      <x:c r="C193" s="2" t="str">
        <x:v>merged_1263</x:v>
      </x:c>
      <x:c r="D193" s="2" t="str">
        <x:v>Reviewer_A</x:v>
      </x:c>
      <x:c r="E193" s="2" t="str">
        <x:v>Reviewer_A</x:v>
      </x:c>
      <x:c r="F193" s="2" t="str">
        <x:v>S40-D06</x:v>
      </x:c>
      <x:c r="G193" s="6" t="str">
        <x:v>SR</x:v>
      </x:c>
      <x:c r="H193" s="6" t="str">
        <x:v>Explicit future work</x:v>
      </x:c>
      <x:c r="I193" s="6" t="str">
        <x:v>用更丰富的程序分析、更细粒度的标签、自适应校准和替代验证器配置扩展 DSDR。</x:v>
      </x:c>
      <x:c r="J193" s="2" t="str">
        <x:v>NR</x:v>
      </x:c>
      <x:c r="K193" s="2" t="str">
        <x:v>Current framework can be enriched along multiple dimensions</x:v>
      </x:c>
      <x:c r="L193" s="2" t="str">
        <x:v>NR</x:v>
      </x:c>
      <x:c r="M193" s="6" t="str">
        <x:v>NR</x:v>
      </x:c>
      <x:c r="N193" s="2" t="str">
        <x:v>Speculative</x:v>
      </x:c>
      <x:c r="O193" s="2" t="str">
        <x:v>Extension</x:v>
      </x:c>
      <x:c r="P193" s="2" t="str">
        <x:v>Future_General</x:v>
      </x:c>
      <x:c r="Q193" s="2" t="str">
        <x:v>Context, retrieval, and model adaptation</x:v>
      </x:c>
      <x:c r="R193" s="6" t="str">
        <x:v>p. 24; section 6 (Conclusions)</x:v>
      </x:c>
      <x:c r="S193" s="6" t="str">
        <x:v>DSDR can be extended with richer program analyses, finer-grained labels, adaptive calibration, and alternative validator configurations.</x:v>
      </x:c>
      <x:c r="T193" s="6" t="str">
        <x:v>论文在结论中概括了多个可能的扩展方向。</x:v>
      </x:c>
      <x:c r="U193" s="2" t="str">
        <x:v>Accepted</x:v>
      </x:c>
      <x:c r="V193" s="6" t="str">
        <x:v>NA</x:v>
      </x:c>
      <x:c r="W193" s="6" t="str">
        <x:v>Agenda statement only</x:v>
      </x:c>
    </x:row>
    <x:row r="194" ht="76" customHeight="1">
      <x:c r="A194" s="2" t="str">
        <x:v>S41-FUTURE-R01</x:v>
      </x:c>
      <x:c r="B194" s="2" t="str">
        <x:v>S41</x:v>
      </x:c>
      <x:c r="C194" s="2" t="str">
        <x:v>merged_1264</x:v>
      </x:c>
      <x:c r="D194" s="2" t="str">
        <x:v>Reviewer_A</x:v>
      </x:c>
      <x:c r="E194" s="2" t="str">
        <x:v>Reviewer_A</x:v>
      </x:c>
      <x:c r="F194" s="2" t="str">
        <x:v>S41-D01</x:v>
      </x:c>
      <x:c r="G194" s="6" t="str">
        <x:v>SR</x:v>
      </x:c>
      <x:c r="H194" s="6" t="str">
        <x:v>Explicit future work</x:v>
      </x:c>
      <x:c r="I194" s="6" t="str">
        <x:v>将SELink扩展到跨项目场景，通过适应和迁移学习解决领域偏移。</x:v>
      </x:c>
      <x:c r="J194" s="2" t="str">
        <x:v>S41-L01</x:v>
      </x:c>
      <x:c r="K194" s="2" t="str">
        <x:v>cross-project generalization</x:v>
      </x:c>
      <x:c r="L194" s="2" t="str">
        <x:v>require project-wise training or transfer learning techniques</x:v>
      </x:c>
      <x:c r="M194" s="6" t="str">
        <x:v>NR</x:v>
      </x:c>
      <x:c r="N194" s="2" t="str">
        <x:v>Speculative</x:v>
      </x:c>
      <x:c r="O194" s="2" t="str">
        <x:v>cross_project_extension</x:v>
      </x:c>
      <x:c r="P194" s="2" t="str">
        <x:v>Generalizability</x:v>
      </x:c>
      <x:c r="Q194" s="2" t="str">
        <x:v>Broader empirical validation</x:v>
      </x:c>
      <x:c r="R194" s="6" t="str">
        <x:v>p. 16; Conclusion and Future Work</x:v>
      </x:c>
      <x:c r="S194" s="6" t="str">
        <x:v>we aim to extend SELink to cross-project scenarios, addressing domain shifts through adaptation and transfer learning techniques.</x:v>
      </x:c>
      <x:c r="T194" s="6" t="str">
        <x:v>作者计划通过适应和迁移学习技术使框架适用于跨项目情境。</x:v>
      </x:c>
      <x:c r="U194" s="2" t="str">
        <x:v>Accepted</x:v>
      </x:c>
      <x:c r="V194" s="6" t="str">
        <x:v>NA</x:v>
      </x:c>
      <x:c r="W194" s="6" t="str">
        <x:v>Reported limitation-grounded</x:v>
      </x:c>
    </x:row>
    <x:row r="195" ht="76" customHeight="1">
      <x:c r="A195" s="2" t="str">
        <x:v>S41-FUTURE-R02</x:v>
      </x:c>
      <x:c r="B195" s="2" t="str">
        <x:v>S41</x:v>
      </x:c>
      <x:c r="C195" s="2" t="str">
        <x:v>merged_1264</x:v>
      </x:c>
      <x:c r="D195" s="2" t="str">
        <x:v>Reviewer_A</x:v>
      </x:c>
      <x:c r="E195" s="2" t="str">
        <x:v>Reviewer_A</x:v>
      </x:c>
      <x:c r="F195" s="2" t="str">
        <x:v>S41-D02</x:v>
      </x:c>
      <x:c r="G195" s="6" t="str">
        <x:v>SR</x:v>
      </x:c>
      <x:c r="H195" s="6" t="str">
        <x:v>Explicit future work</x:v>
      </x:c>
      <x:c r="I195" s="6" t="str">
        <x:v>探索异构LLM配置，为不同模块分配不同的模型以获得更好性能。</x:v>
      </x:c>
      <x:c r="J195" s="2" t="str">
        <x:v>S41-L02</x:v>
      </x:c>
      <x:c r="K195" s="2" t="str">
        <x:v>suboptimal performance due to fixed single LLM for all modules</x:v>
      </x:c>
      <x:c r="L195" s="2" t="str">
        <x:v>evaluate multiple LLM combinations for summarization and re-ranking</x:v>
      </x:c>
      <x:c r="M195" s="6" t="str">
        <x:v>NR</x:v>
      </x:c>
      <x:c r="N195" s="2" t="str">
        <x:v>Speculative</x:v>
      </x:c>
      <x:c r="O195" s="2" t="str">
        <x:v>heterogeneous_llm_config</x:v>
      </x:c>
      <x:c r="P195" s="2" t="str">
        <x:v>Model selection</x:v>
      </x:c>
      <x:c r="Q195" s="2" t="str">
        <x:v>Context, retrieval, and model adaptation</x:v>
      </x:c>
      <x:c r="R195" s="6" t="str">
        <x:v>p. 16; Conclusion and Future Work</x:v>
      </x:c>
      <x:c r="S195" s="6" t="str">
        <x:v>we plan to explore heterogeneous LLM configurations by assigning different models to specific modules.</x:v>
      </x:c>
      <x:c r="T195" s="6" t="str">
        <x:v>未来研究将为摘要和重排序模块分配不同的LLM，以求更优组合。</x:v>
      </x:c>
      <x:c r="U195" s="2" t="str">
        <x:v>Accepted</x:v>
      </x:c>
      <x:c r="V195" s="6" t="str">
        <x:v>NA</x:v>
      </x:c>
      <x:c r="W195" s="6" t="str">
        <x:v>Reported limitation-grounded</x:v>
      </x:c>
    </x:row>
    <x:row r="196" ht="76" customHeight="1">
      <x:c r="A196" s="2" t="str">
        <x:v>S41-FUTURE-R03</x:v>
      </x:c>
      <x:c r="B196" s="2" t="str">
        <x:v>S41</x:v>
      </x:c>
      <x:c r="C196" s="2" t="str">
        <x:v>merged_1264</x:v>
      </x:c>
      <x:c r="D196" s="2" t="str">
        <x:v>Reviewer_A</x:v>
      </x:c>
      <x:c r="E196" s="2" t="str">
        <x:v>Reviewer_A</x:v>
      </x:c>
      <x:c r="F196" s="2" t="str">
        <x:v>S41-D03</x:v>
      </x:c>
      <x:c r="G196" s="6" t="str">
        <x:v>SR</x:v>
      </x:c>
      <x:c r="H196" s="6" t="str">
        <x:v>Explicit future work</x:v>
      </x:c>
      <x:c r="I196" s="6" t="str">
        <x:v>研究动态top-K选择策略以更好地适应项目特定需求。</x:v>
      </x:c>
      <x:c r="J196" s="2" t="str">
        <x:v>S41-L03</x:v>
      </x:c>
      <x:c r="K196" s="2" t="str">
        <x:v>fixed top-k may not be optimal for all projects</x:v>
      </x:c>
      <x:c r="L196" s="2" t="str">
        <x:v>develop adaptive methods based on project characteristics or evaluation metrics</x:v>
      </x:c>
      <x:c r="M196" s="6" t="str">
        <x:v>NR</x:v>
      </x:c>
      <x:c r="N196" s="2" t="str">
        <x:v>Speculative</x:v>
      </x:c>
      <x:c r="O196" s="2" t="str">
        <x:v>dynamic_top_k</x:v>
      </x:c>
      <x:c r="P196" s="2" t="str">
        <x:v>Adaptability</x:v>
      </x:c>
      <x:c r="Q196" s="2" t="str">
        <x:v>Context, retrieval, and model adaptation</x:v>
      </x:c>
      <x:c r="R196" s="6" t="str">
        <x:v>p. 16; Conclusion and Future Work</x:v>
      </x:c>
      <x:c r="S196" s="6" t="str">
        <x:v>We will also investigate dynamic top-K selection to better accommodate project-specific needs.</x:v>
      </x:c>
      <x:c r="T196" s="6" t="str">
        <x:v>作者计划开发动态策略以自动确定最优的top-K值。</x:v>
      </x:c>
      <x:c r="U196" s="2" t="str">
        <x:v>Accepted</x:v>
      </x:c>
      <x:c r="V196" s="6" t="str">
        <x:v>NA</x:v>
      </x:c>
      <x:c r="W196" s="6" t="str">
        <x:v>Reported limitation-grounded</x:v>
      </x:c>
    </x:row>
    <x:row r="197" ht="76" customHeight="1">
      <x:c r="A197" s="2" t="str">
        <x:v>S41-FUTURE-R04</x:v>
      </x:c>
      <x:c r="B197" s="2" t="str">
        <x:v>S41</x:v>
      </x:c>
      <x:c r="C197" s="2" t="str">
        <x:v>merged_1264</x:v>
      </x:c>
      <x:c r="D197" s="2" t="str">
        <x:v>Reviewer_A</x:v>
      </x:c>
      <x:c r="E197" s="2" t="str">
        <x:v>Reviewer_A</x:v>
      </x:c>
      <x:c r="F197" s="2" t="str">
        <x:v>S41-D04</x:v>
      </x:c>
      <x:c r="G197" s="6" t="str">
        <x:v>SR</x:v>
      </x:c>
      <x:c r="H197" s="6" t="str">
        <x:v>Explicit future work</x:v>
      </x:c>
      <x:c r="I197" s="6" t="str">
        <x:v>全面评估其他预测骨干网络（如更大的Transformer或特定任务编码器）以拓宽框架适用性。</x:v>
      </x:c>
      <x:c r="J197" s="2" t="str">
        <x:v>S41-L06</x:v>
      </x:c>
      <x:c r="K197" s="2" t="str">
        <x:v>limited evaluation of prediction model architectures</x:v>
      </x:c>
      <x:c r="L197" s="2" t="str">
        <x:v>implement and compare alternative encoder-based predictors</x:v>
      </x:c>
      <x:c r="M197" s="6" t="str">
        <x:v>NR</x:v>
      </x:c>
      <x:c r="N197" s="2" t="str">
        <x:v>Speculative</x:v>
      </x:c>
      <x:c r="O197" s="2" t="str">
        <x:v>alternative_prediction_backbones</x:v>
      </x:c>
      <x:c r="P197" s="2" t="str">
        <x:v>Internal validity</x:v>
      </x:c>
      <x:c r="Q197" s="2" t="str">
        <x:v>Context, retrieval, and model adaptation</x:v>
      </x:c>
      <x:c r="R197" s="6" t="str">
        <x:v>p. 14; Threats to Validity, Internal Validity</x:v>
      </x:c>
      <x:c r="S197" s="6" t="str">
        <x:v>A comprehensive evaluation of alternative prediction backbones is beyond the scope of this work and is left for future research.</x:v>
      </x:c>
      <x:c r="T197" s="6" t="str">
        <x:v>未来研究将测试不同的编码器模型以增强内部效度。</x:v>
      </x:c>
      <x:c r="U197" s="2" t="str">
        <x:v>Accepted</x:v>
      </x:c>
      <x:c r="V197" s="6" t="str">
        <x:v>NA</x:v>
      </x:c>
      <x:c r="W197" s="6" t="str">
        <x:v>Reported limitation-grounded</x:v>
      </x:c>
    </x:row>
    <x:row r="198" ht="76" customHeight="1">
      <x:c r="A198" s="2" t="str">
        <x:v>S41-FUTURE-R05</x:v>
      </x:c>
      <x:c r="B198" s="2" t="str">
        <x:v>S41</x:v>
      </x:c>
      <x:c r="C198" s="2" t="str">
        <x:v>merged_1264</x:v>
      </x:c>
      <x:c r="D198" s="2" t="str">
        <x:v>Reviewer_A</x:v>
      </x:c>
      <x:c r="E198" s="2" t="str">
        <x:v>Reviewer_A</x:v>
      </x:c>
      <x:c r="F198" s="2" t="str">
        <x:v>S41-D05</x:v>
      </x:c>
      <x:c r="G198" s="6" t="str">
        <x:v>SR</x:v>
      </x:c>
      <x:c r="H198" s="6" t="str">
        <x:v>Explicit future work</x:v>
      </x:c>
      <x:c r="I198" s="6" t="str">
        <x:v>针对边缘案例进行领域特定调优，以解决特定项目上的性能退化。</x:v>
      </x:c>
      <x:c r="J198" s="2" t="str">
        <x:v>S41-L07</x:v>
      </x:c>
      <x:c r="K198" s="2" t="str">
        <x:v>performance degradation on certain projects (e.g., Isis, Netbeans)</x:v>
      </x:c>
      <x:c r="L198" s="2" t="str">
        <x:v>apply domain-specific tuning or customization</x:v>
      </x:c>
      <x:c r="M198" s="6" t="str">
        <x:v>NR</x:v>
      </x:c>
      <x:c r="N198" s="2" t="str">
        <x:v>Speculative</x:v>
      </x:c>
      <x:c r="O198" s="2" t="str">
        <x:v>domain_specific_tuning</x:v>
      </x:c>
      <x:c r="P198" s="2" t="str">
        <x:v>Adaptability</x:v>
      </x:c>
      <x:c r="Q198" s="2" t="str">
        <x:v>Context, retrieval, and model adaptation</x:v>
      </x:c>
      <x:c r="R198" s="6" t="str">
        <x:v>p. 14; Threats to Validity, External Validity</x:v>
      </x:c>
      <x:c r="S198" s="6" t="str">
        <x:v>Addressing performance degradation on such edge cases may require domain-specific tuning, highlighting an avenue for future research.</x:v>
      </x:c>
      <x:c r="T198" s="6" t="str">
        <x:v>作者认为某些项目特性可能导致性能下降，未来可通过领域调优缓解。</x:v>
      </x:c>
      <x:c r="U198" s="2" t="str">
        <x:v>Accepted</x:v>
      </x:c>
      <x:c r="V198" s="6" t="str">
        <x:v>NA</x:v>
      </x:c>
      <x:c r="W198" s="6" t="str">
        <x:v>Reported limitation-grounded</x:v>
      </x:c>
    </x:row>
    <x:row r="199" ht="76" customHeight="1">
      <x:c r="A199" s="2" t="str">
        <x:v>S41-FUTURE-R06</x:v>
      </x:c>
      <x:c r="B199" s="2" t="str">
        <x:v>S41</x:v>
      </x:c>
      <x:c r="C199" s="2" t="str">
        <x:v>merged_1264</x:v>
      </x:c>
      <x:c r="D199" s="2" t="str">
        <x:v>Reviewer_A</x:v>
      </x:c>
      <x:c r="E199" s="2" t="str">
        <x:v>Reviewer_A</x:v>
      </x:c>
      <x:c r="F199" s="2" t="str">
        <x:v>S41-D06</x:v>
      </x:c>
      <x:c r="G199" s="6" t="str">
        <x:v>SR</x:v>
      </x:c>
      <x:c r="H199" s="6" t="str">
        <x:v>Explicit future work</x:v>
      </x:c>
      <x:c r="I199" s="6" t="str">
        <x:v>通过纳入开发者行为信号（如协作网络和共同编辑历史）缓解隐性知识的影响。</x:v>
      </x:c>
      <x:c r="J199" s="2" t="str">
        <x:v>S41-L09</x:v>
      </x:c>
      <x:c r="K199" s="2" t="str">
        <x:v>tacit knowledge not captured in textual artifacts</x:v>
      </x:c>
      <x:c r="L199" s="2" t="str">
        <x:v>integrate developer behavioral data alongside textual input</x:v>
      </x:c>
      <x:c r="M199" s="6" t="str">
        <x:v>NR</x:v>
      </x:c>
      <x:c r="N199" s="2" t="str">
        <x:v>Speculative</x:v>
      </x:c>
      <x:c r="O199" s="2" t="str">
        <x:v>tacit_knowledge_mitigation</x:v>
      </x:c>
      <x:c r="P199" s="2" t="str">
        <x:v>Data enrichment</x:v>
      </x:c>
      <x:c r="Q199" s="2" t="str">
        <x:v>Context, retrieval, and model adaptation</x:v>
      </x:c>
      <x:c r="R199" s="6" t="str">
        <x:v>p. 15; Threats to Validity, External Validity</x:v>
      </x:c>
      <x:c r="S199" s="6" t="str">
        <x:v>This indicates a promising direction for future work: mitigating the influence of tacit knowledge through the inclusion of developer behavioral signals, such as collaboration networks and co-editing history.</x:v>
      </x:c>
      <x:c r="T199" s="6" t="str">
        <x:v>借助开发者行为信号增强上下文，有望补偿文本中缺失的隐性知识。</x:v>
      </x:c>
      <x:c r="U199" s="2" t="str">
        <x:v>Accepted</x:v>
      </x:c>
      <x:c r="V199" s="6" t="str">
        <x:v>NA</x:v>
      </x:c>
      <x:c r="W199" s="6" t="str">
        <x:v>Reported limitation-grounded</x:v>
      </x:c>
    </x:row>
    <x:row r="200" ht="76" customHeight="1">
      <x:c r="A200" s="2" t="str">
        <x:v>S41-FUTURE-R07</x:v>
      </x:c>
      <x:c r="B200" s="2" t="str">
        <x:v>S41</x:v>
      </x:c>
      <x:c r="C200" s="2" t="str">
        <x:v>merged_1264</x:v>
      </x:c>
      <x:c r="D200" s="2" t="str">
        <x:v>Reviewer_A</x:v>
      </x:c>
      <x:c r="E200" s="2" t="str">
        <x:v>Reviewer_A</x:v>
      </x:c>
      <x:c r="F200" s="2" t="str">
        <x:v>S41-D07</x:v>
      </x:c>
      <x:c r="G200" s="6" t="str">
        <x:v>SR</x:v>
      </x:c>
      <x:c r="H200" s="6" t="str">
        <x:v>Explicit future work</x:v>
      </x:c>
      <x:c r="I200" s="6" t="str">
        <x:v>探索少样本提示或指令调优技术以进一步提升LLM的性能。</x:v>
      </x:c>
      <x:c r="J200" s="2" t="str">
        <x:v>S41-L11</x:v>
      </x:c>
      <x:c r="K200" s="2" t="str">
        <x:v>zero-shot evaluation may not fully exploit LLM capabilities</x:v>
      </x:c>
      <x:c r="L200" s="2" t="str">
        <x:v>add few-shot examples or fine-tune instructions for the task</x:v>
      </x:c>
      <x:c r="M200" s="6" t="str">
        <x:v>NR</x:v>
      </x:c>
      <x:c r="N200" s="2" t="str">
        <x:v>Speculative</x:v>
      </x:c>
      <x:c r="O200" s="2" t="str">
        <x:v>few_shot_instruction_tuning</x:v>
      </x:c>
      <x:c r="P200" s="2" t="str">
        <x:v>LLM adaptation</x:v>
      </x:c>
      <x:c r="Q200" s="2" t="str">
        <x:v>Context, retrieval, and model adaptation</x:v>
      </x:c>
      <x:c r="R200" s="6" t="str">
        <x:v>p. 15; Threats to Validity, External Validity</x:v>
      </x:c>
      <x:c r="S200" s="6" t="str">
        <x:v>Techniques such as few-shot prompting or instruction tuning could further enhance performance but are left for future work.</x:v>
      </x:c>
      <x:c r="T200" s="6" t="str">
        <x:v>未来可引入少样本或指令调优来强化LLM在链路恢复任务中的表现。</x:v>
      </x:c>
      <x:c r="U200" s="2" t="str">
        <x:v>Accepted</x:v>
      </x:c>
      <x:c r="V200" s="6" t="str">
        <x:v>NA</x:v>
      </x:c>
      <x:c r="W200" s="6" t="str">
        <x:v>Reported limitation-grounded</x:v>
      </x:c>
    </x:row>
    <x:row r="201" ht="76" customHeight="1">
      <x:c r="A201" s="2" t="str">
        <x:v>S42-FUTURE-R01</x:v>
      </x:c>
      <x:c r="B201" s="2" t="str">
        <x:v>S42</x:v>
      </x:c>
      <x:c r="C201" s="2" t="str">
        <x:v>merged_1266</x:v>
      </x:c>
      <x:c r="D201" s="2" t="str">
        <x:v>Reviewer_A</x:v>
      </x:c>
      <x:c r="E201" s="2" t="str">
        <x:v>Reviewer_A</x:v>
      </x:c>
      <x:c r="F201" s="2" t="str">
        <x:v>S42-D01</x:v>
      </x:c>
      <x:c r="G201" s="6" t="str">
        <x:v>SR</x:v>
      </x:c>
      <x:c r="H201" s="6" t="str">
        <x:v>Explicit future work</x:v>
      </x:c>
      <x:c r="I201" s="6" t="str">
        <x:v>下一步计划研究更进一步的提示技术，如少样本提示和自动提示工程。</x:v>
      </x:c>
      <x:c r="J201" s="2" t="str">
        <x:v>S42-L01</x:v>
      </x:c>
      <x:c r="K201" s="2" t="str">
        <x:v>improve performance via prompt engineering</x:v>
      </x:c>
      <x:c r="L201" s="2" t="str">
        <x:v>NR</x:v>
      </x:c>
      <x:c r="M201" s="6" t="str">
        <x:v>NR</x:v>
      </x:c>
      <x:c r="N201" s="2" t="str">
        <x:v>Speculative</x:v>
      </x:c>
      <x:c r="O201" s="2" t="str">
        <x:v>improve-prompting-techniques</x:v>
      </x:c>
      <x:c r="P201" s="2" t="str">
        <x:v>Future research</x:v>
      </x:c>
      <x:c r="Q201" s="2" t="str">
        <x:v>Context, retrieval, and model adaptation</x:v>
      </x:c>
      <x:c r="R201" s="6" t="str">
        <x:v>p. 13; Section 5 Conclusion</x:v>
      </x:c>
      <x:c r="S201" s="6" t="str">
        <x:v>as a next step, we plan to investigate further prompting techniques, such as few-shot prompting and automated prompt engineering.</x:v>
      </x:c>
      <x:c r="T201" s="6" t="str">
        <x:v>拟探索少样本和自动提示工程以提升性能。</x:v>
      </x:c>
      <x:c r="U201" s="2" t="str">
        <x:v>Accepted</x:v>
      </x:c>
      <x:c r="V201" s="6" t="str">
        <x:v>NA</x:v>
      </x:c>
      <x:c r="W201" s="6" t="str">
        <x:v>Reported limitation-grounded</x:v>
      </x:c>
    </x:row>
    <x:row r="202" ht="76" customHeight="1">
      <x:c r="A202" s="2" t="str">
        <x:v>S42-FUTURE-R02</x:v>
      </x:c>
      <x:c r="B202" s="2" t="str">
        <x:v>S42</x:v>
      </x:c>
      <x:c r="C202" s="2" t="str">
        <x:v>merged_1266</x:v>
      </x:c>
      <x:c r="D202" s="2" t="str">
        <x:v>Reviewer_A</x:v>
      </x:c>
      <x:c r="E202" s="2" t="str">
        <x:v>Reviewer_A</x:v>
      </x:c>
      <x:c r="F202" s="2" t="str">
        <x:v>S42-D02</x:v>
      </x:c>
      <x:c r="G202" s="6" t="str">
        <x:v>SR</x:v>
      </x:c>
      <x:c r="H202" s="6" t="str">
        <x:v>Explicit future work</x:v>
      </x:c>
      <x:c r="I202" s="6" t="str">
        <x:v>打算在RAG方法中加入超出工件本身的情境信息以改进性能。</x:v>
      </x:c>
      <x:c r="J202" s="2" t="str">
        <x:v>NR</x:v>
      </x:c>
      <x:c r="K202" s="2" t="str">
        <x:v>performance improvement by enriching context</x:v>
      </x:c>
      <x:c r="L202" s="2" t="str">
        <x:v>NR</x:v>
      </x:c>
      <x:c r="M202" s="6" t="str">
        <x:v>NR</x:v>
      </x:c>
      <x:c r="N202" s="2" t="str">
        <x:v>Speculative</x:v>
      </x:c>
      <x:c r="O202" s="2" t="str">
        <x:v>add-context-information</x:v>
      </x:c>
      <x:c r="P202" s="2" t="str">
        <x:v>Future research</x:v>
      </x:c>
      <x:c r="Q202" s="2" t="str">
        <x:v>Context, retrieval, and model adaptation</x:v>
      </x:c>
      <x:c r="R202" s="6" t="str">
        <x:v>p. 13; Section 5 Conclusion</x:v>
      </x:c>
      <x:c r="S202" s="6" t="str">
        <x:v>We intend to improve the RAG-based approach by including context information beyond the information in the artifacts.</x:v>
      </x:c>
      <x:c r="T202" s="6" t="str">
        <x:v>计划引入额外上下文信息以增强RAG方法。</x:v>
      </x:c>
      <x:c r="U202" s="2" t="str">
        <x:v>Accepted</x:v>
      </x:c>
      <x:c r="V202" s="6" t="str">
        <x:v>NA</x:v>
      </x:c>
      <x:c r="W202" s="6" t="str">
        <x:v>Agenda statement only</x:v>
      </x:c>
    </x:row>
    <x:row r="203" ht="76" customHeight="1">
      <x:c r="A203" s="2" t="str">
        <x:v>S42-FUTURE-R03</x:v>
      </x:c>
      <x:c r="B203" s="2" t="str">
        <x:v>S42</x:v>
      </x:c>
      <x:c r="C203" s="2" t="str">
        <x:v>merged_1266</x:v>
      </x:c>
      <x:c r="D203" s="2" t="str">
        <x:v>Reviewer_A</x:v>
      </x:c>
      <x:c r="E203" s="2" t="str">
        <x:v>Reviewer_A</x:v>
      </x:c>
      <x:c r="F203" s="2" t="str">
        <x:v>S42-D03</x:v>
      </x:c>
      <x:c r="G203" s="6" t="str">
        <x:v>SR</x:v>
      </x:c>
      <x:c r="H203" s="6" t="str">
        <x:v>Explicit future work</x:v>
      </x:c>
      <x:c r="I203" s="6" t="str">
        <x:v>将探索需求分类在本方法中的应用，以识别需求中有利于追溯链接恢复的相关部分。</x:v>
      </x:c>
      <x:c r="J203" s="2" t="str">
        <x:v>NR</x:v>
      </x:c>
      <x:c r="K203" s="2" t="str">
        <x:v>improve linking by identifying relevant parts of requirements</x:v>
      </x:c>
      <x:c r="L203" s="2" t="str">
        <x:v>NR</x:v>
      </x:c>
      <x:c r="M203" s="6" t="str">
        <x:v>previous work [19] suggests benefit</x:v>
      </x:c>
      <x:c r="N203" s="2" t="str">
        <x:v>Speculative</x:v>
      </x:c>
      <x:c r="O203" s="2" t="str">
        <x:v>requirements-classification</x:v>
      </x:c>
      <x:c r="P203" s="2" t="str">
        <x:v>Future research</x:v>
      </x:c>
      <x:c r="Q203" s="2" t="str">
        <x:v>Context, retrieval, and model adaptation</x:v>
      </x:c>
      <x:c r="R203" s="6" t="str">
        <x:v>p. 13; Section 5 Conclusion</x:v>
      </x:c>
      <x:c r="S203" s="6" t="str">
        <x:v>As we have shown in previous work [19] that identifying relevant parts of the requirements for TLR can be beneficial, we will explore the use of requirements classification for this approach as well.</x:v>
      </x:c>
      <x:c r="T203" s="6" t="str">
        <x:v>受前期工作启发，拟将需求分类技术集成到方法中。</x:v>
      </x:c>
      <x:c r="U203" s="2" t="str">
        <x:v>Accepted</x:v>
      </x:c>
      <x:c r="V203" s="6" t="str">
        <x:v>Reference [19] provides initial evidence, but not yet applied to this approach.</x:v>
      </x:c>
      <x:c r="W203" s="6" t="str">
        <x:v>Result-grounded</x:v>
      </x:c>
    </x:row>
    <x:row r="204" ht="76" customHeight="1">
      <x:c r="A204" s="2" t="str">
        <x:v>S43-FUTURE-R01</x:v>
      </x:c>
      <x:c r="B204" s="2" t="str">
        <x:v>S43</x:v>
      </x:c>
      <x:c r="C204" s="2" t="str">
        <x:v>merged_1270</x:v>
      </x:c>
      <x:c r="D204" s="2" t="str">
        <x:v>Reviewer_A</x:v>
      </x:c>
      <x:c r="E204" s="2" t="str">
        <x:v>Reviewer_A</x:v>
      </x:c>
      <x:c r="F204" s="2" t="str">
        <x:v>S43-D01</x:v>
      </x:c>
      <x:c r="G204" s="6" t="str">
        <x:v>SR</x:v>
      </x:c>
      <x:c r="H204" s="6" t="str">
        <x:v>Explicit future work</x:v>
      </x:c>
      <x:c r="I204" s="6" t="str">
        <x:v>开发新型异构图注意力机制，以实现跨多模态软件制品（需求文档、源代码、测试用例）的统一表示学习。</x:v>
      </x:c>
      <x:c r="J204" s="2" t="str">
        <x:v>NR</x:v>
      </x:c>
      <x:c r="K204" s="2" t="str">
        <x:v>当前方法对不同模态制品的表示可能不够统一。</x:v>
      </x:c>
      <x:c r="L204" s="2" t="str">
        <x:v>NR</x:v>
      </x:c>
      <x:c r="M204" s="6" t="str">
        <x:v>No</x:v>
      </x:c>
      <x:c r="N204" s="2" t="str">
        <x:v>Speculative</x:v>
      </x:c>
      <x:c r="O204" s="2" t="str">
        <x:v>model_architecture</x:v>
      </x:c>
      <x:c r="P204" s="2" t="str">
        <x:v>heterogeneous_attention</x:v>
      </x:c>
      <x:c r="Q204" s="2" t="str">
        <x:v>Context, retrieval, and model adaptation</x:v>
      </x:c>
      <x:c r="R204" s="6" t="str">
        <x:v>p. 11; Section VII. Conclusion and Future Work</x:v>
      </x:c>
      <x:c r="S204" s="6" t="str">
        <x:v>develop novel heterogeneous graph attention mechanisms to achieve unified representation learning across multimodal software artifacts, including requirements documents, source code, and test cases.</x:v>
      </x:c>
      <x:c r="T204" s="6" t="str">
        <x:v>未来拟提升模型的跨模态统一表示能力。</x:v>
      </x:c>
      <x:c r="U204" s="2" t="str">
        <x:v>Accepted</x:v>
      </x:c>
      <x:c r="V204" s="6" t="str">
        <x:v>NA</x:v>
      </x:c>
      <x:c r="W204" s="6" t="str">
        <x:v>Agenda statement only</x:v>
      </x:c>
    </x:row>
    <x:row r="205" ht="76" customHeight="1">
      <x:c r="A205" s="2" t="str">
        <x:v>S43-FUTURE-R02</x:v>
      </x:c>
      <x:c r="B205" s="2" t="str">
        <x:v>S43</x:v>
      </x:c>
      <x:c r="C205" s="2" t="str">
        <x:v>merged_1270</x:v>
      </x:c>
      <x:c r="D205" s="2" t="str">
        <x:v>Reviewer_A</x:v>
      </x:c>
      <x:c r="E205" s="2" t="str">
        <x:v>Reviewer_A</x:v>
      </x:c>
      <x:c r="F205" s="2" t="str">
        <x:v>S43-D02</x:v>
      </x:c>
      <x:c r="G205" s="6" t="str">
        <x:v>SR</x:v>
      </x:c>
      <x:c r="H205" s="6" t="str">
        <x:v>Explicit future work</x:v>
      </x:c>
      <x:c r="I205" s="6" t="str">
        <x:v>研究动态图神经网络架构，支持软件项目迭代过程中的自适应图结构演化。</x:v>
      </x:c>
      <x:c r="J205" s="2" t="str">
        <x:v>NR</x:v>
      </x:c>
      <x:c r="K205" s="2" t="str">
        <x:v>当前图结构是静态的，不能适应项目演化。</x:v>
      </x:c>
      <x:c r="L205" s="2" t="str">
        <x:v>NR</x:v>
      </x:c>
      <x:c r="M205" s="6" t="str">
        <x:v>No</x:v>
      </x:c>
      <x:c r="N205" s="2" t="str">
        <x:v>Speculative</x:v>
      </x:c>
      <x:c r="O205" s="2" t="str">
        <x:v>model_architecture</x:v>
      </x:c>
      <x:c r="P205" s="2" t="str">
        <x:v>dynamic_gnn</x:v>
      </x:c>
      <x:c r="Q205" s="2" t="str">
        <x:v>Context, retrieval, and model adaptation</x:v>
      </x:c>
      <x:c r="R205" s="6" t="str">
        <x:v>p. 11; Section VII. Conclusion and Future Work</x:v>
      </x:c>
      <x:c r="S205" s="6" t="str">
        <x:v>investigate dynamic GNN architectures [48] to support adaptive graph structure evolution during software project iterations</x:v>
      </x:c>
      <x:c r="T205" s="6" t="str">
        <x:v>引入动态图网络以适应软件变更。</x:v>
      </x:c>
      <x:c r="U205" s="2" t="str">
        <x:v>Accepted</x:v>
      </x:c>
      <x:c r="V205" s="6" t="str">
        <x:v>NA</x:v>
      </x:c>
      <x:c r="W205" s="6" t="str">
        <x:v>Agenda statement only</x:v>
      </x:c>
    </x:row>
    <x:row r="206" ht="76" customHeight="1">
      <x:c r="A206" s="2" t="str">
        <x:v>S43-FUTURE-R03</x:v>
      </x:c>
      <x:c r="B206" s="2" t="str">
        <x:v>S43</x:v>
      </x:c>
      <x:c r="C206" s="2" t="str">
        <x:v>merged_1270</x:v>
      </x:c>
      <x:c r="D206" s="2" t="str">
        <x:v>Reviewer_A</x:v>
      </x:c>
      <x:c r="E206" s="2" t="str">
        <x:v>Reviewer_A</x:v>
      </x:c>
      <x:c r="F206" s="2" t="str">
        <x:v>S43-D03</x:v>
      </x:c>
      <x:c r="G206" s="6" t="str">
        <x:v>SR</x:v>
      </x:c>
      <x:c r="H206" s="6" t="str">
        <x:v>Explicit future work</x:v>
      </x:c>
      <x:c r="I206" s="6" t="str">
        <x:v>探索基于扩散模型的技术以增强图表示学习。</x:v>
      </x:c>
      <x:c r="J206" s="2" t="str">
        <x:v>NR</x:v>
      </x:c>
      <x:c r="K206" s="2" t="str">
        <x:v>图表示学习可能存在局限性。</x:v>
      </x:c>
      <x:c r="L206" s="2" t="str">
        <x:v>NR</x:v>
      </x:c>
      <x:c r="M206" s="6" t="str">
        <x:v>No</x:v>
      </x:c>
      <x:c r="N206" s="2" t="str">
        <x:v>Speculative</x:v>
      </x:c>
      <x:c r="O206" s="2" t="str">
        <x:v>model_architecture</x:v>
      </x:c>
      <x:c r="P206" s="2" t="str">
        <x:v>diffusion_model</x:v>
      </x:c>
      <x:c r="Q206" s="2" t="str">
        <x:v>Context, retrieval, and model adaptation</x:v>
      </x:c>
      <x:c r="R206" s="6" t="str">
        <x:v>p. 11; Section VII. Conclusion and Future Work</x:v>
      </x:c>
      <x:c r="S206" s="6" t="str">
        <x:v>exploring diffusion model-based techniques [49] for enhancing graph representation learning</x:v>
      </x:c>
      <x:c r="T206" s="6" t="str">
        <x:v>利用扩散模型提高图表达能力。</x:v>
      </x:c>
      <x:c r="U206" s="2" t="str">
        <x:v>Accepted</x:v>
      </x:c>
      <x:c r="V206" s="6" t="str">
        <x:v>NA</x:v>
      </x:c>
      <x:c r="W206" s="6" t="str">
        <x:v>Agenda statement only</x:v>
      </x:c>
    </x:row>
    <x:row r="207" ht="76" customHeight="1">
      <x:c r="A207" s="2" t="str">
        <x:v>S43-FUTURE-R04</x:v>
      </x:c>
      <x:c r="B207" s="2" t="str">
        <x:v>S43</x:v>
      </x:c>
      <x:c r="C207" s="2" t="str">
        <x:v>merged_1270</x:v>
      </x:c>
      <x:c r="D207" s="2" t="str">
        <x:v>Reviewer_A</x:v>
      </x:c>
      <x:c r="E207" s="2" t="str">
        <x:v>Reviewer_A</x:v>
      </x:c>
      <x:c r="F207" s="2" t="str">
        <x:v>S43-D04</x:v>
      </x:c>
      <x:c r="G207" s="6" t="str">
        <x:v>SR</x:v>
      </x:c>
      <x:c r="H207" s="6" t="str">
        <x:v>Explicit future work</x:v>
      </x:c>
      <x:c r="I207" s="6" t="str">
        <x:v>构建一个多粒度的归因分析框架，集成注意力分析、反事实推理和概念激活向量。</x:v>
      </x:c>
      <x:c r="J207" s="2" t="str">
        <x:v>NR</x:v>
      </x:c>
      <x:c r="K207" s="2" t="str">
        <x:v>可解释性不足。</x:v>
      </x:c>
      <x:c r="L207" s="2" t="str">
        <x:v>NR</x:v>
      </x:c>
      <x:c r="M207" s="6" t="str">
        <x:v>No</x:v>
      </x:c>
      <x:c r="N207" s="2" t="str">
        <x:v>Speculative</x:v>
      </x:c>
      <x:c r="O207" s="2" t="str">
        <x:v>interpretability</x:v>
      </x:c>
      <x:c r="P207" s="2" t="str">
        <x:v>attribution_framework</x:v>
      </x:c>
      <x:c r="Q207" s="2" t="str">
        <x:v>Reliability, explainability, and human oversight</x:v>
      </x:c>
      <x:c r="R207" s="6" t="str">
        <x:v>p. 11; Section VII. Conclusion and Future Work</x:v>
      </x:c>
      <x:c r="S207" s="6" t="str">
        <x:v>construct a multi-granularity attribution analysis framework [50] that integrates attention analysis [51], counterfactual reasoning [52], and concept activation vectors [53]</x:v>
      </x:c>
      <x:c r="T207" s="6" t="str">
        <x:v>增强模型的可解释性。</x:v>
      </x:c>
      <x:c r="U207" s="2" t="str">
        <x:v>Accepted</x:v>
      </x:c>
      <x:c r="V207" s="6" t="str">
        <x:v>NA</x:v>
      </x:c>
      <x:c r="W207" s="6" t="str">
        <x:v>Agenda statement only</x:v>
      </x:c>
    </x:row>
    <x:row r="208" ht="76" customHeight="1">
      <x:c r="A208" s="2" t="str">
        <x:v>S43-FUTURE-R05</x:v>
      </x:c>
      <x:c r="B208" s="2" t="str">
        <x:v>S43</x:v>
      </x:c>
      <x:c r="C208" s="2" t="str">
        <x:v>merged_1270</x:v>
      </x:c>
      <x:c r="D208" s="2" t="str">
        <x:v>Reviewer_A</x:v>
      </x:c>
      <x:c r="E208" s="2" t="str">
        <x:v>Reviewer_A</x:v>
      </x:c>
      <x:c r="F208" s="2" t="str">
        <x:v>S43-D05</x:v>
      </x:c>
      <x:c r="G208" s="6" t="str">
        <x:v>SR</x:v>
      </x:c>
      <x:c r="H208" s="6" t="str">
        <x:v>Explicit future work</x:v>
      </x:c>
      <x:c r="I208" s="6" t="str">
        <x:v>开发交互式可视化工具以支持可追溯的推理路径，进一步提高追溯过程的透明度。</x:v>
      </x:c>
      <x:c r="J208" s="2" t="str">
        <x:v>NR</x:v>
      </x:c>
      <x:c r="K208" s="2" t="str">
        <x:v>追溯过程透明度不足。</x:v>
      </x:c>
      <x:c r="L208" s="2" t="str">
        <x:v>NR</x:v>
      </x:c>
      <x:c r="M208" s="6" t="str">
        <x:v>No</x:v>
      </x:c>
      <x:c r="N208" s="2" t="str">
        <x:v>Speculative</x:v>
      </x:c>
      <x:c r="O208" s="2" t="str">
        <x:v>interpretability</x:v>
      </x:c>
      <x:c r="P208" s="2" t="str">
        <x:v>visualization</x:v>
      </x:c>
      <x:c r="Q208" s="2" t="str">
        <x:v>Reliability, explainability, and human oversight</x:v>
      </x:c>
      <x:c r="R208" s="6" t="str">
        <x:v>p. 11; Section VII. Conclusion and Future Work</x:v>
      </x:c>
      <x:c r="S208" s="6" t="str">
        <x:v>development of interactive visualization tools to support traceable reasoning paths, further improving the transparency of the traceability process.</x:v>
      </x:c>
      <x:c r="T208" s="6" t="str">
        <x:v>通过可视化工具提升可追溯性。</x:v>
      </x:c>
      <x:c r="U208" s="2" t="str">
        <x:v>Accepted</x:v>
      </x:c>
      <x:c r="V208" s="6" t="str">
        <x:v>NA</x:v>
      </x:c>
      <x:c r="W208" s="6" t="str">
        <x:v>Agenda statement only</x:v>
      </x:c>
    </x:row>
    <x:row r="209" ht="76" customHeight="1">
      <x:c r="A209" s="2" t="str">
        <x:v>S43-FUTURE-R06</x:v>
      </x:c>
      <x:c r="B209" s="2" t="str">
        <x:v>S43</x:v>
      </x:c>
      <x:c r="C209" s="2" t="str">
        <x:v>merged_1270</x:v>
      </x:c>
      <x:c r="D209" s="2" t="str">
        <x:v>Reviewer_A</x:v>
      </x:c>
      <x:c r="E209" s="2" t="str">
        <x:v>Reviewer_A</x:v>
      </x:c>
      <x:c r="F209" s="2" t="str">
        <x:v>S43-D06</x:v>
      </x:c>
      <x:c r="G209" s="6" t="str">
        <x:v>SR</x:v>
      </x:c>
      <x:c r="H209" s="6" t="str">
        <x:v>Explicit future work</x:v>
      </x:c>
      <x:c r="I209" s="6" t="str">
        <x:v>将技术框架扩展到整个软件工程生命周期的关键场景，包括需求变更影响分析、缺陷定位和修复建议。</x:v>
      </x:c>
      <x:c r="J209" s="2" t="str">
        <x:v>NR</x:v>
      </x:c>
      <x:c r="K209" s="2" t="str">
        <x:v>当前应用场景有限。</x:v>
      </x:c>
      <x:c r="L209" s="2" t="str">
        <x:v>NR</x:v>
      </x:c>
      <x:c r="M209" s="6" t="str">
        <x:v>No</x:v>
      </x:c>
      <x:c r="N209" s="2" t="str">
        <x:v>Speculative</x:v>
      </x:c>
      <x:c r="O209" s="2" t="str">
        <x:v>application</x:v>
      </x:c>
      <x:c r="P209" s="2" t="str">
        <x:v>lifecycle_coverage</x:v>
      </x:c>
      <x:c r="Q209" s="2" t="str">
        <x:v>Broader empirical validation</x:v>
      </x:c>
      <x:c r="R209" s="6" t="str">
        <x:v>p. 11; Section VII. Conclusion and Future Work</x:v>
      </x:c>
      <x:c r="S209" s="6" t="str">
        <x:v>extend this technical framework to cover critical scenarios across the entire software engineering lifecycle, including requirements change impact analysis [54], defect localization [55], and repair recommendations [56].</x:v>
      </x:c>
      <x:c r="T209" s="6" t="str">
        <x:v>拓展方法到更多软件工程任务。</x:v>
      </x:c>
      <x:c r="U209" s="2" t="str">
        <x:v>Accepted</x:v>
      </x:c>
      <x:c r="V209" s="6" t="str">
        <x:v>NA</x:v>
      </x:c>
      <x:c r="W209" s="6" t="str">
        <x:v>Agenda statement only</x:v>
      </x:c>
    </x:row>
    <x:row r="210" ht="76" customHeight="1">
      <x:c r="A210" s="2" t="str">
        <x:v>S43-FUTURE-R07</x:v>
      </x:c>
      <x:c r="B210" s="2" t="str">
        <x:v>S43</x:v>
      </x:c>
      <x:c r="C210" s="2" t="str">
        <x:v>merged_1270</x:v>
      </x:c>
      <x:c r="D210" s="2" t="str">
        <x:v>Reviewer_A</x:v>
      </x:c>
      <x:c r="E210" s="2" t="str">
        <x:v>Reviewer_A</x:v>
      </x:c>
      <x:c r="F210" s="2" t="str">
        <x:v>S43-D07</x:v>
      </x:c>
      <x:c r="G210" s="6" t="str">
        <x:v>SR</x:v>
      </x:c>
      <x:c r="H210" s="6" t="str">
        <x:v>Explicit future work</x:v>
      </x:c>
      <x:c r="I210" s="6" t="str">
        <x:v>针对大规模代码库优化计算效率。</x:v>
      </x:c>
      <x:c r="J210" s="2" t="str">
        <x:v>NR</x:v>
      </x:c>
      <x:c r="K210" s="2" t="str">
        <x:v>处理大规模代码库时计算效率可能不足。</x:v>
      </x:c>
      <x:c r="L210" s="2" t="str">
        <x:v>NR</x:v>
      </x:c>
      <x:c r="M210" s="6" t="str">
        <x:v>No</x:v>
      </x:c>
      <x:c r="N210" s="2" t="str">
        <x:v>Speculative</x:v>
      </x:c>
      <x:c r="O210" s="2" t="str">
        <x:v>engineering_practicality</x:v>
      </x:c>
      <x:c r="P210" s="2" t="str">
        <x:v>efficiency_optimization</x:v>
      </x:c>
      <x:c r="Q210" s="2" t="str">
        <x:v>Integration, evolution, and deployment</x:v>
      </x:c>
      <x:c r="R210" s="6" t="str">
        <x:v>p. 11; Section VII. Conclusion and Future Work</x:v>
      </x:c>
      <x:c r="S210" s="6" t="str">
        <x:v>optimize computational efficiency for large-scale codebases</x:v>
      </x:c>
      <x:c r="T210" s="6" t="str">
        <x:v>提升工程实用性。</x:v>
      </x:c>
      <x:c r="U210" s="2" t="str">
        <x:v>Accepted</x:v>
      </x:c>
      <x:c r="V210" s="6" t="str">
        <x:v>NA</x:v>
      </x:c>
      <x:c r="W210" s="6" t="str">
        <x:v>Agenda statement only</x:v>
      </x:c>
    </x:row>
    <x:row r="211" ht="76" customHeight="1">
      <x:c r="A211" s="2" t="str">
        <x:v>S43-FUTURE-R08</x:v>
      </x:c>
      <x:c r="B211" s="2" t="str">
        <x:v>S43</x:v>
      </x:c>
      <x:c r="C211" s="2" t="str">
        <x:v>merged_1270</x:v>
      </x:c>
      <x:c r="D211" s="2" t="str">
        <x:v>Reviewer_A</x:v>
      </x:c>
      <x:c r="E211" s="2" t="str">
        <x:v>Reviewer_A</x:v>
      </x:c>
      <x:c r="F211" s="2" t="str">
        <x:v>S43-D08</x:v>
      </x:c>
      <x:c r="G211" s="6" t="str">
        <x:v>SR</x:v>
      </x:c>
      <x:c r="H211" s="6" t="str">
        <x:v>Explicit future work</x:v>
      </x:c>
      <x:c r="I211" s="6" t="str">
        <x:v>开发增量学习和在线更新机制。</x:v>
      </x:c>
      <x:c r="J211" s="2" t="str">
        <x:v>NR</x:v>
      </x:c>
      <x:c r="K211" s="2" t="str">
        <x:v>模型不能适应持续演化的软件项目。</x:v>
      </x:c>
      <x:c r="L211" s="2" t="str">
        <x:v>NR</x:v>
      </x:c>
      <x:c r="M211" s="6" t="str">
        <x:v>No</x:v>
      </x:c>
      <x:c r="N211" s="2" t="str">
        <x:v>Speculative</x:v>
      </x:c>
      <x:c r="O211" s="2" t="str">
        <x:v>engineering_practicality</x:v>
      </x:c>
      <x:c r="P211" s="2" t="str">
        <x:v>incremental_learning</x:v>
      </x:c>
      <x:c r="Q211" s="2" t="str">
        <x:v>Integration, evolution, and deployment</x:v>
      </x:c>
      <x:c r="R211" s="6" t="str">
        <x:v>p. 11; Section VII. Conclusion and Future Work</x:v>
      </x:c>
      <x:c r="S211" s="6" t="str">
        <x:v>develop incremental learning and online update mechanisms</x:v>
      </x:c>
      <x:c r="T211" s="6" t="str">
        <x:v>支持持续的软件变更。</x:v>
      </x:c>
      <x:c r="U211" s="2" t="str">
        <x:v>Accepted</x:v>
      </x:c>
      <x:c r="V211" s="6" t="str">
        <x:v>NA</x:v>
      </x:c>
      <x:c r="W211" s="6" t="str">
        <x:v>Agenda statement only</x:v>
      </x:c>
    </x:row>
    <x:row r="212" ht="76" customHeight="1">
      <x:c r="A212" s="2" t="str">
        <x:v>S43-FUTURE-R09</x:v>
      </x:c>
      <x:c r="B212" s="2" t="str">
        <x:v>S43</x:v>
      </x:c>
      <x:c r="C212" s="2" t="str">
        <x:v>merged_1270</x:v>
      </x:c>
      <x:c r="D212" s="2" t="str">
        <x:v>Reviewer_A</x:v>
      </x:c>
      <x:c r="E212" s="2" t="str">
        <x:v>Reviewer_A</x:v>
      </x:c>
      <x:c r="F212" s="2" t="str">
        <x:v>S43-D09</x:v>
      </x:c>
      <x:c r="G212" s="6" t="str">
        <x:v>SR</x:v>
      </x:c>
      <x:c r="H212" s="6" t="str">
        <x:v>Explicit future work</x:v>
      </x:c>
      <x:c r="I212" s="6" t="str">
        <x:v>与主流开发工具构建深度集成解决方案。</x:v>
      </x:c>
      <x:c r="J212" s="2" t="str">
        <x:v>NR</x:v>
      </x:c>
      <x:c r="K212" s="2" t="str">
        <x:v>当前方法未与开发流程集成。</x:v>
      </x:c>
      <x:c r="L212" s="2" t="str">
        <x:v>NR</x:v>
      </x:c>
      <x:c r="M212" s="6" t="str">
        <x:v>No</x:v>
      </x:c>
      <x:c r="N212" s="2" t="str">
        <x:v>Speculative</x:v>
      </x:c>
      <x:c r="O212" s="2" t="str">
        <x:v>engineering_practicality</x:v>
      </x:c>
      <x:c r="P212" s="2" t="str">
        <x:v>tool_integration</x:v>
      </x:c>
      <x:c r="Q212" s="2" t="str">
        <x:v>Integration, evolution, and deployment</x:v>
      </x:c>
      <x:c r="R212" s="6" t="str">
        <x:v>p. 11; Section VII. Conclusion and Future Work</x:v>
      </x:c>
      <x:c r="S212" s="6" t="str">
        <x:v>build deep integration solutions with mainstream development tools.</x:v>
      </x:c>
      <x:c r="T212" s="6" t="str">
        <x:v>融入实际开发流程。</x:v>
      </x:c>
      <x:c r="U212" s="2" t="str">
        <x:v>Accepted</x:v>
      </x:c>
      <x:c r="V212" s="6" t="str">
        <x:v>NA</x:v>
      </x:c>
      <x:c r="W212" s="6" t="str">
        <x:v>Agenda statement only</x:v>
      </x:c>
    </x:row>
    <x:row r="213" ht="76" customHeight="1">
      <x:c r="A213" s="2" t="str">
        <x:v>S44-FUTURE-R01</x:v>
      </x:c>
      <x:c r="B213" s="2" t="str">
        <x:v>S44</x:v>
      </x:c>
      <x:c r="C213" s="2" t="str">
        <x:v>merged_1274</x:v>
      </x:c>
      <x:c r="D213" s="2" t="str">
        <x:v>Reviewer_A</x:v>
      </x:c>
      <x:c r="E213" s="2" t="str">
        <x:v>Reviewer_A</x:v>
      </x:c>
      <x:c r="F213" s="2" t="str">
        <x:v>S44-D01</x:v>
      </x:c>
      <x:c r="G213" s="6" t="str">
        <x:v>SR</x:v>
      </x:c>
      <x:c r="H213" s="6" t="str">
        <x:v>Explicit future work</x:v>
      </x:c>
      <x:c r="I213" s="6" t="str">
        <x:v>扩展到更大的数据集。</x:v>
      </x:c>
      <x:c r="J213" s="2" t="str">
        <x:v>NR</x:v>
      </x:c>
      <x:c r="K213" s="2" t="str">
        <x:v>当前方法仅在四个数据集上评估，需要更大规模验证</x:v>
      </x:c>
      <x:c r="L213" s="2" t="str">
        <x:v>Unclear</x:v>
      </x:c>
      <x:c r="M213" s="6" t="str">
        <x:v>NR</x:v>
      </x:c>
      <x:c r="N213" s="2" t="str">
        <x:v>Speculative</x:v>
      </x:c>
      <x:c r="O213" s="2" t="str">
        <x:v>dataset_expansion</x:v>
      </x:c>
      <x:c r="P213" s="2" t="str">
        <x:v>Generalization</x:v>
      </x:c>
      <x:c r="Q213" s="2" t="str">
        <x:v>Broader empirical validation</x:v>
      </x:c>
      <x:c r="R213" s="6" t="str">
        <x:v>p. 5; Section IV</x:v>
      </x:c>
      <x:c r="S213" s="6" t="str">
        <x:v>expand to larger datasets</x:v>
      </x:c>
      <x:c r="T213" s="6" t="str">
        <x:v>作者计划将方法扩展到更大的数据集以验证泛化性。</x:v>
      </x:c>
      <x:c r="U213" s="2" t="str">
        <x:v>Accepted</x:v>
      </x:c>
      <x:c r="V213" s="6" t="str">
        <x:v>NA</x:v>
      </x:c>
      <x:c r="W213" s="6" t="str">
        <x:v>Agenda statement only</x:v>
      </x:c>
    </x:row>
    <x:row r="214" ht="76" customHeight="1">
      <x:c r="A214" s="2" t="str">
        <x:v>S44-FUTURE-R02</x:v>
      </x:c>
      <x:c r="B214" s="2" t="str">
        <x:v>S44</x:v>
      </x:c>
      <x:c r="C214" s="2" t="str">
        <x:v>merged_1274</x:v>
      </x:c>
      <x:c r="D214" s="2" t="str">
        <x:v>Reviewer_A</x:v>
      </x:c>
      <x:c r="E214" s="2" t="str">
        <x:v>Reviewer_A</x:v>
      </x:c>
      <x:c r="F214" s="2" t="str">
        <x:v>S44-D02</x:v>
      </x:c>
      <x:c r="G214" s="6" t="str">
        <x:v>SR</x:v>
      </x:c>
      <x:c r="H214" s="6" t="str">
        <x:v>Explicit future work</x:v>
      </x:c>
      <x:c r="I214" s="6" t="str">
        <x:v>扩展到多种编程语言，如Python、C++。</x:v>
      </x:c>
      <x:c r="J214" s="2" t="str">
        <x:v>NR</x:v>
      </x:c>
      <x:c r="K214" s="2" t="str">
        <x:v>当前方法仅针对有限语言，需验证跨语言能力</x:v>
      </x:c>
      <x:c r="L214" s="2" t="str">
        <x:v>Unclear</x:v>
      </x:c>
      <x:c r="M214" s="6" t="str">
        <x:v>NR</x:v>
      </x:c>
      <x:c r="N214" s="2" t="str">
        <x:v>Speculative</x:v>
      </x:c>
      <x:c r="O214" s="2" t="str">
        <x:v>language_expansion</x:v>
      </x:c>
      <x:c r="P214" s="2" t="str">
        <x:v>Generalization</x:v>
      </x:c>
      <x:c r="Q214" s="2" t="str">
        <x:v>Broader empirical validation</x:v>
      </x:c>
      <x:c r="R214" s="6" t="str">
        <x:v>p. 5; Section IV</x:v>
      </x:c>
      <x:c r="S214" s="6" t="str">
        <x:v>diverse programming languages (e.g., Python, C++)</x:v>
      </x:c>
      <x:c r="T214" s="6" t="str">
        <x:v>作者计划扩展到多种编程语言以增强适用性。</x:v>
      </x:c>
      <x:c r="U214" s="2" t="str">
        <x:v>Accepted</x:v>
      </x:c>
      <x:c r="V214" s="6" t="str">
        <x:v>NA</x:v>
      </x:c>
      <x:c r="W214" s="6" t="str">
        <x:v>Agenda statement only</x:v>
      </x:c>
    </x:row>
    <x:row r="215" ht="76" customHeight="1">
      <x:c r="A215" s="2" t="str">
        <x:v>S44-FUTURE-R03</x:v>
      </x:c>
      <x:c r="B215" s="2" t="str">
        <x:v>S44</x:v>
      </x:c>
      <x:c r="C215" s="2" t="str">
        <x:v>merged_1274</x:v>
      </x:c>
      <x:c r="D215" s="2" t="str">
        <x:v>Reviewer_A</x:v>
      </x:c>
      <x:c r="E215" s="2" t="str">
        <x:v>Reviewer_A</x:v>
      </x:c>
      <x:c r="F215" s="2" t="str">
        <x:v>S44-D03</x:v>
      </x:c>
      <x:c r="G215" s="6" t="str">
        <x:v>SR</x:v>
      </x:c>
      <x:c r="H215" s="6" t="str">
        <x:v>Explicit future work</x:v>
      </x:c>
      <x:c r="I215" s="6" t="str">
        <x:v>扩展到更多大型语言模型，如DeepSeek、GPT-4、PaLM、LLaMA。</x:v>
      </x:c>
      <x:c r="J215" s="2" t="str">
        <x:v>NR</x:v>
      </x:c>
      <x:c r="K215" s="2" t="str">
        <x:v>当前使用单一模型GPT-3.5，需比较其他LLM的效果</x:v>
      </x:c>
      <x:c r="L215" s="2" t="str">
        <x:v>Unclear</x:v>
      </x:c>
      <x:c r="M215" s="6" t="str">
        <x:v>NR</x:v>
      </x:c>
      <x:c r="N215" s="2" t="str">
        <x:v>Speculative</x:v>
      </x:c>
      <x:c r="O215" s="2" t="str">
        <x:v>LLM_expansion</x:v>
      </x:c>
      <x:c r="P215" s="2" t="str">
        <x:v>Generalization</x:v>
      </x:c>
      <x:c r="Q215" s="2" t="str">
        <x:v>Broader empirical validation</x:v>
      </x:c>
      <x:c r="R215" s="6" t="str">
        <x:v>p. 5; Section IV</x:v>
      </x:c>
      <x:c r="S215" s="6" t="str">
        <x:v>additional LLMs (e.g., DeepSeek, GPT-4, PaLM, LLaMA)</x:v>
      </x:c>
      <x:c r="T215" s="6" t="str">
        <x:v>作者计划测试其他LLM以比较性能。</x:v>
      </x:c>
      <x:c r="U215" s="2" t="str">
        <x:v>Accepted</x:v>
      </x:c>
      <x:c r="V215" s="6" t="str">
        <x:v>NA</x:v>
      </x:c>
      <x:c r="W215" s="6" t="str">
        <x:v>Agenda statement only</x:v>
      </x:c>
    </x:row>
    <x:row r="216" ht="76" customHeight="1">
      <x:c r="A216" s="2" t="str">
        <x:v>S44-FUTURE-R04</x:v>
      </x:c>
      <x:c r="B216" s="2" t="str">
        <x:v>S44</x:v>
      </x:c>
      <x:c r="C216" s="2" t="str">
        <x:v>merged_1274</x:v>
      </x:c>
      <x:c r="D216" s="2" t="str">
        <x:v>Reviewer_A</x:v>
      </x:c>
      <x:c r="E216" s="2" t="str">
        <x:v>Reviewer_A</x:v>
      </x:c>
      <x:c r="F216" s="2" t="str">
        <x:v>S44-D04</x:v>
      </x:c>
      <x:c r="G216" s="6" t="str">
        <x:v>SR</x:v>
      </x:c>
      <x:c r="H216" s="6" t="str">
        <x:v>Explicit future work</x:v>
      </x:c>
      <x:c r="I216" s="6" t="str">
        <x:v>优化提示设计。</x:v>
      </x:c>
      <x:c r="J216" s="2" t="str">
        <x:v>NR</x:v>
      </x:c>
      <x:c r="K216" s="2" t="str">
        <x:v>当前提示设计可能并非最优，有改进空间</x:v>
      </x:c>
      <x:c r="L216" s="2" t="str">
        <x:v>Unclear</x:v>
      </x:c>
      <x:c r="M216" s="6" t="str">
        <x:v>NR</x:v>
      </x:c>
      <x:c r="N216" s="2" t="str">
        <x:v>Speculative</x:v>
      </x:c>
      <x:c r="O216" s="2" t="str">
        <x:v>prompt_refinement</x:v>
      </x:c>
      <x:c r="P216" s="2" t="str">
        <x:v>Improvement</x:v>
      </x:c>
      <x:c r="Q216" s="2" t="str">
        <x:v>Context, retrieval, and model adaptation</x:v>
      </x:c>
      <x:c r="R216" s="6" t="str">
        <x:v>p. 5; Section IV</x:v>
      </x:c>
      <x:c r="S216" s="6" t="str">
        <x:v>refine prompt design</x:v>
      </x:c>
      <x:c r="T216" s="6" t="str">
        <x:v>作者计划进一步优化提示工程。</x:v>
      </x:c>
      <x:c r="U216" s="2" t="str">
        <x:v>Accepted</x:v>
      </x:c>
      <x:c r="V216" s="6" t="str">
        <x:v>NA</x:v>
      </x:c>
      <x:c r="W216" s="6" t="str">
        <x:v>Agenda statement only</x:v>
      </x:c>
    </x:row>
    <x:row r="217" ht="76" customHeight="1">
      <x:c r="A217" s="2" t="str">
        <x:v>S44-FUTURE-R05</x:v>
      </x:c>
      <x:c r="B217" s="2" t="str">
        <x:v>S44</x:v>
      </x:c>
      <x:c r="C217" s="2" t="str">
        <x:v>merged_1274</x:v>
      </x:c>
      <x:c r="D217" s="2" t="str">
        <x:v>Reviewer_A</x:v>
      </x:c>
      <x:c r="E217" s="2" t="str">
        <x:v>Reviewer_A</x:v>
      </x:c>
      <x:c r="F217" s="2" t="str">
        <x:v>S44-D05</x:v>
      </x:c>
      <x:c r="G217" s="6" t="str">
        <x:v>SR</x:v>
      </x:c>
      <x:c r="H217" s="6" t="str">
        <x:v>Explicit future work</x:v>
      </x:c>
      <x:c r="I217" s="6" t="str">
        <x:v>集成多模态特征，如代码结构。</x:v>
      </x:c>
      <x:c r="J217" s="2" t="str">
        <x:v>NR</x:v>
      </x:c>
      <x:c r="K217" s="2" t="str">
        <x:v>当前方法仅使用文本信息，未利用代码结构特征</x:v>
      </x:c>
      <x:c r="L217" s="2" t="str">
        <x:v>Unclear</x:v>
      </x:c>
      <x:c r="M217" s="6" t="str">
        <x:v>NR</x:v>
      </x:c>
      <x:c r="N217" s="2" t="str">
        <x:v>Speculative</x:v>
      </x:c>
      <x:c r="O217" s="2" t="str">
        <x:v>multimodal_integration</x:v>
      </x:c>
      <x:c r="P217" s="2" t="str">
        <x:v>Improvement</x:v>
      </x:c>
      <x:c r="Q217" s="2" t="str">
        <x:v>Context, retrieval, and model adaptation</x:v>
      </x:c>
      <x:c r="R217" s="6" t="str">
        <x:v>p. 5; Section IV</x:v>
      </x:c>
      <x:c r="S217" s="6" t="str">
        <x:v>integrate multimodal features such as code structure</x:v>
      </x:c>
      <x:c r="T217" s="6" t="str">
        <x:v>作者计划集成代码结构等非文本特征以提升性能。</x:v>
      </x:c>
      <x:c r="U217" s="2" t="str">
        <x:v>Accepted</x:v>
      </x:c>
      <x:c r="V217" s="6" t="str">
        <x:v>NA</x:v>
      </x:c>
      <x:c r="W217" s="6" t="str">
        <x:v>Agenda statement only</x:v>
      </x:c>
    </x:row>
    <x:row r="218" ht="76" customHeight="1">
      <x:c r="A218" s="2" t="str">
        <x:v>S44-FUTURE-R06</x:v>
      </x:c>
      <x:c r="B218" s="2" t="str">
        <x:v>S44</x:v>
      </x:c>
      <x:c r="C218" s="2" t="str">
        <x:v>merged_1274</x:v>
      </x:c>
      <x:c r="D218" s="2" t="str">
        <x:v>Reviewer_A</x:v>
      </x:c>
      <x:c r="E218" s="2" t="str">
        <x:v>Reviewer_A</x:v>
      </x:c>
      <x:c r="F218" s="2" t="str">
        <x:v>S44-D06</x:v>
      </x:c>
      <x:c r="G218" s="6" t="str">
        <x:v>SR</x:v>
      </x:c>
      <x:c r="H218" s="6" t="str">
        <x:v>Explicit future work</x:v>
      </x:c>
      <x:c r="I218" s="6" t="str">
        <x:v>引入反馈机制以提升泛化、实用性和准确性。</x:v>
      </x:c>
      <x:c r="J218" s="2" t="str">
        <x:v>NR</x:v>
      </x:c>
      <x:c r="K218" s="2" t="str">
        <x:v>当前方法缺乏持续改进能力</x:v>
      </x:c>
      <x:c r="L218" s="2" t="str">
        <x:v>Unclear</x:v>
      </x:c>
      <x:c r="M218" s="6" t="str">
        <x:v>NR</x:v>
      </x:c>
      <x:c r="N218" s="2" t="str">
        <x:v>Speculative</x:v>
      </x:c>
      <x:c r="O218" s="2" t="str">
        <x:v>feedback_incorporation</x:v>
      </x:c>
      <x:c r="P218" s="2" t="str">
        <x:v>Improvement</x:v>
      </x:c>
      <x:c r="Q218" s="2" t="str">
        <x:v>Integration, evolution, and deployment</x:v>
      </x:c>
      <x:c r="R218" s="6" t="str">
        <x:v>p. 5; Section IV</x:v>
      </x:c>
      <x:c r="S218" s="6" t="str">
        <x:v>incorporate feedback mechanisms</x:v>
      </x:c>
      <x:c r="T218" s="6" t="str">
        <x:v>作者计划加入反馈机制以持续优化方法。</x:v>
      </x:c>
      <x:c r="U218" s="2" t="str">
        <x:v>Accepted</x:v>
      </x:c>
      <x:c r="V218" s="6" t="str">
        <x:v>NA</x:v>
      </x:c>
      <x:c r="W218" s="6" t="str">
        <x:v>Agenda statement only</x:v>
      </x:c>
    </x:row>
    <x:row r="219" ht="76" customHeight="1">
      <x:c r="A219" s="2" t="str">
        <x:v>S45-FUTURE-R01</x:v>
      </x:c>
      <x:c r="B219" s="2" t="str">
        <x:v>S45</x:v>
      </x:c>
      <x:c r="C219" s="2" t="str">
        <x:v>merged_1275</x:v>
      </x:c>
      <x:c r="D219" s="2" t="str">
        <x:v>Reviewer_A</x:v>
      </x:c>
      <x:c r="E219" s="2" t="str">
        <x:v>Reviewer_A</x:v>
      </x:c>
      <x:c r="F219" s="2" t="str">
        <x:v>S45-D01</x:v>
      </x:c>
      <x:c r="G219" s="6" t="str">
        <x:v>SR</x:v>
      </x:c>
      <x:c r="H219" s="6" t="str">
        <x:v>Explicit future work</x:v>
      </x:c>
      <x:c r="I219" s="6" t="str">
        <x:v>探索ChatGPT-4o在更广泛的需求工程任务中的应用，包括定制GPT模型以提升协作和效率。</x:v>
      </x:c>
      <x:c r="J219" s="2" t="str">
        <x:v>NR</x:v>
      </x:c>
      <x:c r="K219" s="2" t="str">
        <x:v>当前研究仅覆盖了有限的任务类型</x:v>
      </x:c>
      <x:c r="L219" s="2" t="str">
        <x:v>NR</x:v>
      </x:c>
      <x:c r="M219" s="6" t="str">
        <x:v>NR</x:v>
      </x:c>
      <x:c r="N219" s="2" t="str">
        <x:v>Speculative</x:v>
      </x:c>
      <x:c r="O219" s="2" t="str">
        <x:v>broader_RE_tasks</x:v>
      </x:c>
      <x:c r="P219" s="2" t="str">
        <x:v>future_work</x:v>
      </x:c>
      <x:c r="Q219" s="2" t="str">
        <x:v>Broader empirical validation</x:v>
      </x:c>
      <x:c r="R219" s="6" t="str">
        <x:v>p. 5; section 4 Conclusion and Future Work</x:v>
      </x:c>
      <x:c r="S219" s="6" t="str">
        <x:v>Future work can explore ChatGPT-4o for broader Requirements Engineering tasks, including custom GPT models tailored for collaboration and efficiency.</x:v>
      </x:c>
      <x:c r="T219" s="6" t="str">
        <x:v>作者未来计划将ChatGPT-4o应用于更多需求工程任务，并可能开发专门针对这些任务的定制模型。</x:v>
      </x:c>
      <x:c r="U219" s="2" t="str">
        <x:v>Accepted</x:v>
      </x:c>
      <x:c r="V219" s="6" t="str">
        <x:v>NA</x:v>
      </x:c>
      <x:c r="W219" s="6" t="str">
        <x:v>Agenda statement only</x:v>
      </x:c>
    </x:row>
    <x:row r="220" ht="76" customHeight="1">
      <x:c r="A220" s="2" t="str">
        <x:v>S45-FUTURE-R02</x:v>
      </x:c>
      <x:c r="B220" s="2" t="str">
        <x:v>S45</x:v>
      </x:c>
      <x:c r="C220" s="2" t="str">
        <x:v>merged_1275</x:v>
      </x:c>
      <x:c r="D220" s="2" t="str">
        <x:v>Reviewer_A</x:v>
      </x:c>
      <x:c r="E220" s="2" t="str">
        <x:v>Reviewer_A</x:v>
      </x:c>
      <x:c r="F220" s="2" t="str">
        <x:v>S45-D02</x:v>
      </x:c>
      <x:c r="G220" s="6" t="str">
        <x:v>SR</x:v>
      </x:c>
      <x:c r="H220" s="6" t="str">
        <x:v>Explicit recommendation</x:v>
      </x:c>
      <x:c r="I220" s="6" t="str">
        <x:v>利用OpenAI API进行批量处理，实现大规模需求的夜间分析。</x:v>
      </x:c>
      <x:c r="J220" s="2" t="str">
        <x:v>NR</x:v>
      </x:c>
      <x:c r="K220" s="2" t="str">
        <x:v>当前手动逐项输入方式耗时且效率低</x:v>
      </x:c>
      <x:c r="L220" s="2" t="str">
        <x:v>使用OpenAI API</x:v>
      </x:c>
      <x:c r="M220" s="6" t="str">
        <x:v>NR</x:v>
      </x:c>
      <x:c r="N220" s="2" t="str">
        <x:v>Speculative</x:v>
      </x:c>
      <x:c r="O220" s="2" t="str">
        <x:v>batch_processing</x:v>
      </x:c>
      <x:c r="P220" s="2" t="str">
        <x:v>future_work</x:v>
      </x:c>
      <x:c r="Q220" s="2" t="str">
        <x:v>Integration, evolution, and deployment</x:v>
      </x:c>
      <x:c r="R220" s="6" t="str">
        <x:v>p. 5; section 4 Conclusion and Future Work</x:v>
      </x:c>
      <x:c r="S220" s="6" t="str">
        <x:v>OpenAI’s API could enable batch processing, allowing large-scale requirement analysis overnight for review the next day, significantly improving the time required for the evaluation.</x:v>
      </x:c>
      <x:c r="T220" s="6" t="str">
        <x:v>作者建议使用API自动化处理，以大幅减少人工参与时间，提高效率。</x:v>
      </x:c>
      <x:c r="U220" s="2" t="str">
        <x:v>Accepted</x:v>
      </x:c>
      <x:c r="V220" s="6" t="str">
        <x:v>NA</x:v>
      </x:c>
      <x:c r="W220" s="6" t="str">
        <x:v>Agenda statement only</x:v>
      </x:c>
    </x:row>
    <x:row r="221" ht="76" customHeight="1">
      <x:c r="A221" s="2" t="str">
        <x:v>S45-FUTURE-R03</x:v>
      </x:c>
      <x:c r="B221" s="2" t="str">
        <x:v>S45</x:v>
      </x:c>
      <x:c r="C221" s="2" t="str">
        <x:v>merged_1275</x:v>
      </x:c>
      <x:c r="D221" s="2" t="str">
        <x:v>Reviewer_A</x:v>
      </x:c>
      <x:c r="E221" s="2" t="str">
        <x:v>Reviewer_A</x:v>
      </x:c>
      <x:c r="F221" s="2" t="str">
        <x:v>S45-D03</x:v>
      </x:c>
      <x:c r="G221" s="6" t="str">
        <x:v>SR</x:v>
      </x:c>
      <x:c r="H221" s="6" t="str">
        <x:v>Explicit recommendation</x:v>
      </x:c>
      <x:c r="I221" s="6" t="str">
        <x:v>通过自动化进一步提高效率。</x:v>
      </x:c>
      <x:c r="J221" s="2" t="str">
        <x:v>NR</x:v>
      </x:c>
      <x:c r="K221" s="2" t="str">
        <x:v>手动输入需求耗时</x:v>
      </x:c>
      <x:c r="L221" s="2" t="str">
        <x:v>NR</x:v>
      </x:c>
      <x:c r="M221" s="6" t="str">
        <x:v>NR</x:v>
      </x:c>
      <x:c r="N221" s="2" t="str">
        <x:v>Speculative</x:v>
      </x:c>
      <x:c r="O221" s="2" t="str">
        <x:v>automation_efficiency</x:v>
      </x:c>
      <x:c r="P221" s="2" t="str">
        <x:v>future_work</x:v>
      </x:c>
      <x:c r="Q221" s="2" t="str">
        <x:v>Integration, evolution, and deployment</x:v>
      </x:c>
      <x:c r="R221" s="6" t="str">
        <x:v>p. 3; section 2 Study 1 results</x:v>
      </x:c>
      <x:c r="S221" s="6" t="str">
        <x:v>Future automation could further enhance efficiency.</x:v>
      </x:c>
      <x:c r="T221" s="6" t="str">
        <x:v>作者提议未来工作应关注自动化流程以减少时间开销。</x:v>
      </x:c>
      <x:c r="U221" s="2" t="str">
        <x:v>Accepted</x:v>
      </x:c>
      <x:c r="V221" s="6" t="str">
        <x:v>NA</x:v>
      </x:c>
      <x:c r="W221" s="6" t="str">
        <x:v>Agenda statement only</x:v>
      </x:c>
    </x:row>
    <x:row r="222" ht="76" customHeight="1">
      <x:c r="A222" s="2" t="str">
        <x:v>S45-FUTURE-R04</x:v>
      </x:c>
      <x:c r="B222" s="2" t="str">
        <x:v>S45</x:v>
      </x:c>
      <x:c r="C222" s="2" t="str">
        <x:v>merged_1275</x:v>
      </x:c>
      <x:c r="D222" s="2" t="str">
        <x:v>Reviewer_A</x:v>
      </x:c>
      <x:c r="E222" s="2" t="str">
        <x:v>Reviewer_A</x:v>
      </x:c>
      <x:c r="F222" s="2" t="str">
        <x:v>S45-D04</x:v>
      </x:c>
      <x:c r="G222" s="6" t="str">
        <x:v>SR</x:v>
      </x:c>
      <x:c r="H222" s="6" t="str">
        <x:v>Explicit recommendation</x:v>
      </x:c>
      <x:c r="I222" s="6" t="str">
        <x:v>细化提示以包含额外的评估标准，从而获得更多样化和全面的输出。</x:v>
      </x:c>
      <x:c r="J222" s="2" t="str">
        <x:v>S45-L03</x:v>
      </x:c>
      <x:c r="K222" s="2" t="str">
        <x:v>当前提示可能遗漏某些评估标准</x:v>
      </x:c>
      <x:c r="L222" s="2" t="str">
        <x:v>在提示中添加更多标准</x:v>
      </x:c>
      <x:c r="M222" s="6" t="str">
        <x:v>NR</x:v>
      </x:c>
      <x:c r="N222" s="2" t="str">
        <x:v>Speculative</x:v>
      </x:c>
      <x:c r="O222" s="2" t="str">
        <x:v>prompt_refinement</x:v>
      </x:c>
      <x:c r="P222" s="2" t="str">
        <x:v>future_work</x:v>
      </x:c>
      <x:c r="Q222" s="2" t="str">
        <x:v>Context, retrieval, and model adaptation</x:v>
      </x:c>
      <x:c r="R222" s="6" t="str">
        <x:v>p. 5; section 3 Threats to Validity</x:v>
      </x:c>
      <x:c r="S222" s="6" t="str">
        <x:v>further refinement to include additional criteria could result in more diverse and comprehensive outputs.</x:v>
      </x:c>
      <x:c r="T222" s="6" t="str">
        <x:v>作者建议改进提示工程，以提高输出质量。</x:v>
      </x:c>
      <x:c r="U222" s="2" t="str">
        <x:v>Accepted</x:v>
      </x:c>
      <x:c r="V222" s="6" t="str">
        <x:v>NA</x:v>
      </x:c>
      <x:c r="W222" s="6" t="str">
        <x:v>Reported limitation-grounded</x:v>
      </x:c>
    </x:row>
    <x:row r="223" ht="76" customHeight="1">
      <x:c r="A223" s="2" t="str">
        <x:v>S46-FUTURE-R01</x:v>
      </x:c>
      <x:c r="B223" s="2" t="str">
        <x:v>S46</x:v>
      </x:c>
      <x:c r="C223" s="2" t="str">
        <x:v>merged_1293</x:v>
      </x:c>
      <x:c r="D223" s="2" t="str">
        <x:v>Reviewer_A</x:v>
      </x:c>
      <x:c r="E223" s="2" t="str">
        <x:v>Reviewer_A</x:v>
      </x:c>
      <x:c r="F223" s="2" t="str">
        <x:v>S46-D01</x:v>
      </x:c>
      <x:c r="G223" s="6" t="str">
        <x:v>SR</x:v>
      </x:c>
      <x:c r="H223" s="6" t="str">
        <x:v>Explicit future work</x:v>
      </x:c>
      <x:c r="I223" s="6" t="str">
        <x:v>在多个不同应用领域进行案例研究，以验证结构化提示的通用性。</x:v>
      </x:c>
      <x:c r="J223" s="2" t="str">
        <x:v>S46-L03</x:v>
      </x:c>
      <x:c r="K223" s="2" t="str">
        <x:v>单一案例研究的通用性不足</x:v>
      </x:c>
      <x:c r="L223" s="2" t="str">
        <x:v>NR</x:v>
      </x:c>
      <x:c r="M223" s="6" t="str">
        <x:v>No</x:v>
      </x:c>
      <x:c r="N223" s="2" t="str">
        <x:v>Speculative</x:v>
      </x:c>
      <x:c r="O223" s="2" t="str">
        <x:v>multiple_case_studies</x:v>
      </x:c>
      <x:c r="P223" s="2" t="str">
        <x:v>validation</x:v>
      </x:c>
      <x:c r="Q223" s="2" t="str">
        <x:v>Broader empirical validation</x:v>
      </x:c>
      <x:c r="R223" s="6" t="str">
        <x:v>p. 19; Conclusion section</x:v>
      </x:c>
      <x:c r="S223" s="6" t="str">
        <x:v>multiple case studies across diverse application domains</x:v>
      </x:c>
      <x:c r="T223" s="6" t="str">
        <x:v>作者提出未来工作应通过在不同应用领域进行多个案例研究来解决通用性问题。</x:v>
      </x:c>
      <x:c r="U223" s="2" t="str">
        <x:v>Accepted</x:v>
      </x:c>
      <x:c r="V223" s="6" t="str">
        <x:v>NA</x:v>
      </x:c>
      <x:c r="W223" s="6" t="str">
        <x:v>Reported limitation-grounded</x:v>
      </x:c>
    </x:row>
    <x:row r="224" ht="76" customHeight="1">
      <x:c r="A224" s="2" t="str">
        <x:v>S46-FUTURE-R02</x:v>
      </x:c>
      <x:c r="B224" s="2" t="str">
        <x:v>S46</x:v>
      </x:c>
      <x:c r="C224" s="2" t="str">
        <x:v>merged_1293</x:v>
      </x:c>
      <x:c r="D224" s="2" t="str">
        <x:v>Reviewer_A</x:v>
      </x:c>
      <x:c r="E224" s="2" t="str">
        <x:v>Reviewer_A</x:v>
      </x:c>
      <x:c r="F224" s="2" t="str">
        <x:v>S46-D02</x:v>
      </x:c>
      <x:c r="G224" s="6" t="str">
        <x:v>SR</x:v>
      </x:c>
      <x:c r="H224" s="6" t="str">
        <x:v>Explicit future work</x:v>
      </x:c>
      <x:c r="I224" s="6" t="str">
        <x:v>评估更复杂的软件系统，以检验结构化提示的有效性。</x:v>
      </x:c>
      <x:c r="J224" s="2" t="str">
        <x:v>S46-L03</x:v>
      </x:c>
      <x:c r="K224" s="2" t="str">
        <x:v>案例系统复杂度有限</x:v>
      </x:c>
      <x:c r="L224" s="2" t="str">
        <x:v>NR</x:v>
      </x:c>
      <x:c r="M224" s="6" t="str">
        <x:v>No</x:v>
      </x:c>
      <x:c r="N224" s="2" t="str">
        <x:v>Speculative</x:v>
      </x:c>
      <x:c r="O224" s="2" t="str">
        <x:v>complex_systems_evaluation</x:v>
      </x:c>
      <x:c r="P224" s="2" t="str">
        <x:v>validation</x:v>
      </x:c>
      <x:c r="Q224" s="2" t="str">
        <x:v>Broader empirical validation</x:v>
      </x:c>
      <x:c r="R224" s="6" t="str">
        <x:v>p. 19; Conclusion section</x:v>
      </x:c>
      <x:c r="S224" s="6" t="str">
        <x:v>evaluation of more complex software systems</x:v>
      </x:c>
      <x:c r="T224" s="6" t="str">
        <x:v>未来应评估更复杂的软件系统，以确认结构化提示在复杂场景下的效果。</x:v>
      </x:c>
      <x:c r="U224" s="2" t="str">
        <x:v>Accepted</x:v>
      </x:c>
      <x:c r="V224" s="6" t="str">
        <x:v>NA</x:v>
      </x:c>
      <x:c r="W224" s="6" t="str">
        <x:v>Reported limitation-grounded</x:v>
      </x:c>
    </x:row>
    <x:row r="225" ht="76" customHeight="1">
      <x:c r="A225" s="2" t="str">
        <x:v>S46-FUTURE-R03</x:v>
      </x:c>
      <x:c r="B225" s="2" t="str">
        <x:v>S46</x:v>
      </x:c>
      <x:c r="C225" s="2" t="str">
        <x:v>merged_1293</x:v>
      </x:c>
      <x:c r="D225" s="2" t="str">
        <x:v>Reviewer_A</x:v>
      </x:c>
      <x:c r="E225" s="2" t="str">
        <x:v>Reviewer_A</x:v>
      </x:c>
      <x:c r="F225" s="2" t="str">
        <x:v>S46-D03</x:v>
      </x:c>
      <x:c r="G225" s="6" t="str">
        <x:v>SR</x:v>
      </x:c>
      <x:c r="H225" s="6" t="str">
        <x:v>Explicit future work</x:v>
      </x:c>
      <x:c r="I225" s="6" t="str">
        <x:v>研究不同的开发上下文和方法论对结构化提示的影响。</x:v>
      </x:c>
      <x:c r="J225" s="2" t="str">
        <x:v>S46-L03</x:v>
      </x:c>
      <x:c r="K225" s="2" t="str">
        <x:v>开发环境和方法论的多样性未覆盖</x:v>
      </x:c>
      <x:c r="L225" s="2" t="str">
        <x:v>NR</x:v>
      </x:c>
      <x:c r="M225" s="6" t="str">
        <x:v>No</x:v>
      </x:c>
      <x:c r="N225" s="2" t="str">
        <x:v>Speculative</x:v>
      </x:c>
      <x:c r="O225" s="2" t="str">
        <x:v>context_methodology_investigation</x:v>
      </x:c>
      <x:c r="P225" s="2" t="str">
        <x:v>exploration</x:v>
      </x:c>
      <x:c r="Q225" s="2" t="str">
        <x:v>Broader empirical validation</x:v>
      </x:c>
      <x:c r="R225" s="6" t="str">
        <x:v>p. 19; Conclusion section</x:v>
      </x:c>
      <x:c r="S225" s="6" t="str">
        <x:v>investigation of different development contexts; and methodologies</x:v>
      </x:c>
      <x:c r="T225" s="6" t="str">
        <x:v>作者建议研究不同的开发上下文和方法论，以了解其对结构化提示的影响。</x:v>
      </x:c>
      <x:c r="U225" s="2" t="str">
        <x:v>Accepted</x:v>
      </x:c>
      <x:c r="V225" s="6" t="str">
        <x:v>原文标点有歧义，此处理解为研究不同的开发上下文和方法论</x:v>
      </x:c>
      <x:c r="W225" s="6" t="str">
        <x:v>Reported limitation-grounded</x:v>
      </x:c>
    </x:row>
    <x:row r="226" ht="76" customHeight="1">
      <x:c r="A226" s="2" t="str">
        <x:v>S46-FUTURE-R04</x:v>
      </x:c>
      <x:c r="B226" s="2" t="str">
        <x:v>S46</x:v>
      </x:c>
      <x:c r="C226" s="2" t="str">
        <x:v>merged_1293</x:v>
      </x:c>
      <x:c r="D226" s="2" t="str">
        <x:v>Reviewer_A</x:v>
      </x:c>
      <x:c r="E226" s="2" t="str">
        <x:v>Reviewer_A</x:v>
      </x:c>
      <x:c r="F226" s="2" t="str">
        <x:v>S46-D04</x:v>
      </x:c>
      <x:c r="G226" s="6" t="str">
        <x:v>SR</x:v>
      </x:c>
      <x:c r="H226" s="6" t="str">
        <x:v>Explicit future work</x:v>
      </x:c>
      <x:c r="I226" s="6" t="str">
        <x:v>改进提示控制策略，以更好地引导AI行为。</x:v>
      </x:c>
      <x:c r="J226" s="2" t="str">
        <x:v>S46-L01</x:v>
      </x:c>
      <x:c r="K226" s="2" t="str">
        <x:v>AI模型对结构化提示遵循不完整或过度扩展</x:v>
      </x:c>
      <x:c r="L226" s="2" t="str">
        <x:v>NR</x:v>
      </x:c>
      <x:c r="M226" s="6" t="str">
        <x:v>No</x:v>
      </x:c>
      <x:c r="N226" s="2" t="str">
        <x:v>Speculative</x:v>
      </x:c>
      <x:c r="O226" s="2" t="str">
        <x:v>prompt_control_refinement</x:v>
      </x:c>
      <x:c r="P226" s="2" t="str">
        <x:v>model_control</x:v>
      </x:c>
      <x:c r="Q226" s="2" t="str">
        <x:v>Context, retrieval, and model adaptation</x:v>
      </x:c>
      <x:c r="R226" s="6" t="str">
        <x:v>p. 19; Conclusion section</x:v>
      </x:c>
      <x:c r="S226" s="6" t="str">
        <x:v>refinement of prompt control strategies to better guide AI behavior</x:v>
      </x:c>
      <x:c r="T226" s="6" t="str">
        <x:v>作者指出需要改进提示控制策略，以更好地引导AI模型的行为，解决不完整遵循和过度规格化的问题。</x:v>
      </x:c>
      <x:c r="U226" s="2" t="str">
        <x:v>Accepted</x:v>
      </x:c>
      <x:c r="V226" s="6" t="str">
        <x:v>NA</x:v>
      </x:c>
      <x:c r="W226" s="6" t="str">
        <x:v>Empirical limitation-grounded</x:v>
      </x:c>
    </x:row>
    <x:row r="227" ht="76" customHeight="1">
      <x:c r="A227" s="2" t="str">
        <x:v>S47-FUTURE-R01</x:v>
      </x:c>
      <x:c r="B227" s="2" t="str">
        <x:v>S47</x:v>
      </x:c>
      <x:c r="C227" s="2" t="str">
        <x:v>merged_1302-v1</x:v>
      </x:c>
      <x:c r="D227" s="2" t="str">
        <x:v>Reviewer_A</x:v>
      </x:c>
      <x:c r="E227" s="2" t="str">
        <x:v>Reviewer_A</x:v>
      </x:c>
      <x:c r="F227" s="2" t="str">
        <x:v>S47-D01</x:v>
      </x:c>
      <x:c r="G227" s="6" t="str">
        <x:v>SR</x:v>
      </x:c>
      <x:c r="H227" s="6" t="str">
        <x:v>Explicit future work</x:v>
      </x:c>
      <x:c r="I227" s="6" t="str">
        <x:v>将方法与开发工作流集成，在持续集成流水线中实现实时合规监控，自动验证规范遵循情况。</x:v>
      </x:c>
      <x:c r="J227" s="2" t="str">
        <x:v>NR</x:v>
      </x:c>
      <x:c r="K227" s="2" t="str">
        <x:v>目前方法仍为离线分析，未与开发流程结合</x:v>
      </x:c>
      <x:c r="L227" s="2" t="str">
        <x:v>需要与CI/CD系统集成，可能需开发插件或API</x:v>
      </x:c>
      <x:c r="M227" s="6" t="str">
        <x:v>论文已展示离线映射效果，但未演示实时监控</x:v>
      </x:c>
      <x:c r="N227" s="2" t="str">
        <x:v>Speculative</x:v>
      </x:c>
      <x:c r="O227" s="2" t="str">
        <x:v>integration_ci_cd</x:v>
      </x:c>
      <x:c r="P227" s="2" t="str">
        <x:v>application_future</x:v>
      </x:c>
      <x:c r="Q227" s="2" t="str">
        <x:v>Integration, evolution, and deployment</x:v>
      </x:c>
      <x:c r="R227" s="6" t="str">
        <x:v>p. 13; Section 7 Conclusion and Future Work</x:v>
      </x:c>
      <x:c r="S227" s="6" t="str">
        <x:v>integration with development workflows for real-time compliance monitoring within continuous integration pipelines, enabling automated specification adherence verification during development.</x:v>
      </x:c>
      <x:c r="T227" s="6" t="str">
        <x:v>作者计划将方法集成到CI/CD中以实现实时合规监控，提升实用性。</x:v>
      </x:c>
      <x:c r="U227" s="2" t="str">
        <x:v>Accepted</x:v>
      </x:c>
      <x:c r="V227" s="6" t="str">
        <x:v>NA</x:v>
      </x:c>
      <x:c r="W227" s="6" t="str">
        <x:v>Result-grounded</x:v>
      </x:c>
    </x:row>
    <x:row r="228" ht="76" customHeight="1">
      <x:c r="A228" s="2" t="str">
        <x:v>S47-FUTURE-R02</x:v>
      </x:c>
      <x:c r="B228" s="2" t="str">
        <x:v>S47</x:v>
      </x:c>
      <x:c r="C228" s="2" t="str">
        <x:v>merged_1302-v1</x:v>
      </x:c>
      <x:c r="D228" s="2" t="str">
        <x:v>Reviewer_A</x:v>
      </x:c>
      <x:c r="E228" s="2" t="str">
        <x:v>Reviewer_A</x:v>
      </x:c>
      <x:c r="F228" s="2" t="str">
        <x:v>S47-D02</x:v>
      </x:c>
      <x:c r="G228" s="6" t="str">
        <x:v>SR</x:v>
      </x:c>
      <x:c r="H228" s="6" t="str">
        <x:v>Explicit future work</x:v>
      </x:c>
      <x:c r="I228" s="6" t="str">
        <x:v>利用生成的映射数据集作为训练数据，训练专门的机器学习模型，开发更复杂的理解系统。</x:v>
      </x:c>
      <x:c r="J228" s="2" t="str">
        <x:v>NR</x:v>
      </x:c>
      <x:c r="K228" s="2" t="str">
        <x:v>当前方法依赖LLM和静态分析，可能受益于从大量映射示例中学习模式</x:v>
      </x:c>
      <x:c r="L228" s="2" t="str">
        <x:v>需要积累大规模映射对，并设计合适的模型架构</x:v>
      </x:c>
      <x:c r="M228" s="6" t="str">
        <x:v>已生成映射数据集，但尚未用于训练</x:v>
      </x:c>
      <x:c r="N228" s="2" t="str">
        <x:v>Speculative</x:v>
      </x:c>
      <x:c r="O228" s="2" t="str">
        <x:v>training_data_ml</x:v>
      </x:c>
      <x:c r="P228" s="2" t="str">
        <x:v>method_future</x:v>
      </x:c>
      <x:c r="Q228" s="2" t="str">
        <x:v>Context, retrieval, and model adaptation</x:v>
      </x:c>
      <x:c r="R228" s="6" t="str">
        <x:v>p. 13; Section 7 Conclusion and Future Work</x:v>
      </x:c>
      <x:c r="S228" s="6" t="str">
        <x:v>The generated mapping datasets provide valuable training data for specialized machine learning models, potentially leading to more sophisticated understanding systems that combine structural decomposition benefits with learned patterns from large-scale mapping examples.</x:v>
      </x:c>
      <x:c r="T228" s="6" t="str">
        <x:v>作者认为目前生成的映射数据集可作为训练数据，用于训练更智能的模型。</x:v>
      </x:c>
      <x:c r="U228" s="2" t="str">
        <x:v>Accepted</x:v>
      </x:c>
      <x:c r="V228" s="6" t="str">
        <x:v>NA</x:v>
      </x:c>
      <x:c r="W228" s="6" t="str">
        <x:v>Result-grounded</x:v>
      </x:c>
    </x:row>
    <x:row r="229" ht="76" customHeight="1">
      <x:c r="A229" s="2" t="str">
        <x:v>S48-FUTURE-R01</x:v>
      </x:c>
      <x:c r="B229" s="2" t="str">
        <x:v>S48</x:v>
      </x:c>
      <x:c r="C229" s="2" t="str">
        <x:v>merged_1441</x:v>
      </x:c>
      <x:c r="D229" s="2" t="str">
        <x:v>Reviewer_A</x:v>
      </x:c>
      <x:c r="E229" s="2" t="str">
        <x:v>Reviewer_A</x:v>
      </x:c>
      <x:c r="F229" s="2" t="str">
        <x:v>S48-D01</x:v>
      </x:c>
      <x:c r="G229" s="6" t="str">
        <x:v>SR</x:v>
      </x:c>
      <x:c r="H229" s="6" t="str">
        <x:v>Explicit future work</x:v>
      </x:c>
      <x:c r="I229" s="6" t="str">
        <x:v>一个更集成的方法，在统一框架内联合建模链接存在性和链接类型，可能以更低的开销实现更好的性能，我们认为这是未来工作的一个有前景的方向。</x:v>
      </x:c>
      <x:c r="J229" s="2" t="str">
        <x:v>NR</x:v>
      </x:c>
      <x:c r="K229" s="2" t="str">
        <x:v>issue-issue链接类型分类性能提升和开销降低</x:v>
      </x:c>
      <x:c r="L229" s="2" t="str">
        <x:v>设计联合建模链接存在与类型的统一框架</x:v>
      </x:c>
      <x:c r="M229" s="6" t="str">
        <x:v>NR</x:v>
      </x:c>
      <x:c r="N229" s="2" t="str">
        <x:v>Speculative</x:v>
      </x:c>
      <x:c r="O229" s="2" t="str">
        <x:v>joint_existence_type_modeling</x:v>
      </x:c>
      <x:c r="P229" s="2" t="str">
        <x:v>joint_modeling</x:v>
      </x:c>
      <x:c r="Q229" s="2" t="str">
        <x:v>Context, retrieval, and model adaptation</x:v>
      </x:c>
      <x:c r="R229" s="6" t="str">
        <x:v>p. 14; Section VI.A</x:v>
      </x:c>
      <x:c r="S229" s="6" t="str">
        <x:v>A more integrated approach that jointly models link existence and link types within a unified framework could potentially achieve better performance with lower overhead, which we consider a promising direction for future work.</x:v>
      </x:c>
      <x:c r="T229" s="6" t="str">
        <x:v>作者提出将链接存在预测与类型分类统一建模作为未来方向，以提升性能并降低开销。</x:v>
      </x:c>
      <x:c r="U229" s="2" t="str">
        <x:v>Accepted</x:v>
      </x:c>
      <x:c r="V229" s="6" t="str">
        <x:v>NA</x:v>
      </x:c>
      <x:c r="W229" s="6" t="str">
        <x:v>Agenda statement only</x:v>
      </x:c>
    </x:row>
    <x:row r="230" ht="76" customHeight="1">
      <x:c r="A230" s="2" t="str">
        <x:v>S48-FUTURE-R02</x:v>
      </x:c>
      <x:c r="B230" s="2" t="str">
        <x:v>S48</x:v>
      </x:c>
      <x:c r="C230" s="2" t="str">
        <x:v>merged_1441</x:v>
      </x:c>
      <x:c r="D230" s="2" t="str">
        <x:v>Reviewer_A</x:v>
      </x:c>
      <x:c r="E230" s="2" t="str">
        <x:v>Reviewer_A</x:v>
      </x:c>
      <x:c r="F230" s="2" t="str">
        <x:v>S48-D02</x:v>
      </x:c>
      <x:c r="G230" s="6" t="str">
        <x:v>SR</x:v>
      </x:c>
      <x:c r="H230" s="6" t="str">
        <x:v>Explicit recommendation</x:v>
      </x:c>
      <x:c r="I230" s="6" t="str">
        <x:v>开发自适应机制，平衡结构证据和语义证据，以减少由组织共现引起的误报。</x:v>
      </x:c>
      <x:c r="J230" s="2" t="str">
        <x:v>NR</x:v>
      </x:c>
      <x:c r="K230" s="2" t="str">
        <x:v>结构过相关导致的误报</x:v>
      </x:c>
      <x:c r="L230" s="2" t="str">
        <x:v>设计平衡结构信号与语义证据的自适应方法</x:v>
      </x:c>
      <x:c r="M230" s="6" t="str">
        <x:v>NR</x:v>
      </x:c>
      <x:c r="N230" s="2" t="str">
        <x:v>Speculative</x:v>
      </x:c>
      <x:c r="O230" s="2" t="str">
        <x:v>adaptive_balance_mechanism</x:v>
      </x:c>
      <x:c r="P230" s="2" t="str">
        <x:v>false_positive_reduction</x:v>
      </x:c>
      <x:c r="Q230" s="2" t="str">
        <x:v>Reliability, explainability, and human oversight</x:v>
      </x:c>
      <x:c r="R230" s="6" t="str">
        <x:v>p. 17; Section VI.F</x:v>
      </x:c>
      <x:c r="S230" s="6" t="str">
        <x:v>adaptive mechanisms that balance structural and semantic evidence to reduce false positives caused by organizational co-occurrence</x:v>
      </x:c>
      <x:c r="T230" s="6" t="str">
        <x:v>错误分析揭示了因共享同一分配人或组件导致的误报，建议通过自适应机制动态权衡结构与语义证据。</x:v>
      </x:c>
      <x:c r="U230" s="2" t="str">
        <x:v>Accepted</x:v>
      </x:c>
      <x:c r="V230" s="6" t="str">
        <x:v>NA</x:v>
      </x:c>
      <x:c r="W230" s="6" t="str">
        <x:v>Agenda statement only</x:v>
      </x:c>
    </x:row>
    <x:row r="231" ht="76" customHeight="1">
      <x:c r="A231" s="2" t="str">
        <x:v>S48-FUTURE-R03</x:v>
      </x:c>
      <x:c r="B231" s="2" t="str">
        <x:v>S48</x:v>
      </x:c>
      <x:c r="C231" s="2" t="str">
        <x:v>merged_1441</x:v>
      </x:c>
      <x:c r="D231" s="2" t="str">
        <x:v>Reviewer_A</x:v>
      </x:c>
      <x:c r="E231" s="2" t="str">
        <x:v>Reviewer_A</x:v>
      </x:c>
      <x:c r="F231" s="2" t="str">
        <x:v>S48-D03</x:v>
      </x:c>
      <x:c r="G231" s="6" t="str">
        <x:v>SR</x:v>
      </x:c>
      <x:c r="H231" s="6" t="str">
        <x:v>Explicit recommendation</x:v>
      </x:c>
      <x:c r="I231" s="6" t="str">
        <x:v>整合额外的制品类型（如代码级依赖），以弥合导致漏报的跨层语义差距。</x:v>
      </x:c>
      <x:c r="J231" s="2" t="str">
        <x:v>NR</x:v>
      </x:c>
      <x:c r="K231" s="2" t="str">
        <x:v>跨层语义差距导致的漏报</x:v>
      </x:c>
      <x:c r="L231" s="2" t="str">
        <x:v>引入代码依赖等额外制品类型作为异构图节点或边</x:v>
      </x:c>
      <x:c r="M231" s="6" t="str">
        <x:v>NR</x:v>
      </x:c>
      <x:c r="N231" s="2" t="str">
        <x:v>Speculative</x:v>
      </x:c>
      <x:c r="O231" s="2" t="str">
        <x:v>additional_artifact_integration</x:v>
      </x:c>
      <x:c r="P231" s="2" t="str">
        <x:v>false_negative_reduction</x:v>
      </x:c>
      <x:c r="Q231" s="2" t="str">
        <x:v>Context, retrieval, and model adaptation</x:v>
      </x:c>
      <x:c r="R231" s="6" t="str">
        <x:v>p. 17; Section VI.F</x:v>
      </x:c>
      <x:c r="S231" s="6" t="str">
        <x:v>incorporation of additional artifact types (e.g., code-level dependencies) to bridge cross-layer semantic gaps that lead to false negatives</x:v>
      </x:c>
      <x:c r="T231" s="6" t="str">
        <x:v>错误分析表明，真正关联但用词不同的issue易被遗漏，建议通过整合代码依赖等跨层信息来消除语义鸿沟。</x:v>
      </x:c>
      <x:c r="U231" s="2" t="str">
        <x:v>Accepted</x:v>
      </x:c>
      <x:c r="V231" s="6" t="str">
        <x:v>NA</x:v>
      </x:c>
      <x:c r="W231" s="6" t="str">
        <x:v>Agenda statement only</x:v>
      </x:c>
    </x:row>
    <x:row r="232" ht="76" customHeight="1">
      <x:c r="A232" s="2" t="str">
        <x:v>S49-FUTURE-R01</x:v>
      </x:c>
      <x:c r="B232" s="2" t="str">
        <x:v>S49</x:v>
      </x:c>
      <x:c r="C232" s="2" t="str">
        <x:v>merged_1486</x:v>
      </x:c>
      <x:c r="D232" s="2" t="str">
        <x:v>Reviewer_A</x:v>
      </x:c>
      <x:c r="E232" s="2" t="str">
        <x:v>Reviewer_A</x:v>
      </x:c>
      <x:c r="F232" s="2" t="str">
        <x:v>S49-D01</x:v>
      </x:c>
      <x:c r="G232" s="6" t="str">
        <x:v>SR</x:v>
      </x:c>
      <x:c r="H232" s="6" t="str">
        <x:v>Explicit future work</x:v>
      </x:c>
      <x:c r="I232" s="6" t="str">
        <x:v>未来的研究可以更详尽地探索提示模式，可能发现新颖的模式。</x:v>
      </x:c>
      <x:c r="J232" s="2" t="str">
        <x:v>S49-L07</x:v>
      </x:c>
      <x:c r="K232" s="2" t="str">
        <x:v>提示模式覆盖不完整</x:v>
      </x:c>
      <x:c r="L232" s="2" t="str">
        <x:v>需要系统性地搜集和测试更多提示模式</x:v>
      </x:c>
      <x:c r="M232" s="6" t="str">
        <x:v>NR</x:v>
      </x:c>
      <x:c r="N232" s="2" t="str">
        <x:v>Speculative</x:v>
      </x:c>
      <x:c r="O232" s="2" t="str">
        <x:v>exhaustive_pattern_exploration</x:v>
      </x:c>
      <x:c r="P232" s="2" t="str">
        <x:v>prompt_engineering</x:v>
      </x:c>
      <x:c r="Q232" s="2" t="str">
        <x:v>Context, retrieval, and model adaptation</x:v>
      </x:c>
      <x:c r="R232" s="6" t="str">
        <x:v>p. 18; 6 Conclusion</x:v>
      </x:c>
      <x:c r="S232" s="6" t="str">
        <x:v>a more exhaustive exploration of prompt patterns, potentially identifying novel</x:v>
      </x:c>
      <x:c r="T232" s="6" t="str">
        <x:v>建议未来工作覆盖更多提示模式，以寻找更有效的任务解决方案。</x:v>
      </x:c>
      <x:c r="U232" s="2" t="str">
        <x:v>Accepted</x:v>
      </x:c>
      <x:c r="V232" s="6" t="str">
        <x:v>NA</x:v>
      </x:c>
      <x:c r="W232" s="6" t="str">
        <x:v>Reported limitation-grounded</x:v>
      </x:c>
    </x:row>
    <x:row r="233" ht="76" customHeight="1">
      <x:c r="A233" s="2" t="str">
        <x:v>S49-FUTURE-R02</x:v>
      </x:c>
      <x:c r="B233" s="2" t="str">
        <x:v>S49</x:v>
      </x:c>
      <x:c r="C233" s="2" t="str">
        <x:v>merged_1486</x:v>
      </x:c>
      <x:c r="D233" s="2" t="str">
        <x:v>Reviewer_A</x:v>
      </x:c>
      <x:c r="E233" s="2" t="str">
        <x:v>Reviewer_A</x:v>
      </x:c>
      <x:c r="F233" s="2" t="str">
        <x:v>S49-D02</x:v>
      </x:c>
      <x:c r="G233" s="6" t="str">
        <x:v>SR</x:v>
      </x:c>
      <x:c r="H233" s="6" t="str">
        <x:v>Explicit future work</x:v>
      </x:c>
      <x:c r="I233" s="6" t="str">
        <x:v>集成不同模式优点的集成方法可能减轻单一模式的局限，形成更稳健、适应性更强的分类框架。</x:v>
      </x:c>
      <x:c r="J233" s="2" t="str">
        <x:v>S49-L07</x:v>
      </x:c>
      <x:c r="K233" s="2" t="str">
        <x:v>单一提示模式存在性能局限</x:v>
      </x:c>
      <x:c r="L233" s="2" t="str">
        <x:v>需要设计集成策略并评估其有效性</x:v>
      </x:c>
      <x:c r="M233" s="6" t="str">
        <x:v>No</x:v>
      </x:c>
      <x:c r="N233" s="2" t="str">
        <x:v>Speculative</x:v>
      </x:c>
      <x:c r="O233" s="2" t="str">
        <x:v>ensemble_approach</x:v>
      </x:c>
      <x:c r="P233" s="2" t="str">
        <x:v>prompt_engineering</x:v>
      </x:c>
      <x:c r="Q233" s="2" t="str">
        <x:v>Context, retrieval, and model adaptation</x:v>
      </x:c>
      <x:c r="R233" s="6" t="str">
        <x:v>p. 18; 6 Conclusion</x:v>
      </x:c>
      <x:c r="S233" s="6" t="str">
        <x:v>An ensemble approach, combining the merits of different patterns, may mitigate the limitations associated with individual patterns and contribute to a more robust and adaptable classification framework.</x:v>
      </x:c>
      <x:c r="T233" s="6" t="str">
        <x:v>作者提出通过组合多种提示模式来克服单一模式的不足，构建更可靠的系统。</x:v>
      </x:c>
      <x:c r="U233" s="2" t="str">
        <x:v>Accepted</x:v>
      </x:c>
      <x:c r="V233" s="6" t="str">
        <x:v>NA</x:v>
      </x:c>
      <x:c r="W233" s="6" t="str">
        <x:v>Reported limitation-grounded</x:v>
      </x:c>
    </x:row>
    <x:row r="234" ht="76" customHeight="1">
      <x:c r="A234" s="2" t="str">
        <x:v>S49-FUTURE-R03</x:v>
      </x:c>
      <x:c r="B234" s="2" t="str">
        <x:v>S49</x:v>
      </x:c>
      <x:c r="C234" s="2" t="str">
        <x:v>merged_1486</x:v>
      </x:c>
      <x:c r="D234" s="2" t="str">
        <x:v>Reviewer_A</x:v>
      </x:c>
      <x:c r="E234" s="2" t="str">
        <x:v>Reviewer_A</x:v>
      </x:c>
      <x:c r="F234" s="2" t="str">
        <x:v>S49-D03</x:v>
      </x:c>
      <x:c r="G234" s="6" t="str">
        <x:v>SR</x:v>
      </x:c>
      <x:c r="H234" s="6" t="str">
        <x:v>Explicit future work</x:v>
      </x:c>
      <x:c r="I234" s="6" t="str">
        <x:v>未来研究可专注于优化精确率和召回率的平衡，探索在不牺牲精确率或准确率的前提下优先保证全面召回的策略，从而产生更具上下文感知和适应性的模型，并综合新的提示模式和评估框架。</x:v>
      </x:c>
      <x:c r="J234" s="2" t="str">
        <x:v>NR</x:v>
      </x:c>
      <x:c r="K234" s="2" t="str">
        <x:v>精确率与召回率的权衡</x:v>
      </x:c>
      <x:c r="L234" s="2" t="str">
        <x:v>需要开发新的优化算法或策略</x:v>
      </x:c>
      <x:c r="M234" s="6" t="str">
        <x:v>NR</x:v>
      </x:c>
      <x:c r="N234" s="2" t="str">
        <x:v>Speculative</x:v>
      </x:c>
      <x:c r="O234" s="2" t="str">
        <x:v>optimize_precision_recall</x:v>
      </x:c>
      <x:c r="P234" s="2" t="str">
        <x:v>performance_optimization</x:v>
      </x:c>
      <x:c r="Q234" s="2" t="str">
        <x:v>Benchmark and measurement rigor</x:v>
      </x:c>
      <x:c r="R234" s="6" t="str">
        <x:v>p. 18; 6 Conclusion</x:v>
      </x:c>
      <x:c r="S234" s="6" t="str">
        <x:v>Future research could focus on optimizing the balance, exploring strategies that prioritize comprehensive recall without compromising precision or accuracy which could lead to more context-aware and adaptable models and synthesizing new prompt patterns and evaluation framework.</x:v>
      </x:c>
      <x:c r="T234" s="6" t="str">
        <x:v>建议研究如何在维持高精确率的同时提高召回率，并开发新的评估方法和提示模式。</x:v>
      </x:c>
      <x:c r="U234" s="2" t="str">
        <x:v>Accepted</x:v>
      </x:c>
      <x:c r="V234" s="6" t="str">
        <x:v>NA</x:v>
      </x:c>
      <x:c r="W234" s="6" t="str">
        <x:v>Agenda statement only</x:v>
      </x:c>
    </x:row>
    <x:row r="235" ht="76" customHeight="1">
      <x:c r="A235" s="2" t="str">
        <x:v>S49-FUTURE-R04</x:v>
      </x:c>
      <x:c r="B235" s="2" t="str">
        <x:v>S49</x:v>
      </x:c>
      <x:c r="C235" s="2" t="str">
        <x:v>merged_1486</x:v>
      </x:c>
      <x:c r="D235" s="2" t="str">
        <x:v>Reviewer_A</x:v>
      </x:c>
      <x:c r="E235" s="2" t="str">
        <x:v>Reviewer_A</x:v>
      </x:c>
      <x:c r="F235" s="2" t="str">
        <x:v>S49-D04</x:v>
      </x:c>
      <x:c r="G235" s="6" t="str">
        <x:v>SR</x:v>
      </x:c>
      <x:c r="H235" s="6" t="str">
        <x:v>Explicit future work</x:v>
      </x:c>
      <x:c r="I235" s="6" t="str">
        <x:v>另一条研究路径是确立LLM在RE活动中的应用边界，并配有适当的人工监督机制，以确保这些技术的伦理和负责任应用。</x:v>
      </x:c>
      <x:c r="J235" s="2" t="str">
        <x:v>S49-L10</x:v>
      </x:c>
      <x:c r="K235" s="2" t="str">
        <x:v>LLM在RE中的适用范围不明确</x:v>
      </x:c>
      <x:c r="L235" s="2" t="str">
        <x:v>需要定义人工监督的机制和评估标准</x:v>
      </x:c>
      <x:c r="M235" s="6" t="str">
        <x:v>NR</x:v>
      </x:c>
      <x:c r="N235" s="2" t="str">
        <x:v>Speculative</x:v>
      </x:c>
      <x:c r="O235" s="2" t="str">
        <x:v>llm_boundary_human_oversight</x:v>
      </x:c>
      <x:c r="P235" s="2" t="str">
        <x:v>ethical_application</x:v>
      </x:c>
      <x:c r="Q235" s="2" t="str">
        <x:v>Reliability, explainability, and human oversight</x:v>
      </x:c>
      <x:c r="R235" s="6" t="str">
        <x:v>p. 18; 6 Conclusion</x:v>
      </x:c>
      <x:c r="S235" s="6" t="str">
        <x:v>Another avenue of further research is to establish the boundary of LLMs’ application in RE activities with appropriate human oversight mechanisms in place to ensure the ethical and responsible application of these technologies.</x:v>
      </x:c>
      <x:c r="T235" s="6" t="str">
        <x:v>未来需明确LLM可自动化的任务范围，并设计人工监督流程以保证负责任的使用。</x:v>
      </x:c>
      <x:c r="U235" s="2" t="str">
        <x:v>Accepted</x:v>
      </x:c>
      <x:c r="V235" s="6" t="str">
        <x:v>NA</x:v>
      </x:c>
      <x:c r="W235" s="6" t="str">
        <x:v>Reported limitation-grounded</x:v>
      </x:c>
    </x:row>
    <x:row r="236" ht="76" customHeight="1">
      <x:c r="A236" s="2" t="str">
        <x:v>S49-FUTURE-R05</x:v>
      </x:c>
      <x:c r="B236" s="2" t="str">
        <x:v>S49</x:v>
      </x:c>
      <x:c r="C236" s="2" t="str">
        <x:v>merged_1486</x:v>
      </x:c>
      <x:c r="D236" s="2" t="str">
        <x:v>Reviewer_A</x:v>
      </x:c>
      <x:c r="E236" s="2" t="str">
        <x:v>Reviewer_A</x:v>
      </x:c>
      <x:c r="F236" s="2" t="str">
        <x:v>S49-D05</x:v>
      </x:c>
      <x:c r="G236" s="6" t="str">
        <x:v>SR</x:v>
      </x:c>
      <x:c r="H236" s="6" t="str">
        <x:v>Explicit future work</x:v>
      </x:c>
      <x:c r="I236" s="6" t="str">
        <x:v>进一步的工作，特别是专注于可追溯性的工作，应更仔细地调查错误分类背后的原因。</x:v>
      </x:c>
      <x:c r="J236" s="2" t="str">
        <x:v>S49-L08</x:v>
      </x:c>
      <x:c r="K236" s="2" t="str">
        <x:v>追踪需求错误分类原因未知</x:v>
      </x:c>
      <x:c r="L236" s="2" t="str">
        <x:v>需要手动分析错误案例</x:v>
      </x:c>
      <x:c r="M236" s="6" t="str">
        <x:v>No</x:v>
      </x:c>
      <x:c r="N236" s="2" t="str">
        <x:v>Speculative</x:v>
      </x:c>
      <x:c r="O236" s="2" t="str">
        <x:v>investigate_misclassification</x:v>
      </x:c>
      <x:c r="P236" s="2" t="str">
        <x:v>error_analysis</x:v>
      </x:c>
      <x:c r="Q236" s="2" t="str">
        <x:v>Benchmark and measurement rigor</x:v>
      </x:c>
      <x:c r="R236" s="6" t="str">
        <x:v>p. 17; 5 Discussion</x:v>
      </x:c>
      <x:c r="S236" s="6" t="str">
        <x:v>Further work, particularly work focusing specifically on traceability, should look closer to investigate the reasons behind the misclassification.</x:v>
      </x:c>
      <x:c r="T236" s="6" t="str">
        <x:v>作者建议深入分析追踪错误的实例，以理解模型失败的模式。</x:v>
      </x:c>
      <x:c r="U236" s="2" t="str">
        <x:v>Accepted</x:v>
      </x:c>
      <x:c r="V236" s="6" t="str">
        <x:v>NA</x:v>
      </x:c>
      <x:c r="W236" s="6" t="str">
        <x:v>Reported limitation-grounded</x:v>
      </x:c>
    </x:row>
    <x:row r="237" ht="76" customHeight="1">
      <x:c r="A237" s="2" t="str">
        <x:v>S50-FUTURE-R01</x:v>
      </x:c>
      <x:c r="B237" s="2" t="str">
        <x:v>S50</x:v>
      </x:c>
      <x:c r="C237" s="2" t="str">
        <x:v>snowball_00068</x:v>
      </x:c>
      <x:c r="D237" s="2" t="str">
        <x:v>Reviewer_A</x:v>
      </x:c>
      <x:c r="E237" s="2" t="str">
        <x:v>Reviewer_A</x:v>
      </x:c>
      <x:c r="F237" s="2" t="str">
        <x:v>S50-D01</x:v>
      </x:c>
      <x:c r="G237" s="6" t="str">
        <x:v>SR</x:v>
      </x:c>
      <x:c r="H237" s="6" t="str">
        <x:v>Explicit future work</x:v>
      </x:c>
      <x:c r="I237" s="6" t="str">
        <x:v>未来将采用NIST-AI-600-1和ISO 42001指导框架的安全风险管理。</x:v>
      </x:c>
      <x:c r="J237" s="2" t="str">
        <x:v>S50-L04</x:v>
      </x:c>
      <x:c r="K237" s="2" t="str">
        <x:v>LLM使用带来的安全风险</x:v>
      </x:c>
      <x:c r="L237" s="2" t="str">
        <x:v>NR</x:v>
      </x:c>
      <x:c r="M237" s="6" t="str">
        <x:v>No</x:v>
      </x:c>
      <x:c r="N237" s="2" t="str">
        <x:v>Speculative</x:v>
      </x:c>
      <x:c r="O237" s="2" t="str">
        <x:v>security risk management</x:v>
      </x:c>
      <x:c r="P237" s="2" t="str">
        <x:v>future mitigation</x:v>
      </x:c>
      <x:c r="Q237" s="2" t="str">
        <x:v>Reliability, explainability, and human oversight</x:v>
      </x:c>
      <x:c r="R237" s="6" t="str">
        <x:v>p. 13; Section VII</x:v>
      </x:c>
      <x:c r="S237" s="6" t="str">
        <x:v>In our future work, we will address the security risks associated with the proposed framework by employing guidance from NIST-AI-600-1 and ISO 42001.</x:v>
      </x:c>
      <x:c r="T237" s="6" t="str">
        <x:v>明确提出的未来工作计划，针对LLM安全风险采用标准化管理。</x:v>
      </x:c>
      <x:c r="U237" s="2" t="str">
        <x:v>Accepted</x:v>
      </x:c>
      <x:c r="V237" s="6" t="str">
        <x:v>NA</x:v>
      </x:c>
      <x:c r="W237" s="6" t="str">
        <x:v>Reported limitation-grounded</x:v>
      </x:c>
    </x:row>
    <x:row r="238" ht="76" customHeight="1">
      <x:c r="A238" s="2" t="str">
        <x:v>S50-FUTURE-R02</x:v>
      </x:c>
      <x:c r="B238" s="2" t="str">
        <x:v>S50</x:v>
      </x:c>
      <x:c r="C238" s="2" t="str">
        <x:v>snowball_00068</x:v>
      </x:c>
      <x:c r="D238" s="2" t="str">
        <x:v>Reviewer_A</x:v>
      </x:c>
      <x:c r="E238" s="2" t="str">
        <x:v>Reviewer_A</x:v>
      </x:c>
      <x:c r="F238" s="2" t="str">
        <x:v>S50-D02</x:v>
      </x:c>
      <x:c r="G238" s="6" t="str">
        <x:v>SR</x:v>
      </x:c>
      <x:c r="H238" s="6" t="str">
        <x:v>Explicit recommendation</x:v>
      </x:c>
      <x:c r="I238" s="6" t="str">
        <x:v>开发过程中应集成人机回环验证机制以提升关键决策的安全性。</x:v>
      </x:c>
      <x:c r="J238" s="2" t="str">
        <x:v>S50-L01</x:v>
      </x:c>
      <x:c r="K238" s="2" t="str">
        <x:v>LLM决策可靠性与安全风险</x:v>
      </x:c>
      <x:c r="L238" s="2" t="str">
        <x:v>NR</x:v>
      </x:c>
      <x:c r="M238" s="6" t="str">
        <x:v>No</x:v>
      </x:c>
      <x:c r="N238" s="2" t="str">
        <x:v>Speculative</x:v>
      </x:c>
      <x:c r="O238" s="2" t="str">
        <x:v>human-in-the-loop</x:v>
      </x:c>
      <x:c r="P238" s="2" t="str">
        <x:v>future mitigation</x:v>
      </x:c>
      <x:c r="Q238" s="2" t="str">
        <x:v>Reliability, explainability, and human oversight</x:v>
      </x:c>
      <x:c r="R238" s="6" t="str">
        <x:v>p. 13; Section VII</x:v>
      </x:c>
      <x:c r="S238" s="6" t="str">
        <x:v>During development, an LLM-based tool for ICS security can integrate human validation mechanisms by incorporating human-in-the-loop workflows for critical decisions.</x:v>
      </x:c>
      <x:c r="T238" s="6" t="str">
        <x:v>建议增加人工审核环节以增强LLM决策的可信度。</x:v>
      </x:c>
      <x:c r="U238" s="2" t="str">
        <x:v>Accepted</x:v>
      </x:c>
      <x:c r="V238" s="6" t="str">
        <x:v>NA</x:v>
      </x:c>
      <x:c r="W238" s="6" t="str">
        <x:v>Reported limitation-grounded</x:v>
      </x:c>
    </x:row>
    <x:row r="239" ht="76" customHeight="1">
      <x:c r="A239" s="2" t="str">
        <x:v>S50-FUTURE-R03</x:v>
      </x:c>
      <x:c r="B239" s="2" t="str">
        <x:v>S50</x:v>
      </x:c>
      <x:c r="C239" s="2" t="str">
        <x:v>snowball_00068</x:v>
      </x:c>
      <x:c r="D239" s="2" t="str">
        <x:v>Reviewer_A</x:v>
      </x:c>
      <x:c r="E239" s="2" t="str">
        <x:v>Reviewer_A</x:v>
      </x:c>
      <x:c r="F239" s="2" t="str">
        <x:v>S50-D03</x:v>
      </x:c>
      <x:c r="G239" s="6" t="str">
        <x:v>SR</x:v>
      </x:c>
      <x:c r="H239" s="6" t="str">
        <x:v>Explicit recommendation</x:v>
      </x:c>
      <x:c r="I239" s="6" t="str">
        <x:v>利用本体定义正式的安全约束，并支持可审计的追溯。</x:v>
      </x:c>
      <x:c r="J239" s="2" t="str">
        <x:v>NR</x:v>
      </x:c>
      <x:c r="K239" s="2" t="str">
        <x:v>安全合规与决策透明性</x:v>
      </x:c>
      <x:c r="L239" s="2" t="str">
        <x:v>NR</x:v>
      </x:c>
      <x:c r="M239" s="6" t="str">
        <x:v>No</x:v>
      </x:c>
      <x:c r="N239" s="2" t="str">
        <x:v>Speculative</x:v>
      </x:c>
      <x:c r="O239" s="2" t="str">
        <x:v>ontology-based traceability</x:v>
      </x:c>
      <x:c r="P239" s="2" t="str">
        <x:v>future mitigation</x:v>
      </x:c>
      <x:c r="Q239" s="2" t="str">
        <x:v>Reliability, explainability, and human oversight</x:v>
      </x:c>
      <x:c r="R239" s="6" t="str">
        <x:v>p. 14; Section VII</x:v>
      </x:c>
      <x:c r="S239" s="6" t="str">
        <x:v>define formal safety constraints, ensuring compliance with operational standards while also enabling ontology-based</x:v>
      </x:c>
      <x:c r="T239" s="6" t="str">
        <x:v>通过本体强化约束与日志记录，提升系统的可解释性与审计能力。</x:v>
      </x:c>
      <x:c r="U239" s="2" t="str">
        <x:v>Accepted</x:v>
      </x:c>
      <x:c r="V239" s="6" t="str">
        <x:v>NA</x:v>
      </x:c>
      <x:c r="W239" s="6" t="str">
        <x:v>Agenda statement only</x:v>
      </x:c>
    </x:row>
    <x:row r="240" ht="76" customHeight="1">
      <x:c r="A240" s="2" t="str">
        <x:v>S50-FUTURE-R04</x:v>
      </x:c>
      <x:c r="B240" s="2" t="str">
        <x:v>S50</x:v>
      </x:c>
      <x:c r="C240" s="2" t="str">
        <x:v>snowball_00068</x:v>
      </x:c>
      <x:c r="D240" s="2" t="str">
        <x:v>Reviewer_A</x:v>
      </x:c>
      <x:c r="E240" s="2" t="str">
        <x:v>Reviewer_A</x:v>
      </x:c>
      <x:c r="F240" s="2" t="str">
        <x:v>S50-D04</x:v>
      </x:c>
      <x:c r="G240" s="6" t="str">
        <x:v>SR</x:v>
      </x:c>
      <x:c r="H240" s="6" t="str">
        <x:v>Explicit recommendation</x:v>
      </x:c>
      <x:c r="I240" s="6" t="str">
        <x:v>应嵌入偏差检测算法以监控和减轻LLM安全建议中的偏差。</x:v>
      </x:c>
      <x:c r="J240" s="2" t="str">
        <x:v>S50-L01</x:v>
      </x:c>
      <x:c r="K240" s="2" t="str">
        <x:v>LLM输出存在偏差或幻觉</x:v>
      </x:c>
      <x:c r="L240" s="2" t="str">
        <x:v>NR</x:v>
      </x:c>
      <x:c r="M240" s="6" t="str">
        <x:v>No</x:v>
      </x:c>
      <x:c r="N240" s="2" t="str">
        <x:v>Speculative</x:v>
      </x:c>
      <x:c r="O240" s="2" t="str">
        <x:v>bias-detection</x:v>
      </x:c>
      <x:c r="P240" s="2" t="str">
        <x:v>future mitigation</x:v>
      </x:c>
      <x:c r="Q240" s="2" t="str">
        <x:v>Reliability, explainability, and human oversight</x:v>
      </x:c>
      <x:c r="R240" s="6" t="str">
        <x:v>p. 14; Section VII</x:v>
      </x:c>
      <x:c r="S240" s="6" t="str">
        <x:v>Bias-detection algorithms should be embedded to monitor and mitigate biases in LLM-driven security recommendations.</x:v>
      </x:c>
      <x:c r="T240" s="6" t="str">
        <x:v>主动检测与纠正LLM输出中的偏见，提高安全建议的公正性。</x:v>
      </x:c>
      <x:c r="U240" s="2" t="str">
        <x:v>Accepted</x:v>
      </x:c>
      <x:c r="V240" s="6" t="str">
        <x:v>NA</x:v>
      </x:c>
      <x:c r="W240" s="6" t="str">
        <x:v>Reported limitation-grounded</x:v>
      </x:c>
    </x:row>
    <x:row r="241" ht="76" customHeight="1">
      <x:c r="A241" s="2" t="str">
        <x:v>S50-FUTURE-R05</x:v>
      </x:c>
      <x:c r="B241" s="2" t="str">
        <x:v>S50</x:v>
      </x:c>
      <x:c r="C241" s="2" t="str">
        <x:v>snowball_00068</x:v>
      </x:c>
      <x:c r="D241" s="2" t="str">
        <x:v>Reviewer_A</x:v>
      </x:c>
      <x:c r="E241" s="2" t="str">
        <x:v>Reviewer_A</x:v>
      </x:c>
      <x:c r="F241" s="2" t="str">
        <x:v>S50-D05</x:v>
      </x:c>
      <x:c r="G241" s="6" t="str">
        <x:v>SR</x:v>
      </x:c>
      <x:c r="H241" s="6" t="str">
        <x:v>Explicit recommendation</x:v>
      </x:c>
      <x:c r="I241" s="6" t="str">
        <x:v>必须实现可解释AI技术以提供透明、可理解的见解。</x:v>
      </x:c>
      <x:c r="J241" s="2" t="str">
        <x:v>S50-L01</x:v>
      </x:c>
      <x:c r="K241" s="2" t="str">
        <x:v>LLM决策过程不透明</x:v>
      </x:c>
      <x:c r="L241" s="2" t="str">
        <x:v>NR</x:v>
      </x:c>
      <x:c r="M241" s="6" t="str">
        <x:v>No</x:v>
      </x:c>
      <x:c r="N241" s="2" t="str">
        <x:v>Speculative</x:v>
      </x:c>
      <x:c r="O241" s="2" t="str">
        <x:v>explainable AI</x:v>
      </x:c>
      <x:c r="P241" s="2" t="str">
        <x:v>future mitigation</x:v>
      </x:c>
      <x:c r="Q241" s="2" t="str">
        <x:v>Reliability, explainability, and human oversight</x:v>
      </x:c>
      <x:c r="R241" s="6" t="str">
        <x:v>p. 14; Section VII</x:v>
      </x:c>
      <x:c r="S241" s="6" t="str">
        <x:v>explainable AI techniques must be implemented to provide transparent, interpretable insights, allowing human operators to understand and trust AI-assisted decisions.</x:v>
      </x:c>
      <x:c r="T241" s="6" t="str">
        <x:v>通过可解释性技术让用户理解LLM的推理过程，增强信任。</x:v>
      </x:c>
      <x:c r="U241" s="2" t="str">
        <x:v>Accepted</x:v>
      </x:c>
      <x:c r="V241" s="6" t="str">
        <x:v>NA</x:v>
      </x:c>
      <x:c r="W241" s="6" t="str">
        <x:v>Reported limitation-grounded</x:v>
      </x:c>
    </x:row>
    <x:row r="242" ht="76" customHeight="1">
      <x:c r="A242" s="2" t="str">
        <x:v>S50-FUTURE-R06</x:v>
      </x:c>
      <x:c r="B242" s="2" t="str">
        <x:v>S50</x:v>
      </x:c>
      <x:c r="C242" s="2" t="str">
        <x:v>snowball_00068</x:v>
      </x:c>
      <x:c r="D242" s="2" t="str">
        <x:v>Reviewer_A</x:v>
      </x:c>
      <x:c r="E242" s="2" t="str">
        <x:v>Reviewer_A</x:v>
      </x:c>
      <x:c r="F242" s="2" t="str">
        <x:v>S50-D06</x:v>
      </x:c>
      <x:c r="G242" s="6" t="str">
        <x:v>SR</x:v>
      </x:c>
      <x:c r="H242" s="6" t="str">
        <x:v>Explicit recommendation</x:v>
      </x:c>
      <x:c r="I242" s="6" t="str">
        <x:v>应流线化或自动化句子模板构建过程以提升可扩展性。</x:v>
      </x:c>
      <x:c r="J242" s="2" t="str">
        <x:v>S50-L03</x:v>
      </x:c>
      <x:c r="K242" s="2" t="str">
        <x:v>手工构建句子模板效率低且难以扩展</x:v>
      </x:c>
      <x:c r="L242" s="2" t="str">
        <x:v>NR</x:v>
      </x:c>
      <x:c r="M242" s="6" t="str">
        <x:v>No</x:v>
      </x:c>
      <x:c r="N242" s="2" t="str">
        <x:v>Speculative</x:v>
      </x:c>
      <x:c r="O242" s="2" t="str">
        <x:v>automated template</x:v>
      </x:c>
      <x:c r="P242" s="2" t="str">
        <x:v>future mitigation</x:v>
      </x:c>
      <x:c r="Q242" s="2" t="str">
        <x:v>Integration, evolution, and deployment</x:v>
      </x:c>
      <x:c r="R242" s="6" t="str">
        <x:v>p. 13; Section VI.C</x:v>
      </x:c>
      <x:c r="S242" s="6" t="str">
        <x:v>Therefore, the process of building sentence templates should be streamlined or automated.</x:v>
      </x:c>
      <x:c r="T242" s="6" t="str">
        <x:v>针对可扩展性限制，提出自动化模板生成的改进方向。</x:v>
      </x:c>
      <x:c r="U242" s="2" t="str">
        <x:v>Accepted</x:v>
      </x:c>
      <x:c r="V242" s="6" t="str">
        <x:v>NA</x:v>
      </x:c>
      <x:c r="W242" s="6" t="str">
        <x:v>Reported limitation-grounded</x:v>
      </x:c>
    </x:row>
    <x:row r="243" ht="76" customHeight="1">
      <x:c r="A243" s="2" t="str">
        <x:v>S50-FUTURE-R07</x:v>
      </x:c>
      <x:c r="B243" s="2" t="str">
        <x:v>S50</x:v>
      </x:c>
      <x:c r="C243" s="2" t="str">
        <x:v>snowball_00068</x:v>
      </x:c>
      <x:c r="D243" s="2" t="str">
        <x:v>Reviewer_A</x:v>
      </x:c>
      <x:c r="E243" s="2" t="str">
        <x:v>Reviewer_A</x:v>
      </x:c>
      <x:c r="F243" s="2" t="str">
        <x:v>S50-D07</x:v>
      </x:c>
      <x:c r="G243" s="6" t="str">
        <x:v>SR</x:v>
      </x:c>
      <x:c r="H243" s="6" t="str">
        <x:v>Explicit future work</x:v>
      </x:c>
      <x:c r="I243" s="6" t="str">
        <x:v>该框架可扩展到产品安全领域或对齐IEC 62443-4-2等其他标准。</x:v>
      </x:c>
      <x:c r="J243" s="2" t="str">
        <x:v>NR</x:v>
      </x:c>
      <x:c r="K243" s="2" t="str">
        <x:v>当前框架仅针对IEC 62443-3-3和ICS</x:v>
      </x:c>
      <x:c r="L243" s="2" t="str">
        <x:v>NR</x:v>
      </x:c>
      <x:c r="M243" s="6" t="str">
        <x:v>No</x:v>
      </x:c>
      <x:c r="N243" s="2" t="str">
        <x:v>Speculative</x:v>
      </x:c>
      <x:c r="O243" s="2" t="str">
        <x:v>domain extension</x:v>
      </x:c>
      <x:c r="P243" s="2" t="str">
        <x:v>future application</x:v>
      </x:c>
      <x:c r="Q243" s="2" t="str">
        <x:v>Broader empirical validation</x:v>
      </x:c>
      <x:c r="R243" s="6" t="str">
        <x:v>p. 13; Section VII</x:v>
      </x:c>
      <x:c r="S243" s="6" t="str">
        <x:v>For example, this framework can be extended to the product security domain or aligned with IEC 62443-4-2.</x:v>
      </x:c>
      <x:c r="T243" s="6" t="str">
        <x:v>提出将框架迁移至更广泛的安全标准与行业，展示通用性潜力。</x:v>
      </x:c>
      <x:c r="U243" s="2" t="str">
        <x:v>Accepted</x:v>
      </x:c>
      <x:c r="V243" s="6" t="str">
        <x:v>NA</x:v>
      </x:c>
      <x:c r="W243" s="6" t="str">
        <x:v>Agenda statement only</x:v>
      </x:c>
    </x:row>
    <x:row r="244" ht="76" customHeight="1">
      <x:c r="A244" s="2" t="str">
        <x:v>S51-FUTURE-R01</x:v>
      </x:c>
      <x:c r="B244" s="2" t="str">
        <x:v>S51</x:v>
      </x:c>
      <x:c r="C244" s="2" t="str">
        <x:v>snowball_00085</x:v>
      </x:c>
      <x:c r="D244" s="2" t="str">
        <x:v>Reviewer_A</x:v>
      </x:c>
      <x:c r="E244" s="2" t="str">
        <x:v>Reviewer_A</x:v>
      </x:c>
      <x:c r="F244" s="2" t="str">
        <x:v>S51-D01</x:v>
      </x:c>
      <x:c r="G244" s="6" t="str">
        <x:v>SR</x:v>
      </x:c>
      <x:c r="H244" s="6" t="str">
        <x:v>Explicit future work</x:v>
      </x:c>
      <x:c r="I244" s="6" t="str">
        <x:v>识别LLM评估中的常见错误类型，以提高性能。</x:v>
      </x:c>
      <x:c r="J244" s="2" t="str">
        <x:v>NR</x:v>
      </x:c>
      <x:c r="K244" s="2" t="str">
        <x:v>当前研究只区分了假阳性和假阴性，未区分错误类型。</x:v>
      </x:c>
      <x:c r="L244" s="2" t="str">
        <x:v>通过分析现有错误案例。</x:v>
      </x:c>
      <x:c r="M244" s="6" t="str">
        <x:v>NR</x:v>
      </x:c>
      <x:c r="N244" s="2" t="str">
        <x:v>Speculative</x:v>
      </x:c>
      <x:c r="O244" s="2" t="str">
        <x:v>FUT_ERROR_TYPES</x:v>
      </x:c>
      <x:c r="P244" s="2" t="str">
        <x:v>Error analysis</x:v>
      </x:c>
      <x:c r="Q244" s="2" t="str">
        <x:v>Benchmark and measurement rigor</x:v>
      </x:c>
      <x:c r="R244" s="6" t="str">
        <x:v>p. 6; section V.C. Future Works</x:v>
      </x:c>
      <x:c r="S244" s="6" t="str">
        <x:v>Identifying common types of errors might open up opportunities to improve LLM performance.</x:v>
      </x:c>
      <x:c r="T244" s="6" t="str">
        <x:v>未来工作应识别常见错误类型，以寻求改进LLM性能的机会。</x:v>
      </x:c>
      <x:c r="U244" s="2" t="str">
        <x:v>Accepted</x:v>
      </x:c>
      <x:c r="V244" s="6" t="str">
        <x:v>NA</x:v>
      </x:c>
      <x:c r="W244" s="6" t="str">
        <x:v>Agenda statement only</x:v>
      </x:c>
    </x:row>
    <x:row r="245" ht="76" customHeight="1">
      <x:c r="A245" s="2" t="str">
        <x:v>S51-FUTURE-R02</x:v>
      </x:c>
      <x:c r="B245" s="2" t="str">
        <x:v>S51</x:v>
      </x:c>
      <x:c r="C245" s="2" t="str">
        <x:v>snowball_00085</x:v>
      </x:c>
      <x:c r="D245" s="2" t="str">
        <x:v>Reviewer_A</x:v>
      </x:c>
      <x:c r="E245" s="2" t="str">
        <x:v>Reviewer_A</x:v>
      </x:c>
      <x:c r="F245" s="2" t="str">
        <x:v>S51-D02</x:v>
      </x:c>
      <x:c r="G245" s="6" t="str">
        <x:v>SR</x:v>
      </x:c>
      <x:c r="H245" s="6" t="str">
        <x:v>Explicit future work</x:v>
      </x:c>
      <x:c r="I245" s="6" t="str">
        <x:v>研究LLM的优势（如预训练信息、文本知识库的简易性）是否超过偶尔错误推理的缺点。</x:v>
      </x:c>
      <x:c r="J245" s="2" t="str">
        <x:v>NR</x:v>
      </x:c>
      <x:c r="K245" s="2" t="str">
        <x:v>LLM偶尔会产生不正确推理，需权衡其整体效用。</x:v>
      </x:c>
      <x:c r="L245" s="2" t="str">
        <x:v>通过用户研究或对比实验。</x:v>
      </x:c>
      <x:c r="M245" s="6" t="str">
        <x:v>NR</x:v>
      </x:c>
      <x:c r="N245" s="2" t="str">
        <x:v>Speculative</x:v>
      </x:c>
      <x:c r="O245" s="2" t="str">
        <x:v>FUT_BENEFIT_TRADEOFF</x:v>
      </x:c>
      <x:c r="P245" s="2" t="str">
        <x:v>Utility assessment</x:v>
      </x:c>
      <x:c r="Q245" s="2" t="str">
        <x:v>Benchmark and measurement rigor</x:v>
      </x:c>
      <x:c r="R245" s="6" t="str">
        <x:v>p. 6; section V.C. Future Works</x:v>
      </x:c>
      <x:c r="S245" s="6" t="str">
        <x:v>Future research should also focus on investigating if other benefits that LLMs likely provide, such as utilizing pre-trained information and the relative simplicity in creating textual knowledge bases, outweigh the drawback of occasionally making incorrect inferences.</x:v>
      </x:c>
      <x:c r="T245" s="6" t="str">
        <x:v>未来研究应探讨LLM的益处（如利用预训练信息、简化知识库构建）是否超过其偶尔错误推理的缺点。</x:v>
      </x:c>
      <x:c r="U245" s="2" t="str">
        <x:v>Accepted</x:v>
      </x:c>
      <x:c r="V245" s="6" t="str">
        <x:v>NA</x:v>
      </x:c>
      <x:c r="W245" s="6" t="str">
        <x:v>Agenda statement only</x:v>
      </x:c>
    </x:row>
    <x:row r="246" ht="76" customHeight="1">
      <x:c r="A246" s="2" t="str">
        <x:v>S51-FUTURE-R03</x:v>
      </x:c>
      <x:c r="B246" s="2" t="str">
        <x:v>S51</x:v>
      </x:c>
      <x:c r="C246" s="2" t="str">
        <x:v>snowball_00085</x:v>
      </x:c>
      <x:c r="D246" s="2" t="str">
        <x:v>Reviewer_A</x:v>
      </x:c>
      <x:c r="E246" s="2" t="str">
        <x:v>Reviewer_A</x:v>
      </x:c>
      <x:c r="F246" s="2" t="str">
        <x:v>S51-D03</x:v>
      </x:c>
      <x:c r="G246" s="6" t="str">
        <x:v>SR</x:v>
      </x:c>
      <x:c r="H246" s="6" t="str">
        <x:v>Explicit future work</x:v>
      </x:c>
      <x:c r="I246" s="6" t="str">
        <x:v>调查错误推理是主要错误源，还是用户误解等其他错误源影响更大。</x:v>
      </x:c>
      <x:c r="J246" s="2" t="str">
        <x:v>NR</x:v>
      </x:c>
      <x:c r="K246" s="2" t="str">
        <x:v>不清楚LLM输出错误的主要原因是模型本身还是用户理解偏差。</x:v>
      </x:c>
      <x:c r="L246" s="2" t="str">
        <x:v>通过用户研究和错误分析。</x:v>
      </x:c>
      <x:c r="M246" s="6" t="str">
        <x:v>NR</x:v>
      </x:c>
      <x:c r="N246" s="2" t="str">
        <x:v>Speculative</x:v>
      </x:c>
      <x:c r="O246" s="2" t="str">
        <x:v>FUT_ERROR_SOURCE</x:v>
      </x:c>
      <x:c r="P246" s="2" t="str">
        <x:v>Error source analysis</x:v>
      </x:c>
      <x:c r="Q246" s="2" t="str">
        <x:v>Benchmark and measurement rigor</x:v>
      </x:c>
      <x:c r="R246" s="6" t="str">
        <x:v>p. 6; section V.C. Future Works</x:v>
      </x:c>
      <x:c r="S246" s="6" t="str">
        <x:v>it should also be investigated if incorrect inferences are the main source of error, or if other sources of error, such as potential misunderstandings on the user side, have a stronger impact on the overall perceived usefulness</x:v>
      </x:c>
      <x:c r="T246" s="6" t="str">
        <x:v>应调查不正确推理是否是错误的主要来源，还是用户误解等其他错误源对整体感知有用性的影响更大。</x:v>
      </x:c>
      <x:c r="U246" s="2" t="str">
        <x:v>Accepted</x:v>
      </x:c>
      <x:c r="V246" s="6" t="str">
        <x:v>NA</x:v>
      </x:c>
      <x:c r="W246" s="6" t="str">
        <x:v>Agenda statement only</x:v>
      </x:c>
    </x:row>
    <x:row r="247" ht="76" customHeight="1">
      <x:c r="A247" s="2" t="str">
        <x:v>S51-FUTURE-R04</x:v>
      </x:c>
      <x:c r="B247" s="2" t="str">
        <x:v>S51</x:v>
      </x:c>
      <x:c r="C247" s="2" t="str">
        <x:v>snowball_00085</x:v>
      </x:c>
      <x:c r="D247" s="2" t="str">
        <x:v>Reviewer_A</x:v>
      </x:c>
      <x:c r="E247" s="2" t="str">
        <x:v>Reviewer_A</x:v>
      </x:c>
      <x:c r="F247" s="2" t="str">
        <x:v>S51-D04</x:v>
      </x:c>
      <x:c r="G247" s="6" t="str">
        <x:v>SR</x:v>
      </x:c>
      <x:c r="H247" s="6" t="str">
        <x:v>Explicit future work</x:v>
      </x:c>
      <x:c r="I247" s="6" t="str">
        <x:v>研究策略以帮助用户（尤其是领域新手）批判性地评估LLM的推理结果，减少错误推理的影响。</x:v>
      </x:c>
      <x:c r="J247" s="2" t="str">
        <x:v>NR</x:v>
      </x:c>
      <x:c r="K247" s="2" t="str">
        <x:v>LLM的错误推理可能误导用户，尤其是领域不熟悉的用户。</x:v>
      </x:c>
      <x:c r="L247" s="2" t="str">
        <x:v>通过开发交互式工具或指南。</x:v>
      </x:c>
      <x:c r="M247" s="6" t="str">
        <x:v>NR</x:v>
      </x:c>
      <x:c r="N247" s="2" t="str">
        <x:v>Speculative</x:v>
      </x:c>
      <x:c r="O247" s="2" t="str">
        <x:v>FUT_USER_EMPOWER</x:v>
      </x:c>
      <x:c r="P247" s="2" t="str">
        <x:v>User support</x:v>
      </x:c>
      <x:c r="Q247" s="2" t="str">
        <x:v>Reliability, explainability, and human oversight</x:v>
      </x:c>
      <x:c r="R247" s="6" t="str">
        <x:v>p. 6; section V.C. Future Works</x:v>
      </x:c>
      <x:c r="S247" s="6" t="str">
        <x:v>strategies should be investigated that empower users, even those that are relatively unfamiliar with a given domain, to critically evaluate inferences performed by LLMs</x:v>
      </x:c>
      <x:c r="T247" s="6" t="str">
        <x:v>应研究赋能用户（尤其是领域不熟者）批判性评估LLM推理结果的策略。</x:v>
      </x:c>
      <x:c r="U247" s="2" t="str">
        <x:v>Accepted</x:v>
      </x:c>
      <x:c r="V247" s="6" t="str">
        <x:v>NA</x:v>
      </x:c>
      <x:c r="W247" s="6" t="str">
        <x:v>Agenda statement only</x:v>
      </x:c>
    </x:row>
    <x:row r="248" ht="76" customHeight="1">
      <x:c r="A248" s="2" t="str">
        <x:v>S51-FUTURE-R05</x:v>
      </x:c>
      <x:c r="B248" s="2" t="str">
        <x:v>S51</x:v>
      </x:c>
      <x:c r="C248" s="2" t="str">
        <x:v>snowball_00085</x:v>
      </x:c>
      <x:c r="D248" s="2" t="str">
        <x:v>Reviewer_A</x:v>
      </x:c>
      <x:c r="E248" s="2" t="str">
        <x:v>Reviewer_A</x:v>
      </x:c>
      <x:c r="F248" s="2" t="str">
        <x:v>S51-D05</x:v>
      </x:c>
      <x:c r="G248" s="6" t="str">
        <x:v>SR</x:v>
      </x:c>
      <x:c r="H248" s="6" t="str">
        <x:v>Explicit recommendation</x:v>
      </x:c>
      <x:c r="I248" s="6" t="str">
        <x:v>在更多类型的SysML图、更复杂推理任务和其他领域（非智能电网）进行实验，以确定LLM能力的边界。</x:v>
      </x:c>
      <x:c r="J248" s="2" t="str">
        <x:v>S51-L01</x:v>
      </x:c>
      <x:c r="K248" s="2" t="str">
        <x:v>当前实验仅覆盖智能电网领域的有限复杂性，推广性未知。</x:v>
      </x:c>
      <x:c r="L248" s="2" t="str">
        <x:v>需要构建新的数据集和形式化基准。</x:v>
      </x:c>
      <x:c r="M248" s="6" t="str">
        <x:v>NR</x:v>
      </x:c>
      <x:c r="N248" s="2" t="str">
        <x:v>Speculative</x:v>
      </x:c>
      <x:c r="O248" s="2" t="str">
        <x:v>FUT_BROADER_EXPERIMENTS</x:v>
      </x:c>
      <x:c r="P248" s="2" t="str">
        <x:v>Scope expansion</x:v>
      </x:c>
      <x:c r="Q248" s="2" t="str">
        <x:v>Broader empirical validation</x:v>
      </x:c>
      <x:c r="R248" s="6" t="str">
        <x:v>p. 6; section V.B. Limitations of the study</x:v>
      </x:c>
      <x:c r="S248" s="6" t="str">
        <x:v>it would be beneficial to perform more experiments, e.g., on different types of SysML diagrams, for more complex inference tasks, and in other domains than the smart grid domain, to figure out the boundaries of LLM capabilities</x:v>
      </x:c>
      <x:c r="T248" s="6" t="str">
        <x:v>未来研究应在不同SysML图类型、更复杂推理任务和其他领域进行更多实验，以探明LLM能力的边界。</x:v>
      </x:c>
      <x:c r="U248" s="2" t="str">
        <x:v>Accepted</x:v>
      </x:c>
      <x:c r="V248" s="6" t="str">
        <x:v>This is stated as a limitation but explicitly recommends future experiments.</x:v>
      </x:c>
      <x:c r="W248" s="6" t="str">
        <x:v>Empirical limitation-grounded</x:v>
      </x:c>
    </x:row>
    <x:row r="249" ht="76" customHeight="1">
      <x:c r="A249" s="2" t="str">
        <x:v>S52-FUTURE-R01</x:v>
      </x:c>
      <x:c r="B249" s="2" t="str">
        <x:v>S52</x:v>
      </x:c>
      <x:c r="C249" s="2" t="str">
        <x:v>snowball_00095</x:v>
      </x:c>
      <x:c r="D249" s="2" t="str">
        <x:v>Reviewer_A</x:v>
      </x:c>
      <x:c r="E249" s="2" t="str">
        <x:v>Reviewer_A</x:v>
      </x:c>
      <x:c r="F249" s="2" t="str">
        <x:v>S52-D01</x:v>
      </x:c>
      <x:c r="G249" s="6" t="str">
        <x:v>SR</x:v>
      </x:c>
      <x:c r="H249" s="6" t="str">
        <x:v>Explicit research gap</x:v>
      </x:c>
      <x:c r="I249" s="6" t="str">
        <x:v>需要在工业项目中开展使用HGEN的长期研究，以观察其随时间推移的实际效用。</x:v>
      </x:c>
      <x:c r="J249" s="2" t="str">
        <x:v>S52-L03</x:v>
      </x:c>
      <x:c r="K249" s="2" t="str">
        <x:v>当前研究仅基于演示反馈，缺乏长期实际使用数据</x:v>
      </x:c>
      <x:c r="L249" s="2" t="str">
        <x:v>在工业项目中部署HGEN并跟踪使用情况</x:v>
      </x:c>
      <x:c r="M249" s="6" t="str">
        <x:v>No</x:v>
      </x:c>
      <x:c r="N249" s="2" t="str">
        <x:v>Speculative</x:v>
      </x:c>
      <x:c r="O249" s="2" t="str">
        <x:v>longitudinal_study</x:v>
      </x:c>
      <x:c r="P249" s="2" t="str">
        <x:v>future_work</x:v>
      </x:c>
      <x:c r="Q249" s="2" t="str">
        <x:v>Broader empirical validation</x:v>
      </x:c>
      <x:c r="R249" s="6" t="str">
        <x:v>p. 10; Section VII. Threats to Validity</x:v>
      </x:c>
      <x:c r="S249" s="6" t="str">
        <x:v>an additional study is needed of its use over time in industrial projects.</x:v>
      </x:c>
      <x:c r="T249" s="6" t="str">
        <x:v>作者明确指出现有试点研究不足，需进行长期工业项目研究以验证HGEN的实际效用。</x:v>
      </x:c>
      <x:c r="U249" s="2" t="str">
        <x:v>Accepted</x:v>
      </x:c>
      <x:c r="V249" s="6" t="str">
        <x:v>NA</x:v>
      </x:c>
      <x:c r="W249" s="6" t="str">
        <x:v>Empirical limitation-grounded</x:v>
      </x:c>
    </x:row>
    <x:row r="250" ht="76" customHeight="1">
      <x:c r="A250" s="2" t="str">
        <x:v>S52-FUTURE-R02</x:v>
      </x:c>
      <x:c r="B250" s="2" t="str">
        <x:v>S52</x:v>
      </x:c>
      <x:c r="C250" s="2" t="str">
        <x:v>snowball_00095</x:v>
      </x:c>
      <x:c r="D250" s="2" t="str">
        <x:v>Reviewer_A</x:v>
      </x:c>
      <x:c r="E250" s="2" t="str">
        <x:v>Reviewer_A</x:v>
      </x:c>
      <x:c r="F250" s="2" t="str">
        <x:v>S52-D02</x:v>
      </x:c>
      <x:c r="G250" s="6" t="str">
        <x:v>SR</x:v>
      </x:c>
      <x:c r="H250" s="6" t="str">
        <x:v>Explicit future work</x:v>
      </x:c>
      <x:c r="I250" s="6" t="str">
        <x:v>HGEN展现出自动化需求工程其他方面的潜力，为实现普遍文档化和可追溯性铺平道路。</x:v>
      </x:c>
      <x:c r="J250" s="2" t="str">
        <x:v>NR</x:v>
      </x:c>
      <x:c r="K250" s="2" t="str">
        <x:v>当前HGEN主要生成文档层次和追踪链接，尚未覆盖需求工程的其他方面</x:v>
      </x:c>
      <x:c r="L250" s="2" t="str">
        <x:v>扩展HGEN以支持其他需求工程任务</x:v>
      </x:c>
      <x:c r="M250" s="6" t="str">
        <x:v>No</x:v>
      </x:c>
      <x:c r="N250" s="2" t="str">
        <x:v>Speculative</x:v>
      </x:c>
      <x:c r="O250" s="2" t="str">
        <x:v>extend_scope</x:v>
      </x:c>
      <x:c r="P250" s="2" t="str">
        <x:v>future_work</x:v>
      </x:c>
      <x:c r="Q250" s="2" t="str">
        <x:v>Broader empirical validation</x:v>
      </x:c>
      <x:c r="R250" s="6" t="str">
        <x:v>p. 11; Section VIII. Conclusion</x:v>
      </x:c>
      <x:c r="S250" s="6" t="str">
        <x:v>Moreover, HGEN presents potential for automating additional aspects of requirements engineering, paving the way forward towards ubiquitous documentation and traceability.</x:v>
      </x:c>
      <x:c r="T250" s="6" t="str">
        <x:v>作者展望HGEN的潜力，未来可自动化更多需求工程方面，实现普遍文档化和可追溯性。</x:v>
      </x:c>
      <x:c r="U250" s="2" t="str">
        <x:v>Accepted</x:v>
      </x:c>
      <x:c r="V250" s="6" t="str">
        <x:v>NA</x:v>
      </x:c>
      <x:c r="W250" s="6" t="str">
        <x:v>Agenda statement only</x:v>
      </x:c>
    </x:row>
    <x:row r="251" ht="76" customHeight="1">
      <x:c r="A251" s="2" t="str">
        <x:v>S53-FUTURE-R01</x:v>
      </x:c>
      <x:c r="B251" s="2" t="str">
        <x:v>S53</x:v>
      </x:c>
      <x:c r="C251" s="2" t="str">
        <x:v>merged_1229</x:v>
      </x:c>
      <x:c r="D251" s="2" t="str">
        <x:v>Reviewer_A</x:v>
      </x:c>
      <x:c r="E251" s="2" t="str">
        <x:v>Reviewer_A</x:v>
      </x:c>
      <x:c r="F251" s="2" t="str">
        <x:v>S53-D01</x:v>
      </x:c>
      <x:c r="G251" s="6" t="str">
        <x:v>SR</x:v>
      </x:c>
      <x:c r="H251" s="6" t="str">
        <x:v>Explicit future work</x:v>
      </x:c>
      <x:c r="I251" s="6" t="str">
        <x:v>Use a model with publicly available weights, additional domain training, and proprietary encapsulated infrastructure.</x:v>
      </x:c>
      <x:c r="J251" s="2" t="str">
        <x:v>S53-L03</x:v>
      </x:c>
      <x:c r="K251" s="2" t="str">
        <x:v>Reduce cost and protect industrial information.</x:v>
      </x:c>
      <x:c r="L251" s="2" t="str">
        <x:v>Local infrastructure and domain artifacts</x:v>
      </x:c>
      <x:c r="M251" s="6" t="str">
        <x:v>Proposed in the conclusion</x:v>
      </x:c>
      <x:c r="N251" s="2" t="str">
        <x:v>Speculative</x:v>
      </x:c>
      <x:c r="O251" s="2" t="str">
        <x:v>local open-weight deployment</x:v>
      </x:c>
      <x:c r="P251" s="2" t="str">
        <x:v>deployment adaptation</x:v>
      </x:c>
      <x:c r="Q251" s="2" t="str">
        <x:v>Integration, evolution, and deployment</x:v>
      </x:c>
      <x:c r="R251" s="6" t="str">
        <x:v>pp. 5-6; Section V</x:v>
      </x:c>
      <x:c r="S251" s="6" t="str">
        <x:v>use a model with publicly available weights that can be additionally trained on specific artifacts and run on a proprietary, encapsulated infrastructure</x:v>
      </x:c>
      <x:c r="T251" s="6" t="str">
        <x:v>Use a model with publicly available weights, additional domain training, and proprietary encapsulated infrastructure.</x:v>
      </x:c>
      <x:c r="U251" s="2" t="str">
        <x:v>Accepted</x:v>
      </x:c>
      <x:c r="V251" s="6" t="str">
        <x:v>| future_basis原值Author conclusion,归入Explicit future work</x:v>
      </x:c>
      <x:c r="W251" s="6" t="str">
        <x:v>Reported limitation-grounded</x:v>
      </x:c>
    </x:row>
    <x:row r="252" ht="76" customHeight="1">
      <x:c r="A252" s="2" t="str">
        <x:v>S53-FUTURE-R02</x:v>
      </x:c>
      <x:c r="B252" s="2" t="str">
        <x:v>S53</x:v>
      </x:c>
      <x:c r="C252" s="2" t="str">
        <x:v>merged_1229</x:v>
      </x:c>
      <x:c r="D252" s="2" t="str">
        <x:v>Reviewer_A</x:v>
      </x:c>
      <x:c r="E252" s="2" t="str">
        <x:v>Reviewer_A</x:v>
      </x:c>
      <x:c r="F252" s="2" t="str">
        <x:v>S53-D02</x:v>
      </x:c>
      <x:c r="G252" s="6" t="str">
        <x:v>SR</x:v>
      </x:c>
      <x:c r="H252" s="6" t="str">
        <x:v>Explicit future work</x:v>
      </x:c>
      <x:c r="I252" s="6" t="str">
        <x:v>Define robust validation approaches for generated requirements and tests.</x:v>
      </x:c>
      <x:c r="J252" s="2" t="str">
        <x:v>S53-L02; S53-L04</x:v>
      </x:c>
      <x:c r="K252" s="2" t="str">
        <x:v>Improve the reliability of safety-critical generated artifacts.</x:v>
      </x:c>
      <x:c r="L252" s="2" t="str">
        <x:v>Explicit validation criteria and evidence</x:v>
      </x:c>
      <x:c r="M252" s="6" t="str">
        <x:v>Proposed in the conclusion</x:v>
      </x:c>
      <x:c r="N252" s="2" t="str">
        <x:v>Speculative</x:v>
      </x:c>
      <x:c r="O252" s="2" t="str">
        <x:v>robust validation</x:v>
      </x:c>
      <x:c r="P252" s="2" t="str">
        <x:v>reliability assurance</x:v>
      </x:c>
      <x:c r="Q252" s="2" t="str">
        <x:v>Reliability, explainability, and human oversight</x:v>
      </x:c>
      <x:c r="R252" s="6" t="str">
        <x:v>p. 6; Section V</x:v>
      </x:c>
      <x:c r="S252" s="6" t="str">
        <x:v>Future work should focus as well on defining robust validation pipelines</x:v>
      </x:c>
      <x:c r="T252" s="6" t="str">
        <x:v>Define robust validation approaches for generated requirements and tests.</x:v>
      </x:c>
      <x:c r="U252" s="2" t="str">
        <x:v>Accepted</x:v>
      </x:c>
      <x:c r="V252" s="6" t="str">
        <x:v>| future_basis原值Author conclusion,归入Explicit future work</x:v>
      </x:c>
      <x:c r="W252" s="6" t="str">
        <x:v>Empirical limitation-grounded</x:v>
      </x:c>
    </x:row>
    <x:row r="253" ht="76" customHeight="1">
      <x:c r="A253" s="2" t="str">
        <x:v>S53-FUTURE-R03</x:v>
      </x:c>
      <x:c r="B253" s="2" t="str">
        <x:v>S53</x:v>
      </x:c>
      <x:c r="C253" s="2" t="str">
        <x:v>merged_1229</x:v>
      </x:c>
      <x:c r="D253" s="2" t="str">
        <x:v>Reviewer_A</x:v>
      </x:c>
      <x:c r="E253" s="2" t="str">
        <x:v>Reviewer_A</x:v>
      </x:c>
      <x:c r="F253" s="2" t="str">
        <x:v>S53-D03</x:v>
      </x:c>
      <x:c r="G253" s="6" t="str">
        <x:v>SR</x:v>
      </x:c>
      <x:c r="H253" s="6" t="str">
        <x:v>Explicit future work</x:v>
      </x:c>
      <x:c r="I253" s="6" t="str">
        <x:v>Assess model drift over time.</x:v>
      </x:c>
      <x:c r="J253" s="2" t="str">
        <x:v>S53-L04</x:v>
      </x:c>
      <x:c r="K253" s="2" t="str">
        <x:v>Detect changes in model behavior and output quality.</x:v>
      </x:c>
      <x:c r="L253" s="2" t="str">
        <x:v>Repeated longitudinal evaluation</x:v>
      </x:c>
      <x:c r="M253" s="6" t="str">
        <x:v>Proposed in the conclusion</x:v>
      </x:c>
      <x:c r="N253" s="2" t="str">
        <x:v>Speculative</x:v>
      </x:c>
      <x:c r="O253" s="2" t="str">
        <x:v>model drift assessment</x:v>
      </x:c>
      <x:c r="P253" s="2" t="str">
        <x:v>temporal reliability</x:v>
      </x:c>
      <x:c r="Q253" s="2" t="str">
        <x:v>Reliability, explainability, and human oversight</x:v>
      </x:c>
      <x:c r="R253" s="6" t="str">
        <x:v>p. 6; Section V</x:v>
      </x:c>
      <x:c r="S253" s="6" t="str">
        <x:v>assessing model drift</x:v>
      </x:c>
      <x:c r="T253" s="6" t="str">
        <x:v>Assess model drift over time.</x:v>
      </x:c>
      <x:c r="U253" s="2" t="str">
        <x:v>Accepted</x:v>
      </x:c>
      <x:c r="V253" s="6" t="str">
        <x:v>| future_basis原值Author conclusion,归入Explicit future work</x:v>
      </x:c>
      <x:c r="W253" s="6" t="str">
        <x:v>Empirical limitation-grounded</x:v>
      </x:c>
    </x:row>
    <x:row r="254" ht="76" customHeight="1">
      <x:c r="A254" s="2" t="str">
        <x:v>S53-FUTURE-R04</x:v>
      </x:c>
      <x:c r="B254" s="2" t="str">
        <x:v>S53</x:v>
      </x:c>
      <x:c r="C254" s="2" t="str">
        <x:v>merged_1229</x:v>
      </x:c>
      <x:c r="D254" s="2" t="str">
        <x:v>Reviewer_A</x:v>
      </x:c>
      <x:c r="E254" s="2" t="str">
        <x:v>Reviewer_A</x:v>
      </x:c>
      <x:c r="F254" s="2" t="str">
        <x:v>S53-D04</x:v>
      </x:c>
      <x:c r="G254" s="6" t="str">
        <x:v>SR</x:v>
      </x:c>
      <x:c r="H254" s="6" t="str">
        <x:v>Explicit future work</x:v>
      </x:c>
      <x:c r="I254" s="6" t="str">
        <x:v>Develop best practices for prompt engineering and fine tuning in safety-critical domains.</x:v>
      </x:c>
      <x:c r="J254" s="2" t="str">
        <x:v>S53-L02; S53-L04</x:v>
      </x:c>
      <x:c r="K254" s="2" t="str">
        <x:v>Improve task reliability and domain fit.</x:v>
      </x:c>
      <x:c r="L254" s="2" t="str">
        <x:v>Safety-critical domain evidence</x:v>
      </x:c>
      <x:c r="M254" s="6" t="str">
        <x:v>Proposed in the conclusion</x:v>
      </x:c>
      <x:c r="N254" s="2" t="str">
        <x:v>Speculative</x:v>
      </x:c>
      <x:c r="O254" s="2" t="str">
        <x:v>prompt and fine-tuning guidance</x:v>
      </x:c>
      <x:c r="P254" s="2" t="str">
        <x:v>method adaptation</x:v>
      </x:c>
      <x:c r="Q254" s="2" t="str">
        <x:v>Context, retrieval, and model adaptation</x:v>
      </x:c>
      <x:c r="R254" s="6" t="str">
        <x:v>p. 6; Section V</x:v>
      </x:c>
      <x:c r="S254" s="6" t="str">
        <x:v>developing best practices for prompt engineering and fine-tuning within safety critical domains</x:v>
      </x:c>
      <x:c r="T254" s="6" t="str">
        <x:v>Develop best practices for prompt engineering and fine tuning in safety-critical domains.</x:v>
      </x:c>
      <x:c r="U254" s="2" t="str">
        <x:v>Accepted</x:v>
      </x:c>
      <x:c r="V254" s="6" t="str">
        <x:v>| future_basis原值Author conclusion,归入Explicit future work</x:v>
      </x:c>
      <x:c r="W254" s="6" t="str">
        <x:v>Empirical limitation-grounded</x:v>
      </x:c>
    </x:row>
    <x:row r="255" ht="76" customHeight="1">
      <x:c r="A255" s="2" t="str">
        <x:v>G2-DIR-R01</x:v>
      </x:c>
      <x:c r="B255" s="2" t="str">
        <x:v>G2</x:v>
      </x:c>
      <x:c r="C255" s="2" t="str">
        <x:v>v1</x:v>
      </x:c>
      <x:c r="D255" s="2" t="str">
        <x:v>Reviewer_A</x:v>
      </x:c>
      <x:c r="E255" s="2" t="str">
        <x:v>Reviewer_A</x:v>
      </x:c>
      <x:c r="F255" s="2" t="str">
        <x:v>G2-D01</x:v>
      </x:c>
      <x:c r="G255" s="6" t="str">
        <x:v>SR</x:v>
      </x:c>
      <x:c r="H255" s="6" t="str">
        <x:v>Explicit future work</x:v>
      </x:c>
      <x:c r="I255" s="6" t="str">
        <x:v>what we will do is we expand towards data and we definitely want to expand towards ecrfs because um we want to have endtoend traceability literally from the very beginning ; we will generate those in the first instance and we will also look into generating first drafts for what the medical writers are do</x:v>
      </x:c>
      <x:c r="J255" s="2" t="str">
        <x:v>NR</x:v>
      </x:c>
      <x:c r="K255" s="2" t="str">
        <x:v>the current scope covers code and logs only, so traceability does not yet start from the source data, and submission documents such as Define-XML and SDRG are still written by hand</x:v>
      </x:c>
      <x:c r="L255" s="2" t="str">
        <x:v>expand the platform towards data and eCRF sources, integrate Pinnacle 21 reports, and generate first drafts of the documents medical writers produce</x:v>
      </x:c>
      <x:c r="M255" s="6" t="str">
        <x:v>the platform already derives traces from code and logs and the presenter states that Define-XML and SDRG can be generated from the code</x:v>
      </x:c>
      <x:c r="N255" s="2" t="str">
        <x:v>Speculative</x:v>
      </x:c>
      <x:c r="O255" s="2" t="str">
        <x:v>end_to_end_traceability_expansion</x:v>
      </x:c>
      <x:c r="P255" s="2" t="str">
        <x:v>end_to_end_workflow</x:v>
      </x:c>
      <x:c r="Q255" s="2" t="str">
        <x:v>Integration, evolution, and deployment</x:v>
      </x:c>
      <x:c r="R255" s="6" t="str">
        <x:v>G2_video_page.png (title, speaker and affiliation slide, channel, view count, likes) ; G2_page_description.png (page date, speaker attribution, description text, links) ; [00:59] ; [07:19] ; [07:32] ; [09:38] ; [10:14] ; [12:17] ; [12:24] ; [14:08] ; [17:39] ; [21:09] ; [26:46] ; [32:49] ; [37:01] ; [38:58] ; [39:01] ; [39:17] ; [40:47] </x:v>
      </x:c>
      <x:c r="S255" s="6" t="str">
        <x:v>what we will do is we expand towards data and we definitely want to expand towards ecrfs because um we want to have endtoend traceability literally from the very beginning</x:v>
      </x:c>
      <x:c r="T255" s="6" t="str">
        <x:v>The direction extends the traced range backwards to source data and forwards to the submission documents the domain produces by hand.</x:v>
      </x:c>
      <x:c r="U255" s="2" t="str">
        <x:v>Accepted</x:v>
      </x:c>
      <x:c r="V255" s="6" t="str">
        <x:v>The material states the future direction explicitly; the linked limitation and the open code follow the recorded statements for this material.</x:v>
      </x:c>
      <x:c r="W255" s="6" t="str">
        <x:v>Agenda statement only</x:v>
      </x:c>
    </x:row>
    <x:row r="256" ht="76" customHeight="1">
      <x:c r="A256" s="2" t="str">
        <x:v>G5-DIR-R01</x:v>
      </x:c>
      <x:c r="B256" s="2" t="str">
        <x:v>G5</x:v>
      </x:c>
      <x:c r="C256" s="2" t="str">
        <x:v>v1</x:v>
      </x:c>
      <x:c r="D256" s="2" t="str">
        <x:v>Reviewer_A</x:v>
      </x:c>
      <x:c r="E256" s="2" t="str">
        <x:v>Reviewer_A</x:v>
      </x:c>
      <x:c r="F256" s="2" t="str">
        <x:v>G5-D01</x:v>
      </x:c>
      <x:c r="G256" s="6" t="str">
        <x:v>SR</x:v>
      </x:c>
      <x:c r="H256" s="6" t="str">
        <x:v>Explicit future work</x:v>
      </x:c>
      <x:c r="I256" s="6" t="str">
        <x:v>and where do humans fit in the loop here ... the most important role of humans here is to verify traceability ; i'll talk about how all of this is coming together in 2026 and how this might look in a year or two and where humans will be in the loop</x:v>
      </x:c>
      <x:c r="J256" s="2" t="str">
        <x:v>G5-L04</x:v>
      </x:c>
      <x:c r="K256" s="2" t="str">
        <x:v>the pace of change in language model code generation means the verification and traceability method has to keep being revisited as capability and standards expectations evolve</x:v>
      </x:c>
      <x:c r="L256" s="2" t="str">
        <x:v>humans remain in the loop to verify traceability and compliance work has to run at the speed of innovation rather than slowing the programme down</x:v>
      </x:c>
      <x:c r="M256" s="6" t="str">
        <x:v>the talk already reports a working tool chain that reads requirements and drives deterministic analysis and test execution</x:v>
      </x:c>
      <x:c r="N256" s="2" t="str">
        <x:v>Speculative</x:v>
      </x:c>
      <x:c r="O256" s="2" t="str">
        <x:v>human_role_in_verification</x:v>
      </x:c>
      <x:c r="P256" s="2" t="str">
        <x:v>human_verification</x:v>
      </x:c>
      <x:c r="Q256" s="2" t="str">
        <x:v>Reliability, explainability, and human oversight</x:v>
      </x:c>
      <x:c r="R256"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S256" s="6" t="str">
        <x:v>the most important role of humans here is to verify traceability ; i'll talk about how all of this is coming together in 2026 and how this might look in a year or two and where humans will be in the loop</x:v>
      </x:c>
      <x:c r="T256" s="6" t="str">
        <x:v>The direction keeps verification with people and treats the method itself as something that has to be revisited as models change.</x:v>
      </x:c>
      <x:c r="U256" s="2" t="str">
        <x:v>Accepted</x:v>
      </x:c>
      <x:c r="V256" s="6" t="str">
        <x:v>The material states the future direction explicitly; the linked limitation and the open code follow the recorded statements for this material.</x:v>
      </x:c>
      <x:c r="W256" s="6" t="str">
        <x:v>Reported limitation-grounded</x:v>
      </x:c>
    </x:row>
    <x:row r="257" ht="76" customHeight="1">
      <x:c r="A257" s="2" t="str">
        <x:v>G6-DIR-R01</x:v>
      </x:c>
      <x:c r="B257" s="2" t="str">
        <x:v>G6</x:v>
      </x:c>
      <x:c r="C257" s="2" t="str">
        <x:v>v1</x:v>
      </x:c>
      <x:c r="D257" s="2" t="str">
        <x:v>Reviewer_A</x:v>
      </x:c>
      <x:c r="E257" s="2" t="str">
        <x:v>Reviewer_A</x:v>
      </x:c>
      <x:c r="F257" s="2" t="str">
        <x:v>G6-D01</x:v>
      </x:c>
      <x:c r="G257" s="6" t="str">
        <x:v>SR</x:v>
      </x:c>
      <x:c r="H257" s="6" t="str">
        <x:v>Explicit recommendation</x:v>
      </x:c>
      <x:c r="I257" s="6" t="str">
        <x:v>i really hope that that we can use ai e- e- even if it's just a to automate the the cicd cicd systems a little bit faster</x:v>
      </x:c>
      <x:c r="J257" s="2" t="str">
        <x:v>NR</x:v>
      </x:c>
      <x:c r="K257" s="2" t="str">
        <x:v>testing is still deferred to the end of the programme, so late changes cost a great deal of rework and the shift-left goal has not been reached</x:v>
      </x:c>
      <x:c r="L257" s="2" t="str">
        <x:v>use the model to automate the CI/CD systems at least partially so that verification moves earlier</x:v>
      </x:c>
      <x:c r="M257" s="6" t="str">
        <x:v>the talk already demonstrates model-assisted test generation inside the existing tool chain with about an 80% usable test case file</x:v>
      </x:c>
      <x:c r="N257" s="2" t="str">
        <x:v>Speculative</x:v>
      </x:c>
      <x:c r="O257" s="2" t="str">
        <x:v>cicd_automation_shift_left</x:v>
      </x:c>
      <x:c r="P257" s="2" t="str">
        <x:v>continuous_verification</x:v>
      </x:c>
      <x:c r="Q257" s="2" t="str">
        <x:v>Integration, evolution, and deployment</x:v>
      </x:c>
      <x:c r="R257"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S257" s="6" t="str">
        <x:v>i really hope that that we can use ai e- e- even if it's just a to automate the the cicd cicd systems a little bit faster</x:v>
      </x:c>
      <x:c r="T257" s="6" t="str">
        <x:v>The direction asks for partial automation of the build and verification pipeline so that the test work starts earlier in the programme.</x:v>
      </x:c>
      <x:c r="U257" s="2" t="str">
        <x:v>Accepted</x:v>
      </x:c>
      <x:c r="V257" s="6" t="str">
        <x:v>The material states the future direction explicitly; the linked limitation and the open code follow the recorded statements for this material.</x:v>
      </x:c>
      <x:c r="W257" s="6" t="str">
        <x:v>Reported limitation-grounded</x:v>
      </x:c>
    </x:row>
    <x:row r="258" ht="76" customHeight="1">
      <x:c r="A258" s="2" t="str">
        <x:v>G7-DIR-R01</x:v>
      </x:c>
      <x:c r="B258" s="2" t="str">
        <x:v>G7</x:v>
      </x:c>
      <x:c r="C258" s="2" t="str">
        <x:v>v1</x:v>
      </x:c>
      <x:c r="D258" s="2" t="str">
        <x:v>Reviewer_A</x:v>
      </x:c>
      <x:c r="E258" s="2" t="str">
        <x:v>Reviewer_A</x:v>
      </x:c>
      <x:c r="F258" s="2" t="str">
        <x:v>G7-D01</x:v>
      </x:c>
      <x:c r="G258" s="6" t="str">
        <x:v>SR</x:v>
      </x:c>
      <x:c r="H258" s="6" t="str">
        <x:v>Explicit future work</x:v>
      </x:c>
      <x:c r="I258" s="6" t="str">
        <x:v>why not define our agent there as well ... and then it's part of your documentation, of your swings documentation</x:v>
      </x:c>
      <x:c r="J258" s="2" t="str">
        <x:v>G7-L02; G7-L04</x:v>
      </x:c>
      <x:c r="K258" s="2" t="str">
        <x:v>agent definitions currently live in a single markdown file that the model interprets freely, which makes them hard to maintain, hard to trace and unreliable in execution</x:v>
      </x:c>
      <x:c r="L258" s="2" t="str">
        <x:v>model the agent inside Sphinx-Needs with instructions, skills and tools linked to a story that records the motivation and to a specification that records approximate tool use, and keep the definition in the user's repository so that the user has complete control</x:v>
      </x:c>
      <x:c r="M258" s="6" t="str">
        <x:v>the talk demonstrates agents driven from instructions and skills over the graph and reports the drift that motivated the proposal</x:v>
      </x:c>
      <x:c r="N258" s="2" t="str">
        <x:v>Speculative</x:v>
      </x:c>
      <x:c r="O258" s="2" t="str">
        <x:v>agent_definition_as_artefact</x:v>
      </x:c>
      <x:c r="P258" s="2" t="str">
        <x:v>versioned_agent_integration</x:v>
      </x:c>
      <x:c r="Q258" s="2" t="str">
        <x:v>Integration, evolution, and deployment</x:v>
      </x:c>
      <x:c r="R258"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S258" s="6" t="str">
        <x:v>why not define our agent there as well ... and then it's part of your documentation, of your swings documentation</x:v>
      </x:c>
      <x:c r="T258" s="6" t="str">
        <x:v>The direction turns the agent definition into a traced artefact so that changes to it are documented and attributable.</x:v>
      </x:c>
      <x:c r="U258" s="2" t="str">
        <x:v>Accepted</x:v>
      </x:c>
      <x:c r="V258" s="6" t="str">
        <x:v>The material states the future direction explicitly; the linked limitation and the open code follow the recorded statements for this material.</x:v>
      </x:c>
      <x:c r="W258" s="6" t="str">
        <x:v>Empirical limitation-grounded</x:v>
      </x:c>
    </x:row>
    <x:row r="259" ht="76" customHeight="1">
      <x:c r="A259" s="2" t="str">
        <x:v>G8-DIR-R01</x:v>
      </x:c>
      <x:c r="B259" s="2" t="str">
        <x:v>G8</x:v>
      </x:c>
      <x:c r="C259" s="2" t="str">
        <x:v>v1</x:v>
      </x:c>
      <x:c r="D259" s="2" t="str">
        <x:v>Reviewer_A</x:v>
      </x:c>
      <x:c r="E259" s="2" t="str">
        <x:v>Reviewer_A</x:v>
      </x:c>
      <x:c r="F259" s="2" t="str">
        <x:v>G8-D01</x:v>
      </x:c>
      <x:c r="G259" s="6" t="str">
        <x:v>SR</x:v>
      </x:c>
      <x:c r="H259" s="6" t="str">
        <x:v>Explicit future work</x:v>
      </x:c>
      <x:c r="I259" s="6" t="str">
        <x:v>in phase two um i'm trying to resolve a performance issue because right now 20 35 requirements takes 25 minutes so we are going to include rag to have no delays</x:v>
      </x:c>
      <x:c r="J259" s="2" t="str">
        <x:v>G8-L01</x:v>
      </x:c>
      <x:c r="K259" s="2" t="str">
        <x:v>runs are slow because each requirement is processed in its own call over the selected source file</x:v>
      </x:c>
      <x:c r="L259" s="2" t="str">
        <x:v>add retrieval augmented generation so that the run completes without delays</x:v>
      </x:c>
      <x:c r="M259" s="6" t="str">
        <x:v>the demonstrated run over 20 to 35 requirements takes about 25 minutes and the material states the intention to add retrieval</x:v>
      </x:c>
      <x:c r="N259" s="2" t="str">
        <x:v>Speculative</x:v>
      </x:c>
      <x:c r="O259" s="2" t="str">
        <x:v>retrieval_for_runtime</x:v>
      </x:c>
      <x:c r="P259" s="2" t="str">
        <x:v>retrieval_for_runtime</x:v>
      </x:c>
      <x:c r="Q259" s="2" t="str">
        <x:v>Context, retrieval, and model adaptation</x:v>
      </x:c>
      <x:c r="R259"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S259" s="6" t="str">
        <x:v>right now 20 35 requirements takes 25 minutes so we are going to include rag to have no delays</x:v>
      </x:c>
      <x:c r="T259" s="6" t="str">
        <x:v>The direction names retrieval as the remedy for the runtime the demonstration exposes.</x:v>
      </x:c>
      <x:c r="U259" s="2" t="str">
        <x:v>Accepted</x:v>
      </x:c>
      <x:c r="V259" s="6" t="str">
        <x:v>The material states the future direction explicitly; the linked limitation and the open code follow the recorded statements for this material.</x:v>
      </x:c>
      <x:c r="W259" s="6" t="str">
        <x:v>Empirical limitation-grounded</x:v>
      </x:c>
    </x:row>
    <x:row r="260" ht="76" customHeight="1">
      <x:c r="A260" s="2" t="str">
        <x:v>G8-DIR-R02</x:v>
      </x:c>
      <x:c r="B260" s="2" t="str">
        <x:v>G8</x:v>
      </x:c>
      <x:c r="C260" s="2" t="str">
        <x:v>v1</x:v>
      </x:c>
      <x:c r="D260" s="2" t="str">
        <x:v>Reviewer_A</x:v>
      </x:c>
      <x:c r="E260" s="2" t="str">
        <x:v>Reviewer_A</x:v>
      </x:c>
      <x:c r="F260" s="2" t="str">
        <x:v>G8-D02</x:v>
      </x:c>
      <x:c r="G260" s="6" t="str">
        <x:v>SR</x:v>
      </x:c>
      <x:c r="H260" s="6" t="str">
        <x:v>Explicit future work</x:v>
      </x:c>
      <x:c r="I260" s="6" t="str">
        <x:v>um and also in phase two i'm going to make requirement updates so the agent to retrace and detects any cross app impacts</x:v>
      </x:c>
      <x:c r="J260" s="2" t="str">
        <x:v>NR</x:v>
      </x:c>
      <x:c r="K260" s="2" t="str">
        <x:v>requirement updates currently require the whole trace to be rebuilt and cross-application effects are not detected</x:v>
      </x:c>
      <x:c r="L260" s="2" t="str">
        <x:v>make the agent re-trace and detect cross-application impacts after requirement updates</x:v>
      </x:c>
      <x:c r="M260" s="6" t="str">
        <x:v>the current run builds the RTM per application from the requirement files, which is the basis the re-trace would work from</x:v>
      </x:c>
      <x:c r="N260" s="2" t="str">
        <x:v>Speculative</x:v>
      </x:c>
      <x:c r="O260" s="2" t="str">
        <x:v>incremental_retrace</x:v>
      </x:c>
      <x:c r="P260" s="2" t="str">
        <x:v>incremental_trace_maintenance</x:v>
      </x:c>
      <x:c r="Q260" s="2" t="str">
        <x:v>Integration, evolution, and deployment</x:v>
      </x:c>
      <x:c r="R260"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S260" s="6" t="str">
        <x:v>um and also in phase two i'm going to make requirement updates so the agent to retrace and detects any cross app impacts</x:v>
      </x:c>
      <x:c r="T260" s="6" t="str">
        <x:v>The direction moves the trace from a per-run artefact towards a record that can be updated when a requirement changes.</x:v>
      </x:c>
      <x:c r="U260" s="2" t="str">
        <x:v>Accepted</x:v>
      </x:c>
      <x:c r="V260" s="6" t="str">
        <x:v>The material states the future direction explicitly; the linked limitation and the open code follow the recorded statements for this material.</x:v>
      </x:c>
      <x:c r="W260" s="6" t="str">
        <x:v>Agenda statement only</x:v>
      </x:c>
    </x:row>
    <x:row r="261" ht="76" customHeight="1">
      <x:c r="A261" s="2" t="str">
        <x:v>G8-DIR-R03</x:v>
      </x:c>
      <x:c r="B261" s="2" t="str">
        <x:v>G8</x:v>
      </x:c>
      <x:c r="C261" s="2" t="str">
        <x:v>v1</x:v>
      </x:c>
      <x:c r="D261" s="2" t="str">
        <x:v>Reviewer_A</x:v>
      </x:c>
      <x:c r="E261" s="2" t="str">
        <x:v>Reviewer_A</x:v>
      </x:c>
      <x:c r="F261" s="2" t="str">
        <x:v>G8-D03</x:v>
      </x:c>
      <x:c r="G261" s="6" t="str">
        <x:v>SR</x:v>
      </x:c>
      <x:c r="H261" s="6" t="str">
        <x:v>Explicit future work</x:v>
      </x:c>
      <x:c r="I261" s="6" t="str">
        <x:v>phase three we are going to add a new app and make sure agent scaffolds the initial rtm</x:v>
      </x:c>
      <x:c r="J261" s="2" t="str">
        <x:v>NR</x:v>
      </x:c>
      <x:c r="K261" s="2" t="str">
        <x:v>onboarding a new application has to be done by hand</x:v>
      </x:c>
      <x:c r="L261" s="2" t="str">
        <x:v>let the agent scaffold the initial RTM, code, unit tests and other files for a new application</x:v>
      </x:c>
      <x:c r="M261" s="6" t="str">
        <x:v>the current design already onboards an application through a short configuration file rather than through agent changes</x:v>
      </x:c>
      <x:c r="N261" s="2" t="str">
        <x:v>Speculative</x:v>
      </x:c>
      <x:c r="O261" s="2" t="str">
        <x:v>application_onboarding_scaffold</x:v>
      </x:c>
      <x:c r="P261" s="2" t="str">
        <x:v>application_onboarding</x:v>
      </x:c>
      <x:c r="Q261" s="2" t="str">
        <x:v>Integration, evolution, and deployment</x:v>
      </x:c>
      <x:c r="R261"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S261" s="6" t="str">
        <x:v>phase three we are going to add a new app and make sure agent scaffolds the initial rtm</x:v>
      </x:c>
      <x:c r="T261" s="6" t="str">
        <x:v>The direction extends the agent from tracing an existing application to bootstrapping a new one.</x:v>
      </x:c>
      <x:c r="U261" s="2" t="str">
        <x:v>Accepted</x:v>
      </x:c>
      <x:c r="V261" s="6" t="str">
        <x:v>The material states the future direction explicitly; the linked limitation and the open code follow the recorded statements for this material.</x:v>
      </x:c>
      <x:c r="W261" s="6" t="str">
        <x:v>Agenda statement only</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52" hidden="0" customWidth="1"/>
    <x:col min="8" max="8" width="20" hidden="0" customWidth="1"/>
    <x:col min="9" max="9" width="20" hidden="0" customWidth="1"/>
    <x:col min="10" max="10" width="20" hidden="0" customWidth="1"/>
    <x:col min="11" max="11" width="20" hidden="0" customWidth="1"/>
    <x:col min="12" max="12" width="20" hidden="0" customWidth="1"/>
    <x:col min="13" max="13" width="52" hidden="0" customWidth="1"/>
    <x:col min="14" max="14" width="52" hidden="0" customWidth="1"/>
    <x:col min="15" max="15" width="52" hidden="0" customWidth="1"/>
    <x:col min="16" max="16" width="20" hidden="0" customWidth="1"/>
    <x:col min="17" max="17" width="52" hidden="0" customWidth="1"/>
  </x:cols>
  <x:sheetData>
    <x:row r="1" ht="38" customHeight="1">
      <x:c r="A1" s="5" t="str">
        <x:v>record_id</x:v>
      </x:c>
      <x:c r="B1" s="5" t="str">
        <x:v>study_id</x:v>
      </x:c>
      <x:c r="C1" s="5" t="str">
        <x:v>version_id</x:v>
      </x:c>
      <x:c r="D1" s="5" t="str">
        <x:v>review_stage</x:v>
      </x:c>
      <x:c r="E1" s="5" t="str">
        <x:v>reviewer_id</x:v>
      </x:c>
      <x:c r="F1" s="5" t="str">
        <x:v>resource_id</x:v>
      </x:c>
      <x:c r="G1" s="5" t="str">
        <x:v>resource_type</x:v>
      </x:c>
      <x:c r="H1" s="5" t="str">
        <x:v>resource_name</x:v>
      </x:c>
      <x:c r="I1" s="5" t="str">
        <x:v>url</x:v>
      </x:c>
      <x:c r="J1" s="5" t="str">
        <x:v>access_note</x:v>
      </x:c>
      <x:c r="K1" s="5" t="str">
        <x:v>checked_date</x:v>
      </x:c>
      <x:c r="L1" s="5" t="str">
        <x:v>resource_scope</x:v>
      </x:c>
      <x:c r="M1" s="5" t="str">
        <x:v>evidence_location</x:v>
      </x:c>
      <x:c r="N1" s="5" t="str">
        <x:v>evidence_verbatim</x:v>
      </x:c>
      <x:c r="O1" s="5" t="str">
        <x:v>reviewer_interpretation</x:v>
      </x:c>
      <x:c r="P1" s="5" t="str">
        <x:v>record_status</x:v>
      </x:c>
      <x:c r="Q1" s="5" t="str">
        <x:v>notes</x:v>
      </x:c>
    </x:row>
    <x:row r="2" ht="76" customHeight="1">
      <x:c r="A2" s="2" t="str">
        <x:v>S01-RESOURCE-R01</x:v>
      </x:c>
      <x:c r="B2" s="2" t="str">
        <x:v>S01</x:v>
      </x:c>
      <x:c r="C2" s="2" t="str">
        <x:v>merged_0002</x:v>
      </x:c>
      <x:c r="D2" s="2" t="str">
        <x:v>Reviewer_A</x:v>
      </x:c>
      <x:c r="E2" s="2" t="str">
        <x:v>Reviewer_A</x:v>
      </x:c>
      <x:c r="F2" s="2" t="str">
        <x:v>S01-RES01</x:v>
      </x:c>
      <x:c r="G2" s="6" t="str">
        <x:v>Replication package</x:v>
      </x:c>
      <x:c r="H2" s="2" t="str">
        <x:v>LiSSA Replication Package</x:v>
      </x:c>
      <x:c r="I2" s="2" t="str">
        <x:v>https://doi.org/10.5281/zenodo.14714706</x:v>
      </x:c>
      <x:c r="J2" s="2" t="str">
        <x:v>Public</x:v>
      </x:c>
      <x:c r="K2" s="2" t="str">
        <x:v>2026-08-10</x:v>
      </x:c>
      <x:c r="L2" s="2" t="str">
        <x:v>包含 LiSSA 源代码、所用数据集、提示、嵌入、LLM 响应及所有结果。</x:v>
      </x:c>
      <x:c r="M2" s="6" t="str">
        <x:v>p. 11; Section VI</x:v>
      </x:c>
      <x:c r="N2" s="6" t="str">
        <x:v>we provide the source code of LiSSA, the used datasets, and our results as part of our replication package [36].</x:v>
      </x:c>
      <x:c r="O2" s="6" t="str">
        <x:v>作者提供了完整的复现包，包括代码、数据和结果，通过 Zenodo 公开发布。</x:v>
      </x:c>
      <x:c r="P2" s="2" t="str">
        <x:v>Accepted</x:v>
      </x:c>
      <x:c r="Q2" s="6" t="str">
        <x:v>NA</x:v>
      </x:c>
    </x:row>
    <x:row r="3" ht="76" customHeight="1">
      <x:c r="A3" s="2" t="str">
        <x:v>S02-RESOURCE-R01</x:v>
      </x:c>
      <x:c r="B3" s="2" t="str">
        <x:v>S02</x:v>
      </x:c>
      <x:c r="C3" s="2" t="str">
        <x:v>merged_0007</x:v>
      </x:c>
      <x:c r="D3" s="2" t="str">
        <x:v>Reviewer_A</x:v>
      </x:c>
      <x:c r="E3" s="2" t="str">
        <x:v>Reviewer_A</x:v>
      </x:c>
      <x:c r="F3" s="2" t="str">
        <x:v>S02-RES01</x:v>
      </x:c>
      <x:c r="G3" s="6" t="str">
        <x:v>Replication package</x:v>
      </x:c>
      <x:c r="H3" s="2" t="str">
        <x:v>Replication Package for 'Who's Who? LLM-assisted Software Traceability with Architecture Entity Recognition'</x:v>
      </x:c>
      <x:c r="I3" s="2" t="str">
        <x:v>https://figshare.com/s/d061a78ccc60eb7dff22</x:v>
      </x:c>
      <x:c r="J3" s="2" t="str">
        <x:v>Public</x:v>
      </x:c>
      <x:c r="K3" s="2" t="str">
        <x:v>2026-08-10</x:v>
      </x:c>
      <x:c r="L3" s="2" t="str">
        <x:v>包含论文代码、基线、评估数据和结果</x:v>
      </x:c>
      <x:c r="M3" s="6" t="str">
        <x:v>p. 3; Introduction; and Data Availability Statement</x:v>
      </x:c>
      <x:c r="N3" s="6" t="str">
        <x:v>We provide code, baselines, evaluation data, and results in our replication packages [20, 21].</x:v>
      </x:c>
      <x:c r="O3" s="6" t="str">
        <x:v>本论文的完整复制包，包含代码、基线、数据和结果。</x:v>
      </x:c>
      <x:c r="P3" s="2" t="str">
        <x:v>Accepted</x:v>
      </x:c>
      <x:c r="Q3" s="6" t="str">
        <x:v>访问链接为审稿期间提供的临时地址，正式发布后会上传至Zenodo。</x:v>
      </x:c>
    </x:row>
    <x:row r="4" ht="76" customHeight="1">
      <x:c r="A4" s="2" t="str">
        <x:v>S02-RESOURCE-R02</x:v>
      </x:c>
      <x:c r="B4" s="2" t="str">
        <x:v>S02</x:v>
      </x:c>
      <x:c r="C4" s="2" t="str">
        <x:v>merged_0007</x:v>
      </x:c>
      <x:c r="D4" s="2" t="str">
        <x:v>Reviewer_A</x:v>
      </x:c>
      <x:c r="E4" s="2" t="str">
        <x:v>Reviewer_A</x:v>
      </x:c>
      <x:c r="F4" s="2" t="str">
        <x:v>S02-RES02</x:v>
      </x:c>
      <x:c r="G4" s="6" t="str">
        <x:v>Replication package</x:v>
      </x:c>
      <x:c r="H4" s="2" t="str">
        <x:v>Replication Package for 'Enabling Architecture Traceability by LLM-based Architecture Component Name Extraction'</x:v>
      </x:c>
      <x:c r="I4" s="2" t="str">
        <x:v>https://doi.org/10.5281/ZENODO.14506935</x:v>
      </x:c>
      <x:c r="J4" s="2" t="str">
        <x:v>Public</x:v>
      </x:c>
      <x:c r="K4" s="2" t="str">
        <x:v>2026-08-10</x:v>
      </x:c>
      <x:c r="L4" s="2" t="str">
        <x:v>包含ExArch研究的复制包</x:v>
      </x:c>
      <x:c r="M4" s="6" t="str">
        <x:v>p. 3; Introduction; and Data Availability Statement</x:v>
      </x:c>
      <x:c r="N4" s="6" t="str">
        <x:v>We provide code, baselines, evaluation data, and results in our replication packages [20, 21].</x:v>
      </x:c>
      <x:c r="O4" s="6" t="str">
        <x:v>ExArch相关研究的复制包。</x:v>
      </x:c>
      <x:c r="P4" s="2" t="str">
        <x:v>Accepted</x:v>
      </x:c>
      <x:c r="Q4" s="6" t="str">
        <x:v>Zenodo DOI</x:v>
      </x:c>
    </x:row>
    <x:row r="5" ht="76" customHeight="1">
      <x:c r="A5" s="2" t="str">
        <x:v>S03-RESOURCE-R01</x:v>
      </x:c>
      <x:c r="B5" s="2" t="str">
        <x:v>S03</x:v>
      </x:c>
      <x:c r="C5" s="2" t="str">
        <x:v>merged_0014</x:v>
      </x:c>
      <x:c r="D5" s="2" t="str">
        <x:v>Reviewer_A</x:v>
      </x:c>
      <x:c r="E5" s="2" t="str">
        <x:v>Reviewer_A</x:v>
      </x:c>
      <x:c r="F5" s="2" t="str">
        <x:v>S03-RES01</x:v>
      </x:c>
      <x:c r="G5" s="6" t="str">
        <x:v>Dataset</x:v>
      </x:c>
      <x:c r="H5" s="2" t="str">
        <x:v>Baseline Ground Truth</x:v>
      </x:c>
      <x:c r="I5" s="2" t="str">
        <x:v>https://www.csa.iisc.ac.in/~raghavan/icsme2016/</x:v>
      </x:c>
      <x:c r="J5" s="2" t="str">
        <x:v>Public</x:v>
      </x:c>
      <x:c r="K5" s="2" t="str">
        <x:v>2026-08-10</x:v>
      </x:c>
      <x:c r="L5" s="2" t="str">
        <x:v>该链接提供了基线方法所使用的真实标注数据，用于评估领域服务与应用类的匹配。</x:v>
      </x:c>
      <x:c r="M5" s="6" t="str">
        <x:v>p. 5; References</x:v>
      </x:c>
      <x:c r="N5" s="6" t="str">
        <x:v>[2] [n. d.]. Baseline Ground Truth. https://www.csa.iisc.ac.in/~raghavan/icsme2016/. Accessed: 2026-01-06.</x:v>
      </x:c>
      <x:c r="O5" s="6" t="str">
        <x:v>提供了论文评估中使用的真实标注数据的访问链接。</x:v>
      </x:c>
      <x:c r="P5" s="2" t="str">
        <x:v>Accepted</x:v>
      </x:c>
      <x:c r="Q5" s="6" t="str">
        <x:v>The paper used ground truth provided by [11], but [2] is the direct URL for the ground truth data.</x:v>
      </x:c>
    </x:row>
    <x:row r="6" ht="76" customHeight="1">
      <x:c r="A6" s="2" t="str">
        <x:v>S03-RESOURCE-R02</x:v>
      </x:c>
      <x:c r="B6" s="2" t="str">
        <x:v>S03</x:v>
      </x:c>
      <x:c r="C6" s="2" t="str">
        <x:v>merged_0014</x:v>
      </x:c>
      <x:c r="D6" s="2" t="str">
        <x:v>Reviewer_A</x:v>
      </x:c>
      <x:c r="E6" s="2" t="str">
        <x:v>Reviewer_A</x:v>
      </x:c>
      <x:c r="F6" s="2" t="str">
        <x:v>S03-RES02</x:v>
      </x:c>
      <x:c r="G6" s="6" t="str">
        <x:v>Dataset</x:v>
      </x:c>
      <x:c r="H6" s="2" t="str">
        <x:v>jAllInOne ERP/CRM/Mobile/eCommerce</x:v>
      </x:c>
      <x:c r="I6" s="2" t="str">
        <x:v>https://sourceforge.net/projects/jallinone/</x:v>
      </x:c>
      <x:c r="J6" s="2" t="str">
        <x:v>Public</x:v>
      </x:c>
      <x:c r="K6" s="2" t="str">
        <x:v>2026-08-10</x:v>
      </x:c>
      <x:c r="L6" s="2" t="str">
        <x:v>该链接提供了案例研究中使用的开源Java ERP应用程序，用于评估领域服务匹配。</x:v>
      </x:c>
      <x:c r="M6" s="6" t="str">
        <x:v>p. 5; References</x:v>
      </x:c>
      <x:c r="N6" s="6" t="str">
        <x:v>[4] [n. d.]. jAllInOne ERP/CRM/Mobile/eCommerce. https://sourceforge.net/ projects/jallinone/. Accessed: 2026-01-05.</x:v>
      </x:c>
      <x:c r="O6" s="6" t="str">
        <x:v>提供了案例研究中使用的开源应用程序的下载链接。</x:v>
      </x:c>
      <x:c r="P6" s="2" t="str">
        <x:v>Accepted</x:v>
      </x:c>
      <x:c r="Q6" s="6" t="str">
        <x:v>The paper explicitly states in section 5.1: 'We selected the JAllInOne [4] application'.</x:v>
      </x:c>
    </x:row>
    <x:row r="7" ht="76" customHeight="1">
      <x:c r="A7" s="2" t="str">
        <x:v>S05-RESOURCE-R01</x:v>
      </x:c>
      <x:c r="B7" s="2" t="str">
        <x:v>S05</x:v>
      </x:c>
      <x:c r="C7" s="2" t="str">
        <x:v>merged_0077</x:v>
      </x:c>
      <x:c r="D7" s="2" t="str">
        <x:v>Reviewer_A</x:v>
      </x:c>
      <x:c r="E7" s="2" t="str">
        <x:v>Reviewer_A</x:v>
      </x:c>
      <x:c r="F7" s="2" t="str">
        <x:v>S05-RES01</x:v>
      </x:c>
      <x:c r="G7" s="6" t="str">
        <x:v>Replication package</x:v>
      </x:c>
      <x:c r="H7" s="2" t="str">
        <x:v>evaluating-llm-doc-code-traceability</x:v>
      </x:c>
      <x:c r="I7" s="2" t="str">
        <x:v>https://github.com/Alor-e/evaluating-llm-doc-code-traceability</x:v>
      </x:c>
      <x:c r="J7" s="2" t="str">
        <x:v>Public</x:v>
      </x:c>
      <x:c r="K7" s="2" t="str">
        <x:v>2026-08-10</x:v>
      </x:c>
      <x:c r="L7" s="2" t="str">
        <x:v>包含实验代码、数据集、分析脚本和提示模板，用于复现研究结果。</x:v>
      </x:c>
      <x:c r="M7" s="6" t="str">
        <x:v>p. 15; Section 3.5 Reproducibility and Ethical Considerations</x:v>
      </x:c>
      <x:c r="N7" s="6" t="str">
        <x:v>code, datasets, analysis scripts, and prompt templates used are publicly available in our replication</x:v>
      </x:c>
      <x:c r="O7" s="6" t="str">
        <x:v>作者提供了完整的复制包，确保研究的可复现性。</x:v>
      </x:c>
      <x:c r="P7" s="2" t="str">
        <x:v>Accepted</x:v>
      </x:c>
      <x:c r="Q7" s="6" t="str">
        <x:v>NA</x:v>
      </x:c>
    </x:row>
    <x:row r="8" ht="76" customHeight="1">
      <x:c r="A8" s="2" t="str">
        <x:v>S06-RESOURCE-R01</x:v>
      </x:c>
      <x:c r="B8" s="2" t="str">
        <x:v>S06</x:v>
      </x:c>
      <x:c r="C8" s="2" t="str">
        <x:v>merged_0079</x:v>
      </x:c>
      <x:c r="D8" s="2" t="str">
        <x:v>Reviewer_A</x:v>
      </x:c>
      <x:c r="E8" s="2" t="str">
        <x:v>Reviewer_A</x:v>
      </x:c>
      <x:c r="F8" s="2" t="str">
        <x:v>S06-RES01</x:v>
      </x:c>
      <x:c r="G8" s="6" t="str">
        <x:v>Replication package</x:v>
      </x:c>
      <x:c r="H8" s="2" t="str">
        <x:v>LinkAnchor’s replication package</x:v>
      </x:c>
      <x:c r="I8" s="2" t="str">
        <x:v>https://figshare.com/s/4cefb94b0a1817f2c1bb</x:v>
      </x:c>
      <x:c r="J8" s="2" t="str">
        <x:v>Public</x:v>
      </x:c>
      <x:c r="K8" s="2" t="str">
        <x:v>2026-08-10</x:v>
      </x:c>
      <x:c r="L8" s="2" t="str">
        <x:v>包含LinkAnchor源代码、工具、评估脚本、数据生成脚本以及所有提示模板。</x:v>
      </x:c>
      <x:c r="M8" s="6" t="str">
        <x:v>p. 10; Section VI-A Reproducibility</x:v>
      </x:c>
      <x:c r="N8" s="6" t="str">
        <x:v>We provide the entire experiment, including the source code for LinkAnchor and scripts for data generation and evaluation online [1].</x:v>
      </x:c>
      <x:c r="O8" s="6" t="str">
        <x:v>作者公开了完整的复制包，降低了复现门槛，并有助于社区审查与扩展。</x:v>
      </x:c>
      <x:c r="P8" s="2" t="str">
        <x:v>Accepted</x:v>
      </x:c>
      <x:c r="Q8" s="6" t="str">
        <x:v>NA</x:v>
      </x:c>
    </x:row>
    <x:row r="9" ht="76" customHeight="1">
      <x:c r="A9" s="2" t="str">
        <x:v>S07-RESOURCE-R01</x:v>
      </x:c>
      <x:c r="B9" s="2" t="str">
        <x:v>S07</x:v>
      </x:c>
      <x:c r="C9" s="2" t="str">
        <x:v>merged_0110</x:v>
      </x:c>
      <x:c r="D9" s="2" t="str">
        <x:v>Reviewer_A</x:v>
      </x:c>
      <x:c r="E9" s="2" t="str">
        <x:v>Reviewer_A</x:v>
      </x:c>
      <x:c r="F9" s="2" t="str">
        <x:v>S07-RES01</x:v>
      </x:c>
      <x:c r="G9" s="6" t="str">
        <x:v>Replication package</x:v>
      </x:c>
      <x:c r="H9" s="2" t="str">
        <x:v>REST-at replication package</x:v>
      </x:c>
      <x:c r="I9" s="2" t="str">
        <x:v>https://github.com/BaoLindgren/REST-at/</x:v>
      </x:c>
      <x:c r="J9" s="2" t="str">
        <x:v>Public</x:v>
      </x:c>
      <x:c r="K9" s="2" t="str">
        <x:v>2026-08-10</x:v>
      </x:c>
      <x:c r="L9" s="2" t="str">
        <x:v>包含REST-at源代码、评估脚本、提示模板、统计分析代码、模型快照和GPT模型信息等</x:v>
      </x:c>
      <x:c r="M9" s="6" t="str">
        <x:v>p. 6; section 4.4</x:v>
      </x:c>
      <x:c r="N9" s="6" t="str">
        <x:v>Our replication package [1] includes the source code of RESTat, as well as the evaluation scripts used to create the plots and tables, and the statistical analysis described here. The repository’s</x:v>
      </x:c>
      <x:c r="O9" s="6" t="str">
        <x:v>提供了完整的复制包，包括代码、数据和详细配置。</x:v>
      </x:c>
      <x:c r="P9" s="2" t="str">
        <x:v>Accepted</x:v>
      </x:c>
      <x:c r="Q9" s="6" t="str">
        <x:v>NA</x:v>
      </x:c>
    </x:row>
    <x:row r="10" ht="76" customHeight="1">
      <x:c r="A10" s="2" t="str">
        <x:v>S08-RESOURCE-R01</x:v>
      </x:c>
      <x:c r="B10" s="2" t="str">
        <x:v>S08</x:v>
      </x:c>
      <x:c r="C10" s="2" t="str">
        <x:v>merged_0256</x:v>
      </x:c>
      <x:c r="D10" s="2" t="str">
        <x:v>Reviewer_A</x:v>
      </x:c>
      <x:c r="E10" s="2" t="str">
        <x:v>Reviewer_A</x:v>
      </x:c>
      <x:c r="F10" s="2" t="str">
        <x:v>S08-RES01</x:v>
      </x:c>
      <x:c r="G10" s="6" t="str">
        <x:v>Replication package</x:v>
      </x:c>
      <x:c r="H10" s="2" t="str">
        <x:v>replication package</x:v>
      </x:c>
      <x:c r="I10" s="2" t="str">
        <x:v>https://doi.org/10.5281/zenodo.10149490</x:v>
      </x:c>
      <x:c r="J10" s="2" t="str">
        <x:v>Public</x:v>
      </x:c>
      <x:c r="K10" s="2" t="str">
        <x:v>2026-08-10</x:v>
      </x:c>
      <x:c r="L10" s="2" t="str">
        <x:v>包含实验所用数据和代码，以及策展的数据集（包括构造的对抗性需求）。</x:v>
      </x:c>
      <x:c r="M10" s="6" t="str">
        <x:v>p. 11; Section 9, Data Availability</x:v>
      </x:c>
      <x:c r="N10" s="6" t="str">
        <x:v>We make the data used for the experiments and the code used in our study available at: https://doi.org/10.5281/zenodo.10149490.</x:v>
      </x:c>
      <x:c r="O10" s="6" t="str">
        <x:v>作者提供了可复现实验的数据和代码。</x:v>
      </x:c>
      <x:c r="P10" s="2" t="str">
        <x:v>Accepted</x:v>
      </x:c>
      <x:c r="Q10" s="6" t="str">
        <x:v>NA</x:v>
      </x:c>
    </x:row>
    <x:row r="11" ht="76" customHeight="1">
      <x:c r="A11" s="2" t="str">
        <x:v>S10-RESOURCE-R01</x:v>
      </x:c>
      <x:c r="B11" s="2" t="str">
        <x:v>S10</x:v>
      </x:c>
      <x:c r="C11" s="2" t="str">
        <x:v>merged_1119-v2</x:v>
      </x:c>
      <x:c r="D11" s="2" t="str">
        <x:v>Reviewer_A</x:v>
      </x:c>
      <x:c r="E11" s="2" t="str">
        <x:v>Reviewer_A</x:v>
      </x:c>
      <x:c r="F11" s="2" t="str">
        <x:v>S10-RES01</x:v>
      </x:c>
      <x:c r="G11" s="6" t="str">
        <x:v>Replication package</x:v>
      </x:c>
      <x:c r="H11" s="2" t="str">
        <x:v>Think Harder and Don’t Overlook Your Options: Revisiting Issue-Commit Linking with LLM-Assisted Retrieval</x:v>
      </x:c>
      <x:c r="I11" s="2" t="str">
        <x:v>https://figshare.com/s/3b9673176afe92929398</x:v>
      </x:c>
      <x:c r="J11" s="2" t="str">
        <x:v>Public</x:v>
      </x:c>
      <x:c r="K11" s="2" t="str">
        <x:v>2026-08-10</x:v>
      </x:c>
      <x:c r="L11" s="2" t="str">
        <x:v>包含本文使用的数据集和代码，用于复现实验。</x:v>
      </x:c>
      <x:c r="M11" s="6" t="str">
        <x:v>p. 10; section 9 Conclusion</x:v>
      </x:c>
      <x:c r="N11" s="6" t="str">
        <x:v>The replication package and dataset for this study are publicly available at [23].</x:v>
      </x:c>
      <x:c r="O11" s="6" t="str">
        <x:v>公开可用的复制包，包含数据和代码。</x:v>
      </x:c>
      <x:c r="P11" s="2" t="str">
        <x:v>Accepted</x:v>
      </x:c>
      <x:c r="Q11" s="6" t="str">
        <x:v>NR</x:v>
      </x:c>
    </x:row>
    <x:row r="12" ht="76" customHeight="1">
      <x:c r="A12" s="2" t="str">
        <x:v>S12-RESOURCE-R01</x:v>
      </x:c>
      <x:c r="B12" s="2" t="str">
        <x:v>S12</x:v>
      </x:c>
      <x:c r="C12" s="2" t="str">
        <x:v>merged_1133</x:v>
      </x:c>
      <x:c r="D12" s="2" t="str">
        <x:v>Reviewer_A</x:v>
      </x:c>
      <x:c r="E12" s="2" t="str">
        <x:v>Reviewer_A</x:v>
      </x:c>
      <x:c r="F12" s="2" t="str">
        <x:v>S12-RES01</x:v>
      </x:c>
      <x:c r="G12" s="6" t="str">
        <x:v>Replication package</x:v>
      </x:c>
      <x:c r="H12" s="2" t="str">
        <x:v>TraceLLM Replication Package</x:v>
      </x:c>
      <x:c r="I12" s="2" t="str">
        <x:v>https://anonymous.4open.science/r/TraceLLM-4C72/</x:v>
      </x:c>
      <x:c r="J12" s="2" t="str">
        <x:v>NR</x:v>
      </x:c>
      <x:c r="K12" s="2" t="str">
        <x:v>2026-08-10</x:v>
      </x:c>
      <x:c r="L12" s="2" t="str">
        <x:v>包含TraceLLM的代码和实验设置</x:v>
      </x:c>
      <x:c r="M12" s="6" t="str">
        <x:v>p. 4; Section 1 (footnote)</x:v>
      </x:c>
      <x:c r="N12" s="6" t="str">
        <x:v>• Provide a replication package1 , including our code and experimental setup, to</x:v>
      </x:c>
      <x:c r="O12" s="6" t="str">
        <x:v>作者提供了匿名复现包，内含实现TraceLLM的代码和实验配置，便于他人复现和进一步研究。</x:v>
      </x:c>
      <x:c r="P12" s="2" t="str">
        <x:v>Accepted</x:v>
      </x:c>
      <x:c r="Q12" s="6" t="str">
        <x:v>NA</x:v>
      </x:c>
    </x:row>
    <x:row r="13" ht="76" customHeight="1">
      <x:c r="A13" s="2" t="str">
        <x:v>S12-RESOURCE-R02</x:v>
      </x:c>
      <x:c r="B13" s="2" t="str">
        <x:v>S12</x:v>
      </x:c>
      <x:c r="C13" s="2" t="str">
        <x:v>merged_1133</x:v>
      </x:c>
      <x:c r="D13" s="2" t="str">
        <x:v>Reviewer_A</x:v>
      </x:c>
      <x:c r="E13" s="2" t="str">
        <x:v>Reviewer_A</x:v>
      </x:c>
      <x:c r="F13" s="2" t="str">
        <x:v>S12-RES02</x:v>
      </x:c>
      <x:c r="G13" s="6" t="str">
        <x:v>Dataset</x:v>
      </x:c>
      <x:c r="H13" s="2" t="str">
        <x:v>EasyClinic Dataset</x:v>
      </x:c>
      <x:c r="I13" s="2" t="str">
        <x:v>http://sarec.nd.edu/coest/datasets/EasyClinic.zip</x:v>
      </x:c>
      <x:c r="J13" s="2" t="str">
        <x:v>NR</x:v>
      </x:c>
      <x:c r="K13" s="2" t="str">
        <x:v>2026-08-10</x:v>
      </x:c>
      <x:c r="L13" s="2" t="str">
        <x:v>EasyClinic数据集，包含用例到测试用例和交互图的追溯链接</x:v>
      </x:c>
      <x:c r="M13" s="6" t="str">
        <x:v>p. 17; footnote 2</x:v>
      </x:c>
      <x:c r="N13" s="6" t="str">
        <x:v>2 http://sarec.nd.edu/coest/datasets/EasyClinic.zip</x:v>
      </x:c>
      <x:c r="O13" s="6" t="str">
        <x:v>论文使用了EasyClinic数据集，该数据集可公开获取，用于医疗领域的追溯性研究。</x:v>
      </x:c>
      <x:c r="P13" s="2" t="str">
        <x:v>Accepted</x:v>
      </x:c>
      <x:c r="Q13" s="6" t="str">
        <x:v>NA</x:v>
      </x:c>
    </x:row>
    <x:row r="14" ht="76" customHeight="1">
      <x:c r="A14" s="2" t="str">
        <x:v>S13-RESOURCE-R01</x:v>
      </x:c>
      <x:c r="B14" s="2" t="str">
        <x:v>S13</x:v>
      </x:c>
      <x:c r="C14" s="2" t="str">
        <x:v>merged_1140</x:v>
      </x:c>
      <x:c r="D14" s="2" t="str">
        <x:v>Reviewer_A</x:v>
      </x:c>
      <x:c r="E14" s="2" t="str">
        <x:v>Reviewer_A</x:v>
      </x:c>
      <x:c r="F14" s="2" t="str">
        <x:v>S13-RES01</x:v>
      </x:c>
      <x:c r="G14" s="6" t="str">
        <x:v>Replication package</x:v>
      </x:c>
      <x:c r="H14" s="2" t="str">
        <x:v>Replication package for the synergistic framework</x:v>
      </x:c>
      <x:c r="I14" s="2" t="str">
        <x:v>https://figshare.com/s/db6b8b237d0fddfbdd30</x:v>
      </x:c>
      <x:c r="J14" s="2" t="str">
        <x:v>Public</x:v>
      </x:c>
      <x:c r="K14" s="2" t="str">
        <x:v>2026-08-10</x:v>
      </x:c>
      <x:c r="L14" s="2" t="str">
        <x:v>包含源代码、数据集和完整结果，确保实验可完全复现</x:v>
      </x:c>
      <x:c r="M14" s="6" t="str">
        <x:v>p. 16; Section 4. Experimental Setup</x:v>
      </x:c>
      <x:c r="N14" s="6" t="str">
        <x:v>chosen for performance evaluation. All experimental materials, including source code, datasets, and complete results, have been made publicly available to ensure full reproducibility1 .</x:v>
      </x:c>
      <x:c r="O14" s="6" t="str">
        <x:v>作者提供了完整的复现包，包括代码、数据与结果</x:v>
      </x:c>
      <x:c r="P14" s="2" t="str">
        <x:v>Accepted</x:v>
      </x:c>
      <x:c r="Q14" s="6" t="str">
        <x:v>链接当前为审稿匿名化，但资料已公开可用</x:v>
      </x:c>
    </x:row>
    <x:row r="15" ht="76" customHeight="1">
      <x:c r="A15" s="2" t="str">
        <x:v>S14-RESOURCE-R01</x:v>
      </x:c>
      <x:c r="B15" s="2" t="str">
        <x:v>S14</x:v>
      </x:c>
      <x:c r="C15" s="2" t="str">
        <x:v>merged_1142-v1</x:v>
      </x:c>
      <x:c r="D15" s="2" t="str">
        <x:v>Reviewer_A</x:v>
      </x:c>
      <x:c r="E15" s="2" t="str">
        <x:v>Reviewer_A</x:v>
      </x:c>
      <x:c r="F15" s="2" t="str">
        <x:v>S14-RES01</x:v>
      </x:c>
      <x:c r="G15" s="6" t="str">
        <x:v>Replication package</x:v>
      </x:c>
      <x:c r="H15" s="2" t="str">
        <x:v>Replication package of projects and benchmark</x:v>
      </x:c>
      <x:c r="I15" s="2" t="str">
        <x:v>https://github.com/ZZYG0g0g0/NLPL-TLR</x:v>
      </x:c>
      <x:c r="J15" s="2" t="str">
        <x:v>Public</x:v>
      </x:c>
      <x:c r="K15" s="2" t="str">
        <x:v>2026-08-10</x:v>
      </x:c>
      <x:c r="L15" s="2" t="str">
        <x:v>包含99个开源项目的数据集，按artifact类型和规模组织，用于复制研究。</x:v>
      </x:c>
      <x:c r="M15" s="6" t="str">
        <x:v>p. 11; Section 3.3.1</x:v>
      </x:c>
      <x:c r="N15" s="6" t="str">
        <x:v>These projects serve as the dataset for the subsequent research in this paper. We have curated and organized these projects and have made them publicly available at [88] for replication purpose.</x:v>
      </x:c>
      <x:c r="O15" s="6" t="str">
        <x:v>作者公开了整理好的99个项目数据集用于复制。</x:v>
      </x:c>
      <x:c r="P15" s="2" t="str">
        <x:v>Accepted</x:v>
      </x:c>
      <x:c r="Q15" s="6" t="str">
        <x:v>URL未在文本中提供，仅引用参考号[88] | 论文Data Availability引用[88]</x:v>
      </x:c>
    </x:row>
    <x:row r="16" ht="76" customHeight="1">
      <x:c r="A16" s="2" t="str">
        <x:v>S14-RESOURCE-R02</x:v>
      </x:c>
      <x:c r="B16" s="2" t="str">
        <x:v>S14</x:v>
      </x:c>
      <x:c r="C16" s="2" t="str">
        <x:v>merged_1142-v1</x:v>
      </x:c>
      <x:c r="D16" s="2" t="str">
        <x:v>Reviewer_A</x:v>
      </x:c>
      <x:c r="E16" s="2" t="str">
        <x:v>Reviewer_A</x:v>
      </x:c>
      <x:c r="F16" s="2" t="str">
        <x:v>S14-RES02</x:v>
      </x:c>
      <x:c r="G16" s="6" t="str">
        <x:v>Prompt</x:v>
      </x:c>
      <x:c r="H16" s="2" t="str">
        <x:v>Gemini-All prompt template</x:v>
      </x:c>
      <x:c r="I16" s="2" t="str">
        <x:v>NR</x:v>
      </x:c>
      <x:c r="J16" s="2" t="str">
        <x:v>Public</x:v>
      </x:c>
      <x:c r="K16" s="2" t="str">
        <x:v>2026-08-10</x:v>
      </x:c>
      <x:c r="L16" s="2" t="str">
        <x:v>包含系统级指令和构建附加信息的提示模板，用于Gemini 2.5 Pro模型在需求-代码TLR任务中进行零样本推理。</x:v>
      </x:c>
      <x:c r="M16" s="6" t="str">
        <x:v>p. 24; Section 4.3.2</x:v>
      </x:c>
      <x:c r="N16" s="6" t="str">
        <x:v>Each requirements–code pair is constructed using a fixed prompt template in the following format:</x:v>
      </x:c>
      <x:c r="O16" s="6" t="str">
        <x:v>论文提供了Gemini-All方法中使用的提示模板，包括系统指令和附加信息构建规则。</x:v>
      </x:c>
      <x:c r="P16" s="2" t="str">
        <x:v>Accepted</x:v>
      </x:c>
      <x:c r="Q16" s="6" t="str">
        <x:v>提示模板详细描述在4.3.2节 | 提示词内嵌正文§4.3.2,无外部链接</x:v>
      </x:c>
    </x:row>
    <x:row r="17" ht="76" customHeight="1">
      <x:c r="A17" s="2" t="str">
        <x:v>S15-RESOURCE-R01</x:v>
      </x:c>
      <x:c r="B17" s="2" t="str">
        <x:v>S15</x:v>
      </x:c>
      <x:c r="C17" s="2" t="str">
        <x:v>merged_1143</x:v>
      </x:c>
      <x:c r="D17" s="2" t="str">
        <x:v>Reviewer_A</x:v>
      </x:c>
      <x:c r="E17" s="2" t="str">
        <x:v>Reviewer_A</x:v>
      </x:c>
      <x:c r="F17" s="2" t="str">
        <x:v>S15-RES01</x:v>
      </x:c>
      <x:c r="G17" s="6" t="str">
        <x:v>Replication package</x:v>
      </x:c>
      <x:c r="H17" s="2" t="str">
        <x:v>goalgeneration repository</x:v>
      </x:c>
      <x:c r="I17" s="2" t="str">
        <x:v>https://github.com/cmu-relab/goalgeneration</x:v>
      </x:c>
      <x:c r="J17" s="2" t="str">
        <x:v>Public</x:v>
      </x:c>
      <x:c r="K17" s="2" t="str">
        <x:v>2026-08-10</x:v>
      </x:c>
      <x:c r="L17" s="2" t="str">
        <x:v>包含本研究的访谈记录、笔记本和脚本等复制包。</x:v>
      </x:c>
      <x:c r="M17" s="6" t="str">
        <x:v>p. 10; Section VI.E</x:v>
      </x:c>
      <x:c r="N17" s="6" t="str">
        <x:v>The dataset, including the transcripts, notebooks, and scripts are all available under the GitHub repository https://github.com/cmu-relab/goalgeneration.</x:v>
      </x:c>
      <x:c r="O17" s="6" t="str">
        <x:v>作者提供了完整的复制包。</x:v>
      </x:c>
      <x:c r="P17" s="2" t="str">
        <x:v>Accepted</x:v>
      </x:c>
      <x:c r="Q17" s="6" t="str">
        <x:v>NA</x:v>
      </x:c>
    </x:row>
    <x:row r="18" ht="76" customHeight="1">
      <x:c r="A18" s="2" t="str">
        <x:v>S16-RESOURCE-R01</x:v>
      </x:c>
      <x:c r="B18" s="2" t="str">
        <x:v>S16</x:v>
      </x:c>
      <x:c r="C18" s="2" t="str">
        <x:v>merged_1144</x:v>
      </x:c>
      <x:c r="D18" s="2" t="str">
        <x:v>Reviewer_A</x:v>
      </x:c>
      <x:c r="E18" s="2" t="str">
        <x:v>Reviewer_A</x:v>
      </x:c>
      <x:c r="F18" s="2" t="str">
        <x:v>S16-RES01</x:v>
      </x:c>
      <x:c r="G18" s="6" t="str">
        <x:v>Replication package</x:v>
      </x:c>
      <x:c r="H18" s="2" t="str">
        <x:v>EasyLink Replication Package</x:v>
      </x:c>
      <x:c r="I18" s="2" t="str">
        <x:v>https://figshare.com/s/d495f11c4cc5c1c72e68</x:v>
      </x:c>
      <x:c r="J18" s="2" t="str">
        <x:v>Public</x:v>
      </x:c>
      <x:c r="K18" s="2" t="str">
        <x:v>2026-08-10</x:v>
      </x:c>
      <x:c r="L18" s="2" t="str">
        <x:v>包含EasyLink实现代码、文档以及收集的评估数据集</x:v>
      </x:c>
      <x:c r="M18" s="6" t="str">
        <x:v>p. 11; Section 10</x:v>
      </x:c>
      <x:c r="N18" s="6" t="str">
        <x:v>The implementation and documentation of EasyLink, along with our collected evaluation dataset, have been anonymized and made available at this URL link https://figshare.com/s/d495f11c4cc5c1c72e68</x:v>
      </x:c>
      <x:c r="O18" s="6" t="str">
        <x:v>作者提供了包含代码、文档和数据集的匿名复现包，可通过公开链接访问。</x:v>
      </x:c>
      <x:c r="P18" s="2" t="str">
        <x:v>Accepted</x:v>
      </x:c>
      <x:c r="Q18" s="6" t="str">
        <x:v>NR</x:v>
      </x:c>
    </x:row>
    <x:row r="19" ht="76" customHeight="1">
      <x:c r="A19" s="2" t="str">
        <x:v>S17-RESOURCE-R01</x:v>
      </x:c>
      <x:c r="B19" s="2" t="str">
        <x:v>S17</x:v>
      </x:c>
      <x:c r="C19" s="2" t="str">
        <x:v>merged_1148-v1</x:v>
      </x:c>
      <x:c r="D19" s="2" t="str">
        <x:v>Reviewer_A</x:v>
      </x:c>
      <x:c r="E19" s="2" t="str">
        <x:v>Reviewer_A</x:v>
      </x:c>
      <x:c r="F19" s="2" t="str">
        <x:v>S17-RES01</x:v>
      </x:c>
      <x:c r="G19" s="6" t="str">
        <x:v>Code</x:v>
      </x:c>
      <x:c r="H19" s="2" t="str">
        <x:v>stpa framework source code</x:v>
      </x:c>
      <x:c r="I19" s="2" t="str">
        <x:v>https://github.com/blueskysolarracing/stpa</x:v>
      </x:c>
      <x:c r="J19" s="2" t="str">
        <x:v>Public</x:v>
      </x:c>
      <x:c r="K19" s="2" t="str">
        <x:v>2026-08-10</x:v>
      </x:c>
      <x:c r="L19" s="2" t="str">
        <x:v>开源Python框架，用于构建STPA模型并集成LLM工作流。</x:v>
      </x:c>
      <x:c r="M19" s="6" t="str">
        <x:v>p. 1; abstract</x:v>
      </x:c>
      <x:c r="N19" s="6" t="str">
        <x:v>The source code of our software framework is available at the following link: https://github.com/blueskysolarracing/stpa.</x:v>
      </x:c>
      <x:c r="O19" s="6" t="str">
        <x:v>论文提供的开源代码仓库，包含STPA管理框架和LLM集成功能。</x:v>
      </x:c>
      <x:c r="P19" s="2" t="str">
        <x:v>Accepted</x:v>
      </x:c>
      <x:c r="Q19" s="6" t="str">
        <x:v>NR</x:v>
      </x:c>
    </x:row>
    <x:row r="20" ht="76" customHeight="1">
      <x:c r="A20" s="2" t="str">
        <x:v>S18-RESOURCE-R01</x:v>
      </x:c>
      <x:c r="B20" s="2" t="str">
        <x:v>S18</x:v>
      </x:c>
      <x:c r="C20" s="2" t="str">
        <x:v>merged_1149</x:v>
      </x:c>
      <x:c r="D20" s="2" t="str">
        <x:v>Reviewer_A</x:v>
      </x:c>
      <x:c r="E20" s="2" t="str">
        <x:v>Reviewer_A</x:v>
      </x:c>
      <x:c r="F20" s="2" t="str">
        <x:v>S18-RES01</x:v>
      </x:c>
      <x:c r="G20" s="6" t="str">
        <x:v>Replication package</x:v>
      </x:c>
      <x:c r="H20" s="2" t="str">
        <x:v>Evaluation material for LLM-based legal requirements traceability</x:v>
      </x:c>
      <x:c r="I20" s="2" t="str">
        <x:v>https://figshare.com/s/769b925bd426285e463b</x:v>
      </x:c>
      <x:c r="J20" s="2" t="str">
        <x:v>Public</x:v>
      </x:c>
      <x:c r="K20" s="2" t="str">
        <x:v>2026-08-10</x:v>
      </x:c>
      <x:c r="L20" s="2" t="str">
        <x:v>包含Kashif和Rice LRT的代码、数据、提示等评估材料。</x:v>
      </x:c>
      <x:c r="M20" s="6" t="str">
        <x:v>p. 4; Data Availability</x:v>
      </x:c>
      <x:c r="N20" s="6" t="str">
        <x:v>We make our evaluation material available in an online annex [37].</x:v>
      </x:c>
      <x:c r="O20" s="6" t="str">
        <x:v>论文提供了在线附件，可能包含实验所需的代码、数据集和提示模板，但未在文本中给出具体URL。</x:v>
      </x:c>
      <x:c r="P20" s="2" t="str">
        <x:v>Accepted</x:v>
      </x:c>
      <x:c r="Q20" s="6" t="str">
        <x:v>资源仅提及在线附件，具体网址未在论文正文中提供。 | 论文Data Availability段</x:v>
      </x:c>
    </x:row>
    <x:row r="21" ht="76" customHeight="1">
      <x:c r="A21" s="2" t="str">
        <x:v>S19-RESOURCE-R01</x:v>
      </x:c>
      <x:c r="B21" s="2" t="str">
        <x:v>S19</x:v>
      </x:c>
      <x:c r="C21" s="2" t="str">
        <x:v>merged_1150</x:v>
      </x:c>
      <x:c r="D21" s="2" t="str">
        <x:v>Reviewer_A</x:v>
      </x:c>
      <x:c r="E21" s="2" t="str">
        <x:v>Reviewer_A</x:v>
      </x:c>
      <x:c r="F21" s="2" t="str">
        <x:v>S19-RES01</x:v>
      </x:c>
      <x:c r="G21" s="6" t="str">
        <x:v>Replication package</x:v>
      </x:c>
      <x:c r="H21" s="2" t="str">
        <x:v>Online material (prompt and model summary)</x:v>
      </x:c>
      <x:c r="I21" s="2" t="str">
        <x:v>https://doi.org/10.6084/m9.figshare.27153441</x:v>
      </x:c>
      <x:c r="J21" s="2" t="str">
        <x:v>Public</x:v>
      </x:c>
      <x:c r="K21" s="2" t="str">
        <x:v>2026-08-10</x:v>
      </x:c>
      <x:c r="L21" s="2" t="str">
        <x:v>包含提示词和模型摘要，可能还包括实验数据和代码，用于复现研究。</x:v>
      </x:c>
      <x:c r="M21" s="6" t="str">
        <x:v>p. 3; Section III.C Study Execution (footnote 2)</x:v>
      </x:c>
      <x:c r="N21" s="6" t="str">
        <x:v>in the prompt. The prompt is included in our online mate-</x:v>
      </x:c>
      <x:c r="O21" s="6" t="str">
        <x:v>该链接提供了核心实验材料的开放获取入口。</x:v>
      </x:c>
      <x:c r="P21" s="2" t="str">
        <x:v>Accepted</x:v>
      </x:c>
      <x:c r="Q21" s="6" t="str">
        <x:v>NA</x:v>
      </x:c>
    </x:row>
    <x:row r="22" ht="76" customHeight="1">
      <x:c r="A22" s="2" t="str">
        <x:v>S24-RESOURCE-R01</x:v>
      </x:c>
      <x:c r="B22" s="2" t="str">
        <x:v>S24</x:v>
      </x:c>
      <x:c r="C22" s="2" t="str">
        <x:v>merged_1172</x:v>
      </x:c>
      <x:c r="D22" s="2" t="str">
        <x:v>Reviewer_A</x:v>
      </x:c>
      <x:c r="E22" s="2" t="str">
        <x:v>Reviewer_A</x:v>
      </x:c>
      <x:c r="F22" s="2" t="str">
        <x:v>S24-RES01</x:v>
      </x:c>
      <x:c r="G22" s="6" t="str">
        <x:v>Prompt</x:v>
      </x:c>
      <x:c r="H22" s="2" t="str">
        <x:v>Ambiguity/Testability prompt and output schema</x:v>
      </x:c>
      <x:c r="I22" s="2" t="str">
        <x:v>NR</x:v>
      </x:c>
      <x:c r="J22" s="2" t="str">
        <x:v>Public</x:v>
      </x:c>
      <x:c r="K22" s="2" t="str">
        <x:v>2026-08-10</x:v>
      </x:c>
      <x:c r="L22" s="2" t="str">
        <x:v>用于歧义与可测试性审计的结构化提示词及输出JSON模式</x:v>
      </x:c>
      <x:c r="M22" s="6" t="str">
        <x:v>p. 5; Section 3 (Evaluation and Metrics)</x:v>
      </x:c>
      <x:c r="N22" s="6" t="str">
        <x:v>publish the exact prompt and taxonomy used for labeling (Appendix 5, Listings 3–4)</x:v>
      </x:c>
      <x:c r="O22" s="6" t="str">
        <x:v>作者在论文附录中公开了用于标注歧义和可测试性的完整提示词与分类体系，可供复现。</x:v>
      </x:c>
      <x:c r="P22" s="2" t="str">
        <x:v>Accepted</x:v>
      </x:c>
      <x:c r="Q22" s="6" t="str">
        <x:v>NR | 提示词内嵌附录Listings 3–4,无外部链接</x:v>
      </x:c>
    </x:row>
    <x:row r="23" ht="76" customHeight="1">
      <x:c r="A23" s="2" t="str">
        <x:v>S27-RESOURCE-R01</x:v>
      </x:c>
      <x:c r="B23" s="2" t="str">
        <x:v>S27</x:v>
      </x:c>
      <x:c r="C23" s="2" t="str">
        <x:v>merged_1213</x:v>
      </x:c>
      <x:c r="D23" s="2" t="str">
        <x:v>Reviewer_A</x:v>
      </x:c>
      <x:c r="E23" s="2" t="str">
        <x:v>Reviewer_A</x:v>
      </x:c>
      <x:c r="F23" s="2" t="str">
        <x:v>S27-RES01</x:v>
      </x:c>
      <x:c r="G23" s="6" t="str">
        <x:v>Replication package</x:v>
      </x:c>
      <x:c r="H23" s="2" t="str">
        <x:v>Replication Package for Beyond Retrieval: A Study of Using LLM Ensembles for Candidate Filtering in Requirements Traceability</x:v>
      </x:c>
      <x:c r="I23" s="2" t="str">
        <x:v>https://zenodo.org/doi/10.5281/zenodo.15837231</x:v>
      </x:c>
      <x:c r="J23" s="2" t="str">
        <x:v>Public</x:v>
      </x:c>
      <x:c r="K23" s="2" t="str">
        <x:v>2026-08-10</x:v>
      </x:c>
      <x:c r="L23" s="2" t="str">
        <x:v>包含代码、数据集和结果的完整复制包</x:v>
      </x:c>
      <x:c r="M23" s="6" t="str">
        <x:v>p. 8; DATA AVAILABILITY STATEMENT</x:v>
      </x:c>
      <x:c r="N23" s="6" t="str">
        <x:v>The code, datasets, and results are publicly available in our replication package [32].</x:v>
      </x:c>
      <x:c r="O23" s="6" t="str">
        <x:v>作者提供了包含代码、数据和结果的复制包，托管在Zenodo上。</x:v>
      </x:c>
      <x:c r="P23" s="2" t="str">
        <x:v>Accepted</x:v>
      </x:c>
      <x:c r="Q23" s="6" t="str">
        <x:v>NA</x:v>
      </x:c>
    </x:row>
    <x:row r="24" ht="76" customHeight="1">
      <x:c r="A24" s="2" t="str">
        <x:v>S28-RESOURCE-R01</x:v>
      </x:c>
      <x:c r="B24" s="2" t="str">
        <x:v>S28</x:v>
      </x:c>
      <x:c r="C24" s="2" t="str">
        <x:v>merged_1214</x:v>
      </x:c>
      <x:c r="D24" s="2" t="str">
        <x:v>Reviewer_A</x:v>
      </x:c>
      <x:c r="E24" s="2" t="str">
        <x:v>Reviewer_A</x:v>
      </x:c>
      <x:c r="F24" s="2" t="str">
        <x:v>S28-RES01</x:v>
      </x:c>
      <x:c r="G24" s="6" t="str">
        <x:v>Code</x:v>
      </x:c>
      <x:c r="H24" s="2" t="str">
        <x:v>nl2codeTrace</x:v>
      </x:c>
      <x:c r="I24" s="2" t="str">
        <x:v>https://github.com/junaidiiith/nl2codeTrace</x:v>
      </x:c>
      <x:c r="J24" s="2" t="str">
        <x:v>Public</x:v>
      </x:c>
      <x:c r="K24" s="2" t="str">
        <x:v>2026-08-10</x:v>
      </x:c>
      <x:c r="L24" s="2" t="str">
        <x:v>提供创建索引、代码摘要、文本嵌入、多种检索机制（向量、关键词、知识图谱）的完整源代码，用户可直接扩展实现。</x:v>
      </x:c>
      <x:c r="M24" s="6" t="str">
        <x:v>p. 16; Section 6 Discussion, footnote 5</x:v>
      </x:c>
      <x:c r="N24" s="6" t="str">
        <x:v>to make our approach accessible by making the source code openly available</x:v>
      </x:c>
      <x:c r="O24" s="6" t="str">
        <x:v>论文作者公开了方法的源代码仓库，可用于复现和扩展。</x:v>
      </x:c>
      <x:c r="P24" s="2" t="str">
        <x:v>Accepted</x:v>
      </x:c>
      <x:c r="Q24" s="6" t="str">
        <x:v>NA</x:v>
      </x:c>
    </x:row>
    <x:row r="25" ht="76" customHeight="1">
      <x:c r="A25" s="2" t="str">
        <x:v>S29-RESOURCE-R01</x:v>
      </x:c>
      <x:c r="B25" s="2" t="str">
        <x:v>S29</x:v>
      </x:c>
      <x:c r="C25" s="2" t="str">
        <x:v>merged_1215-v4</x:v>
      </x:c>
      <x:c r="D25" s="2" t="str">
        <x:v>Reviewer_A</x:v>
      </x:c>
      <x:c r="E25" s="2" t="str">
        <x:v>Reviewer_A</x:v>
      </x:c>
      <x:c r="F25" s="2" t="str">
        <x:v>S29-RES01</x:v>
      </x:c>
      <x:c r="G25" s="6" t="str">
        <x:v>Replication package</x:v>
      </x:c>
      <x:c r="H25" s="2" t="str">
        <x:v>TVR replication package</x:v>
      </x:c>
      <x:c r="I25" s="2" t="str">
        <x:v>https://github.com/feifeiniu-se/TVR</x:v>
      </x:c>
      <x:c r="J25" s="2" t="str">
        <x:v>Public</x:v>
      </x:c>
      <x:c r="K25" s="2" t="str">
        <x:v>2026-08-10</x:v>
      </x:c>
      <x:c r="L25" s="2" t="str">
        <x:v>包含TVR代码、提示示例和虚构需求示例，用于复现研究结果。</x:v>
      </x:c>
      <x:c r="M25" s="6" t="str">
        <x:v>p. 4; Section 1 Contributions</x:v>
      </x:c>
      <x:c r="N25" s="6" t="str">
        <x:v>The implementation is made publicly available [28].</x:v>
      </x:c>
      <x:c r="O25" s="6" t="str">
        <x:v>作者将TVR的实现及相关材料打包为公开可获取的复制包，托管在GitHub。</x:v>
      </x:c>
      <x:c r="P25" s="2" t="str">
        <x:v>Accepted</x:v>
      </x:c>
      <x:c r="Q25" s="6" t="str">
        <x:v>NA</x:v>
      </x:c>
    </x:row>
    <x:row r="26" ht="76" customHeight="1">
      <x:c r="A26" s="2" t="str">
        <x:v>S30-RESOURCE-R01</x:v>
      </x:c>
      <x:c r="B26" s="2" t="str">
        <x:v>S30</x:v>
      </x:c>
      <x:c r="C26" s="2" t="str">
        <x:v>merged_1218</x:v>
      </x:c>
      <x:c r="D26" s="2" t="str">
        <x:v>Reviewer_A</x:v>
      </x:c>
      <x:c r="E26" s="2" t="str">
        <x:v>Reviewer_A</x:v>
      </x:c>
      <x:c r="F26" s="2" t="str">
        <x:v>S30-RES01</x:v>
      </x:c>
      <x:c r="G26" s="6" t="str">
        <x:v>Code</x:v>
      </x:c>
      <x:c r="H26" s="2" t="str">
        <x:v>GraphRAG Dialogue Insights source code</x:v>
      </x:c>
      <x:c r="I26" s="2" t="str">
        <x:v>https://doi.org/10.5281/zenodo.15804044</x:v>
      </x:c>
      <x:c r="J26" s="2" t="str">
        <x:v>Public</x:v>
      </x:c>
      <x:c r="K26" s="2" t="str">
        <x:v>2026-08-10</x:v>
      </x:c>
      <x:c r="L26" s="2" t="str">
        <x:v>包含GDI框架的源代码，用于本地部署和复现实验。</x:v>
      </x:c>
      <x:c r="M26" s="6" t="str">
        <x:v>p. 2; Section I, Contributions</x:v>
      </x:c>
      <x:c r="N26" s="6" t="str">
        <x:v>We provide the source code of GDI, the original and improved open-source knowledge graphs [15], along with the logs, an informed consent form, a user-centered validation session protocol, and the surveys and interviews questions in a replication package [16].</x:v>
      </x:c>
      <x:c r="O26" s="6" t="str">
        <x:v>源代码公开可获取，支持其他研究者复现和扩展GDI。</x:v>
      </x:c>
      <x:c r="P26" s="2" t="str">
        <x:v>Accepted</x:v>
      </x:c>
      <x:c r="Q26" s="6" t="str">
        <x:v>NA</x:v>
      </x:c>
    </x:row>
    <x:row r="27" ht="76" customHeight="1">
      <x:c r="A27" s="2" t="str">
        <x:v>S30-RESOURCE-R02</x:v>
      </x:c>
      <x:c r="B27" s="2" t="str">
        <x:v>S30</x:v>
      </x:c>
      <x:c r="C27" s="2" t="str">
        <x:v>merged_1218</x:v>
      </x:c>
      <x:c r="D27" s="2" t="str">
        <x:v>Reviewer_A</x:v>
      </x:c>
      <x:c r="E27" s="2" t="str">
        <x:v>Reviewer_A</x:v>
      </x:c>
      <x:c r="F27" s="2" t="str">
        <x:v>S30-RES02</x:v>
      </x:c>
      <x:c r="G27" s="6" t="str">
        <x:v>Dataset</x:v>
      </x:c>
      <x:c r="H27" s="2" t="str">
        <x:v>Microservices knowledge graph (DevOps RAG application)</x:v>
      </x:c>
      <x:c r="I27" s="2" t="str">
        <x:v>https://gist.githubusercontent.com/tomasonjo/08dc8ba0e19d592c4c3cde40dd6abcc3/raw/e90b0c9386bf8be15b199e8ac8f83fc265a2ac57/microservices.json</x:v>
      </x:c>
      <x:c r="J27" s="2" t="str">
        <x:v>Public</x:v>
      </x:c>
      <x:c r="K27" s="2" t="str">
        <x:v>2026-08-10</x:v>
      </x:c>
      <x:c r="L27" s="2" t="str">
        <x:v>用于入职用例的合成Azure DevOps数据集，包含微服务、团队和任务的图谱。</x:v>
      </x:c>
      <x:c r="M27" s="6" t="str">
        <x:v>p. 2; Section I, Contributions</x:v>
      </x:c>
      <x:c r="N27" s="6" t="str">
        <x:v>the original and improved open-source knowledge graphs [15]</x:v>
      </x:c>
      <x:c r="O27" s="6" t="str">
        <x:v>提供示例知识图谱，便于研究者快速测试GDI。</x:v>
      </x:c>
      <x:c r="P27" s="2" t="str">
        <x:v>Accepted</x:v>
      </x:c>
      <x:c r="Q27" s="6" t="str">
        <x:v>NA</x:v>
      </x:c>
    </x:row>
    <x:row r="28" ht="76" customHeight="1">
      <x:c r="A28" s="2" t="str">
        <x:v>S30-RESOURCE-R03</x:v>
      </x:c>
      <x:c r="B28" s="2" t="str">
        <x:v>S30</x:v>
      </x:c>
      <x:c r="C28" s="2" t="str">
        <x:v>merged_1218</x:v>
      </x:c>
      <x:c r="D28" s="2" t="str">
        <x:v>Reviewer_A</x:v>
      </x:c>
      <x:c r="E28" s="2" t="str">
        <x:v>Reviewer_A</x:v>
      </x:c>
      <x:c r="F28" s="2" t="str">
        <x:v>S30-RES02</x:v>
      </x:c>
      <x:c r="G28" s="6" t="str">
        <x:v>Replication package</x:v>
      </x:c>
      <x:c r="H28" s="2" t="str">
        <x:v>GraphRAG Dialogue Insights replication package</x:v>
      </x:c>
      <x:c r="I28" s="2" t="str">
        <x:v>https://doi.org/10.5281/zenodo.15804044</x:v>
      </x:c>
      <x:c r="J28" s="2" t="str">
        <x:v>Public</x:v>
      </x:c>
      <x:c r="K28" s="2" t="str">
        <x:v>2026-08-10</x:v>
      </x:c>
      <x:c r="L28" s="2" t="str">
        <x:v>包含实验日志、知情同意书、验证协议、问卷和访谈问题等全部辅助材料。</x:v>
      </x:c>
      <x:c r="M28" s="6" t="str">
        <x:v>p. 2; Section I, Contributions</x:v>
      </x:c>
      <x:c r="N28" s="6" t="str">
        <x:v>along with the logs, an informed consent form, a user-centered validation session protocol, and the surveys and interviews questions in a replication package [16].</x:v>
      </x:c>
      <x:c r="O28" s="6" t="str">
        <x:v>提供完整的研究材料，支持透明性和可复现性。</x:v>
      </x:c>
      <x:c r="P28" s="2" t="str">
        <x:v>Accepted</x:v>
      </x:c>
      <x:c r="Q28" s="6" t="str">
        <x:v>NA</x:v>
      </x:c>
    </x:row>
    <x:row r="29" ht="76" customHeight="1">
      <x:c r="A29" s="2" t="str">
        <x:v>S34-RESOURCE-R01</x:v>
      </x:c>
      <x:c r="B29" s="2" t="str">
        <x:v>S34</x:v>
      </x:c>
      <x:c r="C29" s="2" t="str">
        <x:v>merged_1224-v1</x:v>
      </x:c>
      <x:c r="D29" s="2" t="str">
        <x:v>Reviewer_A</x:v>
      </x:c>
      <x:c r="E29" s="2" t="str">
        <x:v>Reviewer_A</x:v>
      </x:c>
      <x:c r="F29" s="2" t="str">
        <x:v>S34-RES01</x:v>
      </x:c>
      <x:c r="G29" s="6" t="str">
        <x:v>Replication package</x:v>
      </x:c>
      <x:c r="H29" s="2" t="str">
        <x:v>Behavioral-Augmentation-of-UML-Class-Diagrams</x:v>
      </x:c>
      <x:c r="I29" s="2" t="str">
        <x:v>https://github.com/Djaber1979/-Behavioral-Augmentation-of-UML-Class-Diagrams</x:v>
      </x:c>
      <x:c r="J29" s="2" t="str">
        <x:v>Public</x:v>
      </x:c>
      <x:c r="K29" s="2" t="str">
        <x:v>2026-08-10</x:v>
      </x:c>
      <x:c r="L29" s="2" t="str">
        <x:v>包含所有实验产物（.puml、.png、.csv文件）、提示、代码脚本，支持可重复性和基准测试。</x:v>
      </x:c>
      <x:c r="M29" s="6" t="str">
        <x:v>p. 35; Declarations</x:v>
      </x:c>
      <x:c r="N29" s="6" t="str">
        <x:v>– Data availability: All data generated or analyzed during this study, including processed datasets, metric CSV files, and parsed JSON representations, are publicly available at the project GitHub repository: https://github.com/</x:v>
      </x:c>
      <x:c r="O29" s="6" t="str">
        <x:v>作者提供了完整的复制包，这对于验证结果和进一步研究非常有价值。</x:v>
      </x:c>
      <x:c r="P29" s="2" t="str">
        <x:v>Accepted</x:v>
      </x:c>
      <x:c r="Q29" s="6" t="str">
        <x:v>NA</x:v>
      </x:c>
    </x:row>
    <x:row r="30" ht="76" customHeight="1">
      <x:c r="A30" s="2" t="str">
        <x:v>S35-RESOURCE-R01</x:v>
      </x:c>
      <x:c r="B30" s="2" t="str">
        <x:v>S35</x:v>
      </x:c>
      <x:c r="C30" s="2" t="str">
        <x:v>merged_1225</x:v>
      </x:c>
      <x:c r="D30" s="2" t="str">
        <x:v>Reviewer_A</x:v>
      </x:c>
      <x:c r="E30" s="2" t="str">
        <x:v>Reviewer_A</x:v>
      </x:c>
      <x:c r="F30" s="2" t="str">
        <x:v>S35-RES01</x:v>
      </x:c>
      <x:c r="G30" s="6" t="str">
        <x:v>Dataset</x:v>
      </x:c>
      <x:c r="H30" s="2" t="str">
        <x:v>Feature Tests of Scholar@UC</x:v>
      </x:c>
      <x:c r="I30" s="2" t="str">
        <x:v>https://github.com/uclibs/ucrate/tree/develop/spec/features</x:v>
      </x:c>
      <x:c r="J30" s="2" t="str">
        <x:v>Public</x:v>
      </x:c>
      <x:c r="K30" s="2" t="str">
        <x:v>2026-08-10</x:v>
      </x:c>
      <x:c r="L30" s="2" t="str">
        <x:v>Scholar@UC项目的67个特征测试文件（.rb），用于实验的测试输入。</x:v>
      </x:c>
      <x:c r="M30" s="6" t="str">
        <x:v>p. 2; Section II</x:v>
      </x:c>
      <x:c r="N30" s="6" t="str">
        <x:v>All the testing artifacts are publicly available [21].</x:v>
      </x:c>
      <x:c r="O30" s="6" t="str">
        <x:v>公开可用的特征测试数据集，是案例研究的主要追踪源。</x:v>
      </x:c>
      <x:c r="P30" s="2" t="str">
        <x:v>Accepted</x:v>
      </x:c>
      <x:c r="Q30" s="6" t="str">
        <x:v>NA</x:v>
      </x:c>
    </x:row>
    <x:row r="31" ht="76" customHeight="1">
      <x:c r="A31" s="2" t="str">
        <x:v>S35-RESOURCE-R02</x:v>
      </x:c>
      <x:c r="B31" s="2" t="str">
        <x:v>S35</x:v>
      </x:c>
      <x:c r="C31" s="2" t="str">
        <x:v>merged_1225</x:v>
      </x:c>
      <x:c r="D31" s="2" t="str">
        <x:v>Reviewer_A</x:v>
      </x:c>
      <x:c r="E31" s="2" t="str">
        <x:v>Reviewer_A</x:v>
      </x:c>
      <x:c r="F31" s="2" t="str">
        <x:v>S35-RES02</x:v>
      </x:c>
      <x:c r="G31" s="6" t="str">
        <x:v>Dataset</x:v>
      </x:c>
      <x:c r="H31" s="2" t="str">
        <x:v>Scholar@UC user stories</x:v>
      </x:c>
      <x:c r="I31" s="2" t="str">
        <x:v>https://github.com/uclibs/scholar_use_cases</x:v>
      </x:c>
      <x:c r="J31" s="2" t="str">
        <x:v>Public</x:v>
      </x:c>
      <x:c r="K31" s="2" t="str">
        <x:v>2026-08-10</x:v>
      </x:c>
      <x:c r="L31" s="2" t="str">
        <x:v>Scholar@UC的用户故事，用于提取146条文本需求作为追踪目标。</x:v>
      </x:c>
      <x:c r="M31" s="6" t="str">
        <x:v>p. 2; Section II</x:v>
      </x:c>
      <x:c r="N31" s="6" t="str">
        <x:v>we extract the requirements from Scholar@UC’s user stories [22].</x:v>
      </x:c>
      <x:c r="O31" s="6" t="str">
        <x:v>公开可用的用户故事数据集，为追踪实验提供了文本需求来源。</x:v>
      </x:c>
      <x:c r="P31" s="2" t="str">
        <x:v>Accepted</x:v>
      </x:c>
      <x:c r="Q31" s="6" t="str">
        <x:v>NA</x:v>
      </x:c>
    </x:row>
    <x:row r="32" ht="76" customHeight="1">
      <x:c r="A32" s="2" t="str">
        <x:v>S36-RESOURCE-R01</x:v>
      </x:c>
      <x:c r="B32" s="2" t="str">
        <x:v>S36</x:v>
      </x:c>
      <x:c r="C32" s="2" t="str">
        <x:v>merged_1236</x:v>
      </x:c>
      <x:c r="D32" s="2" t="str">
        <x:v>Reviewer_A</x:v>
      </x:c>
      <x:c r="E32" s="2" t="str">
        <x:v>Reviewer_A</x:v>
      </x:c>
      <x:c r="F32" s="2" t="str">
        <x:v>S36-RES01</x:v>
      </x:c>
      <x:c r="G32" s="6" t="str">
        <x:v>Code</x:v>
      </x:c>
      <x:c r="H32" s="2" t="str">
        <x:v>DDD-Enforcer</x:v>
      </x:c>
      <x:c r="I32" s="2" t="str">
        <x:v>https://github.com/barandincoguz/DDD-Enforcer</x:v>
      </x:c>
      <x:c r="J32" s="2" t="str">
        <x:v>Public</x:v>
      </x:c>
      <x:c r="K32" s="2" t="str">
        <x:v>2026-08-10</x:v>
      </x:c>
      <x:c r="L32" s="2" t="str">
        <x:v>DDD-Enforcer工具的完整源代码实现</x:v>
      </x:c>
      <x:c r="M32" s="6" t="str">
        <x:v>p. 6; IX. CONCLUSION</x:v>
      </x:c>
      <x:c r="N32" s="6" t="str">
        <x:v>This project’s open-source implementation can be accessed via this GitHub repository [24].</x:v>
      </x:c>
      <x:c r="O32" s="6" t="str">
        <x:v>论文提供了GitHub仓库链接，包含DDD-Enforcer的开源实现。</x:v>
      </x:c>
      <x:c r="P32" s="2" t="str">
        <x:v>Accepted</x:v>
      </x:c>
      <x:c r="Q32" s="6" t="str">
        <x:v>NA</x:v>
      </x:c>
    </x:row>
    <x:row r="33" ht="76" customHeight="1">
      <x:c r="A33" s="2" t="str">
        <x:v>S37-RESOURCE-R01</x:v>
      </x:c>
      <x:c r="B33" s="2" t="str">
        <x:v>S37</x:v>
      </x:c>
      <x:c r="C33" s="2" t="str">
        <x:v>merged_1238</x:v>
      </x:c>
      <x:c r="D33" s="2" t="str">
        <x:v>Reviewer_A</x:v>
      </x:c>
      <x:c r="E33" s="2" t="str">
        <x:v>Reviewer_A</x:v>
      </x:c>
      <x:c r="F33" s="2" t="str">
        <x:v>S37-RES01</x:v>
      </x:c>
      <x:c r="G33" s="6" t="str">
        <x:v>Prompt</x:v>
      </x:c>
      <x:c r="H33" s="2" t="str">
        <x:v>PFM model prompt templates</x:v>
      </x:c>
      <x:c r="I33" s="2" t="str">
        <x:v>NR</x:v>
      </x:c>
      <x:c r="J33" s="2" t="str">
        <x:v>Public</x:v>
      </x:c>
      <x:c r="K33" s="2" t="str">
        <x:v>2026-08-10</x:v>
      </x:c>
      <x:c r="L33" s="2" t="str">
        <x:v>论文中提供的提示模板，包括输入、输出和分解提示，用于引导LLM进行需求收集和建模。</x:v>
      </x:c>
      <x:c r="M33" s="6" t="str">
        <x:v>p. 12; Table 2</x:v>
      </x:c>
      <x:c r="N33" s="6" t="str">
        <x:v>You are a chatbot; your responsibility is to communicate with the requirement provider and arrange the received messages as the requirement description.</x:v>
      </x:c>
      <x:c r="O33" s="6" t="str">
        <x:v>论文提供了详细的提示模板，用于需求收集和建模。</x:v>
      </x:c>
      <x:c r="P33" s="2" t="str">
        <x:v>Accepted</x:v>
      </x:c>
      <x:c r="Q33" s="6" t="str">
        <x:v>该链接为论文自身DOI(10.3390/app16010518),非资源链接;提示词内嵌Table 2/3/4</x:v>
      </x:c>
    </x:row>
    <x:row r="34" ht="76" customHeight="1">
      <x:c r="A34" s="2" t="str">
        <x:v>S37-RESOURCE-R02</x:v>
      </x:c>
      <x:c r="B34" s="2" t="str">
        <x:v>S37</x:v>
      </x:c>
      <x:c r="C34" s="2" t="str">
        <x:v>merged_1238</x:v>
      </x:c>
      <x:c r="D34" s="2" t="str">
        <x:v>Reviewer_A</x:v>
      </x:c>
      <x:c r="E34" s="2" t="str">
        <x:v>Reviewer_A</x:v>
      </x:c>
      <x:c r="F34" s="2" t="str">
        <x:v>S37-RES02</x:v>
      </x:c>
      <x:c r="G34" s="6" t="str">
        <x:v>Code</x:v>
      </x:c>
      <x:c r="H34" s="2" t="str">
        <x:v>bm25s</x:v>
      </x:c>
      <x:c r="I34" s="2" t="str">
        <x:v>https://github.com/xhluca/bm25s</x:v>
      </x:c>
      <x:c r="J34" s="2" t="str">
        <x:v>Public</x:v>
      </x:c>
      <x:c r="K34" s="2" t="str">
        <x:v>2026-08-10</x:v>
      </x:c>
      <x:c r="L34" s="2" t="str">
        <x:v>用于信息检索的BM25算法实现，用于对关键词进行排序。</x:v>
      </x:c>
      <x:c r="M34" s="6" t="str">
        <x:v>p. 20; Section 5.1</x:v>
      </x:c>
      <x:c r="N34" s="6" t="str">
        <x:v>the keywords will be sorted by algorithm BM25, which is available for download at https://github. com/xhluca/bm25s (accessed 1 December 2024), and the selected phrases and keywords will be</x:v>
      </x:c>
      <x:c r="O34" s="6" t="str">
        <x:v>论文使用了公开的BM25算法代码进行关键词排序。</x:v>
      </x:c>
      <x:c r="P34" s="2" t="str">
        <x:v>Accepted</x:v>
      </x:c>
      <x:c r="Q34" s="6" t="str">
        <x:v>NA</x:v>
      </x:c>
    </x:row>
    <x:row r="35" ht="76" customHeight="1">
      <x:c r="A35" s="2" t="str">
        <x:v>S37-RESOURCE-R03</x:v>
      </x:c>
      <x:c r="B35" s="2" t="str">
        <x:v>S37</x:v>
      </x:c>
      <x:c r="C35" s="2" t="str">
        <x:v>merged_1238</x:v>
      </x:c>
      <x:c r="D35" s="2" t="str">
        <x:v>Reviewer_A</x:v>
      </x:c>
      <x:c r="E35" s="2" t="str">
        <x:v>Reviewer_A</x:v>
      </x:c>
      <x:c r="F35" s="2" t="str">
        <x:v>S37-RES02</x:v>
      </x:c>
      <x:c r="G35" s="6" t="str">
        <x:v>Tool</x:v>
      </x:c>
      <x:c r="H35" s="2" t="str">
        <x:v>JSON2BPMN converter</x:v>
      </x:c>
      <x:c r="I35" s="2" t="str">
        <x:v>https://github.com/taoxiaotao6/bpmn_converter</x:v>
      </x:c>
      <x:c r="J35" s="2" t="str">
        <x:v>Public</x:v>
      </x:c>
      <x:c r="K35" s="2" t="str">
        <x:v>2026-08-10</x:v>
      </x:c>
      <x:c r="L35" s="2" t="str">
        <x:v>将PFM模型的JSON表示转换为BPMN模型的工具。</x:v>
      </x:c>
      <x:c r="M35" s="6" t="str">
        <x:v>p. 20; Section 5.1</x:v>
      </x:c>
      <x:c r="N35" s="6" t="str">
        <x:v>the mapping function ψ will transform PFM to RBPMN models through a JSON2BPMN converter (accessed on 12 September 2024, from https://github.com/taoxiaotao6/bpmn_converter)</x:v>
      </x:c>
      <x:c r="O35" s="6" t="str">
        <x:v>论文使用了公开的JSON到BPMN转换工具。</x:v>
      </x:c>
      <x:c r="P35" s="2" t="str">
        <x:v>Accepted</x:v>
      </x:c>
      <x:c r="Q35" s="6" t="str">
        <x:v>NA</x:v>
      </x:c>
    </x:row>
    <x:row r="36" ht="76" customHeight="1">
      <x:c r="A36" s="2" t="str">
        <x:v>S37-RESOURCE-R04</x:v>
      </x:c>
      <x:c r="B36" s="2" t="str">
        <x:v>S37</x:v>
      </x:c>
      <x:c r="C36" s="2" t="str">
        <x:v>merged_1238</x:v>
      </x:c>
      <x:c r="D36" s="2" t="str">
        <x:v>Reviewer_A</x:v>
      </x:c>
      <x:c r="E36" s="2" t="str">
        <x:v>Reviewer_A</x:v>
      </x:c>
      <x:c r="F36" s="2" t="str">
        <x:v>S37-RES03</x:v>
      </x:c>
      <x:c r="G36" s="6" t="str">
        <x:v>Tool</x:v>
      </x:c>
      <x:c r="H36" s="2" t="str">
        <x:v>bpmn-js editor</x:v>
      </x:c>
      <x:c r="I36" s="2" t="str">
        <x:v>https://bpmn.io/toolkit/bPMn-js/</x:v>
      </x:c>
      <x:c r="J36" s="2" t="str">
        <x:v>Public</x:v>
      </x:c>
      <x:c r="K36" s="2" t="str">
        <x:v>2026-08-10</x:v>
      </x:c>
      <x:c r="L36" s="2" t="str">
        <x:v>用于编辑和导出BPMN图的可视化工具。</x:v>
      </x:c>
      <x:c r="M36" s="6" t="str">
        <x:v>p. 20; Section 5.1</x:v>
      </x:c>
      <x:c r="N36" s="6" t="str">
        <x:v>the BPMN editor (accessed on 12 December 2024, from https://bpmn.io/toolkit/bPMn-js/) can export BPMN diagrams and the corresponding XML format.</x:v>
      </x:c>
      <x:c r="O36" s="6" t="str">
        <x:v>论文使用了公开的BPMN编辑器工具。</x:v>
      </x:c>
      <x:c r="P36" s="2" t="str">
        <x:v>Accepted</x:v>
      </x:c>
      <x:c r="Q36" s="6" t="str">
        <x:v>NA</x:v>
      </x:c>
    </x:row>
    <x:row r="37" ht="76" customHeight="1">
      <x:c r="A37" s="2" t="str">
        <x:v>S37-RESOURCE-R05</x:v>
      </x:c>
      <x:c r="B37" s="2" t="str">
        <x:v>S37</x:v>
      </x:c>
      <x:c r="C37" s="2" t="str">
        <x:v>merged_1238</x:v>
      </x:c>
      <x:c r="D37" s="2" t="str">
        <x:v>Reviewer_A</x:v>
      </x:c>
      <x:c r="E37" s="2" t="str">
        <x:v>Reviewer_A</x:v>
      </x:c>
      <x:c r="F37" s="2" t="str">
        <x:v>S37-RES04</x:v>
      </x:c>
      <x:c r="G37" s="6" t="str">
        <x:v>Dataset</x:v>
      </x:c>
      <x:c r="H37" s="2" t="str">
        <x:v>Experiment case data</x:v>
      </x:c>
      <x:c r="I37" s="2" t="str">
        <x:v>NR</x:v>
      </x:c>
      <x:c r="J37" s="2" t="str">
        <x:v>Request required</x:v>
      </x:c>
      <x:c r="K37" s="2" t="str">
        <x:v>2026-08-10</x:v>
      </x:c>
      <x:c r="L37" s="2" t="str">
        <x:v>实验所用的五个公开案例及网约车系统案例数据。</x:v>
      </x:c>
      <x:c r="M37" s="6" t="str">
        <x:v>p. 27; Data Availability Statement</x:v>
      </x:c>
      <x:c r="N37" s="6" t="str">
        <x:v>The raw data supporting the conclusions of this article will be made available by the authors on request.</x:v>
      </x:c>
      <x:c r="O37" s="6" t="str">
        <x:v>论文的实验数据可以应要求向作者获取。</x:v>
      </x:c>
      <x:c r="P37" s="2" t="str">
        <x:v>Accepted</x:v>
      </x:c>
      <x:c r="Q37" s="6" t="str">
        <x:v>on request(论文Data Availability)</x:v>
      </x:c>
    </x:row>
    <x:row r="38" ht="76" customHeight="1">
      <x:c r="A38" s="2" t="str">
        <x:v>S38-RESOURCE-R01</x:v>
      </x:c>
      <x:c r="B38" s="2" t="str">
        <x:v>S38</x:v>
      </x:c>
      <x:c r="C38" s="2" t="str">
        <x:v>merged_1241</x:v>
      </x:c>
      <x:c r="D38" s="2" t="str">
        <x:v>Reviewer_A</x:v>
      </x:c>
      <x:c r="E38" s="2" t="str">
        <x:v>Reviewer_A</x:v>
      </x:c>
      <x:c r="F38" s="2" t="str">
        <x:v>S38-RES01</x:v>
      </x:c>
      <x:c r="G38" s="6" t="str">
        <x:v>Dataset</x:v>
      </x:c>
      <x:c r="H38" s="2" t="str">
        <x:v>LusGen-Benchmark</x:v>
      </x:c>
      <x:c r="I38" s="2" t="str">
        <x:v>https://github.com/jiangyili446/LusGen-Benchmark.git</x:v>
      </x:c>
      <x:c r="J38" s="2" t="str">
        <x:v>Public</x:v>
      </x:c>
      <x:c r="K38" s="2" t="str">
        <x:v>2026-08-10</x:v>
      </x:c>
      <x:c r="L38" s="2" t="str">
        <x:v>用于Lustre生成和细粒度需求追溯的基准数据集，包含四个子数据集。</x:v>
      </x:c>
      <x:c r="M38" s="6" t="str">
        <x:v>p. 13; Section 4.2 Dataset, footnote 5.</x:v>
      </x:c>
      <x:c r="N38" s="6" t="str">
        <x:v>The benchmark dataset is available online.5</x:v>
      </x:c>
      <x:c r="O38" s="6" t="str">
        <x:v>公开可用的基准数据集，包含多个Lustre节点和属性。</x:v>
      </x:c>
      <x:c r="P38" s="2" t="str">
        <x:v>Accepted</x:v>
      </x:c>
      <x:c r="Q38" s="6" t="str">
        <x:v>NA</x:v>
      </x:c>
    </x:row>
    <x:row r="39" ht="76" customHeight="1">
      <x:c r="A39" s="2" t="str">
        <x:v>S40-RESOURCE-R01</x:v>
      </x:c>
      <x:c r="B39" s="2" t="str">
        <x:v>S40</x:v>
      </x:c>
      <x:c r="C39" s="2" t="str">
        <x:v>merged_1263</x:v>
      </x:c>
      <x:c r="D39" s="2" t="str">
        <x:v>Reviewer_A</x:v>
      </x:c>
      <x:c r="E39" s="2" t="str">
        <x:v>Reviewer_A</x:v>
      </x:c>
      <x:c r="F39" s="2" t="str">
        <x:v>S40-RES01</x:v>
      </x:c>
      <x:c r="G39" s="6" t="str">
        <x:v>Replication package</x:v>
      </x:c>
      <x:c r="H39" s="2" t="str">
        <x:v>SMOS, eTour, iTrust replication package from Hey et al.</x:v>
      </x:c>
      <x:c r="I39" s="2" t="str">
        <x:v>NR</x:v>
      </x:c>
      <x:c r="J39" s="2" t="str">
        <x:v>Public</x:v>
      </x:c>
      <x:c r="K39" s="2" t="str">
        <x:v>2026-08-10</x:v>
      </x:c>
      <x:c r="L39" s="2" t="str">
        <x:v>包含 SMOS、eTour、iTrust 三个基准数据集的制品。</x:v>
      </x:c>
      <x:c r="M39" s="6" t="str">
        <x:v>p. 24; Data Availability Statement</x:v>
      </x:c>
      <x:c r="N39" s="6" t="str">
        <x:v>The SMOS, ETOUR, and iTrust artifacts are available from the replication package released by Hey et al. [13].</x:v>
      </x:c>
      <x:c r="O39" s="6" t="str">
        <x:v>可公开获取的实验复制包，提供三个项目的需求和代码。</x:v>
      </x:c>
      <x:c r="P39" s="2" t="str">
        <x:v>Accepted</x:v>
      </x:c>
      <x:c r="Q39" s="6" t="str">
        <x:v>NR | 论文仅给CrossRef引用[13],无直接URL</x:v>
      </x:c>
    </x:row>
    <x:row r="40" ht="76" customHeight="1">
      <x:c r="A40" s="2" t="str">
        <x:v>S40-RESOURCE-R02</x:v>
      </x:c>
      <x:c r="B40" s="2" t="str">
        <x:v>S40</x:v>
      </x:c>
      <x:c r="C40" s="2" t="str">
        <x:v>merged_1263</x:v>
      </x:c>
      <x:c r="D40" s="2" t="str">
        <x:v>Reviewer_A</x:v>
      </x:c>
      <x:c r="E40" s="2" t="str">
        <x:v>Reviewer_A</x:v>
      </x:c>
      <x:c r="F40" s="2" t="str">
        <x:v>S40-RES02</x:v>
      </x:c>
      <x:c r="G40" s="6" t="str">
        <x:v>Dataset</x:v>
      </x:c>
      <x:c r="H40" s="2" t="str">
        <x:v>Dronology dataset</x:v>
      </x:c>
      <x:c r="I40" s="2" t="str">
        <x:v>NR</x:v>
      </x:c>
      <x:c r="J40" s="2" t="str">
        <x:v>Public</x:v>
      </x:c>
      <x:c r="K40" s="2" t="str">
        <x:v>2026-08-10</x:v>
      </x:c>
      <x:c r="L40" s="2" t="str">
        <x:v>Dronology 航空领域数据集，包含 RE 和 DD 两类需求。</x:v>
      </x:c>
      <x:c r="M40" s="6" t="str">
        <x:v>p. 24; Data Availability Statement</x:v>
      </x:c>
      <x:c r="N40" s="6" t="str">
        <x:v>Hey et al. [13]. The DRONOLOGY artifacts are available from the dataset introduced by Cleland-</x:v>
      </x:c>
      <x:c r="O40" s="6" t="str">
        <x:v>公开数据集，用于 Dronology 任务的评估。</x:v>
      </x:c>
      <x:c r="P40" s="2" t="str">
        <x:v>Accepted</x:v>
      </x:c>
      <x:c r="Q40" s="6" t="str">
        <x:v>NR | 论文仅给CrossRef引用[38],无直接URL</x:v>
      </x:c>
    </x:row>
    <x:row r="41" ht="76" customHeight="1">
      <x:c r="A41" s="2" t="str">
        <x:v>S40-RESOURCE-R03</x:v>
      </x:c>
      <x:c r="B41" s="2" t="str">
        <x:v>S40</x:v>
      </x:c>
      <x:c r="C41" s="2" t="str">
        <x:v>merged_1263</x:v>
      </x:c>
      <x:c r="D41" s="2" t="str">
        <x:v>Reviewer_A</x:v>
      </x:c>
      <x:c r="E41" s="2" t="str">
        <x:v>Reviewer_A</x:v>
      </x:c>
      <x:c r="F41" s="2" t="str">
        <x:v>S40-RES02</x:v>
      </x:c>
      <x:c r="G41" s="6" t="str">
        <x:v>Third-party benchmark</x:v>
      </x:c>
      <x:c r="H41" s="2" t="str">
        <x:v>Ground-truth trace links (third-party, LISSA replication package)</x:v>
      </x:c>
      <x:c r="I41" s="2" t="str">
        <x:v>第三方基准(见S01)</x:v>
      </x:c>
      <x:c r="J41" s="2" t="str">
        <x:v>Public</x:v>
      </x:c>
      <x:c r="K41" s="2" t="str">
        <x:v>2026-08-10</x:v>
      </x:c>
      <x:c r="L41" s="2" t="str">
        <x:v>包含所有评估所用的 ground-truth 需求-代码链接。</x:v>
      </x:c>
      <x:c r="M41" s="6" t="str">
        <x:v>p. 24; Data Availability Statement</x:v>
      </x:c>
      <x:c r="N41" s="6" t="str">
        <x:v>The ground-truth requirement–code links used for evaluation are available from the LiSSA replication materials [19].</x:v>
      </x:c>
      <x:c r="O41" s="6" t="str">
        <x:v>用于评估的标准真值链接来自 LiSSA 复制材料。</x:v>
      </x:c>
      <x:c r="P41" s="2" t="str">
        <x:v>Accepted</x:v>
      </x:c>
      <x:c r="Q41" s="6" t="str">
        <x:v>NR | LiSSA复现包(同S01) | 第三方基准数据集与真值,非本文发布</x:v>
      </x:c>
    </x:row>
    <x:row r="42" ht="76" customHeight="1">
      <x:c r="A42" s="2" t="str">
        <x:v>S40-RESOURCE-R04</x:v>
      </x:c>
      <x:c r="B42" s="2" t="str">
        <x:v>S40</x:v>
      </x:c>
      <x:c r="C42" s="2" t="str">
        <x:v>merged_1263</x:v>
      </x:c>
      <x:c r="D42" s="2" t="str">
        <x:v>Reviewer_A</x:v>
      </x:c>
      <x:c r="E42" s="2" t="str">
        <x:v>Reviewer_A</x:v>
      </x:c>
      <x:c r="F42" s="2" t="str">
        <x:v>S40-RES03</x:v>
      </x:c>
      <x:c r="G42" s="6" t="str">
        <x:v>Code</x:v>
      </x:c>
      <x:c r="H42" s="2" t="str">
        <x:v>DSDR experimental code and artifacts</x:v>
      </x:c>
      <x:c r="I42" s="2" t="str">
        <x:v>NR</x:v>
      </x:c>
      <x:c r="J42" s="2" t="str">
        <x:v>Request required</x:v>
      </x:c>
      <x:c r="K42" s="2" t="str">
        <x:v>2026-08-10</x:v>
      </x:c>
      <x:c r="L42" s="2" t="str">
        <x:v>本文开发的 DSDR 框架代码、处理后的中间数据及代码制品。</x:v>
      </x:c>
      <x:c r="M42" s="6" t="str">
        <x:v>p. 24; Data Availability Statement</x:v>
      </x:c>
      <x:c r="N42" s="6" t="str">
        <x:v>The experimental code, processed intermediate data, and code artifacts used in this study are available from the corresponding author upon reasonable request.</x:v>
      </x:c>
      <x:c r="O42" s="6" t="str">
        <x:v>DSDR 的实验代码需向通讯作者请求获取。</x:v>
      </x:c>
      <x:c r="P42" s="2" t="str">
        <x:v>Accepted</x:v>
      </x:c>
      <x:c r="Q42" s="6" t="str">
        <x:v>NR | on request(corresponding author)</x:v>
      </x:c>
    </x:row>
    <x:row r="43" ht="76" customHeight="1">
      <x:c r="A43" s="2" t="str">
        <x:v>S41-RESOURCE-R01</x:v>
      </x:c>
      <x:c r="B43" s="2" t="str">
        <x:v>S41</x:v>
      </x:c>
      <x:c r="C43" s="2" t="str">
        <x:v>merged_1264</x:v>
      </x:c>
      <x:c r="D43" s="2" t="str">
        <x:v>Reviewer_A</x:v>
      </x:c>
      <x:c r="E43" s="2" t="str">
        <x:v>Reviewer_A</x:v>
      </x:c>
      <x:c r="F43" s="2" t="str">
        <x:v>S41-RES01</x:v>
      </x:c>
      <x:c r="G43" s="6" t="str">
        <x:v>Replication package</x:v>
      </x:c>
      <x:c r="H43" s="2" t="str">
        <x:v>SELink code and dataset</x:v>
      </x:c>
      <x:c r="I43" s="2" t="str">
        <x:v>https://zenodo.org/records/17313282</x:v>
      </x:c>
      <x:c r="J43" s="2" t="str">
        <x:v>Public</x:v>
      </x:c>
      <x:c r="K43" s="2" t="str">
        <x:v>2026-08-10</x:v>
      </x:c>
      <x:c r="L43" s="2" t="str">
        <x:v>包含SELink框架的实现代码以及实验所用的完整数据集。</x:v>
      </x:c>
      <x:c r="M43" s="6" t="str">
        <x:v>p. 17; Data availability</x:v>
      </x:c>
      <x:c r="N43" s="6" t="str">
        <x:v>The code and dataset for SELink have been made publicly available on Zenodo at URL: https://zenodo.org/records/</x:v>
      </x:c>
      <x:c r="O43" s="6" t="str">
        <x:v>作者将代码与数据集公开在Zenodo上，便于复现和进一步研究。</x:v>
      </x:c>
      <x:c r="P43" s="2" t="str">
        <x:v>Accepted</x:v>
      </x:c>
      <x:c r="Q43" s="6" t="str">
        <x:v>NA</x:v>
      </x:c>
    </x:row>
    <x:row r="44" ht="76" customHeight="1">
      <x:c r="A44" s="2" t="str">
        <x:v>S42-RESOURCE-R01</x:v>
      </x:c>
      <x:c r="B44" s="2" t="str">
        <x:v>S42</x:v>
      </x:c>
      <x:c r="C44" s="2" t="str">
        <x:v>merged_1266</x:v>
      </x:c>
      <x:c r="D44" s="2" t="str">
        <x:v>Reviewer_A</x:v>
      </x:c>
      <x:c r="E44" s="2" t="str">
        <x:v>Reviewer_A</x:v>
      </x:c>
      <x:c r="F44" s="2" t="str">
        <x:v>S42-RES01</x:v>
      </x:c>
      <x:c r="G44" s="6" t="str">
        <x:v>Replication package</x:v>
      </x:c>
      <x:c r="H44" s="2" t="str">
        <x:v>Replication Package for "Requirements Traceability Link Recovery via Retrieval-Augmented Generation"</x:v>
      </x:c>
      <x:c r="I44" s="2" t="str">
        <x:v>https://doi.org/10.5281/zenodo.14779457</x:v>
      </x:c>
      <x:c r="J44" s="2" t="str">
        <x:v>Public</x:v>
      </x:c>
      <x:c r="K44" s="2" t="str">
        <x:v>2026-08-10</x:v>
      </x:c>
      <x:c r="L44" s="2" t="str">
        <x:v>包含代码、数据集、统计检验和结果，用于复现本研究。</x:v>
      </x:c>
      <x:c r="M44" s="6" t="str">
        <x:v>p. 13; Data Availability Statement</x:v>
      </x:c>
      <x:c r="N44" s="6" t="str">
        <x:v>The code, datasets, statistical tests, and results are publicly available in our replication package [18].</x:v>
      </x:c>
      <x:c r="O44" s="6" t="str">
        <x:v>提供了公开可用的复制包，包含代码、数据和结果。</x:v>
      </x:c>
      <x:c r="P44" s="2" t="str">
        <x:v>Accepted</x:v>
      </x:c>
      <x:c r="Q44" s="6" t="str">
        <x:v>NA</x:v>
      </x:c>
    </x:row>
    <x:row r="45" ht="76" customHeight="1">
      <x:c r="A45" s="2" t="str">
        <x:v>S43-RESOURCE-R01</x:v>
      </x:c>
      <x:c r="B45" s="2" t="str">
        <x:v>S43</x:v>
      </x:c>
      <x:c r="C45" s="2" t="str">
        <x:v>merged_1270</x:v>
      </x:c>
      <x:c r="D45" s="2" t="str">
        <x:v>Reviewer_A</x:v>
      </x:c>
      <x:c r="E45" s="2" t="str">
        <x:v>Reviewer_A</x:v>
      </x:c>
      <x:c r="F45" s="2" t="str">
        <x:v>S43-RES01</x:v>
      </x:c>
      <x:c r="G45" s="6" t="str">
        <x:v>Code</x:v>
      </x:c>
      <x:c r="H45" s="2" t="str">
        <x:v>HGTRTracer source code</x:v>
      </x:c>
      <x:c r="I45" s="2" t="str">
        <x:v>https://anonymous.4open.science/r/APSEC-5865/</x:v>
      </x:c>
      <x:c r="J45" s="2" t="str">
        <x:v>Public</x:v>
      </x:c>
      <x:c r="K45" s="2" t="str">
        <x:v>2026-08-10</x:v>
      </x:c>
      <x:c r="L45" s="2" t="str">
        <x:v>包含HGTRTracer实现代码和评估数据集的公开仓库。</x:v>
      </x:c>
      <x:c r="M45" s="6" t="str">
        <x:v>p. 10; Section VI. Threats to Validity, Internal Validity</x:v>
      </x:c>
      <x:c r="N45" s="6" t="str">
        <x:v>ifiability of our research, we have made the complete source code publicly available: https://anonymous.4open.science/r/</x:v>
      </x:c>
      <x:c r="O45" s="6" t="str">
        <x:v>研究提供的代码和数据复制包，用于复现实验。</x:v>
      </x:c>
      <x:c r="P45" s="2" t="str">
        <x:v>Accepted</x:v>
      </x:c>
      <x:c r="Q45" s="6" t="str">
        <x:v>NA</x:v>
      </x:c>
    </x:row>
    <x:row r="46" ht="76" customHeight="1">
      <x:c r="A46" s="2" t="str">
        <x:v>S44-RESOURCE-R01</x:v>
      </x:c>
      <x:c r="B46" s="2" t="str">
        <x:v>S44</x:v>
      </x:c>
      <x:c r="C46" s="2" t="str">
        <x:v>merged_1274</x:v>
      </x:c>
      <x:c r="D46" s="2" t="str">
        <x:v>Reviewer_A</x:v>
      </x:c>
      <x:c r="E46" s="2" t="str">
        <x:v>Reviewer_A</x:v>
      </x:c>
      <x:c r="F46" s="2" t="str">
        <x:v>S44-RES01</x:v>
      </x:c>
      <x:c r="G46" s="6" t="str">
        <x:v>Dataset</x:v>
      </x:c>
      <x:c r="H46" s="2" t="str">
        <x:v>iTrust, eTour, eANCI, SMOS (CoSET platform)</x:v>
      </x:c>
      <x:c r="I46" s="2" t="str">
        <x:v>http://sarec.nd.edu/coest/datasets.html</x:v>
      </x:c>
      <x:c r="J46" s="2" t="str">
        <x:v>Public</x:v>
      </x:c>
      <x:c r="K46" s="2" t="str">
        <x:v>2026-08-10</x:v>
      </x:c>
      <x:c r="L46" s="2" t="str">
        <x:v>用于评估需求到代码可追溯性链接恢复的四个基准数据集</x:v>
      </x:c>
      <x:c r="M46" s="6" t="str">
        <x:v>p. 4; Section III-A</x:v>
      </x:c>
      <x:c r="N46" s="6" t="str">
        <x:v>All datasets were obtained from the CoSET platform1 , a widely adopted source for requirements traceability research.</x:v>
      </x:c>
      <x:c r="O46" s="6" t="str">
        <x:v>论文使用了来自CoSET平台的四个公开数据集。</x:v>
      </x:c>
      <x:c r="P46" s="2" t="str">
        <x:v>Accepted</x:v>
      </x:c>
      <x:c r="Q46" s="6" t="str">
        <x:v>NA</x:v>
      </x:c>
    </x:row>
    <x:row r="47" ht="76" customHeight="1">
      <x:c r="A47" s="2" t="str">
        <x:v>S45-RESOURCE-R01</x:v>
      </x:c>
      <x:c r="B47" s="2" t="str">
        <x:v>S45</x:v>
      </x:c>
      <x:c r="C47" s="2" t="str">
        <x:v>merged_1275</x:v>
      </x:c>
      <x:c r="D47" s="2" t="str">
        <x:v>Reviewer_A</x:v>
      </x:c>
      <x:c r="E47" s="2" t="str">
        <x:v>Reviewer_A</x:v>
      </x:c>
      <x:c r="F47" s="2" t="str">
        <x:v>S45-RES01</x:v>
      </x:c>
      <x:c r="G47" s="6" t="str">
        <x:v>Replication package</x:v>
      </x:c>
      <x:c r="H47" s="2" t="str">
        <x:v>Case Study on ChatGPT for RE</x:v>
      </x:c>
      <x:c r="I47" s="2" t="str">
        <x:v>https://github.com/VibhaHippargi/CaseStudyonChatGPTforRE</x:v>
      </x:c>
      <x:c r="J47" s="2" t="str">
        <x:v>Public</x:v>
      </x:c>
      <x:c r="K47" s="2" t="str">
        <x:v>2026-08-10</x:v>
      </x:c>
      <x:c r="L47" s="2" t="str">
        <x:v>包含本研究使用的数据集、提示和回复，可复现案例研究。</x:v>
      </x:c>
      <x:c r="M47" s="6" t="str">
        <x:v>p. 5; section 4 Conclusion and Future Work</x:v>
      </x:c>
      <x:c r="N47" s="6" t="str">
        <x:v>Readers can refer to GitHub [3] for a detailed view of the prompts and responses, as well as to replicate the case studies.</x:v>
      </x:c>
      <x:c r="O47" s="6" t="str">
        <x:v>作者在GitHub上公开了复现包，提供了提示、响应和数据集，支持研究的可重复性。</x:v>
      </x:c>
      <x:c r="P47" s="2" t="str">
        <x:v>Accepted</x:v>
      </x:c>
      <x:c r="Q47" s="6" t="str">
        <x:v>NA</x:v>
      </x:c>
    </x:row>
    <x:row r="48" ht="76" customHeight="1">
      <x:c r="A48" s="2" t="str">
        <x:v>S46-RESOURCE-R01</x:v>
      </x:c>
      <x:c r="B48" s="2" t="str">
        <x:v>S46</x:v>
      </x:c>
      <x:c r="C48" s="2" t="str">
        <x:v>merged_1293</x:v>
      </x:c>
      <x:c r="D48" s="2" t="str">
        <x:v>Reviewer_A</x:v>
      </x:c>
      <x:c r="E48" s="2" t="str">
        <x:v>Reviewer_A</x:v>
      </x:c>
      <x:c r="F48" s="2" t="str">
        <x:v>S46-RES01</x:v>
      </x:c>
      <x:c r="G48" s="6" t="str">
        <x:v>Replication package</x:v>
      </x:c>
      <x:c r="H48" s="2" t="str">
        <x:v>Prompting</x:v>
      </x:c>
      <x:c r="I48" s="2" t="str">
        <x:v>NR</x:v>
      </x:c>
      <x:c r="J48" s="2" t="str">
        <x:v>NR</x:v>
      </x:c>
      <x:c r="K48" s="2" t="str">
        <x:v>2026-08-10</x:v>
      </x:c>
      <x:c r="L48" s="2" t="str">
        <x:v>包含五个AI模型在智能家居案例研究中结构化与非结构化提示的完整输出文本及详细分析。</x:v>
      </x:c>
      <x:c r="M48" s="6" t="str">
        <x:v>p. 10; paragraph after Figure 5</x:v>
      </x:c>
      <x:c r="N48" s="6" t="str">
        <x:v>plete transcripts and detailed analysis of the models are available in a GitHub repository.30</x:v>
      </x:c>
      <x:c r="O48" s="6" t="str">
        <x:v>作者在GitHub仓库中提供了完整的对话记录和分析，但未给出具体URL。</x:v>
      </x:c>
      <x:c r="P48" s="2" t="str">
        <x:v>Accepted</x:v>
      </x:c>
      <x:c r="Q48" s="6" t="str">
        <x:v>引用编号30，但参考文献中未提供URL | 论文提到GitHub repository但未给URL</x:v>
      </x:c>
    </x:row>
    <x:row r="49" ht="76" customHeight="1">
      <x:c r="A49" s="2" t="str">
        <x:v>S48-RESOURCE-R01</x:v>
      </x:c>
      <x:c r="B49" s="2" t="str">
        <x:v>S48</x:v>
      </x:c>
      <x:c r="C49" s="2" t="str">
        <x:v>merged_1441</x:v>
      </x:c>
      <x:c r="D49" s="2" t="str">
        <x:v>Reviewer_A</x:v>
      </x:c>
      <x:c r="E49" s="2" t="str">
        <x:v>Reviewer_A</x:v>
      </x:c>
      <x:c r="F49" s="2" t="str">
        <x:v>S48-RES01</x:v>
      </x:c>
      <x:c r="G49" s="6" t="str">
        <x:v>Replication package</x:v>
      </x:c>
      <x:c r="H49" s="2" t="str">
        <x:v>LHGLink replication package</x:v>
      </x:c>
      <x:c r="I49" s="2" t="str">
        <x:v>https://github.com/rain-so/LHGLink</x:v>
      </x:c>
      <x:c r="J49" s="2" t="str">
        <x:v>Public</x:v>
      </x:c>
      <x:c r="K49" s="2" t="str">
        <x:v>2026-08-10</x:v>
      </x:c>
      <x:c r="L49" s="2" t="str">
        <x:v>包含采集的数据集、框架完整实现、增强文本缓存、提示模板以及可复现脚本。</x:v>
      </x:c>
      <x:c r="M49" s="6" t="str">
        <x:v>p. 9; Section IV.B</x:v>
      </x:c>
      <x:c r="N49" s="6" t="str">
        <x:v>support reproducibility, the collected dataset and the complete implementation of our framework have been made publicly</x:v>
      </x:c>
      <x:c r="O49" s="6" t="str">
        <x:v>作者在GitHub上公开了复制包，包括数据集和完整代码，以支持结果复现。</x:v>
      </x:c>
      <x:c r="P49" s="2" t="str">
        <x:v>Accepted</x:v>
      </x:c>
      <x:c r="Q49" s="6" t="str">
        <x:v>NA</x:v>
      </x:c>
    </x:row>
    <x:row r="50" ht="76" customHeight="1">
      <x:c r="A50" s="2" t="str">
        <x:v>S49-RESOURCE-R01</x:v>
      </x:c>
      <x:c r="B50" s="2" t="str">
        <x:v>S49</x:v>
      </x:c>
      <x:c r="C50" s="2" t="str">
        <x:v>merged_1486</x:v>
      </x:c>
      <x:c r="D50" s="2" t="str">
        <x:v>Reviewer_A</x:v>
      </x:c>
      <x:c r="E50" s="2" t="str">
        <x:v>Reviewer_A</x:v>
      </x:c>
      <x:c r="F50" s="2" t="str">
        <x:v>S49-RES01</x:v>
      </x:c>
      <x:c r="G50" s="6" t="str">
        <x:v>Code</x:v>
      </x:c>
      <x:c r="H50" s="2" t="str">
        <x:v>GenAI4REtasks</x:v>
      </x:c>
      <x:c r="I50" s="2" t="str">
        <x:v>https://github.com/beatrizcabdan/GenAI4REtasks</x:v>
      </x:c>
      <x:c r="J50" s="2" t="str">
        <x:v>Public</x:v>
      </x:c>
      <x:c r="K50" s="2" t="str">
        <x:v>2026-08-10</x:v>
      </x:c>
      <x:c r="L50" s="2" t="str">
        <x:v>用于执行二分类和追踪任务的Python脚本</x:v>
      </x:c>
      <x:c r="M50" s="6" t="str">
        <x:v>p. 15; footnote</x:v>
      </x:c>
      <x:c r="N50" s="6" t="str">
        <x:v>1 https://github.com/beatrizcabdan/GenAI4REtasks</x:v>
      </x:c>
      <x:c r="O50" s="6" t="str">
        <x:v>作者提供的代码仓库，包含用于实验的Python脚本。</x:v>
      </x:c>
      <x:c r="P50" s="2" t="str">
        <x:v>Accepted</x:v>
      </x:c>
      <x:c r="Q50" s="6" t="str">
        <x:v>NA</x:v>
      </x:c>
    </x:row>
    <x:row r="51" ht="76" customHeight="1">
      <x:c r="A51" s="2" t="str">
        <x:v>S50-RESOURCE-R01</x:v>
      </x:c>
      <x:c r="B51" s="2" t="str">
        <x:v>S50</x:v>
      </x:c>
      <x:c r="C51" s="2" t="str">
        <x:v>snowball_00068</x:v>
      </x:c>
      <x:c r="D51" s="2" t="str">
        <x:v>Reviewer_A</x:v>
      </x:c>
      <x:c r="E51" s="2" t="str">
        <x:v>Reviewer_A</x:v>
      </x:c>
      <x:c r="F51" s="2" t="str">
        <x:v>S50-RES01</x:v>
      </x:c>
      <x:c r="G51" s="6" t="str">
        <x:v>Replication package</x:v>
      </x:c>
      <x:c r="H51" s="2" t="str">
        <x:v>Project code base and ontology</x:v>
      </x:c>
      <x:c r="I51" s="2" t="str">
        <x:v>NR</x:v>
      </x:c>
      <x:c r="J51" s="2" t="str">
        <x:v>Private</x:v>
      </x:c>
      <x:c r="K51" s="2" t="str">
        <x:v>2026-08-10</x:v>
      </x:c>
      <x:c r="L51" s="2" t="str">
        <x:v>包含实现框架的代码以及基于IEC 62443的本体，用于复现本文的全部实验。</x:v>
      </x:c>
      <x:c r="M51" s="6" t="str">
        <x:v>p. 9; Section IV.D</x:v>
      </x:c>
      <x:c r="N51" s="6" t="str">
        <x:v>of project’s financial provider, we are unable to present or publish the code base and ontology.</x:v>
      </x:c>
      <x:c r="O51" s="6" t="str">
        <x:v>作者明确声明代码和本体因资助方权益无法公开，故资源不可获取。</x:v>
      </x:c>
      <x:c r="P51" s="2" t="str">
        <x:v>Accepted</x:v>
      </x:c>
      <x:c r="Q51" s="6" t="str">
        <x:v>代码与本体不可公开(Private)</x:v>
      </x:c>
    </x:row>
    <x:row r="52" ht="76" customHeight="1">
      <x:c r="A52" s="2" t="str">
        <x:v>S51-RESOURCE-R01</x:v>
      </x:c>
      <x:c r="B52" s="2" t="str">
        <x:v>S51</x:v>
      </x:c>
      <x:c r="C52" s="2" t="str">
        <x:v>snowball_00085</x:v>
      </x:c>
      <x:c r="D52" s="2" t="str">
        <x:v>Reviewer_A</x:v>
      </x:c>
      <x:c r="E52" s="2" t="str">
        <x:v>Reviewer_A</x:v>
      </x:c>
      <x:c r="F52" s="2" t="str">
        <x:v>S51-RES01</x:v>
      </x:c>
      <x:c r="G52" s="6" t="str">
        <x:v>Replication package</x:v>
      </x:c>
      <x:c r="H52" s="2" t="str">
        <x:v>ONCON24_Requirements_Verification_by_LLM replication package</x:v>
      </x:c>
      <x:c r="I52" s="2" t="str">
        <x:v>https://github.com/lreinpold/ONCON24_Requirements_Verification_by_LLM</x:v>
      </x:c>
      <x:c r="J52" s="2" t="str">
        <x:v>Public</x:v>
      </x:c>
      <x:c r="K52" s="2" t="str">
        <x:v>2026-08-10</x:v>
      </x:c>
      <x:c r="L52" s="2" t="str">
        <x:v>包含实验代码、系统规格、需求、结果、SysML模型和OCL约束。</x:v>
      </x:c>
      <x:c r="M52" s="6" t="str">
        <x:v>p. 4; section III.B. Evaluation of Experiments</x:v>
      </x:c>
      <x:c r="N52" s="6" t="str">
        <x:v>All experimental materials including the code, system specifications, requirements, results, SysML models, and OCL constraints are available on Github</x:v>
      </x:c>
      <x:c r="O52" s="6" t="str">
        <x:v>作者公开了所有实验材料，可作为复制包。</x:v>
      </x:c>
      <x:c r="P52" s="2" t="str">
        <x:v>Accepted</x:v>
      </x:c>
      <x:c r="Q52" s="6" t="str">
        <x:v>NA</x:v>
      </x:c>
    </x:row>
    <x:row r="53" ht="76" customHeight="1">
      <x:c r="A53" s="2" t="str">
        <x:v>S52-RESOURCE-R01</x:v>
      </x:c>
      <x:c r="B53" s="2" t="str">
        <x:v>S52</x:v>
      </x:c>
      <x:c r="C53" s="2" t="str">
        <x:v>snowball_00095</x:v>
      </x:c>
      <x:c r="D53" s="2" t="str">
        <x:v>Reviewer_A</x:v>
      </x:c>
      <x:c r="E53" s="2" t="str">
        <x:v>Reviewer_A</x:v>
      </x:c>
      <x:c r="F53" s="2" t="str">
        <x:v>S52-RES01</x:v>
      </x:c>
      <x:c r="G53" s="6" t="str">
        <x:v>Supplementary material</x:v>
      </x:c>
      <x:c r="H53" s="2" t="str">
        <x:v>Supplementary materials for HGEN</x:v>
      </x:c>
      <x:c r="I53" s="2" t="str">
        <x:v>https://zenodo.org/records/11403244</x:v>
      </x:c>
      <x:c r="J53" s="2" t="str">
        <x:v>Public</x:v>
      </x:c>
      <x:c r="K53" s="2" t="str">
        <x:v>2026-08-10</x:v>
      </x:c>
      <x:c r="L53" s="2" t="str">
        <x:v>包含论文中所有研究材料，如生成的文档示例、评估数据、工具和补充信息。</x:v>
      </x:c>
      <x:c r="M53" s="6" t="str">
        <x:v>p. 1; Abstract</x:v>
      </x:c>
      <x:c r="N53" s="6" t="str">
        <x:v>Results and associated supplemental materials can be found at https://zenodo.org/records/11403244.</x:v>
      </x:c>
      <x:c r="O53" s="6" t="str">
        <x:v>论文提供了公开可访问的补充材料链接，包含研究结果和相关材料。</x:v>
      </x:c>
      <x:c r="P53" s="2" t="str">
        <x:v>Accepted</x:v>
      </x:c>
      <x:c r="Q53" s="6" t="str">
        <x:v>NA</x:v>
      </x:c>
    </x:row>
    <x:row r="54" ht="76" customHeight="1">
      <x:c r="A54" s="2" t="str">
        <x:v>S53-RESOURCE-R01</x:v>
      </x:c>
      <x:c r="B54" s="2" t="str">
        <x:v>S53</x:v>
      </x:c>
      <x:c r="C54" s="2" t="str">
        <x:v>merged_1229</x:v>
      </x:c>
      <x:c r="D54" s="2" t="str">
        <x:v>Reviewer_A</x:v>
      </x:c>
      <x:c r="E54" s="2" t="str">
        <x:v>Reviewer_A</x:v>
      </x:c>
      <x:c r="F54" s="2" t="str">
        <x:v>S53-RES01</x:v>
      </x:c>
      <x:c r="G54" s="6" t="str">
        <x:v>Replication package</x:v>
      </x:c>
      <x:c r="H54" s="2" t="str">
        <x:v>Evaluating-LLMs-for-Automated-Requirement-and-Test-Case-Generation-in-Railway-Signaling-Systems</x:v>
      </x:c>
      <x:c r="I54" s="2" t="str">
        <x:v>https://github.com/Ionut-Gabriel-Otelea/Evaluating-LLMs-for-Automated-Requirement-and-Test-Case-Generation-in-Railway-Signaling-Systems</x:v>
      </x:c>
      <x:c r="J54" s="2" t="str">
        <x:v>Availability stated by the article; repository contents not independently checked in this reassessment.</x:v>
      </x:c>
      <x:c r="K54" s="2" t="str">
        <x:v>2026-08-10</x:v>
      </x:c>
      <x:c r="L54" s="2" t="str">
        <x:v>Prompts and experimental artifacts</x:v>
      </x:c>
      <x:c r="M54" s="6" t="str">
        <x:v>p. 6; Reference [14]</x:v>
      </x:c>
      <x:c r="N54" s="6" t="str">
        <x:v>Supporting materials and experiments for the paper on evaluating large language models</x:v>
      </x:c>
      <x:c r="O54" s="6" t="str">
        <x:v>The paper cites a public GitHub repository for its supporting materials.</x:v>
      </x:c>
      <x:c r="P54" s="2" t="str">
        <x:v>Accepted</x:v>
      </x:c>
      <x:c r="Q54" s="6" t="str">
        <x:v>R1 manual full-text extraction checked and confirmed on 2026-07-29.</x:v>
      </x:c>
    </x:row>
    <x:row r="55" ht="76" customHeight="1">
      <x:c r="A55" s="2" t="str">
        <x:v>G2-RCR-R01</x:v>
      </x:c>
      <x:c r="B55" s="2" t="str">
        <x:v>G2</x:v>
      </x:c>
      <x:c r="C55" s="2" t="str">
        <x:v>v1</x:v>
      </x:c>
      <x:c r="D55" s="2" t="str">
        <x:v>Reviewer_A</x:v>
      </x:c>
      <x:c r="E55" s="2" t="str">
        <x:v>Reviewer_A</x:v>
      </x:c>
      <x:c r="F55" s="2" t="str">
        <x:v>G2-RC01</x:v>
      </x:c>
      <x:c r="G55" s="6" t="str">
        <x:v>Tool</x:v>
      </x:c>
      <x:c r="H55" s="2" t="str">
        <x:v>Verisian demo platform ; Verisian website and community</x:v>
      </x:c>
      <x:c r="I55" s="2" t="str">
        <x:v>https://www.verisian.com/ ; https://www.verisian.com/community</x:v>
      </x:c>
      <x:c r="J55" s="2" t="str">
        <x:v>Public</x:v>
      </x:c>
      <x:c r="K55" s="2" t="str">
        <x:v>2026-10-15</x:v>
      </x:c>
      <x:c r="L55" s="2" t="str">
        <x:v>the vendor platform and its community site; no code, dataset or prompt is offered</x:v>
      </x:c>
      <x:c r="M55" s="6" t="str">
        <x:v>G2_video_page.png (title, speaker and affiliation slide, channel, view count, likes) ; G2_page_description.png (page date, speaker attribution, description text, links) ; [00:59] ; [07:19] ; [07:32] ; [09:38] ; [10:14] ; [12:17] ; [12:24] ; [14:08] ; [17:39] ; [21:09] ; [26:46] ; [32:49] ; [37:01] ; [38:58] ; [39:01] ; [39:17] ; [40:47] </x:v>
      </x:c>
      <x:c r="N55" s="6" t="str">
        <x:v>we will show you which data sets are required to produce this output</x:v>
      </x:c>
      <x:c r="O55" s="6" t="str">
        <x:v>The links point at the product and its community rather than at a package that could be rerun.</x:v>
      </x:c>
      <x:c r="P55" s="2" t="str">
        <x:v>Accepted</x:v>
      </x:c>
      <x:c r="Q55" s="6" t="str">
        <x:v>NR</x:v>
      </x:c>
    </x:row>
    <x:row r="56" ht="76" customHeight="1">
      <x:c r="A56" s="2" t="str">
        <x:v>G4-RCR-R01</x:v>
      </x:c>
      <x:c r="B56" s="2" t="str">
        <x:v>G4</x:v>
      </x:c>
      <x:c r="C56" s="2" t="str">
        <x:v>v1</x:v>
      </x:c>
      <x:c r="D56" s="2" t="str">
        <x:v>Reviewer_A</x:v>
      </x:c>
      <x:c r="E56" s="2" t="str">
        <x:v>Reviewer_A</x:v>
      </x:c>
      <x:c r="F56" s="2" t="str">
        <x:v>G4-RC01</x:v>
      </x:c>
      <x:c r="G56" s="6" t="str">
        <x:v>Supplementary material</x:v>
      </x:c>
      <x:c r="H56" s="2" t="str">
        <x:v>Watch: AI-Powered Requirements-Based Testing in VectorCAST (recorded webinar)</x:v>
      </x:c>
      <x:c r="I56" s="2" t="str">
        <x:v>https://www.vector.com/en/product/vectorcast/vectorcast-ai/</x:v>
      </x:c>
      <x:c r="J56" s="2" t="str">
        <x:v>Public</x:v>
      </x:c>
      <x:c r="K56" s="2" t="str">
        <x:v>2026-10-15</x:v>
      </x:c>
      <x:c r="L56" s="2" t="str">
        <x:v>a recorded webinar offered from the product page; no data, prompt or case material</x:v>
      </x:c>
      <x:c r="M56"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N56" s="6" t="str">
        <x:v>Watch: AI-Powered Requirements-Based Testing in VectorCAST (recorded webinar)</x:v>
      </x:c>
      <x:c r="O56" s="6" t="str">
        <x:v>The only additional material is a recorded session, which documents the capability rather than enabling replication.</x:v>
      </x:c>
      <x:c r="P56" s="2" t="str">
        <x:v>Accepted</x:v>
      </x:c>
      <x:c r="Q56" s="6" t="str">
        <x:v>NR</x:v>
      </x:c>
    </x:row>
    <x:row r="57" ht="76" customHeight="1">
      <x:c r="A57" s="2" t="str">
        <x:v>G7-RCR-R01</x:v>
      </x:c>
      <x:c r="B57" s="2" t="str">
        <x:v>G7</x:v>
      </x:c>
      <x:c r="C57" s="2" t="str">
        <x:v>v1</x:v>
      </x:c>
      <x:c r="D57" s="2" t="str">
        <x:v>Reviewer_A</x:v>
      </x:c>
      <x:c r="E57" s="2" t="str">
        <x:v>Reviewer_A</x:v>
      </x:c>
      <x:c r="F57" s="2" t="str">
        <x:v>G7-RC01</x:v>
      </x:c>
      <x:c r="G57" s="6" t="str">
        <x:v>Tool</x:v>
      </x:c>
      <x:c r="H57" s="2" t="str">
        <x:v>Pharaoh agentic framework under the MIT licence ; ubiCode VS Code extension with MCP and command-line interface ; Sphinx-Needs demo project with ASPICE-related content</x:v>
      </x:c>
      <x:c r="I57" s="2" t="str">
        <x:v>https://www.ocxconf.org/</x:v>
      </x:c>
      <x:c r="J57" s="2" t="str">
        <x:v>Public</x:v>
      </x:c>
      <x:c r="K57" s="2" t="str">
        <x:v>2026-10-15</x:v>
      </x:c>
      <x:c r="L57" s="2" t="str">
        <x:v>the conference site is the only link recorded in the material; the project and agent links appear on slides rather than in the description</x:v>
      </x:c>
      <x:c r="M57"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N57" s="6" t="str">
        <x:v>the demo project link and the agent model appear on slides rather than in the description, so only the conference site is recorded as a resource link</x:v>
      </x:c>
      <x:c r="O57" s="6" t="str">
        <x:v>A framework and a demo project are named, but the recorded link is the event page, so the resources cannot be reached from the material alone.</x:v>
      </x:c>
      <x:c r="P57" s="2" t="str">
        <x:v>Accepted</x:v>
      </x:c>
      <x:c r="Q57" s="6" t="str">
        <x:v>NR</x:v>
      </x:c>
    </x:row>
    <x:row r="58" ht="76" customHeight="1">
      <x:c r="A58" s="2" t="str">
        <x:v>G8-RCR-R01</x:v>
      </x:c>
      <x:c r="B58" s="2" t="str">
        <x:v>G8</x:v>
      </x:c>
      <x:c r="C58" s="2" t="str">
        <x:v>v1</x:v>
      </x:c>
      <x:c r="D58" s="2" t="str">
        <x:v>Reviewer_A</x:v>
      </x:c>
      <x:c r="E58" s="2" t="str">
        <x:v>Reviewer_A</x:v>
      </x:c>
      <x:c r="F58" s="2" t="str">
        <x:v>G8-RC01</x:v>
      </x:c>
      <x:c r="G58" s="6" t="str">
        <x:v>Other</x:v>
      </x:c>
      <x:c r="H58" s="2" t="str">
        <x:v>NR</x:v>
      </x:c>
      <x:c r="I58" s="2" t="str">
        <x:v>NR</x:v>
      </x:c>
      <x:c r="J58" s="2" t="str">
        <x:v>Private</x:v>
      </x:c>
      <x:c r="K58" s="2" t="str">
        <x:v>2026-10-15</x:v>
      </x:c>
      <x:c r="L58" s="2" t="str">
        <x:v>no code, data or prompt is offered; the demonstrated instance is private</x:v>
      </x:c>
      <x:c r="M58"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N58" s="6" t="str">
        <x:v>leaving gaps blank instead of hallucinating missing information</x:v>
      </x:c>
      <x:c r="O58" s="6" t="str">
        <x:v>The material offers no artefact at all, which is recorded as a private access note rather than as a missing link.</x:v>
      </x:c>
      <x:c r="P58" s="2" t="str">
        <x:v>Accepted</x:v>
      </x:c>
      <x:c r="Q58" s="6" t="str">
        <x:v>NR</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20" hidden="0" customWidth="1"/>
    <x:col min="4" max="4" width="19"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52" hidden="0" customWidth="1"/>
    <x:col min="14" max="14" width="52" hidden="0" customWidth="1"/>
    <x:col min="15" max="15" width="52" hidden="0" customWidth="1"/>
    <x:col min="16" max="16" width="52" hidden="0" customWidth="1"/>
    <x:col min="17" max="17" width="52" hidden="0" customWidth="1"/>
    <x:col min="18" max="18" width="52" hidden="0" customWidth="1"/>
    <x:col min="19" max="19" width="52" hidden="0" customWidth="1"/>
    <x:col min="20" max="20" width="52" hidden="0" customWidth="1"/>
    <x:col min="21" max="21" width="20" hidden="0" customWidth="1"/>
    <x:col min="22" max="22" width="20" hidden="0" customWidth="1"/>
    <x:col min="23" max="23" width="20" hidden="0" customWidth="1"/>
    <x:col min="24" max="24" width="20" hidden="0" customWidth="1"/>
    <x:col min="25" max="25" width="20" hidden="0" customWidth="1"/>
    <x:col min="26" max="26" width="52" hidden="0" customWidth="1"/>
  </x:cols>
  <x:sheetData>
    <x:row r="1" ht="38" customHeight="1">
      <x:c r="A1" s="5" t="str">
        <x:v>study_id</x:v>
      </x:c>
      <x:c r="B1" s="5" t="str">
        <x:v>version_id</x:v>
      </x:c>
      <x:c r="C1" s="5" t="str">
        <x:v>review_stage</x:v>
      </x:c>
      <x:c r="D1" s="5" t="str">
        <x:v>reviewer_id</x:v>
      </x:c>
      <x:c r="E1" s="5" t="str">
        <x:v>QA1_score</x:v>
      </x:c>
      <x:c r="F1" s="5" t="str">
        <x:v>QA2_score</x:v>
      </x:c>
      <x:c r="G1" s="5" t="str">
        <x:v>QA3_score</x:v>
      </x:c>
      <x:c r="H1" s="5" t="str">
        <x:v>QA4_score</x:v>
      </x:c>
      <x:c r="I1" s="5" t="str">
        <x:v>QA5_score</x:v>
      </x:c>
      <x:c r="J1" s="5" t="str">
        <x:v>QA6_score</x:v>
      </x:c>
      <x:c r="K1" s="5" t="str">
        <x:v>QA7_score</x:v>
      </x:c>
      <x:c r="L1" s="5" t="str">
        <x:v>QA8_score</x:v>
      </x:c>
      <x:c r="M1" s="5" t="str">
        <x:v>QA1_evidence</x:v>
      </x:c>
      <x:c r="N1" s="5" t="str">
        <x:v>QA2_evidence</x:v>
      </x:c>
      <x:c r="O1" s="5" t="str">
        <x:v>QA3_evidence</x:v>
      </x:c>
      <x:c r="P1" s="5" t="str">
        <x:v>QA4_evidence</x:v>
      </x:c>
      <x:c r="Q1" s="5" t="str">
        <x:v>QA5_evidence</x:v>
      </x:c>
      <x:c r="R1" s="5" t="str">
        <x:v>QA6_evidence</x:v>
      </x:c>
      <x:c r="S1" s="5" t="str">
        <x:v>QA7_evidence</x:v>
      </x:c>
      <x:c r="T1" s="5" t="str">
        <x:v>QA8_evidence</x:v>
      </x:c>
      <x:c r="U1" s="5" t="str">
        <x:v>QA_score</x:v>
      </x:c>
      <x:c r="V1" s="5" t="str">
        <x:v>calculated_decision</x:v>
      </x:c>
      <x:c r="W1" s="5" t="str">
        <x:v>final_decision</x:v>
      </x:c>
      <x:c r="X1" s="5" t="str">
        <x:v>exclusion_reason</x:v>
      </x:c>
      <x:c r="Y1" s="5" t="str">
        <x:v>review_date</x:v>
      </x:c>
      <x:c r="Z1" s="5" t="str">
        <x:v>notes</x:v>
      </x:c>
    </x:row>
    <x:row r="2" ht="76" customHeight="1">
      <x:c r="A2" s="2" t="str">
        <x:v>S01</x:v>
      </x:c>
      <x:c r="B2" s="2" t="str">
        <x:v>merged_0002</x:v>
      </x:c>
      <x:c r="C2" s="2" t="str">
        <x:v>Reviewer_A</x:v>
      </x:c>
      <x:c r="D2" s="2" t="str">
        <x:v>Reviewer_A</x:v>
      </x:c>
      <x:c r="E2" s="2" t="n">
        <x:v>1</x:v>
      </x:c>
      <x:c r="F2" s="2" t="n">
        <x:v>1</x:v>
      </x:c>
      <x:c r="G2" s="2" t="n">
        <x:v>1</x:v>
      </x:c>
      <x:c r="H2" s="2" t="n">
        <x:v>1</x:v>
      </x:c>
      <x:c r="I2" s="2" t="n">
        <x:v>1</x:v>
      </x:c>
      <x:c r="J2" s="2" t="n">
        <x:v>1</x:v>
      </x:c>
      <x:c r="K2" s="2" t="n">
        <x:v>1</x:v>
      </x:c>
      <x:c r="L2" s="2" t="n">
        <x:v>1</x:v>
      </x:c>
      <x:c r="M2" s="6" t="str">
        <x:v>Location: page 1, Introduction; page 2, RQ1-RQ4
Rationale: Four explicit research questions (RQ1–RQ4) are clearly stated, and the overall goal of evaluating RAG-based TLR is well-defined.
Verbatim excerpt: NR (not stored separately in the source QA file)</x:v>
      </x:c>
      <x:c r="N2" s="6" t="str">
        <x:v>Location: pages 3-5, Section III
Rationale: The LiSSA approach is described in detail, including preprocessing, embedding, retrieval, prompting (with exact templates), and aggregation; sufficient to replicate the method.
Verbatim excerpt: NR (not stored separately in the source QA file)</x:v>
      </x:c>
      <x:c r="O2" s="6" t="str">
        <x:v>Location: pages 6-7, Section IV-A, Tables I, II
Rationale: Datasets, artifact counts, languages, trace link ground truth, and project domains are fully specified.
Verbatim excerpt: NR (not stored separately in the source QA file)</x:v>
      </x:c>
      <x:c r="P2" s="6" t="str">
        <x:v>Location: pages 7-8, Sections IV-B, IV-C, IV-E
Rationale: Evaluation uses standard TLR metrics (precision, recall, F₁, F₂), Wilcoxon signed‑rank tests, and comparisons against multiple state‑of‑the‑art baselines, matching the research objectives.
Verbatim excerpt: NR (not stored separately in the source QA file)</x:v>
      </x:c>
      <x:c r="Q2" s="6" t="str">
        <x:v>Location: pages 5 and 7, Sections III-C and IV-D
Rationale: Exact LLM model versions (gpt-4o-2024-05-13, gpt-4o-mini-2024-07-18), embedding model (text-embedding-3-large), prompt templates, temperature (0), and top‑k retrieval (k=20/10) are reported.
Verbatim excerpt: NR (not stored separately in the source QA file)</x:v>
      </x:c>
      <x:c r="R2" s="6" t="str">
        <x:v>Location: pages 8-11, Section IV-F, Tables III-VII
Rationale: All main results are presented with precision, recall, F₁, F₂, aggregated averages, weighted averages, and statistical significance p‑values; challenges are discussed.
Verbatim excerpt: NR (not stored separately in the source QA file)</x:v>
      </x:c>
      <x:c r="S2" s="6" t="str">
        <x:v>Location: pages 11, Sections V and VI
Rationale: Conclusions are directly supported by the results, limitations (e.g., poor retrieval on large projects, lack of full practical applicability) are explicitly acknowledged, and future work is outlined.
Verbatim excerpt: NR (not stored separately in the source QA file)</x:v>
      </x:c>
      <x:c r="T2" s="6" t="str">
        <x:v>Location: page 1, Contribution C1; page 7, mention of replication package
Rationale: The authors provide a publicly available replication package containing code, datasets, prompts, and results; prompt templates are included in the paper.
Verbatim excerpt: NR (not stored separately in the source QA file)</x:v>
      </x:c>
      <x:c r="U2" s="2" t="n">
        <x:f>IF(COUNT(E2:L2)=0,"",AVERAGE(E2:L2))</x:f>
        <x:v>1</x:v>
      </x:c>
      <x:c r="V2" s="2" t="str">
        <x:f>IF(U2="","",IF(U2&lt;0.5,"QA_EXCLUDE_FORMAL",IF(U2=0.5,"QA_INCLUDE_WEAK","QA_INCLUDE_STANDARD")))</x:f>
        <x:v>QA_INCLUDE_STANDARD</x:v>
      </x:c>
      <x:c r="W2" s="2" t="str">
        <x:v>QA_INCLUDE_STANDARD</x:v>
      </x:c>
      <x:c r="X2" s="2" t="str">
        <x:v>NA</x:v>
      </x:c>
      <x:c r="Y2" s="2" t="str">
        <x:v>2026-07-25 00:00:00</x:v>
      </x:c>
      <x:c r="Z2" s="6" t="str">
        <x:v>Title: LiSSA: Toward Generic Traceability Link Recovery Through Retrieval- Augmented Generation
Source reviewer: 第一作者
Reviewer A decision: QA_INCLUDE; evidence status: STANDARD_EVIDENCE
Decision rationale: QA_score=1.0000&gt;0.50，第一作者判定保留。
Source record_id: merged_0002; reviewed_at: Sat Jul 25 2026 03:34:50 GMT+0800 (China Standard Time)</x:v>
      </x:c>
    </x:row>
    <x:row r="3" ht="76" customHeight="1">
      <x:c r="A3" s="2" t="str">
        <x:v>S02</x:v>
      </x:c>
      <x:c r="B3" s="2" t="str">
        <x:v>merged_0007</x:v>
      </x:c>
      <x:c r="C3" s="2" t="str">
        <x:v>Reviewer_A</x:v>
      </x:c>
      <x:c r="D3" s="2" t="str">
        <x:v>Reviewer_A</x:v>
      </x:c>
      <x:c r="E3" s="2" t="n">
        <x:v>1</x:v>
      </x:c>
      <x:c r="F3" s="2" t="n">
        <x:v>1</x:v>
      </x:c>
      <x:c r="G3" s="2" t="n">
        <x:v>1</x:v>
      </x:c>
      <x:c r="H3" s="2" t="n">
        <x:v>1</x:v>
      </x:c>
      <x:c r="I3" s="2" t="n">
        <x:v>1</x:v>
      </x:c>
      <x:c r="J3" s="2" t="n">
        <x:v>1</x:v>
      </x:c>
      <x:c r="K3" s="2" t="n">
        <x:v>1</x:v>
      </x:c>
      <x:c r="L3" s="2" t="n">
        <x:v>1</x:v>
      </x:c>
      <x:c r="M3" s="6" t="str">
        <x:v>Location: Pages 2-3
Rationale: Research questions RQ1.1–RQ1.4 and RQ2.1–RQ2.2 are explicitly stated with clear scope regarding performance comparisons and component generation.
Verbatim excerpt: NR (not stored separately in the source QA file)</x:v>
      </x:c>
      <x:c r="N3" s="6" t="str">
        <x:v>Location: Sections 3 and 4
Rationale: Methods ExArch and ArTEMiS are described in detail, including prompting strategies, feature extraction, aggregation, and matching steps, enabling replication.
Verbatim excerpt: NR (not stored separately in the source QA file)</x:v>
      </x:c>
      <x:c r="O3" s="6" t="str">
        <x:v>Location: Section 5.1, Pages 9-10
Rationale: Dataset consists of five open-source projects with sizes, artifact counts, and gold standard link counts provided; context is clearly described.
Verbatim excerpt: NR (not stored separately in the source QA file)</x:v>
      </x:c>
      <x:c r="P3" s="6" t="str">
        <x:v>Location: Section 5
Rationale: Evaluation uses gold-standard comparisons, standard metrics (precision, recall, F1), appropriate baselines, and statistical significance tests, aligning with research goals.
Verbatim excerpt: NR (not stored separately in the source QA file)</x:v>
      </x:c>
      <x:c r="Q3" s="6" t="str">
        <x:v>Location: Pages 6-7, 21
Rationale: LLM models listed; prompts described in text (Prompts 1–4 for ExArch) and appendices referenced for ArTEMiS; key settings (temperature=0, fixed seed) reported.
Verbatim excerpt: NR (not stored separately in the source QA file)</x:v>
      </x:c>
      <x:c r="R3" s="6" t="str">
        <x:v>Location: Sections 5.3-5.4
Rationale: Results are fully reported with tables of precision/recall/F1 across projects, averages, weighted averages, standard deviations, significance tests, and error analysis.
Verbatim excerpt: NR (not stored separately in the source QA file)</x:v>
      </x:c>
      <x:c r="S3" s="6" t="str">
        <x:v>Location: Pages 21-22
Rationale: Conclusions directly address research questions; threats to validity section discusses construct, internal, external, and reliability concerns.
Verbatim excerpt: NR (not stored separately in the source QA file)</x:v>
      </x:c>
      <x:c r="T3" s="6" t="str">
        <x:v>Location: Pages 3, 21
Rationale: Replication packages with code, prompts, data, and LLM responses are provided and cited; no conflict of interest statement found, but materials disclosure is sufficient.
Verbatim excerpt: NR (not stored separately in the source QA file)</x:v>
      </x:c>
      <x:c r="U3" s="2" t="n">
        <x:f>IF(COUNT(E3:L3)=0,"",AVERAGE(E3:L3))</x:f>
        <x:v>1</x:v>
      </x:c>
      <x:c r="V3" s="2" t="str">
        <x:f>IF(U3="","",IF(U3&lt;0.5,"QA_EXCLUDE_FORMAL",IF(U3=0.5,"QA_INCLUDE_WEAK","QA_INCLUDE_STANDARD")))</x:f>
        <x:v>QA_INCLUDE_STANDARD</x:v>
      </x:c>
      <x:c r="W3" s="2" t="str">
        <x:v>QA_INCLUDE_STANDARD</x:v>
      </x:c>
      <x:c r="X3" s="2" t="str">
        <x:v>NA</x:v>
      </x:c>
      <x:c r="Y3" s="2" t="str">
        <x:v>2026-07-25 00:00:00</x:v>
      </x:c>
      <x:c r="Z3" s="6" t="str">
        <x:v>Title: Who's Who? LLM-assisted Software Traceability with Architecture Entity Recognition
Source reviewer: 第一作者
Reviewer A decision: QA_INCLUDE; evidence status: STANDARD_EVIDENCE
Decision rationale: QA_score=1.0000&gt;0.50，第一作者判定保留。
Source record_id: merged_0007; reviewed_at: Sat Jul 25 2026 03:36:14 GMT+0800 (China Standard Time)</x:v>
      </x:c>
    </x:row>
    <x:row r="4" ht="76" customHeight="1">
      <x:c r="A4" s="2" t="str">
        <x:v>S03</x:v>
      </x:c>
      <x:c r="B4" s="2" t="str">
        <x:v>merged_0014</x:v>
      </x:c>
      <x:c r="C4" s="2" t="str">
        <x:v>Reviewer_A</x:v>
      </x:c>
      <x:c r="D4" s="2" t="str">
        <x:v>Reviewer_A</x:v>
      </x:c>
      <x:c r="E4" s="2" t="n">
        <x:v>1</x:v>
      </x:c>
      <x:c r="F4" s="2" t="n">
        <x:v>1</x:v>
      </x:c>
      <x:c r="G4" s="2" t="n">
        <x:v>1</x:v>
      </x:c>
      <x:c r="H4" s="2" t="n">
        <x:v>1</x:v>
      </x:c>
      <x:c r="I4" s="2" t="n">
        <x:v>0.5</x:v>
      </x:c>
      <x:c r="J4" s="2" t="n">
        <x:v>0.5</x:v>
      </x:c>
      <x:c r="K4" s="2" t="n">
        <x:v>1</x:v>
      </x:c>
      <x:c r="L4" s="2" t="n">
        <x:v>0.5</x:v>
      </x:c>
      <x:c r="M4" s="6" t="str">
        <x:v>Location: 摘要/第3节开头
Rationale: 目标明确：'Our objective is to match application classes with a given service descriptions from an enterprise-specific domain models.' 研究问题清晰。
Verbatim excerpt: NR (not stored separately in the source QA file)</x:v>
      </x:c>
      <x:c r="N4" s="6" t="str">
        <x:v>Location: 第3节/第4节
Rationale: 方法按步骤详述（A-F），实现细节包括所用模型与工具，足以复述流程。
Verbatim excerpt: NR (not stored separately in the source QA file)</x:v>
      </x:c>
      <x:c r="O4" s="6" t="str">
        <x:v>Location: 第5.1节
Rationale: 明确描述数据集：JAllInOne应用40个类、18个领域服务，14个有真值匹配，来源与情境完整。
Verbatim excerpt: NR (not stored separately in the source QA file)</x:v>
      </x:c>
      <x:c r="P4" s="6" t="str">
        <x:v>Location: 第5.2节
Rationale: 评价设计包括基线比较、消融实验、优化对比及专家反馈，使用标准指标，真值来自文献[11]，与目标匹配。
Verbatim excerpt: NR (not stored separately in the source QA file)</x:v>
      </x:c>
      <x:c r="Q4" s="6" t="str">
        <x:v>Location: 第3节C部分/第5.2节
Rationale: 报告了模型（GPT-5 Nano）、温度、API版本，但提示设计因篇幅未完整给出，复现关键细节不足。
Verbatim excerpt: NR (not stored separately in the source QA file)</x:v>
      </x:c>
      <x:c r="R4" s="6" t="str">
        <x:v>Location: 第5.3节/表1/图2
Rationale: 提供主要结果和平均值，但未报告实验重复、误差或统计显著性，分析有限。
Verbatim excerpt: NR (not stored separately in the source QA file)</x:v>
      </x:c>
      <x:c r="S4" s="6" t="str">
        <x:v>Location: 第6节/第5.4节
Rationale: 结论由结果支持，并明确列出数据集大小、优化器扩展性、真值主观性等局限。
Verbatim excerpt: NR (not stored separately in the source QA file)</x:v>
      </x:c>
      <x:c r="T4" s="6" t="str">
        <x:v>Location: 参考文献/第3节
Rationale: 公开数据集可访问，但代码和完整提示未提供；利益关系未声明，但方法描述部分补偿，透明度不足。
Verbatim excerpt: NR (not stored separately in the source QA file)</x:v>
      </x:c>
      <x:c r="U4" s="2" t="n">
        <x:f>IF(COUNT(E4:L4)=0,"",AVERAGE(E4:L4))</x:f>
        <x:v>0.8125</x:v>
      </x:c>
      <x:c r="V4" s="2" t="str">
        <x:f>IF(U4="","",IF(U4&lt;0.5,"QA_EXCLUDE_FORMAL",IF(U4=0.5,"QA_INCLUDE_WEAK","QA_INCLUDE_STANDARD")))</x:f>
        <x:v>QA_INCLUDE_STANDARD</x:v>
      </x:c>
      <x:c r="W4" s="2" t="str">
        <x:v>QA_INCLUDE_STANDARD</x:v>
      </x:c>
      <x:c r="X4" s="2" t="str">
        <x:v>NA</x:v>
      </x:c>
      <x:c r="Y4" s="2" t="str">
        <x:v>2026-07-25 00:00:00</x:v>
      </x:c>
      <x:c r="Z4" s="6" t="str">
        <x:v>Title: Tracing Domain Services in Application Code using Generative AI
Source reviewer: 第一作者
Reviewer A decision: QA_INCLUDE; evidence status: STANDARD_EVIDENCE
Decision rationale: QA_score=0.8125&gt;0.50，第一作者判定保留。
Source record_id: merged_0014; reviewed_at: Sat Jul 25 2026 03:36:09 GMT+0800 (China Standard Time)</x:v>
      </x:c>
    </x:row>
    <x:row r="5" ht="76" customHeight="1">
      <x:c r="A5" s="2" t="str">
        <x:v>S04</x:v>
      </x:c>
      <x:c r="B5" s="2" t="str">
        <x:v>merged_0075</x:v>
      </x:c>
      <x:c r="C5" s="2" t="str">
        <x:v>Reviewer_A</x:v>
      </x:c>
      <x:c r="D5" s="2" t="str">
        <x:v>Reviewer_A</x:v>
      </x:c>
      <x:c r="E5" s="2" t="n">
        <x:v>1</x:v>
      </x:c>
      <x:c r="F5" s="2" t="n">
        <x:v>0.5</x:v>
      </x:c>
      <x:c r="G5" s="2" t="n">
        <x:v>0.5</x:v>
      </x:c>
      <x:c r="H5" s="2" t="n">
        <x:v>0.5</x:v>
      </x:c>
      <x:c r="I5" s="2" t="n">
        <x:v>0.5</x:v>
      </x:c>
      <x:c r="J5" s="2" t="n">
        <x:v>0.5</x:v>
      </x:c>
      <x:c r="K5" s="2" t="n">
        <x:v>1</x:v>
      </x:c>
      <x:c r="L5" s="2" t="n">
        <x:v>0.5</x:v>
      </x:c>
      <x:c r="M5" s="6" t="str">
        <x:v>Location: 第1页摘要
Rationale: 摘要明确说明：“In this paper, we propose an LLM-based approach to generate security-related traceability links between requirements (expressed in natural language) and goals (described as part of GRL models).” 研究目标清晰。
Verbatim excerpt: NR (not stored separately in the source QA file)</x:v>
      </x:c>
      <x:c r="N5" s="6" t="str">
        <x:v>Location: 第4节，第5页
Rationale: 方法主要步骤（零样本GPT-3.5-turbo，提示设计，原型工具）描述清楚，提示结构在Fig.5展示，但缺少API调用方式、输出解析等实现细节，无法完全复述。
Verbatim excerpt: NR (not stored separately in the source QA file)</x:v>
      </x:c>
      <x:c r="O5" s="6" t="str">
        <x:v>Location: 第5.1节，第5页
Rationale: 明确给出一个GRL模型（包含37个意图元素）和42条需求，来源为本科生课程项目，但未解释选择该案例的依据，且仅单一案例，对象与情境信息基本完整但选择理由不足。
Verbatim excerpt: NR (not stored separately in the source QA file)</x:v>
      </x:c>
      <x:c r="P5" s="6" t="str">
        <x:v>Location: 第5.2-5.3节，第5-7页
Rationale: 采用精度、召回、F1评价，定义了TP/FP/FN，但未说明真值集的构建过程（如人工标注方法、标注者数量、一致性等），仅声明“All these links are present in reality”，真值可靠性存疑，评价设计与目标部分匹配。
Verbatim excerpt: NR (not stored separately in the source QA file)</x:v>
      </x:c>
      <x:c r="Q5" s="6" t="str">
        <x:v>Location: 第4节，第5页
Rationale: 报告了模型为GPT-3.5-turbo、温度=0.2、提示全文，但未提供模型具体版本、API参数（如top_p）或复现所需的其他关键设置。
Verbatim excerpt: NR (not stored separately in the source QA file)</x:v>
      </x:c>
      <x:c r="R5" s="6" t="str">
        <x:v>Location: 第5.3节，表1，第7页
Rationale: 报告了TP/FP/FN和三项指标，展示了生成的链接，但分析有限，仅指出漏掉三个链接并查询GPT确认，未提供误差分析、置信区间或统计显著性检验。
Verbatim excerpt: NR (not stored separately in the source QA file)</x:v>
      </x:c>
      <x:c r="S5" s="6" t="str">
        <x:v>Location: 第6-7节，第7页
Rationale: 结论明确由实验数据支持，并单独一节详细讨论了构造、内部和外部有效性威胁，说明局限。
Verbatim excerpt: NR (not stored separately in the source QA file)</x:v>
      </x:c>
      <x:c r="T5" s="6" t="str">
        <x:v>Location: 全文
Rationale: 提示和需求/模型全文提供，但未公开代码、工具或数据链接，也未包含利益冲突声明；部分材料可得。
Verbatim excerpt: NR (not stored separately in the source QA file)</x:v>
      </x:c>
      <x:c r="U5" s="2" t="n">
        <x:f>IF(COUNT(E5:L5)=0,"",AVERAGE(E5:L5))</x:f>
        <x:v>0.625</x:v>
      </x:c>
      <x:c r="V5" s="2" t="str">
        <x:f>IF(U5="","",IF(U5&lt;0.5,"QA_EXCLUDE_FORMAL",IF(U5=0.5,"QA_INCLUDE_WEAK","QA_INCLUDE_STANDARD")))</x:f>
        <x:v>QA_INCLUDE_STANDARD</x:v>
      </x:c>
      <x:c r="W5" s="2" t="str">
        <x:v>QA_INCLUDE_STANDARD</x:v>
      </x:c>
      <x:c r="X5" s="2" t="str">
        <x:v>NA</x:v>
      </x:c>
      <x:c r="Y5" s="2" t="str">
        <x:v>2026-07-25 00:00:00</x:v>
      </x:c>
      <x:c r="Z5" s="6" t="str">
        <x:v>Title: An LLM-based Approach to Recover Traceability Links between Security Requirements and Goal Models
Source reviewer: 第一作者
Reviewer A decision: QA_INCLUDE; evidence status: STANDARD_EVIDENCE
Decision rationale: QA_score=0.6250&gt;0.50，第一作者判定保留。
Source record_id: merged_0075; reviewed_at: Sat Jul 25 2026 03:36:12 GMT+0800 (China Standard Time)</x:v>
      </x:c>
    </x:row>
    <x:row r="6" ht="76" customHeight="1">
      <x:c r="A6" s="2" t="str">
        <x:v>S05</x:v>
      </x:c>
      <x:c r="B6" s="2" t="str">
        <x:v>merged_0077</x:v>
      </x:c>
      <x:c r="C6" s="2" t="str">
        <x:v>Reviewer_A</x:v>
      </x:c>
      <x:c r="D6" s="2" t="str">
        <x:v>Reviewer_A</x:v>
      </x:c>
      <x:c r="E6" s="2" t="n">
        <x:v>1</x:v>
      </x:c>
      <x:c r="F6" s="2" t="n">
        <x:v>1</x:v>
      </x:c>
      <x:c r="G6" s="2" t="n">
        <x:v>1</x:v>
      </x:c>
      <x:c r="H6" s="2" t="n">
        <x:v>1</x:v>
      </x:c>
      <x:c r="I6" s="2" t="n">
        <x:v>1</x:v>
      </x:c>
      <x:c r="J6" s="2" t="n">
        <x:v>1</x:v>
      </x:c>
      <x:c r="K6" s="2" t="n">
        <x:v>0</x:v>
      </x:c>
      <x:c r="L6" s="2" t="n">
        <x:v>1</x:v>
      </x:c>
      <x:c r="M6" s="6" t="str">
        <x:v>Location: PAGE 2-3, Section 1
Rationale: Three explicit research questions (RQ1, RQ2, RQ3) are clearly stated and explained.
Verbatim excerpt: NR (not stored separately in the source QA file)</x:v>
      </x:c>
      <x:c r="N6" s="6" t="str">
        <x:v>Location: Section 3, pages 6-15
Rationale: The methodology is described step-by-step, including LLM selection, dataset creation (5-step pipeline), and experimental setup with prompts, baselines, and metrics, allowing replication.
Verbatim excerpt: NR (not stored separately in the source QA file)</x:v>
      </x:c>
      <x:c r="O6" s="6" t="str">
        <x:v>Location: Section 3.2-3.3, pages 7-11, Table 1
Rationale: Two open-source projects created after LLM knowledge cutoffs are used; dataset creation details, sizes (112/32 segments, 645/155 traces), and verification (κ=0.94) are reported.
Verbatim excerpt: NR (not stored separately in the source QA file)</x:v>
      </x:c>
      <x:c r="P6" s="6" t="str">
        <x:v>Location: Section 3.4, pages 11-15; Sections 4-6
Rationale: Evaluation matches RQs with appropriate metrics (F1, explanation accuracy, chain match categories), baselines, and repeated runs.
Verbatim excerpt: NR (not stored separately in the source QA file)</x:v>
      </x:c>
      <x:c r="Q6" s="6" t="str">
        <x:v>Location: Section 3.1 (LLM selection) and 3.4 (prompt structure and settings), pages 6-7, 13-14
Rationale: Exact model versions (Claude 3.5 Sonnet claude-3-5-sonnet-20240620, GPT-4o gpt-4o-2024-08-06, o3-mini o3-mini-2025-01-31) and key settings (reasoning_effort=high for o3-mini) are reported; prompt structure is described with a schematic, though full prompts are in appendix.
Verbatim excerpt: NR (not stored separately in the source QA file)</x:v>
      </x:c>
      <x:c r="R6" s="6" t="str">
        <x:v>Location: Sections 4.3, 5.3, and partial 6.3, pages 16-24
Rationale: Results include F1-scores, error analyses (false positive types, false negative characteristics), explanation accuracy metrics, and statistical tests; reporting is thorough despite text truncation at Section 6.3.
Verbatim excerpt: NR (not stored separately in the source QA file)</x:v>
      </x:c>
      <x:c r="S6" s="6" t="str">
        <x:v>Location: Not found in provided text
Rationale: The provided text is truncated at page 24 of 40; the conclusion and limitations sections (Section 9 and 10) are missing, and no explicit limitations are stated in earlier sections.
Verbatim excerpt: NR (not stored separately in the source QA file)</x:v>
      </x:c>
      <x:c r="T6" s="6" t="str">
        <x:v>Location: Section 3.5, page 15, footnote 3
Rationale: A replication package with code, datasets, and prompt templates is publicly available at the provided GitHub link.
Verbatim excerpt: NR (not stored separately in the source QA file)</x:v>
      </x:c>
      <x:c r="U6" s="2" t="n">
        <x:f>IF(COUNT(E6:L6)=0,"",AVERAGE(E6:L6))</x:f>
        <x:v>0.875</x:v>
      </x:c>
      <x:c r="V6" s="2" t="str">
        <x:f>IF(U6="","",IF(U6&lt;0.5,"QA_EXCLUDE_FORMAL",IF(U6=0.5,"QA_INCLUDE_WEAK","QA_INCLUDE_STANDARD")))</x:f>
        <x:v>QA_INCLUDE_STANDARD</x:v>
      </x:c>
      <x:c r="W6" s="2" t="str">
        <x:v>QA_INCLUDE_STANDARD</x:v>
      </x:c>
      <x:c r="X6" s="2" t="str">
        <x:v>NA</x:v>
      </x:c>
      <x:c r="Y6" s="2" t="str">
        <x:v>2026-07-25 00:00:00</x:v>
      </x:c>
      <x:c r="Z6" s="6" t="str">
        <x:v>Title: Evaluating the Use of LLMs for Documentation to Code Traceability
Source reviewer: 第一作者
Reviewer A decision: QA_INCLUDE; evidence status: STANDARD_EVIDENCE
Decision rationale: QA_score=0.8750&gt;0.50，第一作者判定保留。
Source record_id: merged_0077; reviewed_at: Sat Jul 25 2026 03:36:26 GMT+0800 (China Standard Time)</x:v>
      </x:c>
    </x:row>
    <x:row r="7" ht="76" customHeight="1">
      <x:c r="A7" s="2" t="str">
        <x:v>S06</x:v>
      </x:c>
      <x:c r="B7" s="2" t="str">
        <x:v>merged_0079</x:v>
      </x:c>
      <x:c r="C7" s="2" t="str">
        <x:v>Reviewer_A</x:v>
      </x:c>
      <x:c r="D7" s="2" t="str">
        <x:v>Reviewer_A</x:v>
      </x:c>
      <x:c r="E7" s="2" t="n">
        <x:v>1</x:v>
      </x:c>
      <x:c r="F7" s="2" t="n">
        <x:v>1</x:v>
      </x:c>
      <x:c r="G7" s="2" t="n">
        <x:v>1</x:v>
      </x:c>
      <x:c r="H7" s="2" t="n">
        <x:v>1</x:v>
      </x:c>
      <x:c r="I7" s="2" t="n">
        <x:v>0.5</x:v>
      </x:c>
      <x:c r="J7" s="2" t="n">
        <x:v>1</x:v>
      </x:c>
      <x:c r="K7" s="2" t="n">
        <x:v>1</x:v>
      </x:c>
      <x:c r="L7" s="2" t="n">
        <x:v>1</x:v>
      </x:c>
      <x:c r="M7" s="6" t="str">
        <x:v>Location: 第1页摘要与引言，第7页第V节研究问题
Rationale: 论文明确指出了研究目标（提出LinkAnchor解决现有ILR方法的三个局限性）并清晰列出了三个研究问题（RQ1-RQ3）。
Verbatim excerpt: NR (not stored separately in the source QA file)</x:v>
      </x:c>
      <x:c r="N7" s="6" t="str">
        <x:v>Location: 第4-6页第IV节方法，图1和表I
Rationale: 方法部分详细描述了LinkAnchor的架构、函数调用API、LLM中间件和提示策略，过程清晰可复述。
Verbatim excerpt: NR (not stored separately in the source QA file)</x:v>
      </x:c>
      <x:c r="O7" s="6" t="str">
        <x:v>Location: 第7-8页第V-A节，第8页第V-B节
Rationale: 数据集明确：RQ1使用EALink数据集（6个Apache项目，59k+问题，27个仓库，177k+提交）；RQ2新建了6个GitHub仓库的120个问题。情境为开源项目，使用Jira和GitHub。
Verbatim excerpt: NR (not stored separately in the source QA file)</x:v>
      </x:c>
      <x:c r="P7" s="6" t="str">
        <x:v>Location: 第7-9页第V节，表II、III、V
Rationale: 评价设计合理：使用Hit@K指标与四个基线比较，真值基于已知链接，适应了ILR问题（取最后提交），并进行了泛化评估。
Verbatim excerpt: NR (not stored separately in the source QA file)</x:v>
      </x:c>
      <x:c r="Q7" s="6" t="str">
        <x:v>Location: 第6页第IV-C节与第7页第V-A节模型配置
Rationale: 报告了使用的模型（ChatGPT-4o-nano）、上下文窗口（128k）、迭代限制（20次）和token限制（200k），但完整的提示未在论文中提供，仅说明在复制包中，关键配置部分可复现。
Verbatim excerpt: NR (not stored separately in the source QA file)</x:v>
      </x:c>
      <x:c r="R7" s="6" t="str">
        <x:v>Location: 第8页表II、III，第9页表V，图3及结果分析文本
Rationale: 结果以表格形式清晰呈现Hit@1和Hit@10，提供了改善百分比，并有函数调用分析，讨论充分。
Verbatim excerpt: NR (not stored separately in the source QA file)</x:v>
      </x:c>
      <x:c r="S7" s="6" t="str">
        <x:v>Location: 第11页第VII节结论与第10-11页第VI节讨论
Rationale: 结论直接由实验结果支持，并在第VI-A节详细讨论了内部、外部、构造效度威胁及可重复性，局限性被明确说明。
Verbatim excerpt: NR (not stored separately in the source QA file)</x:v>
      </x:c>
      <x:c r="T7" s="6" t="str">
        <x:v>Location: 第1页摘要，第5页第IV-C节最后一句，参考文献[1]
Rationale: 论文声明公开了LinkAnchor工具和复制包（包括代码、数据、提示），透明度充分。
Verbatim excerpt: NR (not stored separately in the source QA file)</x:v>
      </x:c>
      <x:c r="U7" s="2" t="n">
        <x:f>IF(COUNT(E7:L7)=0,"",AVERAGE(E7:L7))</x:f>
        <x:v>0.9375</x:v>
      </x:c>
      <x:c r="V7" s="2" t="str">
        <x:f>IF(U7="","",IF(U7&lt;0.5,"QA_EXCLUDE_FORMAL",IF(U7=0.5,"QA_INCLUDE_WEAK","QA_INCLUDE_STANDARD")))</x:f>
        <x:v>QA_INCLUDE_STANDARD</x:v>
      </x:c>
      <x:c r="W7" s="2" t="str">
        <x:v>QA_INCLUDE_STANDARD</x:v>
      </x:c>
      <x:c r="X7" s="2" t="str">
        <x:v>NA</x:v>
      </x:c>
      <x:c r="Y7" s="2" t="str">
        <x:v>2026-07-25 00:00:00</x:v>
      </x:c>
      <x:c r="Z7" s="6" t="str">
        <x:v>Title: LinkAnchor: An Autonomous LLM-Based Agent for Issue-to-Commit Link Recovery
Source reviewer: 第一作者
Reviewer A decision: QA_INCLUDE; evidence status: STANDARD_EVIDENCE
Decision rationale: QA_score=0.9375&gt;0.50，第一作者判定保留。
Source record_id: merged_0079; reviewed_at: Sat Jul 25 2026 03:36:16 GMT+0800 (China Standard Time)</x:v>
      </x:c>
    </x:row>
    <x:row r="8" ht="76" customHeight="1">
      <x:c r="A8" s="2" t="str">
        <x:v>S07</x:v>
      </x:c>
      <x:c r="B8" s="2" t="str">
        <x:v>merged_0110</x:v>
      </x:c>
      <x:c r="C8" s="2" t="str">
        <x:v>Reviewer_A</x:v>
      </x:c>
      <x:c r="D8" s="2" t="str">
        <x:v>Reviewer_A</x:v>
      </x:c>
      <x:c r="E8" s="2" t="n">
        <x:v>1</x:v>
      </x:c>
      <x:c r="F8" s="2" t="n">
        <x:v>1</x:v>
      </x:c>
      <x:c r="G8" s="2" t="n">
        <x:v>1</x:v>
      </x:c>
      <x:c r="H8" s="2" t="n">
        <x:v>1</x:v>
      </x:c>
      <x:c r="I8" s="2" t="n">
        <x:v>0.5</x:v>
      </x:c>
      <x:c r="J8" s="2" t="n">
        <x:v>1</x:v>
      </x:c>
      <x:c r="K8" s="2" t="n">
        <x:v>1</x:v>
      </x:c>
      <x:c r="L8" s="2" t="n">
        <x:v>0.5</x:v>
      </x:c>
      <x:c r="M8" s="6" t="str">
        <x:v>Location: 第2页，引言末段
Rationale: 明确提出了两个研究问题：RQ1评估不同LLM对REST校准有效性的影响，RQ2评估不同提示模板组件的影响。
Verbatim excerpt: NR (not stored separately in the source QA file)</x:v>
      </x:c>
      <x:c r="N8" s="6" t="str">
        <x:v>Location: 第4-6页，第4节与4.4节
Rationale: 详细描述了工具设计、数据集、实验设计（实验A和B）、评估指标和统计分析方法，并提供复制包链接，足以复述主要过程。
Verbatim excerpt: NR (not stored separately in the source QA file)</x:v>
      </x:c>
      <x:c r="O8" s="6" t="str">
        <x:v>Location: 第4页，4.1节数据集
Rationale: 明确给出了两个数据集（GBGE和BTHS）的来源、规模、链接类型和普遍性，并解释了选择依据，对象和情境完整。
Verbatim excerpt: NR (not stored separately in the source QA file)</x:v>
      </x:c>
      <x:c r="P8" s="6" t="str">
        <x:v>Location: 第5-6页，4.2与4.4节
Rationale: 实验设计通过控制变量分别比较LLM和提示模板，使用领域专家标注的真值、标准指标和统计检验，与目标匹配。
Verbatim excerpt: NR (not stored separately in the source QA file)</x:v>
      </x:c>
      <x:c r="Q8" s="6" t="str">
        <x:v>Location: 第5页温度设置，第6页复制包说明
Rationale: 模型名称和关键设置（温度0.1）已报告，但未在论文中给出GPT模型的具体版本号，完整信息在复制包，因此部分设置可得。
Verbatim excerpt: NR (not stored separately in the source QA file)</x:v>
      </x:c>
      <x:c r="R8" s="6" t="str">
        <x:v>Location: 第6-8页，第5节结果
Rationale: 报告了精确率、召回率、F1的平均值和标准差，给出了统计检验结果和效应量，结果充分且可核验。
Verbatim excerpt: NR (not stored separately in the source QA file)</x:v>
      </x:c>
      <x:c r="S8" s="6" t="str">
        <x:v>Location: 第10-11页，6.5威胁与有效性、第7节结论
Rationale: 结论直接源于结果，并明确讨论了威胁与局限性，如模型进化、非确定性、数据集限制等。
Verbatim excerpt: NR (not stored separately in the source QA file)</x:v>
      </x:c>
      <x:c r="T8" s="6" t="str">
        <x:v>Location: 第6页复制包引用，第4页工业数据说明
Rationale: 代码、脚本和提示模板可通过GitHub获取，但工业数据集可能因保密不能公开，利益关系已说明，方法充分且限制合理。
Verbatim excerpt: NR (not stored separately in the source QA file)</x:v>
      </x:c>
      <x:c r="U8" s="2" t="n">
        <x:f>IF(COUNT(E8:L8)=0,"",AVERAGE(E8:L8))</x:f>
        <x:v>0.875</x:v>
      </x:c>
      <x:c r="V8" s="2" t="str">
        <x:f>IF(U8="","",IF(U8&lt;0.5,"QA_EXCLUDE_FORMAL",IF(U8=0.5,"QA_INCLUDE_WEAK","QA_INCLUDE_STANDARD")))</x:f>
        <x:v>QA_INCLUDE_STANDARD</x:v>
      </x:c>
      <x:c r="W8" s="2" t="str">
        <x:v>QA_INCLUDE_STANDARD</x:v>
      </x:c>
      <x:c r="X8" s="2" t="str">
        <x:v>NA</x:v>
      </x:c>
      <x:c r="Y8" s="2" t="str">
        <x:v>2026-07-25 00:00:00</x:v>
      </x:c>
      <x:c r="Z8" s="6" t="str">
        <x:v>Title: REST-at: An LLM-Based Tool for Automating Traceability between Requirements and Test Cases
Source reviewer: 第一作者
Reviewer A decision: QA_INCLUDE; evidence status: STANDARD_EVIDENCE
Decision rationale: QA_score=0.8750&gt;0.50，第一作者判定保留。
Source record_id: merged_0110; reviewed_at: Sat Jul 25 2026 03:36:26 GMT+0800 (China Standard Time)</x:v>
      </x:c>
    </x:row>
    <x:row r="9" ht="76" customHeight="1">
      <x:c r="A9" s="2" t="str">
        <x:v>S08</x:v>
      </x:c>
      <x:c r="B9" s="2" t="str">
        <x:v>merged_0256</x:v>
      </x:c>
      <x:c r="C9" s="2" t="str">
        <x:v>Reviewer_A</x:v>
      </x:c>
      <x:c r="D9" s="2" t="str">
        <x:v>Reviewer_A</x:v>
      </x:c>
      <x:c r="E9" s="2" t="n">
        <x:v>1</x:v>
      </x:c>
      <x:c r="F9" s="2" t="n">
        <x:v>1</x:v>
      </x:c>
      <x:c r="G9" s="2" t="n">
        <x:v>1</x:v>
      </x:c>
      <x:c r="H9" s="2" t="n">
        <x:v>1</x:v>
      </x:c>
      <x:c r="I9" s="2" t="n">
        <x:v>1</x:v>
      </x:c>
      <x:c r="J9" s="2" t="n">
        <x:v>1</x:v>
      </x:c>
      <x:c r="K9" s="2" t="n">
        <x:v>1</x:v>
      </x:c>
      <x:c r="L9" s="2" t="n">
        <x:v>1</x:v>
      </x:c>
      <x:c r="M9" s="6" t="str">
        <x:v>Location: 第2页（Introduction）和第5页（Section 5.1）
Rationale: 论文明确提出了研究目标（探索LLM评估需求覆盖的性能）和四个具体研究问题（RQ1–RQ4）。
Verbatim excerpt: NR (not stored separately in the source QA file)</x:v>
      </x:c>
      <x:c r="N9" s="6" t="str">
        <x:v>Location: 第4–5页（Section 4和Section 5）
Rationale: 详细描述了提示策略（zS, zS+expl., CoT）、数据集准备、对抗性需求生成和留一法实验设置，足以复现研究过程。
Verbatim excerpt: NR (not stored separately in the source QA file)</x:v>
      </x:c>
      <x:c r="O9" s="6" t="str">
        <x:v>Location: 第5–6页（Section 5.2.1, 5.2.2, 表1）
Rationale: 研究对象为五个公开需求数据集，明确给出了来源（COEST、CM1原始数据）、领域、过滤后数量，并说明了对抗性需求的生成方法。
Verbatim excerpt: NR (not stored separately in the source QA file)</x:v>
      </x:c>
      <x:c r="P9" s="6" t="str">
        <x:v>Location: 第5–7页（Section 5.2.4, 5.2.5）
Rationale: 评价设计使用精确率、召回率、F1等指标，真值基于已有追踪链接和构造的对抗性数据集，与识别覆盖和不完整覆盖的目标相匹配。
Verbatim excerpt: NR (not stored separately in the source QA file)</x:v>
      </x:c>
      <x:c r="Q9" s="6" t="str">
        <x:v>Location: 第4页（Section 4）和第7页（Section 5.2.5）
Rationale: 报告了所用模型（GPT-3.5-turbo-16k, GPT-4）、API版本、温度=0等关键配置，提示模板完整给出。
Verbatim excerpt: NR (not stored separately in the source QA file)</x:v>
      </x:c>
      <x:c r="R9" s="6" t="str">
        <x:v>Location: 第7–10页（Section 6，表2、4、6、7）
Rationale: 对每个RQ提供了详细的性能指标表格，并对结果进行了分析和讨论。
Verbatim excerpt: NR (not stored separately in the source QA file)</x:v>
      </x:c>
      <x:c r="S9" s="6" t="str">
        <x:v>Location: 第10–11页（Section 7）
Rationale: 结论由实验结果支持，并讨论了内部效度、外部效度和构造效度等局限。
Verbatim excerpt: NR (not stored separately in the source QA file)</x:v>
      </x:c>
      <x:c r="T9" s="6" t="str">
        <x:v>Location: 第12页（Section 9）
Rationale: 论文提供了数据和代码的DOI链接（10.5281/zenodo.10149490），提示词已在文中展示，利益冲突通过致谢说明资助来源。
Verbatim excerpt: NR (not stored separately in the source QA file)</x:v>
      </x:c>
      <x:c r="U9" s="2" t="n">
        <x:f>IF(COUNT(E9:L9)=0,"",AVERAGE(E9:L9))</x:f>
        <x:v>1</x:v>
      </x:c>
      <x:c r="V9" s="2" t="str">
        <x:f>IF(U9="","",IF(U9&lt;0.5,"QA_EXCLUDE_FORMAL",IF(U9=0.5,"QA_INCLUDE_WEAK","QA_INCLUDE_STANDARD")))</x:f>
        <x:v>QA_INCLUDE_STANDARD</x:v>
      </x:c>
      <x:c r="W9" s="2" t="str">
        <x:v>QA_INCLUDE_STANDARD</x:v>
      </x:c>
      <x:c r="X9" s="2" t="str">
        <x:v>NA</x:v>
      </x:c>
      <x:c r="Y9" s="2" t="str">
        <x:v>2026-07-25 00:00:00</x:v>
      </x:c>
      <x:c r="Z9" s="6" t="str">
        <x:v>Title: Supporting High-Level to Low-Level Requirements Coverage Reviewing with Large Language Models
Source reviewer: 第一作者
Reviewer A decision: QA_INCLUDE; evidence status: STANDARD_EVIDENCE
Decision rationale: QA_score=1.0000&gt;0.50，第一作者判定保留。
Source record_id: merged_0256; reviewed_at: Sat Jul 25 2026 03:36:10 GMT+0800 (China Standard Time)</x:v>
      </x:c>
    </x:row>
    <x:row r="10" ht="76" customHeight="1">
      <x:c r="A10" s="2" t="str">
        <x:v>S12</x:v>
      </x:c>
      <x:c r="B10" s="2" t="str">
        <x:v>merged_1133</x:v>
      </x:c>
      <x:c r="C10" s="2" t="str">
        <x:v>Reviewer_A</x:v>
      </x:c>
      <x:c r="D10" s="2" t="str">
        <x:v>Reviewer_A</x:v>
      </x:c>
      <x:c r="E10" s="2" t="n">
        <x:v>1</x:v>
      </x:c>
      <x:c r="F10" s="2" t="n">
        <x:v>1</x:v>
      </x:c>
      <x:c r="G10" s="2" t="n">
        <x:v>1</x:v>
      </x:c>
      <x:c r="H10" s="2" t="n">
        <x:v>1</x:v>
      </x:c>
      <x:c r="I10" s="2" t="n">
        <x:v>1</x:v>
      </x:c>
      <x:c r="J10" s="2" t="n">
        <x:v>1</x:v>
      </x:c>
      <x:c r="K10" s="2" t="n">
        <x:v>1</x:v>
      </x:c>
      <x:c r="L10" s="2" t="n">
        <x:v>1</x:v>
      </x:c>
      <x:c r="M10" s="6" t="str">
        <x:v>Location: 第3页，Section 1
Rationale: 明确列出四个研究问题（RQ1–RQ4），目标清晰。
Verbatim excerpt: NR (not stored separately in the source QA file)</x:v>
      </x:c>
      <x:c r="N10" s="6" t="str">
        <x:v>Location: 第7–21页，Section 3, 4, 5
Rationale: 四阶段方法论详细描述，包括数据集分割、提示设计迭代、丰富化、评估，以及演示选择策略和实验设置，足以复述。
Verbatim excerpt: NR (not stored separately in the source QA file)</x:v>
      </x:c>
      <x:c r="O10" s="6" t="str">
        <x:v>Location: 第17–18页，Section 5.1，Table 2
Rationale: 数据集来源、规模、领域、链接分布及选择依据明确，涵盖航空航天和医疗保健领域。
Verbatim excerpt: NR (not stored separately in the source QA file)</x:v>
      </x:c>
      <x:c r="P10" s="6" t="str">
        <x:v>Location: 第20–21页，Section 5.5 (Baselines)；第21页，Section 5.6
Rationale: 评价使用精确率、召回率、F1/F2等标准指标，与多个基线比较，采用统计检验，实验设计匹配研究目标。
Verbatim excerpt: NR (not stored separately in the source QA file)</x:v>
      </x:c>
      <x:c r="Q10" s="6" t="str">
        <x:v>Location: 第19页，Section 5.4
Rationale: 报告了具体模型版本（如gpt-4o-mini、claude-3-5-haiku-20241022等）、温度0.0、最大输出1 token、访问方式及执行窗口。
Verbatim excerpt: NR (not stored separately in the source QA file)</x:v>
      </x:c>
      <x:c r="R10" s="6" t="str">
        <x:v>Location: 第21–31页，Section 6
Rationale: 用表格和图表报告了不同设置下的均值、标准差和p值，分析充分，结果可核验。
Verbatim excerpt: NR (not stored separately in the source QA file)</x:v>
      </x:c>
      <x:c r="S10" s="6" t="str">
        <x:v>Location: 第1页，论文结构概览提及Section 7 threats to validity；第31页结论段基于结果
Rationale: 有专门一节讨论有效性威胁，结论可追溯到结果，并说明了局限性。
Verbatim excerpt: NR (not stored separately in the source QA file)</x:v>
      </x:c>
      <x:c r="T10" s="6" t="str">
        <x:v>Location: 第4页脚注1提供代码链接；第19页提及附录A包含完整提示模板
Rationale: 提供了匿名代码复制包和提示模板，材料透明。
Verbatim excerpt: NR (not stored separately in the source QA file)</x:v>
      </x:c>
      <x:c r="U10" s="2" t="n">
        <x:f>IF(COUNT(E10:L10)=0,"",AVERAGE(E10:L10))</x:f>
        <x:v>1</x:v>
      </x:c>
      <x:c r="V10" s="2" t="str">
        <x:f>IF(U10="","",IF(U10&lt;0.5,"QA_EXCLUDE_FORMAL",IF(U10=0.5,"QA_INCLUDE_WEAK","QA_INCLUDE_STANDARD")))</x:f>
        <x:v>QA_INCLUDE_STANDARD</x:v>
      </x:c>
      <x:c r="W10" s="2" t="str">
        <x:v>QA_INCLUDE_STANDARD</x:v>
      </x:c>
      <x:c r="X10" s="2" t="str">
        <x:v>NA</x:v>
      </x:c>
      <x:c r="Y10" s="2" t="str">
        <x:v>2026-07-25 00:00:00</x:v>
      </x:c>
      <x:c r="Z10" s="6" t="str">
        <x:v>Title: TraceLLM: Leveraging Large Language Models with Prompt Engineering for Enhanced Requirements Traceability
Source reviewer: 第一作者
Reviewer A decision: QA_INCLUDE; evidence status: STANDARD_EVIDENCE
Decision rationale: QA_score=1.0000&gt;0.50，第一作者判定保留。
Source record_id: merged_1133; reviewed_at: Sat Jul 25 2026 03:36:21 GMT+0800 (China Standard Time)</x:v>
      </x:c>
    </x:row>
    <x:row r="11" ht="76" customHeight="1">
      <x:c r="A11" s="2" t="str">
        <x:v>S13</x:v>
      </x:c>
      <x:c r="B11" s="2" t="str">
        <x:v>merged_1140</x:v>
      </x:c>
      <x:c r="C11" s="2" t="str">
        <x:v>Reviewer_A</x:v>
      </x:c>
      <x:c r="D11" s="2" t="str">
        <x:v>Reviewer_A</x:v>
      </x:c>
      <x:c r="E11" s="2" t="n">
        <x:v>1</x:v>
      </x:c>
      <x:c r="F11" s="2" t="n">
        <x:v>1</x:v>
      </x:c>
      <x:c r="G11" s="2" t="n">
        <x:v>1</x:v>
      </x:c>
      <x:c r="H11" s="2" t="n">
        <x:v>1</x:v>
      </x:c>
      <x:c r="I11" s="2" t="n">
        <x:v>0.5</x:v>
      </x:c>
      <x:c r="J11" s="2" t="n">
        <x:v>1</x:v>
      </x:c>
      <x:c r="K11" s="2" t="n">
        <x:v>1</x:v>
      </x:c>
      <x:c r="L11" s="2" t="n">
        <x:v>0.5</x:v>
      </x:c>
      <x:c r="M11" s="6" t="str">
        <x:v>Location: Section 1, pages 4-5; Section 5, page 20 (RQs)
Rationale: 研究目标明确，提出了四个具体的研究问题（RQ1-RQ4），贡献清晰陈述。
Verbatim excerpt: NR (not stored separately in the source QA file)</x:v>
      </x:c>
      <x:c r="N11" s="6" t="str">
        <x:v>Location: Section 3, pages 8-16
Rationale: 方法描述详细，包括数据增强策略、提示模板、模型架构、训练过程和损失函数，足以复述。
Verbatim excerpt: NR (not stored separately in the source QA file)</x:v>
      </x:c>
      <x:c r="O11" s="6" t="str">
        <x:v>Location: Section 4.1, pages 16-18 (including Table 2)
Rationale: 数据集对象、来源、规模、语言和情境明确，预处理和负采样策略描述完整。
Verbatim excerpt: NR (not stored separately in the source QA file)</x:v>
      </x:c>
      <x:c r="P11" s="6" t="str">
        <x:v>Location: Section 4, pages 16-20; Section 5
Rationale: 评价设计包括多策略比较、编码器对比和基线基准测试，使用标准分类指标，有真值链接，匹配研究目标。
Verbatim excerpt: NR (not stored separately in the source QA file)</x:v>
      </x:c>
      <x:c r="Q11" s="6" t="str">
        <x:v>Location: Section 4.2 (pages 17-18) and 4.5 (pages 18-19)
Rationale: 报告了LLM名称（Gemini 1.5 Pro等）和训练超参数，但未给出LLM的具体版本标识（如GPT-3.5 Turbo的精确版本）或温度等生成参数，部分复现细节不足。
Verbatim excerpt: NR (not stored separately in the source QA file)</x:v>
      </x:c>
      <x:c r="R11" s="6" t="str">
        <x:v>Location: Section 5, pages 21-30 (Figures 7-10, Table 3); Appendix B
Rationale: 结果报告充分，包括图表、统计检验和完整数值结果，必要时有误差分析。
Verbatim excerpt: NR (not stored separately in the source QA file)</x:v>
      </x:c>
      <x:c r="S11" s="6" t="str">
        <x:v>Location: Section 6.3, pages 30-31; Section 7, pages 31-32
Rationale: 结论由结果支持，明确说明了内部和外部有效性威胁，并指出了局限。
Verbatim excerpt: NR (not stored separately in the source QA file)</x:v>
      </x:c>
      <x:c r="T11" s="6" t="str">
        <x:v>Location: Page 16, footnote 1
Rationale: 提供了figshare匿名链接，声称公开所有材料，但链接尚未完全可访问；提示模板和超参数在文中描述，利益关系未声明，但材料部分可得。
Verbatim excerpt: NR (not stored separately in the source QA file)</x:v>
      </x:c>
      <x:c r="U11" s="2" t="n">
        <x:f>IF(COUNT(E11:L11)=0,"",AVERAGE(E11:L11))</x:f>
        <x:v>0.875</x:v>
      </x:c>
      <x:c r="V11" s="2" t="str">
        <x:f>IF(U11="","",IF(U11&lt;0.5,"QA_EXCLUDE_FORMAL",IF(U11=0.5,"QA_INCLUDE_WEAK","QA_INCLUDE_STANDARD")))</x:f>
        <x:v>QA_INCLUDE_STANDARD</x:v>
      </x:c>
      <x:c r="W11" s="2" t="str">
        <x:v>QA_INCLUDE_STANDARD</x:v>
      </x:c>
      <x:c r="X11" s="2" t="str">
        <x:v>NA</x:v>
      </x:c>
      <x:c r="Y11" s="2" t="str">
        <x:v>2026-07-25 00:00:00</x:v>
      </x:c>
      <x:c r="Z11" s="6" t="str">
        <x:v>Title: Synergistic Enhancement of Requirement-to-Code Traceability: A Framework Combining Large Language Model based Data Augmentation and an Advanced Encoder
Source reviewer: 第一作者
Reviewer A decision: QA_INCLUDE; evidence status: STANDARD_EVIDENCE
Decision rationale: QA_score=0.8750&gt;0.50，第一作者判定保留。
Source record_id: merged_1140; reviewed_at: Sat Jul 25 2026 03:36:24 GMT+0800 (China Standard Time)</x:v>
      </x:c>
    </x:row>
    <x:row r="12" ht="76" customHeight="1">
      <x:c r="A12" s="2" t="str">
        <x:v>S15</x:v>
      </x:c>
      <x:c r="B12" s="2" t="str">
        <x:v>merged_1143</x:v>
      </x:c>
      <x:c r="C12" s="2" t="str">
        <x:v>Reviewer_A</x:v>
      </x:c>
      <x:c r="D12" s="2" t="str">
        <x:v>Reviewer_A</x:v>
      </x:c>
      <x:c r="E12" s="2" t="n">
        <x:v>1</x:v>
      </x:c>
      <x:c r="F12" s="2" t="n">
        <x:v>1</x:v>
      </x:c>
      <x:c r="G12" s="2" t="n">
        <x:v>1</x:v>
      </x:c>
      <x:c r="H12" s="2" t="n">
        <x:v>1</x:v>
      </x:c>
      <x:c r="I12" s="2" t="n">
        <x:v>1</x:v>
      </x:c>
      <x:c r="J12" s="2" t="n">
        <x:v>1</x:v>
      </x:c>
      <x:c r="K12" s="2" t="n">
        <x:v>1</x:v>
      </x:c>
      <x:c r="L12" s="2" t="n">
        <x:v>1</x:v>
      </x:c>
      <x:c r="M12" s="6" t="str">
        <x:v>Location: P1 Abstract; P4 Section IV, RQ1-RQ3 explicitly listed
Rationale: The research goal is clearly stated: 'to use textual entailment to reliably extract goals from interview transcripts and to construct goal models.' Three specific research questions are defined in Section IV.
Verbatim excerpt: NR (not stored separately in the source QA file)</x:v>
      </x:c>
      <x:c r="N12" s="6" t="str">
        <x:v>Location: P2-P4 Section III (Method &amp; Approach), including subsections A-D; P4-P5 Section IV (Evaluation)
Rationale: The method is described in detail: transcript dataset, goal extraction prompts and window settings, clustering parameters (agglomerative, Euclidean, Ward, distance threshold 1.5), goal model generation prompt design, and evaluation procedures (manual tracing, mapping, and labeling). Sufficient to replicate.
Verbatim excerpt: NR (not stored separately in the source QA file)</x:v>
      </x:c>
      <x:c r="O12" s="6" t="str">
        <x:v>Location: P2-P3 Section III.A Transcript Dataset
Rationale: The dataset is clearly described: 34 interview transcripts from a graduate course, 29 topics, student interviewers and stakeholders, IRB-approved, de-identified. Transcript length distribution is provided. The subset used for evaluation (15 transcripts) is also specified.
Verbatim excerpt: NR (not stored separately in the source QA file)</x:v>
      </x:c>
      <x:c r="P12" s="6" t="str">
        <x:v>Location: P4-P5 Section IV Evaluation; P5-P6 Results
Rationale: Evaluation design matches research goals: RQ1 uses manual verification of trace accuracy; RQ2 uses manual mapping to compare with human goals; RQ3 uses manual labeling of refinement relations with inter-rater agreement (kappa) and computes accuracy. Ground truth is established by authors, and appropriate metrics are reported.
Verbatim excerpt: NR (not stored separately in the source QA file)</x:v>
      </x:c>
      <x:c r="Q12" s="6" t="str">
        <x:v>Location: P2 first paragraph of Section III; P3-P4 Figs 3-4, P5-P6 Figs 6; P4 clustering parameters
Rationale: LLM configuration is fully reported: model gpt-4o-2024-08-06, temperature=1.0, system and user prompts provided verbatim, clustering tool versions and parameters (Python 3.11.11, Scikit-Learn 1.6.1, AgglomerativeClustering with Euclidean/Ward/distance threshold=1.5, paraphrase-MiniLM-L6-v2). Repeated sampling (10x) is explained.
Verbatim excerpt: NR (not stored separately in the source QA file)</x:v>
      </x:c>
      <x:c r="R12" s="6" t="str">
        <x:v>Location: P5-P6 Section V Results; P6 Table I; P6-P7 Section VI Discussion
Rationale: Results are fully reported: descriptive statistics of extraction (Table I), trace correctness 98.7%, overlap with human goals 62.0%, refinement accuracy 72.2% with TP/TN/FP/FN counts, error analysis, and qualitative examples. No selective reporting evident.
Verbatim excerpt: NR (not stored separately in the source QA file)</x:v>
      </x:c>
      <x:c r="S12" s="6" t="str">
        <x:v>Location: P7 Section VIII Conclusion; P6-P7 Section VII Threats to Validity
Rationale: The conclusion summarizes findings and notes future work. Limitations are explicitly discussed in a dedicated threats-to-validity section covering construct, internal, and external validity (e.g., student interviewers, GPT-4o specificity, refinement definition). Conclusions are directly supported by results.
Verbatim excerpt: NR (not stored separately in the source QA file)</x:v>
      </x:c>
      <x:c r="T12" s="6" t="str">
        <x:v>Location: P7 bottom before Acknowledgments: 'The dataset, including the transcripts, notebooks, and scripts are all available under the GitHub repository https://github.com/cmu-relab/goalgeneration.'
Rationale: Full replication package (data, code, prompts embedded in notebooks) is publicly available. Funding sources disclosed in acknowledgments. No undisclosed conflicts of interest. Transparency is sufficient.
Verbatim excerpt: NR (not stored separately in the source QA file)</x:v>
      </x:c>
      <x:c r="U12" s="2" t="n">
        <x:f>IF(COUNT(E12:L12)=0,"",AVERAGE(E12:L12))</x:f>
        <x:v>1</x:v>
      </x:c>
      <x:c r="V12" s="2" t="str">
        <x:f>IF(U12="","",IF(U12&lt;0.5,"QA_EXCLUDE_FORMAL",IF(U12=0.5,"QA_INCLUDE_WEAK","QA_INCLUDE_STANDARD")))</x:f>
        <x:v>QA_INCLUDE_STANDARD</x:v>
      </x:c>
      <x:c r="W12" s="2" t="str">
        <x:v>QA_INCLUDE_STANDARD</x:v>
      </x:c>
      <x:c r="X12" s="2" t="str">
        <x:v>NA</x:v>
      </x:c>
      <x:c r="Y12" s="2" t="str">
        <x:v>2026-07-25 00:00:00</x:v>
      </x:c>
      <x:c r="Z12" s="6" t="str">
        <x:v>Title: Generative Goal Modeling
Source reviewer: 第一作者
Reviewer A decision: QA_INCLUDE; evidence status: STANDARD_EVIDENCE
Decision rationale: QA_score=1.0000&gt;0.50，第一作者判定保留。
Source record_id: merged_1143; reviewed_at: Sat Jul 25 2026 03:36:29 GMT+0800 (China Standard Time)</x:v>
      </x:c>
    </x:row>
    <x:row r="13" ht="76" customHeight="1">
      <x:c r="A13" s="2" t="str">
        <x:v>S16</x:v>
      </x:c>
      <x:c r="B13" s="2" t="str">
        <x:v>merged_1144</x:v>
      </x:c>
      <x:c r="C13" s="2" t="str">
        <x:v>Reviewer_A</x:v>
      </x:c>
      <x:c r="D13" s="2" t="str">
        <x:v>Reviewer_A</x:v>
      </x:c>
      <x:c r="E13" s="2" t="n">
        <x:v>1</x:v>
      </x:c>
      <x:c r="F13" s="2" t="n">
        <x:v>1</x:v>
      </x:c>
      <x:c r="G13" s="2" t="n">
        <x:v>1</x:v>
      </x:c>
      <x:c r="H13" s="2" t="n">
        <x:v>1</x:v>
      </x:c>
      <x:c r="I13" s="2" t="n">
        <x:v>1</x:v>
      </x:c>
      <x:c r="J13" s="2" t="n">
        <x:v>1</x:v>
      </x:c>
      <x:c r="K13" s="2" t="n">
        <x:v>1</x:v>
      </x:c>
      <x:c r="L13" s="2" t="n">
        <x:v>1</x:v>
      </x:c>
      <x:c r="M13" s="6" t="str">
        <x:v>Location: Page 1, Section 1 (Introduction); Page 7, Section 5.1 (Research Questions)
Rationale: The research objectives are explicitly stated: to construct a realistic evaluation dataset, re-evaluate state-of-the-art, and propose EasyLink. Research questions (RQ1–RQ3) are clearly listed in Section 5.1.
Verbatim excerpt: NR (not stored separately in the source QA file)</x:v>
      </x:c>
      <x:c r="N13" s="6" t="str">
        <x:v>Location: Pages 4–6, Section 3, with Algorithm 1; Pages 6–7, Section 4; Pages 7–8, Section 5.2
Rationale: The dataset construction under RDS is detailed with Algorithm 1. EasyLink’s two-stage method (vector DB retrieval + LLM reranking) is described with equations and Figure 3. Experimental settings (hardware, LLM setup, baselines) are provided.
Verbatim excerpt: NR (not stored separately in the source QA file)</x:v>
      </x:c>
      <x:c r="O13" s="6" t="str">
        <x:v>Location: Page 4, Section 3.1 and 3.2; Page 6, Table 1
Rationale: The 20 projects are specified with sources, commit counts, and issue counts. Data preparation steps are described, including cloning repos, fetching metadata, and handling missing data.
Verbatim excerpt: NR (not stored separately in the source QA file)</x:v>
      </x:c>
      <x:c r="P13" s="6" t="str">
        <x:v>Location: Page 7, Section 5.3 (Evaluation Metrics); Page 8, Section 6 (Results)
Rationale: Standard IR metrics (Precision@k, Recall@k, NDCG, MRR, Hit@k) are used, matching the task. Comparisons include state-of-the-art (EALink), traditional IR (VSM), and ablation. The evaluation design directly addresses the research questions.
Verbatim excerpt: NR (not stored separately in the source QA file)</x:v>
      </x:c>
      <x:c r="Q13" s="6" t="str">
        <x:v>Location: Page 7, Section 5.2.2 (LLM Setup); Page 7, Section 5.2.1 (Hardware); Page 6, Section 4.1 (vector DB with FAISS and MiniLM model); Page 7, Section 4.2 (k=10)
Rationale: LLM version (gpt-4o-2024-11-20), temperature, and sampling are reported. Embedding model (all-MiniLM-L6-v2) and retrieval parameters are specified. Hardware (2× Xeon Platinum 8480C, 2 TiB RAM, NVIDIA H100) is described.
Verbatim excerpt: NR (not stored separately in the source QA file)</x:v>
      </x:c>
      <x:c r="R13" s="6" t="str">
        <x:v>Location: Pages 8–10, Section 6 (Tables 2–7, Figure 4); statistical test details in Section 6.2.1 (p.9)
Rationale: Results are reported across multiple metrics with tables and figures. Statistical significance (Mann-Whitney U, Cohen’s D) is provided. Ablation on embedding and k is included. The analysis is thorough and supports the conclusions.
Verbatim excerpt: NR (not stored separately in the source QA file)</x:v>
      </x:c>
      <x:c r="S13" s="6" t="str">
        <x:v>Location: Page 10, Section 7 (Discussion); Page 11, Section 7.2 (Threats to Validity); Page 11, Section 9 (Conclusion)
Rationale: Conclusions are directly tied to results, stating specific improvements and lessons. Limitations are discussed under construct, internal, and external validity, addressing dataset construction, metric choice, and generalizability.
Verbatim excerpt: NR (not stored separately in the source QA file)</x:v>
      </x:c>
      <x:c r="T13" s="6" t="str">
        <x:v>Location: Page 11, Section 10 (Data Availability) states: "Our implementation, along with the evaluation dataset, has been anonymized and made available at [46]."; Figure 3 shows the reranking prompt template.
Rationale: The authors claim publicly accessible code and dataset (even if the link is anonymized). The paper includes the prompt format, model details, and data construction steps, which together enable replication. No conflicts of interest are mentioned, but transparency is sufficient.
Verbatim excerpt: NR (not stored separately in the source QA file)</x:v>
      </x:c>
      <x:c r="U13" s="2" t="n">
        <x:f>IF(COUNT(E13:L13)=0,"",AVERAGE(E13:L13))</x:f>
        <x:v>1</x:v>
      </x:c>
      <x:c r="V13" s="2" t="str">
        <x:f>IF(U13="","",IF(U13&lt;0.5,"QA_EXCLUDE_FORMAL",IF(U13=0.5,"QA_INCLUDE_WEAK","QA_INCLUDE_STANDARD")))</x:f>
        <x:v>QA_INCLUDE_STANDARD</x:v>
      </x:c>
      <x:c r="W13" s="2" t="str">
        <x:v>QA_INCLUDE_STANDARD</x:v>
      </x:c>
      <x:c r="X13" s="2" t="str">
        <x:v>NA</x:v>
      </x:c>
      <x:c r="Y13" s="2" t="str">
        <x:v>2026-07-25 00:00:00</x:v>
      </x:c>
      <x:c r="Z13" s="6" t="str">
        <x:v>Title: Back to the Basics: Rethinking Issue-Commit Linking with LLM-Assisted Retrieval
Source reviewer: 第一作者
Reviewer A decision: QA_INCLUDE; evidence status: STANDARD_EVIDENCE
Decision rationale: QA_score=1.0000&gt;0.50，第一作者判定保留。
Source record_id: merged_1144; reviewed_at: Sat Jul 25 2026 03:36:21 GMT+0800 (China Standard Time)</x:v>
      </x:c>
    </x:row>
    <x:row r="14" ht="76" customHeight="1">
      <x:c r="A14" s="2" t="str">
        <x:v>S18</x:v>
      </x:c>
      <x:c r="B14" s="2" t="str">
        <x:v>merged_1149</x:v>
      </x:c>
      <x:c r="C14" s="2" t="str">
        <x:v>Reviewer_A</x:v>
      </x:c>
      <x:c r="D14" s="2" t="str">
        <x:v>Reviewer_A</x:v>
      </x:c>
      <x:c r="E14" s="2" t="n">
        <x:v>1</x:v>
      </x:c>
      <x:c r="F14" s="2" t="n">
        <x:v>1</x:v>
      </x:c>
      <x:c r="G14" s="2" t="n">
        <x:v>1</x:v>
      </x:c>
      <x:c r="H14" s="2" t="n">
        <x:v>1</x:v>
      </x:c>
      <x:c r="I14" s="2" t="n">
        <x:v>1</x:v>
      </x:c>
      <x:c r="J14" s="2" t="n">
        <x:v>1</x:v>
      </x:c>
      <x:c r="K14" s="2" t="n">
        <x:v>1</x:v>
      </x:c>
      <x:c r="L14" s="2" t="n">
        <x:v>0.5</x:v>
      </x:c>
      <x:c r="M14" s="6" t="str">
        <x:v>Location: 第10页 Section 4.1
Rationale: 明确列出四个研究问题（RQ1-RQ4），目标清晰可度量。
Verbatim excerpt: NR (not stored separately in the source QA file)</x:v>
      </x:c>
      <x:c r="N14" s="6" t="str">
        <x:v>Location: 第5-9页 Section 3、第14-15页 Section 4.4
Rationale: Kashif的六步骤流程与Rice LRT的两步骤设计均有详细描述，实现细节包括超参数搜索空间和最终选择值，足以复现。
Verbatim excerpt: NR (not stored separately in the source QA file)</x:v>
      </x:c>
      <x:c r="O14" s="6" t="str">
        <x:v>Location: 第10-11页 Section 4.2, Tables 1-3
Rationale: HIPAA数据集和新GDPR测试文档的规模、来源、领域、trace link分布完整说明。
Verbatim excerpt: NR (not stored separately in the source QA file)</x:v>
      </x:c>
      <x:c r="P14" s="6" t="str">
        <x:v>Location: 第10页 RQ1-RQ4、第15-17页评价指标与设计
Rationale: 每个RQ对应特定数据集、评估方法（AUC、留一法、精确率/召回率/F2）、人工真值和多组基线，设计匹配目标。
Verbatim excerpt: NR (not stored separately in the source QA file)</x:v>
      </x:c>
      <x:c r="Q14" s="6" t="str">
        <x:v>Location: 第14-15页 Section 4.4
Rationale: 报告了Kashif所用ST29、GPT-4o模型版本、提示全文、API参数（温度0、max-token 2000等）和超参数调优细节。
Verbatim excerpt: NR (not stored separately in the source QA file)</x:v>
      </x:c>
      <x:c r="R14" s="6" t="str">
        <x:v>Location: 第16-18页 Table 4, Table 5, Figure 5及相应叙述
Rationale: 提供了TP/FP/FN计数、Precision/Recall/F2均值与标准差、MAP、AUC，配有图表和统计比较，分析充分。
Verbatim excerpt: NR (not stored separately in the source QA file)</x:v>
      </x:c>
      <x:c r="S14" s="6" t="str">
        <x:v>Location: 第3页Structure指出Section 5讨论threats to validity，第17页RQ1回答及Table 5支持结论
Rationale: 结论由实验结果直接支持，且论文包含威胁有效性讨论章节，尽管全文截断但结构明确。
Verbatim excerpt: NR (not stored separately in the source QA file)</x:v>
      </x:c>
      <x:c r="T14" s="6" t="str">
        <x:v>Location: 第4页 Data Availability段落
Rationale: 宣称评估材料在在线附件中可获得，但未提供直接链接；利益冲突未声明；方法细节充分但完整复制包未确认。
Verbatim excerpt: NR (not stored separately in the source QA file)</x:v>
      </x:c>
      <x:c r="U14" s="2" t="n">
        <x:f>IF(COUNT(E14:L14)=0,"",AVERAGE(E14:L14))</x:f>
        <x:v>0.9375</x:v>
      </x:c>
      <x:c r="V14" s="2" t="str">
        <x:f>IF(U14="","",IF(U14&lt;0.5,"QA_EXCLUDE_FORMAL",IF(U14=0.5,"QA_INCLUDE_WEAK","QA_INCLUDE_STANDARD")))</x:f>
        <x:v>QA_INCLUDE_STANDARD</x:v>
      </x:c>
      <x:c r="W14" s="2" t="str">
        <x:v>QA_INCLUDE_STANDARD</x:v>
      </x:c>
      <x:c r="X14" s="2" t="str">
        <x:v>NA</x:v>
      </x:c>
      <x:c r="Y14" s="2" t="str">
        <x:v>2026-07-25 00:00:00</x:v>
      </x:c>
      <x:c r="Z14" s="6" t="str">
        <x:v>Title: Classifier or Prompt: A Case Study on Legal Requirements Traceability
Source reviewer: 第一作者
Reviewer A decision: QA_INCLUDE; evidence status: STANDARD_EVIDENCE
Decision rationale: QA_score=0.9375&gt;0.50，第一作者判定保留。
Source record_id: merged_1149; reviewed_at: Sat Jul 25 2026 03:36:52 GMT+0800 (China Standard Time)</x:v>
      </x:c>
    </x:row>
    <x:row r="15" ht="76" customHeight="1">
      <x:c r="A15" s="2" t="str">
        <x:v>S19</x:v>
      </x:c>
      <x:c r="B15" s="2" t="str">
        <x:v>merged_1150</x:v>
      </x:c>
      <x:c r="C15" s="2" t="str">
        <x:v>Reviewer_A</x:v>
      </x:c>
      <x:c r="D15" s="2" t="str">
        <x:v>Reviewer_A</x:v>
      </x:c>
      <x:c r="E15" s="2" t="n">
        <x:v>1</x:v>
      </x:c>
      <x:c r="F15" s="2" t="n">
        <x:v>1</x:v>
      </x:c>
      <x:c r="G15" s="2" t="n">
        <x:v>1</x:v>
      </x:c>
      <x:c r="H15" s="2" t="n">
        <x:v>1</x:v>
      </x:c>
      <x:c r="I15" s="2" t="n">
        <x:v>1</x:v>
      </x:c>
      <x:c r="J15" s="2" t="n">
        <x:v>1</x:v>
      </x:c>
      <x:c r="K15" s="2" t="n">
        <x:v>1</x:v>
      </x:c>
      <x:c r="L15" s="2" t="n">
        <x:v>0.5</x:v>
      </x:c>
      <x:c r="M15" s="6" t="str">
        <x:v>Location: 第2页, III. STUDY DESIGN
Rationale: 研究明确提出了三个研究问题（RQ1、RQ2、RQ3），目标清晰。
Verbatim excerpt: NR (not stored separately in the source QA file)</x:v>
      </x:c>
      <x:c r="N15" s="6" t="str">
        <x:v>Location: 第2-3页, III. STUDY DESIGN
Rationale: 详细描述了研究对象（五个游戏案例）、数据创建与验证过程、LLM配置（模型版本、温度、上下文窗口）、运行次数和多数投票策略；关键提示通过在线材料提供，整体方法足以复现。
Verbatim excerpt: NR (not stored separately in the source QA file)</x:v>
      </x:c>
      <x:c r="O15" s="6" t="str">
        <x:v>Location: 第2页, 表I和表II
Rationale: 明确了五个游戏案例的需求数量、实现情况、代码行数和气味变体的数量与类型，数据规模和情境描述完整。
Verbatim excerpt: NR (not stored separately in the source QA file)</x:v>
      </x:c>
      <x:c r="P15" s="6" t="str">
        <x:v>Location: 第2-3页, III.B 和 III.C
Rationale: 评价设计采用适合研究目标的自动化追踪指标（BTA、LOC精确率/召回率/F1），通过人工创建的真值进行比较，并使用GLMM分析不同噪声比例与类别的影响，真值、指标与目标高度匹配。
Verbatim excerpt: NR (not stored separately in the source QA file)</x:v>
      </x:c>
      <x:c r="Q15" s="6" t="str">
        <x:v>Location: 第3页, III.C 和脚注2
Rationale: 报告了具体模型版本（GPT-4o gpt-4o-2024-08-06, Llama 3.1 70B）、温度设为0、128k上下文窗口、多次运行与多数投票，关键超参数和提示来源明确。
Verbatim excerpt: NR (not stored separately in the source QA file)</x:v>
      </x:c>
      <x:c r="R15" s="6" t="str">
        <x:v>Location: 第3-4页, IV. STUDY RESULTS
Rationale: 结果包含详细表格（表III、IV）、趋势图（图1）和统计检验（GLMM系数、p值、置信区间），数据分析充分，报告了主要发现。
Verbatim excerpt: NR (not stored separately in the source QA file)</x:v>
      </x:c>
      <x:c r="S15" s="6" t="str">
        <x:v>Location: 第4页, IV.D 和 V
Rationale: 结论基于BTA显著下降、F1无显著变化等结果，明确指出了测试系统复杂性有限的局限性，并列出未来研究方向。
Verbatim excerpt: NR (not stored separately in the source QA file)</x:v>
      </x:c>
      <x:c r="T15" s="6" t="str">
        <x:v>Location: 第3页脚注2; 第5页
Rationale: 通过FIGSHARE链接提供了提示和模型摘要的在线材料，但论文未明确说明数据集（需求与代码）是否可公开获取，也未包含利益关系声明，视为部分透明度。
Verbatim excerpt: NR (not stored separately in the source QA file)</x:v>
      </x:c>
      <x:c r="U15" s="2" t="n">
        <x:f>IF(COUNT(E15:L15)=0,"",AVERAGE(E15:L15))</x:f>
        <x:v>0.9375</x:v>
      </x:c>
      <x:c r="V15" s="2" t="str">
        <x:f>IF(U15="","",IF(U15&lt;0.5,"QA_EXCLUDE_FORMAL",IF(U15=0.5,"QA_INCLUDE_WEAK","QA_INCLUDE_STANDARD")))</x:f>
        <x:v>QA_INCLUDE_STANDARD</x:v>
      </x:c>
      <x:c r="W15" s="2" t="str">
        <x:v>QA_INCLUDE_STANDARD</x:v>
      </x:c>
      <x:c r="X15" s="2" t="str">
        <x:v>NA</x:v>
      </x:c>
      <x:c r="Y15" s="2" t="str">
        <x:v>2026-07-25 00:00:00</x:v>
      </x:c>
      <x:c r="Z15" s="6" t="str">
        <x:v>Title: On the Impact of Requirements Smells in Prompts: The Case of Automated Traceability
Source reviewer: 第一作者
Reviewer A decision: QA_INCLUDE; evidence status: STANDARD_EVIDENCE
Decision rationale: QA_score=0.9375&gt;0.50，第一作者判定保留。
Source record_id: merged_1150; reviewed_at: Sat Jul 25 2026 03:36:55 GMT+0800 (China Standard Time)</x:v>
      </x:c>
    </x:row>
    <x:row r="16" ht="76" customHeight="1">
      <x:c r="A16" s="2" t="str">
        <x:v>S21</x:v>
      </x:c>
      <x:c r="B16" s="2" t="str">
        <x:v>merged_1152</x:v>
      </x:c>
      <x:c r="C16" s="2" t="str">
        <x:v>Reviewer_A</x:v>
      </x:c>
      <x:c r="D16" s="2" t="str">
        <x:v>Reviewer_A</x:v>
      </x:c>
      <x:c r="E16" s="2" t="n">
        <x:v>1</x:v>
      </x:c>
      <x:c r="F16" s="2" t="n">
        <x:v>0.5</x:v>
      </x:c>
      <x:c r="G16" s="2" t="n">
        <x:v>0.5</x:v>
      </x:c>
      <x:c r="H16" s="2" t="n">
        <x:v>0.5</x:v>
      </x:c>
      <x:c r="I16" s="2" t="n">
        <x:v>0.5</x:v>
      </x:c>
      <x:c r="J16" s="2" t="n">
        <x:v>0.5</x:v>
      </x:c>
      <x:c r="K16" s="2" t="n">
        <x:v>1</x:v>
      </x:c>
      <x:c r="L16" s="2" t="n">
        <x:v>0.5</x:v>
      </x:c>
      <x:c r="M16" s="6" t="str">
        <x:v>Location: 第1页
Rationale: 研究明确提出了5个研究问题(RQ1-RQ5)，目标清晰。
Verbatim excerpt: NR (not stored separately in the source QA file)</x:v>
      </x:c>
      <x:c r="N16" s="6" t="str">
        <x:v>Location: 第2-3页
Rationale: 描述了数据集选择、模型选择和提示工程过程，但缺少超参数设置和模型版本细节，部分无法复现。
Verbatim excerpt: NR (not stored separately in the source QA file)</x:v>
      </x:c>
      <x:c r="O16" s="6" t="str">
        <x:v>Location: 第2页，表1
Rationale: 明确描述了数据集和情境，但子集选择方法仅部分解释，且仅分析了少量查询。
Verbatim excerpt: NR (not stored separately in the source QA file)</x:v>
      </x:c>
      <x:c r="P16" s="6" t="str">
        <x:v>Location: 第3-4页
Rationale: 评价设计使用了分类和排名，并与目标匹配，但只在小型子集上测试，且未报告统计显著性，强度较弱。
Verbatim excerpt: NR (not stored separately in the source QA file)</x:v>
      </x:c>
      <x:c r="Q16" s="6" t="str">
        <x:v>Location: 第2页
Rationale: 报告了使用的模型名称，但未提供版本号、温度等关键设置，不足以复现。
Verbatim excerpt: NR (not stored separately in the source QA file)</x:v>
      </x:c>
      <x:c r="R16" s="6" t="str">
        <x:v>Location: 第4-6页，表2-3
Rationale: 提供了分类的精度/召回率表和排名MAP表，但缺少误差范围或统计分析，且仅对一个数据集详细分析。
Verbatim excerpt: NR (not stored separately in the source QA file)</x:v>
      </x:c>
      <x:c r="S16" s="6" t="str">
        <x:v>Location: 第6页（威胁），第7-8页（结论）
Rationale: 结论直接由结果推导，并在威胁部分明确列出了局限性和未来工作。
Verbatim excerpt: NR (not stored separately in the source QA file)</x:v>
      </x:c>
      <x:c r="T16" s="6" t="str">
        <x:v>Location: 全文
Rationale: 未提供代码、数据子集或可复现材料，仅部分提示文本可用，利益冲突已声明。
Verbatim excerpt: NR (not stored separately in the source QA file)</x:v>
      </x:c>
      <x:c r="U16" s="2" t="n">
        <x:f>IF(COUNT(E16:L16)=0,"",AVERAGE(E16:L16))</x:f>
        <x:v>0.625</x:v>
      </x:c>
      <x:c r="V16" s="2" t="str">
        <x:f>IF(U16="","",IF(U16&lt;0.5,"QA_EXCLUDE_FORMAL",IF(U16=0.5,"QA_INCLUDE_WEAK","QA_INCLUDE_STANDARD")))</x:f>
        <x:v>QA_INCLUDE_STANDARD</x:v>
      </x:c>
      <x:c r="W16" s="2" t="str">
        <x:v>QA_INCLUDE_STANDARD</x:v>
      </x:c>
      <x:c r="X16" s="2" t="str">
        <x:v>NA</x:v>
      </x:c>
      <x:c r="Y16" s="2" t="str">
        <x:v>2026-07-25 00:00:00</x:v>
      </x:c>
      <x:c r="Z16" s="6" t="str">
        <x:v>Title: Prompts Matter: Insights and Strategies for Prompt Engineering in Automated Software Traceability
Source reviewer: 第一作者
Reviewer A decision: QA_INCLUDE; evidence status: STANDARD_EVIDENCE
Decision rationale: QA_score=0.6250&gt;0.50，第一作者判定保留。
Source record_id: merged_1152; reviewed_at: Sat Jul 25 2026 03:36:57 GMT+0800 (China Standard Time)</x:v>
      </x:c>
    </x:row>
    <x:row r="17" ht="76" customHeight="1">
      <x:c r="A17" s="2" t="str">
        <x:v>S23</x:v>
      </x:c>
      <x:c r="B17" s="2" t="str">
        <x:v>merged_1156</x:v>
      </x:c>
      <x:c r="C17" s="2" t="str">
        <x:v>Reviewer_A</x:v>
      </x:c>
      <x:c r="D17" s="2" t="str">
        <x:v>Reviewer_A</x:v>
      </x:c>
      <x:c r="E17" s="2" t="n">
        <x:v>1</x:v>
      </x:c>
      <x:c r="F17" s="2" t="n">
        <x:v>0.5</x:v>
      </x:c>
      <x:c r="G17" s="2" t="n">
        <x:v>0.5</x:v>
      </x:c>
      <x:c r="H17" s="2" t="n">
        <x:v>1</x:v>
      </x:c>
      <x:c r="I17" s="2" t="n">
        <x:v>0.5</x:v>
      </x:c>
      <x:c r="J17" s="2" t="n">
        <x:v>0.5</x:v>
      </x:c>
      <x:c r="K17" s="2" t="n">
        <x:v>1</x:v>
      </x:c>
      <x:c r="L17" s="2" t="n">
        <x:v>0</x:v>
      </x:c>
      <x:c r="M17" s="6" t="str">
        <x:v>Location: Page 3, Section I.B Research Questions
Rationale: Two explicit research questions (RQ1, RQ2) are stated, making the study objectives clear.
Verbatim excerpt: NR (not stored separately in the source QA file)</x:v>
      </x:c>
      <x:c r="N17" s="6" t="str">
        <x:v>Location: Pages 4–5, Section III Methods
Rationale: The major steps (segmentation, gradient calculation, pooling, reprompting) are described, but important details are missing, e.g., the exact prompts used to instruct the model, the specific SmoothGrad parameters, and how the z-score threshold of 2 was chosen. This limits full replicability.
Verbatim excerpt: NR (not stored separately in the source QA file)</x:v>
      </x:c>
      <x:c r="O17" s="6" t="str">
        <x:v>Location: Page 5, Section III.E Evaluation
Rationale: The dataset (HumanEval, 164 problems) and models (WizardCoder 1B/3B, CodeLlama 7B/13B) are clearly identified; however, the rationale for selecting these specific models and sizes is not discussed, and the context (proof-of-concept on benchmark) is only partially established.
Verbatim excerpt: NR (not stored separately in the source QA file)</x:v>
      </x:c>
      <x:c r="P17" s="6" t="str">
        <x:v>Location: Pages 5–7, Section III.E and Section IV Results
Rationale: The evaluation design (pass@1 on HumanEval, comparing gradient-based selection strategies against model-only and random baselines) aligns well with the research goals of detecting unfulfilled requirements and improving code. The ground truth comes from unit tests, the metric is standard, and multiple baselines are used.
Verbatim excerpt: NR (not stored separately in the source QA file)</x:v>
      </x:c>
      <x:c r="Q17" s="6" t="str">
        <x:v>Location: Page 5, Section III.E and pages 4–6
Rationale: Model versions are reported, but key experimental settings are incomplete: the exact text of the initial and reprompting instructions is not provided, and gradient computation details (e.g., SmoothGrad noise level) are absent.
Verbatim excerpt: NR (not stored separately in the source QA file)</x:v>
      </x:c>
      <x:c r="R17" s="6" t="str">
        <x:v>Location: Pages 6–7, Section IV Results (Tables I–III) and discussion
Rationale: Results are reported with pass@1 scores and improvements, and a breakdown of fixes/regressions is given. However, the analysis is limited: no statistical tests (e.g., confidence intervals, significance) are performed, and effect sizes are not discussed. The small sample size is acknowledged as a limitation.
Verbatim excerpt: NR (not stored separately in the source QA file)</x:v>
      </x:c>
      <x:c r="S17" s="6" t="str">
        <x:v>Location: Page 8, Section VII Conclusions and Page 7, Section V Limitations
Rationale: Conclusions are directly supported by the experimental results, explicitly state that the work is preliminary, and clearly acknowledge limitations (internal validity due to small dataset, external validity due to limited model diversity, and approach limitations like unavailable gradients for API-based models).
Verbatim excerpt: NR (not stored separately in the source QA file)</x:v>
      </x:c>
      <x:c r="T17" s="6" t="str">
        <x:v>Location: 全文未找到相关披露信息
Rationale: No data, code, or prompt templates are shared, no repository or supplementary material is referenced, and no conflict-of-interest statement is included. The paper does not justify why these materials are unavailable, failing to meet even partial transparency requirements.
Verbatim excerpt: NR (not stored separately in the source QA file)</x:v>
      </x:c>
      <x:c r="U17" s="2" t="n">
        <x:f>IF(COUNT(E17:L17)=0,"",AVERAGE(E17:L17))</x:f>
        <x:v>0.625</x:v>
      </x:c>
      <x:c r="V17" s="2" t="str">
        <x:f>IF(U17="","",IF(U17&lt;0.5,"QA_EXCLUDE_FORMAL",IF(U17=0.5,"QA_INCLUDE_WEAK","QA_INCLUDE_STANDARD")))</x:f>
        <x:v>QA_INCLUDE_STANDARD</x:v>
      </x:c>
      <x:c r="W17" s="2" t="str">
        <x:v>QA_INCLUDE_STANDARD</x:v>
      </x:c>
      <x:c r="X17" s="2" t="str">
        <x:v>NA</x:v>
      </x:c>
      <x:c r="Y17" s="2" t="str">
        <x:v>2026-07-25 00:00:00</x:v>
      </x:c>
      <x:c r="Z17" s="6" t="str">
        <x:v>Title: Code Gradients: Towards Automated Traceability of LLM-Generated Code
Source reviewer: 第一作者
Reviewer A decision: QA_INCLUDE; evidence status: STANDARD_EVIDENCE
Decision rationale: QA_score=0.6250&gt;0.50，第一作者判定保留。
Source record_id: merged_1156; reviewed_at: Sat Jul 25 2026 03:36:48 GMT+0800 (China Standard Time)</x:v>
      </x:c>
    </x:row>
    <x:row r="18" ht="76" customHeight="1">
      <x:c r="A18" s="2" t="str">
        <x:v>S24</x:v>
      </x:c>
      <x:c r="B18" s="2" t="str">
        <x:v>merged_1172</x:v>
      </x:c>
      <x:c r="C18" s="2" t="str">
        <x:v>Reviewer_A</x:v>
      </x:c>
      <x:c r="D18" s="2" t="str">
        <x:v>Reviewer_A</x:v>
      </x:c>
      <x:c r="E18" s="2" t="n">
        <x:v>1</x:v>
      </x:c>
      <x:c r="F18" s="2" t="n">
        <x:v>1</x:v>
      </x:c>
      <x:c r="G18" s="2" t="n">
        <x:v>1</x:v>
      </x:c>
      <x:c r="H18" s="2" t="n">
        <x:v>1</x:v>
      </x:c>
      <x:c r="I18" s="2" t="n">
        <x:v>1</x:v>
      </x:c>
      <x:c r="J18" s="2" t="n">
        <x:v>1</x:v>
      </x:c>
      <x:c r="K18" s="2" t="n">
        <x:v>1</x:v>
      </x:c>
      <x:c r="L18" s="2" t="n">
        <x:v>0.5</x:v>
      </x:c>
      <x:c r="M18" s="6" t="str">
        <x:v>Location: Page 1, Abstract and Section 1 Introduction
Rationale: Clear objective stated: 'This paper introduces a human-in-the-loop requirements analysis pipeline that automates requirement extraction, classification, and verification for aerospace project documentation.' Research questions explicitly defined in the introduction and conclusion.
Verbatim excerpt: NR (not stored separately in the source QA file)</x:v>
      </x:c>
      <x:c r="N18" s="6" t="str">
        <x:v>Location: Pages 2-4, Section 2 Software Architecture
Rationale: Software architecture is described in detail: LLM-driven rule induction, structural pipeline, semantic/logic pipeline, and human-in-the-loop component. Processes are clearly documented with figures and text, enabling replication.
Verbatim excerpt: NR (not stored separately in the source QA file)</x:v>
      </x:c>
      <x:c r="O18" s="6" t="str">
        <x:v>Location: Page 4, Section 3 Evaluation and Metrics (Dataset creation)
Rationale: Corpus explicitly described: synthetic ECSS-style documents, 6 PDFs (1 SRD, 5 TRDs), 225 requirements total. Source and context are clear; the reasoning for synthetic data (proprietary/export-controlled) is provided.
Verbatim excerpt: NR (not stored separately in the source QA file)</x:v>
      </x:c>
      <x:c r="P18" s="6" t="str">
        <x:v>Location: Pages 4-5, Section 3 Evaluation and Metrics
Rationale: Evaluation uses a gold standard built from dual human-LLM annotation and adjudication. Metrics include precision, recall, F1, balanced accuracy, MCC, and inter-rater agreement. Design directly addresses the research goals of assessing ambiguity and testability detection, with appropriate baselines (five LLM comparisons).
Verbatim excerpt: NR (not stored separately in the source QA file)</x:v>
      </x:c>
      <x:c r="Q18" s="6" t="str">
        <x:v>Location: Page 6, Section 4 Experiments and Results (Models evaluated)
Rationale: Five LLMs are named with versions (DeepSeek v3.1, GPT-OSS 120B, Qwen3 235B Instruct, Llama 3.3 70B Instruct, Claude Sonnet 4) and shared settings (temperature 0.2, top-p 0.9, fixed max tokens). Prompts are provided in Appendix 5 (Listings 3 and 4). Sufficient for understanding and replicating the experimental setup.
Verbatim excerpt: NR (not stored separately in the source QA file)</x:v>
      </x:c>
      <x:c r="R18" s="6" t="str">
        <x:v>Location: Pages 6-8, Section 4 Experiments and Results
Rationale: Results are reported comprehensively: structural QC counts, balanced accuracy, MCC, F1, FPR vs. FNR scatter plots, confusion matrices, and per-subsystem breakdowns. Uncertainty (inter-rater agreement, Fleiss' κ) is discussed. Data analysis is thorough.
Verbatim excerpt: NR (not stored separately in the source QA file)</x:v>
      </x:c>
      <x:c r="S18" s="6" t="str">
        <x:v>Location: Page 8, Section 5 Conclusion
Rationale: Conclusions (e.g., hybrid architecture benefits, model performance ranges) are supported by results. Limitations are explicitly stated: 'synthetic corpus with limited adjudication', parser errors (3%), and domain-phrasing sensitivity.
Verbatim excerpt: NR (not stored separately in the source QA file)</x:v>
      </x:c>
      <x:c r="T18" s="6" t="str">
        <x:v>Location: Page 4 (mention of synthetic corpus for sharing), Appendix 5 (prompts)
Rationale: Prompts are provided in the appendix. However, the dataset and code are not publicly available (no links or repository mentioned), and no data availability statement is included. The paper claims synthetic data enables sharing, but no access is given, reducing transparency.
Verbatim excerpt: NR (not stored separately in the source QA file)</x:v>
      </x:c>
      <x:c r="U18" s="2" t="n">
        <x:f>IF(COUNT(E18:L18)=0,"",AVERAGE(E18:L18))</x:f>
        <x:v>0.9375</x:v>
      </x:c>
      <x:c r="V18" s="2" t="str">
        <x:f>IF(U18="","",IF(U18&lt;0.5,"QA_EXCLUDE_FORMAL",IF(U18=0.5,"QA_INCLUDE_WEAK","QA_INCLUDE_STANDARD")))</x:f>
        <x:v>QA_INCLUDE_STANDARD</x:v>
      </x:c>
      <x:c r="W18" s="2" t="str">
        <x:v>QA_INCLUDE_STANDARD</x:v>
      </x:c>
      <x:c r="X18" s="2" t="str">
        <x:v>NA</x:v>
      </x:c>
      <x:c r="Y18" s="2" t="str">
        <x:v>2026-07-25 00:00:00</x:v>
      </x:c>
      <x:c r="Z18" s="6" t="str">
        <x:v>Title: Automated Extraction and Cross-Document Analysis of Aerospace Project Requirements Using LLMs
Source reviewer: 第一作者
Reviewer A decision: QA_INCLUDE; evidence status: STANDARD_EVIDENCE
Decision rationale: QA_score=0.9375&gt;0.50，第一作者判定保留。
Source record_id: merged_1172; reviewed_at: Sat Jul 25 2026 03:36:55 GMT+0800 (China Standard Time)</x:v>
      </x:c>
    </x:row>
    <x:row r="19" ht="76" customHeight="1">
      <x:c r="A19" s="2" t="str">
        <x:v>S25</x:v>
      </x:c>
      <x:c r="B19" s="2" t="str">
        <x:v>merged_1185</x:v>
      </x:c>
      <x:c r="C19" s="2" t="str">
        <x:v>Reviewer_A</x:v>
      </x:c>
      <x:c r="D19" s="2" t="str">
        <x:v>Reviewer_A</x:v>
      </x:c>
      <x:c r="E19" s="2" t="n">
        <x:v>1</x:v>
      </x:c>
      <x:c r="F19" s="2" t="n">
        <x:v>1</x:v>
      </x:c>
      <x:c r="G19" s="2" t="n">
        <x:v>1</x:v>
      </x:c>
      <x:c r="H19" s="2" t="n">
        <x:v>1</x:v>
      </x:c>
      <x:c r="I19" s="2" t="n">
        <x:v>0.5</x:v>
      </x:c>
      <x:c r="J19" s="2" t="n">
        <x:v>0.5</x:v>
      </x:c>
      <x:c r="K19" s="2" t="n">
        <x:v>1</x:v>
      </x:c>
      <x:c r="L19" s="2" t="n">
        <x:v>0</x:v>
      </x:c>
      <x:c r="M19" s="6" t="str">
        <x:v>Location: 第1页，I.A和I.B节
Rationale: 研究目标明确，通过问题陈述和研究贡献清晰定义了要解决的挑战和提出的方法。
Verbatim excerpt: NR (not stored separately in the source QA file)</x:v>
      </x:c>
      <x:c r="N19" s="6" t="str">
        <x:v>Location: 第3-4页，II节；第4-5页，III节
Rationale: 方法部分详细描述了框架架构、智能体编排算法、混合知识系统和上下文引擎，实施部分给出了技术栈和集成细节，足以复述主要思想和流程。
Verbatim excerpt: NR (not stored separately in the source QA file)</x:v>
      </x:c>
      <x:c r="O19" s="6" t="str">
        <x:v>Location: 第6页，IV.A节；第5页，III.G节
Rationale: 明确给出了评价使用的合成数据集（5000个场景）和企业真实SAP数据集（25,000个测试案例、15个模块等），项目背景和范围清晰。
Verbatim excerpt: NR (not stored separately in the source QA file)</x:v>
      </x:c>
      <x:c r="P19" s="6" t="str">
        <x:v>Location: 第6页，IV.B和IV.C节，Table I
Rationale: 评价设计包含多种基线（手动、基于模板、基础RAG、GPT-4 Direct、SAP TAO），使用准确性、完整性、一致性、可追溯性等多维度指标，与改进测试生成效率的研究目标匹配。
Verbatim excerpt: NR (not stored separately in the source QA file)</x:v>
      </x:c>
      <x:c r="Q19" s="6" t="str">
        <x:v>Location: 第5页，III.B和III.F节
Rationale: 报告了使用Mistral 7B和Gemini Pro并根据任务复杂性动态路由，但未提供模型具体版本、提示模板样本或上下文窗口大小等关键设置，复现可能受限。
Verbatim excerpt: NR (not stored separately in the source QA file)</x:v>
      </x:c>
      <x:c r="R19" s="6" t="str">
        <x:v>Location: 第6-7页，IV节，图3-4，表I-II
Rationale: 报告了主要准确率和效率结果以及消融实验，但未提供任何误差范围、置信区间或统计显著性检验，分析不够充分。
Verbatim excerpt: NR (not stored separately in the source QA file)</x:v>
      </x:c>
      <x:c r="S19" s="6" t="str">
        <x:v>Location: 第7页，V节
Rationale: 结论准确总结了成果，并明确列出了领域专门化、知识库维护等局限性，与结果一致且局限明确。
Verbatim excerpt: NR (not stored separately in the source QA file)</x:v>
      </x:c>
      <x:c r="T19" s="6" t="str">
        <x:v>Location: 全文未找到代码/数据/提示链接或利益关系声明
Rationale: 未提供代码、数据集、提示模板或复现材料，未解释保密原因或声明利益冲突，关键透明度材料缺失。
Verbatim excerpt: NR (not stored separately in the source QA file)</x:v>
      </x:c>
      <x:c r="U19" s="2" t="n">
        <x:f>IF(COUNT(E19:L19)=0,"",AVERAGE(E19:L19))</x:f>
        <x:v>0.75</x:v>
      </x:c>
      <x:c r="V19" s="2" t="str">
        <x:f>IF(U19="","",IF(U19&lt;0.5,"QA_EXCLUDE_FORMAL",IF(U19=0.5,"QA_INCLUDE_WEAK","QA_INCLUDE_STANDARD")))</x:f>
        <x:v>QA_INCLUDE_STANDARD</x:v>
      </x:c>
      <x:c r="W19" s="2" t="str">
        <x:v>QA_INCLUDE_STANDARD</x:v>
      </x:c>
      <x:c r="X19" s="2" t="str">
        <x:v>NA</x:v>
      </x:c>
      <x:c r="Y19" s="2" t="str">
        <x:v>2026-07-25 00:00:00</x:v>
      </x:c>
      <x:c r="Z19" s="6" t="str">
        <x:v>Title: Agentic RAG for Software Testing with Hybrid Vector-Graph and Multi-Agent Orchestration
Source reviewer: 第一作者
Reviewer A decision: QA_INCLUDE; evidence status: STANDARD_EVIDENCE
Decision rationale: QA_score=0.7500&gt;0.50，第一作者判定保留。
Source record_id: merged_1185; reviewed_at: Sat Jul 25 2026 03:36:55 GMT+0800 (China Standard Time)</x:v>
      </x:c>
    </x:row>
    <x:row r="20" ht="76" customHeight="1">
      <x:c r="A20" s="2" t="str">
        <x:v>S26</x:v>
      </x:c>
      <x:c r="B20" s="2" t="str">
        <x:v>merged_1212</x:v>
      </x:c>
      <x:c r="C20" s="2" t="str">
        <x:v>Reviewer_A</x:v>
      </x:c>
      <x:c r="D20" s="2" t="str">
        <x:v>Reviewer_A</x:v>
      </x:c>
      <x:c r="E20" s="2" t="n">
        <x:v>1</x:v>
      </x:c>
      <x:c r="F20" s="2" t="n">
        <x:v>1</x:v>
      </x:c>
      <x:c r="G20" s="2" t="n">
        <x:v>0.5</x:v>
      </x:c>
      <x:c r="H20" s="2" t="n">
        <x:v>0.5</x:v>
      </x:c>
      <x:c r="I20" s="2" t="n">
        <x:v>0.5</x:v>
      </x:c>
      <x:c r="J20" s="2" t="n">
        <x:v>0.5</x:v>
      </x:c>
      <x:c r="K20" s="2" t="n">
        <x:v>0.5</x:v>
      </x:c>
      <x:c r="L20" s="2" t="n">
        <x:v>0</x:v>
      </x:c>
      <x:c r="M20" s="6" t="str">
        <x:v>Location: P1 Introduction 末尾, P2 开头
Rationale: 引言末尾明确列出四个具体的研究问题RQ1-RQ4，目标清晰。
Verbatim excerpt: NR (not stored separately in the source QA file)</x:v>
      </x:c>
      <x:c r="N20" s="6" t="str">
        <x:v>Location: P3-P4 Section III
Rationale: 方法部分（III.A-D）描述了每个RQ的技术路径，如RQ1的提示工程结合IR，RQ2的管道步骤（图2），RQ3的框架，过程足以理解。
Verbatim excerpt: NR (not stored separately in the source QA file)</x:v>
      </x:c>
      <x:c r="O20" s="6" t="str">
        <x:v>Location: P3-P4 Section III.A, III.B, III.C
Rationale: 研究对象为软件可追溯性任务，但数据集、项目规模、来源未说明。RQ1未给出测试集；RQ2提及三位专家但项目信息不详；RQ3提到六位专家和两个CPS场景，但缺乏具体细节。
Verbatim excerpt: NR (not stored separately in the source QA file)</x:v>
      </x:c>
      <x:c r="P20" s="6" t="str">
        <x:v>Location: P3-P4 Section III.A, III.B, III.C
Rationale: 评价存在：RQ1与VSM、BERT比较；RQ2专家对质量维度和概念覆盖评分；RQ3比较有无框架的需求数量。但未报告真值、具体指标或统计检验，仅定性或概括性描述。
Verbatim excerpt: NR (not stored separately in the source QA file)</x:v>
      </x:c>
      <x:c r="Q20" s="6" t="str">
        <x:v>Location: 全文未找到具体模型信息
Rationale: 仅提及LLMs、提示工程、链式推理，但未给出具体模型版本（如GPT-4）、提示示例或超参数，不足以复现。
Verbatim excerpt: NR (not stored separately in the source QA file)</x:v>
      </x:c>
      <x:c r="R20" s="6" t="str">
        <x:v>Location: P3-P4 Section III.A, III.B, III.C
Rationale: 报告了主要发现（如超越传统方法、概念覆盖更好、多生成4-20条安全需求），但缺乏具体数值、误差或详细分析，无法核验。
Verbatim excerpt: NR (not stored separately in the source QA file)</x:v>
      </x:c>
      <x:c r="S20" s="6" t="str">
        <x:v>Location: P4 Conclusion
Rationale: 结论总结了四项贡献，与前文结果一致。但未明确讨论局限性或边界，仅提及未来计划。
Verbatim excerpt: NR (not stored separately in the source QA file)</x:v>
      </x:c>
      <x:c r="T20" s="6" t="str">
        <x:v>Location: 未找到复现材料或披露
Rationale: 未提供数据、代码、提示或利益冲突说明，完全缺失。
Verbatim excerpt: NR (not stored separately in the source QA file)</x:v>
      </x:c>
      <x:c r="U20" s="2" t="n">
        <x:f>IF(COUNT(E20:L20)=0,"",AVERAGE(E20:L20))</x:f>
        <x:v>0.5625</x:v>
      </x:c>
      <x:c r="V20" s="2" t="str">
        <x:f>IF(U20="","",IF(U20&lt;0.5,"QA_EXCLUDE_FORMAL",IF(U20=0.5,"QA_INCLUDE_WEAK","QA_INCLUDE_STANDARD")))</x:f>
        <x:v>QA_INCLUDE_STANDARD</x:v>
      </x:c>
      <x:c r="W20" s="2" t="str">
        <x:v>QA_INCLUDE_WEAK</x:v>
      </x:c>
      <x:c r="X20" s="2" t="str">
        <x:v>NA</x:v>
      </x:c>
      <x:c r="Y20" s="2" t="str">
        <x:v>2026-07-25 00:00:00</x:v>
      </x:c>
      <x:c r="Z20" s="6" t="str">
        <x:v>Title: Intelligent Traceability to Support Software Maintainability and Accountability
Source reviewer: 第一作者
Reviewer A decision: QA_INCLUDE; evidence status: STANDARD_EVIDENCE
Decision rationale: QA_score=0.5625&gt;0.50，第一作者判定保留。
Source record_id: merged_1212; reviewed_at: Sat Jul 25 2026 03:36:49 GMT+0800 (China Standard Time)</x:v>
      </x:c>
    </x:row>
    <x:row r="21" ht="76" customHeight="1">
      <x:c r="A21" s="2" t="str">
        <x:v>S27</x:v>
      </x:c>
      <x:c r="B21" s="2" t="str">
        <x:v>merged_1213</x:v>
      </x:c>
      <x:c r="C21" s="2" t="str">
        <x:v>Reviewer_A</x:v>
      </x:c>
      <x:c r="D21" s="2" t="str">
        <x:v>Reviewer_A</x:v>
      </x:c>
      <x:c r="E21" s="2" t="n">
        <x:v>1</x:v>
      </x:c>
      <x:c r="F21" s="2" t="n">
        <x:v>1</x:v>
      </x:c>
      <x:c r="G21" s="2" t="n">
        <x:v>1</x:v>
      </x:c>
      <x:c r="H21" s="2" t="n">
        <x:v>1</x:v>
      </x:c>
      <x:c r="I21" s="2" t="n">
        <x:v>1</x:v>
      </x:c>
      <x:c r="J21" s="2" t="n">
        <x:v>0.5</x:v>
      </x:c>
      <x:c r="K21" s="2" t="n">
        <x:v>1</x:v>
      </x:c>
      <x:c r="L21" s="2" t="n">
        <x:v>1</x:v>
      </x:c>
      <x:c r="M21" s="6" t="str">
        <x:v>Location: Page 1 (end of Introduction) – Page 2 (top)
Rationale: Three clear research questions (RQ1, RQ2, RQ3) are explicitly stated: '...we formulate the first research question: RQ1: To what extent does the performance of IR techniques for TLR is affected by thresholds or top-k?' and so on.
Verbatim excerpt: NR (not stored separately in the source QA file)</x:v>
      </x:c>
      <x:c r="N21" s="6" t="str">
        <x:v>Location: Pages 2–3, Section III
Rationale: The approach is described in detail, including the LiSSA framework (Section III-A) and the two ensemble strategies (chaining and majority voting) with prompt templates (Prompt 1 and Prompt 2). Figures 1a and 1b illustrate the architectures.
Verbatim excerpt: NR (not stored separately in the source QA file)</x:v>
      </x:c>
      <x:c r="O21" s="6" t="str">
        <x:v>Location: Page 3, Section IV-A, Table I
Rationale: Five datasets (CM1-NASA, Dronology, GANNT, MODIS, WARC) are specified with domain, artifact counts, and link counts. Sources are cited (CoEST repository, Dronology). The context is inter-requirements TLR.
Verbatim excerpt: NR (not stored separately in the source QA file)</x:v>
      </x:c>
      <x:c r="P21" s="6" t="str">
        <x:v>Location: Pages 4–6, Section IV-D
Rationale: The evaluation design directly addresses each RQ: RQ1 analyzes IR sensitivity via precision-recall graphs and optimized configurations; RQ2 assesses filtering via precision/recall/F2; RQ3 compares ensembles with IR baselines using the same metrics. Appropriate baselines and F2-score (β=2) are used.
Verbatim excerpt: NR (not stored separately in the source QA file)</x:v>
      </x:c>
      <x:c r="Q21" s="6" t="str">
        <x:v>Location: Pages 2–3 (prompts), Page 3 (models), Page 7 (seed/temperature), Page 8 (replication package)
Rationale: Model versions are specified (e.g., GPT-4o-2024-08-06, Gemma-2:2b). Prompt templates are provided. Hardware setup, seed (133742243), and temperature (0) are reported. Code and data are available in a replication package.
Verbatim excerpt: NR (not stored separately in the source QA file)</x:v>
      </x:c>
      <x:c r="R21" s="6" t="str">
        <x:v>Location: Pages 4–6, Tables II–V, Figures 2–3
Rationale: Primary results (precision, recall, F2, F1) are reported in tables and figures. However, no statistical significance tests, confidence intervals, or uncertainty measures (e.g., standard deviation) are provided. The analysis is limited to descriptive statistics.
Verbatim excerpt: NR (not stored separately in the source QA file)</x:v>
      </x:c>
      <x:c r="S21" s="6" t="str">
        <x:v>Location: Page 7 (Conclusion), Pages 6–7 (Threats to Validity)
Rationale: Conclusions are directly supported by the results (e.g., IR sensitivity, filtering effectiveness). Limitations are explicitly discussed, including prompt selection, dataset size, LLM selection, closed-source models, and non-determinism.
Verbatim excerpt: NR (not stored separately in the source QA file)</x:v>
      </x:c>
      <x:c r="T21" s="6" t="str">
        <x:v>Location: Page 8 (Data Availability Statement), Pages 2–3 (prompts), Page 8 (Acknowledgements)
Rationale: A replication package with code, datasets, and results is provided (DOI reference). Prompt templates are fully disclosed. Funding sources are acknowledged. No conflicts of interest are declared, but the replication material ensures high transparency.
Verbatim excerpt: NR (not stored separately in the source QA file)</x:v>
      </x:c>
      <x:c r="U21" s="2" t="n">
        <x:f>IF(COUNT(E21:L21)=0,"",AVERAGE(E21:L21))</x:f>
        <x:v>0.9375</x:v>
      </x:c>
      <x:c r="V21" s="2" t="str">
        <x:f>IF(U21="","",IF(U21&lt;0.5,"QA_EXCLUDE_FORMAL",IF(U21=0.5,"QA_INCLUDE_WEAK","QA_INCLUDE_STANDARD")))</x:f>
        <x:v>QA_INCLUDE_STANDARD</x:v>
      </x:c>
      <x:c r="W21" s="2" t="str">
        <x:v>QA_INCLUDE_STANDARD</x:v>
      </x:c>
      <x:c r="X21" s="2" t="str">
        <x:v>NA</x:v>
      </x:c>
      <x:c r="Y21" s="2" t="str">
        <x:v>2026-07-25 00:00:00</x:v>
      </x:c>
      <x:c r="Z21" s="6" t="str">
        <x:v>Title: Beyond Retrieval: A Study of Using LLM Ensembles for Candidate Filtering in Requirements Traceability
Source reviewer: 第一作者
Reviewer A decision: QA_INCLUDE; evidence status: STANDARD_EVIDENCE
Decision rationale: QA_score=0.9375&gt;0.50，第一作者判定保留。
Source record_id: merged_1213; reviewed_at: Sat Jul 25 2026 03:36:59 GMT+0800 (China Standard Time)</x:v>
      </x:c>
    </x:row>
    <x:row r="22" ht="76" customHeight="1">
      <x:c r="A22" s="2" t="str">
        <x:v>S28</x:v>
      </x:c>
      <x:c r="B22" s="2" t="str">
        <x:v>merged_1214</x:v>
      </x:c>
      <x:c r="C22" s="2" t="str">
        <x:v>Reviewer_A</x:v>
      </x:c>
      <x:c r="D22" s="2" t="str">
        <x:v>Reviewer_A</x:v>
      </x:c>
      <x:c r="E22" s="2" t="n">
        <x:v>1</x:v>
      </x:c>
      <x:c r="F22" s="2" t="n">
        <x:v>1</x:v>
      </x:c>
      <x:c r="G22" s="2" t="n">
        <x:v>1</x:v>
      </x:c>
      <x:c r="H22" s="2" t="n">
        <x:v>1</x:v>
      </x:c>
      <x:c r="I22" s="2" t="n">
        <x:v>0.5</x:v>
      </x:c>
      <x:c r="J22" s="2" t="n">
        <x:v>0.5</x:v>
      </x:c>
      <x:c r="K22" s="2" t="n">
        <x:v>1</x:v>
      </x:c>
      <x:c r="L22" s="2" t="n">
        <x:v>0.5</x:v>
      </x:c>
      <x:c r="M22" s="6" t="str">
        <x:v>Location: Section 5.1, page 11
Rationale: 明确列出了RQ1（与现有技术的比较）和RQ2（参数影响）及五个子问题，研究目标清晰。
Verbatim excerpt: NR (not stored separately in the source QA file)</x:v>
      </x:c>
      <x:c r="N22" s="6" t="str">
        <x:v>Location: Section 4, pages 8-11
Rationale: 详细描述了索引阶段（代码摘要、三种索引创建）和查询阶段（提示生成、文档检索、响应生成），提供了架构图和提示模板，步骤足以复述。
Verbatim excerpt: NR (not stored separately in the source QA file)</x:v>
      </x:c>
      <x:c r="O22" s="6" t="str">
        <x:v>Location: Section 5.2, Table 1, pages 11-12
Rationale: 给出了数据集名称、领域、语言、文档数、用例数、类数和链接数等信息，来源为CoEST公开库，对象和情境完整。
Verbatim excerpt: NR (not stored separately in the source QA file)</x:v>
      </x:c>
      <x:c r="P22" s="6" t="str">
        <x:v>Location: Section 5.2, pages 11-12; Section 5.3, pages 12-15
Rationale: 评价使用四个数据集，采用精确率、召回率、F1指标，与基线比较，并通过统计分析参数影响，设计匹配研究目标。
Verbatim excerpt: NR (not stored separately in the source QA file)</x:v>
      </x:c>
      <x:c r="Q22" s="6" t="str">
        <x:v>Location: Section 4.1, page 8; Section 4.2, pages 10-11; Section 5.2, page 12; Section 6, page 16
Rationale: 提及Llama 3但未指定具体版本（如参数规模），虽然给出了提示模板、嵌入模型和部分索引参数，但缺少温度等超参数值，复现可能受限。
Verbatim excerpt: NR (not stored separately in the source QA file)</x:v>
      </x:c>
      <x:c r="R22" s="6" t="str">
        <x:v>Location: Section 5.3, pages 12-15, Tables 2-3
Rationale: 报告了不同配置的F1值和统计检验，但未提供标准差或置信区间等不确定性度量，分析深度有限。
Verbatim excerpt: NR (not stored separately in the source QA file)</x:v>
      </x:c>
      <x:c r="S22" s="6" t="str">
        <x:v>Location: Section 7, page 16; Section 6, pages 15-16
Rationale: 结论基于实验数据，概括了方法有效性，讨论了低召回原因和未来工作，并系统分析了威胁有效性，局限明确。
Verbatim excerpt: NR (not stored separately in the source QA file)</x:v>
      </x:c>
      <x:c r="T22" s="6" t="str">
        <x:v>Location: page 16 (GitHub), Section 5.2 (CoEST), Section 4 (prompts)
Rationale: 提供了代码链接和公开数据集，给出了提示模板，但未声明作者利益冲突（如微软员工）。
Verbatim excerpt: NR (not stored separately in the source QA file)</x:v>
      </x:c>
      <x:c r="U22" s="2" t="n">
        <x:f>IF(COUNT(E22:L22)=0,"",AVERAGE(E22:L22))</x:f>
        <x:v>0.8125</x:v>
      </x:c>
      <x:c r="V22" s="2" t="str">
        <x:f>IF(U22="","",IF(U22&lt;0.5,"QA_EXCLUDE_FORMAL",IF(U22=0.5,"QA_INCLUDE_WEAK","QA_INCLUDE_STANDARD")))</x:f>
        <x:v>QA_INCLUDE_STANDARD</x:v>
      </x:c>
      <x:c r="W22" s="2" t="str">
        <x:v>QA_INCLUDE_STANDARD</x:v>
      </x:c>
      <x:c r="X22" s="2" t="str">
        <x:v>NA</x:v>
      </x:c>
      <x:c r="Y22" s="2" t="str">
        <x:v>2026-07-25 00:00:00</x:v>
      </x:c>
      <x:c r="Z22" s="6" t="str">
        <x:v>Title: Establishing Traceability Between Natural Language Requirements and Software Artifacts by Combining RAG and LLMs
Source reviewer: 第一作者
Reviewer A decision: QA_INCLUDE; evidence status: STANDARD_EVIDENCE
Decision rationale: QA_score=0.8125&gt;0.50，第一作者判定保留。
Source record_id: merged_1214; reviewed_at: Sat Jul 25 2026 03:37:09 GMT+0800 (China Standard Time)</x:v>
      </x:c>
    </x:row>
    <x:row r="23" ht="76" customHeight="1">
      <x:c r="A23" s="2" t="str">
        <x:v>S30</x:v>
      </x:c>
      <x:c r="B23" s="2" t="str">
        <x:v>merged_1218</x:v>
      </x:c>
      <x:c r="C23" s="2" t="str">
        <x:v>Reviewer_A</x:v>
      </x:c>
      <x:c r="D23" s="2" t="str">
        <x:v>Reviewer_A</x:v>
      </x:c>
      <x:c r="E23" s="2" t="n">
        <x:v>1</x:v>
      </x:c>
      <x:c r="F23" s="2" t="n">
        <x:v>1</x:v>
      </x:c>
      <x:c r="G23" s="2" t="n">
        <x:v>1</x:v>
      </x:c>
      <x:c r="H23" s="2" t="n">
        <x:v>1</x:v>
      </x:c>
      <x:c r="I23" s="2" t="n">
        <x:v>1</x:v>
      </x:c>
      <x:c r="J23" s="2" t="n">
        <x:v>0.5</x:v>
      </x:c>
      <x:c r="K23" s="2" t="n">
        <x:v>1</x:v>
      </x:c>
      <x:c r="L23" s="2" t="n">
        <x:v>1</x:v>
      </x:c>
      <x:c r="M23" s="6" t="str">
        <x:v>Location: Page 1, end of Section I (Introduction)
Rationale: The main research question (MRQ) is explicitly stated, and it is further refined into five detailed RQs (RQ1–RQ5) covering user perception aspects.
Verbatim excerpt: NR (not stored separately in the source QA file)</x:v>
      </x:c>
      <x:c r="N23" s="6" t="str">
        <x:v>Location: Sections IV (onboarding validation) and V (trace link recovery validation)
Rationale: Both validations describe the participant selection, datasets, protocols (cognitive walkthrough steps, hands-on sessions, interview questions), and the system setup in sufficient detail to replicate the studies.
Verbatim excerpt: NR (not stored separately in the source QA file)</x:v>
      </x:c>
      <x:c r="O23" s="6" t="str">
        <x:v>Location: Section IV-A (onboarding dataset) and Section V (TLR dataset)
Rationale: Onboarding uses an open-source synthesized Azure DevOps dataset (33 nodes, 52 edges, retail domain). TLR uses a proprietary dataset from VX Company’s NPO project (830 nodes, 387 edges, web-based solution). Participant roles, experience, and company contexts are reported.
Verbatim excerpt: NR (not stored separately in the source QA file)</x:v>
      </x:c>
      <x:c r="P23" s="6" t="str">
        <x:v>Location: Sections IV and V (survey and interview design), MRQ/RQs on page 1–2
Rationale: The research goal is to assess user perception. The evaluation uses surveys and interviews with Likert scales and open-ended questions, which directly address the perceived usability, accuracy, supporting information, usefulness, and adoption. This design matches the research objectives.
Verbatim excerpt: NR (not stored separately in the source QA file)</x:v>
      </x:c>
      <x:c r="Q23" s="6" t="str">
        <x:v>Location: Section III-D (Implementation), Section IV (cognitive walkthrough step 1), Section V (protocol description)
Rationale: The LLM configuration (Llama 3.1 8B, temperature 0, locally hosted via Ollama), hardware specifications, and prompt templates (e.g., Fig. 2) are reported. Both validations use the same LLM setup, enabling understanding and replication.
Verbatim excerpt: NR (not stored separately in the source QA file)</x:v>
      </x:c>
      <x:c r="R23" s="6" t="str">
        <x:v>Location: Sections IV and V (Findings 1–10 and Figures 7–8)
Rationale: Results are presented as narrative findings and summary figures without exact numerical distributions, effect sizes, or statistical tests. While key themes are identified, the lack of detailed quantitative data limits full analysis.
Verbatim excerpt: NR (not stored separately in the source QA file)</x:v>
      </x:c>
      <x:c r="S23" s="6" t="str">
        <x:v>Location: Section VIII (Conclusions) and Section VI-B (Threats to validity and limitations)
Rationale: The conclusions align with the reported findings (e.g., positive perception, desire for improvement). Limitations are explicitly discussed, including generalizability, sample size, and construct validity concerns.
Verbatim excerpt: NR (not stored separately in the source QA file)</x:v>
      </x:c>
      <x:c r="T23" s="6" t="str">
        <x:v>Location: Page 2 (contributions list) and reference [16] (replication package)
Rationale: Source code, knowledge graphs, logs, consent form, protocol, and survey/interview questions are provided in a replication package. Prompt templates are shown. Proprietary data cannot be shared, but this is explained and does not hinder replicability of the framework.
Verbatim excerpt: NR (not stored separately in the source QA file)</x:v>
      </x:c>
      <x:c r="U23" s="2" t="n">
        <x:f>IF(COUNT(E23:L23)=0,"",AVERAGE(E23:L23))</x:f>
        <x:v>0.9375</x:v>
      </x:c>
      <x:c r="V23" s="2" t="str">
        <x:f>IF(U23="","",IF(U23&lt;0.5,"QA_EXCLUDE_FORMAL",IF(U23=0.5,"QA_INCLUDE_WEAK","QA_INCLUDE_STANDARD")))</x:f>
        <x:v>QA_INCLUDE_STANDARD</x:v>
      </x:c>
      <x:c r="W23" s="2" t="str">
        <x:v>QA_INCLUDE_STANDARD</x:v>
      </x:c>
      <x:c r="X23" s="2" t="str">
        <x:v>NA</x:v>
      </x:c>
      <x:c r="Y23" s="2" t="str">
        <x:v>2026-07-25 00:00:00</x:v>
      </x:c>
      <x:c r="Z23" s="6" t="str">
        <x:v>Title: Navigating through Work Items in Issue Tracking Systems via Natural Language Queries
Source reviewer: 第一作者
Reviewer A decision: QA_INCLUDE; evidence status: STANDARD_EVIDENCE
Decision rationale: QA_score=0.9375&gt;0.50，第一作者判定保留。
Source record_id: merged_1218; reviewed_at: Sat Jul 25 2026 03:37:16 GMT+0800 (China Standard Time)</x:v>
      </x:c>
    </x:row>
    <x:row r="24" ht="76" customHeight="1">
      <x:c r="A24" s="2" t="str">
        <x:v>S31</x:v>
      </x:c>
      <x:c r="B24" s="2" t="str">
        <x:v>merged_1219</x:v>
      </x:c>
      <x:c r="C24" s="2" t="str">
        <x:v>Reviewer_A</x:v>
      </x:c>
      <x:c r="D24" s="2" t="str">
        <x:v>Reviewer_A</x:v>
      </x:c>
      <x:c r="E24" s="2" t="n">
        <x:v>1</x:v>
      </x:c>
      <x:c r="F24" s="2" t="n">
        <x:v>0.5</x:v>
      </x:c>
      <x:c r="G24" s="2" t="n">
        <x:v>1</x:v>
      </x:c>
      <x:c r="H24" s="2" t="n">
        <x:v>1</x:v>
      </x:c>
      <x:c r="I24" s="2" t="n">
        <x:v>0.5</x:v>
      </x:c>
      <x:c r="J24" s="2" t="n">
        <x:v>1</x:v>
      </x:c>
      <x:c r="K24" s="2" t="n">
        <x:v>1</x:v>
      </x:c>
      <x:c r="L24" s="2" t="n">
        <x:v>0</x:v>
      </x:c>
      <x:c r="M24" s="6" t="str">
        <x:v>Location: 第3页/III-A节
Rationale: 明确陈述研究目标（实现和评估将安全和安全导向的trace links转化为教学报告的原型）和两个研究问题（RQ1和RQ2）。
Verbatim excerpt: NR (not stored separately in the source QA file)</x:v>
      </x:c>
      <x:c r="N24" s="6" t="str">
        <x:v>Location: 第3-5页/III节
Rationale: 介绍了原型设计、实验设计、参与者招募、数据收集和分析方法，主要步骤清晰，但缺少LLM具体配置细节（如模型版本、提示词、参数设置）和原型实现细节，不足以完全复现。
Verbatim excerpt: NR (not stored separately in the source QA file)</x:v>
      </x:c>
      <x:c r="O24" s="6" t="str">
        <x:v>Location: 第3-4页/III-D和III-E节
Rationale: 研究对象（25名早期职业计算机科学家，来自意大利汽车网络安全咨询公司）、数据集（真实汽车安全trace link案例）、情境（汽车领域，在线调查）描述明确，参与者特征和分组信息完整。
Verbatim excerpt: NR (not stored separately in the source QA file)</x:v>
      </x:c>
      <x:c r="P24" s="6" t="str">
        <x:v>Location: 第3-4页/III-C和III-F节
Rationale: 采用前测-后测对照实验，使用相同quiz测量客观知识，Likert量表测量主观感知，设有专家报告对照组，指标（分数变化、统计检验）与目标匹配，评价设计适合研究目标。
Verbatim excerpt: NR (not stored separately in the source QA file)</x:v>
      </x:c>
      <x:c r="Q24" s="6" t="str">
        <x:v>Location: 第3页/III-B节和第4页/III-C节
Rationale: 报告了使用CrewAI多智能体架构和支持本地LLaMA2或OpenAI GPT API，但未指定具体模型版本（如GPT-3.5/4、LLaMA2大小）、未提供提示词、温度等关键配置，不足以保证完全复现。
Verbatim excerpt: NR (not stored separately in the source QA file)</x:v>
      </x:c>
      <x:c r="R24" s="6" t="str">
        <x:v>Location: 第5-7页/IV节
Rationale: 提供了完整的前测-后测分数变化、图表、Mann-Whitney U和Wilcoxon检验、Spearman相关系数、效应量等，虽然置信区间未详细列出，但结果报告充分，分析支持结论。
Verbatim excerpt: NR (not stored separately in the source QA file)</x:v>
      </x:c>
      <x:c r="S24" s="6" t="str">
        <x:v>Location: 第8页/VI节和第7-8页/V-E节
Rationale: 结论直接概括了RQ1和RQ2的结果，并在效度威胁部分详细讨论了内部、外部、构造和结论效度的局限性。
Verbatim excerpt: NR (not stored separately in the source QA file)</x:v>
      </x:c>
      <x:c r="T24" s="6" t="str">
        <x:v>Location: 未找到报告证据
Rationale: 论文未提供代码、数据集、提示词或利益冲突声明，未说明任何复现材料的访问方式。
Verbatim excerpt: NR (not stored separately in the source QA file)</x:v>
      </x:c>
      <x:c r="U24" s="2" t="n">
        <x:f>IF(COUNT(E24:L24)=0,"",AVERAGE(E24:L24))</x:f>
        <x:v>0.75</x:v>
      </x:c>
      <x:c r="V24" s="2" t="str">
        <x:f>IF(U24="","",IF(U24&lt;0.5,"QA_EXCLUDE_FORMAL",IF(U24=0.5,"QA_INCLUDE_WEAK","QA_INCLUDE_STANDARD")))</x:f>
        <x:v>QA_INCLUDE_STANDARD</x:v>
      </x:c>
      <x:c r="W24" s="2" t="str">
        <x:v>QA_INCLUDE_STANDARD</x:v>
      </x:c>
      <x:c r="X24" s="2" t="str">
        <x:v>NA</x:v>
      </x:c>
      <x:c r="Y24" s="2" t="str">
        <x:v>2026-07-25 00:00:00</x:v>
      </x:c>
      <x:c r="Z24" s="6" t="str">
        <x:v>Title: Generating Context-Aware Learning Materials for Software Security via LLM Agents and Traceability
Source reviewer: 第一作者
Reviewer A decision: QA_INCLUDE; evidence status: STANDARD_EVIDENCE
Decision rationale: QA_score=0.7500&gt;0.50，第一作者判定保留。
Source record_id: merged_1219; reviewed_at: Sat Jul 25 2026 03:37:33 GMT+0800 (China Standard Time)</x:v>
      </x:c>
    </x:row>
    <x:row r="25" ht="76" customHeight="1">
      <x:c r="A25" s="2" t="str">
        <x:v>S32</x:v>
      </x:c>
      <x:c r="B25" s="2" t="str">
        <x:v>merged_1220</x:v>
      </x:c>
      <x:c r="C25" s="2" t="str">
        <x:v>Reviewer_A</x:v>
      </x:c>
      <x:c r="D25" s="2" t="str">
        <x:v>Reviewer_A</x:v>
      </x:c>
      <x:c r="E25" s="2" t="n">
        <x:v>1</x:v>
      </x:c>
      <x:c r="F25" s="2" t="n">
        <x:v>0.5</x:v>
      </x:c>
      <x:c r="G25" s="2" t="n">
        <x:v>0.5</x:v>
      </x:c>
      <x:c r="H25" s="2" t="n">
        <x:v>0.5</x:v>
      </x:c>
      <x:c r="I25" s="2" t="n">
        <x:v>0.5</x:v>
      </x:c>
      <x:c r="J25" s="2" t="n">
        <x:v>0.5</x:v>
      </x:c>
      <x:c r="K25" s="2" t="n">
        <x:v>0.5</x:v>
      </x:c>
      <x:c r="L25" s="2" t="n">
        <x:v>0</x:v>
      </x:c>
      <x:c r="M25" s="6" t="str">
        <x:v>Location: Abstract and Section I (page 1)
Rationale: The research objective—constructing cross-level traceability links in automotive systems—is clearly stated in the abstract and introduction.
Verbatim excerpt: NR (not stored separately in the source QA file)</x:v>
      </x:c>
      <x:c r="N25" s="6" t="str">
        <x:v>Location: Section IV (pages 168–171)
Rationale: The overall method phases (modeling, dependency graph, alignment) are described, but details on LLM version, exact prompts, and terminology dictionary construction are insufficient for full replication.
Verbatim excerpt: NR (not stored separately in the source QA file)</x:v>
      </x:c>
      <x:c r="O25" s="6" t="str">
        <x:v>Location: Section II, Figure 1 (pages 166–167)
Rationale: The context (automotive domain) is clear, and example requirements are shown, but the data source, selection criteria, and total dataset size are not reported.
Verbatim excerpt: NR (not stored separately in the source QA file)</x:v>
      </x:c>
      <x:c r="P25" s="6" t="str">
        <x:v>Location: Section IV-C, Table I (page 170)
Rationale: The evaluation is limited to an illustrative example with computed matching degrees; no ground truth, baselines, or quantitative metrics are provided, weakening alignment with the research goal.
Verbatim excerpt: NR (not stored separately in the source QA file)</x:v>
      </x:c>
      <x:c r="Q25" s="6" t="str">
        <x:v>Location: Section IV-A (page 168–169)
Rationale: Prompt engineering is mentioned and Fig. 6 shows a template, but the specific LLM model (name, version) and key parameters (e.g., temperature) are not reported.
Verbatim excerpt: NR (not stored separately in the source QA file)</x:v>
      </x:c>
      <x:c r="R25" s="6" t="str">
        <x:v>Location: Section IV-C, Table I (page 170)
Rationale: Results are only a descriptive example of matching indicators; no systematic analysis, error bars, or quantitative performance metrics are presented.
Verbatim excerpt: NR (not stored separately in the source QA file)</x:v>
      </x:c>
      <x:c r="S25" s="6" t="str">
        <x:v>Location: Section V and IV-D (pages 171, 170)
Rationale: Conclusions mention improved efficiency and accuracy but lack quantitative support from the case study; limitations (domain-specific meta-model, manual dictionary, small dataset) are discussed.
Verbatim excerpt: NR (not stored separately in the source QA file)</x:v>
      </x:c>
      <x:c r="T25" s="6" t="str">
        <x:v>Location: Not found
Rationale: No data, code, prompts, or conflict-of-interest statements are provided; the paper lacks any availability or transparency declarations.
Verbatim excerpt: NR (not stored separately in the source QA file)</x:v>
      </x:c>
      <x:c r="U25" s="2" t="n">
        <x:f>IF(COUNT(E25:L25)=0,"",AVERAGE(E25:L25))</x:f>
        <x:v>0.5</x:v>
      </x:c>
      <x:c r="V25" s="2" t="str">
        <x:f>IF(U25="","",IF(U25&lt;0.5,"QA_EXCLUDE_FORMAL",IF(U25=0.5,"QA_INCLUDE_WEAK","QA_INCLUDE_STANDARD")))</x:f>
        <x:v>QA_INCLUDE_WEAK</x:v>
      </x:c>
      <x:c r="W25" s="2" t="str">
        <x:v>QA_INCLUDE_WEAK</x:v>
      </x:c>
      <x:c r="X25" s="2" t="str">
        <x:v>NA</x:v>
      </x:c>
      <x:c r="Y25" s="2" t="str">
        <x:v>2026-07-25 00:00:00</x:v>
      </x:c>
      <x:c r="Z25" s="6" t="str">
        <x:v>Title: Constructing Cross-Level Traceability Links in the Automotive Domain: A Case Study
Source reviewer: 第一作者
Reviewer A decision: QA_INCLUDE; evidence status: WEAK_EVIDENCE
Decision rationale: QA_score=0.5000，达到纳入门槛但处于边界，作为弱证据保留。
Source record_id: merged_1220; reviewed_at: Sat Jul 25 2026 03:37:20 GMT+0800 (China Standard Time)</x:v>
      </x:c>
    </x:row>
    <x:row r="26" ht="76" customHeight="1">
      <x:c r="A26" s="2" t="str">
        <x:v>S33</x:v>
      </x:c>
      <x:c r="B26" s="2" t="str">
        <x:v>merged_1222</x:v>
      </x:c>
      <x:c r="C26" s="2" t="str">
        <x:v>Reviewer_A</x:v>
      </x:c>
      <x:c r="D26" s="2" t="str">
        <x:v>Reviewer_A</x:v>
      </x:c>
      <x:c r="E26" s="2" t="n">
        <x:v>1</x:v>
      </x:c>
      <x:c r="F26" s="2" t="n">
        <x:v>0.5</x:v>
      </x:c>
      <x:c r="G26" s="2" t="n">
        <x:v>1</x:v>
      </x:c>
      <x:c r="H26" s="2" t="n">
        <x:v>1</x:v>
      </x:c>
      <x:c r="I26" s="2" t="n">
        <x:v>1</x:v>
      </x:c>
      <x:c r="J26" s="2" t="n">
        <x:v>0.5</x:v>
      </x:c>
      <x:c r="K26" s="2" t="n">
        <x:v>1</x:v>
      </x:c>
      <x:c r="L26" s="2" t="n">
        <x:v>0</x:v>
      </x:c>
      <x:c r="M26" s="6" t="str">
        <x:v>Location: 标题、摘要、第5页IV.A节
Rationale: 标题明确提出研究问题“Can we use LLMs to recover Trace Links between Source Code and Security Requirements?”，摘要再述；IV.A节详细列出6个评价子方面，研究目标清晰。
Verbatim excerpt: NR (not stored separately in the source QA file)</x:v>
      </x:c>
      <x:c r="N26" s="6" t="str">
        <x:v>Location: 第3-5页III节Methodology，第5-6页IV节Results
Rationale: 描述了插件架构、预处理流程、LLM选择与提示、评价步骤，主要步骤可见，但部分细节（如测试数据生成步骤的具体数量、配对形成如何决定）未充分展开，不足以完全复现整个流程。
Verbatim excerpt: NR (not stored separately in the source QA file)</x:v>
      </x:c>
      <x:c r="O26" s="6" t="str">
        <x:v>Location: 第5页IV.B节（Requirements），第5-6页IV.C节（Preprocessing）
Rationale: 明确说明使用Hassine [45]的4个安全需求，代码由ChatGPT-4o生成并人工操纵为完整/不完整/随机变量名、有/无注释版本，涵盖Python、C#、Go；实验单位、来源及情境清楚。
Verbatim excerpt: NR (not stored separately in the source QA file)</x:v>
      </x:c>
      <x:c r="P26" s="6" t="str">
        <x:v>Location: 第5页IV.A节（Evaluation Procedure），第7页IV.F节（Metrics）
Rationale: 评价设计直接针对研究目标（能否用LLM恢复追踪链接）：构建已知真值的测试集，计算precision、recall、F1-score，并系统性变化6个维度，指标与真值、目标高度匹配。
Verbatim excerpt: NR (not stored separately in the source QA file)</x:v>
      </x:c>
      <x:c r="Q26" s="6" t="str">
        <x:v>Location: 第4页III.C节（Plugin），第6页IV.D节（LLM Prompt），图5
Rationale: 报告模型版本：Llama-3.1-8B-Instruct、CodeLlama-7B-Instruct，来自HuggingFace；提示完整给出（图5），温度设为最低以保证确定性，关键设置足以理解或复现。
Verbatim excerpt: NR (not stored separately in the source QA file)</x:v>
      </x:c>
      <x:c r="R26" s="6" t="str">
        <x:v>Location: 第7-8页IV.G节（Results），图6
Rationale: 汇总表提供各组precision/recall/F1，并对主要发现进行讨论，但缺少误差线、置信区间或统计显著性检验，分析深度有限。
Verbatim excerpt: NR (not stored separately in the source QA file)</x:v>
      </x:c>
      <x:c r="S26" s="6" t="str">
        <x:v>Location: 第8-9页V节Discussion，第9页VI节Conclusion
Rationale: 结论“precision高而recall低，Llama优于CodeLlama，语言影响小”直接由结果支持；威胁有效性部分详细讨论了构造、内部、外部、结论效度及重复性问题，局限明确。
Verbatim excerpt: NR (not stored separately in the source QA file)</x:v>
      </x:c>
      <x:c r="T26" s="6" t="str">
        <x:v>Location: 全文，未找到代码或数据可用性声明
Rationale: 论文未提供代码仓库链接、数据集、或明确说明如何获取复现材料；虽展示提示，但关键实验代码和数据缺失，也未解释限制或披露利益关系，透明度不足。
Verbatim excerpt: NR (not stored separately in the source QA file)</x:v>
      </x:c>
      <x:c r="U26" s="2" t="n">
        <x:f>IF(COUNT(E26:L26)=0,"",AVERAGE(E26:L26))</x:f>
        <x:v>0.75</x:v>
      </x:c>
      <x:c r="V26" s="2" t="str">
        <x:f>IF(U26="","",IF(U26&lt;0.5,"QA_EXCLUDE_FORMAL",IF(U26=0.5,"QA_INCLUDE_WEAK","QA_INCLUDE_STANDARD")))</x:f>
        <x:v>QA_INCLUDE_STANDARD</x:v>
      </x:c>
      <x:c r="W26" s="2" t="str">
        <x:v>QA_INCLUDE_STANDARD</x:v>
      </x:c>
      <x:c r="X26" s="2" t="str">
        <x:v>NA</x:v>
      </x:c>
      <x:c r="Y26" s="2" t="str">
        <x:v>2026-07-25 00:00:00</x:v>
      </x:c>
      <x:c r="Z26" s="6" t="str">
        <x:v>Title: Can we use LLMs to recover Trace Links between Source Code and Security Requirements?
Source reviewer: 第一作者
Reviewer A decision: QA_INCLUDE; evidence status: STANDARD_EVIDENCE
Decision rationale: QA_score=0.7500&gt;0.50，第一作者判定保留。
Source record_id: merged_1222; reviewed_at: Sat Jul 25 2026 03:37:23 GMT+0800 (China Standard Time)</x:v>
      </x:c>
    </x:row>
    <x:row r="27" ht="76" customHeight="1">
      <x:c r="A27" s="2" t="str">
        <x:v>S35</x:v>
      </x:c>
      <x:c r="B27" s="2" t="str">
        <x:v>merged_1225</x:v>
      </x:c>
      <x:c r="C27" s="2" t="str">
        <x:v>Reviewer_A</x:v>
      </x:c>
      <x:c r="D27" s="2" t="str">
        <x:v>Reviewer_A</x:v>
      </x:c>
      <x:c r="E27" s="2" t="n">
        <x:v>1</x:v>
      </x:c>
      <x:c r="F27" s="2" t="n">
        <x:v>1</x:v>
      </x:c>
      <x:c r="G27" s="2" t="n">
        <x:v>1</x:v>
      </x:c>
      <x:c r="H27" s="2" t="n">
        <x:v>0.5</x:v>
      </x:c>
      <x:c r="I27" s="2" t="n">
        <x:v>0.5</x:v>
      </x:c>
      <x:c r="J27" s="2" t="n">
        <x:v>0.5</x:v>
      </x:c>
      <x:c r="K27" s="2" t="n">
        <x:v>1</x:v>
      </x:c>
      <x:c r="L27" s="2" t="n">
        <x:v>0.5</x:v>
      </x:c>
      <x:c r="M27" s="6" t="str">
        <x:v>Location: Page 2, Section II
Rationale: Explicitly states two research questions (RQ1 and RQ2) and overall objective of exploring test-to-requirement tracing.
Verbatim excerpt: NR (not stored separately in the source QA file)</x:v>
      </x:c>
      <x:c r="N27" s="6" t="str">
        <x:v>Location: Pages 2–4, Section II
Rationale: Case study design, subject system, data extraction, tracing methods (Cosine, RoBERTa), ChatGPT prompting, and developer survey are described in sufficient detail to replicate.
Verbatim excerpt: NR (not stored separately in the source QA file)</x:v>
      </x:c>
      <x:c r="O27" s="6" t="str">
        <x:v>Location: Page 2, Section II
Rationale: Clearly identifies subject (Scholar@UC web app), dataset (67 feature tests, 146 user stories), real-world production context, and sampling rationale.
Verbatim excerpt: NR (not stored separately in the source QA file)</x:v>
      </x:c>
      <x:c r="P27" s="6" t="str">
        <x:v>Location: Pages 3–4, Sections II and III
Rationale: Evaluation design matches exploratory goals but relies on developer survey with small sample (7 tests) and no objective ground truth or standard metrics; thus comparison strength is limited.
Verbatim excerpt: NR (not stored separately in the source QA file)</x:v>
      </x:c>
      <x:c r="Q27" s="6" t="str">
        <x:v>Location: Page 3, Section II
Rationale: Reports model version (gpt-3.5-turbo), prompts, and basic setup for Cosine and RoBERTa, but omits key parameters (temperature, token limits, etc.) that may affect reproducibility.
Verbatim excerpt: NR (not stored separately in the source QA file)</x:v>
      </x:c>
      <x:c r="R27" s="6" t="str">
        <x:v>Location: Pages 4–5, Section III
Rationale: Provides descriptive results (tracing distribution, prompt outputs, survey preferences) but lacks quantitative analysis, statistical measures, or deeper error analysis.
Verbatim excerpt: NR (not stored separately in the source QA file)</x:v>
      </x:c>
      <x:c r="S27" s="6" t="str">
        <x:v>Location: Pages 5–6, Sections III.C and V
Rationale: Conclusions directly supported by results; threats to validity (construct, internal, external) are explicitly discussed.
Verbatim excerpt: NR (not stored separately in the source QA file)</x:v>
      </x:c>
      <x:c r="T27" s="6" t="str">
        <x:v>Location: Page 2, references [21][22]; no conflicts of interest statement
Rationale: Test artifacts and user stories are publicly available on GitHub; methods are replicable. However, a conflict-of-interest or funding disclosure is missing, and no explicit data availability statement is given.
Verbatim excerpt: NR (not stored separately in the source QA file)</x:v>
      </x:c>
      <x:c r="U27" s="2" t="n">
        <x:f>IF(COUNT(E27:L27)=0,"",AVERAGE(E27:L27))</x:f>
        <x:v>0.75</x:v>
      </x:c>
      <x:c r="V27" s="2" t="str">
        <x:f>IF(U27="","",IF(U27&lt;0.5,"QA_EXCLUDE_FORMAL",IF(U27=0.5,"QA_INCLUDE_WEAK","QA_INCLUDE_STANDARD")))</x:f>
        <x:v>QA_INCLUDE_STANDARD</x:v>
      </x:c>
      <x:c r="W27" s="2" t="str">
        <x:v>QA_INCLUDE_STANDARD</x:v>
      </x:c>
      <x:c r="X27" s="2" t="str">
        <x:v>NA</x:v>
      </x:c>
      <x:c r="Y27" s="2" t="str">
        <x:v>2026-07-25 00:00:00</x:v>
      </x:c>
      <x:c r="Z27" s="6" t="str">
        <x:v>Title: Tracing Feature Tests to Textual Requirements
Source reviewer: 第一作者
Reviewer A decision: QA_INCLUDE; evidence status: STANDARD_EVIDENCE
Decision rationale: QA_score=0.7500&gt;0.50，第一作者判定保留。
Source record_id: merged_1225; reviewed_at: Sat Jul 25 2026 03:37:24 GMT+0800 (China Standard Time)</x:v>
      </x:c>
    </x:row>
    <x:row r="28" ht="76" customHeight="1">
      <x:c r="A28" s="2" t="str">
        <x:v>S36</x:v>
      </x:c>
      <x:c r="B28" s="2" t="str">
        <x:v>merged_1236</x:v>
      </x:c>
      <x:c r="C28" s="2" t="str">
        <x:v>Reviewer_A</x:v>
      </x:c>
      <x:c r="D28" s="2" t="str">
        <x:v>Reviewer_A</x:v>
      </x:c>
      <x:c r="E28" s="2" t="n">
        <x:v>1</x:v>
      </x:c>
      <x:c r="F28" s="2" t="n">
        <x:v>1</x:v>
      </x:c>
      <x:c r="G28" s="2" t="n">
        <x:v>0.5</x:v>
      </x:c>
      <x:c r="H28" s="2" t="n">
        <x:v>0.5</x:v>
      </x:c>
      <x:c r="I28" s="2" t="n">
        <x:v>0.5</x:v>
      </x:c>
      <x:c r="J28" s="2" t="n">
        <x:v>0.5</x:v>
      </x:c>
      <x:c r="K28" s="2" t="n">
        <x:v>1</x:v>
      </x:c>
      <x:c r="L28" s="2" t="n">
        <x:v>0.5</x:v>
      </x:c>
      <x:c r="M28" s="6" t="str">
        <x:v>Location: Page 1, abstract and Section I (Introduction)
Rationale: The abstract clearly states the goal: 'enforces DDD principles through real-time analysis combining Abstract Syntax Tree (AST) inspection with Large Language Models (LLMs).' The introduction outlines key contributions, including automatic domain model extraction, LLM integration for violation detection, RAG pipeline, and VS Code extension. Research objectives are explicit and specific.
Verbatim excerpt: NR (not stored separately in the source QA file)</x:v>
      </x:c>
      <x:c r="N28" s="6" t="str">
        <x:v>Location: Sections III (System Architecture) and IV (Implementation), pages 2-4
Rationale: The paper describes the four-stage multi-agent pipeline, AST-based code parsing, LLM-powered violation detection, RAG pipeline details, and VS Code extension implementation. Key components such as architect.py, llm_client.py, and parser.py are listed with line counts. Rate limiting and structured outputs are explained. The methods are sufficiently detailed to allow replication of the approach.
Verbatim excerpt: NR (not stored separately in the source QA file)</x:v>
      </x:c>
      <x:c r="O28" s="6" t="str">
        <x:v>Location: Section V.A (Experimental Setup), page 4
Rationale: The evaluation uses a sample e-commerce domain with five bounded contexts and a ~5,600-character SRS document. The RAG evaluation uses three domain datasets of various sizes. However, the selection rationale for these specific domains is not provided, and the exact content of SRS documents/test cases is not included, limiting full replicability. Basic objects and context are clear, but justification is weak.
Verbatim excerpt: NR (not stored separately in the source QA file)</x:v>
      </x:c>
      <x:c r="P28" s="6" t="str">
        <x:v>Location: Section V (Evaluation), pages 4-5
Rationale: The evaluation includes violation detection (15 test cases, 100% accuracy), RAG retrieval (Top-1/Top-3 accuracy, latency), and performance benchmarks. Ground truth exists (intentional violations, manually verified), and metrics such as accuracy, latency, and cost are reported. However, there is no comparison against a baseline or other enforcement tools, which weakens the evaluation design relative to the goal of demonstrating superiority over static analysis.
Verbatim excerpt: NR (not stored separately in the source QA file)</x:v>
      </x:c>
      <x:c r="Q28" s="6" t="str">
        <x:v>Location: Section III.D (LLM-Powered Violation Detection), Section V.A (Experimental Setup), page 3 and page 4
Rationale: The paper states that Gemini 2.5 Flash is used for domain model generation and Flash Lite for validation, with version info in Table I. The use of Pydantic for structured outputs is described. However, the actual prompts submitted to the LLM are not disclosed, which prevents full understanding of the LLM configuration and could hinder exact replication.
Verbatim excerpt: NR (not stored separately in the source QA file)</x:v>
      </x:c>
      <x:c r="R28" s="6" t="str">
        <x:v>Location: Section V (Evaluation), Tables II–VI, pages 4-5
Rationale: Results are presented in tables with accuracy, latency, and cost metrics. Some failure analysis is provided (e.g., 'analysis of retrieval failures revealed that ContextViolation types occasionally retrieved generic architecture sections'). However, no statistical measures (e.g., confidence intervals, variability) are reported, and error bars or uncertainty are missing. The analysis is descriptive but not extensive.
Verbatim excerpt: NR (not stored separately in the source QA file)</x:v>
      </x:c>
      <x:c r="S28" s="6" t="str">
        <x:v>Location: Section VII (Discussion) and Section IX (Conclusion), pages 5-6
Rationale: The conclusion draws directly from the results: 100% violation detection, RAG accuracy, and performance metrics. Limitations are explicitly discussed in Section VII.B, including Python-only support, API dependence, possible false positives, and dependence on input documentation quality. The conclusions are well-supported and boundaries are acknowledged.
Verbatim excerpt: NR (not stored separately in the source QA file)</x:v>
      </x:c>
      <x:c r="T28" s="6" t="str">
        <x:v>Location: References [24], page 6
Rationale: A GitHub repository is provided for the open-source implementation, enabling code access. However, no explicit statement indicates that the domain models, SRS documents, or test cases used in the evaluation are included or publicly available. Prompts are not disclosed. There is no conflict-of-interest statement. Partial transparency is achieved through the repository, but key artifacts are not guaranteed.
Verbatim excerpt: NR (not stored separately in the source QA file)</x:v>
      </x:c>
      <x:c r="U28" s="2" t="n">
        <x:f>IF(COUNT(E28:L28)=0,"",AVERAGE(E28:L28))</x:f>
        <x:v>0.6875</x:v>
      </x:c>
      <x:c r="V28" s="2" t="str">
        <x:f>IF(U28="","",IF(U28&lt;0.5,"QA_EXCLUDE_FORMAL",IF(U28=0.5,"QA_INCLUDE_WEAK","QA_INCLUDE_STANDARD")))</x:f>
        <x:v>QA_INCLUDE_STANDARD</x:v>
      </x:c>
      <x:c r="W28" s="2" t="str">
        <x:v>QA_INCLUDE_STANDARD</x:v>
      </x:c>
      <x:c r="X28" s="2" t="str">
        <x:v>NA</x:v>
      </x:c>
      <x:c r="Y28" s="2" t="str">
        <x:v>2026-07-25 00:00:00</x:v>
      </x:c>
      <x:c r="Z28" s="6" t="str">
        <x:v>Title: DDD-Enforcer: An AI-Powered Multi-Agent System for Real-Time Domain-Driven Design Enforcement
Source reviewer: 第一作者
Reviewer A decision: QA_INCLUDE; evidence status: STANDARD_EVIDENCE
Decision rationale: QA_score=0.6875&gt;0.50，第一作者判定保留。
Source record_id: merged_1236; reviewed_at: Sat Jul 25 2026 03:37:36 GMT+0800 (China Standard Time)</x:v>
      </x:c>
    </x:row>
    <x:row r="29" ht="76" customHeight="1">
      <x:c r="A29" s="2" t="str">
        <x:v>S37</x:v>
      </x:c>
      <x:c r="B29" s="2" t="str">
        <x:v>merged_1238</x:v>
      </x:c>
      <x:c r="C29" s="2" t="str">
        <x:v>Reviewer_A</x:v>
      </x:c>
      <x:c r="D29" s="2" t="str">
        <x:v>Reviewer_A</x:v>
      </x:c>
      <x:c r="E29" s="2" t="n">
        <x:v>1</x:v>
      </x:c>
      <x:c r="F29" s="2" t="n">
        <x:v>0.5</x:v>
      </x:c>
      <x:c r="G29" s="2" t="n">
        <x:v>1</x:v>
      </x:c>
      <x:c r="H29" s="2" t="n">
        <x:v>0.5</x:v>
      </x:c>
      <x:c r="I29" s="2" t="n">
        <x:v>0.5</x:v>
      </x:c>
      <x:c r="J29" s="2" t="n">
        <x:v>1</x:v>
      </x:c>
      <x:c r="K29" s="2" t="n">
        <x:v>0.5</x:v>
      </x:c>
      <x:c r="L29" s="2" t="n">
        <x:v>0.5</x:v>
      </x:c>
      <x:c r="M29" s="6" t="str">
        <x:v>Location: 第3页底部；第19页第2段
Rationale: 论文明确提出了三个具体研究目标（(1)设计PFM并自动化生成，(2)建立形式化映射规则验证可行性与语义一致性，(3)开发算法确保模型逻辑正确性），并在实验部分列出了两个研究问题（RQ1：需求建模质量对比；RQ2：能否生成满足可达性标准的完整CBPMN模型）。目标清晰完整。
Verbatim excerpt: NR (not stored separately in the source QA file)</x:v>
      </x:c>
      <x:c r="N29" s="6" t="str">
        <x:v>Location: 第4-18页（第3-4节）；第20页（5.1节）
Rationale: 论文描述了PRBC建模框架、模型形式化定义、映射规则、算法伪代码以及技术实现流程，主要步骤可见。但提示模板（表2-4）仅展示部分内容，具体细节不足，且文本截断可能遗漏关键信息，部分工具链依赖外部链接，整体不足以完全复现。
Verbatim excerpt: NR (not stored separately in the source QA file)</x:v>
      </x:c>
      <x:c r="O29" s="6" t="str">
        <x:v>Location: 第19-20页（5.1节）
Rationale: 实验使用了五个公开案例（ATM、DSSS、ES、SNS、CPs），每个案例的来源通过引用明确给出，并提供了详细的需求描述和标准化需求模型作为真值。汽车叫车系统案例基于综合需求，对象与情境完整。
Verbatim excerpt: NR (not stored separately in the source QA file)</x:v>
      </x:c>
      <x:c r="P29" s="6" t="str">
        <x:v>Location: 第19页（5.2节实验设计）；第22-25页（5.3节案例研究）
Rationale: RQ1的评价设计采用了真值（标准需求模型）、标准指标（精确率、召回率、F1）和多基线比较，适合目标；但RQ2仅通过单一案例演示流程，缺乏系统比较或工业验证，整体评价设计较弱。
Verbatim excerpt: NR (not stored separately in the source QA file)</x:v>
      </x:c>
      <x:c r="Q29" s="6" t="str">
        <x:v>Location: 第20页（5.1节配置设置）
Rationale: 报告了LLM版本（DeepSeek-V3与DeepSeek-R1）、超参数（温度0.5，max_tokens 2048）及工具链，但提示模板在表2-4中仅提供片段，关键提示内容不完整，复现性受限。
Verbatim excerpt: NR (not stored separately in the source QA file)</x:v>
      </x:c>
      <x:c r="R29" s="6" t="str">
        <x:v>Location: 第21-25页（5.2-5.3节结果）
Rationale: RQ1的结果通过表8系统比较了四种方法在五个案例上的准确率、召回率与F1值，报告了统计显著性（p=0.049）并分析了影响因素；RQ2展示了模型生成过程、静态流检测结果（孤立节点）及CPN状态空间报告，结果充分。
Verbatim excerpt: NR (not stored separately in the source QA file)</x:v>
      </x:c>
      <x:c r="S29" s="6" t="str">
        <x:v>Location: 第26-27页（第6节结论）
Rationale: 结论总结了框架的贡献并指出可行性，但仅提及“形式一致性验证未讨论”这一局限性，未对外部有效性、LLM依赖、案例泛化性等做深入讨论，结论边界不足。
Verbatim excerpt: NR (not stored separately in the source QA file)</x:v>
      </x:c>
      <x:c r="T29" s="6" t="str">
        <x:v>Location: 第27页（数据可用性声明）；第20页（工具链引用）；第27页（利益冲突声明）
Rationale: 数据仅应要求提供，未公开；代码部分通过GitHub链接引用但URL不完整；提示模板仅部分展示；利益冲突已声明。关键材料与披露部分可得，但不充分。
Verbatim excerpt: NR (not stored separately in the source QA file)</x:v>
      </x:c>
      <x:c r="U29" s="2" t="n">
        <x:f>IF(COUNT(E29:L29)=0,"",AVERAGE(E29:L29))</x:f>
        <x:v>0.6875</x:v>
      </x:c>
      <x:c r="V29" s="2" t="str">
        <x:f>IF(U29="","",IF(U29&lt;0.5,"QA_EXCLUDE_FORMAL",IF(U29=0.5,"QA_INCLUDE_WEAK","QA_INCLUDE_STANDARD")))</x:f>
        <x:v>QA_INCLUDE_STANDARD</x:v>
      </x:c>
      <x:c r="W29" s="2" t="str">
        <x:v>QA_INCLUDE_STANDARD</x:v>
      </x:c>
      <x:c r="X29" s="2" t="str">
        <x:v>NA</x:v>
      </x:c>
      <x:c r="Y29" s="2" t="str">
        <x:v>2026-07-25 00:00:00</x:v>
      </x:c>
      <x:c r="Z29" s="6" t="str">
        <x:v>Title: Iterative Requirements-Driven Business Process Modeling and Verification with Large Language Models
Source reviewer: 第一作者
Reviewer A decision: QA_INCLUDE; evidence status: STANDARD_EVIDENCE
Decision rationale: QA_score=0.6875&gt;0.50，第一作者判定保留。
Source record_id: merged_1238; reviewed_at: Sat Jul 25 2026 03:37:33 GMT+0800 (China Standard Time)</x:v>
      </x:c>
    </x:row>
    <x:row r="30" ht="76" customHeight="1">
      <x:c r="A30" s="2" t="str">
        <x:v>S38</x:v>
      </x:c>
      <x:c r="B30" s="2" t="str">
        <x:v>merged_1241</x:v>
      </x:c>
      <x:c r="C30" s="2" t="str">
        <x:v>Reviewer_A</x:v>
      </x:c>
      <x:c r="D30" s="2" t="str">
        <x:v>Reviewer_A</x:v>
      </x:c>
      <x:c r="E30" s="2" t="n">
        <x:v>1</x:v>
      </x:c>
      <x:c r="F30" s="2" t="n">
        <x:v>1</x:v>
      </x:c>
      <x:c r="G30" s="2" t="n">
        <x:v>1</x:v>
      </x:c>
      <x:c r="H30" s="2" t="n">
        <x:v>1</x:v>
      </x:c>
      <x:c r="I30" s="2" t="n">
        <x:v>0.5</x:v>
      </x:c>
      <x:c r="J30" s="2" t="n">
        <x:v>1</x:v>
      </x:c>
      <x:c r="K30" s="2" t="n">
        <x:v>1</x:v>
      </x:c>
      <x:c r="L30" s="2" t="n">
        <x:v>0.5</x:v>
      </x:c>
      <x:c r="M30" s="6" t="str">
        <x:v>Location: 第4页（引言）与第13页（4.1节）
Rationale: 研究目标明确，提出四个研究问题（RQ1-RQ4），围绕属性生成、迭代效率、Lustre生成和追溯展开。
Verbatim excerpt: NR (not stored separately in the source QA file)</x:v>
      </x:c>
      <x:c r="N30" s="6" t="str">
        <x:v>Location: 第6-13页（3章）与算法1
Rationale: 方法步骤完整，包含知识提取、需求形式化、生成与迭代验证，算法和提示模板清晰。
Verbatim excerpt: NR (not stored separately in the source QA file)</x:v>
      </x:c>
      <x:c r="O30" s="6" t="str">
        <x:v>Location: 第13页（4.2节）与表1
Rationale: 数据集来源、规模（4子集共63节点77属性）和情境（安全关键系统）明确。
Verbatim excerpt: NR (not stored separately in the source QA file)</x:v>
      </x:c>
      <x:c r="P30" s="6" t="str">
        <x:v>Location: 第13-15页（4.1-4.5节）
Rationale: 每个RQ有匹配的指标（P-corr@1, Syn@1, Sem@1, T-acc）和基线比较，设计合理。
Verbatim excerpt: NR (not stored separately in the source QA file)</x:v>
      </x:c>
      <x:c r="Q30" s="6" t="str">
        <x:v>Location: 第14页（工具设置）与图6-8
Rationale: 报告了LLM模型版本和工具版本，但缺失生成温度等关键参数，提示模板仅结构未展示完整内容。
Verbatim excerpt: NR (not stored separately in the source QA file)</x:v>
      </x:c>
      <x:c r="R30" s="6" t="str">
        <x:v>Location: 第16-20页（5.1-5.4节）
Rationale: 结果报表完整，包含重复实验的均值和方差，并对不同模型和数据集进行了分析。
Verbatim excerpt: NR (not stored separately in the source QA file)</x:v>
      </x:c>
      <x:c r="S30" s="6" t="str">
        <x:v>Location: 第20-22页（第6、7章）
Rationale: 结论由结果支撑，明确指出了内外部效度威胁和构造效度局限。
Verbatim excerpt: NR (not stored separately in the source QA file)</x:v>
      </x:c>
      <x:c r="T30" s="6" t="str">
        <x:v>Location: 第13页脚注5与致谢
Rationale: 提供数据集公开链接，但未说明代码或完整提示，未声明利益冲突。
Verbatim excerpt: NR (not stored separately in the source QA file)</x:v>
      </x:c>
      <x:c r="U30" s="2" t="n">
        <x:f>IF(COUNT(E30:L30)=0,"",AVERAGE(E30:L30))</x:f>
        <x:v>0.875</x:v>
      </x:c>
      <x:c r="V30" s="2" t="str">
        <x:f>IF(U30="","",IF(U30&lt;0.5,"QA_EXCLUDE_FORMAL",IF(U30=0.5,"QA_INCLUDE_WEAK","QA_INCLUDE_STANDARD")))</x:f>
        <x:v>QA_INCLUDE_STANDARD</x:v>
      </x:c>
      <x:c r="W30" s="2" t="str">
        <x:v>QA_INCLUDE_STANDARD</x:v>
      </x:c>
      <x:c r="X30" s="2" t="str">
        <x:v>NA</x:v>
      </x:c>
      <x:c r="Y30" s="2" t="str">
        <x:v>2026-07-25 00:00:00</x:v>
      </x:c>
      <x:c r="Z30" s="6" t="str">
        <x:v>Title: LusGen: Leveraging LLMs for Safety-Critical Lustre Design and Requirements Traceability
Source reviewer: 第一作者
Reviewer A decision: QA_INCLUDE; evidence status: STANDARD_EVIDENCE
Decision rationale: QA_score=0.8750&gt;0.50，第一作者判定保留。
Source record_id: merged_1241; reviewed_at: Sat Jul 25 2026 03:37:34 GMT+0800 (China Standard Time)</x:v>
      </x:c>
    </x:row>
    <x:row r="31" ht="76" customHeight="1">
      <x:c r="A31" s="2" t="str">
        <x:v>S39</x:v>
      </x:c>
      <x:c r="B31" s="2" t="str">
        <x:v>merged_1245</x:v>
      </x:c>
      <x:c r="C31" s="2" t="str">
        <x:v>Reviewer_A</x:v>
      </x:c>
      <x:c r="D31" s="2" t="str">
        <x:v>Reviewer_A</x:v>
      </x:c>
      <x:c r="E31" s="2" t="n">
        <x:v>1</x:v>
      </x:c>
      <x:c r="F31" s="2" t="n">
        <x:v>0.5</x:v>
      </x:c>
      <x:c r="G31" s="2" t="n">
        <x:v>0.5</x:v>
      </x:c>
      <x:c r="H31" s="2" t="n">
        <x:v>1</x:v>
      </x:c>
      <x:c r="I31" s="2" t="n">
        <x:v>0.5</x:v>
      </x:c>
      <x:c r="J31" s="2" t="n">
        <x:v>0.5</x:v>
      </x:c>
      <x:c r="K31" s="2" t="n">
        <x:v>0.5</x:v>
      </x:c>
      <x:c r="L31" s="2" t="n">
        <x:v>0</x:v>
      </x:c>
      <x:c r="M31" s="6" t="str">
        <x:v>Location: 第2页/第3页 III. CONTRIBUTIONS; 第1页 I. INTRODUCTION A. Research Goal
Rationale: 研究目标明确阐述，四个研究问题（RQ1-RQ4）清晰列出，目标可理解且具体。
Verbatim excerpt: NR (not stored separately in the source QA file)</x:v>
      </x:c>
      <x:c r="N31" s="6" t="str">
        <x:v>Location: 第4页 IV. METHODOLOGY; 第2页 III. CONTRIBUTIONS
Rationale: 方法主要步骤可见（如受控实验、比较不同气味类型），但细节不足，如数据集具体来源、实验样本量、复现所需步骤等未充分描述，不足以完全复现。
Verbatim excerpt: NR (not stored separately in the source QA file)</x:v>
      </x:c>
      <x:c r="O31" s="6" t="str">
        <x:v>Location: 第2页 III. CONTRIBUTIONS RQ1; 第4页 V. PREVIOUS RESULTS
Rationale: 对象为需求及含气味的版本，但初步研究中使用的数据集仅提到‘a fixed set of requirements and corresponding source code’且图例出现游戏项目名，未报告完整来源、规模与选择依据，情境不完整。
Verbatim excerpt: NR (not stored separately in the source QA file)</x:v>
      </x:c>
      <x:c r="P31" s="6" t="str">
        <x:v>Location: 第4页 V. PREVIOUS RESULTS; 第3页 IV. METHODOLOGY C; 第4页图1
Rationale: 评价设计使用准确率和F1分数，与测量LLM性能下降的目标匹配，初步研究采用二元追踪准确率和LOC F1分数，具备真值比较，评价适合。
Verbatim excerpt: NR (not stored separately in the source QA file)</x:v>
      </x:c>
      <x:c r="Q31" s="6" t="str">
        <x:v>Location: 第4页图1说明及第4页 V. PREVIOUS RESULTS
Rationale: 提及使用GPT-4o，但未报告模型版本、温度等关键配置，未提供提示词示例或完整设置，不足以复现。
Verbatim excerpt: NR (not stored separately in the source QA file)</x:v>
      </x:c>
      <x:c r="R31" s="6" t="str">
        <x:v>Location: 第4页图1及第4页 V. PREVIOUS RESULTS
Rationale: 展示了均值性能下降的图表并声称统计显著，但未报告统计检验方法、p值、置信区间等详细分析，结果报告有限。
Verbatim excerpt: NR (not stored separately in the source QA file)</x:v>
      </x:c>
      <x:c r="S31" s="6" t="str">
        <x:v>Location: 第4页 VI. CONCLUSION &amp; TIMELINE
Rationale: 结论称初始结果证实气味增加显著降低质量，有图1支持，但局限仅简略提及‘While there remains room for improvement’，未系统说明样本量、泛化性等边界。
Verbatim excerpt: NR (not stored separately in the source QA file)</x:v>
      </x:c>
      <x:c r="T31" s="6" t="str">
        <x:v>Location: 未找到报告证据
Rationale: 文中未提供数据、代码、提示词或利益关系声明，透明度不足，无法获取复现材料。
Verbatim excerpt: NR (not stored separately in the source QA file)</x:v>
      </x:c>
      <x:c r="U31" s="2" t="n">
        <x:f>IF(COUNT(E31:L31)=0,"",AVERAGE(E31:L31))</x:f>
        <x:v>0.5625</x:v>
      </x:c>
      <x:c r="V31" s="2" t="str">
        <x:f>IF(U31="","",IF(U31&lt;0.5,"QA_EXCLUDE_FORMAL",IF(U31=0.5,"QA_INCLUDE_WEAK","QA_INCLUDE_STANDARD")))</x:f>
        <x:v>QA_INCLUDE_STANDARD</x:v>
      </x:c>
      <x:c r="W31" s="2" t="str">
        <x:v>QA_INCLUDE_STANDARD</x:v>
      </x:c>
      <x:c r="X31" s="2" t="str">
        <x:v>NA</x:v>
      </x:c>
      <x:c r="Y31" s="2" t="str">
        <x:v>2026-07-25 00:00:00</x:v>
      </x:c>
      <x:c r="Z31" s="6" t="str">
        <x:v>Title: Smells Like Trouble: Investigating the Impact of Requirements Quality on LLM-Supported Software Engineering
Source reviewer: 第一作者
Reviewer A decision: QA_INCLUDE; evidence status: STANDARD_EVIDENCE
Decision rationale: QA_score=0.5625&gt;0.50，第一作者判定保留。
Source record_id: merged_1245; reviewed_at: Sat Jul 25 2026 03:37:30 GMT+0800 (China Standard Time)</x:v>
      </x:c>
    </x:row>
    <x:row r="32" ht="76" customHeight="1">
      <x:c r="A32" s="2" t="str">
        <x:v>S40</x:v>
      </x:c>
      <x:c r="B32" s="2" t="str">
        <x:v>merged_1263</x:v>
      </x:c>
      <x:c r="C32" s="2" t="str">
        <x:v>Reviewer_A</x:v>
      </x:c>
      <x:c r="D32" s="2" t="str">
        <x:v>Reviewer_A</x:v>
      </x:c>
      <x:c r="E32" s="2" t="n">
        <x:v>1</x:v>
      </x:c>
      <x:c r="F32" s="2" t="n">
        <x:v>1</x:v>
      </x:c>
      <x:c r="G32" s="2" t="n">
        <x:v>1</x:v>
      </x:c>
      <x:c r="H32" s="2" t="n">
        <x:v>1</x:v>
      </x:c>
      <x:c r="I32" s="2" t="n">
        <x:v>1</x:v>
      </x:c>
      <x:c r="J32" s="2" t="n">
        <x:v>1</x:v>
      </x:c>
      <x:c r="K32" s="2" t="n">
        <x:v>1</x:v>
      </x:c>
      <x:c r="L32" s="2" t="n">
        <x:v>0.5</x:v>
      </x:c>
      <x:c r="M32" s="6" t="str">
        <x:v>Location: Page 2, Section 1. Introduction
Rationale: The study states four explicit research questions (RQ1-RQ4).
Verbatim excerpt: NR (not stored separately in the source QA file)</x:v>
      </x:c>
      <x:c r="N32" s="6" t="str">
        <x:v>Location: Pages 3-15, Sections 3.1-3.3
Rationale: Methods are described in detail with equations, algorithms, and figures sufficient for replication.
Verbatim excerpt: NR (not stored separately in the source QA file)</x:v>
      </x:c>
      <x:c r="O32" s="6" t="str">
        <x:v>Location: Page 13, Section 3.4.1
Rationale: Datasets, sizes, languages, and sources are clearly reported in Table 1.
Verbatim excerpt: NR (not stored separately in the source QA file)</x:v>
      </x:c>
      <x:c r="P32" s="6" t="str">
        <x:v>Location: Pages 13-15, Sections 3.4.2-3.4.4
Rationale: Standard TLR metrics, multiple baselines, ablation, and sensitivity analysis align with objectives.
Verbatim excerpt: NR (not stored separately in the source QA file)</x:v>
      </x:c>
      <x:c r="Q32" s="6" t="str">
        <x:v>Location: Pages 14-15, Section 3.4.3
Rationale: LLM models, parameters, temperature, and execution details are specified.
Verbatim excerpt: NR (not stored separately in the source QA file)</x:v>
      </x:c>
      <x:c r="R32" s="6" t="str">
        <x:v>Location: Pages 16-19, Section 4
Rationale: Results are presented in tables with statistical tests and component analyses.
Verbatim excerpt: NR (not stored separately in the source QA file)</x:v>
      </x:c>
      <x:c r="S32" s="6" t="str">
        <x:v>Location: Pages 19-20, Sections 5 and 6
Rationale: Conclusions are supported by results and limitations are explicitly discussed.
Verbatim excerpt: NR (not stored separately in the source QA file)</x:v>
      </x:c>
      <x:c r="T32" s="6" t="str">
        <x:v>Location: No code or data availability statement found; prompt template shown in Figure 2
Rationale: Methods are detailed enough for replication, but no explicit sharing of code/data; prompt template is provided.
Verbatim excerpt: NR (not stored separately in the source QA file)</x:v>
      </x:c>
      <x:c r="U32" s="2" t="n">
        <x:f>IF(COUNT(E32:L32)=0,"",AVERAGE(E32:L32))</x:f>
        <x:v>0.9375</x:v>
      </x:c>
      <x:c r="V32" s="2" t="str">
        <x:f>IF(U32="","",IF(U32&lt;0.5,"QA_EXCLUDE_FORMAL",IF(U32=0.5,"QA_INCLUDE_WEAK","QA_INCLUDE_STANDARD")))</x:f>
        <x:v>QA_INCLUDE_STANDARD</x:v>
      </x:c>
      <x:c r="W32" s="2" t="str">
        <x:v>QA_INCLUDE_STANDARD</x:v>
      </x:c>
      <x:c r="X32" s="2" t="str">
        <x:v>NA</x:v>
      </x:c>
      <x:c r="Y32" s="2" t="str">
        <x:v>2026-07-25 00:00:00</x:v>
      </x:c>
      <x:c r="Z32" s="6" t="str">
        <x:v>Title: A GraphRAG-Based Dual-Path Structural Diffusion Retrieval Framework for Requirement-Code Traceability Link Recovery
Source reviewer: 第一作者
Reviewer A decision: QA_INCLUDE; evidence status: STANDARD_EVIDENCE
Decision rationale: QA_score=0.9375&gt;0.50，第一作者判定保留。
Source record_id: merged_1263; reviewed_at: Sat Jul 25 2026 03:37:31 GMT+0800 (China Standard Time)</x:v>
      </x:c>
    </x:row>
    <x:row r="33" ht="76" customHeight="1">
      <x:c r="A33" s="2" t="str">
        <x:v>S41</x:v>
      </x:c>
      <x:c r="B33" s="2" t="str">
        <x:v>merged_1264</x:v>
      </x:c>
      <x:c r="C33" s="2" t="str">
        <x:v>Reviewer_A</x:v>
      </x:c>
      <x:c r="D33" s="2" t="str">
        <x:v>Reviewer_A</x:v>
      </x:c>
      <x:c r="E33" s="2" t="n">
        <x:v>1</x:v>
      </x:c>
      <x:c r="F33" s="2" t="n">
        <x:v>1</x:v>
      </x:c>
      <x:c r="G33" s="2" t="n">
        <x:v>1</x:v>
      </x:c>
      <x:c r="H33" s="2" t="n">
        <x:v>1</x:v>
      </x:c>
      <x:c r="I33" s="2" t="n">
        <x:v>0.5</x:v>
      </x:c>
      <x:c r="J33" s="2" t="n">
        <x:v>1</x:v>
      </x:c>
      <x:c r="K33" s="2" t="n">
        <x:v>1</x:v>
      </x:c>
      <x:c r="L33" s="2" t="n">
        <x:v>0.5</x:v>
      </x:c>
      <x:c r="M33" s="6" t="str">
        <x:v>Location: Page 9, Section 4.1
Rationale: Three explicit research questions (RQ1, RQ2, RQ3) are clearly stated and aligned with the study objectives.
Verbatim excerpt: NR (not stored separately in the source QA file)</x:v>
      </x:c>
      <x:c r="N33" s="6" t="str">
        <x:v>Location: Pages 6-8, Section 3
Rationale: The three-module pipeline (semantic summarization, link prediction, re-ranking) is described with sufficient detail, including the use of EALink as the backbone and LLM integration.
Verbatim excerpt: NR (not stored separately in the source QA file)</x:v>
      </x:c>
      <x:c r="O33" s="6" t="str">
        <x:v>Location: Page 4, Section 2.1 and Table 1
Rationale: Six Apache projects are specified with issue and commit counts, link construction method (explicit references), and negative sampling strategy.
Verbatim excerpt: NR (not stored separately in the source QA file)</x:v>
      </x:c>
      <x:c r="P33" s="6" t="str">
        <x:v>Location: Pages 9-11, Sections 4.3-4.4
Rationale: Eleven ranking and recall metrics are used, with multiple baselines, statistical tests (Friedman, Conover, Wilcoxon, Vargha-Delaney), and effect sizes addressing the research questions.
Verbatim excerpt: NR (not stored separately in the source QA file)</x:v>
      </x:c>
      <x:c r="Q33" s="6" t="str">
        <x:v>Location: Page 11, Section 4.5
Rationale: LLM names (DeepSeek-v3, ChatGPT-4o-mini, Claude-3.7-Sonnet) and temperature=0 are reported, but API details, exact model versions, and full prompt templates are incomplete for reproduction.
Verbatim excerpt: NR (not stored separately in the source QA file)</x:v>
      </x:c>
      <x:c r="R33" s="6" t="str">
        <x:v>Location: Pages 10-13, Section 5
Rationale: Results are presented with averages, effect sizes, statistical significance, and comprehensive tables (5-8) covering all metrics and experiments.
Verbatim excerpt: NR (not stored separately in the source QA file)</x:v>
      </x:c>
      <x:c r="S33" s="6" t="str">
        <x:v>Location: Page 3 (limitations paragraph) and Section 5
Rationale: Limitations (no cross-project evaluation, fixed top-10, single LLM) are explicitly discussed, and conclusions in Section 5 are directly supported by experimental outcomes.
Verbatim excerpt: NR (not stored separately in the source QA file)</x:v>
      </x:c>
      <x:c r="T33" s="6" t="str">
        <x:v>Location: Dataset referenced (Section 2.1), prompts partially shown (Figure 6)
Rationale: The dataset is public, but code, full prompts, and conflict-of-interest statements are not provided or mentioned in the text.
Verbatim excerpt: NR (not stored separately in the source QA file)</x:v>
      </x:c>
      <x:c r="U33" s="2" t="n">
        <x:f>IF(COUNT(E33:L33)=0,"",AVERAGE(E33:L33))</x:f>
        <x:v>0.875</x:v>
      </x:c>
      <x:c r="V33" s="2" t="str">
        <x:f>IF(U33="","",IF(U33&lt;0.5,"QA_EXCLUDE_FORMAL",IF(U33=0.5,"QA_INCLUDE_WEAK","QA_INCLUDE_STANDARD")))</x:f>
        <x:v>QA_INCLUDE_STANDARD</x:v>
      </x:c>
      <x:c r="W33" s="2" t="str">
        <x:v>QA_INCLUDE_STANDARD</x:v>
      </x:c>
      <x:c r="X33" s="2" t="str">
        <x:v>NA</x:v>
      </x:c>
      <x:c r="Y33" s="2" t="str">
        <x:v>2026-07-25 00:00:00</x:v>
      </x:c>
      <x:c r="Z33" s="6" t="str">
        <x:v>Title: SELink: A semantic-enhanced modular framework for issue–commit link recovery
Source reviewer: 第一作者
Reviewer A decision: QA_INCLUDE; evidence status: STANDARD_EVIDENCE
Decision rationale: QA_score=0.8750&gt;0.50，第一作者判定保留。
Source record_id: merged_1264; reviewed_at: Sat Jul 25 2026 03:37:42 GMT+0800 (China Standard Time)</x:v>
      </x:c>
    </x:row>
    <x:row r="34" ht="76" customHeight="1">
      <x:c r="A34" s="2" t="str">
        <x:v>S42</x:v>
      </x:c>
      <x:c r="B34" s="2" t="str">
        <x:v>merged_1266</x:v>
      </x:c>
      <x:c r="C34" s="2" t="str">
        <x:v>Reviewer_A</x:v>
      </x:c>
      <x:c r="D34" s="2" t="str">
        <x:v>Reviewer_A</x:v>
      </x:c>
      <x:c r="E34" s="2" t="n">
        <x:v>1</x:v>
      </x:c>
      <x:c r="F34" s="2" t="n">
        <x:v>0.5</x:v>
      </x:c>
      <x:c r="G34" s="2" t="n">
        <x:v>1</x:v>
      </x:c>
      <x:c r="H34" s="2" t="n">
        <x:v>1</x:v>
      </x:c>
      <x:c r="I34" s="2" t="n">
        <x:v>0.5</x:v>
      </x:c>
      <x:c r="J34" s="2" t="n">
        <x:v>1</x:v>
      </x:c>
      <x:c r="K34" s="2" t="n">
        <x:v>1</x:v>
      </x:c>
      <x:c r="L34" s="2" t="n">
        <x:v>1</x:v>
      </x:c>
      <x:c r="M34" s="6" t="str">
        <x:v>Location: Page 2, Section 1
Rationale: 研究目标与三个研究问题（RQ1-RQ3）在引言中明确表述。
Verbatim excerpt: NR (not stored separately in the source QA file)</x:v>
      </x:c>
      <x:c r="N34" s="6" t="str">
        <x:v>Location: Pages 3-5, Section 3
Rationale: 主要步骤如检索和提示流程描述清楚，但实现细节（如向量存储、输出解析）未充分说明，不完全足以精确复现。
Verbatim excerpt: NR (not stored separately in the source QA file)</x:v>
      </x:c>
      <x:c r="O34" s="6" t="str">
        <x:v>Location: Page 6, Table 1 and surrounding text
Rationale: 数据集明确列出类型、规模、来源及金标准覆盖情况，情境完整。
Verbatim excerpt: NR (not stored separately in the source QA file)</x:v>
      </x:c>
      <x:c r="P34" s="6" t="str">
        <x:v>Location: Pages 5-8, Section 4.1
Rationale: 采用标准基准、多项指标和统计检验，与多个基线及现有方法的比较设计匹配研究目标。
Verbatim excerpt: NR (not stored separately in the source QA file)</x:v>
      </x:c>
      <x:c r="Q34" s="6" t="str">
        <x:v>Location: Pages 5-7, Section 4.1
Rationale: 报告了模型、温度、随机种子等关键参数，但模型具体版本未明确，复现可能存在歧义。
Verbatim excerpt: NR (not stored separately in the source QA file)</x:v>
      </x:c>
      <x:c r="R34" s="6" t="str">
        <x:v>Location: Pages 8-11, Tables 2,3 and Section 4.2
Rationale: 结果报告完整，包含所有数据集和配置的指标、统计显著性及效应大小。
Verbatim excerpt: NR (not stored separately in the source QA file)</x:v>
      </x:c>
      <x:c r="S34" s="6" t="str">
        <x:v>Location: Sections 5 and 4.3, Pages 12-13
Rationale: 结论由结果支持，局限性在威胁有效性部分明确说明。
Verbatim excerpt: NR (not stored separately in the source QA file)</x:v>
      </x:c>
      <x:c r="T34" s="6" t="str">
        <x:v>Location: Page 13, Data Availability Statement and Disclosure of Interests
Rationale: 提供了公开可用的复制包，包含代码和数据集，利益关系声明清晰。
Verbatim excerpt: NR (not stored separately in the source QA file)</x:v>
      </x:c>
      <x:c r="U34" s="2" t="n">
        <x:f>IF(COUNT(E34:L34)=0,"",AVERAGE(E34:L34))</x:f>
        <x:v>0.875</x:v>
      </x:c>
      <x:c r="V34" s="2" t="str">
        <x:f>IF(U34="","",IF(U34&lt;0.5,"QA_EXCLUDE_FORMAL",IF(U34=0.5,"QA_INCLUDE_WEAK","QA_INCLUDE_STANDARD")))</x:f>
        <x:v>QA_INCLUDE_STANDARD</x:v>
      </x:c>
      <x:c r="W34" s="2" t="str">
        <x:v>QA_INCLUDE_STANDARD</x:v>
      </x:c>
      <x:c r="X34" s="2" t="str">
        <x:v>NA</x:v>
      </x:c>
      <x:c r="Y34" s="2" t="str">
        <x:v>2026-07-25 00:00:00</x:v>
      </x:c>
      <x:c r="Z34" s="6" t="str">
        <x:v>Title: Requirements Traceability Link Recovery via Retrieval-Augmented Generation
Source reviewer: 第一作者
Reviewer A decision: QA_INCLUDE; evidence status: STANDARD_EVIDENCE
Decision rationale: QA_score=0.8750&gt;0.50，第一作者判定保留。
Source record_id: merged_1266; reviewed_at: Sat Jul 25 2026 03:37:42 GMT+0800 (China Standard Time)</x:v>
      </x:c>
    </x:row>
    <x:row r="35" ht="76" customHeight="1">
      <x:c r="A35" s="2" t="str">
        <x:v>S43</x:v>
      </x:c>
      <x:c r="B35" s="2" t="str">
        <x:v>merged_1270</x:v>
      </x:c>
      <x:c r="C35" s="2" t="str">
        <x:v>Reviewer_A</x:v>
      </x:c>
      <x:c r="D35" s="2" t="str">
        <x:v>Reviewer_A</x:v>
      </x:c>
      <x:c r="E35" s="2" t="n">
        <x:v>1</x:v>
      </x:c>
      <x:c r="F35" s="2" t="n">
        <x:v>1</x:v>
      </x:c>
      <x:c r="G35" s="2" t="n">
        <x:v>1</x:v>
      </x:c>
      <x:c r="H35" s="2" t="n">
        <x:v>1</x:v>
      </x:c>
      <x:c r="I35" s="2" t="n">
        <x:v>0.5</x:v>
      </x:c>
      <x:c r="J35" s="2" t="n">
        <x:v>1</x:v>
      </x:c>
      <x:c r="K35" s="2" t="n">
        <x:v>1</x:v>
      </x:c>
      <x:c r="L35" s="2" t="n">
        <x:v>1</x:v>
      </x:c>
      <x:c r="M35" s="6" t="str">
        <x:v>Location: 第6页 IV.A节
Rationale: 明确提出了三个研究问题（RQ1-RQ3），目标清晰。
Verbatim excerpt: NR (not stored separately in the source QA file)</x:v>
      </x:c>
      <x:c r="N35" s="6" t="str">
        <x:v>Location: 第3-5页 III节 Methodology
Rationale: 方法详细描述了LLM归因分析、节点/边缘特征生成和HGT图构建与训练过程，包括公式和图示，足以复述。
Verbatim excerpt: NR (not stored separately in the source QA file)</x:v>
      </x:c>
      <x:c r="O35" s="6" t="str">
        <x:v>Location: 第7页 IV.C节，表II
Rationale: 明确说明使用10个开源项目数据集，提供了规模、来源、领域等详细信息。
Verbatim excerpt: NR (not stored separately in the source QA file)</x:v>
      </x:c>
      <x:c r="P35" s="6" t="str">
        <x:v>Location: 第6-7页 IV.B和IV.D节
Rationale: 采用标准指标(Precision, Recall, F1)，与多种基线方法比较，并进行统计显著性检验，与研究目标匹配。
Verbatim excerpt: NR (not stored separately in the source QA file)</x:v>
      </x:c>
      <x:c r="Q35" s="6" t="str">
        <x:v>Location: 第7页 IV.E节，表III，图1
Rationale: 报告了模型版本、超参数、硬件环境，但LLM生成参数如温度、最大token等未明确。
Verbatim excerpt: NR (not stored separately in the source QA file)</x:v>
      </x:c>
      <x:c r="R35" s="6" t="str">
        <x:v>Location: 第8-10页 V节，表IV-VI
Rationale: 结果以表格呈现所有方法的Precision, Recall, F1，并讨论了趋势和异常，有统计分析。
Verbatim excerpt: NR (not stored separately in the source QA file)</x:v>
      </x:c>
      <x:c r="S35" s="6" t="str">
        <x:v>Location: 第11页 VII节，第10-11页 VI节
Rationale: 结论由实验结果支持，明确讨论了内部、外部等威胁效度和局限。
Verbatim excerpt: NR (not stored separately in the source QA file)</x:v>
      </x:c>
      <x:c r="T35" s="6" t="str">
        <x:v>Location: 第10页 VI节内部效度，第7页 C节
Rationale: 代码公开（提供匿名链接），数据集公开，提示描述清晰，资金信息在致谢中说明。
Verbatim excerpt: NR (not stored separately in the source QA file)</x:v>
      </x:c>
      <x:c r="U35" s="2" t="n">
        <x:f>IF(COUNT(E35:L35)=0,"",AVERAGE(E35:L35))</x:f>
        <x:v>0.9375</x:v>
      </x:c>
      <x:c r="V35" s="2" t="str">
        <x:f>IF(U35="","",IF(U35&lt;0.5,"QA_EXCLUDE_FORMAL",IF(U35=0.5,"QA_INCLUDE_WEAK","QA_INCLUDE_STANDARD")))</x:f>
        <x:v>QA_INCLUDE_STANDARD</x:v>
      </x:c>
      <x:c r="W35" s="2" t="str">
        <x:v>QA_INCLUDE_STANDARD</x:v>
      </x:c>
      <x:c r="X35" s="2" t="str">
        <x:v>NA</x:v>
      </x:c>
      <x:c r="Y35" s="2" t="str">
        <x:v>2026-07-25 00:00:00</x:v>
      </x:c>
      <x:c r="Z35" s="6" t="str">
        <x:v>Title: HGTRTracer: Advancing Requirements-Code Traceability with LLM-Augmented Attribution Reasoning and Heterogeneous Graph Transformer
Source reviewer: 第一作者
Reviewer A decision: QA_INCLUDE; evidence status: STANDARD_EVIDENCE
Decision rationale: QA_score=0.9375&gt;0.50，第一作者判定保留。
Source record_id: merged_1270; reviewed_at: Sat Jul 25 2026 03:37:49 GMT+0800 (China Standard Time)</x:v>
      </x:c>
    </x:row>
    <x:row r="36" ht="76" customHeight="1">
      <x:c r="A36" s="2" t="str">
        <x:v>S44</x:v>
      </x:c>
      <x:c r="B36" s="2" t="str">
        <x:v>merged_1274</x:v>
      </x:c>
      <x:c r="C36" s="2" t="str">
        <x:v>Reviewer_A</x:v>
      </x:c>
      <x:c r="D36" s="2" t="str">
        <x:v>Reviewer_A</x:v>
      </x:c>
      <x:c r="E36" s="2" t="n">
        <x:v>1</x:v>
      </x:c>
      <x:c r="F36" s="2" t="n">
        <x:v>0.5</x:v>
      </x:c>
      <x:c r="G36" s="2" t="n">
        <x:v>1</x:v>
      </x:c>
      <x:c r="H36" s="2" t="n">
        <x:v>1</x:v>
      </x:c>
      <x:c r="I36" s="2" t="n">
        <x:v>0.5</x:v>
      </x:c>
      <x:c r="J36" s="2" t="n">
        <x:v>0.5</x:v>
      </x:c>
      <x:c r="K36" s="2" t="n">
        <x:v>0.5</x:v>
      </x:c>
      <x:c r="L36" s="2" t="n">
        <x:v>0.5</x:v>
      </x:c>
      <x:c r="M36" s="6" t="str">
        <x:v>Location: 第1页摘要与引言、第4页RQ1-RQ2
Rationale: 研究目标明确：利用CoT提示提升R2C追溯性，并在引言和实验部分提出两个清晰的研究问题(RQ1/RQ2)。
Verbatim excerpt: NR (not stored separately in the source QA file)</x:v>
      </x:c>
      <x:c r="N36" s="6" t="str">
        <x:v>Location: 第2-4页第II节
Rationale: 主要步骤(预处理、提示设计、相似度计算、重排序)描述清楚，但关键超参数(如k1/k2值、SimCSE模型版本、GPT-3.5调用参数)未报告，不足以完全复现。
Verbatim excerpt: NR (not stored separately in the source QA file)</x:v>
      </x:c>
      <x:c r="O36" s="6" t="str">
        <x:v>Location: 第4页表I与正文
Rationale: 明确说明使用四个公开基准数据集(iTrust, eTour, eANCI, SMOS)，来自CoSET平台，并给出目标/源工件数量、覆盖率和平均代码行数，情境完整。
Verbatim excerpt: NR (not stored separately in the source QA file)</x:v>
      </x:c>
      <x:c r="P36" s="6" t="str">
        <x:v>Location: 第4-5页实验设置与结果
Rationale: 与多个基线比较，使用MAP、Precision-Recall曲线、F2等标准指标，评价设计与研究目标(RQ1/RQ2)高度匹配。
Verbatim excerpt: NR (not stored separately in the source QA file)</x:v>
      </x:c>
      <x:c r="Q36" s="6" t="str">
        <x:v>Location: 第2-3页提示设计、第5页token与成本
Rationale: 报告了使用GPT-3.5和CoT提示示例，但未说明具体模型版本(如gpt-3.5-turbo-xxx)、温度等参数，SimCSE实现细节不足，不足以完全复现。
Verbatim excerpt: NR (not stored separately in the source QA file)</x:v>
      </x:c>
      <x:c r="R36" s="6" t="str">
        <x:v>Location: 第4-5页图3、图4、表II
Rationale: 报告了MAP、PR曲线和指标，但未提供误差范围、置信区间或统计显著性检验，分析有限。
Verbatim excerpt: NR (not stored separately in the source QA file)</x:v>
      </x:c>
      <x:c r="S36" s="6" t="str">
        <x:v>Location: 第5页结论
Rationale: 结论由结果支持；未来工作提及扩展到更多语言和LLM，但未明确讨论当前方法的局限性(如对特定数据集的依赖、模型偏见等)，边界说明不足。
Verbatim excerpt: NR (not stored separately in the source QA file)</x:v>
      </x:c>
      <x:c r="T36" s="6" t="str">
        <x:v>Location: 第1页资助声明、第4页数据集来源
Rationale: 数据来源(CoSET)和利益冲突(资助)已说明，但未提供代码、完整提示模板或数据链接，复现材料不充分，仅部分可得。
Verbatim excerpt: NR (not stored separately in the source QA file)</x:v>
      </x:c>
      <x:c r="U36" s="2" t="n">
        <x:f>IF(COUNT(E36:L36)=0,"",AVERAGE(E36:L36))</x:f>
        <x:v>0.6875</x:v>
      </x:c>
      <x:c r="V36" s="2" t="str">
        <x:f>IF(U36="","",IF(U36&lt;0.5,"QA_EXCLUDE_FORMAL",IF(U36=0.5,"QA_INCLUDE_WEAK","QA_INCLUDE_STANDARD")))</x:f>
        <x:v>QA_INCLUDE_STANDARD</x:v>
      </x:c>
      <x:c r="W36" s="2" t="str">
        <x:v>QA_INCLUDE_STANDARD</x:v>
      </x:c>
      <x:c r="X36" s="2" t="str">
        <x:v>NA</x:v>
      </x:c>
      <x:c r="Y36" s="2" t="str">
        <x:v>2026-07-25 00:00:00</x:v>
      </x:c>
      <x:c r="Z36" s="6" t="str">
        <x:v>Title: Enhancing Requirement-to-Code Traceability via Chain-of-Thought Prompting in Large Language Models
Source reviewer: 第一作者
Reviewer A decision: QA_INCLUDE; evidence status: STANDARD_EVIDENCE
Decision rationale: QA_score=0.6875&gt;0.50，第一作者判定保留。
Source record_id: merged_1274; reviewed_at: Sat Jul 25 2026 03:37:43 GMT+0800 (China Standard Time)</x:v>
      </x:c>
    </x:row>
    <x:row r="37" ht="76" customHeight="1">
      <x:c r="A37" s="2" t="str">
        <x:v>S45</x:v>
      </x:c>
      <x:c r="B37" s="2" t="str">
        <x:v>merged_1275</x:v>
      </x:c>
      <x:c r="C37" s="2" t="str">
        <x:v>Reviewer_A</x:v>
      </x:c>
      <x:c r="D37" s="2" t="str">
        <x:v>Reviewer_A</x:v>
      </x:c>
      <x:c r="E37" s="2" t="n">
        <x:v>1</x:v>
      </x:c>
      <x:c r="F37" s="2" t="n">
        <x:v>0.5</x:v>
      </x:c>
      <x:c r="G37" s="2" t="n">
        <x:v>1</x:v>
      </x:c>
      <x:c r="H37" s="2" t="n">
        <x:v>1</x:v>
      </x:c>
      <x:c r="I37" s="2" t="n">
        <x:v>0.5</x:v>
      </x:c>
      <x:c r="J37" s="2" t="n">
        <x:v>1</x:v>
      </x:c>
      <x:c r="K37" s="2" t="n">
        <x:v>1</x:v>
      </x:c>
      <x:c r="L37" s="2" t="n">
        <x:v>0.5</x:v>
      </x:c>
      <x:c r="M37" s="6" t="str">
        <x:v>Location: 第1页第1节Motivation末尾
Rationale: 明确提出了研究问题：“The problem this short paper addresses is whether LLMs can effectively support requirements traceability by assessing the link quality and predicting trace links, potentially reducing the effort needed by human analysts.” 目标清晰。
Verbatim excerpt: NR (not stored separately in the source QA file)</x:v>
      </x:c>
      <x:c r="N37" s="6" t="str">
        <x:v>Location: 第2-5页第2节Research Design and Evaluation
Rationale: 五个研究的主要步骤和实验流程均有描述，但关键细节缺失：未给出完整的提示词内容；未说明ChatGPT-4o的具体版本日期或温度等参数；部分研究（如研究4）仅有示例，缺少系统评估过程。复现需要依赖外部GitHub材料。
Verbatim excerpt: NR (not stored separately in the source QA file)</x:v>
      </x:c>
      <x:c r="O37" s="6" t="str">
        <x:v>Location: 第2页第2节开头
Rationale: 明确了数据集构成（21条系统需求、24条软件需求，源于正在进行的超声波泊车辅助IC项目）、复杂度（低）和预处理（参数混淆、专家审核），并交代了5位平均10年经验的行业专家作为真值来源，研究对象与情境完整。
Verbatim excerpt: NR (not stored separately in the source QA file)</x:v>
      </x:c>
      <x:c r="P37" s="6" t="str">
        <x:v>Location: 第2-5页第2节
Rationale: 研究1采用专家池化和排名两种独立方式，报告P/R/F1并与人工耗时对比；研究3使用已有链接作为真值，计算P/R/F1；研究2通过专家问卷调查评估有效性和有用性。主要研究设计匹配研究目标，具备真值、量化指标和对照。
Verbatim excerpt: NR (not stored separately in the source QA file)</x:v>
      </x:c>
      <x:c r="Q37" s="6" t="str">
        <x:v>Location: 第2页第2节
Rationale: 仅报告了模型为“ChatGPT-4o”（通过Elmos ChatGPT-4o Workspace），未说明具体版本日期、温度等关键设置；提示词未在文中完整给出，仅提供示例。部分设置（如多会话平均、记忆存储）可见，但不足以完整复现。
Verbatim excerpt: NR (not stored separately in the source QA file)</x:v>
      </x:c>
      <x:c r="R37" s="6" t="str">
        <x:v>Location: 第2-5页第2节
Rationale: 研究1和3报告了P、R、F1-score；研究2以百分比给出专家认可度并附定性评论；研究4和5提供了示例输出。主要结果量化清晰，并结合了图表和文字说明，分析充分。
Verbatim excerpt: NR (not stored separately in the source QA file)</x:v>
      </x:c>
      <x:c r="S37" s="6" t="str">
        <x:v>Location: 第5-6页第3、4节
Rationale: 结论声称ChatGPT-4o表现良好，可辅助人工，并明确指出需人类验证。第3节详细列出了数据集规模、复杂度、模型版本、提示词及人类响应等威胁，最终结论直接由前述指标支持，边界清楚。
Verbatim excerpt: NR (not stored separately in the source QA file)</x:v>
      </x:c>
      <x:c r="T37" s="6" t="str">
        <x:v>Location: 第6页致谢及参考文献[3]
Rationale: 数据集和提示词在GitHub上公开，但代码或其他分析材料未提供；作者所属公司和项目关系已声明，但未明确提及利益冲突管理。论文内关键提示词缺失，整体透明度部分可接受。
Verbatim excerpt: NR (not stored separately in the source QA file)</x:v>
      </x:c>
      <x:c r="U37" s="2" t="n">
        <x:f>IF(COUNT(E37:L37)=0,"",AVERAGE(E37:L37))</x:f>
        <x:v>0.8125</x:v>
      </x:c>
      <x:c r="V37" s="2" t="str">
        <x:f>IF(U37="","",IF(U37&lt;0.5,"QA_EXCLUDE_FORMAL",IF(U37=0.5,"QA_INCLUDE_WEAK","QA_INCLUDE_STANDARD")))</x:f>
        <x:v>QA_INCLUDE_STANDARD</x:v>
      </x:c>
      <x:c r="W37" s="2" t="str">
        <x:v>QA_INCLUDE_STANDARD</x:v>
      </x:c>
      <x:c r="X37" s="2" t="str">
        <x:v>NA</x:v>
      </x:c>
      <x:c r="Y37" s="2" t="str">
        <x:v>2026-07-25 00:00:00</x:v>
      </x:c>
      <x:c r="Z37" s="6" t="str">
        <x:v>Title: Evaluating the Capabilities of LLMs in Traceability Maintenance for Automotive System and Software Requirements
Source reviewer: 第一作者
Reviewer A decision: QA_INCLUDE; evidence status: STANDARD_EVIDENCE
Decision rationale: QA_score=0.8125&gt;0.50，第一作者判定保留。
Source record_id: merged_1275; reviewed_at: Sat Jul 25 2026 03:38:14 GMT+0800 (China Standard Time)</x:v>
      </x:c>
    </x:row>
    <x:row r="38" ht="76" customHeight="1">
      <x:c r="A38" s="2" t="str">
        <x:v>S46</x:v>
      </x:c>
      <x:c r="B38" s="2" t="str">
        <x:v>merged_1293</x:v>
      </x:c>
      <x:c r="C38" s="2" t="str">
        <x:v>Reviewer_A</x:v>
      </x:c>
      <x:c r="D38" s="2" t="str">
        <x:v>Reviewer_A</x:v>
      </x:c>
      <x:c r="E38" s="2" t="n">
        <x:v>1</x:v>
      </x:c>
      <x:c r="F38" s="2" t="n">
        <x:v>1</x:v>
      </x:c>
      <x:c r="G38" s="2" t="n">
        <x:v>1</x:v>
      </x:c>
      <x:c r="H38" s="2" t="n">
        <x:v>1</x:v>
      </x:c>
      <x:c r="I38" s="2" t="n">
        <x:v>0.5</x:v>
      </x:c>
      <x:c r="J38" s="2" t="n">
        <x:v>0.5</x:v>
      </x:c>
      <x:c r="K38" s="2" t="n">
        <x:v>1</x:v>
      </x:c>
      <x:c r="L38" s="2" t="n">
        <x:v>1</x:v>
      </x:c>
      <x:c r="M38" s="6" t="str">
        <x:v>Location: Page 2 (Introduction), Page 3 (RQ1-RQ3 listed)
Rationale: Research objectives are clearly stated as improving software artifact traceability via structured prompting, with three explicit research questions (RQ1, RQ2, RQ3) guiding the study.
Verbatim excerpt: NR (not stored separately in the source QA file)</x:v>
      </x:c>
      <x:c r="N38" s="6" t="str">
        <x:v>Location: Pages 5-9 (Structured Prompt Design, Measuring Traceability, Evaluation)
Rationale: Methods are well described: design principles and prompt structure (Figure 1), metric definitions with formulas (Equations 1-6), and evaluation process (case study, model selection, constraints). Sufficient detail to replicate the study.
Verbatim excerpt: NR (not stored separately in the source QA file)</x:v>
      </x:c>
      <x:c r="O38" s="6" t="str">
        <x:v>Location: Pages 7-9 (Figure 2, Figure 3, Evaluation section)
Rationale: The smart home system is described with functional requirements (Figure 2), and development activities are divided into four phases with ten specific tasks (Figure 3). Data source (LLM outputs) and context (academic case study) are clearly defined.
Verbatim excerpt: NR (not stored separately in the source QA file)</x:v>
      </x:c>
      <x:c r="P38" s="6" t="str">
        <x:v>Location: Pages 6-8 (Measuring Traceability), Page 9 (Evaluation)
Rationale: Evaluation design directly matches the goal: metrics (TMA, TMP, TMPR) measure traceability, and a controlled comparison between structured and unstructured prompts is performed. Ground truth is based on manual inspection of outputs against explicit criteria, with defined baselines and weights.
Verbatim excerpt: NR (not stored separately in the source QA file)</x:v>
      </x:c>
      <x:c r="Q38" s="6" t="str">
        <x:v>Location: Page 9 (Evaluation section), Appendix (Figures 19-20)
Rationale: LLM versions are partially reported (e.g., Claude 3.5 Sonnet, ChatGPT-4o, Meta based on Llama 3; Gemini and Copilot versions unknown). Prompts are fully provided in the appendix. However, critical parameters (e.g., temperature, max tokens) are not reported, limiting full reproducibility.
Verbatim excerpt: NR (not stored separately in the source QA file)</x:v>
      </x:c>
      <x:c r="R38" s="6" t="str">
        <x:v>Location: Pages 10-18 (Evaluation results, Figures 7-18)
Rationale: Detailed results including TMA, TMP, TMPR scores and improvement percentages are presented per model and phase. However, no statistical tests or uncertainty measures (e.g., confidence intervals) are reported, and analysis remains descriptive.
Verbatim excerpt: NR (not stored separately in the source QA file)</x:v>
      </x:c>
      <x:c r="S38" s="6" t="str">
        <x:v>Location: Pages 18-19 (Discussion, Conclusion, Threats to validity)
Rationale: Conclusions are directly supported by the reported improvements, and limitations (single case study, incomplete adherence to prompts, over-specification) are explicitly discussed in the threats to validity section.
Verbatim excerpt: NR (not stored separately in the source QA file)</x:v>
      </x:c>
      <x:c r="T38" s="6" t="str">
        <x:v>Location: Page 19 (Appendix reference, citation 30), Page 19 (Disclosure statement)
Rationale: All structured prompts are provided in the appendix, and the paper states that complete transcripts and detailed analysis are available in a GitHub repository (reference 30). No potential conflict of interest was declared. Sufficient transparency given the academic context.
Verbatim excerpt: NR (not stored separately in the source QA file)</x:v>
      </x:c>
      <x:c r="U38" s="2" t="n">
        <x:f>IF(COUNT(E38:L38)=0,"",AVERAGE(E38:L38))</x:f>
        <x:v>0.875</x:v>
      </x:c>
      <x:c r="V38" s="2" t="str">
        <x:f>IF(U38="","",IF(U38&lt;0.5,"QA_EXCLUDE_FORMAL",IF(U38=0.5,"QA_INCLUDE_WEAK","QA_INCLUDE_STANDARD")))</x:f>
        <x:v>QA_INCLUDE_STANDARD</x:v>
      </x:c>
      <x:c r="W38" s="2" t="str">
        <x:v>QA_INCLUDE_STANDARD</x:v>
      </x:c>
      <x:c r="X38" s="2" t="str">
        <x:v>NA</x:v>
      </x:c>
      <x:c r="Y38" s="2" t="str">
        <x:v>2026-07-25 00:00:00</x:v>
      </x:c>
      <x:c r="Z38" s="6" t="str">
        <x:v>Title: Improving software development traceability with structured prompting
Source reviewer: 第一作者
Reviewer A decision: QA_INCLUDE; evidence status: STANDARD_EVIDENCE
Decision rationale: QA_score=0.8750&gt;0.50，第一作者判定保留。
Source record_id: merged_1293; reviewed_at: Sat Jul 25 2026 03:38:05 GMT+0800 (China Standard Time)</x:v>
      </x:c>
    </x:row>
    <x:row r="39" ht="76" customHeight="1">
      <x:c r="A39" s="2" t="str">
        <x:v>S48</x:v>
      </x:c>
      <x:c r="B39" s="2" t="str">
        <x:v>merged_1441</x:v>
      </x:c>
      <x:c r="C39" s="2" t="str">
        <x:v>Reviewer_A</x:v>
      </x:c>
      <x:c r="D39" s="2" t="str">
        <x:v>Reviewer_A</x:v>
      </x:c>
      <x:c r="E39" s="2" t="n">
        <x:v>1</x:v>
      </x:c>
      <x:c r="F39" s="2" t="n">
        <x:v>1</x:v>
      </x:c>
      <x:c r="G39" s="2" t="n">
        <x:v>1</x:v>
      </x:c>
      <x:c r="H39" s="2" t="n">
        <x:v>1</x:v>
      </x:c>
      <x:c r="I39" s="2" t="n">
        <x:v>1</x:v>
      </x:c>
      <x:c r="J39" s="2" t="n">
        <x:v>1</x:v>
      </x:c>
      <x:c r="K39" s="2" t="n">
        <x:v>1</x:v>
      </x:c>
      <x:c r="L39" s="2" t="n">
        <x:v>1</x:v>
      </x:c>
      <x:c r="M39" s="6" t="str">
        <x:v>Location: 第1页，摘要和引言；第8页，第IV-A节研究问题
Rationale: 研究目标明确：提出LLM增强的异构图学习框架，改善issue链接预测；实验围绕四个研究问题展开，目标清晰可追溯。
Verbatim excerpt: NR (not stored separately in the source QA file)</x:v>
      </x:c>
      <x:c r="N39" s="6" t="str">
        <x:v>Location: 第3-8页，第III节方法，含图2框架概览、文本增强流程、图构建、元路径聚合公式；第10页，第IV-D节实现细节
Rationale: 方法描述详尽：三步工作流、LLM增强的提示设计、节点类型与边定义、元路径编码与聚合机制、损失函数，配合公式和伪代码，足够复现。
Verbatim excerpt: NR (not stored separately in the source QA file)</x:v>
      </x:c>
      <x:c r="O39" s="6" t="str">
        <x:v>Location: 第9-10页，第IV-B节数据集构建，表I项目统计
Rationale: 对象、数据集与情境完整：23个Apache项目，从Jira API收集，列出项目名、起止时间、issue数量、链接覆盖率等，筛选标准明确，时间分割策略清晰。
Verbatim excerpt: NR (not stored separately in the source QA file)</x:v>
      </x:c>
      <x:c r="P39" s="6" t="str">
        <x:v>Location: 第8-9页，第IV-A节研究问题；第11页，第IV-E节评估指标；第11-15页，第V节结果
Rationale: 评价设计直接匹配研究目标：使用Jira记录的真实链接作为真值，采用AUC、准确率、召回率、精确率、F1等标准指标，与多个竞争基线对比，进行消融研究、统计显著性检验和效应量分析，设计合理。
Verbatim excerpt: NR (not stored separately in the source QA file)</x:v>
      </x:c>
      <x:c r="Q39" s="6" t="str">
        <x:v>Location: 第3-6页，第III-A节语义增强（GPT-4o-mini API，温度0，提示图3）；第10页IV-D实现细节（LLaMA3-8B本地特征提取，128维投影，训练超参数dropout=0.3, lr=0.005, batch=8, 100 epochs）
Rationale: LLM和模型配置充分报告：文本增强所用的GPT版本、提示模板、温度设置；特征提取模型、嵌入维度；图神经网络的dropout、学习率、批大小、epoch及早停策略；种子值提供，可复现。
Verbatim excerpt: NR (not stored separately in the source QA file)</x:v>
      </x:c>
      <x:c r="R39" s="6" t="str">
        <x:v>Location: 第11-15页，第V节结果与分析，表II-XII，多重统计检验
Rationale: 结果报告详尽：主对比表包含各项指标、win/loss统计、相对提升、p值和Cohen's d；消融研究、架构比较、类不平衡分析、效率分析、参数敏感性和增强质量评估均提供数据与统计，误差与不确定性透明。
Verbatim excerpt: NR (not stored separately in the source QA file)</x:v>
      </x:c>
      <x:c r="S39" s="6" t="str">
        <x:v>Location: 第15-17页，第VI节讨论和第VII节威胁有效性
Rationale: 结论由结果支撑，局限明确：讨论部分总结发现并解释原因，威胁有效性子节分别讨论构造、内部、外部和结论效度，承认数据集局限、链接类型未分、Python项目等，边界叙述充分。
Verbatim excerpt: NR (not stored separately in the source QA file)</x:v>
      </x:c>
      <x:c r="T39" s="6" t="str">
        <x:v>Location: 第10页脚注1（'replication package'）和第12页提到发布增强文本、提示模板和脚本
Rationale: 透明度足够：论文声称在可复现包中释放了所有缓存增强文本、提示模板和可复现脚本，并提供具体链接（footnote 1）；利益冲突无特殊说明，除API成本外无限制。
Verbatim excerpt: NR (not stored separately in the source QA file)</x:v>
      </x:c>
      <x:c r="U39" s="2" t="n">
        <x:f>IF(COUNT(E39:L39)=0,"",AVERAGE(E39:L39))</x:f>
        <x:v>1</x:v>
      </x:c>
      <x:c r="V39" s="2" t="str">
        <x:f>IF(U39="","",IF(U39&lt;0.5,"QA_EXCLUDE_FORMAL",IF(U39=0.5,"QA_INCLUDE_WEAK","QA_INCLUDE_STANDARD")))</x:f>
        <x:v>QA_INCLUDE_STANDARD</x:v>
      </x:c>
      <x:c r="W39" s="2" t="str">
        <x:v>QA_INCLUDE_STANDARD</x:v>
      </x:c>
      <x:c r="X39" s="2" t="str">
        <x:v>NA</x:v>
      </x:c>
      <x:c r="Y39" s="2" t="str">
        <x:v>2026-07-25 00:00:00</x:v>
      </x:c>
      <x:c r="Z39" s="6" t="str">
        <x:v>Title: LHGLink: LLM—Enhanced Heterogeneous Graph Learning for Issue–Issue Link Prediction
Source reviewer: 第一作者
Reviewer A decision: QA_INCLUDE; evidence status: STANDARD_EVIDENCE
Decision rationale: QA_score=1.0000&gt;0.50，第一作者判定保留。
Source record_id: merged_1441; reviewed_at: Sat Jul 25 2026 03:38:01 GMT+0800 (China Standard Time)</x:v>
      </x:c>
    </x:row>
    <x:row r="40" ht="76" customHeight="1">
      <x:c r="A40" s="2" t="str">
        <x:v>S49</x:v>
      </x:c>
      <x:c r="B40" s="2" t="str">
        <x:v>merged_1486</x:v>
      </x:c>
      <x:c r="C40" s="2" t="str">
        <x:v>Reviewer_A</x:v>
      </x:c>
      <x:c r="D40" s="2" t="str">
        <x:v>Reviewer_A</x:v>
      </x:c>
      <x:c r="E40" s="2" t="n">
        <x:v>1</x:v>
      </x:c>
      <x:c r="F40" s="2" t="n">
        <x:v>1</x:v>
      </x:c>
      <x:c r="G40" s="2" t="n">
        <x:v>1</x:v>
      </x:c>
      <x:c r="H40" s="2" t="n">
        <x:v>1</x:v>
      </x:c>
      <x:c r="I40" s="2" t="n">
        <x:v>0.5</x:v>
      </x:c>
      <x:c r="J40" s="2" t="n">
        <x:v>0.5</x:v>
      </x:c>
      <x:c r="K40" s="2" t="n">
        <x:v>1</x:v>
      </x:c>
      <x:c r="L40" s="2" t="n">
        <x:v>1</x:v>
      </x:c>
      <x:c r="M40" s="6" t="str">
        <x:v>Location: Page 3, Section 1
Rationale: 明确列出了RQ1和RQ2：RQ1询问推荐何种提示模式用于二元分类和追踪，RQ2询问如何评估提示模式有效性。目标清晰。
Verbatim excerpt: NR (not stored separately in the source QA file)</x:v>
      </x:c>
      <x:c r="N40" s="6" t="str">
        <x:v>Location: Section 3 (Pages 5-8)
Rationale: 详细描述了实验设计、数据集选择、任务步骤、性能指标和威胁有效性。足以复述研究过程。
Verbatim excerpt: NR (not stored separately in the source QA file)</x:v>
      </x:c>
      <x:c r="O40" s="6" t="str">
        <x:v>Location: Section 3.2 (Pages 5-7)
Rationale: 描述了PROMISE数据集（621需求，253 F, 368 NF）和PURE数据集，并说明了如何构建ground truth，清晰完整。
Verbatim excerpt: NR (not stored separately in the source QA file)</x:v>
      </x:c>
      <x:c r="P40" s="6" t="str">
        <x:v>Location: Section 3.4 (Page 8)
Rationale: 使用了标准的IR指标precision, recall, accuracy, F-score，与ground truth比较，评价设计与目标匹配。
Verbatim excerpt: NR (not stored separately in the source QA file)</x:v>
      </x:c>
      <x:c r="Q40" s="6" t="str">
        <x:v>Location: Pages 2, 4, 5-6, Table 1
Rationale: 报告了使用GPT-3.5 turbo API和三种温度(0.0, 0.4, 1.0)，提供了提示模板，但未指定模型具体版本（如gpt-3.5-turbo-0613）或API参数如max_tokens，缺少关键配置细节。
Verbatim excerpt: NR (not stored separately in the source QA file)</x:v>
      </x:c>
      <x:c r="R40" s="6" t="str">
        <x:v>Location: Tables 2-5 (Pages 10-12) and analysis
Rationale: 结果以图形颜色条呈现，缺乏精确数字，虽然提供了标准差和部分百分比变化，但完整的数据表不可得，降低了核验性。
Verbatim excerpt: NR (not stored separately in the source QA file)</x:v>
      </x:c>
      <x:c r="S40" s="6" t="str">
        <x:v>Location: Sections 3.5, 6 (Pages 8-9, 17-18)
Rationale: 结论基于结果分析，明确说明了局限，包括内部、外部和构造效度威胁。
Verbatim excerpt: NR (not stored separately in the source QA file)</x:v>
      </x:c>
      <x:c r="T40" s="6" t="str">
        <x:v>Location: Page 15 footnote, Table 1, References [5][6]
Rationale: 代码在GitHub上，提示在表1，数据集公开可获取，利益声明在致谢中，透明度足够。
Verbatim excerpt: NR (not stored separately in the source QA file)</x:v>
      </x:c>
      <x:c r="U40" s="2" t="n">
        <x:f>IF(COUNT(E40:L40)=0,"",AVERAGE(E40:L40))</x:f>
        <x:v>0.875</x:v>
      </x:c>
      <x:c r="V40" s="2" t="str">
        <x:f>IF(U40="","",IF(U40&lt;0.5,"QA_EXCLUDE_FORMAL",IF(U40=0.5,"QA_INCLUDE_WEAK","QA_INCLUDE_STANDARD")))</x:f>
        <x:v>QA_INCLUDE_STANDARD</x:v>
      </x:c>
      <x:c r="W40" s="2" t="str">
        <x:v>QA_INCLUDE_STANDARD</x:v>
      </x:c>
      <x:c r="X40" s="2" t="str">
        <x:v>NA</x:v>
      </x:c>
      <x:c r="Y40" s="2" t="str">
        <x:v>2026-07-25 00:00:00</x:v>
      </x:c>
      <x:c r="Z40" s="6" t="str">
        <x:v>Title: Requirements Engineering Using Generative AI: Prompts and Prompting Patterns
Source reviewer: 第一作者
Reviewer A decision: QA_INCLUDE; evidence status: STANDARD_EVIDENCE
Decision rationale: QA_score=0.8750&gt;0.50，第一作者判定保留。
Source record_id: merged_1486; reviewed_at: Sat Jul 25 2026 03:37:56 GMT+0800 (China Standard Time)</x:v>
      </x:c>
    </x:row>
    <x:row r="41" ht="76" customHeight="1">
      <x:c r="A41" s="2" t="str">
        <x:v>S50</x:v>
      </x:c>
      <x:c r="B41" s="2" t="str">
        <x:v>snowball_00068</x:v>
      </x:c>
      <x:c r="C41" s="2" t="str">
        <x:v>Reviewer_A</x:v>
      </x:c>
      <x:c r="D41" s="2" t="str">
        <x:v>Reviewer_A</x:v>
      </x:c>
      <x:c r="E41" s="2" t="n">
        <x:v>1</x:v>
      </x:c>
      <x:c r="F41" s="2" t="n">
        <x:v>1</x:v>
      </x:c>
      <x:c r="G41" s="2" t="n">
        <x:v>1</x:v>
      </x:c>
      <x:c r="H41" s="2" t="n">
        <x:v>1</x:v>
      </x:c>
      <x:c r="I41" s="2" t="n">
        <x:v>0.5</x:v>
      </x:c>
      <x:c r="J41" s="2" t="n">
        <x:v>0.5</x:v>
      </x:c>
      <x:c r="K41" s="2" t="n">
        <x:v>1</x:v>
      </x:c>
      <x:c r="L41" s="2" t="n">
        <x:v>0.5</x:v>
      </x:c>
      <x:c r="M41" s="6" t="str">
        <x:v>Location: 第2页，Section I
Rationale: 引言中明确列出三个研究问题（RQ1–RQ3），目标清晰。
Verbatim excerpt: NR (not stored separately in the source QA file)</x:v>
      </x:c>
      <x:c r="N41" s="6" t="str">
        <x:v>Location: Section III、IV 及 Algorithm 1（第6页）
Rationale: 详细描述了本体开发、信息检索、上下文生成等步骤，并提供算法流程，方法清楚可复述。
Verbatim excerpt: NR (not stored separately in the source QA file)</x:v>
      </x:c>
      <x:c r="O41" s="6" t="str">
        <x:v>Location: 第8页 Section V-A 和第10页 Section V-B
Rationale: 使用Cobot应用用例（基于Purdue模型），给出系统架构图；评价用30个专家编制的问题，情境明确。
Verbatim excerpt: NR (not stored separately in the source QA file)</x:v>
      </x:c>
      <x:c r="P41" s="6" t="str">
        <x:v>Location: 第10–12页 Section V-B, V-C, V-D
Rationale: 评价设计匹配研究目标：客观指标评估（含参考答案真值）、场景验证、基线可用性比较，多角度验证框架。
Verbatim excerpt: NR (not stored separately in the source QA file)</x:v>
      </x:c>
      <x:c r="Q41" s="6" t="str">
        <x:v>Location: 第6页 Algorithm 1 及第10页 text
Rationale: 明确使用Llama-2 7B、零样本提示和提示模板，但未报告温度等超参数，复现细节不足。
Verbatim excerpt: NR (not stored separately in the source QA file)</x:v>
      </x:c>
      <x:c r="R41" s="6" t="str">
        <x:v>Location: 第10页 Table 3 及第12页 Table 4
Rationale: 报告了多项指标得分，但缺失置信区间或统计显著性检验，结果误差与不确定性分析不充分。
Verbatim excerpt: NR (not stored separately in the source QA file)</x:v>
      </x:c>
      <x:c r="S41" s="6" t="str">
        <x:v>Location: Section VI 和 Section VII（第13–14页）
Rationale: 结论定量引用实验结果，并在讨论中系统分析了幻觉、推理能力、可扩展性等局限。
Verbatim excerpt: NR (not stored separately in the source QA file)</x:v>
      </x:c>
      <x:c r="T41" s="6" t="str">
        <x:v>Location: 第9页（Algorithm 1 后段落）及首页脚注
Rationale: 代码和本体因保密未公开，但声明了限制且方法描述详尽；利益关系已披露，故得分0.5。
Verbatim excerpt: NR (not stored separately in the source QA file)</x:v>
      </x:c>
      <x:c r="U41" s="2" t="n">
        <x:f>IF(COUNT(E41:L41)=0,"",AVERAGE(E41:L41))</x:f>
        <x:v>0.8125</x:v>
      </x:c>
      <x:c r="V41" s="2" t="str">
        <x:f>IF(U41="","",IF(U41&lt;0.5,"QA_EXCLUDE_FORMAL",IF(U41=0.5,"QA_INCLUDE_WEAK","QA_INCLUDE_STANDARD")))</x:f>
        <x:v>QA_INCLUDE_STANDARD</x:v>
      </x:c>
      <x:c r="W41" s="2" t="str">
        <x:v>QA_INCLUDE_STANDARD</x:v>
      </x:c>
      <x:c r="X41" s="2" t="str">
        <x:v>NA</x:v>
      </x:c>
      <x:c r="Y41" s="2" t="str">
        <x:v>2026-07-25 00:00:00</x:v>
      </x:c>
      <x:c r="Z41" s="6" t="str">
        <x:v>Title: Leveraging LLMs and Knowledge Graphs to Design Secure Automation Systems
Source reviewer: 第一作者
Reviewer A decision: QA_INCLUDE; evidence status: STANDARD_EVIDENCE
Decision rationale: QA_score=0.8125&gt;0.50，第一作者判定保留。
Source record_id: snowball_00068; reviewed_at: Sat Jul 25 2026 03:38:06 GMT+0800 (China Standard Time)</x:v>
      </x:c>
    </x:row>
    <x:row r="42" ht="76" customHeight="1">
      <x:c r="A42" s="2" t="str">
        <x:v>S51</x:v>
      </x:c>
      <x:c r="B42" s="2" t="str">
        <x:v>snowball_00085</x:v>
      </x:c>
      <x:c r="C42" s="2" t="str">
        <x:v>Reviewer_A</x:v>
      </x:c>
      <x:c r="D42" s="2" t="str">
        <x:v>Reviewer_A</x:v>
      </x:c>
      <x:c r="E42" s="2" t="n">
        <x:v>1</x:v>
      </x:c>
      <x:c r="F42" s="2" t="n">
        <x:v>1</x:v>
      </x:c>
      <x:c r="G42" s="2" t="n">
        <x:v>1</x:v>
      </x:c>
      <x:c r="H42" s="2" t="n">
        <x:v>1</x:v>
      </x:c>
      <x:c r="I42" s="2" t="n">
        <x:v>0.5</x:v>
      </x:c>
      <x:c r="J42" s="2" t="n">
        <x:v>0.5</x:v>
      </x:c>
      <x:c r="K42" s="2" t="n">
        <x:v>1</x:v>
      </x:c>
      <x:c r="L42" s="2" t="n">
        <x:v>1</x:v>
      </x:c>
      <x:c r="M42" s="6" t="str">
        <x:v>Location: Page 1, end of Section I
Rationale: The research question is explicitly stated: 'Can LLMs perform inferences comparable to those of conventional rule-based systems in determining which requirements from a given list of requirements are fulfilled by a given system specification?'
Verbatim excerpt: NR (not stored separately in the source QA file)</x:v>
      </x:c>
      <x:c r="N42" s="6" t="str">
        <x:v>Location: Pages 2-4, Section III
Rationale: Methods are described in detail: experimental context, creation of dataset via SysML and OCL to establish ground truth, metrics (precision, recall, f1), experimental variables, and evaluation procedure. The process is clear enough to replicate the general approach.
Verbatim excerpt: NR (not stored separately in the source QA file)</x:v>
      </x:c>
      <x:c r="O42" s="6" t="str">
        <x:v>Location: Pages 2-4, Sections III-A and III-B
Rationale: The dataset is explicitly described: synthetic, smart-grid domain, system specifications as workflows with varying complexities, requirements as constraints. The paper states 27 unique combinations of specifications and requirement sets, with 1944 total evaluations. Origin, size, and context are clearly reported.
Verbatim excerpt: NR (not stored separately in the source QA file)</x:v>
      </x:c>
      <x:c r="P42" s="6" t="str">
        <x:v>Location: Pages 3-4, Section III-B
Rationale: Evaluation uses a ground truth derived from formal SysML/OCL models, and LLM outputs are compared with precision, recall, and f1-score. This design directly matches the research question of comparing LLM inferences to rule-based systems.
Verbatim excerpt: NR (not stored separately in the source QA file)</x:v>
      </x:c>
      <x:c r="Q42" s="6" t="str">
        <x:v>Location: Page 4, Section III-C; Page 4, footnote 1
Rationale: Model versions and prompting strategies are named, but the exact prompt texts, temperature, and other settings are not provided in the paper. A GitHub repository is referenced for materials, but the paper alone lacks full configuration details.
Verbatim excerpt: NR (not stored separately in the source QA file)</x:v>
      </x:c>
      <x:c r="R42" s="6" t="str">
        <x:v>Location: Pages 4-7, Sections IV and V
Rationale: Results are reported as averages in Table I and discussed qualitatively. However, no statistical measures (e.g., confidence intervals, standard deviations) or deeper error analysis are provided, limiting the depth of the analysis.
Verbatim excerpt: NR (not stored separately in the source QA file)</x:v>
      </x:c>
      <x:c r="S42" s="6" t="str">
        <x:v>Location: Pages 5-7, Section V
Rationale: Conclusions are directly backed by the results, with clear recommendations. Limitations are candidly discussed, including the small synthetic dataset and untested LLMs like GPT-o1.
Verbatim excerpt: NR (not stored separately in the source QA file)</x:v>
      </x:c>
      <x:c r="T42" s="6" t="str">
        <x:v>Location: Page 4, footnote 1; Page 1, acknowledgment footnote
Rationale: All experimental materials (code, data, prompts, SysML models, OCL constraints) are made publicly available on GitHub. Funding sources are declared, and no conflicts of interest are apparent.
Verbatim excerpt: NR (not stored separately in the source QA file)</x:v>
      </x:c>
      <x:c r="U42" s="2" t="n">
        <x:f>IF(COUNT(E42:L42)=0,"",AVERAGE(E42:L42))</x:f>
        <x:v>0.875</x:v>
      </x:c>
      <x:c r="V42" s="2" t="str">
        <x:f>IF(U42="","",IF(U42&lt;0.5,"QA_EXCLUDE_FORMAL",IF(U42=0.5,"QA_INCLUDE_WEAK","QA_INCLUDE_STANDARD")))</x:f>
        <x:v>QA_INCLUDE_STANDARD</x:v>
      </x:c>
      <x:c r="W42" s="2" t="str">
        <x:v>QA_INCLUDE_STANDARD</x:v>
      </x:c>
      <x:c r="X42" s="2" t="str">
        <x:v>NA</x:v>
      </x:c>
      <x:c r="Y42" s="2" t="str">
        <x:v>2026-07-25 00:00:00</x:v>
      </x:c>
      <x:c r="Z42" s="6" t="str">
        <x:v>Title: Exploring LLMs for Verifying Technical System Specifications Against Requirements
Source reviewer: 第一作者
Reviewer A decision: QA_INCLUDE; evidence status: STANDARD_EVIDENCE
Decision rationale: QA_score=0.8750&gt;0.50，第一作者判定保留。
Source record_id: snowball_00085; reviewed_at: Sat Jul 25 2026 03:38:06 GMT+0800 (China Standard Time)</x:v>
      </x:c>
    </x:row>
    <x:row r="43" ht="76" customHeight="1">
      <x:c r="A43" s="2" t="str">
        <x:v>S52</x:v>
      </x:c>
      <x:c r="B43" s="2" t="str">
        <x:v>snowball_00095</x:v>
      </x:c>
      <x:c r="C43" s="2" t="str">
        <x:v>Reviewer_A</x:v>
      </x:c>
      <x:c r="D43" s="2" t="str">
        <x:v>Reviewer_A</x:v>
      </x:c>
      <x:c r="E43" s="2" t="n">
        <x:v>1</x:v>
      </x:c>
      <x:c r="F43" s="2" t="n">
        <x:v>1</x:v>
      </x:c>
      <x:c r="G43" s="2" t="n">
        <x:v>1</x:v>
      </x:c>
      <x:c r="H43" s="2" t="n">
        <x:v>1</x:v>
      </x:c>
      <x:c r="I43" s="2" t="n">
        <x:v>0.5</x:v>
      </x:c>
      <x:c r="J43" s="2" t="n">
        <x:v>0.5</x:v>
      </x:c>
      <x:c r="K43" s="2" t="n">
        <x:v>1</x:v>
      </x:c>
      <x:c r="L43" s="2" t="n">
        <x:v>0.5</x:v>
      </x:c>
      <x:c r="M43" s="6" t="str">
        <x:v>Location: 第1页，摘要和第1节引言
Rationale: 研究目标明确：提出HGEN自动化流水线，利用LLM从源代码生成分层文档以支持软件维护。
Verbatim excerpt: NR (not stored separately in the source QA file)</x:v>
      </x:c>
      <x:c r="N43" s="6" t="str">
        <x:v>Location: 第2页第2节至第6页，以及第7-9页第3-5节
Rationale: 详细描述了HGEN的六个阶段（Stage 0-5）和两个研究的设计（项目、评估指标、统计方法等），足以理解和复现主要流程。
Verbatim excerpt: NR (not stored separately in the source QA file)</x:v>
      </x:c>
      <x:c r="O43" s="6" t="str">
        <x:v>Location: 第6页表1，第10页表6
Rationale: 研究一使用三个项目（Dronology、SAFA、Jack of Clubs），描述了领域、语言、规模；研究二使用九个工业项目，表6提供了类别、语言和文件数。对象、来源和情境完整。
Verbatim excerpt: NR (not stored separately in the source QA file)</x:v>
      </x:c>
      <x:c r="P43" s="6" t="str">
        <x:v>Location: 第7-9页第4节，第9-10页第5节
Rationale: 评价设计围绕三个研究问题（Artifact Quality, Coverage, Relationships）展开，采用人工评估、统计检验、覆盖率和追踪指标，与生成分层文档的目标匹配。
Verbatim excerpt: NR (not stored separately in the source QA file)</x:v>
      </x:c>
      <x:c r="Q43" s="6" t="str">
        <x:v>Location: 第3页A节，第4页B节，第5页C节，第7页B节
Rationale: 报告了使用Claude 2.0和Sentence-BERT，但缺少具体模型版本号（如Claude的日期或编号）、温度等参数，提示模板仅部分描述，复现可能不完整。
Verbatim excerpt: NR (not stored separately in the source QA file)</x:v>
      </x:c>
      <x:c r="R43" s="6" t="str">
        <x:v>Location: 第8页表3-5，第9页D节
Rationale: 报告了主要定量结果（均值、p值、覆盖率、mAP），但缺乏效应量、置信区间，定性反馈分析仅列出主题和引用，未报告编码信度。
Verbatim excerpt: NR (not stored separately in the source QA file)</x:v>
      </x:c>
      <x:c r="S43" s="6" t="str">
        <x:v>Location: 第11页第8节结论，第10页第7节威胁
Rationale: 结论明确指出HGEN的优势和局限性，与结果一致；威胁部分讨论了构造、外部和结论效度，局限清楚。
Verbatim excerpt: NR (not stored separately in the source QA file)</x:v>
      </x:c>
      <x:c r="T43" s="6" t="str">
        <x:v>Location: 第1页脚注，第11页第7节
Rationale: 提供了补充材料链接（Zenodo），声明了NSF资助，但未明确说明代码、提示等的可获得性；未提及利益冲突。
Verbatim excerpt: NR (not stored separately in the source QA file)</x:v>
      </x:c>
      <x:c r="U43" s="2" t="n">
        <x:f>IF(COUNT(E43:L43)=0,"",AVERAGE(E43:L43))</x:f>
        <x:v>0.8125</x:v>
      </x:c>
      <x:c r="V43" s="2" t="str">
        <x:f>IF(U43="","",IF(U43&lt;0.5,"QA_EXCLUDE_FORMAL",IF(U43=0.5,"QA_INCLUDE_WEAK","QA_INCLUDE_STANDARD")))</x:f>
        <x:v>QA_INCLUDE_STANDARD</x:v>
      </x:c>
      <x:c r="W43" s="2" t="str">
        <x:v>QA_INCLUDE_STANDARD</x:v>
      </x:c>
      <x:c r="X43" s="2" t="str">
        <x:v>NA</x:v>
      </x:c>
      <x:c r="Y43" s="2" t="str">
        <x:v>2026-07-25 00:00:00</x:v>
      </x:c>
      <x:c r="Z43" s="6" t="str">
        <x:v>Title: Supporting Software Maintenance with Dynamically Generated Document Hierarchies
Source reviewer: 第一作者
Reviewer A decision: QA_INCLUDE; evidence status: STANDARD_EVIDENCE
Decision rationale: QA_score=0.8125&gt;0.50，第一作者判定保留。
Source record_id: snowball_00095; reviewed_at: Sat Jul 25 2026 03:38:09 GMT+0800 (China Standard Time)</x:v>
      </x:c>
    </x:row>
    <x:row r="44" ht="76" customHeight="1">
      <x:c r="A44" s="2" t="str">
        <x:v>S53</x:v>
      </x:c>
      <x:c r="B44" s="2" t="str">
        <x:v>merged_1229</x:v>
      </x:c>
      <x:c r="C44" s="2" t="str">
        <x:v>Reviewer_A</x:v>
      </x:c>
      <x:c r="D44" s="2" t="str">
        <x:v>Reviewer_A</x:v>
      </x:c>
      <x:c r="E44" s="2" t="n">
        <x:v>1</x:v>
      </x:c>
      <x:c r="F44" s="2" t="n">
        <x:v>1</x:v>
      </x:c>
      <x:c r="G44" s="2" t="n">
        <x:v>0.5</x:v>
      </x:c>
      <x:c r="H44" s="2" t="n">
        <x:v>0.5</x:v>
      </x:c>
      <x:c r="I44" s="2" t="n">
        <x:v>0.5</x:v>
      </x:c>
      <x:c r="J44" s="2" t="n">
        <x:v>0.5</x:v>
      </x:c>
      <x:c r="K44" s="2" t="n">
        <x:v>0.5</x:v>
      </x:c>
      <x:c r="L44" s="2" t="n">
        <x:v>0.5</x:v>
      </x:c>
      <x:c r="M44" s="6" t="str">
        <x:v>Location: pp. 1-2; Abstract and Section I
Rationale: The study goal and four evaluated artifact activities are explicit.
Verbatim excerpt: evaluate LLMs in generating user requirements, system requirements, refining requirements ... and generating test cases</x:v>
      </x:c>
      <x:c r="N44" s="6" t="str">
        <x:v>Location: pp. 3-5; Sections III-IV
Rationale: The four prompts, task sequence, model comparison, checklist, and scoring procedure are described.
Verbatim excerpt: The following scores were obtained</x:v>
      </x:c>
      <x:c r="O44" s="6" t="str">
        <x:v>Location: pp. 3-5; Sections III-IV
Rationale: The synthetic Track Surveillance Drone artifacts and injected error types are described, but sizes and selection details are limited.
Verbatim excerpt: partially altered system requirements</x:v>
      </x:c>
      <x:c r="P44" s="6" t="str">
        <x:v>Location: p. 5; Section IV and Table II
Rationale: A predefined checklist is applied consistently across three models and four tasks, but assessor count, agreement, and formal ground truth are not reported.
Verbatim excerpt: assigning scores for each existing sub-criterion</x:v>
      </x:c>
      <x:c r="Q44" s="6" t="str">
        <x:v>Location: pp. 2-5; Sections II-C and III
Rationale: Model names and full task prompts are reported, but model snapshots and generation parameters are not.
Verbatim excerpt: GPT4, Claude Sonnet 4 and Gemini 2.5 Flash</x:v>
      </x:c>
      <x:c r="R44" s="6" t="str">
        <x:v>Location: p. 5; Table II and Section IV
Rationale: All cell scores and model totals are reported with narrative failure analysis, but no repeats, uncertainty, or statistical tests are provided.
Verbatim excerpt: GPT4 ... 9.5; Claude ... 13.5; Gemini ... 10.0</x:v>
      </x:c>
      <x:c r="S44" s="6" t="str">
        <x:v>Location: pp. 5-6; Sections IV-V
Rationale: Conclusions reflect the observed results and discuss human oversight, document scale, cost, and inconsistency; a formal threats section is absent.
Verbatim excerpt: human involvement remains strictly necessary</x:v>
      </x:c>
      <x:c r="T44" s="6" t="str">
        <x:v>Location: p. 6; Reference [14]
Rationale: A supporting GitHub repository is cited, but access was not independently verified in this reassessment.
Verbatim excerpt: Supporting materials and experiments</x:v>
      </x:c>
      <x:c r="U44" s="2" t="n">
        <x:f>IF(COUNT(E44:L44)=0,"",AVERAGE(E44:L44))</x:f>
        <x:v>0.625</x:v>
      </x:c>
      <x:c r="V44" s="2" t="str">
        <x:f>IF(U44="","",IF(U44&lt;0.5,"QA_EXCLUDE_FORMAL",IF(U44=0.5,"QA_INCLUDE_WEAK","QA_INCLUDE_STANDARD")))</x:f>
        <x:v>QA_INCLUDE_STANDARD</x:v>
      </x:c>
      <x:c r="W44" s="2" t="str">
        <x:v>QA_INCLUDE_STANDARD</x:v>
      </x:c>
      <x:c r="X44" s="2" t="str">
        <x:v>NA</x:v>
      </x:c>
      <x:c r="Y44" s="2" t="str">
        <x:v>2026-07-29 00:00:00</x:v>
      </x:c>
      <x:c r="Z44" s="6" t="str">
        <x:v>R1 manual full-text extraction checked and confirmed on 2026-07-29. Title: Evaluating LLMs for Automated Requirement and Test Case Generation in Railway Signaling Systems
Candidate-corpus ID: S37
R1 decision: QA_INCLUDE_STANDARD (0.625)</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20" hidden="0" customWidth="1"/>
    <x:col min="4" max="4" width="19"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52" hidden="0" customWidth="1"/>
    <x:col min="16" max="16" width="52" hidden="0" customWidth="1"/>
    <x:col min="17" max="17" width="52" hidden="0" customWidth="1"/>
    <x:col min="18" max="18" width="52" hidden="0" customWidth="1"/>
    <x:col min="19" max="19" width="52" hidden="0" customWidth="1"/>
    <x:col min="20" max="20" width="52" hidden="0" customWidth="1"/>
    <x:col min="21" max="21" width="52" hidden="0" customWidth="1"/>
    <x:col min="22" max="22" width="52" hidden="0" customWidth="1"/>
    <x:col min="23" max="23" width="52" hidden="0" customWidth="1"/>
    <x:col min="24" max="24" width="52"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52" hidden="0" customWidth="1"/>
  </x:cols>
  <x:sheetData>
    <x:row r="1" ht="38" customHeight="1">
      <x:c r="A1" s="5" t="str">
        <x:v>study_id</x:v>
      </x:c>
      <x:c r="B1" s="5" t="str">
        <x:v>version_id</x:v>
      </x:c>
      <x:c r="C1" s="5" t="str">
        <x:v>review_stage</x:v>
      </x:c>
      <x:c r="D1" s="5" t="str">
        <x:v>reviewer_id</x:v>
      </x:c>
      <x:c r="E1" s="5" t="str">
        <x:v>GQA1_score</x:v>
      </x:c>
      <x:c r="F1" s="5" t="str">
        <x:v>GQA2_score</x:v>
      </x:c>
      <x:c r="G1" s="5" t="str">
        <x:v>GQA3_score</x:v>
      </x:c>
      <x:c r="H1" s="5" t="str">
        <x:v>GQA4_score</x:v>
      </x:c>
      <x:c r="I1" s="5" t="str">
        <x:v>GQA5_score</x:v>
      </x:c>
      <x:c r="J1" s="5" t="str">
        <x:v>GQA6_score</x:v>
      </x:c>
      <x:c r="K1" s="5" t="str">
        <x:v>GQA7_score</x:v>
      </x:c>
      <x:c r="L1" s="5" t="str">
        <x:v>GQA8_score</x:v>
      </x:c>
      <x:c r="M1" s="5" t="str">
        <x:v>GQA9_score</x:v>
      </x:c>
      <x:c r="N1" s="5" t="str">
        <x:v>GQA10_score</x:v>
      </x:c>
      <x:c r="O1" s="5" t="str">
        <x:v>GQA1_evidence</x:v>
      </x:c>
      <x:c r="P1" s="5" t="str">
        <x:v>GQA2_evidence</x:v>
      </x:c>
      <x:c r="Q1" s="5" t="str">
        <x:v>GQA3_evidence</x:v>
      </x:c>
      <x:c r="R1" s="5" t="str">
        <x:v>GQA4_evidence</x:v>
      </x:c>
      <x:c r="S1" s="5" t="str">
        <x:v>GQA5_evidence</x:v>
      </x:c>
      <x:c r="T1" s="5" t="str">
        <x:v>GQA6_evidence</x:v>
      </x:c>
      <x:c r="U1" s="5" t="str">
        <x:v>GQA7_evidence</x:v>
      </x:c>
      <x:c r="V1" s="5" t="str">
        <x:v>GQA8_evidence</x:v>
      </x:c>
      <x:c r="W1" s="5" t="str">
        <x:v>GQA9_evidence</x:v>
      </x:c>
      <x:c r="X1" s="5" t="str">
        <x:v>GQA10_evidence</x:v>
      </x:c>
      <x:c r="Y1" s="5" t="str">
        <x:v>GQA_score</x:v>
      </x:c>
      <x:c r="Z1" s="5" t="str">
        <x:v>calculated_decision</x:v>
      </x:c>
      <x:c r="AA1" s="5" t="str">
        <x:v>final_decision</x:v>
      </x:c>
      <x:c r="AB1" s="5" t="str">
        <x:v>exclusion_reason</x:v>
      </x:c>
      <x:c r="AC1" s="5" t="str">
        <x:v>impact_metric_source</x:v>
      </x:c>
      <x:c r="AD1" s="5" t="str">
        <x:v>impact_metric_date</x:v>
      </x:c>
      <x:c r="AE1" s="5" t="str">
        <x:v>review_date</x:v>
      </x:c>
      <x:c r="AF1" s="5" t="str">
        <x:v>notes</x:v>
      </x:c>
    </x:row>
    <x:row r="2" ht="76" customHeight="1">
      <x:c r="A2" s="2" t="str">
        <x:v>S09</x:v>
      </x:c>
      <x:c r="B2" s="2" t="str">
        <x:v>merged_1114-v1</x:v>
      </x:c>
      <x:c r="C2" s="2" t="str">
        <x:v>Reviewer_A</x:v>
      </x:c>
      <x:c r="D2" s="2" t="str">
        <x:v>Reviewer_A</x:v>
      </x:c>
      <x:c r="E2" s="2" t="n">
        <x:v>0.5</x:v>
      </x:c>
      <x:c r="F2" s="2" t="n">
        <x:v>1</x:v>
      </x:c>
      <x:c r="G2" s="2" t="n">
        <x:v>1</x:v>
      </x:c>
      <x:c r="H2" s="2" t="n">
        <x:v>1</x:v>
      </x:c>
      <x:c r="I2" s="2" t="n">
        <x:v>1</x:v>
      </x:c>
      <x:c r="J2" s="2" t="n">
        <x:v>0.5</x:v>
      </x:c>
      <x:c r="K2" s="2" t="n">
        <x:v>1</x:v>
      </x:c>
      <x:c r="L2" s="2" t="n">
        <x:v>1</x:v>
      </x:c>
      <x:c r="M2" s="2" t="n">
        <x:v>1</x:v>
      </x:c>
      <x:c r="N2" s="2" t="n">
        <x:v>0.5</x:v>
      </x:c>
      <x:c r="O2" s="6" t="str">
        <x:v>Location: 第1页，作者列表和机构
Rationale: 作者列出了机构CairoMotive，但未提供个人专业背景或以往发表记录，只能部分核验。
Verbatim excerpt: NR (not stored separately in the source QA file)</x:v>
      </x:c>
      <x:c r="P2" s="6" t="str">
        <x:v>Location: 第1页，摘要和引言
Rationale: 摘要明确提出信任感知协调框架的目标，引言阐述了多智能体流水线中的协调问题，目标和问题范围清晰。
Verbatim excerpt: NR (not stored separately in the source QA file)</x:v>
      </x:c>
      <x:c r="Q2" s="6" t="str">
        <x:v>Location: 第3-7页，方法和实验设置
Rationale: 详细说明了知识图谱模式、分层架构、智能体流水线、两阶段链接预测，并在实验中使用535个汽车工件，方法具体且清晰。
Verbatim excerpt: NR (not stored separately in the source QA file)</x:v>
      </x:c>
      <x:c r="R2" s="6" t="str">
        <x:v>Location: 第2页，表I和相关工作部分
Rationale: 相关工作部分系统回顾了四个领域，引用当代文献（2023-2025），表I明确对比现有方法，贡献定位清晰。
Verbatim excerpt: NR (not stored separately in the source QA file)</x:v>
      </x:c>
      <x:c r="S2" s="6" t="str">
        <x:v>Location: 第7-8页，结论部分
Rationale: 明确讨论了评估局限，如限于汽车领域、规模有限、泛化问题未决、参数δ手动设置，对局限有实质说明。
Verbatim excerpt: NR (not stored separately in the source QA file)</x:v>
      </x:c>
      <x:c r="T2" s="6" t="str">
        <x:v>Location: 未找到利益披露声明
Rationale: 论文呈现客观，但未披露潜在利益冲突，尽管可能不存在，但按标准缺乏明确披露，评分0.5。
Verbatim excerpt: NR (not stored separately in the source QA file)</x:v>
      </x:c>
      <x:c r="U2" s="6" t="str">
        <x:v>Location: 第7页，结论和实验部分
Rationale: 结论明确引用实验具体结果（如F1=0.769），这些结果在实验部分有数据支持，主要结论均有证据。
Verbatim excerpt: NR (not stored separately in the source QA file)</x:v>
      </x:c>
      <x:c r="V2" s="6" t="str">
        <x:v>Location: 元数据：first_published_date, version_date, access_date
Rationale: 首次发布日期2026-06-15、版本日期2026-06-15、访问日期2026-07-25均明确。
Verbatim excerpt: NR (not stored separately in the source QA file)</x:v>
      </x:c>
      <x:c r="W2" s="6" t="str">
        <x:v>Location: 第2页表I和全文贡献
Rationale: 论文独特地结合了五个维度，并在汽车案例研究中提供了新证据，增加了独特内容。
Verbatim excerpt: NR (not stored separately in the source QA file)</x:v>
      </x:c>
      <x:c r="X2" s="6" t="str">
        <x:v>Location: 元数据：url和cited_by_count
Rationale: arXiv预印本稳定可核验，但OpenAlex cited_by_count为0，影响指标可得但为零。
Verbatim excerpt: NR (not stored separately in the source QA file)</x:v>
      </x:c>
      <x:c r="Y2" s="2" t="n">
        <x:f>IF(COUNT(E2:N2)=0,"",AVERAGE(E2:N2))</x:f>
        <x:v>0.85</x:v>
      </x:c>
      <x:c r="Z2" s="2" t="str">
        <x:f>IF(Y2="","",IF(Y2&lt;0.5,"QA_EXCLUDE_PREPRINT",IF(Y2=0.5,"QA_INCLUDE_WEAK","QA_INCLUDE_STANDARD")))</x:f>
        <x:v>QA_INCLUDE_STANDARD</x:v>
      </x:c>
      <x:c r="AA2" s="2" t="str">
        <x:v>QA_INCLUDE_STANDARD</x:v>
      </x:c>
      <x:c r="AB2" s="2" t="str">
        <x:v>NA</x:v>
      </x:c>
      <x:c r="AC2" s="2" t="str">
        <x:v>OpenAlex
https://openalex.org/W7165002424
cited_by_count=0
按题名/DOI匹配的OpenAlex cited_by_count；未用于跨来源质量排名</x:v>
      </x:c>
      <x:c r="AD2" s="2" t="str">
        <x:v>2026-07-25 00:00:00</x:v>
      </x:c>
      <x:c r="AE2" s="2" t="str">
        <x:v>2026-07-25 00:00:00</x:v>
      </x:c>
      <x:c r="AF2" s="6" t="str">
        <x:v>Title: Trust-Aware Multi-Agent Traceability: Confidence-Calibrated Knowledge Graphs for Consistent Software Artifact Management
Source reviewer: 第一作者
Reviewer A decision: QA_INCLUDE; evidence status: STANDARD_EVIDENCE
Decision rationale: GQA_score=0.8500&gt;0.50，第一作者判定保留。
Selected preprint: arXiv 2606.17203 v1 (2026/6/15); 评估检索截止日当日或之前可得的最后版本
Source record_id: merged_1114; reviewed_at: Sat Jul 25 2026 03:46:09 GMT+0800 (China Standard Time)</x:v>
      </x:c>
    </x:row>
    <x:row r="3" ht="76" customHeight="1">
      <x:c r="A3" s="2" t="str">
        <x:v>S10</x:v>
      </x:c>
      <x:c r="B3" s="2" t="str">
        <x:v>merged_1119-v2</x:v>
      </x:c>
      <x:c r="C3" s="2" t="str">
        <x:v>Reviewer_A</x:v>
      </x:c>
      <x:c r="D3" s="2" t="str">
        <x:v>Reviewer_A</x:v>
      </x:c>
      <x:c r="E3" s="2" t="n">
        <x:v>1</x:v>
      </x:c>
      <x:c r="F3" s="2" t="n">
        <x:v>1</x:v>
      </x:c>
      <x:c r="G3" s="2" t="n">
        <x:v>1</x:v>
      </x:c>
      <x:c r="H3" s="2" t="n">
        <x:v>1</x:v>
      </x:c>
      <x:c r="I3" s="2" t="n">
        <x:v>1</x:v>
      </x:c>
      <x:c r="J3" s="2" t="n">
        <x:v>1</x:v>
      </x:c>
      <x:c r="K3" s="2" t="n">
        <x:v>1</x:v>
      </x:c>
      <x:c r="L3" s="2" t="n">
        <x:v>1</x:v>
      </x:c>
      <x:c r="M3" s="2" t="n">
        <x:v>1</x:v>
      </x:c>
      <x:c r="N3" s="2" t="n">
        <x:v>0.5</x:v>
      </x:c>
      <x:c r="O3" s="6" t="str">
        <x:v>Location: 第1页 作者信息及邮箱
Rationale: 所有作者均来自加拿大知名大学，提供机构邮箱，并围绕软件工程领域发表相关研究，专业经验可核验。
Verbatim excerpt: NR (not stored separately in the source QA file)</x:v>
      </x:c>
      <x:c r="P3" s="6" t="str">
        <x:v>Location: 摘要和1引言
Rationale: 目标明确：评估issue-commit链接技术并确定最有效的方法；通过三个研究问题具体化。
Verbatim excerpt: NR (not stored separately in the source QA file)</x:v>
      </x:c>
      <x:c r="Q3" s="6" t="str">
        <x:v>Location: 第3节 数据集描述和第4节 实验设置
Rationale: 详细描述了三个数据集（EasyLink, BTLink, Apache），检索和重排序方法的步骤，以及评估指标和训练/测试划分。
Verbatim excerpt: NR (not stored separately in the source QA file)</x:v>
      </x:c>
      <x:c r="R3" s="6" t="str">
        <x:v>Location: 第7节 相关工作及第1节引用的多项研究
Rationale: 广泛引用近年的权威会议和期刊论文，清晰定位了与已有工作的关系和贡献。
Verbatim excerpt: NR (not stored separately in the source QA file)</x:v>
      </x:c>
      <x:c r="S3" s="6" t="str">
        <x:v>Location: 第8节 Threats to Validity
Rationale: 明确讨论了外部效度（数据集通用性）和内部效度（数据构建偏差、类别不平衡），并提及计算成本等局限。
Verbatim excerpt: NR (not stored separately in the source QA file)</x:v>
      </x:c>
      <x:c r="T3" s="6" t="str">
        <x:v>Location: 第6节 关键要点和第10节 致谢
Rationale: 客观呈现不同方法的性能对比，结论平衡（如简单模型的有效性），致谢中披露NSERC资助，无商业利益冲突。
Verbatim excerpt: NR (not stored separately in the source QA file)</x:v>
      </x:c>
      <x:c r="U3" s="6" t="str">
        <x:v>Location: 第5节 结果表1、表2及第9节 结论
Rationale: 所有主要结论（如密集检索优势、RCLinker最佳性能）均可追溯至实验数据（Precision@K等）。
Verbatim excerpt: NR (not stored separately in the source QA file)</x:v>
      </x:c>
      <x:c r="V3" s="6" t="str">
        <x:v>Location: 元数据：first_published_date, version_date, access_date
Rationale: 首次发布日期、当前版本日期和访问日期均在元数据中明确提供。
Verbatim excerpt: NR (not stored separately in the source QA file)</x:v>
      </x:c>
      <x:c r="W3" s="6" t="str">
        <x:v>Location: 摘要、第6节和第9节
Rationale: 提供了新证据：混合时间窗口捕获97%以上真链接，简单模型可超越LLM，丰富了现有立场。
Verbatim excerpt: NR (not stored separately in the source QA file)</x:v>
      </x:c>
      <x:c r="X3" s="6" t="str">
        <x:v>Location: 元数据arXiv URL和OpenAlex ID
Rationale: arXiv出处稳定可核验，但OpenAlex cited_by_count为0，暂无可用非零影响指标。
Verbatim excerpt: NR (not stored separately in the source QA file)</x:v>
      </x:c>
      <x:c r="Y3" s="2" t="n">
        <x:f>IF(COUNT(E3:N3)=0,"",AVERAGE(E3:N3))</x:f>
        <x:v>0.95</x:v>
      </x:c>
      <x:c r="Z3" s="2" t="str">
        <x:f>IF(Y3="","",IF(Y3&lt;0.5,"QA_EXCLUDE_PREPRINT",IF(Y3=0.5,"QA_INCLUDE_WEAK","QA_INCLUDE_STANDARD")))</x:f>
        <x:v>QA_INCLUDE_STANDARD</x:v>
      </x:c>
      <x:c r="AA3" s="2" t="str">
        <x:v>QA_INCLUDE_STANDARD</x:v>
      </x:c>
      <x:c r="AB3" s="2" t="str">
        <x:v>NA</x:v>
      </x:c>
      <x:c r="AC3" s="2" t="str">
        <x:v>OpenAlex
https://openalex.org/W7160206078
cited_by_count=0
按题名/DOI匹配的OpenAlex cited_by_count；未用于跨来源质量排名</x:v>
      </x:c>
      <x:c r="AD3" s="2" t="str">
        <x:v>2026-07-25 00:00:00</x:v>
      </x:c>
      <x:c r="AE3" s="2" t="str">
        <x:v>2026-07-25 00:00:00</x:v>
      </x:c>
      <x:c r="AF3" s="6" t="str">
        <x:v>Title: Think Harder and Don't Overlook Your Options: Revisiting Issue-Commit Linking with LLM-Assisted Retrieval
Source reviewer: 第一作者
Reviewer A decision: QA_INCLUDE; evidence status: STANDARD_EVIDENCE
Decision rationale: GQA_score=0.9500&gt;0.50，第一作者判定保留。
Selected preprint: arXiv 2605.00447 v2 (2026/6/29); 评估检索截止日当日或之前可得的最后版本
Source record_id: merged_1119; reviewed_at: Sat Jul 25 2026 03:50:06 GMT+0800 (China Standard Time)</x:v>
      </x:c>
    </x:row>
    <x:row r="4" ht="76" customHeight="1">
      <x:c r="A4" s="2" t="str">
        <x:v>S11</x:v>
      </x:c>
      <x:c r="B4" s="2" t="str">
        <x:v>merged_1121-v1</x:v>
      </x:c>
      <x:c r="C4" s="2" t="str">
        <x:v>Reviewer_A</x:v>
      </x:c>
      <x:c r="D4" s="2" t="str">
        <x:v>Reviewer_A</x:v>
      </x:c>
      <x:c r="E4" s="2" t="n">
        <x:v>1</x:v>
      </x:c>
      <x:c r="F4" s="2" t="n">
        <x:v>1</x:v>
      </x:c>
      <x:c r="G4" s="2" t="n">
        <x:v>1</x:v>
      </x:c>
      <x:c r="H4" s="2" t="n">
        <x:v>1</x:v>
      </x:c>
      <x:c r="I4" s="2" t="n">
        <x:v>1</x:v>
      </x:c>
      <x:c r="J4" s="2" t="n">
        <x:v>1</x:v>
      </x:c>
      <x:c r="K4" s="2" t="n">
        <x:v>1</x:v>
      </x:c>
      <x:c r="L4" s="2" t="n">
        <x:v>1</x:v>
      </x:c>
      <x:c r="M4" s="2" t="n">
        <x:v>1</x:v>
      </x:c>
      <x:c r="N4" s="2" t="n">
        <x:v>0.5</x:v>
      </x:c>
      <x:c r="O4" s="6" t="str">
        <x:v>Location: 第1页，作者单位与参考文献
Rationale: 作者来自香港城市大学计算机系和香港都会大学电子工程与计算机系，参考文献中包含他们在软件工程和LLM方面的近期工作，单位与专业经验均可核验。
Verbatim excerpt: NR (not stored separately in the source QA file)</x:v>
      </x:c>
      <x:c r="P4" s="6" t="str">
        <x:v>Location: 第1页，摘要与引言
Rationale: 摘要和引言明确提出了目标（提高可追溯性准确度与效率）和针对的具体问题（语义差距、可靠性、证据成本），范围和目的清晰。
Verbatim excerpt: NR (not stored separately in the source QA file)</x:v>
      </x:c>
      <x:c r="Q4" s="6" t="str">
        <x:v>Location: 第3-6页，方法论与实验设置
Rationale: 第三节详细描述了HSD+BAN、SRCV和DCAR方法，第四节明确了所用数据集（iTrust等五个公开集）和实验配置，方法步骤与研究对象清楚。
Verbatim excerpt: NR (not stored separately in the source QA file)</x:v>
      </x:c>
      <x:c r="R4" s="6" t="str">
        <x:v>Location: 第2-3页，背景与相关工作
Rationale: 引用了经典IR、神经检索和LLM方法等当代文献，在第二节中分类讨论并定位了研究缺口，关键主张有可靠引用支持且贡献定位明确。
Verbatim excerpt: NR (not stored separately in the source QA file)</x:v>
      </x:c>
      <x:c r="S4" s="6" t="str">
        <x:v>Location: 第9页，效度威胁
Rationale: 第七节专门讨论了内部和外部效度威胁，包括LLM选择、提示协议、数据集局限、成本估计等，对局限和适用边界有实质说明。
Verbatim excerpt: NR (not stored separately in the source QA file)</x:v>
      </x:c>
      <x:c r="T4" s="6" t="str">
        <x:v>Location: 第7-9页，实验与致谢
Rationale: 实验比较中报告了正反证据（如基线对比、消融），无夸大宣传；致谢部分披露了资助来源（香港都会大学研究基金和研资局），呈现平衡客观。
Verbatim excerpt: NR (not stored separately in the source QA file)</x:v>
      </x:c>
      <x:c r="U4" s="6" t="str">
        <x:v>Location: 第7-9页，结果与讨论
Rationale: 主要结论（F1提升、效率增益）均有表III-VII和图2-3的数据支撑，结论可追溯到实验结果。
Verbatim excerpt: NR (not stored separately in the source QA file)</x:v>
      </x:c>
      <x:c r="V4" s="6" t="str">
        <x:v>Location: 元数据与第1页
Rationale: 首次发布日期2026-04-24（第1页和元数据）、版本日期2026-04-24（元数据）、访问日期2026-07-25（元数据）均明确。
Verbatim excerpt: NR (not stored separately in the source QA file)</x:v>
      </x:c>
      <x:c r="W4" s="6" t="str">
        <x:v>Location: 第2-3页，引言贡献与结论
Rationale: 提出了新的框架设计（HSD+BAN+SRCV+DCAR）并在多领域/多语言数据集上提供了优于现有基线的证据，具有明确的新方法和新证据。
Verbatim excerpt: NR (not stored separately in the source QA file)</x:v>
      </x:c>
      <x:c r="X4" s="6" t="str">
        <x:v>Location: 元数据，编号arXiv:2604.22432
Rationale: 预印本在arXiv稳定发布，网址与DOI可核验；但根据OpenAlex记录，cited_by_count为0，无可得的非零影响指标，因此只能得0.5。
Verbatim excerpt: NR (not stored separately in the source QA file)</x:v>
      </x:c>
      <x:c r="Y4" s="2" t="n">
        <x:f>IF(COUNT(E4:N4)=0,"",AVERAGE(E4:N4))</x:f>
        <x:v>0.95</x:v>
      </x:c>
      <x:c r="Z4" s="2" t="str">
        <x:f>IF(Y4="","",IF(Y4&lt;0.5,"QA_EXCLUDE_PREPRINT",IF(Y4=0.5,"QA_INCLUDE_WEAK","QA_INCLUDE_STANDARD")))</x:f>
        <x:v>QA_INCLUDE_STANDARD</x:v>
      </x:c>
      <x:c r="AA4" s="2" t="str">
        <x:v>QA_INCLUDE_STANDARD</x:v>
      </x:c>
      <x:c r="AB4" s="2" t="str">
        <x:v>NA</x:v>
      </x:c>
      <x:c r="AC4" s="2" t="str">
        <x:v>OpenAlex
https://openalex.org/W7156038644
cited_by_count=0
按题名/DOI匹配的OpenAlex cited_by_count；未用于跨来源质量排名</x:v>
      </x:c>
      <x:c r="AD4" s="2" t="str">
        <x:v>2026-07-25 00:00:00</x:v>
      </x:c>
      <x:c r="AE4" s="2" t="str">
        <x:v>2026-07-25 00:00:00</x:v>
      </x:c>
      <x:c r="AF4" s="6" t="str">
        <x:v>Title: R2Code: A Self-Reflective LLM Framework for Requirements-to-Code Traceability
Source reviewer: 第一作者
Reviewer A decision: QA_INCLUDE; evidence status: STANDARD_EVIDENCE
Decision rationale: GQA_score=0.9500&gt;0.50，第一作者判定保留。
Selected preprint: arXiv 2604.22432 v1 (2026/4/24); 评估检索截止日当日或之前可得的最后版本
Source record_id: merged_1121; reviewed_at: Sat Jul 25 2026 03:46:07 GMT+0800 (China Standard Time)</x:v>
      </x:c>
    </x:row>
    <x:row r="5" ht="76" customHeight="1">
      <x:c r="A5" s="2" t="str">
        <x:v>S14</x:v>
      </x:c>
      <x:c r="B5" s="2" t="str">
        <x:v>merged_1142-v1</x:v>
      </x:c>
      <x:c r="C5" s="2" t="str">
        <x:v>Reviewer_A</x:v>
      </x:c>
      <x:c r="D5" s="2" t="str">
        <x:v>Reviewer_A</x:v>
      </x:c>
      <x:c r="E5" s="2" t="n">
        <x:v>0.5</x:v>
      </x:c>
      <x:c r="F5" s="2" t="n">
        <x:v>1</x:v>
      </x:c>
      <x:c r="G5" s="2" t="n">
        <x:v>1</x:v>
      </x:c>
      <x:c r="H5" s="2" t="n">
        <x:v>1</x:v>
      </x:c>
      <x:c r="I5" s="2" t="n">
        <x:v>1</x:v>
      </x:c>
      <x:c r="J5" s="2" t="n">
        <x:v>0.5</x:v>
      </x:c>
      <x:c r="K5" s="2" t="n">
        <x:v>1</x:v>
      </x:c>
      <x:c r="L5" s="2" t="n">
        <x:v>1</x:v>
      </x:c>
      <x:c r="M5" s="2" t="n">
        <x:v>1</x:v>
      </x:c>
      <x:c r="N5" s="2" t="n">
        <x:v>0.5</x:v>
      </x:c>
      <x:c r="O5" s="6" t="str">
        <x:v>Location: 第1页作者信息
Rationale: 作者单位明确列出（武汉纺织大学、武汉大学、墨尔本大学、西澳大学），但未提供作者相关发表或专业角色的可靠证据，仅部分可核验。
Verbatim excerpt: NR (not stored separately in the source QA file)</x:v>
      </x:c>
      <x:c r="P5" s="6" t="str">
        <x:v>Location: 摘要和第1节
Rationale: 明确提出了研究目标和具体问题：“Is relying solely on textual similarity sufficient for NL-PL TLR tasks?” 并说明了解决方法。
Verbatim excerpt: NR (not stored separately in the source QA file)</x:v>
      </x:c>
      <x:c r="Q5" s="6" t="str">
        <x:v>Location: 第3-4节
Rationale: 详细描述了系统文献综述、实验研究（99个项目）和案例研究（12个项目）的方法步骤与研究对象，方法明确。
Verbatim excerpt: NR (not stored separately in the source QA file)</x:v>
      </x:c>
      <x:c r="R5" s="6" t="str">
        <x:v>Location: 第2节、第7节及文中引用
Rationale: 通过系统文献综述定位了相关研究，引用了52篇等当代文献，关键主张有来源支持且贡献定位清楚。
Verbatim excerpt: NR (not stored separately in the source QA file)</x:v>
      </x:c>
      <x:c r="S5" s="6" t="str">
        <x:v>Location: 第6节威胁有效性讨论
Rationale: 在第4页提到“Section 6 discusses the threats to the validity of this study”，明确讨论了局限和适用边界。
Verbatim excerpt: NR (not stored separately in the source QA file)</x:v>
      </x:c>
      <x:c r="T5" s="6" t="str">
        <x:v>Location: 未找到利益冲突声明
Rationale: 论文呈现客观平衡，但未披露潜在既得利益，利益关系不清。
Verbatim excerpt: NR (not stored separately in the source QA file)</x:v>
      </x:c>
      <x:c r="U5" s="6" t="str">
        <x:v>Location: 摘要及第4节实验结果
Rationale: 主要结论如F1提升3.68%和8.84%有具体实验数据支持，可追溯至实验结果。
Verbatim excerpt: NR (not stored separately in the source QA file)</x:v>
      </x:c>
      <x:c r="V5" s="6" t="str">
        <x:v>Location: 元数据
Rationale: 首次发布日期（2025-09-06）、版本日期（2025-09-06）和访问日期（2026-07-25）均明确。
Verbatim excerpt: NR (not stored separately in the source QA file)</x:v>
      </x:c>
      <x:c r="W5" s="6" t="str">
        <x:v>Location: 摘要与贡献列表
Rationale: 提出了多策略集成的新方法，并通过实验提供了新证据，强化了NL-PL TLR需要超越文本相似度的立场。
Verbatim excerpt: NR (not stored separately in the source QA file)</x:v>
      </x:c>
      <x:c r="X5" s="6" t="str">
        <x:v>Location: 元数据：arXiv ID 2509.05585及OpenAlex记录
Rationale: 预印本在arXiv稳定可核验，但OpenAlex cited_by_count为0，影响指标为零。
Verbatim excerpt: NR (not stored separately in the source QA file)</x:v>
      </x:c>
      <x:c r="Y5" s="2" t="n">
        <x:f>IF(COUNT(E5:N5)=0,"",AVERAGE(E5:N5))</x:f>
        <x:v>0.85</x:v>
      </x:c>
      <x:c r="Z5" s="2" t="str">
        <x:f>IF(Y5="","",IF(Y5&lt;0.5,"QA_EXCLUDE_PREPRINT",IF(Y5=0.5,"QA_INCLUDE_WEAK","QA_INCLUDE_STANDARD")))</x:f>
        <x:v>QA_INCLUDE_STANDARD</x:v>
      </x:c>
      <x:c r="AA5" s="2" t="str">
        <x:v>QA_INCLUDE_STANDARD</x:v>
      </x:c>
      <x:c r="AB5" s="2" t="str">
        <x:v>NA</x:v>
      </x:c>
      <x:c r="AC5" s="2" t="str">
        <x:v>OpenAlex
https://openalex.org/W4414764118
cited_by_count=0
按题名/DOI匹配的OpenAlex cited_by_count；未用于跨来源质量排名</x:v>
      </x:c>
      <x:c r="AD5" s="2" t="str">
        <x:v>2026-07-25 00:00:00</x:v>
      </x:c>
      <x:c r="AE5" s="2" t="str">
        <x:v>2026-07-25 00:00:00</x:v>
      </x:c>
      <x:c r="AF5" s="6" t="str">
        <x:v>Title: Natural Language-Programming Language Software Traceability Link Recovery Needs More than Textual Similarity
Source reviewer: 第一作者
Reviewer A decision: QA_INCLUDE; evidence status: STANDARD_EVIDENCE
Decision rationale: GQA_score=0.8500&gt;0.50，第一作者判定保留。
Selected preprint: arXiv 2509.05585 v1 (2025/9/6); 评估检索截止日当日或之前可得的最后版本
Source record_id: merged_1142; reviewed_at: Sat Jul 25 2026 03:46:09 GMT+0800 (China Standard Time)</x:v>
      </x:c>
    </x:row>
    <x:row r="6" ht="76" customHeight="1">
      <x:c r="A6" s="2" t="str">
        <x:v>S17</x:v>
      </x:c>
      <x:c r="B6" s="2" t="str">
        <x:v>merged_1148-v1</x:v>
      </x:c>
      <x:c r="C6" s="2" t="str">
        <x:v>Reviewer_A</x:v>
      </x:c>
      <x:c r="D6" s="2" t="str">
        <x:v>Reviewer_A</x:v>
      </x:c>
      <x:c r="E6" s="2" t="n">
        <x:v>0.5</x:v>
      </x:c>
      <x:c r="F6" s="2" t="n">
        <x:v>1</x:v>
      </x:c>
      <x:c r="G6" s="2" t="n">
        <x:v>1</x:v>
      </x:c>
      <x:c r="H6" s="2" t="n">
        <x:v>1</x:v>
      </x:c>
      <x:c r="I6" s="2" t="n">
        <x:v>1</x:v>
      </x:c>
      <x:c r="J6" s="2" t="n">
        <x:v>0.5</x:v>
      </x:c>
      <x:c r="K6" s="2" t="n">
        <x:v>0.5</x:v>
      </x:c>
      <x:c r="L6" s="2" t="n">
        <x:v>1</x:v>
      </x:c>
      <x:c r="M6" s="2" t="n">
        <x:v>1</x:v>
      </x:c>
      <x:c r="N6" s="2" t="n">
        <x:v>0.5</x:v>
      </x:c>
      <x:c r="O6" s="6" t="str">
        <x:v>Location: 第1页作者单位
Rationale: 作者所属机构为Blue Sky Solar Racing和University of Toronto，机构可核验，但未提供作者个人专业经验或相关发表记录，仅能部分核验可信度与经验。
Verbatim excerpt: NR (not stored separately in the source QA file)</x:v>
      </x:c>
      <x:c r="P6" s="6" t="str">
        <x:v>Location: 第1页摘要，第2页研究问题
Rationale: 明确陈述目标是引入一个集成LLM的STPA框架以提高效率，并围绕两个具体研究问题（RQ-1和RQ-2）组织评估，目标、问题和范围均清晰界定。
Verbatim excerpt: NR (not stored separately in the source QA file)</x:v>
      </x:c>
      <x:c r="Q6" s="6" t="str">
        <x:v>Location: 第4-6页方法描述，第6-8页实验设置
Rationale: 方法步骤明确：使用GPT-4o、少量样本提示、输入控制结构图和STPA上下文生成UCA/损失场景，并进行人工审核与链接实验。研究对象为STPA Handbook中的五个系统案例，方法及案例描述清楚。
Verbatim excerpt: NR (not stored separately in the source QA file)</x:v>
      </x:c>
      <x:c r="R6" s="6" t="str">
        <x:v>Location: 第1-2页引言及背景，第4页相关工作对比，参考文献列表
Rationale: 引用STPA核心文献[3]及LLM在安全工程中的应用[10],[11],[26],[27]等，明确与先前工作的区别（如视觉输入、批量生成、框架集成），当代权威文献支持充分且贡献定位清晰。
Verbatim excerpt: NR (not stored separately in the source QA file)</x:v>
      </x:c>
      <x:c r="S6" s="6" t="str">
        <x:v>Location: 第9-10页“Limitations”小节
Rationale: 专门讨论了局限：可能的训练数据泄漏、案例研究较小、人工标注可能错误、安全关键任务中LLM伦理限制等，并对未来工作提出方向，局限和适用边界有实质说明。
Verbatim excerpt: NR (not stored separately in the source QA file)</x:v>
      </x:c>
      <x:c r="T6" s="6" t="str">
        <x:v>Location: 全篇未找到利益冲突声明
Rationale: 论文整体表述客观，未发现明显宣传性语言，但未披露任何潜在既得利益（如与OpenAI的关系或资助信息），且未提供对立证据，因此披露不足。
Verbatim excerpt: NR (not stored separately in the source QA file)</x:v>
      </x:c>
      <x:c r="U6" s="6" t="str">
        <x:v>Location: 第8-9页实验结果，第10页结论
Rationale: 危害-损失链接实验提供了定量指标（F1最高100%）支持LLM有效性；UCA/损失场景生成仅报告约70%人工接受率，未给出评估细则或统计检验，部分结论缺乏充分证据。
Verbatim excerpt: NR (not stored separately in the source QA file)</x:v>
      </x:c>
      <x:c r="V6" s="6" t="str">
        <x:v>Location: 元数据：first_published_date, version_date, access_date
Rationale: 元数据中明确记录了首次发布日期（2025-03-15）、当前版本日期（2025-03-15）和访问日期（2026-07-25），所有日期均可确认。
Verbatim excerpt: NR (not stored separately in the source QA file)</x:v>
      </x:c>
      <x:c r="W6" s="6" t="str">
        <x:v>Location: 第1页贡献声明，第4页新颖性讨论
Rationale: 提出了多种新颖点：将STPA工件以Python对象显式集成到软件系统、使用视觉模型处理控制结构图、单次提示生成多个UCA/场景等，与已有工作形成明确增量。
Verbatim excerpt: NR (not stored separately in the source QA file)</x:v>
      </x:c>
      <x:c r="X6" s="6" t="str">
        <x:v>Location: 元数据：arXiv URL和OpenAlex cited_by_count=0
Rationale: 预印本在arXiv.org稳定存储，可核验；但OpenAlex记录的被引次数为0，影响指标不可得，因此不满足GQA10的满分条件。
Verbatim excerpt: NR (not stored separately in the source QA file)</x:v>
      </x:c>
      <x:c r="Y6" s="2" t="n">
        <x:f>IF(COUNT(E6:N6)=0,"",AVERAGE(E6:N6))</x:f>
        <x:v>0.8</x:v>
      </x:c>
      <x:c r="Z6" s="2" t="str">
        <x:f>IF(Y6="","",IF(Y6&lt;0.5,"QA_EXCLUDE_PREPRINT",IF(Y6=0.5,"QA_INCLUDE_WEAK","QA_INCLUDE_STANDARD")))</x:f>
        <x:v>QA_INCLUDE_STANDARD</x:v>
      </x:c>
      <x:c r="AA6" s="2" t="str">
        <x:v>QA_INCLUDE_STANDARD</x:v>
      </x:c>
      <x:c r="AB6" s="2" t="str">
        <x:v>NA</x:v>
      </x:c>
      <x:c r="AC6" s="2" t="str">
        <x:v>OpenAlex
https://openalex.org/W6891948996
cited_by_count=0
按题名/DOI匹配的OpenAlex cited_by_count；未用于跨来源质量排名</x:v>
      </x:c>
      <x:c r="AD6" s="2" t="str">
        <x:v>2026-07-25 00:00:00</x:v>
      </x:c>
      <x:c r="AE6" s="2" t="str">
        <x:v>2026-07-25 00:00:00</x:v>
      </x:c>
      <x:c r="AF6" s="6" t="str">
        <x:v>Title: An LLM-Integrated Framework for Completion, Management, and Tracing of STPA
Source reviewer: 第一作者
Reviewer A decision: QA_INCLUDE; evidence status: STANDARD_EVIDENCE
Decision rationale: GQA_score=0.8000&gt;0.50，第一作者判定保留。
Selected preprint: arXiv 2503.12043 v1 (2025/3/15); 评估检索截止日当日或之前可得的最后版本
Source record_id: merged_1148; reviewed_at: Sat Jul 25 2026 03:46:17 GMT+0800 (China Standard Time)</x:v>
      </x:c>
    </x:row>
    <x:row r="7" ht="76" customHeight="1">
      <x:c r="A7" s="2" t="str">
        <x:v>S20</x:v>
      </x:c>
      <x:c r="B7" s="2" t="str">
        <x:v>merged_1151-v1</x:v>
      </x:c>
      <x:c r="C7" s="2" t="str">
        <x:v>Reviewer_A</x:v>
      </x:c>
      <x:c r="D7" s="2" t="str">
        <x:v>Reviewer_A</x:v>
      </x:c>
      <x:c r="E7" s="2" t="n">
        <x:v>0.5</x:v>
      </x:c>
      <x:c r="F7" s="2" t="n">
        <x:v>1</x:v>
      </x:c>
      <x:c r="G7" s="2" t="n">
        <x:v>1</x:v>
      </x:c>
      <x:c r="H7" s="2" t="n">
        <x:v>1</x:v>
      </x:c>
      <x:c r="I7" s="2" t="n">
        <x:v>1</x:v>
      </x:c>
      <x:c r="J7" s="2" t="n">
        <x:v>0.5</x:v>
      </x:c>
      <x:c r="K7" s="2" t="n">
        <x:v>1</x:v>
      </x:c>
      <x:c r="L7" s="2" t="n">
        <x:v>1</x:v>
      </x:c>
      <x:c r="M7" s="2" t="n">
        <x:v>1</x:v>
      </x:c>
      <x:c r="N7" s="2" t="n">
        <x:v>1</x:v>
      </x:c>
      <x:c r="O7" s="6" t="str">
        <x:v>Location: 第1页，作者单位；无具体专业经验陈述。
Rationale: 作者单位（Sharif University of Technology, Okinawa Institute of Science and Technology）可核验，但未提供作者在需求工程或NLP领域的具体经验、过往发表或项目经历，仅部分满足可信度要求。
Verbatim excerpt: NR (not stored separately in the source QA file)</x:v>
      </x:c>
      <x:c r="P7" s="6" t="str">
        <x:v>Location: 摘要及第2-3页引言部分。
Rationale: 明确陈述目标为‘增强LLM的自动需求可追溯性和合规性检查’，并针对SRS文档与高层法规一致性问题，范围清楚。
Verbatim excerpt: NR (not stored separately in the source QA file)</x:v>
      </x:c>
      <x:c r="Q7" s="6" t="str">
        <x:v>Location: 第7-16页第4节（方法），第7-8页数据集描述。
Rationale: 详细描述了Graph-RAG构建、预处理、社区检测与摘要、搜索过程，以及IO/CoT/ToT三种提示设计；研究了两个具体的SRS数据集（Broker和Aero），方法步骤和对象均清晰。
Verbatim excerpt: NR (not stored separately in the source QA file)</x:v>
      </x:c>
      <x:c r="R7" s="6" t="str">
        <x:v>Location: 第23-26页参考文献；第6-7页相关工作。
Rationale: 引用了RAG、Graph-RAG、CoT、ToT等领域的当代权威文献（如Lewis et al. 2020, Edge et al. 2024, Wei et al. 2022, Yao et al. 2024），并在相关工作部分明确区分了与现有研究的异同。
Verbatim excerpt: NR (not stored separately in the source QA file)</x:v>
      </x:c>
      <x:c r="S7" s="6" t="str">
        <x:v>Location: 第20-22页第6节（讨论：“Limits”和“Threats to Validity”）。
Rationale: 明确报告了数据质量依赖、复杂性、成本、AI过度依赖等局限，以及内部、外部、成本有效性等威胁，适用边界有实质说明。
Verbatim excerpt: NR (not stored separately in the source QA file)</x:v>
      </x:c>
      <x:c r="T7" s="6" t="str">
        <x:v>Location: 全文未见利益冲突声明；第18-20页实验部分有对比分析。
Rationale: 文章对多种模型和提示进行了比较，结果报告基本客观，但未披露任何资助、利益冲突或潜在既得利益，披露不足。
Verbatim excerpt: NR (not stored separately in the source QA file)</x:v>
      </x:c>
      <x:c r="U7" s="6" t="str">
        <x:v>Location: 第18-20页表5、表6，图8、图9及相应分析。
Rationale: 所有主要结论（如Graph-RAG检索覆盖率更高、ToT提高F1等）均直接由实验数据（覆盖率曲线、混淆矩阵、精确率/召回率/F1表格）支持，无无依据的外推。
Verbatim excerpt: NR (not stored separately in the source QA file)</x:v>
      </x:c>
      <x:c r="V7" s="6" t="str">
        <x:v>Location: 元数据：first_published_date: 2024-12-11, version: v1, access_date: 2026-07-25。
Rationale: 首次发布、当前版本及访问日期均明确提供。
Verbatim excerpt: NR (not stored separately in the source QA file)</x:v>
      </x:c>
      <x:c r="W7" s="6" t="str">
        <x:v>Location: 摘要及第3页贡献列表；实验对比第18-20页。
Rationale: 提供了新的Graph-RAG与提示工程集成框架，并通过在真实数据集上的基准测试给出了优于基线的证据，增加了独特的方法和实证内容。
Verbatim excerpt: NR (not stored separately in the source QA file)</x:v>
      </x:c>
      <x:c r="X7" s="6" t="str">
        <x:v>Location: arXiv稳定URL https://arxiv.org/abs/2412.08593；影响数据来源OpenAlex，cited_by_count: 2。
Rationale: 出处为arXiv预印本，稳定可核验；OpenAlex记录显示被引2次，非零影响指标可得。
Verbatim excerpt: NR (not stored separately in the source QA file)</x:v>
      </x:c>
      <x:c r="Y7" s="2" t="n">
        <x:f>IF(COUNT(E7:N7)=0,"",AVERAGE(E7:N7))</x:f>
        <x:v>0.9</x:v>
      </x:c>
      <x:c r="Z7" s="2" t="str">
        <x:f>IF(Y7="","",IF(Y7&lt;0.5,"QA_EXCLUDE_PREPRINT",IF(Y7=0.5,"QA_INCLUDE_WEAK","QA_INCLUDE_STANDARD")))</x:f>
        <x:v>QA_INCLUDE_STANDARD</x:v>
      </x:c>
      <x:c r="AA7" s="2" t="str">
        <x:v>QA_INCLUDE_STANDARD</x:v>
      </x:c>
      <x:c r="AB7" s="2" t="str">
        <x:v>NA</x:v>
      </x:c>
      <x:c r="AC7" s="2" t="str">
        <x:v>OpenAlex
https://openalex.org/W4405311056
cited_by_count=2
按题名/DOI匹配的OpenAlex cited_by_count；未用于跨来源质量排名</x:v>
      </x:c>
      <x:c r="AD7" s="2" t="str">
        <x:v>2026-07-25 00:00:00</x:v>
      </x:c>
      <x:c r="AE7" s="2" t="str">
        <x:v>2026-07-25 00:00:00</x:v>
      </x:c>
      <x:c r="AF7" s="6" t="str">
        <x:v>Title: Leveraging Graph-RAG and Prompt Engineering to Enhance LLM-Based Automated Requirement Traceability and Compliance Checks
Source reviewer: 第一作者
Reviewer A decision: QA_INCLUDE; evidence status: STANDARD_EVIDENCE
Decision rationale: GQA_score=0.9000&gt;0.50，第一作者判定保留。
Selected preprint: arXiv 2412.08593 v1 (2024/12/11); 评估检索截止日当日或之前可得的最后版本
Source record_id: merged_1151; reviewed_at: Sat Jul 25 2026 03:46:04 GMT+0800 (China Standard Time)</x:v>
      </x:c>
    </x:row>
    <x:row r="8" ht="76" customHeight="1">
      <x:c r="A8" s="2" t="str">
        <x:v>S22</x:v>
      </x:c>
      <x:c r="B8" s="2" t="str">
        <x:v>merged_1154-v1</x:v>
      </x:c>
      <x:c r="C8" s="2" t="str">
        <x:v>Reviewer_A</x:v>
      </x:c>
      <x:c r="D8" s="2" t="str">
        <x:v>Reviewer_A</x:v>
      </x:c>
      <x:c r="E8" s="2" t="n">
        <x:v>0.5</x:v>
      </x:c>
      <x:c r="F8" s="2" t="n">
        <x:v>1</x:v>
      </x:c>
      <x:c r="G8" s="2" t="n">
        <x:v>1</x:v>
      </x:c>
      <x:c r="H8" s="2" t="n">
        <x:v>1</x:v>
      </x:c>
      <x:c r="I8" s="2" t="n">
        <x:v>1</x:v>
      </x:c>
      <x:c r="J8" s="2" t="n">
        <x:v>0.5</x:v>
      </x:c>
      <x:c r="K8" s="2" t="n">
        <x:v>1</x:v>
      </x:c>
      <x:c r="L8" s="2" t="n">
        <x:v>1</x:v>
      </x:c>
      <x:c r="M8" s="2" t="n">
        <x:v>1</x:v>
      </x:c>
      <x:c r="N8" s="2" t="n">
        <x:v>0.5</x:v>
      </x:c>
      <x:c r="O8" s="6" t="str">
        <x:v>Location: 第1页作者单位
Rationale: 作者均来自EPAM Systems，提供邮箱，但其个人专业背景和发表记录未明确列出，单位可信但具体经验证据有限，部分可核验。
Verbatim excerpt: NR (not stored separately in the source QA file)</x:v>
      </x:c>
      <x:c r="P8" s="6" t="str">
        <x:v>Location: 摘要、引言及III节研究问题
Rationale: 明确目标为规格驱动开发中安全知识转移问题，研究问题在III节末尾明确陈述，范围清晰。
Verbatim excerpt: NR (not stored separately in the source QA file)</x:v>
      </x:c>
      <x:c r="Q8" s="6" t="str">
        <x:v>Location: IV、V、VII节方法描述
Rationale: 详细说明安全模型、转移方法及实验设置，研究1使用OWASP案例，研究2使用网球预订API与FastAPI生成，方法步骤和对象均清楚。
Verbatim excerpt: NR (not stored separately in the source QA file)</x:v>
      </x:c>
      <x:c r="R8" s="6" t="str">
        <x:v>Location: II节相关研究及引用列表
Rationale: 综述LLM代码生成、安全生成、规格驱动开发和安全框架，引用OWASP ASVS、NIST SSDF、SecurityEval等当代文献，并明确定位研究差距。
Verbatim excerpt: NR (not stored separately in the source QA file)</x:v>
      </x:c>
      <x:c r="S8" s="6" t="str">
        <x:v>Location: 第14页Limitations and Validity
Rationale: 详细讨论范围限制、重复次数、评价有效性、基准泄漏等威胁与局限，适用边界明确。
Verbatim excerpt: NR (not stored separately in the source QA file)</x:v>
      </x:c>
      <x:c r="T8" s="6" t="str">
        <x:v>Location: 全文未发现利益声明
Rationale: 呈现客观，数据支持结论，无夸大宣传，但未明确披露潜在既得利益（如作者同属商业公司），反证或披露不足。
Verbatim excerpt: NR (not stored separately in the source QA file)</x:v>
      </x:c>
      <x:c r="U8" s="6" t="str">
        <x:v>Location: IX节结果及X节讨论
Rationale: 研究1覆盖率和研究2失败数等数据直接支持结论，通用标准帮助，应用特定模型进一步减少安全知识损失。
Verbatim excerpt: NR (not stored separately in the source QA file)</x:v>
      </x:c>
      <x:c r="V8" s="6" t="str">
        <x:v>Location: 元数据与arXiv记录
Rationale: 提供首次发布日期2026-05-29，版本v1日期2026-05-29，访问日期2026-07-25，所有日期明确。
Verbatim excerpt: NR (not stored separately in the source QA file)</x:v>
      </x:c>
      <x:c r="W8" s="6" t="str">
        <x:v>Location: 摘要贡献列表及讨论
Rationale: 提出新型多层安全模型和转移方法，并提供两项实证证据，强化了应用特定安全规格对AI代码生成重要性的立场。
Verbatim excerpt: NR (not stored separately in the source QA file)</x:v>
      </x:c>
      <x:c r="X8" s="6" t="str">
        <x:v>Location: 元数据OpenAlex引用计数
Rationale: arXiv预印本出处稳定可核验，但OpenAlex cited_by_count为0，影响指标为零，不符合非零要求。
Verbatim excerpt: NR (not stored separately in the source QA file)</x:v>
      </x:c>
      <x:c r="Y8" s="2" t="n">
        <x:f>IF(COUNT(E8:N8)=0,"",AVERAGE(E8:N8))</x:f>
        <x:v>0.85</x:v>
      </x:c>
      <x:c r="Z8" s="2" t="str">
        <x:f>IF(Y8="","",IF(Y8&lt;0.5,"QA_EXCLUDE_PREPRINT",IF(Y8=0.5,"QA_INCLUDE_WEAK","QA_INCLUDE_STANDARD")))</x:f>
        <x:v>QA_INCLUDE_STANDARD</x:v>
      </x:c>
      <x:c r="AA8" s="2" t="str">
        <x:v>QA_INCLUDE_STANDARD</x:v>
      </x:c>
      <x:c r="AB8" s="2" t="str">
        <x:v>NA</x:v>
      </x:c>
      <x:c r="AC8" s="2" t="str">
        <x:v>OpenAlex
https://openalex.org/W7163142214
cited_by_count=0
按题名/DOI匹配的OpenAlex cited_by_count；未用于跨来源质量排名</x:v>
      </x:c>
      <x:c r="AD8" s="2" t="str">
        <x:v>2026-07-25 00:00:00</x:v>
      </x:c>
      <x:c r="AE8" s="2" t="str">
        <x:v>2026-07-25 00:00:00</x:v>
      </x:c>
      <x:c r="AF8" s="6" t="str">
        <x:v>Title: Specification-Driven Development Benchmark: Security Knowledge Transition
Source reviewer: 第一作者
Reviewer A decision: QA_INCLUDE; evidence status: STANDARD_EVIDENCE
Decision rationale: GQA_score=0.8500&gt;0.50，第一作者判定保留。
Selected preprint: arXiv 2606.00167 v1 (2026/5/29); 依据arXiv元数据核验的评估版本
Source record_id: merged_1154; reviewed_at: Sat Jul 25 2026 03:50:09 GMT+0800 (China Standard Time)</x:v>
      </x:c>
    </x:row>
    <x:row r="9" ht="76" customHeight="1">
      <x:c r="A9" s="2" t="str">
        <x:v>S29</x:v>
      </x:c>
      <x:c r="B9" s="2" t="str">
        <x:v>merged_1215-v4</x:v>
      </x:c>
      <x:c r="C9" s="2" t="str">
        <x:v>Reviewer_A</x:v>
      </x:c>
      <x:c r="D9" s="2" t="str">
        <x:v>Reviewer_A</x:v>
      </x:c>
      <x:c r="E9" s="2" t="n">
        <x:v>1</x:v>
      </x:c>
      <x:c r="F9" s="2" t="n">
        <x:v>1</x:v>
      </x:c>
      <x:c r="G9" s="2" t="n">
        <x:v>1</x:v>
      </x:c>
      <x:c r="H9" s="2" t="n">
        <x:v>1</x:v>
      </x:c>
      <x:c r="I9" s="2" t="n">
        <x:v>1</x:v>
      </x:c>
      <x:c r="J9" s="2" t="n">
        <x:v>0.5</x:v>
      </x:c>
      <x:c r="K9" s="2" t="n">
        <x:v>1</x:v>
      </x:c>
      <x:c r="L9" s="2" t="n">
        <x:v>0.5</x:v>
      </x:c>
      <x:c r="M9" s="2" t="n">
        <x:v>1</x:v>
      </x:c>
      <x:c r="N9" s="2" t="n">
        <x:v>0.5</x:v>
      </x:c>
      <x:c r="O9" s="6" t="str">
        <x:v>Location: Page 1, author affiliations
Rationale: 作者来自渥太华大学、利默里克大学和风河系统公司，Lionel C. Briand是知名软件工程教授，Hanyang Hu来自工业界，专业背景可核验。
Verbatim excerpt: NR (not stored separately in the source QA file)</x:v>
      </x:c>
      <x:c r="P9" s="6" t="str">
        <x:v>Location: Page 1 Abstract and Section 1
Rationale: 目标明确：自动验证DTC需求之间的追溯链接，并恢复缺失链接。问题定义清晰。
Verbatim excerpt: NR (not stored separately in the source QA file)</x:v>
      </x:c>
      <x:c r="Q9" s="6" t="str">
        <x:v>Location: Section 3 (TVR method) and Section 4.3 (Dataset)
Rationale: 方法：RAG增强的LLM，使用检索相似示例。研究对象：2,132对DTC需求，来自汽车系统。步骤详细。
Verbatim excerpt: NR (not stored separately in the source QA file)</x:v>
      </x:c>
      <x:c r="R9" s="6" t="str">
        <x:v>Location: Section 8 Related Work, references [1-61]
Rationale: 引用了当代NLP、追溯、LLM相关文献，并在相关工作部分定位了与已有研究的关系。
Verbatim excerpt: NR (not stored separately in the source QA file)</x:v>
      </x:c>
      <x:c r="S9" s="6" t="str">
        <x:v>Location: Section 7 Threats to Validity (pages 22-23)
Rationale: 深入讨论了外部效度（数据集特异性）、内部效度（标注误差、模型随机性、规则过滤等）以及适用边界。
Verbatim excerpt: NR (not stored separately in the source QA file)</x:v>
      </x:c>
      <x:c r="T9" s="6" t="str">
        <x:v>Location: No explicit disclosure statement found
Rationale: 呈现平衡客观，包含与基线的比较和工业反馈，但未明确披露潜在利益冲突（如与风河系统的合作关系）。
Verbatim excerpt: NR (not stored separately in the source QA file)</x:v>
      </x:c>
      <x:c r="U9" s="6" t="str">
        <x:v>Location: Section 5 Experimental Results and Section 9 Conclusion
Rationale: 主要结论（98.87%准确率、85.50%恢复正确性等）均有实验数据支持。
Verbatim excerpt: NR (not stored separately in the source QA file)</x:v>
      </x:c>
      <x:c r="V9" s="6" t="str">
        <x:v>Location: Page 1 version date '10 Jan 2026'
Rationale: 论文第一页显示当前版本日期，但未提供原始首次发布日期和访问日期；元数据中虽有，但论文内未完整报告。
Verbatim excerpt: NR (not stored separately in the source QA file)</x:v>
      </x:c>
      <x:c r="W9" s="6" t="str">
        <x:v>Location: Abstract and Introduction
Rationale: 提出TVR方法，将RAG用于汽车DTC需求追溯，提供了新方法论和在工业数据上的实证证据，贡献独特。
Verbatim excerpt: NR (not stored separately in the source QA file)</x:v>
      </x:c>
      <x:c r="X9" s="6" t="str">
        <x:v>Location: Impact metadata: OpenAlex cited_by_count = 0
Rationale: 预印本在arXiv稳定可访问，但根据提供的影响数据，引用数为0，无其他可得影响指标。
Verbatim excerpt: NR (not stored separately in the source QA file)</x:v>
      </x:c>
      <x:c r="Y9" s="2" t="n">
        <x:f>IF(COUNT(E9:N9)=0,"",AVERAGE(E9:N9))</x:f>
        <x:v>0.85</x:v>
      </x:c>
      <x:c r="Z9" s="2" t="str">
        <x:f>IF(Y9="","",IF(Y9&lt;0.5,"QA_EXCLUDE_PREPRINT",IF(Y9=0.5,"QA_INCLUDE_WEAK","QA_INCLUDE_STANDARD")))</x:f>
        <x:v>QA_INCLUDE_STANDARD</x:v>
      </x:c>
      <x:c r="AA9" s="2" t="str">
        <x:v>QA_INCLUDE_STANDARD</x:v>
      </x:c>
      <x:c r="AB9" s="2" t="str">
        <x:v>NA</x:v>
      </x:c>
      <x:c r="AC9" s="2" t="str">
        <x:v>OpenAlex
https://openalex.org/W4414631641
cited_by_count=0
按题名/DOI匹配的OpenAlex cited_by_count；未用于跨来源质量排名</x:v>
      </x:c>
      <x:c r="AD9" s="2" t="str">
        <x:v>2026-07-25 00:00:00</x:v>
      </x:c>
      <x:c r="AE9" s="2" t="str">
        <x:v>2026-07-25 00:00:00</x:v>
      </x:c>
      <x:c r="AF9" s="6" t="str">
        <x:v>Title: TVR: Automotive System Requirements Traceability Validation and Recovery Through Retrieval-Augmented Generation
Source reviewer: 第一作者
Reviewer A decision: QA_INCLUDE; evidence status: STANDARD_EVIDENCE
Decision rationale: GQA_score=0.8500&gt;0.50，第一作者判定保留。
Selected preprint: arXiv 2504.15427 v4 (2026/1/10); 评估检索截止日当日或之前可得的最后版本
Source record_id: merged_1215; reviewed_at: Sat Jul 25 2026 03:46:25 GMT+0800 (China Standard Time)</x:v>
      </x:c>
    </x:row>
    <x:row r="10" ht="76" customHeight="1">
      <x:c r="A10" s="2" t="str">
        <x:v>S34</x:v>
      </x:c>
      <x:c r="B10" s="2" t="str">
        <x:v>merged_1224-v1</x:v>
      </x:c>
      <x:c r="C10" s="2" t="str">
        <x:v>Reviewer_A</x:v>
      </x:c>
      <x:c r="D10" s="2" t="str">
        <x:v>Reviewer_A</x:v>
      </x:c>
      <x:c r="E10" s="2" t="n">
        <x:v>0.5</x:v>
      </x:c>
      <x:c r="F10" s="2" t="n">
        <x:v>1</x:v>
      </x:c>
      <x:c r="G10" s="2" t="n">
        <x:v>1</x:v>
      </x:c>
      <x:c r="H10" s="2" t="n">
        <x:v>1</x:v>
      </x:c>
      <x:c r="I10" s="2" t="n">
        <x:v>1</x:v>
      </x:c>
      <x:c r="J10" s="2" t="n">
        <x:v>1</x:v>
      </x:c>
      <x:c r="K10" s="2" t="n">
        <x:v>1</x:v>
      </x:c>
      <x:c r="L10" s="2" t="n">
        <x:v>1</x:v>
      </x:c>
      <x:c r="M10" s="2" t="n">
        <x:v>1</x:v>
      </x:c>
      <x:c r="N10" s="2" t="n">
        <x:v>0.5</x:v>
      </x:c>
      <x:c r="O10" s="6" t="str">
        <x:v>Location: 第1页作者信息、第35页作者贡献
Rationale: 作者单位（Tebessa大学计算机科学系）明确，但未提供作者的专业背景或相关发表经历，仅可核验单位信息。
Verbatim excerpt: NR (not stored separately in the source QA file)</x:v>
      </x:c>
      <x:c r="P10" s="6" t="str">
        <x:v>Location: 第1页摘要、第3页RQ1
Rationale: 明确目标为评估LLM从用例生成UML方法的能力，研究问题RQ1清晰界定范围。
Verbatim excerpt: NR (not stored separately in the source QA file)</x:v>
      </x:c>
      <x:c r="Q10" s="6" t="str">
        <x:v>Location: 第6-11页方法论
Rationale: 详细描述了所用LLM模型、21个用例、基准UML图、提示策略、评价指标和统计方法。
Verbatim excerpt: NR (not stored separately in the source QA file)</x:v>
      </x:c>
      <x:c r="R10" s="6" t="str">
        <x:v>Location: 第2-5页相关工作、表1
Rationale: 引用Saini、Weyssow、Zakaria等文献并与本研究比较，明确阐述与关键相关研究的关系。
Verbatim excerpt: NR (not stored separately in the source QA file)</x:v>
      </x:c>
      <x:c r="S10" s="6" t="str">
        <x:v>Location: 第31页5.5节局限性、第32页5.7威胁
Rationale: 详细讨论了语义验证缺失、基准稀缺、领域特异性等局限及对内部、外部、建构效度的威胁。
Verbatim excerpt: NR (not stored separately in the source QA file)</x:v>
      </x:c>
      <x:c r="T10" s="6" t="str">
        <x:v>Location: 第35页利益冲突声明
Rationale: 声明无利益冲突，论文客观报告不同模型的优缺点，无宣传性言论。
Verbatim excerpt: NR (not stored separately in the source QA file)</x:v>
      </x:c>
      <x:c r="U10" s="6" t="str">
        <x:v>Location: 第33-34页结论、第11-27页结果
Rationale: 结论中的各项主张均有对应结果数据支持，如Claude 3.7方法数量最高等。
Verbatim excerpt: NR (not stored separately in the source QA file)</x:v>
      </x:c>
      <x:c r="V10" s="6" t="str">
        <x:v>Location: 第1页arXiv日期、元数据
Rationale: 首次发布日期（2025-06-01）、当前版本日期（2025-06-01）和访问日期（2026-07-25）均明确。
Verbatim excerpt: NR (not stored separately in the source QA file)</x:v>
      </x:c>
      <x:c r="W10" s="6" t="str">
        <x:v>Location: 第4-5页新颖性与贡献、第27页讨论
Rationale: 首次提供LLM行为方法生成的大规模多模型基准，提出方法命名共识等新颖指标，填补了已有研究空白。
Verbatim excerpt: NR (not stored separately in the source QA file)</x:v>
      </x:c>
      <x:c r="X10" s="6" t="str">
        <x:v>Location: 元数据cited_by_count:0
Rationale: arXiv DOI稳定可核验，但OpenAlex被引次数为0，无任何非零影响指标。
Verbatim excerpt: NR (not stored separately in the source QA file)</x:v>
      </x:c>
      <x:c r="Y10" s="2" t="n">
        <x:f>IF(COUNT(E10:N10)=0,"",AVERAGE(E10:N10))</x:f>
        <x:v>0.9</x:v>
      </x:c>
      <x:c r="Z10" s="2" t="str">
        <x:f>IF(Y10="","",IF(Y10&lt;0.5,"QA_EXCLUDE_PREPRINT",IF(Y10=0.5,"QA_INCLUDE_WEAK","QA_INCLUDE_STANDARD")))</x:f>
        <x:v>QA_INCLUDE_STANDARD</x:v>
      </x:c>
      <x:c r="AA10" s="2" t="str">
        <x:v>QA_INCLUDE_STANDARD</x:v>
      </x:c>
      <x:c r="AB10" s="2" t="str">
        <x:v>NA</x:v>
      </x:c>
      <x:c r="AC10" s="2" t="str">
        <x:v>OpenAlex
https://openalex.org/W4414892844
cited_by_count=0
按题名/DOI匹配的OpenAlex cited_by_count；未用于跨来源质量排名</x:v>
      </x:c>
      <x:c r="AD10" s="2" t="str">
        <x:v>2026-07-25 00:00:00</x:v>
      </x:c>
      <x:c r="AE10" s="2" t="str">
        <x:v>2026-07-25 00:00:00</x:v>
      </x:c>
      <x:c r="AF10" s="6" t="str">
        <x:v>Title: Behavioral Augmentation of UML Class Diagrams: An Empirical Study of Large Language Models for Method Generation
Source reviewer: 第一作者
Reviewer A decision: QA_INCLUDE; evidence status: STANDARD_EVIDENCE
Decision rationale: GQA_score=0.9000&gt;0.50，第一作者判定保留。
Selected preprint: arXiv 2506.00788 v1 (2025/6/1); 评估检索截止日当日或之前可得的最后版本
Source record_id: merged_1224; reviewed_at: Sat Jul 25 2026 03:46:06 GMT+0800 (China Standard Time)</x:v>
      </x:c>
    </x:row>
    <x:row r="11" ht="76" customHeight="1">
      <x:c r="A11" s="2" t="str">
        <x:v>S47</x:v>
      </x:c>
      <x:c r="B11" s="2" t="str">
        <x:v>merged_1302-v1</x:v>
      </x:c>
      <x:c r="C11" s="2" t="str">
        <x:v>Reviewer_A</x:v>
      </x:c>
      <x:c r="D11" s="2" t="str">
        <x:v>Reviewer_A</x:v>
      </x:c>
      <x:c r="E11" s="2" t="n">
        <x:v>0</x:v>
      </x:c>
      <x:c r="F11" s="2" t="n">
        <x:v>1</x:v>
      </x:c>
      <x:c r="G11" s="2" t="n">
        <x:v>1</x:v>
      </x:c>
      <x:c r="H11" s="2" t="n">
        <x:v>1</x:v>
      </x:c>
      <x:c r="I11" s="2" t="n">
        <x:v>0.5</x:v>
      </x:c>
      <x:c r="J11" s="2" t="n">
        <x:v>0.5</x:v>
      </x:c>
      <x:c r="K11" s="2" t="n">
        <x:v>1</x:v>
      </x:c>
      <x:c r="L11" s="2" t="n">
        <x:v>1</x:v>
      </x:c>
      <x:c r="M11" s="2" t="n">
        <x:v>1</x:v>
      </x:c>
      <x:c r="N11" s="2" t="n">
        <x:v>0.5</x:v>
      </x:c>
      <x:c r="O11" s="6" t="str">
        <x:v>Location: Page 1, Title/Authors
Rationale: 仅提供组织名称H2LooP.ai，无作者个人背景、专业角色或先前发表记录可核验。
Verbatim excerpt: NR (not stored separately in the source QA file)</x:v>
      </x:c>
      <x:c r="P11" s="6" t="str">
        <x:v>Location: Page 1, Abstract and Section 1
Rationale: 明确说明目标为建立数据手册到代码的映射，解决嵌入式系统可追溯性挑战，问题和范围清楚。
Verbatim excerpt: NR (not stored separately in the source QA file)</x:v>
      </x:c>
      <x:c r="Q11" s="6" t="str">
        <x:v>Location: Pages 7-9, Section 4; Pages 9-10, Section 5.1
Rationale: 详细描述了四步层次化方法，并在多个开源嵌入式仓库上使用154-156个规范节进行评估，方法和研究对象明确。
Verbatim excerpt: NR (not stored separately in the source QA file)</x:v>
      </x:c>
      <x:c r="R11" s="6" t="str">
        <x:v>Location: Pages 3-4, Section 2
Rationale: 引用Wang et al. (2024), Guo et al. (2023), CodeBERT等当代文献，并明确指出已有方法的局限和本研究的关系。
Verbatim excerpt: NR (not stored separately in the source QA file)</x:v>
      </x:c>
      <x:c r="S11" s="6" t="str">
        <x:v>Location: Pages 10-12, Section 5.3
Rationale: 在讨论中简要提及信心校准、代码解析依赖等局限，但未设专门章节系统讨论威胁和适用边界。
Verbatim excerpt: NR (not stored separately in the source QA file)</x:v>
      </x:c>
      <x:c r="T11" s="6" t="str">
        <x:v>Location: 全文
Rationale: 比较结果表较客观，但未提供反证或披露作者所在商业实体可能涉及的既得利益。
Verbatim excerpt: NR (not stored separately in the source QA file)</x:v>
      </x:c>
      <x:c r="U11" s="6" t="str">
        <x:v>Location: Pages 10-13, Section 5, Table 2
Rationale: 实验数据（准确率、运行时间等）支持主要结论，结论均有结果证据支撑。
Verbatim excerpt: NR (not stored separately in the source QA file)</x:v>
      </x:c>
      <x:c r="V11" s="6" t="str">
        <x:v>Location: arXiv首页及元数据
Rationale: 首次发布日期2026-01-16、当前版本日期2026-01-16、访问日期2026-07-25均明确。
Verbatim excerpt: NR (not stored separately in the source QA file)</x:v>
      </x:c>
      <x:c r="W11" s="6" t="str">
        <x:v>Location: Page 1, Abstract; Pages 7-9, Section 4
Rationale: 提出层次化分解与多类型代码符号覆盖的新方法，相比传统IR方法提供独特内容和效率提升。
Verbatim excerpt: NR (not stored separately in the source QA file)</x:v>
      </x:c>
      <x:c r="X11" s="6" t="str">
        <x:v>Location: arXiv稳定记录及OpenAlex
Rationale: 预印本在arXiv上稳定可核验，但OpenAlex引用计数为0，无非零影响指标可得。
Verbatim excerpt: NR (not stored separately in the source QA file)</x:v>
      </x:c>
      <x:c r="Y11" s="2" t="n">
        <x:f>IF(COUNT(E11:N11)=0,"",AVERAGE(E11:N11))</x:f>
        <x:v>0.75</x:v>
      </x:c>
      <x:c r="Z11" s="2" t="str">
        <x:f>IF(Y11="","",IF(Y11&lt;0.5,"QA_EXCLUDE_PREPRINT",IF(Y11=0.5,"QA_INCLUDE_WEAK","QA_INCLUDE_STANDARD")))</x:f>
        <x:v>QA_INCLUDE_STANDARD</x:v>
      </x:c>
      <x:c r="AA11" s="2" t="str">
        <x:v>QA_INCLUDE_STANDARD</x:v>
      </x:c>
      <x:c r="AB11" s="2" t="str">
        <x:v>NA</x:v>
      </x:c>
      <x:c r="AC11" s="2" t="str">
        <x:v>OpenAlex
https://openalex.org/W7125135503
cited_by_count=0
按题名/DOI匹配的OpenAlex cited_by_count；未用于跨来源质量排名</x:v>
      </x:c>
      <x:c r="AD11" s="2" t="str">
        <x:v>2026-07-25 00:00:00</x:v>
      </x:c>
      <x:c r="AE11" s="2" t="str">
        <x:v>2026-07-25 00:00:00</x:v>
      </x:c>
      <x:c r="AF11" s="6" t="str">
        <x:v>Title: SpecMap: Hierarchical LLM Agent for Datasheet-to-Code Traceability Link Recovery in Systems Engineering
Source reviewer: 第一作者
Reviewer A decision: QA_INCLUDE; evidence status: STANDARD_EVIDENCE
Decision rationale: GQA_score=0.7500&gt;0.50，第一作者判定保留。
Selected preprint: arXiv 2601.11688 v1 (2026/1/16); 评估检索截止日当日或之前可得的最后版本
Source record_id: merged_1302; reviewed_at: Sat Jul 25 2026 03:46:25 GMT+0800 (China Standard Time)</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20" hidden="0" customWidth="1"/>
    <x:col min="4" max="4" width="20" hidden="0" customWidth="1"/>
    <x:col min="5" max="5" width="19" hidden="0" customWidth="1"/>
    <x:col min="6" max="6" width="20" hidden="0" customWidth="1"/>
    <x:col min="7" max="7" width="20" hidden="0" customWidth="1"/>
    <x:col min="8" max="8" width="20" hidden="0" customWidth="1"/>
    <x:col min="9" max="9" width="52" hidden="0" customWidth="1"/>
    <x:col min="10" max="10" width="52" hidden="0" customWidth="1"/>
    <x:col min="11" max="11" width="20" hidden="0" customWidth="1"/>
    <x:col min="12" max="12" width="52" hidden="0" customWidth="1"/>
  </x:cols>
  <x:sheetData>
    <x:row r="1" ht="38" customHeight="1">
      <x:c r="A1" s="5" t="str">
        <x:v>study_id</x:v>
      </x:c>
      <x:c r="B1" s="5" t="str">
        <x:v>version_id</x:v>
      </x:c>
      <x:c r="C1" s="5" t="str">
        <x:v>source_type</x:v>
      </x:c>
      <x:c r="D1" s="5" t="str">
        <x:v>review_stage</x:v>
      </x:c>
      <x:c r="E1" s="5" t="str">
        <x:v>reviewer_id</x:v>
      </x:c>
      <x:c r="F1" s="5" t="str">
        <x:v>E_level</x:v>
      </x:c>
      <x:c r="G1" s="5" t="str">
        <x:v>E_score</x:v>
      </x:c>
      <x:c r="H1" s="5" t="str">
        <x:v>evaluation_count</x:v>
      </x:c>
      <x:c r="I1" s="5" t="str">
        <x:v>study_rationale</x:v>
      </x:c>
      <x:c r="J1" s="5" t="str">
        <x:v>evidence_location</x:v>
      </x:c>
      <x:c r="K1" s="5" t="str">
        <x:v>review_date</x:v>
      </x:c>
      <x:c r="L1" s="5" t="str">
        <x:v>notes</x:v>
      </x:c>
    </x:row>
    <x:row r="2" ht="76" customHeight="1">
      <x:c r="A2" s="2" t="str">
        <x:v>S01</x:v>
      </x:c>
      <x:c r="B2" s="2" t="str">
        <x:v>merged_0002</x:v>
      </x:c>
      <x:c r="C2" s="2" t="str">
        <x:v>Published</x:v>
      </x:c>
      <x:c r="D2" s="2" t="str">
        <x:v>Final classification</x:v>
      </x:c>
      <x:c r="E2" s="2" t="str">
        <x:v>R1/R2</x:v>
      </x:c>
      <x:c r="F2" s="2" t="str">
        <x:v>EM3</x:v>
      </x:c>
      <x:c r="G2" s="2" t="n">
        <x:f>VALUE(RIGHT(F2,1))/5</x:f>
        <x:v>0.6</x:v>
      </x:c>
      <x:c r="H2" s="2" t="n">
        <x:v>3</x:v>
      </x:c>
      <x:c r="I2" s="6" t="str">
        <x:v>All evaluations are conducted on public benchmark datasets in a controlled academic setting; there is no evidence of industrial pilots or organizational adoption.</x:v>
      </x:c>
      <x:c r="J2" s="6" t="str">
        <x:v>S01-EV1: pages 8-10, Section IV-F-1, Tables III-V; S01-EV2: pages 9-10, Section IV-F-2, Table VI; S01-EV3: pages 10-11, Section IV-F-3, Table VII</x:v>
      </x:c>
      <x:c r="K2" s="2" t="str">
        <x:v>2026-07-25 00:00:00</x:v>
      </x:c>
      <x:c r="L2" s="6" t="str">
        <x:v>NR</x:v>
      </x:c>
    </x:row>
    <x:row r="3" ht="76" customHeight="1">
      <x:c r="A3" s="2" t="str">
        <x:v>S02</x:v>
      </x:c>
      <x:c r="B3" s="2" t="str">
        <x:v>merged_0007</x:v>
      </x:c>
      <x:c r="C3" s="2" t="str">
        <x:v>Published</x:v>
      </x:c>
      <x:c r="D3" s="2" t="str">
        <x:v>Final classification</x:v>
      </x:c>
      <x:c r="E3" s="2" t="str">
        <x:v>R1/R2</x:v>
      </x:c>
      <x:c r="F3" s="2" t="str">
        <x:v>EM3</x:v>
      </x:c>
      <x:c r="G3" s="2" t="n">
        <x:f>VALUE(RIGHT(F3,1))/5</x:f>
        <x:v>0.6</x:v>
      </x:c>
      <x:c r="H3" s="2" t="n">
        <x:v>5</x:v>
      </x:c>
      <x:c r="I3" s="6" t="str">
        <x:v>All evaluations use a curated benchmark of open-source projects with gold standards, comparing approaches in a controlled academic setting. No evidence of industrial pilot or real-world adoption.</x:v>
      </x:c>
      <x:c r="J3" s="6" t="str">
        <x:v>S03-EV1: Section 5.3.1, Page 11; S03-EV2: Section 5.3.2, Page 13; S03-EV3: Section 5.3.3, Pages 13-14; S03-EV4: Section 5.4.2, Pages 18-19; S03-EV5: Section 5.4.3, Pages 19-20</x:v>
      </x:c>
      <x:c r="K3" s="2" t="str">
        <x:v>2026-07-25 00:00:00</x:v>
      </x:c>
      <x:c r="L3" s="6" t="str">
        <x:v>NR</x:v>
      </x:c>
    </x:row>
    <x:row r="4" ht="76" customHeight="1">
      <x:c r="A4" s="2" t="str">
        <x:v>S03</x:v>
      </x:c>
      <x:c r="B4" s="2" t="str">
        <x:v>merged_0014</x:v>
      </x:c>
      <x:c r="C4" s="2" t="str">
        <x:v>Published</x:v>
      </x:c>
      <x:c r="D4" s="2" t="str">
        <x:v>Final classification</x:v>
      </x:c>
      <x:c r="E4" s="2" t="str">
        <x:v>R1/R2</x:v>
      </x:c>
      <x:c r="F4" s="2" t="str">
        <x:v>EM3</x:v>
      </x:c>
      <x:c r="G4" s="2" t="n">
        <x:f>VALUE(RIGHT(F4,1))/5</x:f>
        <x:v>0.6</x:v>
      </x:c>
      <x:c r="H4" s="2" t="n">
        <x:v>1</x:v>
      </x:c>
      <x:c r="I4" s="6" t="str">
        <x:v>实验在学术环境下进行，使用开源基准数据和离线比较，无工业试点或组织采纳证据。</x:v>
      </x:c>
      <x:c r="J4" s="6" t="str">
        <x:v>S04-EV1: 第5节</x:v>
      </x:c>
      <x:c r="K4" s="2" t="str">
        <x:v>2026-07-25 00:00:00</x:v>
      </x:c>
      <x:c r="L4" s="6" t="str">
        <x:v>NR</x:v>
      </x:c>
    </x:row>
    <x:row r="5" ht="76" customHeight="1">
      <x:c r="A5" s="2" t="str">
        <x:v>S04</x:v>
      </x:c>
      <x:c r="B5" s="2" t="str">
        <x:v>merged_0075</x:v>
      </x:c>
      <x:c r="C5" s="2" t="str">
        <x:v>Published</x:v>
      </x:c>
      <x:c r="D5" s="2" t="str">
        <x:v>Final classification</x:v>
      </x:c>
      <x:c r="E5" s="2" t="str">
        <x:v>R1/R2</x:v>
      </x:c>
      <x:c r="F5" s="2" t="str">
        <x:v>EM3</x:v>
      </x:c>
      <x:c r="G5" s="2" t="n">
        <x:f>VALUE(RIGHT(F5,1))/5</x:f>
        <x:v>0.6</x:v>
      </x:c>
      <x:c r="H5" s="2" t="n">
        <x:v>1</x:v>
      </x:c>
      <x:c r="I5" s="6" t="str">
        <x:v>研究仅包含一个离线基准评估，属于学术受控研究，无工业试点或真实部署证据。</x:v>
      </x:c>
      <x:c r="J5" s="6" t="str">
        <x:v>S05-EV1: 第5节，第5-7页</x:v>
      </x:c>
      <x:c r="K5" s="2" t="str">
        <x:v>2026-07-25 00:00:00</x:v>
      </x:c>
      <x:c r="L5" s="6" t="str">
        <x:v>NR</x:v>
      </x:c>
    </x:row>
    <x:row r="6" ht="76" customHeight="1">
      <x:c r="A6" s="2" t="str">
        <x:v>S05</x:v>
      </x:c>
      <x:c r="B6" s="2" t="str">
        <x:v>merged_0077</x:v>
      </x:c>
      <x:c r="C6" s="2" t="str">
        <x:v>Published</x:v>
      </x:c>
      <x:c r="D6" s="2" t="str">
        <x:v>Final classification</x:v>
      </x:c>
      <x:c r="E6" s="2" t="str">
        <x:v>R1/R2</x:v>
      </x:c>
      <x:c r="F6" s="2" t="str">
        <x:v>EM3</x:v>
      </x:c>
      <x:c r="G6" s="2" t="n">
        <x:f>VALUE(RIGHT(F6,1))/5</x:f>
        <x:v>0.6</x:v>
      </x:c>
      <x:c r="H6" s="2" t="n">
        <x:v>3</x:v>
      </x:c>
      <x:c r="I6" s="6" t="str">
        <x:v>All evaluations are controlled academic experiments using offline, constructed datasets; there is no evidence of industrial pilot or organizational adoption.</x:v>
      </x:c>
      <x:c r="J6" s="6" t="str">
        <x:v>S06-EV1: Section 4, pages 15-20; S06-EV2: Section 5, pages 20-22; S06-EV3: Section 6, pages 22-24 (partial)</x:v>
      </x:c>
      <x:c r="K6" s="2" t="str">
        <x:v>2026-07-25 00:00:00</x:v>
      </x:c>
      <x:c r="L6" s="6" t="str">
        <x:v>NR</x:v>
      </x:c>
    </x:row>
    <x:row r="7" ht="76" customHeight="1">
      <x:c r="A7" s="2" t="str">
        <x:v>S06</x:v>
      </x:c>
      <x:c r="B7" s="2" t="str">
        <x:v>merged_0079</x:v>
      </x:c>
      <x:c r="C7" s="2" t="str">
        <x:v>Published</x:v>
      </x:c>
      <x:c r="D7" s="2" t="str">
        <x:v>Final classification</x:v>
      </x:c>
      <x:c r="E7" s="2" t="str">
        <x:v>R1/R2</x:v>
      </x:c>
      <x:c r="F7" s="2" t="str">
        <x:v>EM3</x:v>
      </x:c>
      <x:c r="G7" s="2" t="n">
        <x:f>VALUE(RIGHT(F7,1))/5</x:f>
        <x:v>0.6</x:v>
      </x:c>
      <x:c r="H7" s="2" t="n">
        <x:v>3</x:v>
      </x:c>
      <x:c r="I7" s="6" t="str">
        <x:v>所有评价均在学术环境下进行，使用公开数据集和系统比较，未提供工业采纳或真实工程流程中持续使用的证据。</x:v>
      </x:c>
      <x:c r="J7" s="6" t="str">
        <x:v>S07-EV1: 第7-8页第V-A节; S07-EV2: 第8-9页第V-B节; S07-EV3: 第9页第V-C节</x:v>
      </x:c>
      <x:c r="K7" s="2" t="str">
        <x:v>2026-07-25 00:00:00</x:v>
      </x:c>
      <x:c r="L7" s="6" t="str">
        <x:v>NR</x:v>
      </x:c>
    </x:row>
    <x:row r="8" ht="76" customHeight="1">
      <x:c r="A8" s="2" t="str">
        <x:v>S07</x:v>
      </x:c>
      <x:c r="B8" s="2" t="str">
        <x:v>merged_0110</x:v>
      </x:c>
      <x:c r="C8" s="2" t="str">
        <x:v>Published</x:v>
      </x:c>
      <x:c r="D8" s="2" t="str">
        <x:v>Final classification</x:v>
      </x:c>
      <x:c r="E8" s="2" t="str">
        <x:v>R1/R2</x:v>
      </x:c>
      <x:c r="F8" s="2" t="str">
        <x:v>EM3</x:v>
      </x:c>
      <x:c r="G8" s="2" t="n">
        <x:f>VALUE(RIGHT(F8,1))/5</x:f>
        <x:v>0.6</x:v>
      </x:c>
      <x:c r="H8" s="2" t="n">
        <x:v>2</x:v>
      </x:c>
      <x:c r="I8" s="6" t="str">
        <x:v>所有评价均为离线环境下的受控实验，虽然使用了工业数据，但仅用于历史数据回溯，没有在真实企业流程中试点或持续使用的证据。</x:v>
      </x:c>
      <x:c r="J8" s="6" t="str">
        <x:v>S08-EV1: 第5-6页，表4; S08-EV2: 第6-8页，图5与表5</x:v>
      </x:c>
      <x:c r="K8" s="2" t="str">
        <x:v>2026-07-25 00:00:00</x:v>
      </x:c>
      <x:c r="L8" s="6" t="str">
        <x:v>NR</x:v>
      </x:c>
    </x:row>
    <x:row r="9" ht="76" customHeight="1">
      <x:c r="A9" s="2" t="str">
        <x:v>S08</x:v>
      </x:c>
      <x:c r="B9" s="2" t="str">
        <x:v>merged_0256</x:v>
      </x:c>
      <x:c r="C9" s="2" t="str">
        <x:v>Published</x:v>
      </x:c>
      <x:c r="D9" s="2" t="str">
        <x:v>Final classification</x:v>
      </x:c>
      <x:c r="E9" s="2" t="str">
        <x:v>R1/R2</x:v>
      </x:c>
      <x:c r="F9" s="2" t="str">
        <x:v>EM3</x:v>
      </x:c>
      <x:c r="G9" s="2" t="n">
        <x:f>VALUE(RIGHT(F9,1))/5</x:f>
        <x:v>0.6</x:v>
      </x:c>
      <x:c r="H9" s="2" t="n">
        <x:v>4</x:v>
      </x:c>
      <x:c r="I9" s="6" t="str">
        <x:v>所有评价均在公开数据集上进行离线实验，未涉及真实工业部署或用户使用，属于学术环境中的受控研究。</x:v>
      </x:c>
      <x:c r="J9" s="6" t="str">
        <x:v>S09-EV1: 第7页（Table 2）; S09-EV2: 第9页（Table 4）; S09-EV3: 第10页（Table 6）; S09-EV4: 第10页（Table 7）</x:v>
      </x:c>
      <x:c r="K9" s="2" t="str">
        <x:v>2026-07-25 00:00:00</x:v>
      </x:c>
      <x:c r="L9" s="6" t="str">
        <x:v>NR</x:v>
      </x:c>
    </x:row>
    <x:row r="10" ht="76" customHeight="1">
      <x:c r="A10" s="2" t="str">
        <x:v>S09</x:v>
      </x:c>
      <x:c r="B10" s="2" t="str">
        <x:v>merged_1114-v1</x:v>
      </x:c>
      <x:c r="C10" s="2" t="str">
        <x:v>Grey literature</x:v>
      </x:c>
      <x:c r="D10" s="2" t="str">
        <x:v>Final classification</x:v>
      </x:c>
      <x:c r="E10" s="2" t="str">
        <x:v>R1/R2</x:v>
      </x:c>
      <x:c r="F10" s="2" t="str">
        <x:v>EM3</x:v>
      </x:c>
      <x:c r="G10" s="2" t="n">
        <x:f>VALUE(RIGHT(F10,1))/5</x:f>
        <x:v>0.6</x:v>
      </x:c>
      <x:c r="H10" s="2" t="n">
        <x:v>4</x:v>
      </x:c>
      <x:c r="I10" s="6" t="str">
        <x:v>所有评价均为在离线数据集上的受控实验，没有证据表明在真实工业环境中部署或用户采纳，因此最高证据成熟度为E3。</x:v>
      </x:c>
      <x:c r="J10" s="6" t="str">
        <x:v>S10-EV1: 第6页，表II; S10-EV2: 第6页，表IV; S10-EV3: 第7页，表V和VI; S10-EV4: 第7页，表VII</x:v>
      </x:c>
      <x:c r="K10" s="2" t="str">
        <x:v>2026-07-25 00:00:00</x:v>
      </x:c>
      <x:c r="L10" s="6" t="str">
        <x:v>NR</x:v>
      </x:c>
    </x:row>
    <x:row r="11" ht="76" customHeight="1">
      <x:c r="A11" s="2" t="str">
        <x:v>S10</x:v>
      </x:c>
      <x:c r="B11" s="2" t="str">
        <x:v>merged_1119-v2</x:v>
      </x:c>
      <x:c r="C11" s="2" t="str">
        <x:v>Grey literature</x:v>
      </x:c>
      <x:c r="D11" s="2" t="str">
        <x:v>Final classification</x:v>
      </x:c>
      <x:c r="E11" s="2" t="str">
        <x:v>R1/R2</x:v>
      </x:c>
      <x:c r="F11" s="2" t="str">
        <x:v>EM3</x:v>
      </x:c>
      <x:c r="G11" s="2" t="n">
        <x:f>VALUE(RIGHT(F11,1))/5</x:f>
        <x:v>0.6</x:v>
      </x:c>
      <x:c r="H11" s="2" t="n">
        <x:v>4</x:v>
      </x:c>
      <x:c r="I11" s="6" t="str">
        <x:v>所有评价均在学术环境下使用公开数据集进行系统比较或人工检查，无工业案例研究或组织采纳证据。最高为E3。</x:v>
      </x:c>
      <x:c r="J11" s="6" t="str">
        <x:v>S11-EV1: 5.1节，图3及相应分析; S11-EV3: 5.2节，表1; S11-EV4: 5.3节，表2</x:v>
      </x:c>
      <x:c r="K11" s="2" t="str">
        <x:v>2026-07-25 00:00:00</x:v>
      </x:c>
      <x:c r="L11" s="6" t="str">
        <x:v>NR</x:v>
      </x:c>
    </x:row>
    <x:row r="12" ht="76" customHeight="1">
      <x:c r="A12" s="2" t="str">
        <x:v>S11</x:v>
      </x:c>
      <x:c r="B12" s="2" t="str">
        <x:v>merged_1121-v1</x:v>
      </x:c>
      <x:c r="C12" s="2" t="str">
        <x:v>Grey literature</x:v>
      </x:c>
      <x:c r="D12" s="2" t="str">
        <x:v>Final classification</x:v>
      </x:c>
      <x:c r="E12" s="2" t="str">
        <x:v>R1/R2</x:v>
      </x:c>
      <x:c r="F12" s="2" t="str">
        <x:v>EM3</x:v>
      </x:c>
      <x:c r="G12" s="2" t="n">
        <x:f>VALUE(RIGHT(F12,1))/5</x:f>
        <x:v>0.6</x:v>
      </x:c>
      <x:c r="H12" s="2" t="n">
        <x:v>4</x:v>
      </x:c>
      <x:c r="I12" s="6" t="str">
        <x:v>所有评价均在公开学术数据集上进行受控实验，属于学术环境中的基准测试比较，无工业案例或真实组织采纳证据，故最高为E3。</x:v>
      </x:c>
      <x:c r="J12" s="6" t="str">
        <x:v>S12-EV1: 第7页，Table III; S12-EV2: 第7页，Table IV; S12-EV3: 第7-8页，Table V; S12-EV4: 第8-9页，Table VI, VII</x:v>
      </x:c>
      <x:c r="K12" s="2" t="str">
        <x:v>2026-07-25 00:00:00</x:v>
      </x:c>
      <x:c r="L12" s="6" t="str">
        <x:v>NR</x:v>
      </x:c>
    </x:row>
    <x:row r="13" ht="76" customHeight="1">
      <x:c r="A13" s="2" t="str">
        <x:v>S12</x:v>
      </x:c>
      <x:c r="B13" s="2" t="str">
        <x:v>merged_1133</x:v>
      </x:c>
      <x:c r="C13" s="2" t="str">
        <x:v>Published</x:v>
      </x:c>
      <x:c r="D13" s="2" t="str">
        <x:v>Final classification</x:v>
      </x:c>
      <x:c r="E13" s="2" t="str">
        <x:v>R1/R2</x:v>
      </x:c>
      <x:c r="F13" s="2" t="str">
        <x:v>EM3</x:v>
      </x:c>
      <x:c r="G13" s="2" t="n">
        <x:f>VALUE(RIGHT(F13,1))/5</x:f>
        <x:v>0.6</x:v>
      </x:c>
      <x:c r="H13" s="2" t="n">
        <x:v>5</x:v>
      </x:c>
      <x:c r="I13" s="6" t="str">
        <x:v>所有评价均基于公开benchmark数据集（CM1、EasyClinic、CCHIT）在受控学术环境中进行，未报告工业部署、真实用户采纳或持续使用（E4/E5），最高证据成熟度为E3。</x:v>
      </x:c>
      <x:c r="J13" s="6" t="str">
        <x:v>S13-EV1: 第21–28页，Section 6.1; S13-EV2: 第28–31页，Section 6.2，Table 6; S13-EV3: 第31页及后续（文本截断），Section 6.3; S13-EV4: 第17页提及数据集，第31页后可能涉及结果，文本截断; S13-EV5: 第20–21页（基线描述），第28页后（结果），文本截断</x:v>
      </x:c>
      <x:c r="K13" s="2" t="str">
        <x:v>2026-07-25 00:00:00</x:v>
      </x:c>
      <x:c r="L13" s="6" t="str">
        <x:v>NR</x:v>
      </x:c>
    </x:row>
    <x:row r="14" ht="76" customHeight="1">
      <x:c r="A14" s="2" t="str">
        <x:v>S13</x:v>
      </x:c>
      <x:c r="B14" s="2" t="str">
        <x:v>merged_1140</x:v>
      </x:c>
      <x:c r="C14" s="2" t="str">
        <x:v>Published</x:v>
      </x:c>
      <x:c r="D14" s="2" t="str">
        <x:v>Final classification</x:v>
      </x:c>
      <x:c r="E14" s="2" t="str">
        <x:v>R1/R2</x:v>
      </x:c>
      <x:c r="F14" s="2" t="str">
        <x:v>EM3</x:v>
      </x:c>
      <x:c r="G14" s="2" t="n">
        <x:f>VALUE(RIGHT(F14,1))/5</x:f>
        <x:v>0.6</x:v>
      </x:c>
      <x:c r="H14" s="2" t="n">
        <x:v>4</x:v>
      </x:c>
      <x:c r="I14" s="6" t="str">
        <x:v>所有评价均在公开数据集上进行受控实验，属于学术环境下的系统比较，没有工业案例研究或组织采纳证据。</x:v>
      </x:c>
      <x:c r="J14" s="6" t="str">
        <x:v>S14-EV1: Section 5.1, pages 21-23; S14-EV2: Section 5.2, pages 23-24; S14-EV3: Section 5.3, pages 24-26; S14-EV4: Section 5.4, pages 27-28</x:v>
      </x:c>
      <x:c r="K14" s="2" t="str">
        <x:v>2026-07-25 00:00:00</x:v>
      </x:c>
      <x:c r="L14" s="6" t="str">
        <x:v>NR</x:v>
      </x:c>
    </x:row>
    <x:row r="15" ht="76" customHeight="1">
      <x:c r="A15" s="2" t="str">
        <x:v>S14</x:v>
      </x:c>
      <x:c r="B15" s="2" t="str">
        <x:v>merged_1142-v1</x:v>
      </x:c>
      <x:c r="C15" s="2" t="str">
        <x:v>Grey literature</x:v>
      </x:c>
      <x:c r="D15" s="2" t="str">
        <x:v>Final classification</x:v>
      </x:c>
      <x:c r="E15" s="2" t="str">
        <x:v>R1/R2</x:v>
      </x:c>
      <x:c r="F15" s="2" t="str">
        <x:v>EM3</x:v>
      </x:c>
      <x:c r="G15" s="2" t="n">
        <x:f>VALUE(RIGHT(F15,1))/5</x:f>
        <x:v>0.6</x:v>
      </x:c>
      <x:c r="H15" s="2" t="n">
        <x:v>2</x:v>
      </x:c>
      <x:c r="I15" s="6" t="str">
        <x:v>所有评价均在公开数据集上离线进行，未涉及工业采纳或真实企业环境，最高成熟度为学术受控研究（E3）。</x:v>
      </x:c>
      <x:c r="J15" s="6" t="str">
        <x:v>S15-EV1: 第3节实验研究; S15-EV2: 第4节案例研究及实验结果</x:v>
      </x:c>
      <x:c r="K15" s="2" t="str">
        <x:v>2026-07-25 00:00:00</x:v>
      </x:c>
      <x:c r="L15" s="6" t="str">
        <x:v>NR</x:v>
      </x:c>
    </x:row>
    <x:row r="16" ht="76" customHeight="1">
      <x:c r="A16" s="2" t="str">
        <x:v>S15</x:v>
      </x:c>
      <x:c r="B16" s="2" t="str">
        <x:v>merged_1143</x:v>
      </x:c>
      <x:c r="C16" s="2" t="str">
        <x:v>Published</x:v>
      </x:c>
      <x:c r="D16" s="2" t="str">
        <x:v>Final classification</x:v>
      </x:c>
      <x:c r="E16" s="2" t="str">
        <x:v>R1/R2</x:v>
      </x:c>
      <x:c r="F16" s="2" t="str">
        <x:v>EM3</x:v>
      </x:c>
      <x:c r="G16" s="2" t="n">
        <x:f>VALUE(RIGHT(F16,1))/5</x:f>
        <x:v>0.6</x:v>
      </x:c>
      <x:c r="H16" s="2" t="n">
        <x:v>3</x:v>
      </x:c>
      <x:c r="I16" s="6" t="str">
        <x:v>All evaluations are performed in an academic setting using student interview transcripts, manual annotations, and offline benchmarks. There is no evidence of real-world industrial adoption, pilot, or continued use (E4/E5).</x:v>
      </x:c>
      <x:c r="J16" s="6" t="str">
        <x:v>S16-EV1: P4 Section IV.A; P5 Results RQ1; S16-EV2: P4 Section IV.A (RQ2); P5 Results RQ2; S16-EV3: P4 Section IV.B; P5-P6 Results RQ3; P6-P7 Discussion</x:v>
      </x:c>
      <x:c r="K16" s="2" t="str">
        <x:v>2026-07-25 00:00:00</x:v>
      </x:c>
      <x:c r="L16" s="6" t="str">
        <x:v>NR</x:v>
      </x:c>
    </x:row>
    <x:row r="17" ht="76" customHeight="1">
      <x:c r="A17" s="2" t="str">
        <x:v>S16</x:v>
      </x:c>
      <x:c r="B17" s="2" t="str">
        <x:v>merged_1144</x:v>
      </x:c>
      <x:c r="C17" s="2" t="str">
        <x:v>Published</x:v>
      </x:c>
      <x:c r="D17" s="2" t="str">
        <x:v>Final classification</x:v>
      </x:c>
      <x:c r="E17" s="2" t="str">
        <x:v>R1/R2</x:v>
      </x:c>
      <x:c r="F17" s="2" t="str">
        <x:v>EM3</x:v>
      </x:c>
      <x:c r="G17" s="2" t="n">
        <x:f>VALUE(RIGHT(F17,1))/5</x:f>
        <x:v>0.6</x:v>
      </x:c>
      <x:c r="H17" s="2" t="n">
        <x:v>3</x:v>
      </x:c>
      <x:c r="I17" s="6" t="str">
        <x:v>All evaluations are conducted on publicly available open-source project data using standard benchmarking practices. There is no evidence of industrial pilot, deployment, or organizational adoption beyond academic experimentation.</x:v>
      </x:c>
      <x:c r="J17" s="6" t="str">
        <x:v>S17-EV1: Pages 8–9, Section 6.1 (Tables 2 and 4); S17-EV2: Pages 9–10, Section 6.2 (Tables 3–5); S17-EV3: Pages 9–10, Section 6.3 (Table 6, Figure 4)</x:v>
      </x:c>
      <x:c r="K17" s="2" t="str">
        <x:v>2026-07-25 00:00:00</x:v>
      </x:c>
      <x:c r="L17" s="6" t="str">
        <x:v>NR</x:v>
      </x:c>
    </x:row>
    <x:row r="18" ht="76" customHeight="1">
      <x:c r="A18" s="2" t="str">
        <x:v>S17</x:v>
      </x:c>
      <x:c r="B18" s="2" t="str">
        <x:v>merged_1148-v1</x:v>
      </x:c>
      <x:c r="C18" s="2" t="str">
        <x:v>Grey literature</x:v>
      </x:c>
      <x:c r="D18" s="2" t="str">
        <x:v>Final classification</x:v>
      </x:c>
      <x:c r="E18" s="2" t="str">
        <x:v>R1/R2</x:v>
      </x:c>
      <x:c r="F18" s="2" t="str">
        <x:v>EM3</x:v>
      </x:c>
      <x:c r="G18" s="2" t="n">
        <x:f>VALUE(RIGHT(F18,1))/5</x:f>
        <x:v>0.6</x:v>
      </x:c>
      <x:c r="H18" s="2" t="n">
        <x:v>2</x:v>
      </x:c>
      <x:c r="I18" s="6" t="str">
        <x:v>两项评估均在学术环境中基于公开benchmark进行受控比较，最高证据成熟度为E3；无工业案例或真实组织采纳证据。</x:v>
      </x:c>
      <x:c r="J18" s="6" t="str">
        <x:v>S18-EV1: 第8页; S18-EV2: 第8-9页，表II</x:v>
      </x:c>
      <x:c r="K18" s="2" t="str">
        <x:v>2026-07-25 00:00:00</x:v>
      </x:c>
      <x:c r="L18" s="6" t="str">
        <x:v>NR</x:v>
      </x:c>
    </x:row>
    <x:row r="19" ht="76" customHeight="1">
      <x:c r="A19" s="2" t="str">
        <x:v>S18</x:v>
      </x:c>
      <x:c r="B19" s="2" t="str">
        <x:v>merged_1149</x:v>
      </x:c>
      <x:c r="C19" s="2" t="str">
        <x:v>Published</x:v>
      </x:c>
      <x:c r="D19" s="2" t="str">
        <x:v>Final classification</x:v>
      </x:c>
      <x:c r="E19" s="2" t="str">
        <x:v>R1/R2</x:v>
      </x:c>
      <x:c r="F19" s="2" t="str">
        <x:v>EM3</x:v>
      </x:c>
      <x:c r="G19" s="2" t="n">
        <x:f>VALUE(RIGHT(F19,1))/5</x:f>
        <x:v>0.6</x:v>
      </x:c>
      <x:c r="H19" s="2" t="n">
        <x:v>4</x:v>
      </x:c>
      <x:c r="I19" s="6" t="str">
        <x:v>所有评价均在学术环境中的公开或自建benchmark上进行系统比较，无工业试点或组织采纳的证据。</x:v>
      </x:c>
      <x:c r="J19" s="6" t="str">
        <x:v>S19-EV1: 第15-16页 Section 4.5, Table 4; S19-EV2: 第16-17页 Section 4.6, Table 5, Figure 5; S19-EV3: 第17页 Section 4.7（节标题）; S19-EV4: 第18页 Section 4.8（标题及部分内容）</x:v>
      </x:c>
      <x:c r="K19" s="2" t="str">
        <x:v>2026-07-25 00:00:00</x:v>
      </x:c>
      <x:c r="L19" s="6" t="str">
        <x:v>NR</x:v>
      </x:c>
    </x:row>
    <x:row r="20" ht="76" customHeight="1">
      <x:c r="A20" s="2" t="str">
        <x:v>S19</x:v>
      </x:c>
      <x:c r="B20" s="2" t="str">
        <x:v>merged_1150</x:v>
      </x:c>
      <x:c r="C20" s="2" t="str">
        <x:v>Published</x:v>
      </x:c>
      <x:c r="D20" s="2" t="str">
        <x:v>Final classification</x:v>
      </x:c>
      <x:c r="E20" s="2" t="str">
        <x:v>R1/R2</x:v>
      </x:c>
      <x:c r="F20" s="2" t="str">
        <x:v>EM3</x:v>
      </x:c>
      <x:c r="G20" s="2" t="n">
        <x:f>VALUE(RIGHT(F20,1))/5</x:f>
        <x:v>0.6</x:v>
      </x:c>
      <x:c r="H20" s="2" t="n">
        <x:v>1</x:v>
      </x:c>
      <x:c r="I20" s="6" t="str">
        <x:v>所有评价均为学术环境下的受控实验，未涉及工业案例或组织采纳。</x:v>
      </x:c>
      <x:c r="J20" s="6" t="str">
        <x:v>S20-EV1: 第2-4页, III 和 IV</x:v>
      </x:c>
      <x:c r="K20" s="2" t="str">
        <x:v>2026-07-25 00:00:00</x:v>
      </x:c>
      <x:c r="L20" s="6" t="str">
        <x:v>NR</x:v>
      </x:c>
    </x:row>
    <x:row r="21" ht="76" customHeight="1">
      <x:c r="A21" s="2" t="str">
        <x:v>S20</x:v>
      </x:c>
      <x:c r="B21" s="2" t="str">
        <x:v>merged_1151-v1</x:v>
      </x:c>
      <x:c r="C21" s="2" t="str">
        <x:v>Grey literature</x:v>
      </x:c>
      <x:c r="D21" s="2" t="str">
        <x:v>Final classification</x:v>
      </x:c>
      <x:c r="E21" s="2" t="str">
        <x:v>R1/R2</x:v>
      </x:c>
      <x:c r="F21" s="2" t="str">
        <x:v>EM3</x:v>
      </x:c>
      <x:c r="G21" s="2" t="n">
        <x:f>VALUE(RIGHT(F21,1))/5</x:f>
        <x:v>0.6</x:v>
      </x:c>
      <x:c r="H21" s="2" t="n">
        <x:v>2</x:v>
      </x:c>
      <x:c r="I21" s="6" t="str">
        <x:v>所有评价均为离线基准实验，在学术环境中使用现有数据集和自动指标，未提供工业案例、真实用户采纳或持续工程使用证据，因此最高为E3。</x:v>
      </x:c>
      <x:c r="J21" s="6" t="str">
        <x:v>S21-EV1: 第18页图8及相应文字（第17-18页）。; S21-EV2: 第18-20页表5、表6及图9，第18页“5.2 Results”节。</x:v>
      </x:c>
      <x:c r="K21" s="2" t="str">
        <x:v>2026-07-25 00:00:00</x:v>
      </x:c>
      <x:c r="L21" s="6" t="str">
        <x:v>NR</x:v>
      </x:c>
    </x:row>
    <x:row r="22" ht="76" customHeight="1">
      <x:c r="A22" s="2" t="str">
        <x:v>S21</x:v>
      </x:c>
      <x:c r="B22" s="2" t="str">
        <x:v>merged_1152</x:v>
      </x:c>
      <x:c r="C22" s="2" t="str">
        <x:v>Published</x:v>
      </x:c>
      <x:c r="D22" s="2" t="str">
        <x:v>Final classification</x:v>
      </x:c>
      <x:c r="E22" s="2" t="str">
        <x:v>R1/R2</x:v>
      </x:c>
      <x:c r="F22" s="2" t="str">
        <x:v>EM3</x:v>
      </x:c>
      <x:c r="G22" s="2" t="n">
        <x:f>VALUE(RIGHT(F22,1))/5</x:f>
        <x:v>0.6</x:v>
      </x:c>
      <x:c r="H22" s="2" t="n">
        <x:v>2</x:v>
      </x:c>
      <x:c r="I22" s="6" t="str">
        <x:v>所有评价均为学术受控环境下的实验，使用公开数据集和标准指标，未涉及工业或实际采纳。</x:v>
      </x:c>
      <x:c r="J22" s="6" t="str">
        <x:v>S22-EV1: 第4-5页，表2; S22-EV2: 第6页，表3</x:v>
      </x:c>
      <x:c r="K22" s="2" t="str">
        <x:v>2026-07-25 00:00:00</x:v>
      </x:c>
      <x:c r="L22" s="6" t="str">
        <x:v>NR</x:v>
      </x:c>
    </x:row>
    <x:row r="23" ht="76" customHeight="1">
      <x:c r="A23" s="2" t="str">
        <x:v>S22</x:v>
      </x:c>
      <x:c r="B23" s="2" t="str">
        <x:v>merged_1154-v1</x:v>
      </x:c>
      <x:c r="C23" s="2" t="str">
        <x:v>Grey literature</x:v>
      </x:c>
      <x:c r="D23" s="2" t="str">
        <x:v>Final classification</x:v>
      </x:c>
      <x:c r="E23" s="2" t="str">
        <x:v>R1/R2</x:v>
      </x:c>
      <x:c r="F23" s="2" t="str">
        <x:v>EM3</x:v>
      </x:c>
      <x:c r="G23" s="2" t="n">
        <x:f>VALUE(RIGHT(F23,1))/5</x:f>
        <x:v>0.6</x:v>
      </x:c>
      <x:c r="H23" s="2" t="n">
        <x:v>2</x:v>
      </x:c>
      <x:c r="I23" s="6" t="str">
        <x:v>两个实证研究均在学术环境中进行受控实验，使用公开基准和合成规格，未涉及真实企业部署或持续采用，因此最高为E3。</x:v>
      </x:c>
      <x:c r="J23" s="6" t="str">
        <x:v>S23-EV1: Section VII.A, Section IX.A; S23-EV2: Section VII.B, Section IX.B-D</x:v>
      </x:c>
      <x:c r="K23" s="2" t="str">
        <x:v>2026-07-25 00:00:00</x:v>
      </x:c>
      <x:c r="L23" s="6" t="str">
        <x:v>NR</x:v>
      </x:c>
    </x:row>
    <x:row r="24" ht="76" customHeight="1">
      <x:c r="A24" s="2" t="str">
        <x:v>S23</x:v>
      </x:c>
      <x:c r="B24" s="2" t="str">
        <x:v>merged_1156</x:v>
      </x:c>
      <x:c r="C24" s="2" t="str">
        <x:v>Published</x:v>
      </x:c>
      <x:c r="D24" s="2" t="str">
        <x:v>Final classification</x:v>
      </x:c>
      <x:c r="E24" s="2" t="str">
        <x:v>R1/R2</x:v>
      </x:c>
      <x:c r="F24" s="2" t="str">
        <x:v>EM3</x:v>
      </x:c>
      <x:c r="G24" s="2" t="n">
        <x:f>VALUE(RIGHT(F24,1))/5</x:f>
        <x:v>0.6</x:v>
      </x:c>
      <x:c r="H24" s="2" t="n">
        <x:v>1</x:v>
      </x:c>
      <x:c r="I24" s="6" t="str">
        <x:v>The experiment is a controlled benchmark study using a public dataset and systematic comparisons; it does not involve industrial case studies or organizational adoption. Hence, the highest maturity across all evaluations is E3.</x:v>
      </x:c>
      <x:c r="J24" s="6" t="str">
        <x:v>S24-EV1: Pages 5–7, Section III.E and Section IV</x:v>
      </x:c>
      <x:c r="K24" s="2" t="str">
        <x:v>2026-07-25 00:00:00</x:v>
      </x:c>
      <x:c r="L24" s="6" t="str">
        <x:v>NR</x:v>
      </x:c>
    </x:row>
    <x:row r="25" ht="76" customHeight="1">
      <x:c r="A25" s="2" t="str">
        <x:v>S24</x:v>
      </x:c>
      <x:c r="B25" s="2" t="str">
        <x:v>merged_1172</x:v>
      </x:c>
      <x:c r="C25" s="2" t="str">
        <x:v>Published</x:v>
      </x:c>
      <x:c r="D25" s="2" t="str">
        <x:v>Final classification</x:v>
      </x:c>
      <x:c r="E25" s="2" t="str">
        <x:v>R1/R2</x:v>
      </x:c>
      <x:c r="F25" s="2" t="str">
        <x:v>EM3</x:v>
      </x:c>
      <x:c r="G25" s="2" t="n">
        <x:f>VALUE(RIGHT(F25,1))/5</x:f>
        <x:v>0.6</x:v>
      </x:c>
      <x:c r="H25" s="2" t="n">
        <x:v>1</x:v>
      </x:c>
      <x:c r="I25" s="6" t="str">
        <x:v>The highest evidence maturity is from the academic benchmark evaluation (E3). The pipeline has not been tested in an industrial or real operational setting.</x:v>
      </x:c>
      <x:c r="J25" s="6" t="str">
        <x:v>S25-EV1: Pages 4-8, Sections 3 and 4</x:v>
      </x:c>
      <x:c r="K25" s="2" t="str">
        <x:v>2026-07-25 00:00:00</x:v>
      </x:c>
      <x:c r="L25" s="6" t="str">
        <x:v>NR</x:v>
      </x:c>
    </x:row>
    <x:row r="26" ht="76" customHeight="1">
      <x:c r="A26" s="2" t="str">
        <x:v>S25</x:v>
      </x:c>
      <x:c r="B26" s="2" t="str">
        <x:v>merged_1185</x:v>
      </x:c>
      <x:c r="C26" s="2" t="str">
        <x:v>Published</x:v>
      </x:c>
      <x:c r="D26" s="2" t="str">
        <x:v>Final classification</x:v>
      </x:c>
      <x:c r="E26" s="2" t="str">
        <x:v>R1/R2</x:v>
      </x:c>
      <x:c r="F26" s="2" t="str">
        <x:v>EM4</x:v>
      </x:c>
      <x:c r="G26" s="2" t="n">
        <x:f>VALUE(RIGHT(F26,1))/5</x:f>
        <x:v>0.8</x:v>
      </x:c>
      <x:c r="H26" s="2" t="n">
        <x:v>1</x:v>
      </x:c>
      <x:c r="I26" s="6" t="str">
        <x:v>论文中的主要评价是对实际SAP迁移项目的工业案例研究，达到了E4。没有证据表明系统已被持续采纳或重复使用，故未达到E5。</x:v>
      </x:c>
      <x:c r="J26" s="6" t="str">
        <x:v>S26-EV1: 第5页III.G节到第7页IV节</x:v>
      </x:c>
      <x:c r="K26" s="2" t="str">
        <x:v>2026-07-25 00:00:00</x:v>
      </x:c>
      <x:c r="L26" s="6" t="str">
        <x:v>NR</x:v>
      </x:c>
    </x:row>
    <x:row r="27" ht="76" customHeight="1">
      <x:c r="A27" s="2" t="str">
        <x:v>S26</x:v>
      </x:c>
      <x:c r="B27" s="2" t="str">
        <x:v>merged_1212</x:v>
      </x:c>
      <x:c r="C27" s="2" t="str">
        <x:v>Published</x:v>
      </x:c>
      <x:c r="D27" s="2" t="str">
        <x:v>Final classification</x:v>
      </x:c>
      <x:c r="E27" s="2" t="str">
        <x:v>R1/R2</x:v>
      </x:c>
      <x:c r="F27" s="2" t="str">
        <x:v>EM3</x:v>
      </x:c>
      <x:c r="G27" s="2" t="n">
        <x:f>VALUE(RIGHT(F27,1))/5</x:f>
        <x:v>0.6</x:v>
      </x:c>
      <x:c r="H27" s="2" t="n">
        <x:v>4</x:v>
      </x:c>
      <x:c r="I27" s="6" t="str">
        <x:v>RQ1的评估达到学术受控比较（E3），为所有评价中最高成熟度。</x:v>
      </x:c>
      <x:c r="J27" s="6" t="str">
        <x:v>S27-EV1: P3 III.A</x:v>
      </x:c>
      <x:c r="K27" s="2" t="str">
        <x:v>2026-07-25 00:00:00</x:v>
      </x:c>
      <x:c r="L27" s="6" t="str">
        <x:v>NR</x:v>
      </x:c>
    </x:row>
    <x:row r="28" ht="76" customHeight="1">
      <x:c r="A28" s="2" t="str">
        <x:v>S27</x:v>
      </x:c>
      <x:c r="B28" s="2" t="str">
        <x:v>merged_1213</x:v>
      </x:c>
      <x:c r="C28" s="2" t="str">
        <x:v>Published</x:v>
      </x:c>
      <x:c r="D28" s="2" t="str">
        <x:v>Final classification</x:v>
      </x:c>
      <x:c r="E28" s="2" t="str">
        <x:v>R1/R2</x:v>
      </x:c>
      <x:c r="F28" s="2" t="str">
        <x:v>EM3</x:v>
      </x:c>
      <x:c r="G28" s="2" t="n">
        <x:f>VALUE(RIGHT(F28,1))/5</x:f>
        <x:v>0.6</x:v>
      </x:c>
      <x:c r="H28" s="2" t="n">
        <x:v>3</x:v>
      </x:c>
      <x:c r="I28" s="6" t="str">
        <x:v>All evaluations are conducted on public benchmark datasets in an academic setting with systematic comparisons, corresponding to E3 (controlled study in academic environment). There is no evidence of industrial case studies (E4) or organizational adoption (E5).</x:v>
      </x:c>
      <x:c r="J28" s="6" t="str">
        <x:v>S28-EV1: Page 4–5, Section IV-D1, Table II, Figure 2; S28-EV2: Page 5–6, Section IV-D2, Table IV, Figure 3; S28-EV3: Page 5–6, Section IV-D3, Table V</x:v>
      </x:c>
      <x:c r="K28" s="2" t="str">
        <x:v>2026-07-25 00:00:00</x:v>
      </x:c>
      <x:c r="L28" s="6" t="str">
        <x:v>NR</x:v>
      </x:c>
    </x:row>
    <x:row r="29" ht="76" customHeight="1">
      <x:c r="A29" s="2" t="str">
        <x:v>S28</x:v>
      </x:c>
      <x:c r="B29" s="2" t="str">
        <x:v>merged_1214</x:v>
      </x:c>
      <x:c r="C29" s="2" t="str">
        <x:v>Published</x:v>
      </x:c>
      <x:c r="D29" s="2" t="str">
        <x:v>Final classification</x:v>
      </x:c>
      <x:c r="E29" s="2" t="str">
        <x:v>R1/R2</x:v>
      </x:c>
      <x:c r="F29" s="2" t="str">
        <x:v>EM3</x:v>
      </x:c>
      <x:c r="G29" s="2" t="n">
        <x:f>VALUE(RIGHT(F29,1))/5</x:f>
        <x:v>0.6</x:v>
      </x:c>
      <x:c r="H29" s="2" t="n">
        <x:v>1</x:v>
      </x:c>
      <x:c r="I29" s="6" t="str">
        <x:v>所有评价均基于离线基准数据集，未涉及真实用户、工作流或组织采纳。</x:v>
      </x:c>
      <x:c r="J29" s="6" t="str">
        <x:v>S29-EV1: Section 5, pages 11-15</x:v>
      </x:c>
      <x:c r="K29" s="2" t="str">
        <x:v>2026-07-25 00:00:00</x:v>
      </x:c>
      <x:c r="L29" s="6" t="str">
        <x:v>NR</x:v>
      </x:c>
    </x:row>
    <x:row r="30" ht="76" customHeight="1">
      <x:c r="A30" s="2" t="str">
        <x:v>S29</x:v>
      </x:c>
      <x:c r="B30" s="2" t="str">
        <x:v>merged_1215-v4</x:v>
      </x:c>
      <x:c r="C30" s="2" t="str">
        <x:v>Grey literature</x:v>
      </x:c>
      <x:c r="D30" s="2" t="str">
        <x:v>Final classification</x:v>
      </x:c>
      <x:c r="E30" s="2" t="str">
        <x:v>R1/R2</x:v>
      </x:c>
      <x:c r="F30" s="2" t="str">
        <x:v>EM3</x:v>
      </x:c>
      <x:c r="G30" s="2" t="n">
        <x:f>VALUE(RIGHT(F30,1))/5</x:f>
        <x:v>0.6</x:v>
      </x:c>
      <x:c r="H30" s="2" t="n">
        <x:v>4</x:v>
      </x:c>
      <x:c r="I30" s="6" t="str">
        <x:v>所有主要评价均在由工业数据构建的离线数据集上进行，未报告在真实企业工作流中的试点或持续采用。因此最高证据成熟度为E3（学术环境中的受控研究）。</x:v>
      </x:c>
      <x:c r="J30" s="6" t="str">
        <x:v>S30-EV1: Section 5.1, pages 15-16; S30-EV2: Section 5.2, pages 16-19; S30-EV3: Section 5.3, pages 19-20; S30-EV4: Section 5.4, pages 20-21</x:v>
      </x:c>
      <x:c r="K30" s="2" t="str">
        <x:v>2026-07-25 00:00:00</x:v>
      </x:c>
      <x:c r="L30" s="6" t="str">
        <x:v>NR</x:v>
      </x:c>
    </x:row>
    <x:row r="31" ht="76" customHeight="1">
      <x:c r="A31" s="2" t="str">
        <x:v>S30</x:v>
      </x:c>
      <x:c r="B31" s="2" t="str">
        <x:v>merged_1218</x:v>
      </x:c>
      <x:c r="C31" s="2" t="str">
        <x:v>Published</x:v>
      </x:c>
      <x:c r="D31" s="2" t="str">
        <x:v>Final classification</x:v>
      </x:c>
      <x:c r="E31" s="2" t="str">
        <x:v>R1/R2</x:v>
      </x:c>
      <x:c r="F31" s="2" t="str">
        <x:v>EM3</x:v>
      </x:c>
      <x:c r="G31" s="2" t="n">
        <x:f>VALUE(RIGHT(F31,1))/5</x:f>
        <x:v>0.6</x:v>
      </x:c>
      <x:c r="H31" s="2" t="n">
        <x:v>2</x:v>
      </x:c>
      <x:c r="I31" s="6" t="str">
        <x:v>Both user validations are controlled research studies with participants from industry but conducted in academic settings without evidence of organizational adoption or continuous real-world usage. The highest maturity level achieved is E3.</x:v>
      </x:c>
      <x:c r="J31" s="6" t="str">
        <x:v>S31-EV1: Section IV (Validation of GDI for onboarding); S31-EV2: Section V (Validation of GDI for trace link recovery)</x:v>
      </x:c>
      <x:c r="K31" s="2" t="str">
        <x:v>2026-07-25 00:00:00</x:v>
      </x:c>
      <x:c r="L31" s="6" t="str">
        <x:v>NR</x:v>
      </x:c>
    </x:row>
    <x:row r="32" ht="76" customHeight="1">
      <x:c r="A32" s="2" t="str">
        <x:v>S31</x:v>
      </x:c>
      <x:c r="B32" s="2" t="str">
        <x:v>merged_1219</x:v>
      </x:c>
      <x:c r="C32" s="2" t="str">
        <x:v>Published</x:v>
      </x:c>
      <x:c r="D32" s="2" t="str">
        <x:v>Final classification</x:v>
      </x:c>
      <x:c r="E32" s="2" t="str">
        <x:v>R1/R2</x:v>
      </x:c>
      <x:c r="F32" s="2" t="str">
        <x:v>EM3</x:v>
      </x:c>
      <x:c r="G32" s="2" t="n">
        <x:f>VALUE(RIGHT(F32,1))/5</x:f>
        <x:v>0.6</x:v>
      </x:c>
      <x:c r="H32" s="2" t="n">
        <x:v>1</x:v>
      </x:c>
      <x:c r="I32" s="6" t="str">
        <x:v>实验为学术环境中的受控研究，属于系统比较（E3），无证据表明在真实企业项目中被采纳或持续使用。</x:v>
      </x:c>
      <x:c r="J32" s="6" t="str">
        <x:v>S32-EV1: 第4-7页/III-C至IV节</x:v>
      </x:c>
      <x:c r="K32" s="2" t="str">
        <x:v>2026-07-25 00:00:00</x:v>
      </x:c>
      <x:c r="L32" s="6" t="str">
        <x:v>NR</x:v>
      </x:c>
    </x:row>
    <x:row r="33" ht="76" customHeight="1">
      <x:c r="A33" s="2" t="str">
        <x:v>S32</x:v>
      </x:c>
      <x:c r="B33" s="2" t="str">
        <x:v>merged_1220</x:v>
      </x:c>
      <x:c r="C33" s="2" t="str">
        <x:v>Published</x:v>
      </x:c>
      <x:c r="D33" s="2" t="str">
        <x:v>Final classification</x:v>
      </x:c>
      <x:c r="E33" s="2" t="str">
        <x:v>R1/R2</x:v>
      </x:c>
      <x:c r="F33" s="2" t="str">
        <x:v>EM2</x:v>
      </x:c>
      <x:c r="G33" s="2" t="n">
        <x:f>VALUE(RIGHT(F33,1))/5</x:f>
        <x:v>0.4</x:v>
      </x:c>
      <x:c r="H33" s="2" t="n">
        <x:v>1</x:v>
      </x:c>
      <x:c r="I33" s="6" t="str">
        <x:v>The only evaluation is a qualitative demonstration on a small set of requirements, lacking controlled comparisons, real-world deployment, or empirical performance data.</x:v>
      </x:c>
      <x:c r="J33" s="6" t="str">
        <x:v>S33-EV1: Section IV-C (page 170), Table I, and Figure 7</x:v>
      </x:c>
      <x:c r="K33" s="2" t="str">
        <x:v>2026-07-25 00:00:00</x:v>
      </x:c>
      <x:c r="L33" s="6" t="str">
        <x:v>NR</x:v>
      </x:c>
    </x:row>
    <x:row r="34" ht="76" customHeight="1">
      <x:c r="A34" s="2" t="str">
        <x:v>S33</x:v>
      </x:c>
      <x:c r="B34" s="2" t="str">
        <x:v>merged_1222</x:v>
      </x:c>
      <x:c r="C34" s="2" t="str">
        <x:v>Published</x:v>
      </x:c>
      <x:c r="D34" s="2" t="str">
        <x:v>Final classification</x:v>
      </x:c>
      <x:c r="E34" s="2" t="str">
        <x:v>R1/R2</x:v>
      </x:c>
      <x:c r="F34" s="2" t="str">
        <x:v>EM3</x:v>
      </x:c>
      <x:c r="G34" s="2" t="n">
        <x:f>VALUE(RIGHT(F34,1))/5</x:f>
        <x:v>0.6</x:v>
      </x:c>
      <x:c r="H34" s="2" t="n">
        <x:v>1</x:v>
      </x:c>
      <x:c r="I34" s="6" t="str">
        <x:v>研究仅包含一个受控学术实验，无工业案例或组织采纳证据，最高成熟度为E3。</x:v>
      </x:c>
      <x:c r="J34" s="6" t="str">
        <x:v>S34-EV1: 第5-8页IV节Results</x:v>
      </x:c>
      <x:c r="K34" s="2" t="str">
        <x:v>2026-07-25 00:00:00</x:v>
      </x:c>
      <x:c r="L34" s="6" t="str">
        <x:v>NR</x:v>
      </x:c>
    </x:row>
    <x:row r="35" ht="76" customHeight="1">
      <x:c r="A35" s="2" t="str">
        <x:v>S34</x:v>
      </x:c>
      <x:c r="B35" s="2" t="str">
        <x:v>merged_1224-v1</x:v>
      </x:c>
      <x:c r="C35" s="2" t="str">
        <x:v>Grey literature</x:v>
      </x:c>
      <x:c r="D35" s="2" t="str">
        <x:v>Final classification</x:v>
      </x:c>
      <x:c r="E35" s="2" t="str">
        <x:v>R1/R2</x:v>
      </x:c>
      <x:c r="F35" s="2" t="str">
        <x:v>EM3</x:v>
      </x:c>
      <x:c r="G35" s="2" t="n">
        <x:f>VALUE(RIGHT(F35,1))/5</x:f>
        <x:v>0.6</x:v>
      </x:c>
      <x:c r="H35" s="2" t="n">
        <x:v>1</x:v>
      </x:c>
      <x:c r="I35" s="6" t="str">
        <x:v>所有评价均在学术环境中进行，使用自制数据集而非真实工业案例或用户采纳证据，最高成熟度为E3。</x:v>
      </x:c>
      <x:c r="J35" s="6" t="str">
        <x:v>S35-EV1: 第3-11页方法论、第11-27页结果</x:v>
      </x:c>
      <x:c r="K35" s="2" t="str">
        <x:v>2026-07-25 00:00:00</x:v>
      </x:c>
      <x:c r="L35" s="6" t="str">
        <x:v>NR</x:v>
      </x:c>
    </x:row>
    <x:row r="36" ht="76" customHeight="1">
      <x:c r="A36" s="2" t="str">
        <x:v>S35</x:v>
      </x:c>
      <x:c r="B36" s="2" t="str">
        <x:v>merged_1225</x:v>
      </x:c>
      <x:c r="C36" s="2" t="str">
        <x:v>Published</x:v>
      </x:c>
      <x:c r="D36" s="2" t="str">
        <x:v>Final classification</x:v>
      </x:c>
      <x:c r="E36" s="2" t="str">
        <x:v>R1/R2</x:v>
      </x:c>
      <x:c r="F36" s="2" t="str">
        <x:v>EM2</x:v>
      </x:c>
      <x:c r="G36" s="2" t="n">
        <x:f>VALUE(RIGHT(F36,1))/5</x:f>
        <x:v>0.4</x:v>
      </x:c>
      <x:c r="H36" s="2" t="n">
        <x:v>3</x:v>
      </x:c>
      <x:c r="I36" s="6" t="str">
        <x:v>All evaluations rely on expert observation and developer judgment within a single case study; no controlled experiments, established benchmarks, or industrial adoption evidence.</x:v>
      </x:c>
      <x:c r="J36" s="6" t="str">
        <x:v>S36-EV1: Pages 3–4, Figures 3, Table I; S36-EV2: Pages 4–5, Table III; S36-EV3: Page 5, Table IV</x:v>
      </x:c>
      <x:c r="K36" s="2" t="str">
        <x:v>2026-07-25 00:00:00</x:v>
      </x:c>
      <x:c r="L36" s="6" t="str">
        <x:v>NR</x:v>
      </x:c>
    </x:row>
    <x:row r="37" ht="76" customHeight="1">
      <x:c r="A37" s="2" t="str">
        <x:v>S36</x:v>
      </x:c>
      <x:c r="B37" s="2" t="str">
        <x:v>merged_1236</x:v>
      </x:c>
      <x:c r="C37" s="2" t="str">
        <x:v>Published</x:v>
      </x:c>
      <x:c r="D37" s="2" t="str">
        <x:v>Final classification</x:v>
      </x:c>
      <x:c r="E37" s="2" t="str">
        <x:v>R1/R2</x:v>
      </x:c>
      <x:c r="F37" s="2" t="str">
        <x:v>EM3</x:v>
      </x:c>
      <x:c r="G37" s="2" t="n">
        <x:f>VALUE(RIGHT(F37,1))/5</x:f>
        <x:v>0.6</x:v>
      </x:c>
      <x:c r="H37" s="2" t="n">
        <x:v>3</x:v>
      </x:c>
      <x:c r="I37" s="6" t="str">
        <x:v>All evaluations are conducted in an academic environment with offline benchmarks and synthetic test cases. No evidence of pilot deployment, real project use, or organizational adoption is provided. Therefore, the highest evidence maturity is E3.</x:v>
      </x:c>
      <x:c r="J37" s="6" t="str">
        <x:v>S38-EV1: Section V.C, Table II, page 4; S38-EV2: Section V.D, Table III, page 5; S38-EV3: Section V.E, Tables IV–VI, page 5</x:v>
      </x:c>
      <x:c r="K37" s="2" t="str">
        <x:v>2026-07-25 00:00:00</x:v>
      </x:c>
      <x:c r="L37" s="6" t="str">
        <x:v>NR</x:v>
      </x:c>
    </x:row>
    <x:row r="38" ht="76" customHeight="1">
      <x:c r="A38" s="2" t="str">
        <x:v>S37</x:v>
      </x:c>
      <x:c r="B38" s="2" t="str">
        <x:v>merged_1238</x:v>
      </x:c>
      <x:c r="C38" s="2" t="str">
        <x:v>Published</x:v>
      </x:c>
      <x:c r="D38" s="2" t="str">
        <x:v>Final classification</x:v>
      </x:c>
      <x:c r="E38" s="2" t="str">
        <x:v>R1/R2</x:v>
      </x:c>
      <x:c r="F38" s="2" t="str">
        <x:v>EM3</x:v>
      </x:c>
      <x:c r="G38" s="2" t="n">
        <x:f>VALUE(RIGHT(F38,1))/5</x:f>
        <x:v>0.6</x:v>
      </x:c>
      <x:c r="H38" s="2" t="n">
        <x:v>2</x:v>
      </x:c>
      <x:c r="I38" s="6" t="str">
        <x:v>两项评价中最高等级为EV1（E3），因为需求建模质量对比实验在公开数据集上进行了系统比较，提供了定量结果。案例研究仅为E2。</x:v>
      </x:c>
      <x:c r="J38" s="6" t="str">
        <x:v>S39-EV1: 第21-22页（5.2节与表8）</x:v>
      </x:c>
      <x:c r="K38" s="2" t="str">
        <x:v>2026-07-25 00:00:00</x:v>
      </x:c>
      <x:c r="L38" s="6" t="str">
        <x:v>NR</x:v>
      </x:c>
    </x:row>
    <x:row r="39" ht="76" customHeight="1">
      <x:c r="A39" s="2" t="str">
        <x:v>S38</x:v>
      </x:c>
      <x:c r="B39" s="2" t="str">
        <x:v>merged_1241</x:v>
      </x:c>
      <x:c r="C39" s="2" t="str">
        <x:v>Published</x:v>
      </x:c>
      <x:c r="D39" s="2" t="str">
        <x:v>Final classification</x:v>
      </x:c>
      <x:c r="E39" s="2" t="str">
        <x:v>R1/R2</x:v>
      </x:c>
      <x:c r="F39" s="2" t="str">
        <x:v>EM3</x:v>
      </x:c>
      <x:c r="G39" s="2" t="n">
        <x:f>VALUE(RIGHT(F39,1))/5</x:f>
        <x:v>0.6</x:v>
      </x:c>
      <x:c r="H39" s="2" t="n">
        <x:v>4</x:v>
      </x:c>
      <x:c r="I39" s="6" t="str">
        <x:v>所有评价均在学术数据集上离线进行，未涉及真实工业环境中的采用，最高证据成熟度为E3。</x:v>
      </x:c>
      <x:c r="J39" s="6" t="str">
        <x:v>S40-EV1: 第4.1节与5.1节; S40-EV2: 第4.1节与5.2节; S40-EV3: 第4.1节与5.3节; S40-EV4: 第4.1节与5.4节</x:v>
      </x:c>
      <x:c r="K39" s="2" t="str">
        <x:v>2026-07-25 00:00:00</x:v>
      </x:c>
      <x:c r="L39" s="6" t="str">
        <x:v>NR</x:v>
      </x:c>
    </x:row>
    <x:row r="40" ht="76" customHeight="1">
      <x:c r="A40" s="2" t="str">
        <x:v>S39</x:v>
      </x:c>
      <x:c r="B40" s="2" t="str">
        <x:v>merged_1245</x:v>
      </x:c>
      <x:c r="C40" s="2" t="str">
        <x:v>Published</x:v>
      </x:c>
      <x:c r="D40" s="2" t="str">
        <x:v>Final classification</x:v>
      </x:c>
      <x:c r="E40" s="2" t="str">
        <x:v>R1/R2</x:v>
      </x:c>
      <x:c r="F40" s="2" t="str">
        <x:v>EM3</x:v>
      </x:c>
      <x:c r="G40" s="2" t="n">
        <x:f>VALUE(RIGHT(F40,1))/5</x:f>
        <x:v>0.6</x:v>
      </x:c>
      <x:c r="H40" s="2" t="n">
        <x:v>1</x:v>
      </x:c>
      <x:c r="I40" s="6" t="str">
        <x:v>论文仅包含一项已完成的学术受控实验（E3），其余研究问题仍为计划，无更高成熟度证据。</x:v>
      </x:c>
      <x:c r="J40" s="6" t="str">
        <x:v>S41-EV1: 第4页 V. PREVIOUS RESULTS 及图1</x:v>
      </x:c>
      <x:c r="K40" s="2" t="str">
        <x:v>2026-07-25 00:00:00</x:v>
      </x:c>
      <x:c r="L40" s="6" t="str">
        <x:v>NR</x:v>
      </x:c>
    </x:row>
    <x:row r="41" ht="76" customHeight="1">
      <x:c r="A41" s="2" t="str">
        <x:v>S40</x:v>
      </x:c>
      <x:c r="B41" s="2" t="str">
        <x:v>merged_1263</x:v>
      </x:c>
      <x:c r="C41" s="2" t="str">
        <x:v>Published</x:v>
      </x:c>
      <x:c r="D41" s="2" t="str">
        <x:v>Final classification</x:v>
      </x:c>
      <x:c r="E41" s="2" t="str">
        <x:v>R1/R2</x:v>
      </x:c>
      <x:c r="F41" s="2" t="str">
        <x:v>EM3</x:v>
      </x:c>
      <x:c r="G41" s="2" t="n">
        <x:f>VALUE(RIGHT(F41,1))/5</x:f>
        <x:v>0.6</x:v>
      </x:c>
      <x:c r="H41" s="2" t="n">
        <x:v>1</x:v>
      </x:c>
      <x:c r="I41" s="6" t="str">
        <x:v>All evaluations are controlled academic studies on public datasets; no evidence of industrial case studies or adoption.</x:v>
      </x:c>
      <x:c r="J41" s="6" t="str">
        <x:v>S42-EV1: Pages 16-18, Section 4.1 Main Results</x:v>
      </x:c>
      <x:c r="K41" s="2" t="str">
        <x:v>2026-07-25 00:00:00</x:v>
      </x:c>
      <x:c r="L41" s="6" t="str">
        <x:v>NR</x:v>
      </x:c>
    </x:row>
    <x:row r="42" ht="76" customHeight="1">
      <x:c r="A42" s="2" t="str">
        <x:v>S41</x:v>
      </x:c>
      <x:c r="B42" s="2" t="str">
        <x:v>merged_1264</x:v>
      </x:c>
      <x:c r="C42" s="2" t="str">
        <x:v>Published</x:v>
      </x:c>
      <x:c r="D42" s="2" t="str">
        <x:v>Final classification</x:v>
      </x:c>
      <x:c r="E42" s="2" t="str">
        <x:v>R1/R2</x:v>
      </x:c>
      <x:c r="F42" s="2" t="str">
        <x:v>EM3</x:v>
      </x:c>
      <x:c r="G42" s="2" t="n">
        <x:f>VALUE(RIGHT(F42,1))/5</x:f>
        <x:v>0.6</x:v>
      </x:c>
      <x:c r="H42" s="2" t="n">
        <x:v>3</x:v>
      </x:c>
      <x:c r="I42" s="6" t="str">
        <x:v>All evaluations are based on offline benchmark comparisons using public datasets in a controlled academic setting, reaching E3. No evidence of industrial case studies (E4) or organizational adoption (E5) is present.</x:v>
      </x:c>
      <x:c r="J42" s="6" t="str">
        <x:v>S43-EV1: Pages 10-11, Sections 5.1 and 4.3; S43-EV2: Pages 11-12, Section 5.2; S43-EV3: Pages 12-13, Section 5.3</x:v>
      </x:c>
      <x:c r="K42" s="2" t="str">
        <x:v>2026-07-25 00:00:00</x:v>
      </x:c>
      <x:c r="L42" s="6" t="str">
        <x:v>NR</x:v>
      </x:c>
    </x:row>
    <x:row r="43" ht="76" customHeight="1">
      <x:c r="A43" s="2" t="str">
        <x:v>S42</x:v>
      </x:c>
      <x:c r="B43" s="2" t="str">
        <x:v>merged_1266</x:v>
      </x:c>
      <x:c r="C43" s="2" t="str">
        <x:v>Published</x:v>
      </x:c>
      <x:c r="D43" s="2" t="str">
        <x:v>Final classification</x:v>
      </x:c>
      <x:c r="E43" s="2" t="str">
        <x:v>R1/R2</x:v>
      </x:c>
      <x:c r="F43" s="2" t="str">
        <x:v>EM3</x:v>
      </x:c>
      <x:c r="G43" s="2" t="n">
        <x:f>VALUE(RIGHT(F43,1))/5</x:f>
        <x:v>0.6</x:v>
      </x:c>
      <x:c r="H43" s="2" t="n">
        <x:v>1</x:v>
      </x:c>
      <x:c r="I43" s="6" t="str">
        <x:v>所有评价均为在公开数据集上的学术基准测试，无工业试点或实际部署证据。</x:v>
      </x:c>
      <x:c r="J43" s="6" t="str">
        <x:v>S44-EV1: Section 4.2, Pages 8-11</x:v>
      </x:c>
      <x:c r="K43" s="2" t="str">
        <x:v>2026-07-25 00:00:00</x:v>
      </x:c>
      <x:c r="L43" s="6" t="str">
        <x:v>NR</x:v>
      </x:c>
    </x:row>
    <x:row r="44" ht="76" customHeight="1">
      <x:c r="A44" s="2" t="str">
        <x:v>S43</x:v>
      </x:c>
      <x:c r="B44" s="2" t="str">
        <x:v>merged_1270</x:v>
      </x:c>
      <x:c r="C44" s="2" t="str">
        <x:v>Published</x:v>
      </x:c>
      <x:c r="D44" s="2" t="str">
        <x:v>Final classification</x:v>
      </x:c>
      <x:c r="E44" s="2" t="str">
        <x:v>R1/R2</x:v>
      </x:c>
      <x:c r="F44" s="2" t="str">
        <x:v>EM3</x:v>
      </x:c>
      <x:c r="G44" s="2" t="n">
        <x:f>VALUE(RIGHT(F44,1))/5</x:f>
        <x:v>0.6</x:v>
      </x:c>
      <x:c r="H44" s="2" t="n">
        <x:v>3</x:v>
      </x:c>
      <x:c r="I44" s="6" t="str">
        <x:v>所有评价均基于公开数据集离线benchmark，无工业采纳证据。</x:v>
      </x:c>
      <x:c r="J44" s="6" t="str">
        <x:v>S45-EV1: 第8页 V.A节，表IV; S45-EV2: 第9-10页 V.B节，表V; S45-EV3: 第9-10页 V.C节，表VI</x:v>
      </x:c>
      <x:c r="K44" s="2" t="str">
        <x:v>2026-07-25 00:00:00</x:v>
      </x:c>
      <x:c r="L44" s="6" t="str">
        <x:v>NR</x:v>
      </x:c>
    </x:row>
    <x:row r="45" ht="76" customHeight="1">
      <x:c r="A45" s="2" t="str">
        <x:v>S44</x:v>
      </x:c>
      <x:c r="B45" s="2" t="str">
        <x:v>merged_1274</x:v>
      </x:c>
      <x:c r="C45" s="2" t="str">
        <x:v>Published</x:v>
      </x:c>
      <x:c r="D45" s="2" t="str">
        <x:v>Final classification</x:v>
      </x:c>
      <x:c r="E45" s="2" t="str">
        <x:v>R1/R2</x:v>
      </x:c>
      <x:c r="F45" s="2" t="str">
        <x:v>EM3</x:v>
      </x:c>
      <x:c r="G45" s="2" t="n">
        <x:f>VALUE(RIGHT(F45,1))/5</x:f>
        <x:v>0.6</x:v>
      </x:c>
      <x:c r="H45" s="2" t="n">
        <x:v>2</x:v>
      </x:c>
      <x:c r="I45" s="6" t="str">
        <x:v>所有评价均基于公开benchmark的比较实验，无工业试点或持续使用证据，最高证据成熟度为E3。</x:v>
      </x:c>
      <x:c r="J45" s="6" t="str">
        <x:v>S46-EV1: 第4-5页图3、图4; S46-EV2: 第5页表II</x:v>
      </x:c>
      <x:c r="K45" s="2" t="str">
        <x:v>2026-07-25 00:00:00</x:v>
      </x:c>
      <x:c r="L45" s="6" t="str">
        <x:v>NR</x:v>
      </x:c>
    </x:row>
    <x:row r="46" ht="76" customHeight="1">
      <x:c r="A46" s="2" t="str">
        <x:v>S45</x:v>
      </x:c>
      <x:c r="B46" s="2" t="str">
        <x:v>merged_1275</x:v>
      </x:c>
      <x:c r="C46" s="2" t="str">
        <x:v>Published</x:v>
      </x:c>
      <x:c r="D46" s="2" t="str">
        <x:v>Final classification</x:v>
      </x:c>
      <x:c r="E46" s="2" t="str">
        <x:v>R1/R2</x:v>
      </x:c>
      <x:c r="F46" s="2" t="str">
        <x:v>EM3</x:v>
      </x:c>
      <x:c r="G46" s="2" t="n">
        <x:f>VALUE(RIGHT(F46,1))/5</x:f>
        <x:v>0.6</x:v>
      </x:c>
      <x:c r="H46" s="2" t="n">
        <x:v>5</x:v>
      </x:c>
      <x:c r="I46" s="6" t="str">
        <x:v>研究1-3提供了系统的评价设计和量化指标，达到了学术环境中的受控实验水平；研究4和研究5仅为演示，整体最高证据成熟度为E3。</x:v>
      </x:c>
      <x:c r="J46" s="6" t="str">
        <x:v>S47-EV1: 第2-3页Study 1; S47-EV2: 第3-4页Study 2; S47-EV3: 第4页Study 3</x:v>
      </x:c>
      <x:c r="K46" s="2" t="str">
        <x:v>2026-07-25 00:00:00</x:v>
      </x:c>
      <x:c r="L46" s="6" t="str">
        <x:v>NR</x:v>
      </x:c>
    </x:row>
    <x:row r="47" ht="76" customHeight="1">
      <x:c r="A47" s="2" t="str">
        <x:v>S46</x:v>
      </x:c>
      <x:c r="B47" s="2" t="str">
        <x:v>merged_1293</x:v>
      </x:c>
      <x:c r="C47" s="2" t="str">
        <x:v>Published</x:v>
      </x:c>
      <x:c r="D47" s="2" t="str">
        <x:v>Final classification</x:v>
      </x:c>
      <x:c r="E47" s="2" t="str">
        <x:v>R1/R2</x:v>
      </x:c>
      <x:c r="F47" s="2" t="str">
        <x:v>EM3</x:v>
      </x:c>
      <x:c r="G47" s="2" t="n">
        <x:f>VALUE(RIGHT(F47,1))/5</x:f>
        <x:v>0.6</x:v>
      </x:c>
      <x:c r="H47" s="2" t="n">
        <x:v>1</x:v>
      </x:c>
      <x:c r="I47" s="6" t="str">
        <x:v>The highest maturity among evaluations is E3, as the study involves a systematic comparison in an academic setting with predefined metrics, but lacks industrial deployment or real-world validation (no evidence of organizational adoption).</x:v>
      </x:c>
      <x:c r="J47" s="6" t="str">
        <x:v>S48-EV1: Pages 9-18</x:v>
      </x:c>
      <x:c r="K47" s="2" t="str">
        <x:v>2026-07-25 00:00:00</x:v>
      </x:c>
      <x:c r="L47" s="6" t="str">
        <x:v>NR</x:v>
      </x:c>
    </x:row>
    <x:row r="48" ht="76" customHeight="1">
      <x:c r="A48" s="2" t="str">
        <x:v>S47</x:v>
      </x:c>
      <x:c r="B48" s="2" t="str">
        <x:v>merged_1302-v1</x:v>
      </x:c>
      <x:c r="C48" s="2" t="str">
        <x:v>Grey literature</x:v>
      </x:c>
      <x:c r="D48" s="2" t="str">
        <x:v>Final classification</x:v>
      </x:c>
      <x:c r="E48" s="2" t="str">
        <x:v>R1/R2</x:v>
      </x:c>
      <x:c r="F48" s="2" t="str">
        <x:v>EM3</x:v>
      </x:c>
      <x:c r="G48" s="2" t="n">
        <x:f>VALUE(RIGHT(F48,1))/5</x:f>
        <x:v>0.6</x:v>
      </x:c>
      <x:c r="H48" s="2" t="n">
        <x:v>1</x:v>
      </x:c>
      <x:c r="I48" s="6" t="str">
        <x:v>评估最高为受控学术实验，未涉及工业案例研究、试点或组织采纳，因此最高为E3。</x:v>
      </x:c>
      <x:c r="J48" s="6" t="str">
        <x:v>S49-EV1: Pages 9-13, Section 5, Table 2</x:v>
      </x:c>
      <x:c r="K48" s="2" t="str">
        <x:v>2026-07-25 00:00:00</x:v>
      </x:c>
      <x:c r="L48" s="6" t="str">
        <x:v>NR</x:v>
      </x:c>
    </x:row>
    <x:row r="49" ht="76" customHeight="1">
      <x:c r="A49" s="2" t="str">
        <x:v>S48</x:v>
      </x:c>
      <x:c r="B49" s="2" t="str">
        <x:v>merged_1441</x:v>
      </x:c>
      <x:c r="C49" s="2" t="str">
        <x:v>Published</x:v>
      </x:c>
      <x:c r="D49" s="2" t="str">
        <x:v>Final classification</x:v>
      </x:c>
      <x:c r="E49" s="2" t="str">
        <x:v>R1/R2</x:v>
      </x:c>
      <x:c r="F49" s="2" t="str">
        <x:v>EM3</x:v>
      </x:c>
      <x:c r="G49" s="2" t="n">
        <x:f>VALUE(RIGHT(F49,1))/5</x:f>
        <x:v>0.6</x:v>
      </x:c>
      <x:c r="H49" s="2" t="n">
        <x:v>1</x:v>
      </x:c>
      <x:c r="I49" s="6" t="str">
        <x:v>论文中所有评价均基于离线数据集上的实验比较，未提供工业试点、持续使用或组织采纳的证据，最高成熟度为E3。</x:v>
      </x:c>
      <x:c r="J49" s="6" t="str">
        <x:v>S50-EV1: 第11-15页，第V节结果，表II</x:v>
      </x:c>
      <x:c r="K49" s="2" t="str">
        <x:v>2026-07-25 00:00:00</x:v>
      </x:c>
      <x:c r="L49" s="6" t="str">
        <x:v>NR</x:v>
      </x:c>
    </x:row>
    <x:row r="50" ht="76" customHeight="1">
      <x:c r="A50" s="2" t="str">
        <x:v>S49</x:v>
      </x:c>
      <x:c r="B50" s="2" t="str">
        <x:v>merged_1486</x:v>
      </x:c>
      <x:c r="C50" s="2" t="str">
        <x:v>Published</x:v>
      </x:c>
      <x:c r="D50" s="2" t="str">
        <x:v>Final classification</x:v>
      </x:c>
      <x:c r="E50" s="2" t="str">
        <x:v>R1/R2</x:v>
      </x:c>
      <x:c r="F50" s="2" t="str">
        <x:v>EM3</x:v>
      </x:c>
      <x:c r="G50" s="2" t="n">
        <x:f>VALUE(RIGHT(F50,1))/5</x:f>
        <x:v>0.6</x:v>
      </x:c>
      <x:c r="H50" s="2" t="n">
        <x:v>2</x:v>
      </x:c>
      <x:c r="I50" s="6" t="str">
        <x:v>所有评价均为基于公开数据集的学术受控实验，未涉及工业试点或真实部署，最高为E3。</x:v>
      </x:c>
      <x:c r="J50" s="6" t="str">
        <x:v>S51-EV1: Section 4.1, Tables 2 and 4; S51-EV2: Section 4.1, Tables 3 and 5</x:v>
      </x:c>
      <x:c r="K50" s="2" t="str">
        <x:v>2026-07-25 00:00:00</x:v>
      </x:c>
      <x:c r="L50" s="6" t="str">
        <x:v>NR</x:v>
      </x:c>
    </x:row>
    <x:row r="51" ht="76" customHeight="1">
      <x:c r="A51" s="2" t="str">
        <x:v>S50</x:v>
      </x:c>
      <x:c r="B51" s="2" t="str">
        <x:v>snowball_00068</x:v>
      </x:c>
      <x:c r="C51" s="2" t="str">
        <x:v>Published</x:v>
      </x:c>
      <x:c r="D51" s="2" t="str">
        <x:v>Final classification</x:v>
      </x:c>
      <x:c r="E51" s="2" t="str">
        <x:v>R1/R2</x:v>
      </x:c>
      <x:c r="F51" s="2" t="str">
        <x:v>EM3</x:v>
      </x:c>
      <x:c r="G51" s="2" t="n">
        <x:f>VALUE(RIGHT(F51,1))/5</x:f>
        <x:v>0.6</x:v>
      </x:c>
      <x:c r="H51" s="2" t="n">
        <x:v>3</x:v>
      </x:c>
      <x:c r="I51" s="6" t="str">
        <x:v>最高成熟度为E3，体现在客观指标评估和可用性对比均属于学术环境中的受控研究或系统比较，未见真实工业部署证据。</x:v>
      </x:c>
      <x:c r="J51" s="6" t="str">
        <x:v>S52-EV1: 第10–11页 Section V-B; S52-EV3: 第12页 Section V-D</x:v>
      </x:c>
      <x:c r="K51" s="2" t="str">
        <x:v>2026-07-25 00:00:00</x:v>
      </x:c>
      <x:c r="L51" s="6" t="str">
        <x:v>NR</x:v>
      </x:c>
    </x:row>
    <x:row r="52" ht="76" customHeight="1">
      <x:c r="A52" s="2" t="str">
        <x:v>S51</x:v>
      </x:c>
      <x:c r="B52" s="2" t="str">
        <x:v>snowball_00085</x:v>
      </x:c>
      <x:c r="C52" s="2" t="str">
        <x:v>Published</x:v>
      </x:c>
      <x:c r="D52" s="2" t="str">
        <x:v>Final classification</x:v>
      </x:c>
      <x:c r="E52" s="2" t="str">
        <x:v>R1/R2</x:v>
      </x:c>
      <x:c r="F52" s="2" t="str">
        <x:v>EM3</x:v>
      </x:c>
      <x:c r="G52" s="2" t="n">
        <x:f>VALUE(RIGHT(F52,1))/5</x:f>
        <x:v>0.6</x:v>
      </x:c>
      <x:c r="H52" s="2" t="n">
        <x:v>1</x:v>
      </x:c>
      <x:c r="I52" s="6" t="str">
        <x:v>The entire evaluation is a controlled academic study with no indication of industrial case studies, pilot deployments, or continuous use in real processes.</x:v>
      </x:c>
      <x:c r="J52" s="6" t="str">
        <x:v>S53-EV1: Pages 2-5, Sections III and IV</x:v>
      </x:c>
      <x:c r="K52" s="2" t="str">
        <x:v>2026-07-25 00:00:00</x:v>
      </x:c>
      <x:c r="L52" s="6" t="str">
        <x:v>NR</x:v>
      </x:c>
    </x:row>
    <x:row r="53" ht="76" customHeight="1">
      <x:c r="A53" s="2" t="str">
        <x:v>S52</x:v>
      </x:c>
      <x:c r="B53" s="2" t="str">
        <x:v>snowball_00095</x:v>
      </x:c>
      <x:c r="C53" s="2" t="str">
        <x:v>Published</x:v>
      </x:c>
      <x:c r="D53" s="2" t="str">
        <x:v>Final classification</x:v>
      </x:c>
      <x:c r="E53" s="2" t="str">
        <x:v>R1/R2</x:v>
      </x:c>
      <x:c r="F53" s="2" t="str">
        <x:v>EM4</x:v>
      </x:c>
      <x:c r="G53" s="2" t="n">
        <x:f>VALUE(RIGHT(F53,1))/5</x:f>
        <x:v>0.8</x:v>
      </x:c>
      <x:c r="H53" s="2" t="n">
        <x:v>4</x:v>
      </x:c>
      <x:c r="I53" s="6" t="str">
        <x:v>研究包含工业试点（EV4），在真实企业项目中进行，达到E4级别；研究一中的学术评估最高为E3。</x:v>
      </x:c>
      <x:c r="J53" s="6" t="str">
        <x:v>S54-EV4: 第9-10页第5节</x:v>
      </x:c>
      <x:c r="K53" s="2" t="str">
        <x:v>2026-07-25 00:00:00</x:v>
      </x:c>
      <x:c r="L53" s="6" t="str">
        <x:v>NR</x:v>
      </x:c>
    </x:row>
    <x:row r="54" ht="76" customHeight="1">
      <x:c r="A54" s="2" t="str">
        <x:v>S53</x:v>
      </x:c>
      <x:c r="B54" s="2" t="str">
        <x:v>merged_1229</x:v>
      </x:c>
      <x:c r="C54" s="2" t="str">
        <x:v>Published</x:v>
      </x:c>
      <x:c r="D54" s="2" t="str">
        <x:v>Final classification</x:v>
      </x:c>
      <x:c r="E54" s="2" t="str">
        <x:v>R1/R2</x:v>
      </x:c>
      <x:c r="F54" s="2" t="str">
        <x:v>EM3</x:v>
      </x:c>
      <x:c r="G54" s="2" t="n">
        <x:f>VALUE(RIGHT(F54,1))/5</x:f>
        <x:v>0.6</x:v>
      </x:c>
      <x:c r="H54" s="2" t="n">
        <x:v>4</x:v>
      </x:c>
      <x:c r="I54" s="6" t="str">
        <x:v>Four controlled evaluations were conducted on synthetic railway artifacts using a predefined checklist; no industrial deployment, real-user evaluation, or organizational adoption was reported.</x:v>
      </x:c>
      <x:c r="J54" s="6" t="str">
        <x:v>pp. 3-5; Sections III-IV</x:v>
      </x:c>
      <x:c r="K54" s="2" t="str">
        <x:v>2026-07-29 00:00:00</x:v>
      </x:c>
      <x:c r="L54" s="6" t="str">
        <x:v>NR</x:v>
      </x:c>
    </x:row>
    <x:row r="55" ht="76" customHeight="1">
      <x:c r="A55" s="2" t="str">
        <x:v>G1</x:v>
      </x:c>
      <x:c r="B55" s="2" t="str">
        <x:v>v1</x:v>
      </x:c>
      <x:c r="C55" s="2" t="str">
        <x:v>Grey literature</x:v>
      </x:c>
      <x:c r="D55" s="2" t="str">
        <x:v>Final classification</x:v>
      </x:c>
      <x:c r="E55" s="2" t="str">
        <x:v>R1/R2</x:v>
      </x:c>
      <x:c r="F55" s="2" t="str">
        <x:v>EM1</x:v>
      </x:c>
      <x:c r="G55" s="2" t="n">
        <x:f>VALUE(RIGHT(F55,1))/5</x:f>
        <x:v>0.2</x:v>
      </x:c>
      <x:c r="H55" s="2" t="n">
        <x:v>1</x:v>
      </x:c>
      <x:c r="I55" s="6" t="str">
        <x:v>Only a self-built example demonstrates that the approach runs; no evaluation design or comparison.</x:v>
      </x:c>
      <x:c r="J55" s="6" t="str">
        <x:v>[01:39]-[06:41]</x:v>
      </x:c>
      <x:c r="K55" s="2" t="str">
        <x:v>2026-08-01</x:v>
      </x:c>
      <x:c r="L55" s="6" t="str">
        <x:v>NR</x:v>
      </x:c>
    </x:row>
    <x:row r="56" ht="76" customHeight="1">
      <x:c r="A56" s="2" t="str">
        <x:v>G2</x:v>
      </x:c>
      <x:c r="B56" s="2" t="str">
        <x:v>v1</x:v>
      </x:c>
      <x:c r="C56" s="2" t="str">
        <x:v>Grey literature</x:v>
      </x:c>
      <x:c r="D56" s="2" t="str">
        <x:v>Final classification</x:v>
      </x:c>
      <x:c r="E56" s="2" t="str">
        <x:v>R1/R2</x:v>
      </x:c>
      <x:c r="F56" s="2" t="str">
        <x:v>EM2</x:v>
      </x:c>
      <x:c r="G56" s="2" t="n">
        <x:f>VALUE(RIGHT(F56,1))/5</x:f>
        <x:v>0.4</x:v>
      </x:c>
      <x:c r="H56" s="2" t="n">
        <x:v>1</x:v>
      </x:c>
      <x:c r="I56" s="6" t="str">
        <x:v>Industry interviews (600+), use with partners on real datasets, and an FDA exchange; practitioner observation without systematic comparison.</x:v>
      </x:c>
      <x:c r="J56" s="6" t="str">
        <x:v>[00:59] ; [21:14] ; [28:33] ; [31:03]</x:v>
      </x:c>
      <x:c r="K56" s="2" t="str">
        <x:v>2026-08-01</x:v>
      </x:c>
      <x:c r="L56" s="6" t="str">
        <x:v>NR</x:v>
      </x:c>
    </x:row>
    <x:row r="57" ht="76" customHeight="1">
      <x:c r="A57" s="2" t="str">
        <x:v>G3</x:v>
      </x:c>
      <x:c r="B57" s="2" t="str">
        <x:v>v1</x:v>
      </x:c>
      <x:c r="C57" s="2" t="str">
        <x:v>Grey literature</x:v>
      </x:c>
      <x:c r="D57" s="2" t="str">
        <x:v>Final classification</x:v>
      </x:c>
      <x:c r="E57" s="2" t="str">
        <x:v>R1/R2</x:v>
      </x:c>
      <x:c r="F57" s="2" t="str">
        <x:v>EM1</x:v>
      </x:c>
      <x:c r="G57" s="2" t="n">
        <x:f>VALUE(RIGHT(F57,1))/5</x:f>
        <x:v>0.2</x:v>
      </x:c>
      <x:c r="H57" s="2" t="n">
        <x:v>1</x:v>
      </x:c>
      <x:c r="I57" s="6" t="str">
        <x:v>Only a self-recorded audio input and a self-built demonstration; no evaluation design or comparison.</x:v>
      </x:c>
      <x:c r="J57" s="6" t="str">
        <x:v>[00:01]-[03:30]</x:v>
      </x:c>
      <x:c r="K57" s="2" t="str">
        <x:v>2026-08-01</x:v>
      </x:c>
      <x:c r="L57" s="6" t="str">
        <x:v>NR</x:v>
      </x:c>
    </x:row>
    <x:row r="58" ht="76" customHeight="1">
      <x:c r="A58" s="2" t="str">
        <x:v>G4</x:v>
      </x:c>
      <x:c r="B58" s="2" t="str">
        <x:v>v1</x:v>
      </x:c>
      <x:c r="C58" s="2" t="str">
        <x:v>Grey literature</x:v>
      </x:c>
      <x:c r="D58" s="2" t="str">
        <x:v>Final classification</x:v>
      </x:c>
      <x:c r="E58" s="2" t="str">
        <x:v>R1/R2</x:v>
      </x:c>
      <x:c r="F58" s="2" t="str">
        <x:v>EM0</x:v>
      </x:c>
      <x:c r="G58" s="2" t="n">
        <x:f>VALUE(RIGHT(F58,1))/5</x:f>
        <x:v>0</x:v>
      </x:c>
      <x:c r="H58" s="2" t="n">
        <x:v>0</x:v>
      </x:c>
      <x:c r="I58" s="6" t="str">
        <x:v>Only capability claims and release information; no benchmark, case, or metric, and no adoption or reuse evidence.</x:v>
      </x:c>
      <x:c r="J58" s="6" t="str">
        <x:v>G4_product_page.png (whole page capture) ; G4_product_page.pdf</x:v>
      </x:c>
      <x:c r="K58" s="2" t="str">
        <x:v>2026-08-01</x:v>
      </x:c>
      <x:c r="L58" s="6" t="str">
        <x:v>NR</x:v>
      </x:c>
    </x:row>
    <x:row r="59" ht="76" customHeight="1">
      <x:c r="A59" s="2" t="str">
        <x:v>G5</x:v>
      </x:c>
      <x:c r="B59" s="2" t="str">
        <x:v>v1</x:v>
      </x:c>
      <x:c r="C59" s="2" t="str">
        <x:v>Grey literature</x:v>
      </x:c>
      <x:c r="D59" s="2" t="str">
        <x:v>Final classification</x:v>
      </x:c>
      <x:c r="E59" s="2" t="str">
        <x:v>R1/R2</x:v>
      </x:c>
      <x:c r="F59" s="2" t="str">
        <x:v>EM2</x:v>
      </x:c>
      <x:c r="G59" s="2" t="n">
        <x:f>VALUE(RIGHT(F59,1))/5</x:f>
        <x:v>0.4</x:v>
      </x:c>
      <x:c r="H59" s="2" t="n">
        <x:v>1</x:v>
      </x:c>
      <x:c r="I59" s="6" t="str">
        <x:v>Industry observation and experience (hallucination behaviour, supplier practice, standards pressure); no systematic comparison.</x:v>
      </x:c>
      <x:c r="J59" s="6" t="str">
        <x:v>[03:45]-[17:44]</x:v>
      </x:c>
      <x:c r="K59" s="2" t="str">
        <x:v>2026-08-01</x:v>
      </x:c>
      <x:c r="L59" s="6" t="str">
        <x:v>NR</x:v>
      </x:c>
    </x:row>
    <x:row r="60" ht="76" customHeight="1">
      <x:c r="A60" s="2" t="str">
        <x:v>G6</x:v>
      </x:c>
      <x:c r="B60" s="2" t="str">
        <x:v>v1</x:v>
      </x:c>
      <x:c r="C60" s="2" t="str">
        <x:v>Grey literature</x:v>
      </x:c>
      <x:c r="D60" s="2" t="str">
        <x:v>Final classification</x:v>
      </x:c>
      <x:c r="E60" s="2" t="str">
        <x:v>R1/R2</x:v>
      </x:c>
      <x:c r="F60" s="2" t="str">
        <x:v>EM2</x:v>
      </x:c>
      <x:c r="G60" s="2" t="n">
        <x:f>VALUE(RIGHT(F60,1))/5</x:f>
        <x:v>0.4</x:v>
      </x:c>
      <x:c r="H60" s="2" t="n">
        <x:v>1</x:v>
      </x:c>
      <x:c r="I60" s="6" t="str">
        <x:v>Demonstration on a self-built example and real Ada code with reported observations; no systematic comparison or organisational case.</x:v>
      </x:c>
      <x:c r="J60" s="6" t="str">
        <x:v>[13:58]-[16:19]</x:v>
      </x:c>
      <x:c r="K60" s="2" t="str">
        <x:v>2026-08-01</x:v>
      </x:c>
      <x:c r="L60" s="6" t="str">
        <x:v>NR</x:v>
      </x:c>
    </x:row>
    <x:row r="61" ht="76" customHeight="1">
      <x:c r="A61" s="2" t="str">
        <x:v>G7</x:v>
      </x:c>
      <x:c r="B61" s="2" t="str">
        <x:v>v1</x:v>
      </x:c>
      <x:c r="C61" s="2" t="str">
        <x:v>Grey literature</x:v>
      </x:c>
      <x:c r="D61" s="2" t="str">
        <x:v>Final classification</x:v>
      </x:c>
      <x:c r="E61" s="2" t="str">
        <x:v>R1/R2</x:v>
      </x:c>
      <x:c r="F61" s="2" t="str">
        <x:v>EM2</x:v>
      </x:c>
      <x:c r="G61" s="2" t="n">
        <x:f>VALUE(RIGHT(F61,1))/5</x:f>
        <x:v>0.4</x:v>
      </x:c>
      <x:c r="H61" s="2" t="n">
        <x:v>2</x:v>
      </x:c>
      <x:c r="I61" s="6" t="str">
        <x:v>Trial use in a community user group, token comparison between frameworks, and customer self-test feedback; observational only.</x:v>
      </x:c>
      <x:c r="J61" s="6" t="str">
        <x:v>[18:36] ; [19:48] ; [20:32]</x:v>
      </x:c>
      <x:c r="K61" s="2" t="str">
        <x:v>2026-08-01</x:v>
      </x:c>
      <x:c r="L61" s="6" t="str">
        <x:v>NR</x:v>
      </x:c>
    </x:row>
    <x:row r="62" ht="76" customHeight="1">
      <x:c r="A62" s="2" t="str">
        <x:v>G8</x:v>
      </x:c>
      <x:c r="B62" s="2" t="str">
        <x:v>v1</x:v>
      </x:c>
      <x:c r="C62" s="2" t="str">
        <x:v>Grey literature</x:v>
      </x:c>
      <x:c r="D62" s="2" t="str">
        <x:v>Final classification</x:v>
      </x:c>
      <x:c r="E62" s="2" t="str">
        <x:v>R1/R2</x:v>
      </x:c>
      <x:c r="F62" s="2" t="str">
        <x:v>EM2</x:v>
      </x:c>
      <x:c r="G62" s="2" t="n">
        <x:f>VALUE(RIGHT(F62,1))/5</x:f>
        <x:v>0.4</x:v>
      </x:c>
      <x:c r="H62" s="2" t="n">
        <x:v>1</x:v>
      </x:c>
      <x:c r="I62" s="6" t="str">
        <x:v>Runs on real CFS engineering artefacts with reported runtime observations (20-35 requirements in 25 minutes); practitioner observation without systematic evaluation.</x:v>
      </x:c>
      <x:c r="J62" s="6" t="str">
        <x:v>[02:55] ; [05:08]</x:v>
      </x:c>
      <x:c r="K62" s="2" t="str">
        <x:v>2026-08-01</x:v>
      </x:c>
      <x:c r="L62" s="6" t="str">
        <x:v>NR</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20" hidden="0" customWidth="1"/>
    <x:col min="6" max="6" width="19" hidden="0" customWidth="1"/>
    <x:col min="7" max="7" width="20" hidden="0" customWidth="1"/>
    <x:col min="8" max="8" width="20" hidden="0" customWidth="1"/>
    <x:col min="9" max="9" width="20" hidden="0" customWidth="1"/>
    <x:col min="10" max="10" width="52" hidden="0" customWidth="1"/>
    <x:col min="11" max="11" width="52" hidden="0" customWidth="1"/>
    <x:col min="12" max="12" width="52" hidden="0" customWidth="1"/>
    <x:col min="13" max="13" width="20" hidden="0" customWidth="1"/>
    <x:col min="14" max="14" width="20" hidden="0" customWidth="1"/>
    <x:col min="15" max="15" width="52" hidden="0" customWidth="1"/>
  </x:cols>
  <x:sheetData>
    <x:row r="1" ht="38" customHeight="1">
      <x:c r="A1" s="5" t="str">
        <x:v>evaluation_id</x:v>
      </x:c>
      <x:c r="B1" s="5" t="str">
        <x:v>study_id</x:v>
      </x:c>
      <x:c r="C1" s="5" t="str">
        <x:v>version_id</x:v>
      </x:c>
      <x:c r="D1" s="5" t="str">
        <x:v>source_type</x:v>
      </x:c>
      <x:c r="E1" s="5" t="str">
        <x:v>review_stage</x:v>
      </x:c>
      <x:c r="F1" s="5" t="str">
        <x:v>reviewer_id</x:v>
      </x:c>
      <x:c r="G1" s="5" t="str">
        <x:v>E_level</x:v>
      </x:c>
      <x:c r="H1" s="5" t="str">
        <x:v>E_score</x:v>
      </x:c>
      <x:c r="I1" s="5" t="str">
        <x:v>evaluation_type</x:v>
      </x:c>
      <x:c r="J1" s="5" t="str">
        <x:v>evidence_location</x:v>
      </x:c>
      <x:c r="K1" s="5" t="str">
        <x:v>evidence_verbatim</x:v>
      </x:c>
      <x:c r="L1" s="5" t="str">
        <x:v>maturity_rationale</x:v>
      </x:c>
      <x:c r="M1" s="5" t="str">
        <x:v>study_highest_level</x:v>
      </x:c>
      <x:c r="N1" s="5" t="str">
        <x:v>review_date</x:v>
      </x:c>
      <x:c r="O1" s="5" t="str">
        <x:v>notes</x:v>
      </x:c>
    </x:row>
    <x:row r="2" ht="76" customHeight="1">
      <x:c r="A2" s="2" t="str">
        <x:v>S01-EV1</x:v>
      </x:c>
      <x:c r="B2" s="2" t="str">
        <x:v>S01</x:v>
      </x:c>
      <x:c r="C2" s="2" t="str">
        <x:v>merged_0002</x:v>
      </x:c>
      <x:c r="D2" s="2" t="str">
        <x:v>Published</x:v>
      </x:c>
      <x:c r="E2" s="2" t="str">
        <x:v>Reviewer_A</x:v>
      </x:c>
      <x:c r="F2" s="2" t="str">
        <x:v>Reviewer_A</x:v>
      </x:c>
      <x:c r="G2" s="2" t="str">
        <x:v>EM3</x:v>
      </x:c>
      <x:c r="H2" s="2" t="n">
        <x:f>IF(G2="","",VALUE(RIGHT(G2,1))/5)</x:f>
        <x:v>0.6</x:v>
      </x:c>
      <x:c r="I2" s="2" t="str">
        <x:v>Academic controlled study or public benchmark</x:v>
      </x:c>
      <x:c r="J2" s="6" t="str">
        <x:v>pages 8-10, Section IV-F-1, Tables III-V</x:v>
      </x:c>
      <x:c r="K2" s="6" t="str">
        <x:v>NR</x:v>
      </x:c>
      <x:c r="L2" s="6" t="str">
        <x:v>Uses existing benchmark datasets from CoEST and Dronology; controlled comparison with state‑of‑the‑art approaches in an academic setting; no real‑world industrial deployment.</x:v>
      </x:c>
      <x:c r="M2" s="2" t="str">
        <x:v>E3</x:v>
      </x:c>
      <x:c r="N2" s="2" t="str">
        <x:v>2026-07-25 00:00:00</x:v>
      </x:c>
      <x:c r="O2" s="6" t="str">
        <x:v>Evaluation description: Requirements to Code TLR evaluation on public datasets (SMOS, eTour, iTrust, Dronology) against FTLR, COMET, VSM, LSI baselines.
Source setting: academic
Source record_id: merged_0002; source reviewer=第一作者
The source evaluation table did not store a separate verbatim quotation; evidence_verbatim is therefore NR.</x:v>
      </x:c>
    </x:row>
    <x:row r="3" ht="76" customHeight="1">
      <x:c r="A3" s="2" t="str">
        <x:v>S01-EV2</x:v>
      </x:c>
      <x:c r="B3" s="2" t="str">
        <x:v>S01</x:v>
      </x:c>
      <x:c r="C3" s="2" t="str">
        <x:v>merged_0002</x:v>
      </x:c>
      <x:c r="D3" s="2" t="str">
        <x:v>Published</x:v>
      </x:c>
      <x:c r="E3" s="2" t="str">
        <x:v>Reviewer_A</x:v>
      </x:c>
      <x:c r="F3" s="2" t="str">
        <x:v>Reviewer_A</x:v>
      </x:c>
      <x:c r="G3" s="2" t="str">
        <x:v>EM3</x:v>
      </x:c>
      <x:c r="H3" s="2" t="n">
        <x:f>IF(G3="","",VALUE(RIGHT(G3,1))/5)</x:f>
        <x:v>0.6</x:v>
      </x:c>
      <x:c r="I3" s="2" t="str">
        <x:v>Academic controlled study or public benchmark</x:v>
      </x:c>
      <x:c r="J3" s="6" t="str">
        <x:v>pages 9-10, Section IV-F-2, Table VI</x:v>
      </x:c>
      <x:c r="K3" s="6" t="str">
        <x:v>NR</x:v>
      </x:c>
      <x:c r="L3" s="6" t="str">
        <x:v>Benchmark dataset from prior work; systematic comparison with a published baseline; evaluation is purely off‑line and academic.</x:v>
      </x:c>
      <x:c r="M3" s="2" t="str">
        <x:v>E3</x:v>
      </x:c>
      <x:c r="N3" s="2" t="str">
        <x:v>2026-07-25 00:00:00</x:v>
      </x:c>
      <x:c r="O3" s="6" t="str">
        <x:v>Evaluation description: Documentation to Code TLR evaluation on TransArC datasets (BigBlueButton, MediaStore, TeaStore) against ArDoCode baseline.
Source setting: academic
Source record_id: merged_0002; source reviewer=第一作者
The source evaluation table did not store a separate verbatim quotation; evidence_verbatim is therefore NR.</x:v>
      </x:c>
    </x:row>
    <x:row r="4" ht="76" customHeight="1">
      <x:c r="A4" s="2" t="str">
        <x:v>S01-EV3</x:v>
      </x:c>
      <x:c r="B4" s="2" t="str">
        <x:v>S01</x:v>
      </x:c>
      <x:c r="C4" s="2" t="str">
        <x:v>merged_0002</x:v>
      </x:c>
      <x:c r="D4" s="2" t="str">
        <x:v>Published</x:v>
      </x:c>
      <x:c r="E4" s="2" t="str">
        <x:v>Reviewer_A</x:v>
      </x:c>
      <x:c r="F4" s="2" t="str">
        <x:v>Reviewer_A</x:v>
      </x:c>
      <x:c r="G4" s="2" t="str">
        <x:v>EM3</x:v>
      </x:c>
      <x:c r="H4" s="2" t="n">
        <x:f>IF(G4="","",VALUE(RIGHT(G4,1))/5)</x:f>
        <x:v>0.6</x:v>
      </x:c>
      <x:c r="I4" s="2" t="str">
        <x:v>Academic controlled study or public benchmark</x:v>
      </x:c>
      <x:c r="J4" s="6" t="str">
        <x:v>pages 10-11, Section IV-F-3, Table VII</x:v>
      </x:c>
      <x:c r="K4" s="6" t="str">
        <x:v>NR</x:v>
      </x:c>
      <x:c r="L4" s="6" t="str">
        <x:v>Public benchmark dataset and comparison with a published heuristic baseline; no evidence of industrial adoption or real‑user involvement.</x:v>
      </x:c>
      <x:c r="M4" s="2" t="str">
        <x:v>E3</x:v>
      </x:c>
      <x:c r="N4" s="2" t="str">
        <x:v>2026-07-25 00:00:00</x:v>
      </x:c>
      <x:c r="O4" s="6" t="str">
        <x:v>Evaluation description: Architecture Documentation to Architecture Models TLR evaluation on ArDoCo datasets against ArDoCo baseline.
Source setting: academic
Source record_id: merged_0002; source reviewer=第一作者
The source evaluation table did not store a separate verbatim quotation; evidence_verbatim is therefore NR.</x:v>
      </x:c>
    </x:row>
    <x:row r="5" ht="76" customHeight="1">
      <x:c r="A5" s="2" t="str">
        <x:v>S02-EV1</x:v>
      </x:c>
      <x:c r="B5" s="2" t="str">
        <x:v>S02</x:v>
      </x:c>
      <x:c r="C5" s="2" t="str">
        <x:v>merged_0007</x:v>
      </x:c>
      <x:c r="D5" s="2" t="str">
        <x:v>Published</x:v>
      </x:c>
      <x:c r="E5" s="2" t="str">
        <x:v>Reviewer_A</x:v>
      </x:c>
      <x:c r="F5" s="2" t="str">
        <x:v>Reviewer_A</x:v>
      </x:c>
      <x:c r="G5" s="2" t="str">
        <x:v>EM3</x:v>
      </x:c>
      <x:c r="H5" s="2" t="n">
        <x:f>IF(G5="","",VALUE(RIGHT(G5,1))/5)</x:f>
        <x:v>0.6</x:v>
      </x:c>
      <x:c r="I5" s="2" t="str">
        <x:v>Academic controlled study or public benchmark</x:v>
      </x:c>
      <x:c r="J5" s="6" t="str">
        <x:v>Section 5.3.1, Page 11</x:v>
      </x:c>
      <x:c r="K5" s="6" t="str">
        <x:v>NR</x:v>
      </x:c>
      <x:c r="L5" s="6" t="str">
        <x:v>Controlled evaluation on a public benchmark with gold standard, comparing LLM-extracted SAMs to manually created SAMs using standard TLR metrics.</x:v>
      </x:c>
      <x:c r="M5" s="2" t="str">
        <x:v>E3</x:v>
      </x:c>
      <x:c r="N5" s="2" t="str">
        <x:v>2026-07-25 00:00:00</x:v>
      </x:c>
      <x:c r="O5" s="6" t="str">
        <x:v>Evaluation description: ExArch extracting SAM from SAD (Table 2)
Source setting: academic
Source record_id: merged_0007; source reviewer=第一作者
The source evaluation table did not store a separate verbatim quotation; evidence_verbatim is therefore NR.</x:v>
      </x:c>
    </x:row>
    <x:row r="6" ht="76" customHeight="1">
      <x:c r="A6" s="2" t="str">
        <x:v>S02-EV2</x:v>
      </x:c>
      <x:c r="B6" s="2" t="str">
        <x:v>S02</x:v>
      </x:c>
      <x:c r="C6" s="2" t="str">
        <x:v>merged_0007</x:v>
      </x:c>
      <x:c r="D6" s="2" t="str">
        <x:v>Published</x:v>
      </x:c>
      <x:c r="E6" s="2" t="str">
        <x:v>Reviewer_A</x:v>
      </x:c>
      <x:c r="F6" s="2" t="str">
        <x:v>Reviewer_A</x:v>
      </x:c>
      <x:c r="G6" s="2" t="str">
        <x:v>EM3</x:v>
      </x:c>
      <x:c r="H6" s="2" t="n">
        <x:f>IF(G6="","",VALUE(RIGHT(G6,1))/5)</x:f>
        <x:v>0.6</x:v>
      </x:c>
      <x:c r="I6" s="2" t="str">
        <x:v>Academic controlled study or public benchmark</x:v>
      </x:c>
      <x:c r="J6" s="6" t="str">
        <x:v>Section 5.3.2, Page 13</x:v>
      </x:c>
      <x:c r="K6" s="6" t="str">
        <x:v>NR</x:v>
      </x:c>
      <x:c r="L6" s="6" t="str">
        <x:v>Same benchmark dataset used; comparison of performance when SAM is generated solely from code features.</x:v>
      </x:c>
      <x:c r="M6" s="2" t="str">
        <x:v>E3</x:v>
      </x:c>
      <x:c r="N6" s="2" t="str">
        <x:v>2026-07-25 00:00:00</x:v>
      </x:c>
      <x:c r="O6" s="6" t="str">
        <x:v>Evaluation description: ExArch generating SAM from source code (Table 4)
Source setting: academic
Source record_id: merged_0007; source reviewer=第一作者
The source evaluation table did not store a separate verbatim quotation; evidence_verbatim is therefore NR.</x:v>
      </x:c>
    </x:row>
    <x:row r="7" ht="76" customHeight="1">
      <x:c r="A7" s="2" t="str">
        <x:v>S02-EV3</x:v>
      </x:c>
      <x:c r="B7" s="2" t="str">
        <x:v>S02</x:v>
      </x:c>
      <x:c r="C7" s="2" t="str">
        <x:v>merged_0007</x:v>
      </x:c>
      <x:c r="D7" s="2" t="str">
        <x:v>Published</x:v>
      </x:c>
      <x:c r="E7" s="2" t="str">
        <x:v>Reviewer_A</x:v>
      </x:c>
      <x:c r="F7" s="2" t="str">
        <x:v>Reviewer_A</x:v>
      </x:c>
      <x:c r="G7" s="2" t="str">
        <x:v>EM3</x:v>
      </x:c>
      <x:c r="H7" s="2" t="n">
        <x:f>IF(G7="","",VALUE(RIGHT(G7,1))/5)</x:f>
        <x:v>0.6</x:v>
      </x:c>
      <x:c r="I7" s="2" t="str">
        <x:v>Academic controlled study or public benchmark</x:v>
      </x:c>
      <x:c r="J7" s="6" t="str">
        <x:v>Section 5.3.3, Pages 13-14</x:v>
      </x:c>
      <x:c r="K7" s="6" t="str">
        <x:v>NR</x:v>
      </x:c>
      <x:c r="L7" s="6" t="str">
        <x:v>Same benchmark; systematic comparison of two aggregation strategies across multiple LLMs.</x:v>
      </x:c>
      <x:c r="M7" s="2" t="str">
        <x:v>E3</x:v>
      </x:c>
      <x:c r="N7" s="2" t="str">
        <x:v>2026-07-25 00:00:00</x:v>
      </x:c>
      <x:c r="O7" s="6" t="str">
        <x:v>Evaluation description: ExArch generating SAM from SAD &amp; code with aggregation (Table 5)
Source setting: academic
Source record_id: merged_0007; source reviewer=第一作者
The source evaluation table did not store a separate verbatim quotation; evidence_verbatim is therefore NR.</x:v>
      </x:c>
    </x:row>
    <x:row r="8" ht="76" customHeight="1">
      <x:c r="A8" s="2" t="str">
        <x:v>S02-EV4</x:v>
      </x:c>
      <x:c r="B8" s="2" t="str">
        <x:v>S02</x:v>
      </x:c>
      <x:c r="C8" s="2" t="str">
        <x:v>merged_0007</x:v>
      </x:c>
      <x:c r="D8" s="2" t="str">
        <x:v>Published</x:v>
      </x:c>
      <x:c r="E8" s="2" t="str">
        <x:v>Reviewer_A</x:v>
      </x:c>
      <x:c r="F8" s="2" t="str">
        <x:v>Reviewer_A</x:v>
      </x:c>
      <x:c r="G8" s="2" t="str">
        <x:v>EM3</x:v>
      </x:c>
      <x:c r="H8" s="2" t="n">
        <x:f>IF(G8="","",VALUE(RIGHT(G8,1))/5)</x:f>
        <x:v>0.6</x:v>
      </x:c>
      <x:c r="I8" s="2" t="str">
        <x:v>Academic controlled study or public benchmark</x:v>
      </x:c>
      <x:c r="J8" s="6" t="str">
        <x:v>Section 5.4.2, Pages 18-19</x:v>
      </x:c>
      <x:c r="K8" s="6" t="str">
        <x:v>NR</x:v>
      </x:c>
      <x:c r="L8" s="6" t="str">
        <x:v>Controlled evaluation on revised benchmark against SWATTR heuristic baseline, with multiple runs and standard deviations.</x:v>
      </x:c>
      <x:c r="M8" s="2" t="str">
        <x:v>E3</x:v>
      </x:c>
      <x:c r="N8" s="2" t="str">
        <x:v>2026-07-25 00:00:00</x:v>
      </x:c>
      <x:c r="O8" s="6" t="str">
        <x:v>Evaluation description: ArTEMiS for SAD-to-SAM TLR (Table 8)
Source setting: academic
Source record_id: merged_0007; source reviewer=第一作者
The source evaluation table did not store a separate verbatim quotation; evidence_verbatim is therefore NR.</x:v>
      </x:c>
    </x:row>
    <x:row r="9" ht="76" customHeight="1">
      <x:c r="A9" s="2" t="str">
        <x:v>S02-EV5</x:v>
      </x:c>
      <x:c r="B9" s="2" t="str">
        <x:v>S02</x:v>
      </x:c>
      <x:c r="C9" s="2" t="str">
        <x:v>merged_0007</x:v>
      </x:c>
      <x:c r="D9" s="2" t="str">
        <x:v>Published</x:v>
      </x:c>
      <x:c r="E9" s="2" t="str">
        <x:v>Reviewer_A</x:v>
      </x:c>
      <x:c r="F9" s="2" t="str">
        <x:v>Reviewer_A</x:v>
      </x:c>
      <x:c r="G9" s="2" t="str">
        <x:v>EM3</x:v>
      </x:c>
      <x:c r="H9" s="2" t="n">
        <x:f>IF(G9="","",VALUE(RIGHT(G9,1))/5)</x:f>
        <x:v>0.6</x:v>
      </x:c>
      <x:c r="I9" s="2" t="str">
        <x:v>Academic controlled study or public benchmark</x:v>
      </x:c>
      <x:c r="J9" s="6" t="str">
        <x:v>Section 5.4.3, Pages 19-20</x:v>
      </x:c>
      <x:c r="K9" s="6" t="str">
        <x:v>NR</x:v>
      </x:c>
      <x:c r="L9" s="6" t="str">
        <x:v>Controlled evaluation on revised benchmark, comparing to original TransArC and ArDoCode, with multiple runs.</x:v>
      </x:c>
      <x:c r="M9" s="2" t="str">
        <x:v>E3</x:v>
      </x:c>
      <x:c r="N9" s="2" t="str">
        <x:v>2026-07-25 00:00:00</x:v>
      </x:c>
      <x:c r="O9" s="6" t="str">
        <x:v>Evaluation description: Combining ArTEMiS, ExArch, and TransArC (Table 9)
Source setting: academic
Source record_id: merged_0007; source reviewer=第一作者
The source evaluation table did not store a separate verbatim quotation; evidence_verbatim is therefore NR.</x:v>
      </x:c>
    </x:row>
    <x:row r="10" ht="76" customHeight="1">
      <x:c r="A10" s="2" t="str">
        <x:v>S03-EV1</x:v>
      </x:c>
      <x:c r="B10" s="2" t="str">
        <x:v>S03</x:v>
      </x:c>
      <x:c r="C10" s="2" t="str">
        <x:v>merged_0014</x:v>
      </x:c>
      <x:c r="D10" s="2" t="str">
        <x:v>Published</x:v>
      </x:c>
      <x:c r="E10" s="2" t="str">
        <x:v>Reviewer_A</x:v>
      </x:c>
      <x:c r="F10" s="2" t="str">
        <x:v>Reviewer_A</x:v>
      </x:c>
      <x:c r="G10" s="2" t="str">
        <x:v>EM3</x:v>
      </x:c>
      <x:c r="H10" s="2" t="n">
        <x:f>IF(G10="","",VALUE(RIGHT(G10,1))/5)</x:f>
        <x:v>0.6</x:v>
      </x:c>
      <x:c r="I10" s="2" t="str">
        <x:v>Academic controlled study or public benchmark</x:v>
      </x:c>
      <x:c r="J10" s="6" t="str">
        <x:v>第5节</x:v>
      </x:c>
      <x:c r="K10" s="6" t="str">
        <x:v>NR</x:v>
      </x:c>
      <x:c r="L10" s="6" t="str">
        <x:v>使用公开基准数据集和受控实验设置，无真实工业环境采纳证据。</x:v>
      </x:c>
      <x:c r="M10" s="2" t="str">
        <x:v>E3</x:v>
      </x:c>
      <x:c r="N10" s="2" t="str">
        <x:v>2026-07-25 00:00:00</x:v>
      </x:c>
      <x:c r="O10" s="6" t="str">
        <x:v>Evaluation description: 在开源ERP系统JAllInOne上与基线和消融方法进行离线实验比较，使用精确率、服务级召回和F1分数评估领域匹配效果。
Source setting: academic
Source record_id: merged_0014; source reviewer=第一作者
The source evaluation table did not store a separate verbatim quotation; evidence_verbatim is therefore NR.</x:v>
      </x:c>
    </x:row>
    <x:row r="11" ht="76" customHeight="1">
      <x:c r="A11" s="2" t="str">
        <x:v>S04-EV1</x:v>
      </x:c>
      <x:c r="B11" s="2" t="str">
        <x:v>S04</x:v>
      </x:c>
      <x:c r="C11" s="2" t="str">
        <x:v>merged_0075</x:v>
      </x:c>
      <x:c r="D11" s="2" t="str">
        <x:v>Published</x:v>
      </x:c>
      <x:c r="E11" s="2" t="str">
        <x:v>Reviewer_A</x:v>
      </x:c>
      <x:c r="F11" s="2" t="str">
        <x:v>Reviewer_A</x:v>
      </x:c>
      <x:c r="G11" s="2" t="str">
        <x:v>EM3</x:v>
      </x:c>
      <x:c r="H11" s="2" t="n">
        <x:f>IF(G11="","",VALUE(RIGHT(G11,1))/5)</x:f>
        <x:v>0.6</x:v>
      </x:c>
      <x:c r="I11" s="2" t="str">
        <x:v>Academic controlled study or public benchmark</x:v>
      </x:c>
      <x:c r="J11" s="6" t="str">
        <x:v>第5节，第5-7页</x:v>
      </x:c>
      <x:c r="K11" s="6" t="str">
        <x:v>NR</x:v>
      </x:c>
      <x:c r="L11" s="6" t="str">
        <x:v>在学术环境中进行的受控实验，使用一个公开的课程案例作为基准，进行系统比较并报告指标，无工业或实际用户环境证据。</x:v>
      </x:c>
      <x:c r="M11" s="2" t="str">
        <x:v>E3</x:v>
      </x:c>
      <x:c r="N11" s="2" t="str">
        <x:v>2026-07-25 00:00:00</x:v>
      </x:c>
      <x:c r="O11" s="6" t="str">
        <x:v>Evaluation description: 在单一GRL模型（37个意图元素）和42条需求组成的离线数据集上，测量生成安全追溯链接的精度、召回、F1分数。
Source setting: academic
Source record_id: merged_0075; source reviewer=第一作者
The source evaluation table did not store a separate verbatim quotation; evidence_verbatim is therefore NR.</x:v>
      </x:c>
    </x:row>
    <x:row r="12" ht="76" customHeight="1">
      <x:c r="A12" s="2" t="str">
        <x:v>S05-EV1</x:v>
      </x:c>
      <x:c r="B12" s="2" t="str">
        <x:v>S05</x:v>
      </x:c>
      <x:c r="C12" s="2" t="str">
        <x:v>merged_0077</x:v>
      </x:c>
      <x:c r="D12" s="2" t="str">
        <x:v>Published</x:v>
      </x:c>
      <x:c r="E12" s="2" t="str">
        <x:v>Reviewer_A</x:v>
      </x:c>
      <x:c r="F12" s="2" t="str">
        <x:v>Reviewer_A</x:v>
      </x:c>
      <x:c r="G12" s="2" t="str">
        <x:v>EM3</x:v>
      </x:c>
      <x:c r="H12" s="2" t="n">
        <x:f>IF(G12="","",VALUE(RIGHT(G12,1))/5)</x:f>
        <x:v>0.6</x:v>
      </x:c>
      <x:c r="I12" s="2" t="str">
        <x:v>Academic controlled study or public benchmark</x:v>
      </x:c>
      <x:c r="J12" s="6" t="str">
        <x:v>Section 4, pages 15-20</x:v>
      </x:c>
      <x:c r="K12" s="6" t="str">
        <x:v>NR</x:v>
      </x:c>
      <x:c r="L12" s="6" t="str">
        <x:v>Controlled experiment on offline datasets with systematic comparison against IR baselines; no real-world deployment.</x:v>
      </x:c>
      <x:c r="M12" s="2" t="str">
        <x:v>E3</x:v>
      </x:c>
      <x:c r="N12" s="2" t="str">
        <x:v>2026-07-25 00:00:00</x:v>
      </x:c>
      <x:c r="O12" s="6" t="str">
        <x:v>Evaluation description: Trace link identification accuracy evaluation (RQ1) on two curated datasets with baselines.
Source setting: academic
Source record_id: merged_0077; source reviewer=第一作者
The source evaluation table did not store a separate verbatim quotation; evidence_verbatim is therefore NR.</x:v>
      </x:c>
    </x:row>
    <x:row r="13" ht="76" customHeight="1">
      <x:c r="A13" s="2" t="str">
        <x:v>S05-EV2</x:v>
      </x:c>
      <x:c r="B13" s="2" t="str">
        <x:v>S05</x:v>
      </x:c>
      <x:c r="C13" s="2" t="str">
        <x:v>merged_0077</x:v>
      </x:c>
      <x:c r="D13" s="2" t="str">
        <x:v>Published</x:v>
      </x:c>
      <x:c r="E13" s="2" t="str">
        <x:v>Reviewer_A</x:v>
      </x:c>
      <x:c r="F13" s="2" t="str">
        <x:v>Reviewer_A</x:v>
      </x:c>
      <x:c r="G13" s="2" t="str">
        <x:v>EM3</x:v>
      </x:c>
      <x:c r="H13" s="2" t="n">
        <x:f>IF(G13="","",VALUE(RIGHT(G13,1))/5)</x:f>
        <x:v>0.6</x:v>
      </x:c>
      <x:c r="I13" s="2" t="str">
        <x:v>Academic controlled study or public benchmark</x:v>
      </x:c>
      <x:c r="J13" s="6" t="str">
        <x:v>Section 5, pages 20-22</x:v>
      </x:c>
      <x:c r="K13" s="6" t="str">
        <x:v>NR</x:v>
      </x:c>
      <x:c r="L13" s="6" t="str">
        <x:v>Offline analysis of LLM-generated explanations on existing datasets, judged by another LLM; no industrial context.</x:v>
      </x:c>
      <x:c r="M13" s="2" t="str">
        <x:v>E3</x:v>
      </x:c>
      <x:c r="N13" s="2" t="str">
        <x:v>2026-07-25 00:00:00</x:v>
      </x:c>
      <x:c r="O13" s="6" t="str">
        <x:v>Evaluation description: Relationship explanation quality evaluation (RQ2) using LLM-as-a-judge with manual verification.
Source setting: academic
Source record_id: merged_0077; source reviewer=第一作者
The source evaluation table did not store a separate verbatim quotation; evidence_verbatim is therefore NR.</x:v>
      </x:c>
    </x:row>
    <x:row r="14" ht="76" customHeight="1">
      <x:c r="A14" s="2" t="str">
        <x:v>S05-EV3</x:v>
      </x:c>
      <x:c r="B14" s="2" t="str">
        <x:v>S05</x:v>
      </x:c>
      <x:c r="C14" s="2" t="str">
        <x:v>merged_0077</x:v>
      </x:c>
      <x:c r="D14" s="2" t="str">
        <x:v>Published</x:v>
      </x:c>
      <x:c r="E14" s="2" t="str">
        <x:v>Reviewer_A</x:v>
      </x:c>
      <x:c r="F14" s="2" t="str">
        <x:v>Reviewer_A</x:v>
      </x:c>
      <x:c r="G14" s="2" t="str">
        <x:v>EM3</x:v>
      </x:c>
      <x:c r="H14" s="2" t="n">
        <x:f>IF(G14="","",VALUE(RIGHT(G14,1))/5)</x:f>
        <x:v>0.6</x:v>
      </x:c>
      <x:c r="I14" s="2" t="str">
        <x:v>Academic controlled study or public benchmark</x:v>
      </x:c>
      <x:c r="J14" s="6" t="str">
        <x:v>Section 6, pages 22-24 (partial)</x:v>
      </x:c>
      <x:c r="K14" s="6" t="str">
        <x:v>NR</x:v>
      </x:c>
      <x:c r="L14" s="6" t="str">
        <x:v>Offline experiment using the same academic datasets; no real-world or industrial test.</x:v>
      </x:c>
      <x:c r="M14" s="2" t="str">
        <x:v>E3</x:v>
      </x:c>
      <x:c r="N14" s="2" t="str">
        <x:v>2026-07-25 00:00:00</x:v>
      </x:c>
      <x:c r="O14" s="6" t="str">
        <x:v>Evaluation description: Trace chain reconstruction evaluation (RQ3) comparing predicted chains against ground truth.
Source setting: academic
Source record_id: merged_0077; source reviewer=第一作者
The source evaluation table did not store a separate verbatim quotation; evidence_verbatim is therefore NR.</x:v>
      </x:c>
    </x:row>
    <x:row r="15" ht="76" customHeight="1">
      <x:c r="A15" s="2" t="str">
        <x:v>S06-EV1</x:v>
      </x:c>
      <x:c r="B15" s="2" t="str">
        <x:v>S06</x:v>
      </x:c>
      <x:c r="C15" s="2" t="str">
        <x:v>merged_0079</x:v>
      </x:c>
      <x:c r="D15" s="2" t="str">
        <x:v>Published</x:v>
      </x:c>
      <x:c r="E15" s="2" t="str">
        <x:v>Reviewer_A</x:v>
      </x:c>
      <x:c r="F15" s="2" t="str">
        <x:v>Reviewer_A</x:v>
      </x:c>
      <x:c r="G15" s="2" t="str">
        <x:v>EM3</x:v>
      </x:c>
      <x:c r="H15" s="2" t="n">
        <x:f>IF(G15="","",VALUE(RIGHT(G15,1))/5)</x:f>
        <x:v>0.6</x:v>
      </x:c>
      <x:c r="I15" s="2" t="str">
        <x:v>Academic controlled study or public benchmark</x:v>
      </x:c>
      <x:c r="J15" s="6" t="str">
        <x:v>第7-8页第V-A节</x:v>
      </x:c>
      <x:c r="K15" s="6" t="str">
        <x:v>NR</x:v>
      </x:c>
      <x:c r="L15" s="6" t="str">
        <x:v>使用标准公开数据集和Hit@K指标进行的受控比较研究，属于学术界benchmark评估。</x:v>
      </x:c>
      <x:c r="M15" s="2" t="str">
        <x:v>E3</x:v>
      </x:c>
      <x:c r="N15" s="2" t="str">
        <x:v>2026-07-25 00:00:00</x:v>
      </x:c>
      <x:c r="O15" s="6" t="str">
        <x:v>Evaluation description: RQ1: 在六个Apache项目上与基线方法的比较评估
Source setting: academic
Source record_id: merged_0079; source reviewer=第一作者
The source evaluation table did not store a separate verbatim quotation; evidence_verbatim is therefore NR.</x:v>
      </x:c>
    </x:row>
    <x:row r="16" ht="76" customHeight="1">
      <x:c r="A16" s="2" t="str">
        <x:v>S06-EV2</x:v>
      </x:c>
      <x:c r="B16" s="2" t="str">
        <x:v>S06</x:v>
      </x:c>
      <x:c r="C16" s="2" t="str">
        <x:v>merged_0079</x:v>
      </x:c>
      <x:c r="D16" s="2" t="str">
        <x:v>Published</x:v>
      </x:c>
      <x:c r="E16" s="2" t="str">
        <x:v>Reviewer_A</x:v>
      </x:c>
      <x:c r="F16" s="2" t="str">
        <x:v>Reviewer_A</x:v>
      </x:c>
      <x:c r="G16" s="2" t="str">
        <x:v>EM3</x:v>
      </x:c>
      <x:c r="H16" s="2" t="n">
        <x:f>IF(G16="","",VALUE(RIGHT(G16,1))/5)</x:f>
        <x:v>0.6</x:v>
      </x:c>
      <x:c r="I16" s="2" t="str">
        <x:v>Academic controlled study or public benchmark</x:v>
      </x:c>
      <x:c r="J16" s="6" t="str">
        <x:v>第8-9页第V-B节</x:v>
      </x:c>
      <x:c r="K16" s="6" t="str">
        <x:v>NR</x:v>
      </x:c>
      <x:c r="L16" s="6" t="str">
        <x:v>通过在新数据集上测试模型泛化能力，属于系统比较，但仍为离线学术评估。</x:v>
      </x:c>
      <x:c r="M16" s="2" t="str">
        <x:v>E3</x:v>
      </x:c>
      <x:c r="N16" s="2" t="str">
        <x:v>2026-07-25 00:00:00</x:v>
      </x:c>
      <x:c r="O16" s="6" t="str">
        <x:v>Evaluation description: RQ2: 在六个新的GitHub仓库上的泛化评估
Source setting: academic
Source record_id: merged_0079; source reviewer=第一作者
The source evaluation table did not store a separate verbatim quotation; evidence_verbatim is therefore NR.</x:v>
      </x:c>
    </x:row>
    <x:row r="17" ht="76" customHeight="1">
      <x:c r="A17" s="2" t="str">
        <x:v>S06-EV3</x:v>
      </x:c>
      <x:c r="B17" s="2" t="str">
        <x:v>S06</x:v>
      </x:c>
      <x:c r="C17" s="2" t="str">
        <x:v>merged_0079</x:v>
      </x:c>
      <x:c r="D17" s="2" t="str">
        <x:v>Published</x:v>
      </x:c>
      <x:c r="E17" s="2" t="str">
        <x:v>Reviewer_A</x:v>
      </x:c>
      <x:c r="F17" s="2" t="str">
        <x:v>Reviewer_A</x:v>
      </x:c>
      <x:c r="G17" s="2" t="str">
        <x:v>EM3</x:v>
      </x:c>
      <x:c r="H17" s="2" t="n">
        <x:f>IF(G17="","",VALUE(RIGHT(G17,1))/5)</x:f>
        <x:v>0.6</x:v>
      </x:c>
      <x:c r="I17" s="2" t="str">
        <x:v>Academic controlled study or public benchmark</x:v>
      </x:c>
      <x:c r="J17" s="6" t="str">
        <x:v>第9页第V-C节</x:v>
      </x:c>
      <x:c r="K17" s="6" t="str">
        <x:v>NR</x:v>
      </x:c>
      <x:c r="L17" s="6" t="str">
        <x:v>对每次链接恢复的时间/成本进行测量，属于对工具性能的学术分析。</x:v>
      </x:c>
      <x:c r="M17" s="2" t="str">
        <x:v>E3</x:v>
      </x:c>
      <x:c r="N17" s="2" t="str">
        <x:v>2026-07-25 00:00:00</x:v>
      </x:c>
      <x:c r="O17" s="6" t="str">
        <x:v>Evaluation description: RQ3: 成本分析
Source setting: academic
Source record_id: merged_0079; source reviewer=第一作者
The source evaluation table did not store a separate verbatim quotation; evidence_verbatim is therefore NR.</x:v>
      </x:c>
    </x:row>
    <x:row r="18" ht="76" customHeight="1">
      <x:c r="A18" s="2" t="str">
        <x:v>S07-EV1</x:v>
      </x:c>
      <x:c r="B18" s="2" t="str">
        <x:v>S07</x:v>
      </x:c>
      <x:c r="C18" s="2" t="str">
        <x:v>merged_0110</x:v>
      </x:c>
      <x:c r="D18" s="2" t="str">
        <x:v>Published</x:v>
      </x:c>
      <x:c r="E18" s="2" t="str">
        <x:v>Reviewer_A</x:v>
      </x:c>
      <x:c r="F18" s="2" t="str">
        <x:v>Reviewer_A</x:v>
      </x:c>
      <x:c r="G18" s="2" t="str">
        <x:v>EM3</x:v>
      </x:c>
      <x:c r="H18" s="2" t="n">
        <x:f>IF(G18="","",VALUE(RIGHT(G18,1))/5)</x:f>
        <x:v>0.6</x:v>
      </x:c>
      <x:c r="I18" s="2" t="str">
        <x:v>Academic controlled study or public benchmark</x:v>
      </x:c>
      <x:c r="J18" s="6" t="str">
        <x:v>第5-6页，表4</x:v>
      </x:c>
      <x:c r="K18" s="6" t="str">
        <x:v>NR</x:v>
      </x:c>
      <x:c r="L18" s="6" t="str">
        <x:v>在离线环境中使用两个数据集（一个工业、一个开源）进行系统比较，基于手动真值，属于受控学术评价。</x:v>
      </x:c>
      <x:c r="M18" s="2" t="str">
        <x:v>E3</x:v>
      </x:c>
      <x:c r="N18" s="2" t="str">
        <x:v>2026-07-25 00:00:00</x:v>
      </x:c>
      <x:c r="O18" s="6" t="str">
        <x:v>Evaluation description: 比较不同LLM在REST校准中的有效性（实验A，使用BASE提示和两个数据集）
Source setting: academic
Source record_id: merged_0110; source reviewer=第一作者
The source evaluation table did not store a separate verbatim quotation; evidence_verbatim is therefore NR.</x:v>
      </x:c>
    </x:row>
    <x:row r="19" ht="76" customHeight="1">
      <x:c r="A19" s="2" t="str">
        <x:v>S07-EV2</x:v>
      </x:c>
      <x:c r="B19" s="2" t="str">
        <x:v>S07</x:v>
      </x:c>
      <x:c r="C19" s="2" t="str">
        <x:v>merged_0110</x:v>
      </x:c>
      <x:c r="D19" s="2" t="str">
        <x:v>Published</x:v>
      </x:c>
      <x:c r="E19" s="2" t="str">
        <x:v>Reviewer_A</x:v>
      </x:c>
      <x:c r="F19" s="2" t="str">
        <x:v>Reviewer_A</x:v>
      </x:c>
      <x:c r="G19" s="2" t="str">
        <x:v>EM3</x:v>
      </x:c>
      <x:c r="H19" s="2" t="n">
        <x:f>IF(G19="","",VALUE(RIGHT(G19,1))/5)</x:f>
        <x:v>0.6</x:v>
      </x:c>
      <x:c r="I19" s="2" t="str">
        <x:v>Academic controlled study or public benchmark</x:v>
      </x:c>
      <x:c r="J19" s="6" t="str">
        <x:v>第6-8页，图5与表5</x:v>
      </x:c>
      <x:c r="K19" s="6" t="str">
        <x:v>NR</x:v>
      </x:c>
      <x:c r="L19" s="6" t="str">
        <x:v>同样是在离线数据上的系统比较，使用多个提示模板和统计检验，未涉及真实工作流采纳。</x:v>
      </x:c>
      <x:c r="M19" s="2" t="str">
        <x:v>E3</x:v>
      </x:c>
      <x:c r="N19" s="2" t="str">
        <x:v>2026-07-25 00:00:00</x:v>
      </x:c>
      <x:c r="O19" s="6" t="str">
        <x:v>Evaluation description: 比较不同提示模板对LLM性能的影响（实验B，使用两个数据集）
Source setting: academic
Source record_id: merged_0110; source reviewer=第一作者
The source evaluation table did not store a separate verbatim quotation; evidence_verbatim is therefore NR.</x:v>
      </x:c>
    </x:row>
    <x:row r="20" ht="76" customHeight="1">
      <x:c r="A20" s="2" t="str">
        <x:v>S08-EV1</x:v>
      </x:c>
      <x:c r="B20" s="2" t="str">
        <x:v>S08</x:v>
      </x:c>
      <x:c r="C20" s="2" t="str">
        <x:v>merged_0256</x:v>
      </x:c>
      <x:c r="D20" s="2" t="str">
        <x:v>Published</x:v>
      </x:c>
      <x:c r="E20" s="2" t="str">
        <x:v>Reviewer_A</x:v>
      </x:c>
      <x:c r="F20" s="2" t="str">
        <x:v>Reviewer_A</x:v>
      </x:c>
      <x:c r="G20" s="2" t="str">
        <x:v>EM3</x:v>
      </x:c>
      <x:c r="H20" s="2" t="n">
        <x:f>IF(G20="","",VALUE(RIGHT(G20,1))/5)</x:f>
        <x:v>0.6</x:v>
      </x:c>
      <x:c r="I20" s="2" t="str">
        <x:v>Academic controlled study or public benchmark</x:v>
      </x:c>
      <x:c r="J20" s="6" t="str">
        <x:v>第7页（Table 2）</x:v>
      </x:c>
      <x:c r="K20" s="6" t="str">
        <x:v>NR</x:v>
      </x:c>
      <x:c r="L20" s="6" t="str">
        <x:v>在五个公开需求数据集上进行受控实验，使用标准指标与真值对比，属于学术环境中的系统比较。</x:v>
      </x:c>
      <x:c r="M20" s="2" t="str">
        <x:v>E3</x:v>
      </x:c>
      <x:c r="N20" s="2" t="str">
        <x:v>2026-07-25 00:00:00</x:v>
      </x:c>
      <x:c r="O20" s="6" t="str">
        <x:v>Evaluation description: 使用GPT-3.5通过零样本和零样本+解释提示评估HLR-LLR覆盖识别
Source setting: academic
Source record_id: merged_0256; source reviewer=第一作者
The source evaluation table did not store a separate verbatim quotation; evidence_verbatim is therefore NR.</x:v>
      </x:c>
    </x:row>
    <x:row r="21" ht="76" customHeight="1">
      <x:c r="A21" s="2" t="str">
        <x:v>S08-EV2</x:v>
      </x:c>
      <x:c r="B21" s="2" t="str">
        <x:v>S08</x:v>
      </x:c>
      <x:c r="C21" s="2" t="str">
        <x:v>merged_0256</x:v>
      </x:c>
      <x:c r="D21" s="2" t="str">
        <x:v>Published</x:v>
      </x:c>
      <x:c r="E21" s="2" t="str">
        <x:v>Reviewer_A</x:v>
      </x:c>
      <x:c r="F21" s="2" t="str">
        <x:v>Reviewer_A</x:v>
      </x:c>
      <x:c r="G21" s="2" t="str">
        <x:v>EM3</x:v>
      </x:c>
      <x:c r="H21" s="2" t="n">
        <x:f>IF(G21="","",VALUE(RIGHT(G21,1))/5)</x:f>
        <x:v>0.6</x:v>
      </x:c>
      <x:c r="I21" s="2" t="str">
        <x:v>Academic controlled study or public benchmark</x:v>
      </x:c>
      <x:c r="J21" s="6" t="str">
        <x:v>第9页（Table 4）</x:v>
      </x:c>
      <x:c r="K21" s="6" t="str">
        <x:v>NR</x:v>
      </x:c>
      <x:c r="L21" s="6" t="str">
        <x:v>在多个数据集上通过构造缺失需求进行系统评估，测量召回率，属于学术研究。</x:v>
      </x:c>
      <x:c r="M21" s="2" t="str">
        <x:v>E3</x:v>
      </x:c>
      <x:c r="N21" s="2" t="str">
        <x:v>2026-07-25 00:00:00</x:v>
      </x:c>
      <x:c r="O21" s="6" t="str">
        <x:v>Evaluation description: GPT-3.5留一法检测不完整覆盖
Source setting: academic
Source record_id: merged_0256; source reviewer=第一作者
The source evaluation table did not store a separate verbatim quotation; evidence_verbatim is therefore NR.</x:v>
      </x:c>
    </x:row>
    <x:row r="22" ht="76" customHeight="1">
      <x:c r="A22" s="2" t="str">
        <x:v>S08-EV3</x:v>
      </x:c>
      <x:c r="B22" s="2" t="str">
        <x:v>S08</x:v>
      </x:c>
      <x:c r="C22" s="2" t="str">
        <x:v>merged_0256</x:v>
      </x:c>
      <x:c r="D22" s="2" t="str">
        <x:v>Published</x:v>
      </x:c>
      <x:c r="E22" s="2" t="str">
        <x:v>Reviewer_A</x:v>
      </x:c>
      <x:c r="F22" s="2" t="str">
        <x:v>Reviewer_A</x:v>
      </x:c>
      <x:c r="G22" s="2" t="str">
        <x:v>EM3</x:v>
      </x:c>
      <x:c r="H22" s="2" t="n">
        <x:f>IF(G22="","",VALUE(RIGHT(G22,1))/5)</x:f>
        <x:v>0.6</x:v>
      </x:c>
      <x:c r="I22" s="2" t="str">
        <x:v>Academic controlled study or public benchmark</x:v>
      </x:c>
      <x:c r="J22" s="6" t="str">
        <x:v>第10页（Table 6）</x:v>
      </x:c>
      <x:c r="K22" s="6" t="str">
        <x:v>NR</x:v>
      </x:c>
      <x:c r="L22" s="6" t="str">
        <x:v>在公开数据集上重复实验，比较不同模型性能，属于学术基准测试。</x:v>
      </x:c>
      <x:c r="M22" s="2" t="str">
        <x:v>E3</x:v>
      </x:c>
      <x:c r="N22" s="2" t="str">
        <x:v>2026-07-25 00:00:00</x:v>
      </x:c>
      <x:c r="O22" s="6" t="str">
        <x:v>Evaluation description: 使用GPT-4评估覆盖识别并与GPT-3.5对比
Source setting: academic
Source record_id: merged_0256; source reviewer=第一作者
The source evaluation table did not store a separate verbatim quotation; evidence_verbatim is therefore NR.</x:v>
      </x:c>
    </x:row>
    <x:row r="23" ht="76" customHeight="1">
      <x:c r="A23" s="2" t="str">
        <x:v>S08-EV4</x:v>
      </x:c>
      <x:c r="B23" s="2" t="str">
        <x:v>S08</x:v>
      </x:c>
      <x:c r="C23" s="2" t="str">
        <x:v>merged_0256</x:v>
      </x:c>
      <x:c r="D23" s="2" t="str">
        <x:v>Published</x:v>
      </x:c>
      <x:c r="E23" s="2" t="str">
        <x:v>Reviewer_A</x:v>
      </x:c>
      <x:c r="F23" s="2" t="str">
        <x:v>Reviewer_A</x:v>
      </x:c>
      <x:c r="G23" s="2" t="str">
        <x:v>EM3</x:v>
      </x:c>
      <x:c r="H23" s="2" t="n">
        <x:f>IF(G23="","",VALUE(RIGHT(G23,1))/5)</x:f>
        <x:v>0.6</x:v>
      </x:c>
      <x:c r="I23" s="2" t="str">
        <x:v>Academic controlled study or public benchmark</x:v>
      </x:c>
      <x:c r="J23" s="6" t="str">
        <x:v>第10页（Table 7）</x:v>
      </x:c>
      <x:c r="K23" s="6" t="str">
        <x:v>NR</x:v>
      </x:c>
      <x:c r="L23" s="6" t="str">
        <x:v>在过滤后的数据集上评估CoT提示策略，与其他策略对比，属于学术实验。</x:v>
      </x:c>
      <x:c r="M23" s="2" t="str">
        <x:v>E3</x:v>
      </x:c>
      <x:c r="N23" s="2" t="str">
        <x:v>2026-07-25 00:00:00</x:v>
      </x:c>
      <x:c r="O23" s="6" t="str">
        <x:v>Evaluation description: 使用思维链提示评估覆盖识别
Source setting: academic
Source record_id: merged_0256; source reviewer=第一作者
The source evaluation table did not store a separate verbatim quotation; evidence_verbatim is therefore NR.</x:v>
      </x:c>
    </x:row>
    <x:row r="24" ht="76" customHeight="1">
      <x:c r="A24" s="2" t="str">
        <x:v>S09-EV1</x:v>
      </x:c>
      <x:c r="B24" s="2" t="str">
        <x:v>S09</x:v>
      </x:c>
      <x:c r="C24" s="2" t="str">
        <x:v>merged_1114-v1</x:v>
      </x:c>
      <x:c r="D24" s="2" t="str">
        <x:v>Preprint</x:v>
      </x:c>
      <x:c r="E24" s="2" t="str">
        <x:v>Reviewer_A</x:v>
      </x:c>
      <x:c r="F24" s="2" t="str">
        <x:v>Reviewer_A</x:v>
      </x:c>
      <x:c r="G24" s="2" t="str">
        <x:v>EM3</x:v>
      </x:c>
      <x:c r="H24" s="2" t="n">
        <x:f>IF(G24="","",VALUE(RIGHT(G24,1))/5)</x:f>
        <x:v>0.6</x:v>
      </x:c>
      <x:c r="I24" s="2" t="str">
        <x:v>Academic controlled study or public benchmark</x:v>
      </x:c>
      <x:c r="J24" s="6" t="str">
        <x:v>第6页，表II</x:v>
      </x:c>
      <x:c r="K24" s="6" t="str">
        <x:v>NR</x:v>
      </x:c>
      <x:c r="L24" s="6" t="str">
        <x:v>在离线数据集上进行系统比较，使用标准指标，属于学术环境中的受控研究。</x:v>
      </x:c>
      <x:c r="M24" s="2" t="str">
        <x:v>E3</x:v>
      </x:c>
      <x:c r="N24" s="2" t="str">
        <x:v>2026-07-25 00:00:00</x:v>
      </x:c>
      <x:c r="O24" s="6" t="str">
        <x:v>Evaluation description: 实验1：两阶段流水线验证，在三个关系类型上比较F1等指标
Source setting: academic
Source record_id: merged_1114; source reviewer=第一作者
The source evaluation table did not store a separate verbatim quotation; evidence_verbatim is therefore NR.</x:v>
      </x:c>
    </x:row>
    <x:row r="25" ht="76" customHeight="1">
      <x:c r="A25" s="2" t="str">
        <x:v>S09-EV2</x:v>
      </x:c>
      <x:c r="B25" s="2" t="str">
        <x:v>S09</x:v>
      </x:c>
      <x:c r="C25" s="2" t="str">
        <x:v>merged_1114-v1</x:v>
      </x:c>
      <x:c r="D25" s="2" t="str">
        <x:v>Preprint</x:v>
      </x:c>
      <x:c r="E25" s="2" t="str">
        <x:v>Reviewer_A</x:v>
      </x:c>
      <x:c r="F25" s="2" t="str">
        <x:v>Reviewer_A</x:v>
      </x:c>
      <x:c r="G25" s="2" t="str">
        <x:v>EM3</x:v>
      </x:c>
      <x:c r="H25" s="2" t="n">
        <x:f>IF(G25="","",VALUE(RIGHT(G25,1))/5)</x:f>
        <x:v>0.6</x:v>
      </x:c>
      <x:c r="I25" s="2" t="str">
        <x:v>Academic controlled study or public benchmark</x:v>
      </x:c>
      <x:c r="J25" s="6" t="str">
        <x:v>第6页，表IV</x:v>
      </x:c>
      <x:c r="K25" s="6" t="str">
        <x:v>NR</x:v>
      </x:c>
      <x:c r="L25" s="6" t="str">
        <x:v>参数扫描在四个数据集上进行，属于受控实验，无用户参与。</x:v>
      </x:c>
      <x:c r="M25" s="2" t="str">
        <x:v>E3</x:v>
      </x:c>
      <x:c r="N25" s="2" t="str">
        <x:v>2026-07-25 00:00:00</x:v>
      </x:c>
      <x:c r="O25" s="6" t="str">
        <x:v>Evaluation description: 实验2：冲突检测超参数扫描，评估不同阈值下的TP/FN
Source setting: academic
Source record_id: merged_1114; source reviewer=第一作者
The source evaluation table did not store a separate verbatim quotation; evidence_verbatim is therefore NR.</x:v>
      </x:c>
    </x:row>
    <x:row r="26" ht="76" customHeight="1">
      <x:c r="A26" s="2" t="str">
        <x:v>S09-EV3</x:v>
      </x:c>
      <x:c r="B26" s="2" t="str">
        <x:v>S09</x:v>
      </x:c>
      <x:c r="C26" s="2" t="str">
        <x:v>merged_1114-v1</x:v>
      </x:c>
      <x:c r="D26" s="2" t="str">
        <x:v>Preprint</x:v>
      </x:c>
      <x:c r="E26" s="2" t="str">
        <x:v>Reviewer_A</x:v>
      </x:c>
      <x:c r="F26" s="2" t="str">
        <x:v>Reviewer_A</x:v>
      </x:c>
      <x:c r="G26" s="2" t="str">
        <x:v>EM3</x:v>
      </x:c>
      <x:c r="H26" s="2" t="n">
        <x:f>IF(G26="","",VALUE(RIGHT(G26,1))/5)</x:f>
        <x:v>0.6</x:v>
      </x:c>
      <x:c r="I26" s="2" t="str">
        <x:v>Academic controlled study or public benchmark</x:v>
      </x:c>
      <x:c r="J26" s="6" t="str">
        <x:v>第7页，表V和VI</x:v>
      </x:c>
      <x:c r="K26" s="6" t="str">
        <x:v>NR</x:v>
      </x:c>
      <x:c r="L26" s="6" t="str">
        <x:v>在五个数据集上进行消融研究，比较图谱指标，均为离线分析。</x:v>
      </x:c>
      <x:c r="M26" s="2" t="str">
        <x:v>E3</x:v>
      </x:c>
      <x:c r="N26" s="2" t="str">
        <x:v>2026-07-25 00:00:00</x:v>
      </x:c>
      <x:c r="O26" s="6" t="str">
        <x:v>Evaluation description: 实验3：一致性控制消融，比较四种条件下的图膨胀和一致性指标
Source setting: academic
Source record_id: merged_1114; source reviewer=第一作者
The source evaluation table did not store a separate verbatim quotation; evidence_verbatim is therefore NR.</x:v>
      </x:c>
    </x:row>
    <x:row r="27" ht="76" customHeight="1">
      <x:c r="A27" s="2" t="str">
        <x:v>S09-EV4</x:v>
      </x:c>
      <x:c r="B27" s="2" t="str">
        <x:v>S09</x:v>
      </x:c>
      <x:c r="C27" s="2" t="str">
        <x:v>merged_1114-v1</x:v>
      </x:c>
      <x:c r="D27" s="2" t="str">
        <x:v>Preprint</x:v>
      </x:c>
      <x:c r="E27" s="2" t="str">
        <x:v>Reviewer_A</x:v>
      </x:c>
      <x:c r="F27" s="2" t="str">
        <x:v>Reviewer_A</x:v>
      </x:c>
      <x:c r="G27" s="2" t="str">
        <x:v>EM3</x:v>
      </x:c>
      <x:c r="H27" s="2" t="n">
        <x:f>IF(G27="","",VALUE(RIGHT(G27,1))/5)</x:f>
        <x:v>0.6</x:v>
      </x:c>
      <x:c r="I27" s="2" t="str">
        <x:v>Academic controlled study or public benchmark</x:v>
      </x:c>
      <x:c r="J27" s="6" t="str">
        <x:v>第7页，表VII</x:v>
      </x:c>
      <x:c r="K27" s="6" t="str">
        <x:v>NR</x:v>
      </x:c>
      <x:c r="L27" s="6" t="str">
        <x:v>在五个数据集上扫描阈值并测量指标，模拟人工工作量，仍是受控benchmark。</x:v>
      </x:c>
      <x:c r="M27" s="2" t="str">
        <x:v>E3</x:v>
      </x:c>
      <x:c r="N27" s="2" t="str">
        <x:v>2026-07-25 00:00:00</x:v>
      </x:c>
      <x:c r="O27" s="6" t="str">
        <x:v>Evaluation description: 实验4：链接创建阈值消融，平衡精确率、召回率和人工工作量
Source setting: academic
Source record_id: merged_1114; source reviewer=第一作者
The source evaluation table did not store a separate verbatim quotation; evidence_verbatim is therefore NR.</x:v>
      </x:c>
    </x:row>
    <x:row r="28" ht="76" customHeight="1">
      <x:c r="A28" s="2" t="str">
        <x:v>S10-EV1</x:v>
      </x:c>
      <x:c r="B28" s="2" t="str">
        <x:v>S10</x:v>
      </x:c>
      <x:c r="C28" s="2" t="str">
        <x:v>merged_1119-v2</x:v>
      </x:c>
      <x:c r="D28" s="2" t="str">
        <x:v>Preprint</x:v>
      </x:c>
      <x:c r="E28" s="2" t="str">
        <x:v>Reviewer_A</x:v>
      </x:c>
      <x:c r="F28" s="2" t="str">
        <x:v>Reviewer_A</x:v>
      </x:c>
      <x:c r="G28" s="2" t="str">
        <x:v>EM3</x:v>
      </x:c>
      <x:c r="H28" s="2" t="n">
        <x:f>IF(G28="","",VALUE(RIGHT(G28,1))/5)</x:f>
        <x:v>0.6</x:v>
      </x:c>
      <x:c r="I28" s="2" t="str">
        <x:v>Academic controlled study or public benchmark</x:v>
      </x:c>
      <x:c r="J28" s="6" t="str">
        <x:v>5.1节，图3及相应分析</x:v>
      </x:c>
      <x:c r="K28" s="6" t="str">
        <x:v>NR</x:v>
      </x:c>
      <x:c r="L28" s="6" t="str">
        <x:v>使用三个公开数据集进行离线经验分析，比较多种窗口策略，属于受控学术研究。</x:v>
      </x:c>
      <x:c r="M28" s="2" t="str">
        <x:v>E3</x:v>
      </x:c>
      <x:c r="N28" s="2" t="str">
        <x:v>2026-07-25 00:00:00</x:v>
      </x:c>
      <x:c r="O28" s="6" t="str">
        <x:v>Evaluation description: 时间窗口选择分析：在三个数据集上计算不同时间窗口下的真链接覆盖率。
Source setting: academic
Source record_id: merged_1119; source reviewer=第一作者
The source evaluation table did not store a separate verbatim quotation; evidence_verbatim is therefore NR.</x:v>
      </x:c>
    </x:row>
    <x:row r="29" ht="76" customHeight="1">
      <x:c r="A29" s="2" t="str">
        <x:v>S10-EV2</x:v>
      </x:c>
      <x:c r="B29" s="2" t="str">
        <x:v>S10</x:v>
      </x:c>
      <x:c r="C29" s="2" t="str">
        <x:v>merged_1119-v2</x:v>
      </x:c>
      <x:c r="D29" s="2" t="str">
        <x:v>Preprint</x:v>
      </x:c>
      <x:c r="E29" s="2" t="str">
        <x:v>Reviewer_A</x:v>
      </x:c>
      <x:c r="F29" s="2" t="str">
        <x:v>Reviewer_A</x:v>
      </x:c>
      <x:c r="G29" s="2" t="str">
        <x:v>EM2</x:v>
      </x:c>
      <x:c r="H29" s="2" t="n">
        <x:f>IF(G29="","",VALUE(RIGHT(G29,1))/5)</x:f>
        <x:v>0.4</x:v>
      </x:c>
      <x:c r="I29" s="2" t="str">
        <x:v>Expert opinion or observation</x:v>
      </x:c>
      <x:c r="J29" s="6" t="str">
        <x:v>第3节 数据集描述 手动验证部分</x:v>
      </x:c>
      <x:c r="K29" s="6" t="str">
        <x:v>NR</x:v>
      </x:c>
      <x:c r="L29" s="6" t="str">
        <x:v>通过专家观察评估链接正确性，未进行系统比较，属于专家意见。</x:v>
      </x:c>
      <x:c r="M29" s="2" t="str">
        <x:v>E3</x:v>
      </x:c>
      <x:c r="N29" s="2" t="str">
        <x:v>2026-07-25 00:00:00</x:v>
      </x:c>
      <x:c r="O29" s="6" t="str">
        <x:v>Evaluation description: 手动验证数据集质量：随机抽取400个链接由两位作者人工判断，计算Cohen's kappa。
Source setting: academic
Source record_id: merged_1119; source reviewer=第一作者
The source evaluation table did not store a separate verbatim quotation; evidence_verbatim is therefore NR.</x:v>
      </x:c>
    </x:row>
    <x:row r="30" ht="76" customHeight="1">
      <x:c r="A30" s="2" t="str">
        <x:v>S10-EV3</x:v>
      </x:c>
      <x:c r="B30" s="2" t="str">
        <x:v>S10</x:v>
      </x:c>
      <x:c r="C30" s="2" t="str">
        <x:v>merged_1119-v2</x:v>
      </x:c>
      <x:c r="D30" s="2" t="str">
        <x:v>Preprint</x:v>
      </x:c>
      <x:c r="E30" s="2" t="str">
        <x:v>Reviewer_A</x:v>
      </x:c>
      <x:c r="F30" s="2" t="str">
        <x:v>Reviewer_A</x:v>
      </x:c>
      <x:c r="G30" s="2" t="str">
        <x:v>EM3</x:v>
      </x:c>
      <x:c r="H30" s="2" t="n">
        <x:f>IF(G30="","",VALUE(RIGHT(G30,1))/5)</x:f>
        <x:v>0.6</x:v>
      </x:c>
      <x:c r="I30" s="2" t="str">
        <x:v>Academic controlled study or public benchmark</x:v>
      </x:c>
      <x:c r="J30" s="6" t="str">
        <x:v>5.2节，表1</x:v>
      </x:c>
      <x:c r="K30" s="6" t="str">
        <x:v>NR</x:v>
      </x:c>
      <x:c r="L30" s="6" t="str">
        <x:v>在公开基准数据集上系统比较多种检索算法，属于受控学术研究。</x:v>
      </x:c>
      <x:c r="M30" s="2" t="str">
        <x:v>E3</x:v>
      </x:c>
      <x:c r="N30" s="2" t="str">
        <x:v>2026-07-25 00:00:00</x:v>
      </x:c>
      <x:c r="O30" s="6" t="str">
        <x:v>Evaluation description: 检索方法比较：在三个数据集上评估6种检索器（BM25、SBERT等），使用Recall@K等指标。
Source setting: academic
Source record_id: merged_1119; source reviewer=第一作者
The source evaluation table did not store a separate verbatim quotation; evidence_verbatim is therefore NR.</x:v>
      </x:c>
    </x:row>
    <x:row r="31" ht="76" customHeight="1">
      <x:c r="A31" s="2" t="str">
        <x:v>S10-EV4</x:v>
      </x:c>
      <x:c r="B31" s="2" t="str">
        <x:v>S10</x:v>
      </x:c>
      <x:c r="C31" s="2" t="str">
        <x:v>merged_1119-v2</x:v>
      </x:c>
      <x:c r="D31" s="2" t="str">
        <x:v>Preprint</x:v>
      </x:c>
      <x:c r="E31" s="2" t="str">
        <x:v>Reviewer_A</x:v>
      </x:c>
      <x:c r="F31" s="2" t="str">
        <x:v>Reviewer_A</x:v>
      </x:c>
      <x:c r="G31" s="2" t="str">
        <x:v>EM3</x:v>
      </x:c>
      <x:c r="H31" s="2" t="n">
        <x:f>IF(G31="","",VALUE(RIGHT(G31,1))/5)</x:f>
        <x:v>0.6</x:v>
      </x:c>
      <x:c r="I31" s="2" t="str">
        <x:v>Academic controlled study or public benchmark</x:v>
      </x:c>
      <x:c r="J31" s="6" t="str">
        <x:v>5.3节，表2</x:v>
      </x:c>
      <x:c r="K31" s="6" t="str">
        <x:v>NR</x:v>
      </x:c>
      <x:c r="L31" s="6" t="str">
        <x:v>在公开数据集上系统比较重排序技术，使用标准评估指标，属于受控学术研究。</x:v>
      </x:c>
      <x:c r="M31" s="2" t="str">
        <x:v>E3</x:v>
      </x:c>
      <x:c r="N31" s="2" t="str">
        <x:v>2026-07-25 00:00:00</x:v>
      </x:c>
      <x:c r="O31" s="6" t="str">
        <x:v>Evaluation description: 重排序技术比较：在三个数据集上评估9种重排序方法（包括传统ML和GPT-5.1等LLM），使用Precision@K等指标。
Source setting: academic
Source record_id: merged_1119; source reviewer=第一作者
The source evaluation table did not store a separate verbatim quotation; evidence_verbatim is therefore NR.</x:v>
      </x:c>
    </x:row>
    <x:row r="32" ht="76" customHeight="1">
      <x:c r="A32" s="2" t="str">
        <x:v>S11-EV1</x:v>
      </x:c>
      <x:c r="B32" s="2" t="str">
        <x:v>S11</x:v>
      </x:c>
      <x:c r="C32" s="2" t="str">
        <x:v>merged_1121-v1</x:v>
      </x:c>
      <x:c r="D32" s="2" t="str">
        <x:v>Preprint</x:v>
      </x:c>
      <x:c r="E32" s="2" t="str">
        <x:v>Reviewer_A</x:v>
      </x:c>
      <x:c r="F32" s="2" t="str">
        <x:v>Reviewer_A</x:v>
      </x:c>
      <x:c r="G32" s="2" t="str">
        <x:v>EM3</x:v>
      </x:c>
      <x:c r="H32" s="2" t="n">
        <x:f>IF(G32="","",VALUE(RIGHT(G32,1))/5)</x:f>
        <x:v>0.6</x:v>
      </x:c>
      <x:c r="I32" s="2" t="str">
        <x:v>Academic controlled study or public benchmark</x:v>
      </x:c>
      <x:c r="J32" s="6" t="str">
        <x:v>第7页，Table III</x:v>
      </x:c>
      <x:c r="K32" s="6" t="str">
        <x:v>NR</x:v>
      </x:c>
      <x:c r="L32" s="6" t="str">
        <x:v>使用公开学术基准数据集进行受控比较，离线评估。</x:v>
      </x:c>
      <x:c r="M32" s="2" t="str">
        <x:v>E3</x:v>
      </x:c>
      <x:c r="N32" s="2" t="str">
        <x:v>2026-07-25 00:00:00</x:v>
      </x:c>
      <x:c r="O32" s="6" t="str">
        <x:v>Evaluation description: 主要有效性比较：在iTrust数据集上与IR和RAG基线对比（表III）
Source setting: academic
Source record_id: merged_1121; source reviewer=第一作者
The source evaluation table did not store a separate verbatim quotation; evidence_verbatim is therefore NR.</x:v>
      </x:c>
    </x:row>
    <x:row r="33" ht="76" customHeight="1">
      <x:c r="A33" s="2" t="str">
        <x:v>S11-EV2</x:v>
      </x:c>
      <x:c r="B33" s="2" t="str">
        <x:v>S11</x:v>
      </x:c>
      <x:c r="C33" s="2" t="str">
        <x:v>merged_1121-v1</x:v>
      </x:c>
      <x:c r="D33" s="2" t="str">
        <x:v>Preprint</x:v>
      </x:c>
      <x:c r="E33" s="2" t="str">
        <x:v>Reviewer_A</x:v>
      </x:c>
      <x:c r="F33" s="2" t="str">
        <x:v>Reviewer_A</x:v>
      </x:c>
      <x:c r="G33" s="2" t="str">
        <x:v>EM3</x:v>
      </x:c>
      <x:c r="H33" s="2" t="n">
        <x:f>IF(G33="","",VALUE(RIGHT(G33,1))/5)</x:f>
        <x:v>0.6</x:v>
      </x:c>
      <x:c r="I33" s="2" t="str">
        <x:v>Academic controlled study or public benchmark</x:v>
      </x:c>
      <x:c r="J33" s="6" t="str">
        <x:v>第7页，Table IV</x:v>
      </x:c>
      <x:c r="K33" s="6" t="str">
        <x:v>NR</x:v>
      </x:c>
      <x:c r="L33" s="6" t="str">
        <x:v>在同一学术基准上进行的系统消融实验。</x:v>
      </x:c>
      <x:c r="M33" s="2" t="str">
        <x:v>E3</x:v>
      </x:c>
      <x:c r="N33" s="2" t="str">
        <x:v>2026-07-25 00:00:00</x:v>
      </x:c>
      <x:c r="O33" s="6" t="str">
        <x:v>Evaluation description: 消融研究：iTrust上逐步移除组件的效果（表IV）
Source setting: academic
Source record_id: merged_1121; source reviewer=第一作者
The source evaluation table did not store a separate verbatim quotation; evidence_verbatim is therefore NR.</x:v>
      </x:c>
    </x:row>
    <x:row r="34" ht="76" customHeight="1">
      <x:c r="A34" s="2" t="str">
        <x:v>S11-EV3</x:v>
      </x:c>
      <x:c r="B34" s="2" t="str">
        <x:v>S11</x:v>
      </x:c>
      <x:c r="C34" s="2" t="str">
        <x:v>merged_1121-v1</x:v>
      </x:c>
      <x:c r="D34" s="2" t="str">
        <x:v>Preprint</x:v>
      </x:c>
      <x:c r="E34" s="2" t="str">
        <x:v>Reviewer_A</x:v>
      </x:c>
      <x:c r="F34" s="2" t="str">
        <x:v>Reviewer_A</x:v>
      </x:c>
      <x:c r="G34" s="2" t="str">
        <x:v>EM3</x:v>
      </x:c>
      <x:c r="H34" s="2" t="n">
        <x:f>IF(G34="","",VALUE(RIGHT(G34,1))/5)</x:f>
        <x:v>0.6</x:v>
      </x:c>
      <x:c r="I34" s="2" t="str">
        <x:v>Academic controlled study or public benchmark</x:v>
      </x:c>
      <x:c r="J34" s="6" t="str">
        <x:v>第7-8页，Table V</x:v>
      </x:c>
      <x:c r="K34" s="6" t="str">
        <x:v>NR</x:v>
      </x:c>
      <x:c r="L34" s="6" t="str">
        <x:v>在多个公开学术数据集上的系统比较。</x:v>
      </x:c>
      <x:c r="M34" s="2" t="str">
        <x:v>E3</x:v>
      </x:c>
      <x:c r="N34" s="2" t="str">
        <x:v>2026-07-25 00:00:00</x:v>
      </x:c>
      <x:c r="O34" s="6" t="str">
        <x:v>Evaluation description: 鲁棒性评估：在所有五个公开数据集上对比最佳基线（表V）
Source setting: academic
Source record_id: merged_1121; source reviewer=第一作者
The source evaluation table did not store a separate verbatim quotation; evidence_verbatim is therefore NR.</x:v>
      </x:c>
    </x:row>
    <x:row r="35" ht="76" customHeight="1">
      <x:c r="A35" s="2" t="str">
        <x:v>S11-EV4</x:v>
      </x:c>
      <x:c r="B35" s="2" t="str">
        <x:v>S11</x:v>
      </x:c>
      <x:c r="C35" s="2" t="str">
        <x:v>merged_1121-v1</x:v>
      </x:c>
      <x:c r="D35" s="2" t="str">
        <x:v>Preprint</x:v>
      </x:c>
      <x:c r="E35" s="2" t="str">
        <x:v>Reviewer_A</x:v>
      </x:c>
      <x:c r="F35" s="2" t="str">
        <x:v>Reviewer_A</x:v>
      </x:c>
      <x:c r="G35" s="2" t="str">
        <x:v>EM3</x:v>
      </x:c>
      <x:c r="H35" s="2" t="n">
        <x:f>IF(G35="","",VALUE(RIGHT(G35,1))/5)</x:f>
        <x:v>0.6</x:v>
      </x:c>
      <x:c r="I35" s="2" t="str">
        <x:v>Academic controlled study or public benchmark</x:v>
      </x:c>
      <x:c r="J35" s="6" t="str">
        <x:v>第8-9页，Table VI, VII</x:v>
      </x:c>
      <x:c r="K35" s="6" t="str">
        <x:v>NR</x:v>
      </x:c>
      <x:c r="L35" s="6" t="str">
        <x:v>在iTrust数据集上测量效率指标，属于学术环境下的成本分析。</x:v>
      </x:c>
      <x:c r="M35" s="2" t="str">
        <x:v>E3</x:v>
      </x:c>
      <x:c r="N35" s="2" t="str">
        <x:v>2026-07-25 00:00:00</x:v>
      </x:c>
      <x:c r="O35" s="6" t="str">
        <x:v>Evaluation description: 效率评估：令牌消耗、运行时与成本对比（表VI, VII）
Source setting: academic
Source record_id: merged_1121; source reviewer=第一作者
The source evaluation table did not store a separate verbatim quotation; evidence_verbatim is therefore NR.</x:v>
      </x:c>
    </x:row>
    <x:row r="36" ht="76" customHeight="1">
      <x:c r="A36" s="2" t="str">
        <x:v>S12-EV1</x:v>
      </x:c>
      <x:c r="B36" s="2" t="str">
        <x:v>S12</x:v>
      </x:c>
      <x:c r="C36" s="2" t="str">
        <x:v>merged_1133</x:v>
      </x:c>
      <x:c r="D36" s="2" t="str">
        <x:v>Published</x:v>
      </x:c>
      <x:c r="E36" s="2" t="str">
        <x:v>Reviewer_A</x:v>
      </x:c>
      <x:c r="F36" s="2" t="str">
        <x:v>Reviewer_A</x:v>
      </x:c>
      <x:c r="G36" s="2" t="str">
        <x:v>EM3</x:v>
      </x:c>
      <x:c r="H36" s="2" t="n">
        <x:f>IF(G36="","",VALUE(RIGHT(G36,1))/5)</x:f>
        <x:v>0.6</x:v>
      </x:c>
      <x:c r="I36" s="2" t="str">
        <x:v>Academic controlled study or public benchmark</x:v>
      </x:c>
      <x:c r="J36" s="6" t="str">
        <x:v>第21–28页，Section 6.1</x:v>
      </x:c>
      <x:c r="K36" s="6" t="str">
        <x:v>NR</x:v>
      </x:c>
      <x:c r="L36" s="6" t="str">
        <x:v>使用公开benchmark CM1，进行受控实验，比较不同提示变体和shot设置，报告统计指标，无工业部署证据。</x:v>
      </x:c>
      <x:c r="M36" s="2" t="str">
        <x:v>E3</x:v>
      </x:c>
      <x:c r="N36" s="2" t="str">
        <x:v>2026-07-25 00:00:00</x:v>
      </x:c>
      <x:c r="O36" s="6" t="str">
        <x:v>Evaluation description: 在CM1数据集上对TraceLLM提示工程过程进行零样本和少样本评估
Source setting: academic
Source record_id: merged_1133; source reviewer=第一作者
The source evaluation table did not store a separate verbatim quotation; evidence_verbatim is therefore NR.</x:v>
      </x:c>
    </x:row>
    <x:row r="37" ht="76" customHeight="1">
      <x:c r="A37" s="2" t="str">
        <x:v>S12-EV2</x:v>
      </x:c>
      <x:c r="B37" s="2" t="str">
        <x:v>S12</x:v>
      </x:c>
      <x:c r="C37" s="2" t="str">
        <x:v>merged_1133</x:v>
      </x:c>
      <x:c r="D37" s="2" t="str">
        <x:v>Published</x:v>
      </x:c>
      <x:c r="E37" s="2" t="str">
        <x:v>Reviewer_A</x:v>
      </x:c>
      <x:c r="F37" s="2" t="str">
        <x:v>Reviewer_A</x:v>
      </x:c>
      <x:c r="G37" s="2" t="str">
        <x:v>EM3</x:v>
      </x:c>
      <x:c r="H37" s="2" t="n">
        <x:f>IF(G37="","",VALUE(RIGHT(G37,1))/5)</x:f>
        <x:v>0.6</x:v>
      </x:c>
      <x:c r="I37" s="2" t="str">
        <x:v>Academic controlled study or public benchmark</x:v>
      </x:c>
      <x:c r="J37" s="6" t="str">
        <x:v>第28–31页，Section 6.2，Table 6</x:v>
      </x:c>
      <x:c r="K37" s="6" t="str">
        <x:v>NR</x:v>
      </x:c>
      <x:c r="L37" s="6" t="str">
        <x:v>在CM1上对多个模型使用统一实验设置进行比较，属于学术环境下的系统评价。</x:v>
      </x:c>
      <x:c r="M37" s="2" t="str">
        <x:v>E3</x:v>
      </x:c>
      <x:c r="N37" s="2" t="str">
        <x:v>2026-07-25 00:00:00</x:v>
      </x:c>
      <x:c r="O37" s="6" t="str">
        <x:v>Evaluation description: 跨8个LLMs的提示泛化性评估
Source setting: academic
Source record_id: merged_1133; source reviewer=第一作者
The source evaluation table did not store a separate verbatim quotation; evidence_verbatim is therefore NR.</x:v>
      </x:c>
    </x:row>
    <x:row r="38" ht="76" customHeight="1">
      <x:c r="A38" s="2" t="str">
        <x:v>S12-EV3</x:v>
      </x:c>
      <x:c r="B38" s="2" t="str">
        <x:v>S12</x:v>
      </x:c>
      <x:c r="C38" s="2" t="str">
        <x:v>merged_1133</x:v>
      </x:c>
      <x:c r="D38" s="2" t="str">
        <x:v>Published</x:v>
      </x:c>
      <x:c r="E38" s="2" t="str">
        <x:v>Reviewer_A</x:v>
      </x:c>
      <x:c r="F38" s="2" t="str">
        <x:v>Reviewer_A</x:v>
      </x:c>
      <x:c r="G38" s="2" t="str">
        <x:v>EM3</x:v>
      </x:c>
      <x:c r="H38" s="2" t="n">
        <x:f>IF(G38="","",VALUE(RIGHT(G38,1))/5)</x:f>
        <x:v>0.6</x:v>
      </x:c>
      <x:c r="I38" s="2" t="str">
        <x:v>Academic controlled study or public benchmark</x:v>
      </x:c>
      <x:c r="J38" s="6" t="str">
        <x:v>第31页及后续（文本截断），Section 6.3</x:v>
      </x:c>
      <x:c r="K38" s="6" t="str">
        <x:v>NR</x:v>
      </x:c>
      <x:c r="L38" s="6" t="str">
        <x:v>在CM1上比较多种选择策略，采用标准指标和统计检验，为离线benchmark研究。</x:v>
      </x:c>
      <x:c r="M38" s="2" t="str">
        <x:v>E3</x:v>
      </x:c>
      <x:c r="N38" s="2" t="str">
        <x:v>2026-07-25 00:00:00</x:v>
      </x:c>
      <x:c r="O38" s="6" t="str">
        <x:v>Evaluation description: 不同演示选择策略（多样性、相似性、不确定性、标签感知）在少样本学习中的效果评估
Source setting: academic
Source record_id: merged_1133; source reviewer=第一作者
The source evaluation table did not store a separate verbatim quotation; evidence_verbatim is therefore NR.</x:v>
      </x:c>
    </x:row>
    <x:row r="39" ht="76" customHeight="1">
      <x:c r="A39" s="2" t="str">
        <x:v>S12-EV4</x:v>
      </x:c>
      <x:c r="B39" s="2" t="str">
        <x:v>S12</x:v>
      </x:c>
      <x:c r="C39" s="2" t="str">
        <x:v>merged_1133</x:v>
      </x:c>
      <x:c r="D39" s="2" t="str">
        <x:v>Published</x:v>
      </x:c>
      <x:c r="E39" s="2" t="str">
        <x:v>Reviewer_A</x:v>
      </x:c>
      <x:c r="F39" s="2" t="str">
        <x:v>Reviewer_A</x:v>
      </x:c>
      <x:c r="G39" s="2" t="str">
        <x:v>EM3</x:v>
      </x:c>
      <x:c r="H39" s="2" t="n">
        <x:f>IF(G39="","",VALUE(RIGHT(G39,1))/5)</x:f>
        <x:v>0.6</x:v>
      </x:c>
      <x:c r="I39" s="2" t="str">
        <x:v>Academic controlled study or public benchmark</x:v>
      </x:c>
      <x:c r="J39" s="6" t="str">
        <x:v>第17页提及数据集，第31页后可能涉及结果，文本截断</x:v>
      </x:c>
      <x:c r="K39" s="6" t="str">
        <x:v>NR</x:v>
      </x:c>
      <x:c r="L39" s="6" t="str">
        <x:v>使用公开的医疗保健领域数据集，评估方法与baseline比较，属学术受控研究。</x:v>
      </x:c>
      <x:c r="M39" s="2" t="str">
        <x:v>E3</x:v>
      </x:c>
      <x:c r="N39" s="2" t="str">
        <x:v>2026-07-25 00:00:00</x:v>
      </x:c>
      <x:c r="O39" s="6" t="str">
        <x:v>Evaluation description: 在EasyClinic和CCHIT数据集上的跨领域泛化评估
Source setting: academic
Source record_id: merged_1133; source reviewer=第一作者
The source evaluation table did not store a separate verbatim quotation; evidence_verbatim is therefore NR.</x:v>
      </x:c>
    </x:row>
    <x:row r="40" ht="76" customHeight="1">
      <x:c r="A40" s="2" t="str">
        <x:v>S12-EV5</x:v>
      </x:c>
      <x:c r="B40" s="2" t="str">
        <x:v>S12</x:v>
      </x:c>
      <x:c r="C40" s="2" t="str">
        <x:v>merged_1133</x:v>
      </x:c>
      <x:c r="D40" s="2" t="str">
        <x:v>Published</x:v>
      </x:c>
      <x:c r="E40" s="2" t="str">
        <x:v>Reviewer_A</x:v>
      </x:c>
      <x:c r="F40" s="2" t="str">
        <x:v>Reviewer_A</x:v>
      </x:c>
      <x:c r="G40" s="2" t="str">
        <x:v>EM3</x:v>
      </x:c>
      <x:c r="H40" s="2" t="n">
        <x:f>IF(G40="","",VALUE(RIGHT(G40,1))/5)</x:f>
        <x:v>0.6</x:v>
      </x:c>
      <x:c r="I40" s="2" t="str">
        <x:v>Academic controlled study or public benchmark</x:v>
      </x:c>
      <x:c r="J40" s="6" t="str">
        <x:v>第20–21页（基线描述），第28页后（结果），文本截断</x:v>
      </x:c>
      <x:c r="K40" s="6" t="str">
        <x:v>NR</x:v>
      </x:c>
      <x:c r="L40" s="6" t="str">
        <x:v>在相同数据划分下复现或引用基线，进行量化比较，无工业证据。</x:v>
      </x:c>
      <x:c r="M40" s="2" t="str">
        <x:v>E3</x:v>
      </x:c>
      <x:c r="N40" s="2" t="str">
        <x:v>2026-07-25 00:00:00</x:v>
      </x:c>
      <x:c r="O40" s="6" t="str">
        <x:v>Evaluation description: 与IR、ML、DL及现有LLM方法的基线对比
Source setting: academic
Source record_id: merged_1133; source reviewer=第一作者
The source evaluation table did not store a separate verbatim quotation; evidence_verbatim is therefore NR.</x:v>
      </x:c>
    </x:row>
    <x:row r="41" ht="76" customHeight="1">
      <x:c r="A41" s="2" t="str">
        <x:v>S13-EV1</x:v>
      </x:c>
      <x:c r="B41" s="2" t="str">
        <x:v>S13</x:v>
      </x:c>
      <x:c r="C41" s="2" t="str">
        <x:v>merged_1140</x:v>
      </x:c>
      <x:c r="D41" s="2" t="str">
        <x:v>Published</x:v>
      </x:c>
      <x:c r="E41" s="2" t="str">
        <x:v>Reviewer_A</x:v>
      </x:c>
      <x:c r="F41" s="2" t="str">
        <x:v>Reviewer_A</x:v>
      </x:c>
      <x:c r="G41" s="2" t="str">
        <x:v>EM3</x:v>
      </x:c>
      <x:c r="H41" s="2" t="n">
        <x:f>IF(G41="","",VALUE(RIGHT(G41,1))/5)</x:f>
        <x:v>0.6</x:v>
      </x:c>
      <x:c r="I41" s="2" t="str">
        <x:v>Academic controlled study or public benchmark</x:v>
      </x:c>
      <x:c r="J41" s="6" t="str">
        <x:v>Section 5.1, pages 21-23</x:v>
      </x:c>
      <x:c r="K41" s="6" t="str">
        <x:v>NR</x:v>
      </x:c>
      <x:c r="L41" s="6" t="str">
        <x:v>使用公开benchmark数据集进行系统性比较，属于受控学术环境研究。</x:v>
      </x:c>
      <x:c r="M41" s="2" t="str">
        <x:v>E3</x:v>
      </x:c>
      <x:c r="N41" s="2" t="str">
        <x:v>2026-07-25 00:00:00</x:v>
      </x:c>
      <x:c r="O41" s="6" t="str">
        <x:v>Evaluation description: 数据增强策略有效性评价（RQ1）：在四个公共数据集上比较四种提示策略和四种LLMs与无增强基线的性能。
Source setting: academic
Source record_id: merged_1140; source reviewer=第一作者
The source evaluation table did not store a separate verbatim quotation; evidence_verbatim is therefore NR.</x:v>
      </x:c>
    </x:row>
    <x:row r="42" ht="76" customHeight="1">
      <x:c r="A42" s="2" t="str">
        <x:v>S13-EV2</x:v>
      </x:c>
      <x:c r="B42" s="2" t="str">
        <x:v>S13</x:v>
      </x:c>
      <x:c r="C42" s="2" t="str">
        <x:v>merged_1140</x:v>
      </x:c>
      <x:c r="D42" s="2" t="str">
        <x:v>Published</x:v>
      </x:c>
      <x:c r="E42" s="2" t="str">
        <x:v>Reviewer_A</x:v>
      </x:c>
      <x:c r="F42" s="2" t="str">
        <x:v>Reviewer_A</x:v>
      </x:c>
      <x:c r="G42" s="2" t="str">
        <x:v>EM3</x:v>
      </x:c>
      <x:c r="H42" s="2" t="n">
        <x:f>IF(G42="","",VALUE(RIGHT(G42,1))/5)</x:f>
        <x:v>0.6</x:v>
      </x:c>
      <x:c r="I42" s="2" t="str">
        <x:v>Academic controlled study or public benchmark</x:v>
      </x:c>
      <x:c r="J42" s="6" t="str">
        <x:v>Section 5.2, pages 23-24</x:v>
      </x:c>
      <x:c r="K42" s="6" t="str">
        <x:v>NR</x:v>
      </x:c>
      <x:c r="L42" s="6" t="str">
        <x:v>在相同benchmark上进行统计检验，属于学术环境下的系统比较。</x:v>
      </x:c>
      <x:c r="M42" s="2" t="str">
        <x:v>E3</x:v>
      </x:c>
      <x:c r="N42" s="2" t="str">
        <x:v>2026-07-25 00:00:00</x:v>
      </x:c>
      <x:c r="O42" s="6" t="str">
        <x:v>Evaluation description: LLM影响统计比较（RQ2）：对四种LLM在数据增强任务中的性能进行统计分析。
Source setting: academic
Source record_id: merged_1140; source reviewer=第一作者
The source evaluation table did not store a separate verbatim quotation; evidence_verbatim is therefore NR.</x:v>
      </x:c>
    </x:row>
    <x:row r="43" ht="76" customHeight="1">
      <x:c r="A43" s="2" t="str">
        <x:v>S13-EV3</x:v>
      </x:c>
      <x:c r="B43" s="2" t="str">
        <x:v>S13</x:v>
      </x:c>
      <x:c r="C43" s="2" t="str">
        <x:v>merged_1140</x:v>
      </x:c>
      <x:c r="D43" s="2" t="str">
        <x:v>Published</x:v>
      </x:c>
      <x:c r="E43" s="2" t="str">
        <x:v>Reviewer_A</x:v>
      </x:c>
      <x:c r="F43" s="2" t="str">
        <x:v>Reviewer_A</x:v>
      </x:c>
      <x:c r="G43" s="2" t="str">
        <x:v>EM3</x:v>
      </x:c>
      <x:c r="H43" s="2" t="n">
        <x:f>IF(G43="","",VALUE(RIGHT(G43,1))/5)</x:f>
        <x:v>0.6</x:v>
      </x:c>
      <x:c r="I43" s="2" t="str">
        <x:v>Academic controlled study or public benchmark</x:v>
      </x:c>
      <x:c r="J43" s="6" t="str">
        <x:v>Section 5.3, pages 24-26</x:v>
      </x:c>
      <x:c r="K43" s="6" t="str">
        <x:v>NR</x:v>
      </x:c>
      <x:c r="L43" s="6" t="str">
        <x:v>使用公开数据集进行受控实验，比较不同模型架构。</x:v>
      </x:c>
      <x:c r="M43" s="2" t="str">
        <x:v>E3</x:v>
      </x:c>
      <x:c r="N43" s="2" t="str">
        <x:v>2026-07-25 00:00:00</x:v>
      </x:c>
      <x:c r="O43" s="6" t="str">
        <x:v>Evaluation description: 编码器选择评价（RQ3）：比较CodeBERT和Jina编码器，以及不同序列长度的影响。
Source setting: academic
Source record_id: merged_1140; source reviewer=第一作者
The source evaluation table did not store a separate verbatim quotation; evidence_verbatim is therefore NR.</x:v>
      </x:c>
    </x:row>
    <x:row r="44" ht="76" customHeight="1">
      <x:c r="A44" s="2" t="str">
        <x:v>S13-EV4</x:v>
      </x:c>
      <x:c r="B44" s="2" t="str">
        <x:v>S13</x:v>
      </x:c>
      <x:c r="C44" s="2" t="str">
        <x:v>merged_1140</x:v>
      </x:c>
      <x:c r="D44" s="2" t="str">
        <x:v>Published</x:v>
      </x:c>
      <x:c r="E44" s="2" t="str">
        <x:v>Reviewer_A</x:v>
      </x:c>
      <x:c r="F44" s="2" t="str">
        <x:v>Reviewer_A</x:v>
      </x:c>
      <x:c r="G44" s="2" t="str">
        <x:v>EM3</x:v>
      </x:c>
      <x:c r="H44" s="2" t="n">
        <x:f>IF(G44="","",VALUE(RIGHT(G44,1))/5)</x:f>
        <x:v>0.6</x:v>
      </x:c>
      <x:c r="I44" s="2" t="str">
        <x:v>Academic controlled study or public benchmark</x:v>
      </x:c>
      <x:c r="J44" s="6" t="str">
        <x:v>Section 5.4, pages 27-28</x:v>
      </x:c>
      <x:c r="K44" s="6" t="str">
        <x:v>NR</x:v>
      </x:c>
      <x:c r="L44" s="6" t="str">
        <x:v>使用公开benchmark进行系统比较，无真实企业部署证据。</x:v>
      </x:c>
      <x:c r="M44" s="2" t="str">
        <x:v>E3</x:v>
      </x:c>
      <x:c r="N44" s="2" t="str">
        <x:v>2026-07-25 00:00:00</x:v>
      </x:c>
      <x:c r="O44" s="6" t="str">
        <x:v>Evaluation description: 最终框架与基线比较（RQ4）：将优化框架与10个基线在四个数据集上比较。
Source setting: academic
Source record_id: merged_1140; source reviewer=第一作者
The source evaluation table did not store a separate verbatim quotation; evidence_verbatim is therefore NR.</x:v>
      </x:c>
    </x:row>
    <x:row r="45" ht="76" customHeight="1">
      <x:c r="A45" s="2" t="str">
        <x:v>S14-EV1</x:v>
      </x:c>
      <x:c r="B45" s="2" t="str">
        <x:v>S14</x:v>
      </x:c>
      <x:c r="C45" s="2" t="str">
        <x:v>merged_1142-v1</x:v>
      </x:c>
      <x:c r="D45" s="2" t="str">
        <x:v>Preprint</x:v>
      </x:c>
      <x:c r="E45" s="2" t="str">
        <x:v>Reviewer_A</x:v>
      </x:c>
      <x:c r="F45" s="2" t="str">
        <x:v>Reviewer_A</x:v>
      </x:c>
      <x:c r="G45" s="2" t="str">
        <x:v>EM3</x:v>
      </x:c>
      <x:c r="H45" s="2" t="n">
        <x:f>IF(G45="","",VALUE(RIGHT(G45,1))/5)</x:f>
        <x:v>0.6</x:v>
      </x:c>
      <x:c r="I45" s="2" t="str">
        <x:v>Academic controlled study or public benchmark</x:v>
      </x:c>
      <x:c r="J45" s="6" t="str">
        <x:v>第3节实验研究</x:v>
      </x:c>
      <x:c r="K45" s="6" t="str">
        <x:v>NR</x:v>
      </x:c>
      <x:c r="L45" s="6" t="str">
        <x:v>使用公开benchmark数据集进行系统比较，属于学术环境下的受控研究。</x:v>
      </x:c>
      <x:c r="M45" s="2" t="str">
        <x:v>E3</x:v>
      </x:c>
      <x:c r="N45" s="2" t="str">
        <x:v>2026-07-25 00:00:00</x:v>
      </x:c>
      <x:c r="O45" s="6" t="str">
        <x:v>Evaluation description: 在99个开源项目上使用Difference Ratio度量和RoBERTa模型评估文本相似度方法的有效性
Source setting: academic
Source record_id: merged_1142; source reviewer=第一作者
The source evaluation table did not store a separate verbatim quotation; evidence_verbatim is therefore NR.</x:v>
      </x:c>
    </x:row>
    <x:row r="46" ht="76" customHeight="1">
      <x:c r="A46" s="2" t="str">
        <x:v>S14-EV2</x:v>
      </x:c>
      <x:c r="B46" s="2" t="str">
        <x:v>S14</x:v>
      </x:c>
      <x:c r="C46" s="2" t="str">
        <x:v>merged_1142-v1</x:v>
      </x:c>
      <x:c r="D46" s="2" t="str">
        <x:v>Preprint</x:v>
      </x:c>
      <x:c r="E46" s="2" t="str">
        <x:v>Reviewer_A</x:v>
      </x:c>
      <x:c r="F46" s="2" t="str">
        <x:v>Reviewer_A</x:v>
      </x:c>
      <x:c r="G46" s="2" t="str">
        <x:v>EM3</x:v>
      </x:c>
      <x:c r="H46" s="2" t="n">
        <x:f>IF(G46="","",VALUE(RIGHT(G46,1))/5)</x:f>
        <x:v>0.6</x:v>
      </x:c>
      <x:c r="I46" s="2" t="str">
        <x:v>Academic controlled study or public benchmark</x:v>
      </x:c>
      <x:c r="J46" s="6" t="str">
        <x:v>第4节案例研究及实验结果</x:v>
      </x:c>
      <x:c r="K46" s="6" t="str">
        <x:v>NR</x:v>
      </x:c>
      <x:c r="L46" s="6" t="str">
        <x:v>使用公开数据集进行离线实验和系统比较，属于学术基准测试。</x:v>
      </x:c>
      <x:c r="M46" s="2" t="str">
        <x:v>E3</x:v>
      </x:c>
      <x:c r="N46" s="2" t="str">
        <x:v>2026-07-25 00:00:00</x:v>
      </x:c>
      <x:c r="O46" s="6" t="str">
        <x:v>Evaluation description: 在12个开源项目上对多策略HGT和Gemini模型进行消融实验和基线比较
Source setting: academic
Source record_id: merged_1142; source reviewer=第一作者
The source evaluation table did not store a separate verbatim quotation; evidence_verbatim is therefore NR.</x:v>
      </x:c>
    </x:row>
    <x:row r="47" ht="76" customHeight="1">
      <x:c r="A47" s="2" t="str">
        <x:v>S15-EV1</x:v>
      </x:c>
      <x:c r="B47" s="2" t="str">
        <x:v>S15</x:v>
      </x:c>
      <x:c r="C47" s="2" t="str">
        <x:v>merged_1143</x:v>
      </x:c>
      <x:c r="D47" s="2" t="str">
        <x:v>Published</x:v>
      </x:c>
      <x:c r="E47" s="2" t="str">
        <x:v>Reviewer_A</x:v>
      </x:c>
      <x:c r="F47" s="2" t="str">
        <x:v>Reviewer_A</x:v>
      </x:c>
      <x:c r="G47" s="2" t="str">
        <x:v>EM3</x:v>
      </x:c>
      <x:c r="H47" s="2" t="n">
        <x:f>IF(G47="","",VALUE(RIGHT(G47,1))/5)</x:f>
        <x:v>0.6</x:v>
      </x:c>
      <x:c r="I47" s="2" t="str">
        <x:v>Academic controlled study or public benchmark</x:v>
      </x:c>
      <x:c r="J47" s="6" t="str">
        <x:v>P4 Section IV.A; P5 Results RQ1</x:v>
      </x:c>
      <x:c r="K47" s="6" t="str">
        <x:v>NR</x:v>
      </x:c>
      <x:c r="L47" s="6" t="str">
        <x:v>Controlled study using student interview transcripts, manual labeling by authors, systematic accuracy measurement. No industrial deployment.</x:v>
      </x:c>
      <x:c r="M47" s="2" t="str">
        <x:v>E3</x:v>
      </x:c>
      <x:c r="N47" s="2" t="str">
        <x:v>2026-07-25 00:00:00</x:v>
      </x:c>
      <x:c r="O47" s="6" t="str">
        <x:v>Evaluation description: Goal traceability accuracy evaluation (RQ1) – manual verification of extracted goal traces to source text on 34 transcripts
Source setting: academic
Source record_id: merged_1143; source reviewer=第一作者
The source evaluation table did not store a separate verbatim quotation; evidence_verbatim is therefore NR.</x:v>
      </x:c>
    </x:row>
    <x:row r="48" ht="76" customHeight="1">
      <x:c r="A48" s="2" t="str">
        <x:v>S15-EV2</x:v>
      </x:c>
      <x:c r="B48" s="2" t="str">
        <x:v>S15</x:v>
      </x:c>
      <x:c r="C48" s="2" t="str">
        <x:v>merged_1143</x:v>
      </x:c>
      <x:c r="D48" s="2" t="str">
        <x:v>Published</x:v>
      </x:c>
      <x:c r="E48" s="2" t="str">
        <x:v>Reviewer_A</x:v>
      </x:c>
      <x:c r="F48" s="2" t="str">
        <x:v>Reviewer_A</x:v>
      </x:c>
      <x:c r="G48" s="2" t="str">
        <x:v>EM3</x:v>
      </x:c>
      <x:c r="H48" s="2" t="n">
        <x:f>IF(G48="","",VALUE(RIGHT(G48,1))/5)</x:f>
        <x:v>0.6</x:v>
      </x:c>
      <x:c r="I48" s="2" t="str">
        <x:v>Academic controlled study or public benchmark</x:v>
      </x:c>
      <x:c r="J48" s="6" t="str">
        <x:v>P4 Section IV.A (RQ2); P5 Results RQ2</x:v>
      </x:c>
      <x:c r="K48" s="6" t="str">
        <x:v>NR</x:v>
      </x:c>
      <x:c r="L48" s="6" t="str">
        <x:v>Academic benchmark: human goals taken from student assignments, compared via author labeling. No real-world industrial data.</x:v>
      </x:c>
      <x:c r="M48" s="2" t="str">
        <x:v>E3</x:v>
      </x:c>
      <x:c r="N48" s="2" t="str">
        <x:v>2026-07-25 00:00:00</x:v>
      </x:c>
      <x:c r="O48" s="6" t="str">
        <x:v>Evaluation description: Comparison of LLM-extracted goals with human-extracted goals (RQ2) – manual mapping and categorization on 15 transcripts
Source setting: academic
Source record_id: merged_1143; source reviewer=第一作者
The source evaluation table did not store a separate verbatim quotation; evidence_verbatim is therefore NR.</x:v>
      </x:c>
    </x:row>
    <x:row r="49" ht="76" customHeight="1">
      <x:c r="A49" s="2" t="str">
        <x:v>S15-EV3</x:v>
      </x:c>
      <x:c r="B49" s="2" t="str">
        <x:v>S15</x:v>
      </x:c>
      <x:c r="C49" s="2" t="str">
        <x:v>merged_1143</x:v>
      </x:c>
      <x:c r="D49" s="2" t="str">
        <x:v>Published</x:v>
      </x:c>
      <x:c r="E49" s="2" t="str">
        <x:v>Reviewer_A</x:v>
      </x:c>
      <x:c r="F49" s="2" t="str">
        <x:v>Reviewer_A</x:v>
      </x:c>
      <x:c r="G49" s="2" t="str">
        <x:v>EM3</x:v>
      </x:c>
      <x:c r="H49" s="2" t="n">
        <x:f>IF(G49="","",VALUE(RIGHT(G49,1))/5)</x:f>
        <x:v>0.6</x:v>
      </x:c>
      <x:c r="I49" s="2" t="str">
        <x:v>Academic controlled study or public benchmark</x:v>
      </x:c>
      <x:c r="J49" s="6" t="str">
        <x:v>P4 Section IV.B; P5-P6 Results RQ3; P6-P7 Discussion</x:v>
      </x:c>
      <x:c r="K49" s="6" t="str">
        <x:v>NR</x:v>
      </x:c>
      <x:c r="L49" s="6" t="str">
        <x:v>Ground truth established by two authors with inter-rater agreement (kappa=0.711). 150 models evaluated, accuracy computed. Entirely offline, using student transcripts.</x:v>
      </x:c>
      <x:c r="M49" s="2" t="str">
        <x:v>E3</x:v>
      </x:c>
      <x:c r="N49" s="2" t="str">
        <x:v>2026-07-25 00:00:00</x:v>
      </x:c>
      <x:c r="O49" s="6" t="str">
        <x:v>Evaluation description: Refinement relationship accuracy evaluation (RQ3) – manual labeling of 550 sampled edges from 150 generated goal models
Source setting: academic
Source record_id: merged_1143; source reviewer=第一作者
The source evaluation table did not store a separate verbatim quotation; evidence_verbatim is therefore NR.</x:v>
      </x:c>
    </x:row>
    <x:row r="50" ht="76" customHeight="1">
      <x:c r="A50" s="2" t="str">
        <x:v>S16-EV1</x:v>
      </x:c>
      <x:c r="B50" s="2" t="str">
        <x:v>S16</x:v>
      </x:c>
      <x:c r="C50" s="2" t="str">
        <x:v>merged_1144</x:v>
      </x:c>
      <x:c r="D50" s="2" t="str">
        <x:v>Published</x:v>
      </x:c>
      <x:c r="E50" s="2" t="str">
        <x:v>Reviewer_A</x:v>
      </x:c>
      <x:c r="F50" s="2" t="str">
        <x:v>Reviewer_A</x:v>
      </x:c>
      <x:c r="G50" s="2" t="str">
        <x:v>EM3</x:v>
      </x:c>
      <x:c r="H50" s="2" t="n">
        <x:f>IF(G50="","",VALUE(RIGHT(G50,1))/5)</x:f>
        <x:v>0.6</x:v>
      </x:c>
      <x:c r="I50" s="2" t="str">
        <x:v>Academic controlled study or public benchmark</x:v>
      </x:c>
      <x:c r="J50" s="6" t="str">
        <x:v>Pages 8–9, Section 6.1 (Tables 2 and 4)</x:v>
      </x:c>
      <x:c r="K50" s="6" t="str">
        <x:v>NR</x:v>
      </x:c>
      <x:c r="L50" s="6" t="str">
        <x:v>Controlled benchmark using publicly available open-source project data; no evidence of industrial application. The experiments are systematic comparisons in an academic environment.</x:v>
      </x:c>
      <x:c r="M50" s="2" t="str">
        <x:v>E3</x:v>
      </x:c>
      <x:c r="N50" s="2" t="str">
        <x:v>2026-07-25 00:00:00</x:v>
      </x:c>
      <x:c r="O50" s="6" t="str">
        <x:v>Evaluation description: Evaluation of EALink’s performance under original (99 fixed false links) and Realistic Distribution Setting (RDS) datasets across 20 projects, including comparison with VSM baseline.
Source setting: academic
Source record_id: merged_1144; source reviewer=第一作者
The source evaluation table did not store a separate verbatim quotation; evidence_verbatim is therefore NR.</x:v>
      </x:c>
    </x:row>
    <x:row r="51" ht="76" customHeight="1">
      <x:c r="A51" s="2" t="str">
        <x:v>S16-EV2</x:v>
      </x:c>
      <x:c r="B51" s="2" t="str">
        <x:v>S16</x:v>
      </x:c>
      <x:c r="C51" s="2" t="str">
        <x:v>merged_1144</x:v>
      </x:c>
      <x:c r="D51" s="2" t="str">
        <x:v>Published</x:v>
      </x:c>
      <x:c r="E51" s="2" t="str">
        <x:v>Reviewer_A</x:v>
      </x:c>
      <x:c r="F51" s="2" t="str">
        <x:v>Reviewer_A</x:v>
      </x:c>
      <x:c r="G51" s="2" t="str">
        <x:v>EM3</x:v>
      </x:c>
      <x:c r="H51" s="2" t="n">
        <x:f>IF(G51="","",VALUE(RIGHT(G51,1))/5)</x:f>
        <x:v>0.6</x:v>
      </x:c>
      <x:c r="I51" s="2" t="str">
        <x:v>Academic controlled study or public benchmark</x:v>
      </x:c>
      <x:c r="J51" s="6" t="str">
        <x:v>Pages 9–10, Section 6.2 (Tables 3–5)</x:v>
      </x:c>
      <x:c r="K51" s="6" t="str">
        <x:v>NR</x:v>
      </x:c>
      <x:c r="L51" s="6" t="str">
        <x:v>Academic benchmark with multiple metrics; uses standard datasets and provides performance comparisons. No evidence of industrial pilot or adoption is claimed.</x:v>
      </x:c>
      <x:c r="M51" s="2" t="str">
        <x:v>E3</x:v>
      </x:c>
      <x:c r="N51" s="2" t="str">
        <x:v>2026-07-25 00:00:00</x:v>
      </x:c>
      <x:c r="O51" s="6" t="str">
        <x:v>Evaluation description: Evaluation of EasyLink and vector DB-only on original and RDS datasets, comparison with EALink and VSM, and efficiency analysis (training/testing time) across all 20 projects.
Source setting: academic
Source record_id: merged_1144; source reviewer=第一作者
The source evaluation table did not store a separate verbatim quotation; evidence_verbatim is therefore NR.</x:v>
      </x:c>
    </x:row>
    <x:row r="52" ht="76" customHeight="1">
      <x:c r="A52" s="2" t="str">
        <x:v>S16-EV3</x:v>
      </x:c>
      <x:c r="B52" s="2" t="str">
        <x:v>S16</x:v>
      </x:c>
      <x:c r="C52" s="2" t="str">
        <x:v>merged_1144</x:v>
      </x:c>
      <x:c r="D52" s="2" t="str">
        <x:v>Published</x:v>
      </x:c>
      <x:c r="E52" s="2" t="str">
        <x:v>Reviewer_A</x:v>
      </x:c>
      <x:c r="F52" s="2" t="str">
        <x:v>Reviewer_A</x:v>
      </x:c>
      <x:c r="G52" s="2" t="str">
        <x:v>EM3</x:v>
      </x:c>
      <x:c r="H52" s="2" t="n">
        <x:f>IF(G52="","",VALUE(RIGHT(G52,1))/5)</x:f>
        <x:v>0.6</x:v>
      </x:c>
      <x:c r="I52" s="2" t="str">
        <x:v>Academic controlled study or public benchmark</x:v>
      </x:c>
      <x:c r="J52" s="6" t="str">
        <x:v>Pages 9–10, Section 6.3 (Table 6, Figure 4)</x:v>
      </x:c>
      <x:c r="K52" s="6" t="str">
        <x:v>NR</x:v>
      </x:c>
      <x:c r="L52" s="6" t="str">
        <x:v>Academic parameter sensitivity analysis; performed on the same RDS benchmark. No industrial context; controlled environment.</x:v>
      </x:c>
      <x:c r="M52" s="2" t="str">
        <x:v>E3</x:v>
      </x:c>
      <x:c r="N52" s="2" t="str">
        <x:v>2026-07-25 00:00:00</x:v>
      </x:c>
      <x:c r="O52" s="6" t="str">
        <x:v>Evaluation description: Ablation study on EasyLink configurations: three different embedding models (MiniLM, MPNet, OpenAI) and varying k values (5,10,15,20) for LLM reranking.
Source setting: academic
Source record_id: merged_1144; source reviewer=第一作者
The source evaluation table did not store a separate verbatim quotation; evidence_verbatim is therefore NR.</x:v>
      </x:c>
    </x:row>
    <x:row r="53" ht="76" customHeight="1">
      <x:c r="A53" s="2" t="str">
        <x:v>S17-EV1</x:v>
      </x:c>
      <x:c r="B53" s="2" t="str">
        <x:v>S17</x:v>
      </x:c>
      <x:c r="C53" s="2" t="str">
        <x:v>merged_1148-v1</x:v>
      </x:c>
      <x:c r="D53" s="2" t="str">
        <x:v>Preprint</x:v>
      </x:c>
      <x:c r="E53" s="2" t="str">
        <x:v>Reviewer_A</x:v>
      </x:c>
      <x:c r="F53" s="2" t="str">
        <x:v>Reviewer_A</x:v>
      </x:c>
      <x:c r="G53" s="2" t="str">
        <x:v>EM3</x:v>
      </x:c>
      <x:c r="H53" s="2" t="n">
        <x:f>IF(G53="","",VALUE(RIGHT(G53,1))/5)</x:f>
        <x:v>0.6</x:v>
      </x:c>
      <x:c r="I53" s="2" t="str">
        <x:v>Academic controlled study or public benchmark</x:v>
      </x:c>
      <x:c r="J53" s="6" t="str">
        <x:v>第8页</x:v>
      </x:c>
      <x:c r="K53" s="6" t="str">
        <x:v>NR</x:v>
      </x:c>
      <x:c r="L53" s="6" t="str">
        <x:v>使用公开案例进行受控实验，在学术环境下比较LLM输出与人工判断，属于benchmark式评估，无真实工业部署。</x:v>
      </x:c>
      <x:c r="M53" s="2" t="str">
        <x:v>E3</x:v>
      </x:c>
      <x:c r="N53" s="2" t="str">
        <x:v>2026-07-25 00:00:00</x:v>
      </x:c>
      <x:c r="O53" s="6" t="str">
        <x:v>Evaluation description: UCA和损失场景生成评估，基于STPA手册中的自动刹车子系统案例，由需求工程师审核接受率。
Source setting: academic
Source record_id: merged_1148; source reviewer=第一作者
The source evaluation table did not store a separate verbatim quotation; evidence_verbatim is therefore NR.</x:v>
      </x:c>
    </x:row>
    <x:row r="54" ht="76" customHeight="1">
      <x:c r="A54" s="2" t="str">
        <x:v>S17-EV2</x:v>
      </x:c>
      <x:c r="B54" s="2" t="str">
        <x:v>S17</x:v>
      </x:c>
      <x:c r="C54" s="2" t="str">
        <x:v>merged_1148-v1</x:v>
      </x:c>
      <x:c r="D54" s="2" t="str">
        <x:v>Preprint</x:v>
      </x:c>
      <x:c r="E54" s="2" t="str">
        <x:v>Reviewer_A</x:v>
      </x:c>
      <x:c r="F54" s="2" t="str">
        <x:v>Reviewer_A</x:v>
      </x:c>
      <x:c r="G54" s="2" t="str">
        <x:v>EM3</x:v>
      </x:c>
      <x:c r="H54" s="2" t="n">
        <x:f>IF(G54="","",VALUE(RIGHT(G54,1))/5)</x:f>
        <x:v>0.6</x:v>
      </x:c>
      <x:c r="I54" s="2" t="str">
        <x:v>Academic controlled study or public benchmark</x:v>
      </x:c>
      <x:c r="J54" s="6" t="str">
        <x:v>第8-9页，表II</x:v>
      </x:c>
      <x:c r="K54" s="6" t="str">
        <x:v>NR</x:v>
      </x:c>
      <x:c r="L54" s="6" t="str">
        <x:v>采用标准度量在公开数据集上系统比较，体现学术受控研究特征，未涉及工业实际应用。</x:v>
      </x:c>
      <x:c r="M54" s="2" t="str">
        <x:v>E3</x:v>
      </x:c>
      <x:c r="N54" s="2" t="str">
        <x:v>2026-07-25 00:00:00</x:v>
      </x:c>
      <x:c r="O54" s="6" t="str">
        <x:v>Evaluation description: 危害-损失链接准确性评估，在STPA手册的五个系统上用LLM生成链接并与手册标注对比，计算精确率、召回率等。
Source setting: academic
Source record_id: merged_1148; source reviewer=第一作者
The source evaluation table did not store a separate verbatim quotation; evidence_verbatim is therefore NR.</x:v>
      </x:c>
    </x:row>
    <x:row r="55" ht="76" customHeight="1">
      <x:c r="A55" s="2" t="str">
        <x:v>S18-EV1</x:v>
      </x:c>
      <x:c r="B55" s="2" t="str">
        <x:v>S18</x:v>
      </x:c>
      <x:c r="C55" s="2" t="str">
        <x:v>merged_1149</x:v>
      </x:c>
      <x:c r="D55" s="2" t="str">
        <x:v>Published</x:v>
      </x:c>
      <x:c r="E55" s="2" t="str">
        <x:v>Reviewer_A</x:v>
      </x:c>
      <x:c r="F55" s="2" t="str">
        <x:v>Reviewer_A</x:v>
      </x:c>
      <x:c r="G55" s="2" t="str">
        <x:v>EM3</x:v>
      </x:c>
      <x:c r="H55" s="2" t="n">
        <x:f>IF(G55="","",VALUE(RIGHT(G55,1))/5)</x:f>
        <x:v>0.6</x:v>
      </x:c>
      <x:c r="I55" s="2" t="str">
        <x:v>Academic controlled study or public benchmark</x:v>
      </x:c>
      <x:c r="J55" s="6" t="str">
        <x:v>第15-16页 Section 4.5, Table 4</x:v>
      </x:c>
      <x:c r="K55" s="6" t="str">
        <x:v>NR</x:v>
      </x:c>
      <x:c r="L55" s="6" t="str">
        <x:v>使用公开benchmark数据集，系统比较多个模型，属于学术受控研究。</x:v>
      </x:c>
      <x:c r="M55" s="2" t="str">
        <x:v>E3</x:v>
      </x:c>
      <x:c r="N55" s="2" t="str">
        <x:v>2026-07-25 00:00:00</x:v>
      </x:c>
      <x:c r="O55" s="6" t="str">
        <x:v>Evaluation description: RQ1：在HIPAA数据集上以零样本方式对38个预训练ST模型进行AUC比较，选择最佳模型
Source setting: academic
Source record_id: merged_1149; source reviewer=第一作者
The source evaluation table did not store a separate verbatim quotation; evidence_verbatim is therefore NR.</x:v>
      </x:c>
    </x:row>
    <x:row r="56" ht="76" customHeight="1">
      <x:c r="A56" s="2" t="str">
        <x:v>S18-EV2</x:v>
      </x:c>
      <x:c r="B56" s="2" t="str">
        <x:v>S18</x:v>
      </x:c>
      <x:c r="C56" s="2" t="str">
        <x:v>merged_1149</x:v>
      </x:c>
      <x:c r="D56" s="2" t="str">
        <x:v>Published</x:v>
      </x:c>
      <x:c r="E56" s="2" t="str">
        <x:v>Reviewer_A</x:v>
      </x:c>
      <x:c r="F56" s="2" t="str">
        <x:v>Reviewer_A</x:v>
      </x:c>
      <x:c r="G56" s="2" t="str">
        <x:v>EM3</x:v>
      </x:c>
      <x:c r="H56" s="2" t="n">
        <x:f>IF(G56="","",VALUE(RIGHT(G56,1))/5)</x:f>
        <x:v>0.6</x:v>
      </x:c>
      <x:c r="I56" s="2" t="str">
        <x:v>Academic controlled study or public benchmark</x:v>
      </x:c>
      <x:c r="J56" s="6" t="str">
        <x:v>第16-17页 Section 4.6, Table 5, Figure 5</x:v>
      </x:c>
      <x:c r="K56" s="6" t="str">
        <x:v>NR</x:v>
      </x:c>
      <x:c r="L56" s="6" t="str">
        <x:v>在公开benchmark上开展受控比较，采用标准指标和统计量，未涉及工业环境。</x:v>
      </x:c>
      <x:c r="M56" s="2" t="str">
        <x:v>E3</x:v>
      </x:c>
      <x:c r="N56" s="2" t="str">
        <x:v>2026-07-25 00:00:00</x:v>
      </x:c>
      <x:c r="O56" s="6" t="str">
        <x:v>Evaluation description: RQ2：在HIPAA数据集上用留一法比较Kashif变体与七个基线分类器（LSI, LDA, B, GloVe, TraceBERT, RoBERTa, LLaMa）
Source setting: academic
Source record_id: merged_1149; source reviewer=第一作者
The source evaluation table did not store a separate verbatim quotation; evidence_verbatim is therefore NR.</x:v>
      </x:c>
    </x:row>
    <x:row r="57" ht="76" customHeight="1">
      <x:c r="A57" s="2" t="str">
        <x:v>S18-EV3</x:v>
      </x:c>
      <x:c r="B57" s="2" t="str">
        <x:v>S18</x:v>
      </x:c>
      <x:c r="C57" s="2" t="str">
        <x:v>merged_1149</x:v>
      </x:c>
      <x:c r="D57" s="2" t="str">
        <x:v>Published</x:v>
      </x:c>
      <x:c r="E57" s="2" t="str">
        <x:v>Reviewer_A</x:v>
      </x:c>
      <x:c r="F57" s="2" t="str">
        <x:v>Reviewer_A</x:v>
      </x:c>
      <x:c r="G57" s="2" t="str">
        <x:v>EM3</x:v>
      </x:c>
      <x:c r="H57" s="2" t="n">
        <x:f>IF(G57="","",VALUE(RIGHT(G57,1))/5)</x:f>
        <x:v>0.6</x:v>
      </x:c>
      <x:c r="I57" s="2" t="str">
        <x:v>Academic controlled study or public benchmark</x:v>
      </x:c>
      <x:c r="J57" s="6" t="str">
        <x:v>第17页 Section 4.7（节标题）</x:v>
      </x:c>
      <x:c r="K57" s="6" t="str">
        <x:v>NR</x:v>
      </x:c>
      <x:c r="L57" s="6" t="str">
        <x:v>新数据集虽更复杂，但限于学术内部构建，无工业项目或真实用户参与。</x:v>
      </x:c>
      <x:c r="M57" s="2" t="str">
        <x:v>E3</x:v>
      </x:c>
      <x:c r="N57" s="2" t="str">
        <x:v>2026-07-25 00:00:00</x:v>
      </x:c>
      <x:c r="O57" s="6" t="str">
        <x:v>Evaluation description: RQ3：在新创建的GDPR数据集（四个文档）上评估Kashif性能
Source setting: academic
Source record_id: merged_1149; source reviewer=第一作者
The source evaluation table did not store a separate verbatim quotation; evidence_verbatim is therefore NR.</x:v>
      </x:c>
    </x:row>
    <x:row r="58" ht="76" customHeight="1">
      <x:c r="A58" s="2" t="str">
        <x:v>S18-EV4</x:v>
      </x:c>
      <x:c r="B58" s="2" t="str">
        <x:v>S18</x:v>
      </x:c>
      <x:c r="C58" s="2" t="str">
        <x:v>merged_1149</x:v>
      </x:c>
      <x:c r="D58" s="2" t="str">
        <x:v>Published</x:v>
      </x:c>
      <x:c r="E58" s="2" t="str">
        <x:v>Reviewer_A</x:v>
      </x:c>
      <x:c r="F58" s="2" t="str">
        <x:v>Reviewer_A</x:v>
      </x:c>
      <x:c r="G58" s="2" t="str">
        <x:v>EM3</x:v>
      </x:c>
      <x:c r="H58" s="2" t="n">
        <x:f>IF(G58="","",VALUE(RIGHT(G58,1))/5)</x:f>
        <x:v>0.6</x:v>
      </x:c>
      <x:c r="I58" s="2" t="str">
        <x:v>Academic controlled study or public benchmark</x:v>
      </x:c>
      <x:c r="J58" s="6" t="str">
        <x:v>第18页 Section 4.8（标题及部分内容）</x:v>
      </x:c>
      <x:c r="K58" s="6" t="str">
        <x:v>NR</x:v>
      </x:c>
      <x:c r="L58" s="6" t="str">
        <x:v>使用学术创建的数据集，比较不同提示策略，不涉及工业案例或持续使用。</x:v>
      </x:c>
      <x:c r="M58" s="2" t="str">
        <x:v>E3</x:v>
      </x:c>
      <x:c r="N58" s="2" t="str">
        <x:v>2026-07-25 00:00:00</x:v>
      </x:c>
      <x:c r="O58" s="6" t="str">
        <x:v>Evaluation description: RQ4：在GDPR数据集上比较Rice LRT与Kashif及四个提示基线（P1, P2, P3-1, P3-2）
Source setting: academic
Source record_id: merged_1149; source reviewer=第一作者
The source evaluation table did not store a separate verbatim quotation; evidence_verbatim is therefore NR.</x:v>
      </x:c>
    </x:row>
    <x:row r="59" ht="76" customHeight="1">
      <x:c r="A59" s="2" t="str">
        <x:v>S19-EV1</x:v>
      </x:c>
      <x:c r="B59" s="2" t="str">
        <x:v>S19</x:v>
      </x:c>
      <x:c r="C59" s="2" t="str">
        <x:v>merged_1150</x:v>
      </x:c>
      <x:c r="D59" s="2" t="str">
        <x:v>Published</x:v>
      </x:c>
      <x:c r="E59" s="2" t="str">
        <x:v>Reviewer_A</x:v>
      </x:c>
      <x:c r="F59" s="2" t="str">
        <x:v>Reviewer_A</x:v>
      </x:c>
      <x:c r="G59" s="2" t="str">
        <x:v>EM3</x:v>
      </x:c>
      <x:c r="H59" s="2" t="n">
        <x:f>IF(G59="","",VALUE(RIGHT(G59,1))/5)</x:f>
        <x:v>0.6</x:v>
      </x:c>
      <x:c r="I59" s="2" t="str">
        <x:v>Academic controlled study or public benchmark</x:v>
      </x:c>
      <x:c r="J59" s="6" t="str">
        <x:v>第2-4页, III 和 IV</x:v>
      </x:c>
      <x:c r="K59" s="6" t="str">
        <x:v>NR</x:v>
      </x:c>
      <x:c r="L59" s="6" t="str">
        <x:v>使用离线benchmark进行系统比较，无真实工业环境或持续使用证据，符合E3学术受控研究特征。</x:v>
      </x:c>
      <x:c r="M59" s="2" t="str">
        <x:v>E3</x:v>
      </x:c>
      <x:c r="N59" s="2" t="str">
        <x:v>2026-07-25 00:00:00</x:v>
      </x:c>
      <x:c r="O59" s="6" t="str">
        <x:v>Evaluation description: 在五个手工策划的游戏项目上，通过不同比例和类型的需求气味进行受控基准实验，测量GPT-4o和Llama 3.1的追踪性能。
Source setting: academic
Source record_id: merged_1150; source reviewer=第一作者
The source evaluation table did not store a separate verbatim quotation; evidence_verbatim is therefore NR.</x:v>
      </x:c>
    </x:row>
    <x:row r="60" ht="76" customHeight="1">
      <x:c r="A60" s="2" t="str">
        <x:v>S20-EV1</x:v>
      </x:c>
      <x:c r="B60" s="2" t="str">
        <x:v>S20</x:v>
      </x:c>
      <x:c r="C60" s="2" t="str">
        <x:v>merged_1151-v1</x:v>
      </x:c>
      <x:c r="D60" s="2" t="str">
        <x:v>Preprint</x:v>
      </x:c>
      <x:c r="E60" s="2" t="str">
        <x:v>Reviewer_A</x:v>
      </x:c>
      <x:c r="F60" s="2" t="str">
        <x:v>Reviewer_A</x:v>
      </x:c>
      <x:c r="G60" s="2" t="str">
        <x:v>EM3</x:v>
      </x:c>
      <x:c r="H60" s="2" t="n">
        <x:f>IF(G60="","",VALUE(RIGHT(G60,1))/5)</x:f>
        <x:v>0.6</x:v>
      </x:c>
      <x:c r="I60" s="2" t="str">
        <x:v>Academic controlled study or public benchmark</x:v>
      </x:c>
      <x:c r="J60" s="6" t="str">
        <x:v>第18页图8及相应文字（第17-18页）。</x:v>
      </x:c>
      <x:c r="K60" s="6" t="str">
        <x:v>NR</x:v>
      </x:c>
      <x:c r="L60" s="6" t="str">
        <x:v>在公开的离线数据集上进行系统对比实验，属于受控学术环境下的基准测试，无真实用户或工业流程证据。</x:v>
      </x:c>
      <x:c r="M60" s="2" t="str">
        <x:v>E3</x:v>
      </x:c>
      <x:c r="N60" s="2" t="str">
        <x:v>2026-07-25 00:00:00</x:v>
      </x:c>
      <x:c r="O60" s="6" t="str">
        <x:v>Evaluation description: 检索覆盖率比较：在不同相似度阈值下比较Graph-RAG与基线RAG（结合GPT-4o和GPT-4o-mini）在两个SRS数据集上检索相关参考文本的覆盖率，共206个需求。
Source setting: academic
Source record_id: merged_1151; source reviewer=第一作者
The source evaluation table did not store a separate verbatim quotation; evidence_verbatim is therefore NR.</x:v>
      </x:c>
    </x:row>
    <x:row r="61" ht="76" customHeight="1">
      <x:c r="A61" s="2" t="str">
        <x:v>S20-EV2</x:v>
      </x:c>
      <x:c r="B61" s="2" t="str">
        <x:v>S20</x:v>
      </x:c>
      <x:c r="C61" s="2" t="str">
        <x:v>merged_1151-v1</x:v>
      </x:c>
      <x:c r="D61" s="2" t="str">
        <x:v>Preprint</x:v>
      </x:c>
      <x:c r="E61" s="2" t="str">
        <x:v>Reviewer_A</x:v>
      </x:c>
      <x:c r="F61" s="2" t="str">
        <x:v>Reviewer_A</x:v>
      </x:c>
      <x:c r="G61" s="2" t="str">
        <x:v>EM3</x:v>
      </x:c>
      <x:c r="H61" s="2" t="n">
        <x:f>IF(G61="","",VALUE(RIGHT(G61,1))/5)</x:f>
        <x:v>0.6</x:v>
      </x:c>
      <x:c r="I61" s="2" t="str">
        <x:v>Academic controlled study or public benchmark</x:v>
      </x:c>
      <x:c r="J61" s="6" t="str">
        <x:v>第18-20页表5、表6及图9，第18页“5.2 Results”节。</x:v>
      </x:c>
      <x:c r="K61" s="6" t="str">
        <x:v>NR</x:v>
      </x:c>
      <x:c r="L61" s="6" t="str">
        <x:v>基于离线的标注数据集进行系统比较，采用标准多分类指标，属于典型的学术受控研究，未涉及工业部署或持续使用。</x:v>
      </x:c>
      <x:c r="M61" s="2" t="str">
        <x:v>E3</x:v>
      </x:c>
      <x:c r="N61" s="2" t="str">
        <x:v>2026-07-25 00:00:00</x:v>
      </x:c>
      <x:c r="O61" s="6" t="str">
        <x:v>Evaluation description: 合规性检查性能评估：对四种模型（RAG/Graph-RAG × GPT-4o/4o-mini）在三种提示（IO、CoT、ToT）下检测非合规需求的精确率、召回率、F1分数，在两份SRS数据集上进行。
Source setting: academic
Source record_id: merged_1151; source reviewer=第一作者
The source evaluation table did not store a separate verbatim quotation; evidence_verbatim is therefore NR.</x:v>
      </x:c>
    </x:row>
    <x:row r="62" ht="76" customHeight="1">
      <x:c r="A62" s="2" t="str">
        <x:v>S21-EV1</x:v>
      </x:c>
      <x:c r="B62" s="2" t="str">
        <x:v>S21</x:v>
      </x:c>
      <x:c r="C62" s="2" t="str">
        <x:v>merged_1152</x:v>
      </x:c>
      <x:c r="D62" s="2" t="str">
        <x:v>Published</x:v>
      </x:c>
      <x:c r="E62" s="2" t="str">
        <x:v>Reviewer_A</x:v>
      </x:c>
      <x:c r="F62" s="2" t="str">
        <x:v>Reviewer_A</x:v>
      </x:c>
      <x:c r="G62" s="2" t="str">
        <x:v>EM3</x:v>
      </x:c>
      <x:c r="H62" s="2" t="n">
        <x:f>IF(G62="","",VALUE(RIGHT(G62,1))/5)</x:f>
        <x:v>0.6</x:v>
      </x:c>
      <x:c r="I62" s="2" t="str">
        <x:v>Academic controlled study or public benchmark</x:v>
      </x:c>
      <x:c r="J62" s="6" t="str">
        <x:v>第4-5页，表2</x:v>
      </x:c>
      <x:c r="K62" s="6" t="str">
        <x:v>NR</x:v>
      </x:c>
      <x:c r="L62" s="6" t="str">
        <x:v>在公开数据集CM1上系统比较了多个提示的绩效，使用标准分类指标，属于受控学术研究。</x:v>
      </x:c>
      <x:c r="M62" s="2" t="str">
        <x:v>E3</x:v>
      </x:c>
      <x:c r="N62" s="2" t="str">
        <x:v>2026-07-25 00:00:00</x:v>
      </x:c>
      <x:c r="O62" s="6" t="str">
        <x:v>Evaluation description: Classification experiment: evaluation of multiple prompts on CM1 dataset using precision and recall
Source setting: academic
Source record_id: merged_1152; source reviewer=第一作者
The source evaluation table did not store a separate verbatim quotation; evidence_verbatim is therefore NR.</x:v>
      </x:c>
    </x:row>
    <x:row r="63" ht="76" customHeight="1">
      <x:c r="A63" s="2" t="str">
        <x:v>S21-EV2</x:v>
      </x:c>
      <x:c r="B63" s="2" t="str">
        <x:v>S21</x:v>
      </x:c>
      <x:c r="C63" s="2" t="str">
        <x:v>merged_1152</x:v>
      </x:c>
      <x:c r="D63" s="2" t="str">
        <x:v>Published</x:v>
      </x:c>
      <x:c r="E63" s="2" t="str">
        <x:v>Reviewer_A</x:v>
      </x:c>
      <x:c r="F63" s="2" t="str">
        <x:v>Reviewer_A</x:v>
      </x:c>
      <x:c r="G63" s="2" t="str">
        <x:v>EM3</x:v>
      </x:c>
      <x:c r="H63" s="2" t="n">
        <x:f>IF(G63="","",VALUE(RIGHT(G63,1))/5)</x:f>
        <x:v>0.6</x:v>
      </x:c>
      <x:c r="I63" s="2" t="str">
        <x:v>Academic controlled study or public benchmark</x:v>
      </x:c>
      <x:c r="J63" s="6" t="str">
        <x:v>第6页，表3</x:v>
      </x:c>
      <x:c r="K63" s="6" t="str">
        <x:v>NR</x:v>
      </x:c>
      <x:c r="L63" s="6" t="str">
        <x:v>在多个公开数据集上比较了不同排名方法，使用MAP指标，属于系统比较的学术评价。</x:v>
      </x:c>
      <x:c r="M63" s="2" t="str">
        <x:v>E3</x:v>
      </x:c>
      <x:c r="N63" s="2" t="str">
        <x:v>2026-07-25 00:00:00</x:v>
      </x:c>
      <x:c r="O63" s="6" t="str">
        <x:v>Evaluation description: Ranking experiment: comparison of VSM ranking vs. VSM+LLM ranking on four datasets using MAP
Source setting: academic
Source record_id: merged_1152; source reviewer=第一作者
The source evaluation table did not store a separate verbatim quotation; evidence_verbatim is therefore NR.</x:v>
      </x:c>
    </x:row>
    <x:row r="64" ht="76" customHeight="1">
      <x:c r="A64" s="2" t="str">
        <x:v>S22-EV1</x:v>
      </x:c>
      <x:c r="B64" s="2" t="str">
        <x:v>S22</x:v>
      </x:c>
      <x:c r="C64" s="2" t="str">
        <x:v>merged_1154-v1</x:v>
      </x:c>
      <x:c r="D64" s="2" t="str">
        <x:v>Preprint</x:v>
      </x:c>
      <x:c r="E64" s="2" t="str">
        <x:v>Reviewer_A</x:v>
      </x:c>
      <x:c r="F64" s="2" t="str">
        <x:v>Reviewer_A</x:v>
      </x:c>
      <x:c r="G64" s="2" t="str">
        <x:v>EM3</x:v>
      </x:c>
      <x:c r="H64" s="2" t="n">
        <x:f>IF(G64="","",VALUE(RIGHT(G64,1))/5)</x:f>
        <x:v>0.6</x:v>
      </x:c>
      <x:c r="I64" s="2" t="str">
        <x:v>Academic controlled study or public benchmark</x:v>
      </x:c>
      <x:c r="J64" s="6" t="str">
        <x:v>Section VII.A, Section IX.A</x:v>
      </x:c>
      <x:c r="K64" s="6" t="str">
        <x:v>NR</x:v>
      </x:c>
      <x:c r="L64" s="6" t="str">
        <x:v>使用OWASP Threat Model Library案例，在受控学术环境中进行生成与隐藏神谕比较，没有真实工业部署。</x:v>
      </x:c>
      <x:c r="M64" s="2" t="str">
        <x:v>E3</x:v>
      </x:c>
      <x:c r="N64" s="2" t="str">
        <x:v>2026-07-25 00:00:00</x:v>
      </x:c>
      <x:c r="O64" s="6" t="str">
        <x:v>Evaluation description: 研究1：隐藏神谕下LLM管道生成多层安全模型的对比评估
Source setting: academic
Source record_id: merged_1154; source reviewer=第一作者
The source evaluation table did not store a separate verbatim quotation; evidence_verbatim is therefore NR.</x:v>
      </x:c>
    </x:row>
    <x:row r="65" ht="76" customHeight="1">
      <x:c r="A65" s="2" t="str">
        <x:v>S22-EV2</x:v>
      </x:c>
      <x:c r="B65" s="2" t="str">
        <x:v>S22</x:v>
      </x:c>
      <x:c r="C65" s="2" t="str">
        <x:v>merged_1154-v1</x:v>
      </x:c>
      <x:c r="D65" s="2" t="str">
        <x:v>Preprint</x:v>
      </x:c>
      <x:c r="E65" s="2" t="str">
        <x:v>Reviewer_A</x:v>
      </x:c>
      <x:c r="F65" s="2" t="str">
        <x:v>Reviewer_A</x:v>
      </x:c>
      <x:c r="G65" s="2" t="str">
        <x:v>EM3</x:v>
      </x:c>
      <x:c r="H65" s="2" t="n">
        <x:f>IF(G65="","",VALUE(RIGHT(G65,1))/5)</x:f>
        <x:v>0.6</x:v>
      </x:c>
      <x:c r="I65" s="2" t="str">
        <x:v>Academic controlled study or public benchmark</x:v>
      </x:c>
      <x:c r="J65" s="6" t="str">
        <x:v>Section VII.B, Section IX.B-D</x:v>
      </x:c>
      <x:c r="K65" s="6" t="str">
        <x:v>NR</x:v>
      </x:c>
      <x:c r="L65" s="6" t="str">
        <x:v>使用合成规格和公开API案例，在受控环境中重复运行并评估，没有真实企业部署或持续采用证据。</x:v>
      </x:c>
      <x:c r="M65" s="2" t="str">
        <x:v>E3</x:v>
      </x:c>
      <x:c r="N65" s="2" t="str">
        <x:v>2026-07-25 00:00:00</x:v>
      </x:c>
      <x:c r="O65" s="6" t="str">
        <x:v>Evaluation description: 研究2：三种安全调节条件下GPT-5.3-Codex生成FastAPI后端的黑盒测试基准
Source setting: academic
Source record_id: merged_1154; source reviewer=第一作者
The source evaluation table did not store a separate verbatim quotation; evidence_verbatim is therefore NR.</x:v>
      </x:c>
    </x:row>
    <x:row r="66" ht="76" customHeight="1">
      <x:c r="A66" s="2" t="str">
        <x:v>S23-EV1</x:v>
      </x:c>
      <x:c r="B66" s="2" t="str">
        <x:v>S23</x:v>
      </x:c>
      <x:c r="C66" s="2" t="str">
        <x:v>merged_1156</x:v>
      </x:c>
      <x:c r="D66" s="2" t="str">
        <x:v>Published</x:v>
      </x:c>
      <x:c r="E66" s="2" t="str">
        <x:v>Reviewer_A</x:v>
      </x:c>
      <x:c r="F66" s="2" t="str">
        <x:v>Reviewer_A</x:v>
      </x:c>
      <x:c r="G66" s="2" t="str">
        <x:v>EM3</x:v>
      </x:c>
      <x:c r="H66" s="2" t="n">
        <x:f>IF(G66="","",VALUE(RIGHT(G66,1))/5)</x:f>
        <x:v>0.6</x:v>
      </x:c>
      <x:c r="I66" s="2" t="str">
        <x:v>Academic controlled study or public benchmark</x:v>
      </x:c>
      <x:c r="J66" s="6" t="str">
        <x:v>Pages 5–7, Section III.E and Section IV</x:v>
      </x:c>
      <x:c r="K66" s="6" t="str">
        <x:v>NR</x:v>
      </x:c>
      <x:c r="L66" s="6" t="str">
        <x:v>The evaluation uses a standard public benchmark (HumanEval) in a controlled, systematic comparison with multiple baselines, typical of an academic research study; no industrial deployment or real-user workflow is involved.</x:v>
      </x:c>
      <x:c r="M66" s="2" t="str">
        <x:v>E3</x:v>
      </x:c>
      <x:c r="N66" s="2" t="str">
        <x:v>2026-07-25 00:00:00</x:v>
      </x:c>
      <x:c r="O66" s="6" t="str">
        <x:v>Evaluation description: HumanEval benchmark evaluation comparing pass@1 of gradient-based reprompting strategies against model-only and random baselines across four LLMs.
Source setting: academic
Source record_id: merged_1156; source reviewer=第一作者
The source evaluation table did not store a separate verbatim quotation; evidence_verbatim is therefore NR.</x:v>
      </x:c>
    </x:row>
    <x:row r="67" ht="76" customHeight="1">
      <x:c r="A67" s="2" t="str">
        <x:v>S24-EV1</x:v>
      </x:c>
      <x:c r="B67" s="2" t="str">
        <x:v>S24</x:v>
      </x:c>
      <x:c r="C67" s="2" t="str">
        <x:v>merged_1172</x:v>
      </x:c>
      <x:c r="D67" s="2" t="str">
        <x:v>Published</x:v>
      </x:c>
      <x:c r="E67" s="2" t="str">
        <x:v>Reviewer_A</x:v>
      </x:c>
      <x:c r="F67" s="2" t="str">
        <x:v>Reviewer_A</x:v>
      </x:c>
      <x:c r="G67" s="2" t="str">
        <x:v>EM3</x:v>
      </x:c>
      <x:c r="H67" s="2" t="n">
        <x:f>IF(G67="","",VALUE(RIGHT(G67,1))/5)</x:f>
        <x:v>0.6</x:v>
      </x:c>
      <x:c r="I67" s="2" t="str">
        <x:v>Academic controlled study or public benchmark</x:v>
      </x:c>
      <x:c r="J67" s="6" t="str">
        <x:v>Pages 4-8, Sections 3 and 4</x:v>
      </x:c>
      <x:c r="K67" s="6" t="str">
        <x:v>NR</x:v>
      </x:c>
      <x:c r="L67" s="6" t="str">
        <x:v>Controlled experiment on a synthetic benchmark with gold labels, systematic comparison of multiple models using standard metrics. No evidence of industrial deployment or real-world operational use.</x:v>
      </x:c>
      <x:c r="M67" s="2" t="str">
        <x:v>E3</x:v>
      </x:c>
      <x:c r="N67" s="2" t="str">
        <x:v>2026-07-25 00:00:00</x:v>
      </x:c>
      <x:c r="O67" s="6" t="str">
        <x:v>Evaluation description: Evaluation of five LLMs on ambiguity and testability detection against adjudicated gold labels using a synthetic aerospace requirements benchmark.
Source setting: academic
Source record_id: merged_1172; source reviewer=第一作者
The source evaluation table did not store a separate verbatim quotation; evidence_verbatim is therefore NR.</x:v>
      </x:c>
    </x:row>
    <x:row r="68" ht="76" customHeight="1">
      <x:c r="A68" s="2" t="str">
        <x:v>S25-EV1</x:v>
      </x:c>
      <x:c r="B68" s="2" t="str">
        <x:v>S25</x:v>
      </x:c>
      <x:c r="C68" s="2" t="str">
        <x:v>merged_1185</x:v>
      </x:c>
      <x:c r="D68" s="2" t="str">
        <x:v>Published</x:v>
      </x:c>
      <x:c r="E68" s="2" t="str">
        <x:v>Reviewer_A</x:v>
      </x:c>
      <x:c r="F68" s="2" t="str">
        <x:v>Reviewer_A</x:v>
      </x:c>
      <x:c r="G68" s="2" t="str">
        <x:v>EM4</x:v>
      </x:c>
      <x:c r="H68" s="2" t="n">
        <x:f>IF(G68="","",VALUE(RIGHT(G68,1))/5)</x:f>
        <x:v>0.8</x:v>
      </x:c>
      <x:c r="I68" s="2" t="str">
        <x:v>Industrial case study or pilot</x:v>
      </x:c>
      <x:c r="J68" s="6" t="str">
        <x:v>第5页III.G节到第7页IV节</x:v>
      </x:c>
      <x:c r="K68" s="6" t="str">
        <x:v>NR</x:v>
      </x:c>
      <x:c r="L68" s="6" t="str">
        <x:v>评价在包含25000个测试案例的真实企业项目中进行，报告了实际部署产生的时间缩短和成本节约，符合真实企业试点/案例研究的E4标准。</x:v>
      </x:c>
      <x:c r="M68" s="2" t="str">
        <x:v>E4</x:v>
      </x:c>
      <x:c r="N68" s="2" t="str">
        <x:v>2026-07-25 00:00:00</x:v>
      </x:c>
      <x:c r="O68" s="6" t="str">
        <x:v>Evaluation description: 在真实SAP S/4HANA迁移项目中对Agentic RAG框架进行的工业案例研究，包含准确性、效率和消融分析。
Source setting: industrial
Source record_id: merged_1185; source reviewer=第一作者
The source evaluation table did not store a separate verbatim quotation; evidence_verbatim is therefore NR.</x:v>
      </x:c>
    </x:row>
    <x:row r="69" ht="76" customHeight="1">
      <x:c r="A69" s="2" t="str">
        <x:v>S26-EV1</x:v>
      </x:c>
      <x:c r="B69" s="2" t="str">
        <x:v>S26</x:v>
      </x:c>
      <x:c r="C69" s="2" t="str">
        <x:v>merged_1212</x:v>
      </x:c>
      <x:c r="D69" s="2" t="str">
        <x:v>Published</x:v>
      </x:c>
      <x:c r="E69" s="2" t="str">
        <x:v>Reviewer_A</x:v>
      </x:c>
      <x:c r="F69" s="2" t="str">
        <x:v>Reviewer_A</x:v>
      </x:c>
      <x:c r="G69" s="2" t="str">
        <x:v>EM3</x:v>
      </x:c>
      <x:c r="H69" s="2" t="n">
        <x:f>IF(G69="","",VALUE(RIGHT(G69,1))/5)</x:f>
        <x:v>0.6</x:v>
      </x:c>
      <x:c r="I69" s="2" t="str">
        <x:v>Academic controlled study or public benchmark</x:v>
      </x:c>
      <x:c r="J69" s="6" t="str">
        <x:v>P3 III.A</x:v>
      </x:c>
      <x:c r="K69" s="6" t="str">
        <x:v>NR</x:v>
      </x:c>
      <x:c r="L69" s="6" t="str">
        <x:v>与已有方法比较，属于学术benchmark类研究，但未提供数据集和指标细节，推断为E3。</x:v>
      </x:c>
      <x:c r="M69" s="2" t="str">
        <x:v>E3</x:v>
      </x:c>
      <x:c r="N69" s="2" t="str">
        <x:v>2026-07-25 00:00:00</x:v>
      </x:c>
      <x:c r="O69" s="6" t="str">
        <x:v>Evaluation description: RQ1的追溯链接预测方法的比较评估，声称优于VSM和BERT方法
Source setting: academic
Source record_id: merged_1212; source reviewer=第一作者
The source evaluation table did not store a separate verbatim quotation; evidence_verbatim is therefore NR.</x:v>
      </x:c>
    </x:row>
    <x:row r="70" ht="76" customHeight="1">
      <x:c r="A70" s="2" t="str">
        <x:v>S26-EV2</x:v>
      </x:c>
      <x:c r="B70" s="2" t="str">
        <x:v>S26</x:v>
      </x:c>
      <x:c r="C70" s="2" t="str">
        <x:v>merged_1212</x:v>
      </x:c>
      <x:c r="D70" s="2" t="str">
        <x:v>Published</x:v>
      </x:c>
      <x:c r="E70" s="2" t="str">
        <x:v>Reviewer_A</x:v>
      </x:c>
      <x:c r="F70" s="2" t="str">
        <x:v>Reviewer_A</x:v>
      </x:c>
      <x:c r="G70" s="2" t="str">
        <x:v>EM2</x:v>
      </x:c>
      <x:c r="H70" s="2" t="n">
        <x:f>IF(G70="","",VALUE(RIGHT(G70,1))/5)</x:f>
        <x:v>0.4</x:v>
      </x:c>
      <x:c r="I70" s="2" t="str">
        <x:v>Expert opinion or observation</x:v>
      </x:c>
      <x:c r="J70" s="6" t="str">
        <x:v>P3 III.B</x:v>
      </x:c>
      <x:c r="K70" s="6" t="str">
        <x:v>NR</x:v>
      </x:c>
      <x:c r="L70" s="6" t="str">
        <x:v>基于专家观察和意见，无系统量化比较，属E2。</x:v>
      </x:c>
      <x:c r="M70" s="2" t="str">
        <x:v>E3</x:v>
      </x:c>
      <x:c r="N70" s="2" t="str">
        <x:v>2026-07-25 00:00:00</x:v>
      </x:c>
      <x:c r="O70" s="6" t="str">
        <x:v>Evaluation description: RQ2的文档生成管道评估，邀请三位项目专家比较生成文档与人工及基线LLM文档
Source setting: academic
Source record_id: merged_1212; source reviewer=第一作者
The source evaluation table did not store a separate verbatim quotation; evidence_verbatim is therefore NR.</x:v>
      </x:c>
    </x:row>
    <x:row r="71" ht="76" customHeight="1">
      <x:c r="A71" s="2" t="str">
        <x:v>S26-EV3</x:v>
      </x:c>
      <x:c r="B71" s="2" t="str">
        <x:v>S26</x:v>
      </x:c>
      <x:c r="C71" s="2" t="str">
        <x:v>merged_1212</x:v>
      </x:c>
      <x:c r="D71" s="2" t="str">
        <x:v>Published</x:v>
      </x:c>
      <x:c r="E71" s="2" t="str">
        <x:v>Reviewer_A</x:v>
      </x:c>
      <x:c r="F71" s="2" t="str">
        <x:v>Reviewer_A</x:v>
      </x:c>
      <x:c r="G71" s="2" t="str">
        <x:v>EM2</x:v>
      </x:c>
      <x:c r="H71" s="2" t="n">
        <x:f>IF(G71="","",VALUE(RIGHT(G71,1))/5)</x:f>
        <x:v>0.4</x:v>
      </x:c>
      <x:c r="I71" s="2" t="str">
        <x:v>Expert opinion or observation</x:v>
      </x:c>
      <x:c r="J71" s="6" t="str">
        <x:v>P4 III.C</x:v>
      </x:c>
      <x:c r="K71" s="6" t="str">
        <x:v>NR</x:v>
      </x:c>
      <x:c r="L71" s="6" t="str">
        <x:v>依赖专家定性反馈，未报告受控比较指标，属E2。</x:v>
      </x:c>
      <x:c r="M71" s="2" t="str">
        <x:v>E3</x:v>
      </x:c>
      <x:c r="N71" s="2" t="str">
        <x:v>2026-07-25 00:00:00</x:v>
      </x:c>
      <x:c r="O71" s="6" t="str">
        <x:v>Evaluation description: RQ3的QUEST-RL框架评估，六位RL专家在CPS场景下生成需求并反馈
Source setting: academic
Source record_id: merged_1212; source reviewer=第一作者
The source evaluation table did not store a separate verbatim quotation; evidence_verbatim is therefore NR.</x:v>
      </x:c>
    </x:row>
    <x:row r="72" ht="76" customHeight="1">
      <x:c r="A72" s="2" t="str">
        <x:v>S26-EV4</x:v>
      </x:c>
      <x:c r="B72" s="2" t="str">
        <x:v>S26</x:v>
      </x:c>
      <x:c r="C72" s="2" t="str">
        <x:v>merged_1212</x:v>
      </x:c>
      <x:c r="D72" s="2" t="str">
        <x:v>Published</x:v>
      </x:c>
      <x:c r="E72" s="2" t="str">
        <x:v>Reviewer_A</x:v>
      </x:c>
      <x:c r="F72" s="2" t="str">
        <x:v>Reviewer_A</x:v>
      </x:c>
      <x:c r="G72" s="2" t="str">
        <x:v>EM0</x:v>
      </x:c>
      <x:c r="H72" s="2" t="n">
        <x:f>IF(G72="","",VALUE(RIGHT(G72,1))/5)</x:f>
        <x:v>0</x:v>
      </x:c>
      <x:c r="I72" s="2" t="str">
        <x:v>No evaluation / unvalidated claim</x:v>
      </x:c>
      <x:c r="J72" s="6" t="str">
        <x:v>P4 III.D, IV</x:v>
      </x:c>
      <x:c r="K72" s="6" t="str">
        <x:v>NR</x:v>
      </x:c>
      <x:c r="L72" s="6" t="str">
        <x:v>方案尚在计划或进展初期，无任何评价证据，判定E0。</x:v>
      </x:c>
      <x:c r="M72" s="2" t="str">
        <x:v>E3</x:v>
      </x:c>
      <x:c r="N72" s="2" t="str">
        <x:v>2026-07-25 00:00:00</x:v>
      </x:c>
      <x:c r="O72" s="6" t="str">
        <x:v>Evaluation description: RQ4的差分测试追溯方法，目前仅规划中，无评价
Source setting: toy
Source record_id: merged_1212; source reviewer=第一作者
The source evaluation table did not store a separate verbatim quotation; evidence_verbatim is therefore NR.</x:v>
      </x:c>
    </x:row>
    <x:row r="73" ht="76" customHeight="1">
      <x:c r="A73" s="2" t="str">
        <x:v>S27-EV1</x:v>
      </x:c>
      <x:c r="B73" s="2" t="str">
        <x:v>S27</x:v>
      </x:c>
      <x:c r="C73" s="2" t="str">
        <x:v>merged_1213</x:v>
      </x:c>
      <x:c r="D73" s="2" t="str">
        <x:v>Published</x:v>
      </x:c>
      <x:c r="E73" s="2" t="str">
        <x:v>Reviewer_A</x:v>
      </x:c>
      <x:c r="F73" s="2" t="str">
        <x:v>Reviewer_A</x:v>
      </x:c>
      <x:c r="G73" s="2" t="str">
        <x:v>EM3</x:v>
      </x:c>
      <x:c r="H73" s="2" t="n">
        <x:f>IF(G73="","",VALUE(RIGHT(G73,1))/5)</x:f>
        <x:v>0.6</x:v>
      </x:c>
      <x:c r="I73" s="2" t="str">
        <x:v>Academic controlled study or public benchmark</x:v>
      </x:c>
      <x:c r="J73" s="6" t="str">
        <x:v>Page 4–5, Section IV-D1, Table II, Figure 2</x:v>
      </x:c>
      <x:c r="K73" s="6" t="str">
        <x:v>NR</x:v>
      </x:c>
      <x:c r="L73" s="6" t="str">
        <x:v>Systematic comparison across multiple public datasets with controlled hyperparameter variation. Offline benchmark evaluation without industrial deployment.</x:v>
      </x:c>
      <x:c r="M73" s="2" t="str">
        <x:v>E3</x:v>
      </x:c>
      <x:c r="N73" s="2" t="str">
        <x:v>2026-07-25 00:00:00</x:v>
      </x:c>
      <x:c r="O73" s="6" t="str">
        <x:v>Evaluation description: Analysis of hyperparameter (threshold/k) sensitivity for IR techniques (RQ1) using five academic benchmark datasets.
Source setting: academic
Source record_id: merged_1213; source reviewer=第一作者
The source evaluation table did not store a separate verbatim quotation; evidence_verbatim is therefore NR.</x:v>
      </x:c>
    </x:row>
    <x:row r="74" ht="76" customHeight="1">
      <x:c r="A74" s="2" t="str">
        <x:v>S27-EV2</x:v>
      </x:c>
      <x:c r="B74" s="2" t="str">
        <x:v>S27</x:v>
      </x:c>
      <x:c r="C74" s="2" t="str">
        <x:v>merged_1213</x:v>
      </x:c>
      <x:c r="D74" s="2" t="str">
        <x:v>Published</x:v>
      </x:c>
      <x:c r="E74" s="2" t="str">
        <x:v>Reviewer_A</x:v>
      </x:c>
      <x:c r="F74" s="2" t="str">
        <x:v>Reviewer_A</x:v>
      </x:c>
      <x:c r="G74" s="2" t="str">
        <x:v>EM3</x:v>
      </x:c>
      <x:c r="H74" s="2" t="n">
        <x:f>IF(G74="","",VALUE(RIGHT(G74,1))/5)</x:f>
        <x:v>0.6</x:v>
      </x:c>
      <x:c r="I74" s="2" t="str">
        <x:v>Academic controlled study or public benchmark</x:v>
      </x:c>
      <x:c r="J74" s="6" t="str">
        <x:v>Page 5–6, Section IV-D2, Table IV, Figure 3</x:v>
      </x:c>
      <x:c r="K74" s="6" t="str">
        <x:v>NR</x:v>
      </x:c>
      <x:c r="L74" s="6" t="str">
        <x:v>Controlled experiment on five academic datasets; no evidence of industrial or real-world use.</x:v>
      </x:c>
      <x:c r="M74" s="2" t="str">
        <x:v>E3</x:v>
      </x:c>
      <x:c r="N74" s="2" t="str">
        <x:v>2026-07-25 00:00:00</x:v>
      </x:c>
      <x:c r="O74" s="6" t="str">
        <x:v>Evaluation description: Evaluation of small LLM filtering capabilities (RQ2) on academic datasets using precision/recall/F2.
Source setting: academic
Source record_id: merged_1213; source reviewer=第一作者
The source evaluation table did not store a separate verbatim quotation; evidence_verbatim is therefore NR.</x:v>
      </x:c>
    </x:row>
    <x:row r="75" ht="76" customHeight="1">
      <x:c r="A75" s="2" t="str">
        <x:v>S27-EV3</x:v>
      </x:c>
      <x:c r="B75" s="2" t="str">
        <x:v>S27</x:v>
      </x:c>
      <x:c r="C75" s="2" t="str">
        <x:v>merged_1213</x:v>
      </x:c>
      <x:c r="D75" s="2" t="str">
        <x:v>Published</x:v>
      </x:c>
      <x:c r="E75" s="2" t="str">
        <x:v>Reviewer_A</x:v>
      </x:c>
      <x:c r="F75" s="2" t="str">
        <x:v>Reviewer_A</x:v>
      </x:c>
      <x:c r="G75" s="2" t="str">
        <x:v>EM3</x:v>
      </x:c>
      <x:c r="H75" s="2" t="n">
        <x:f>IF(G75="","",VALUE(RIGHT(G75,1))/5)</x:f>
        <x:v>0.6</x:v>
      </x:c>
      <x:c r="I75" s="2" t="str">
        <x:v>Academic controlled study or public benchmark</x:v>
      </x:c>
      <x:c r="J75" s="6" t="str">
        <x:v>Page 5–6, Section IV-D3, Table V</x:v>
      </x:c>
      <x:c r="K75" s="6" t="str">
        <x:v>NR</x:v>
      </x:c>
      <x:c r="L75" s="6" t="str">
        <x:v>Benchmarking against prior methods on established datasets; no deployment in operational settings.</x:v>
      </x:c>
      <x:c r="M75" s="2" t="str">
        <x:v>E3</x:v>
      </x:c>
      <x:c r="N75" s="2" t="str">
        <x:v>2026-07-25 00:00:00</x:v>
      </x:c>
      <x:c r="O75" s="6" t="str">
        <x:v>Evaluation description: Comparison of LLM ensemble vs. IR baselines for TLR (RQ3) using academic datasets.
Source setting: academic
Source record_id: merged_1213; source reviewer=第一作者
The source evaluation table did not store a separate verbatim quotation; evidence_verbatim is therefore NR.</x:v>
      </x:c>
    </x:row>
    <x:row r="76" ht="76" customHeight="1">
      <x:c r="A76" s="2" t="str">
        <x:v>S28-EV1</x:v>
      </x:c>
      <x:c r="B76" s="2" t="str">
        <x:v>S28</x:v>
      </x:c>
      <x:c r="C76" s="2" t="str">
        <x:v>merged_1214</x:v>
      </x:c>
      <x:c r="D76" s="2" t="str">
        <x:v>Published</x:v>
      </x:c>
      <x:c r="E76" s="2" t="str">
        <x:v>Reviewer_A</x:v>
      </x:c>
      <x:c r="F76" s="2" t="str">
        <x:v>Reviewer_A</x:v>
      </x:c>
      <x:c r="G76" s="2" t="str">
        <x:v>EM3</x:v>
      </x:c>
      <x:c r="H76" s="2" t="n">
        <x:f>IF(G76="","",VALUE(RIGHT(G76,1))/5)</x:f>
        <x:v>0.6</x:v>
      </x:c>
      <x:c r="I76" s="2" t="str">
        <x:v>Academic controlled study or public benchmark</x:v>
      </x:c>
      <x:c r="J76" s="6" t="str">
        <x:v>Section 5, pages 11-15</x:v>
      </x:c>
      <x:c r="K76" s="6" t="str">
        <x:v>NR</x:v>
      </x:c>
      <x:c r="L76" s="6" t="str">
        <x:v>使用公开数据集和标准化指标进行系统比较，属于学术环境中的受控研究，无工业案例或采纳证据。</x:v>
      </x:c>
      <x:c r="M76" s="2" t="str">
        <x:v>E3</x:v>
      </x:c>
      <x:c r="N76" s="2" t="str">
        <x:v>2026-07-25 00:00:00</x:v>
      </x:c>
      <x:c r="O76" s="6" t="str">
        <x:v>Evaluation description: 在eTour, iTrust, SMOS, eAnci四个公开基准数据集上进行性能比较与参数影响分析
Source setting: academic
Source record_id: merged_1214; source reviewer=第一作者
The source evaluation table did not store a separate verbatim quotation; evidence_verbatim is therefore NR.</x:v>
      </x:c>
    </x:row>
    <x:row r="77" ht="76" customHeight="1">
      <x:c r="A77" s="2" t="str">
        <x:v>S29-EV1</x:v>
      </x:c>
      <x:c r="B77" s="2" t="str">
        <x:v>S29</x:v>
      </x:c>
      <x:c r="C77" s="2" t="str">
        <x:v>merged_1215-v4</x:v>
      </x:c>
      <x:c r="D77" s="2" t="str">
        <x:v>Preprint</x:v>
      </x:c>
      <x:c r="E77" s="2" t="str">
        <x:v>Reviewer_A</x:v>
      </x:c>
      <x:c r="F77" s="2" t="str">
        <x:v>Reviewer_A</x:v>
      </x:c>
      <x:c r="G77" s="2" t="str">
        <x:v>EM3</x:v>
      </x:c>
      <x:c r="H77" s="2" t="n">
        <x:f>IF(G77="","",VALUE(RIGHT(G77,1))/5)</x:f>
        <x:v>0.6</x:v>
      </x:c>
      <x:c r="I77" s="2" t="str">
        <x:v>Academic controlled study or public benchmark</x:v>
      </x:c>
      <x:c r="J77" s="6" t="str">
        <x:v>Section 5.1, pages 15-16</x:v>
      </x:c>
      <x:c r="K77" s="6" t="str">
        <x:v>NR</x:v>
      </x:c>
      <x:c r="L77" s="6" t="str">
        <x:v>在2,132对工业需求上进行受控实验，使用标准分类度量，但未在真实生产环境中部署，属于离线benchmark。</x:v>
      </x:c>
      <x:c r="M77" s="2" t="str">
        <x:v>E3</x:v>
      </x:c>
      <x:c r="N77" s="2" t="str">
        <x:v>2026-07-25 00:00:00</x:v>
      </x:c>
      <x:c r="O77" s="6" t="str">
        <x:v>Evaluation description: Zero-shot LLM performance on traceability validation (RQ1)
Source setting: academic
Source record_id: merged_1215; source reviewer=第一作者
The source evaluation table did not store a separate verbatim quotation; evidence_verbatim is therefore NR.</x:v>
      </x:c>
    </x:row>
    <x:row r="78" ht="76" customHeight="1">
      <x:c r="A78" s="2" t="str">
        <x:v>S29-EV2</x:v>
      </x:c>
      <x:c r="B78" s="2" t="str">
        <x:v>S29</x:v>
      </x:c>
      <x:c r="C78" s="2" t="str">
        <x:v>merged_1215-v4</x:v>
      </x:c>
      <x:c r="D78" s="2" t="str">
        <x:v>Preprint</x:v>
      </x:c>
      <x:c r="E78" s="2" t="str">
        <x:v>Reviewer_A</x:v>
      </x:c>
      <x:c r="F78" s="2" t="str">
        <x:v>Reviewer_A</x:v>
      </x:c>
      <x:c r="G78" s="2" t="str">
        <x:v>EM3</x:v>
      </x:c>
      <x:c r="H78" s="2" t="n">
        <x:f>IF(G78="","",VALUE(RIGHT(G78,1))/5)</x:f>
        <x:v>0.6</x:v>
      </x:c>
      <x:c r="I78" s="2" t="str">
        <x:v>Academic controlled study or public benchmark</x:v>
      </x:c>
      <x:c r="J78" s="6" t="str">
        <x:v>Section 5.2, pages 16-19</x:v>
      </x:c>
      <x:c r="K78" s="6" t="str">
        <x:v>NR</x:v>
      </x:c>
      <x:c r="L78" s="6" t="str">
        <x:v>使用相同数据集进行多种提示策略和RAG方法的系统比较，离线评估。</x:v>
      </x:c>
      <x:c r="M78" s="2" t="str">
        <x:v>E3</x:v>
      </x:c>
      <x:c r="N78" s="2" t="str">
        <x:v>2026-07-25 00:00:00</x:v>
      </x:c>
      <x:c r="O78" s="6" t="str">
        <x:v>Evaluation description: Comparison of prompting strategies and TVR performance (RQ2)
Source setting: academic
Source record_id: merged_1215; source reviewer=第一作者
The source evaluation table did not store a separate verbatim quotation; evidence_verbatim is therefore NR.</x:v>
      </x:c>
    </x:row>
    <x:row r="79" ht="76" customHeight="1">
      <x:c r="A79" s="2" t="str">
        <x:v>S29-EV3</x:v>
      </x:c>
      <x:c r="B79" s="2" t="str">
        <x:v>S29</x:v>
      </x:c>
      <x:c r="C79" s="2" t="str">
        <x:v>merged_1215-v4</x:v>
      </x:c>
      <x:c r="D79" s="2" t="str">
        <x:v>Preprint</x:v>
      </x:c>
      <x:c r="E79" s="2" t="str">
        <x:v>Reviewer_A</x:v>
      </x:c>
      <x:c r="F79" s="2" t="str">
        <x:v>Reviewer_A</x:v>
      </x:c>
      <x:c r="G79" s="2" t="str">
        <x:v>EM3</x:v>
      </x:c>
      <x:c r="H79" s="2" t="n">
        <x:f>IF(G79="","",VALUE(RIGHT(G79,1))/5)</x:f>
        <x:v>0.6</x:v>
      </x:c>
      <x:c r="I79" s="2" t="str">
        <x:v>Academic controlled study or public benchmark</x:v>
      </x:c>
      <x:c r="J79" s="6" t="str">
        <x:v>Section 5.3, pages 19-20</x:v>
      </x:c>
      <x:c r="K79" s="6" t="str">
        <x:v>NR</x:v>
      </x:c>
      <x:c r="L79" s="6" t="str">
        <x:v>通过留一交叉验证在不同类别上测试鲁棒性，模拟新变体，但仍为离线实验。</x:v>
      </x:c>
      <x:c r="M79" s="2" t="str">
        <x:v>E3</x:v>
      </x:c>
      <x:c r="N79" s="2" t="str">
        <x:v>2026-07-25 00:00:00</x:v>
      </x:c>
      <x:c r="O79" s="6" t="str">
        <x:v>Evaluation description: Robustness to unseen requirement variations (RQ3)
Source setting: academic
Source record_id: merged_1215; source reviewer=第一作者
The source evaluation table did not store a separate verbatim quotation; evidence_verbatim is therefore NR.</x:v>
      </x:c>
    </x:row>
    <x:row r="80" ht="76" customHeight="1">
      <x:c r="A80" s="2" t="str">
        <x:v>S29-EV4</x:v>
      </x:c>
      <x:c r="B80" s="2" t="str">
        <x:v>S29</x:v>
      </x:c>
      <x:c r="C80" s="2" t="str">
        <x:v>merged_1215-v4</x:v>
      </x:c>
      <x:c r="D80" s="2" t="str">
        <x:v>Preprint</x:v>
      </x:c>
      <x:c r="E80" s="2" t="str">
        <x:v>Reviewer_A</x:v>
      </x:c>
      <x:c r="F80" s="2" t="str">
        <x:v>Reviewer_A</x:v>
      </x:c>
      <x:c r="G80" s="2" t="str">
        <x:v>EM3</x:v>
      </x:c>
      <x:c r="H80" s="2" t="n">
        <x:f>IF(G80="","",VALUE(RIGHT(G80,1))/5)</x:f>
        <x:v>0.6</x:v>
      </x:c>
      <x:c r="I80" s="2" t="str">
        <x:v>Academic controlled study or public benchmark</x:v>
      </x:c>
      <x:c r="J80" s="6" t="str">
        <x:v>Section 5.4, pages 20-21</x:v>
      </x:c>
      <x:c r="K80" s="6" t="str">
        <x:v>NR</x:v>
      </x:c>
      <x:c r="L80" s="6" t="str">
        <x:v>使用预处理后的需求对进行预测，并人工验证正确性，属于学术环境下的评估。</x:v>
      </x:c>
      <x:c r="M80" s="2" t="str">
        <x:v>E3</x:v>
      </x:c>
      <x:c r="N80" s="2" t="str">
        <x:v>2026-07-25 00:00:00</x:v>
      </x:c>
      <x:c r="O80" s="6" t="str">
        <x:v>Evaluation description: Traceability recovery performance (RQ4)
Source setting: academic
Source record_id: merged_1215; source reviewer=第一作者
The source evaluation table did not store a separate verbatim quotation; evidence_verbatim is therefore NR.</x:v>
      </x:c>
    </x:row>
    <x:row r="81" ht="76" customHeight="1">
      <x:c r="A81" s="2" t="str">
        <x:v>S30-EV1</x:v>
      </x:c>
      <x:c r="B81" s="2" t="str">
        <x:v>S30</x:v>
      </x:c>
      <x:c r="C81" s="2" t="str">
        <x:v>merged_1218</x:v>
      </x:c>
      <x:c r="D81" s="2" t="str">
        <x:v>Published</x:v>
      </x:c>
      <x:c r="E81" s="2" t="str">
        <x:v>Reviewer_A</x:v>
      </x:c>
      <x:c r="F81" s="2" t="str">
        <x:v>Reviewer_A</x:v>
      </x:c>
      <x:c r="G81" s="2" t="str">
        <x:v>EM3</x:v>
      </x:c>
      <x:c r="H81" s="2" t="n">
        <x:f>IF(G81="","",VALUE(RIGHT(G81,1))/5)</x:f>
        <x:v>0.6</x:v>
      </x:c>
      <x:c r="I81" s="2" t="str">
        <x:v>Academic controlled study or public benchmark</x:v>
      </x:c>
      <x:c r="J81" s="6" t="str">
        <x:v>Section IV (Validation of GDI for onboarding)</x:v>
      </x:c>
      <x:c r="K81" s="6" t="str">
        <x:v>NR</x:v>
      </x:c>
      <x:c r="L81" s="6" t="str">
        <x:v>The study is a controlled user experiment with a defined protocol, tasks, and measurement instruments, conducted with practitioners in a research setting. The prototype is not integrated into real work processes, and there is no evidence of continuous real-world use; hence, it meets the criteria for an academic controlled study (E3).</x:v>
      </x:c>
      <x:c r="M81" s="2" t="str">
        <x:v>E3</x:v>
      </x:c>
      <x:c r="N81" s="2" t="str">
        <x:v>2026-07-25 00:00:00</x:v>
      </x:c>
      <x:c r="O81" s="6" t="str">
        <x:v>Evaluation description: User-centered validation for onboarding (cognitive walkthrough and survey with 5 practitioners from itemis)
Source setting: academic
Source record_id: merged_1218; source reviewer=第一作者
The source evaluation table did not store a separate verbatim quotation; evidence_verbatim is therefore NR.</x:v>
      </x:c>
    </x:row>
    <x:row r="82" ht="76" customHeight="1">
      <x:c r="A82" s="2" t="str">
        <x:v>S30-EV2</x:v>
      </x:c>
      <x:c r="B82" s="2" t="str">
        <x:v>S30</x:v>
      </x:c>
      <x:c r="C82" s="2" t="str">
        <x:v>merged_1218</x:v>
      </x:c>
      <x:c r="D82" s="2" t="str">
        <x:v>Published</x:v>
      </x:c>
      <x:c r="E82" s="2" t="str">
        <x:v>Reviewer_A</x:v>
      </x:c>
      <x:c r="F82" s="2" t="str">
        <x:v>Reviewer_A</x:v>
      </x:c>
      <x:c r="G82" s="2" t="str">
        <x:v>EM3</x:v>
      </x:c>
      <x:c r="H82" s="2" t="n">
        <x:f>IF(G82="","",VALUE(RIGHT(G82,1))/5)</x:f>
        <x:v>0.6</x:v>
      </x:c>
      <x:c r="I82" s="2" t="str">
        <x:v>Academic controlled study or public benchmark</x:v>
      </x:c>
      <x:c r="J82" s="6" t="str">
        <x:v>Section V (Validation of GDI for trace link recovery)</x:v>
      </x:c>
      <x:c r="K82" s="6" t="str">
        <x:v>NR</x:v>
      </x:c>
      <x:c r="L82" s="6" t="str">
        <x:v>Similar to EV1, this is a controlled evaluation with domain experts following a structured protocol. Despite using a proprietary dataset and company employees, the study is not a pilot deployment in a real project; it is a research-driven validation. Thus, E3.</x:v>
      </x:c>
      <x:c r="M82" s="2" t="str">
        <x:v>E3</x:v>
      </x:c>
      <x:c r="N82" s="2" t="str">
        <x:v>2026-07-25 00:00:00</x:v>
      </x:c>
      <x:c r="O82" s="6" t="str">
        <x:v>Evaluation description: User-centered validation for trace link recovery (hands-on sessions and interviews with 5 practitioners from VX Company)
Source setting: academic
Source record_id: merged_1218; source reviewer=第一作者
The source evaluation table did not store a separate verbatim quotation; evidence_verbatim is therefore NR.</x:v>
      </x:c>
    </x:row>
    <x:row r="83" ht="76" customHeight="1">
      <x:c r="A83" s="2" t="str">
        <x:v>S31-EV1</x:v>
      </x:c>
      <x:c r="B83" s="2" t="str">
        <x:v>S31</x:v>
      </x:c>
      <x:c r="C83" s="2" t="str">
        <x:v>merged_1219</x:v>
      </x:c>
      <x:c r="D83" s="2" t="str">
        <x:v>Published</x:v>
      </x:c>
      <x:c r="E83" s="2" t="str">
        <x:v>Reviewer_A</x:v>
      </x:c>
      <x:c r="F83" s="2" t="str">
        <x:v>Reviewer_A</x:v>
      </x:c>
      <x:c r="G83" s="2" t="str">
        <x:v>EM3</x:v>
      </x:c>
      <x:c r="H83" s="2" t="n">
        <x:f>IF(G83="","",VALUE(RIGHT(G83,1))/5)</x:f>
        <x:v>0.6</x:v>
      </x:c>
      <x:c r="I83" s="2" t="str">
        <x:v>Academic controlled study or public benchmark</x:v>
      </x:c>
      <x:c r="J83" s="6" t="str">
        <x:v>第4-7页/III-C至IV节</x:v>
      </x:c>
      <x:c r="K83" s="6" t="str">
        <x:v>NR</x:v>
      </x:c>
      <x:c r="L83" s="6" t="str">
        <x:v>在学术环境中进行的受控实验，使用真实工业数据作为输入，但评价是离线的，未在真实工作流程中部署或持续使用。</x:v>
      </x:c>
      <x:c r="M83" s="2" t="str">
        <x:v>E3</x:v>
      </x:c>
      <x:c r="N83" s="2" t="str">
        <x:v>2026-07-25 00:00:00</x:v>
      </x:c>
      <x:c r="O83" s="6" t="str">
        <x:v>Evaluation description: 对照实验：比较AI生成报告与专家报告对开发者知识获取和主观感知的影响，采用前测-后测问卷和Likert量表，统计检验。
Source setting: academic
Source record_id: merged_1219; source reviewer=第一作者
The source evaluation table did not store a separate verbatim quotation; evidence_verbatim is therefore NR.</x:v>
      </x:c>
    </x:row>
    <x:row r="84" ht="76" customHeight="1">
      <x:c r="A84" s="2" t="str">
        <x:v>S32-EV1</x:v>
      </x:c>
      <x:c r="B84" s="2" t="str">
        <x:v>S32</x:v>
      </x:c>
      <x:c r="C84" s="2" t="str">
        <x:v>merged_1220</x:v>
      </x:c>
      <x:c r="D84" s="2" t="str">
        <x:v>Published</x:v>
      </x:c>
      <x:c r="E84" s="2" t="str">
        <x:v>Reviewer_A</x:v>
      </x:c>
      <x:c r="F84" s="2" t="str">
        <x:v>Reviewer_A</x:v>
      </x:c>
      <x:c r="G84" s="2" t="str">
        <x:v>EM2</x:v>
      </x:c>
      <x:c r="H84" s="2" t="n">
        <x:f>IF(G84="","",VALUE(RIGHT(G84,1))/5)</x:f>
        <x:v>0.4</x:v>
      </x:c>
      <x:c r="I84" s="2" t="str">
        <x:v>Expert opinion or observation</x:v>
      </x:c>
      <x:c r="J84" s="6" t="str">
        <x:v>Section IV-C (page 170), Table I, and Figure 7</x:v>
      </x:c>
      <x:c r="K84" s="6" t="str">
        <x:v>NR</x:v>
      </x:c>
      <x:c r="L84" s="6" t="str">
        <x:v>The case study is a descriptive, proof-of-concept example without systematic comparison, ground truth, or quantitative metrics; it represents expert/observational evidence rather than a controlled experiment.</x:v>
      </x:c>
      <x:c r="M84" s="2" t="str">
        <x:v>E2</x:v>
      </x:c>
      <x:c r="N84" s="2" t="str">
        <x:v>2026-07-25 00:00:00</x:v>
      </x:c>
      <x:c r="O84" s="6" t="str">
        <x:v>Evaluation description: Illustrative demonstration of the proposed traceability construction method on a small set of automotive requirements (2 system-level, 6 component-level), calculating matching degrees for aggregation and cascading patterns.
Source setting: toy
Source record_id: merged_1220; source reviewer=第一作者
The source evaluation table did not store a separate verbatim quotation; evidence_verbatim is therefore NR.</x:v>
      </x:c>
    </x:row>
    <x:row r="85" ht="76" customHeight="1">
      <x:c r="A85" s="2" t="str">
        <x:v>S33-EV1</x:v>
      </x:c>
      <x:c r="B85" s="2" t="str">
        <x:v>S33</x:v>
      </x:c>
      <x:c r="C85" s="2" t="str">
        <x:v>merged_1222</x:v>
      </x:c>
      <x:c r="D85" s="2" t="str">
        <x:v>Published</x:v>
      </x:c>
      <x:c r="E85" s="2" t="str">
        <x:v>Reviewer_A</x:v>
      </x:c>
      <x:c r="F85" s="2" t="str">
        <x:v>Reviewer_A</x:v>
      </x:c>
      <x:c r="G85" s="2" t="str">
        <x:v>EM3</x:v>
      </x:c>
      <x:c r="H85" s="2" t="n">
        <x:f>IF(G85="","",VALUE(RIGHT(G85,1))/5)</x:f>
        <x:v>0.6</x:v>
      </x:c>
      <x:c r="I85" s="2" t="str">
        <x:v>Academic controlled study or public benchmark</x:v>
      </x:c>
      <x:c r="J85" s="6" t="str">
        <x:v>第5-8页IV节Results</x:v>
      </x:c>
      <x:c r="K85" s="6" t="str">
        <x:v>NR</x:v>
      </x:c>
      <x:c r="L85" s="6" t="str">
        <x:v>采用人工构造的受控数据集，在学术实验环境中系统比较多种条件，未涉及真实工业项目或采纳证据，符合E3。</x:v>
      </x:c>
      <x:c r="M85" s="2" t="str">
        <x:v>E3</x:v>
      </x:c>
      <x:c r="N85" s="2" t="str">
        <x:v>2026-07-25 00:00:00</x:v>
      </x:c>
      <x:c r="O85" s="6" t="str">
        <x:v>Evaluation description: 在合成数据集上对比不同LLM模型、编程语言、实现完整性、变量命名、注释及配对方式的追踪链接恢复性能，使用precision/recall/F1指标。
Source setting: academic
Source record_id: merged_1222; source reviewer=第一作者
The source evaluation table did not store a separate verbatim quotation; evidence_verbatim is therefore NR.</x:v>
      </x:c>
    </x:row>
    <x:row r="86" ht="76" customHeight="1">
      <x:c r="A86" s="2" t="str">
        <x:v>S34-EV1</x:v>
      </x:c>
      <x:c r="B86" s="2" t="str">
        <x:v>S34</x:v>
      </x:c>
      <x:c r="C86" s="2" t="str">
        <x:v>merged_1224-v1</x:v>
      </x:c>
      <x:c r="D86" s="2" t="str">
        <x:v>Preprint</x:v>
      </x:c>
      <x:c r="E86" s="2" t="str">
        <x:v>Reviewer_A</x:v>
      </x:c>
      <x:c r="F86" s="2" t="str">
        <x:v>Reviewer_A</x:v>
      </x:c>
      <x:c r="G86" s="2" t="str">
        <x:v>EM3</x:v>
      </x:c>
      <x:c r="H86" s="2" t="n">
        <x:f>IF(G86="","",VALUE(RIGHT(G86,1))/5)</x:f>
        <x:v>0.6</x:v>
      </x:c>
      <x:c r="I86" s="2" t="str">
        <x:v>Academic controlled study or public benchmark</x:v>
      </x:c>
      <x:c r="J86" s="6" t="str">
        <x:v>第3-11页方法论、第11-27页结果</x:v>
      </x:c>
      <x:c r="K86" s="6" t="str">
        <x:v>NR</x:v>
      </x:c>
      <x:c r="L86" s="6" t="str">
        <x:v>在学术受控环境中使用自定义数据集（领域特定的用例和模型）进行系统比较，无真实用户或工业部署，属于公开benchmark式的系统对比。</x:v>
      </x:c>
      <x:c r="M86" s="2" t="str">
        <x:v>E3</x:v>
      </x:c>
      <x:c r="N86" s="2" t="str">
        <x:v>2026-07-25 00:00:00</x:v>
      </x:c>
      <x:c r="O86" s="6" t="str">
        <x:v>Evaluation description: 对9个LLM在UML方法生成任务上的多维度实证评估，使用21个废物管理用例和1个无方法UML类图
Source setting: academic
Source record_id: merged_1224; source reviewer=第一作者
The source evaluation table did not store a separate verbatim quotation; evidence_verbatim is therefore NR.</x:v>
      </x:c>
    </x:row>
    <x:row r="87" ht="76" customHeight="1">
      <x:c r="A87" s="2" t="str">
        <x:v>S35-EV1</x:v>
      </x:c>
      <x:c r="B87" s="2" t="str">
        <x:v>S35</x:v>
      </x:c>
      <x:c r="C87" s="2" t="str">
        <x:v>merged_1225</x:v>
      </x:c>
      <x:c r="D87" s="2" t="str">
        <x:v>Published</x:v>
      </x:c>
      <x:c r="E87" s="2" t="str">
        <x:v>Reviewer_A</x:v>
      </x:c>
      <x:c r="F87" s="2" t="str">
        <x:v>Reviewer_A</x:v>
      </x:c>
      <x:c r="G87" s="2" t="str">
        <x:v>EM2</x:v>
      </x:c>
      <x:c r="H87" s="2" t="n">
        <x:f>IF(G87="","",VALUE(RIGHT(G87,1))/5)</x:f>
        <x:v>0.4</x:v>
      </x:c>
      <x:c r="I87" s="2" t="str">
        <x:v>Expert opinion or observation</x:v>
      </x:c>
      <x:c r="J87" s="6" t="str">
        <x:v>Pages 3–4, Figures 3, Table I</x:v>
      </x:c>
      <x:c r="K87" s="6" t="str">
        <x:v>NR</x:v>
      </x:c>
      <x:c r="L87" s="6" t="str">
        <x:v>Observational analysis on a single real system without ground truth or controlled comparison; relies on developer interpretation.</x:v>
      </x:c>
      <x:c r="M87" s="2" t="str">
        <x:v>E2</x:v>
      </x:c>
      <x:c r="N87" s="2" t="str">
        <x:v>2026-07-25 00:00:00</x:v>
      </x:c>
      <x:c r="O87" s="6" t="str">
        <x:v>Evaluation description: Application of Cosine and RoBERTa on 67 feature tests, analysis of top-matched requirement overlap and distribution.
Source setting: academic
Source record_id: merged_1225; source reviewer=第一作者
The source evaluation table did not store a separate verbatim quotation; evidence_verbatim is therefore NR.</x:v>
      </x:c>
    </x:row>
    <x:row r="88" ht="76" customHeight="1">
      <x:c r="A88" s="2" t="str">
        <x:v>S35-EV2</x:v>
      </x:c>
      <x:c r="B88" s="2" t="str">
        <x:v>S35</x:v>
      </x:c>
      <x:c r="C88" s="2" t="str">
        <x:v>merged_1225</x:v>
      </x:c>
      <x:c r="D88" s="2" t="str">
        <x:v>Published</x:v>
      </x:c>
      <x:c r="E88" s="2" t="str">
        <x:v>Reviewer_A</x:v>
      </x:c>
      <x:c r="F88" s="2" t="str">
        <x:v>Reviewer_A</x:v>
      </x:c>
      <x:c r="G88" s="2" t="str">
        <x:v>EM2</x:v>
      </x:c>
      <x:c r="H88" s="2" t="n">
        <x:f>IF(G88="","",VALUE(RIGHT(G88,1))/5)</x:f>
        <x:v>0.4</x:v>
      </x:c>
      <x:c r="I88" s="2" t="str">
        <x:v>Expert opinion or observation</x:v>
      </x:c>
      <x:c r="J88" s="6" t="str">
        <x:v>Pages 4–5, Table III</x:v>
      </x:c>
      <x:c r="K88" s="6" t="str">
        <x:v>NR</x:v>
      </x:c>
      <x:c r="L88" s="6" t="str">
        <x:v>Expert opinion (developer survey) used to assess generated descriptions; no systematic benchmark or multiple raters.</x:v>
      </x:c>
      <x:c r="M88" s="2" t="str">
        <x:v>E2</x:v>
      </x:c>
      <x:c r="N88" s="2" t="str">
        <x:v>2026-07-25 00:00:00</x:v>
      </x:c>
      <x:c r="O88" s="6" t="str">
        <x:v>Evaluation description: ChatGPT prompting for 7 sampled tests, comparison of baseline vs. pattern-enriched outputs.
Source setting: academic
Source record_id: merged_1225; source reviewer=第一作者
The source evaluation table did not store a separate verbatim quotation; evidence_verbatim is therefore NR.</x:v>
      </x:c>
    </x:row>
    <x:row r="89" ht="76" customHeight="1">
      <x:c r="A89" s="2" t="str">
        <x:v>S35-EV3</x:v>
      </x:c>
      <x:c r="B89" s="2" t="str">
        <x:v>S35</x:v>
      </x:c>
      <x:c r="C89" s="2" t="str">
        <x:v>merged_1225</x:v>
      </x:c>
      <x:c r="D89" s="2" t="str">
        <x:v>Published</x:v>
      </x:c>
      <x:c r="E89" s="2" t="str">
        <x:v>Reviewer_A</x:v>
      </x:c>
      <x:c r="F89" s="2" t="str">
        <x:v>Reviewer_A</x:v>
      </x:c>
      <x:c r="G89" s="2" t="str">
        <x:v>EM2</x:v>
      </x:c>
      <x:c r="H89" s="2" t="n">
        <x:f>IF(G89="","",VALUE(RIGHT(G89,1))/5)</x:f>
        <x:v>0.4</x:v>
      </x:c>
      <x:c r="I89" s="2" t="str">
        <x:v>Expert opinion or observation</x:v>
      </x:c>
      <x:c r="J89" s="6" t="str">
        <x:v>Page 5, Table IV</x:v>
      </x:c>
      <x:c r="K89" s="6" t="str">
        <x:v>NR</x:v>
      </x:c>
      <x:c r="L89" s="6" t="str">
        <x:v>Subjective rating by two developers; no inter-rater reliability measures or objective ground truth.</x:v>
      </x:c>
      <x:c r="M89" s="2" t="str">
        <x:v>E2</x:v>
      </x:c>
      <x:c r="N89" s="2" t="str">
        <x:v>2026-07-25 00:00:00</x:v>
      </x:c>
      <x:c r="O89" s="6" t="str">
        <x:v>Evaluation description: Developer survey evaluating tracing and prompting results for 7 tests.
Source setting: academic
Source record_id: merged_1225; source reviewer=第一作者
The source evaluation table did not store a separate verbatim quotation; evidence_verbatim is therefore NR.</x:v>
      </x:c>
    </x:row>
    <x:row r="90" ht="76" customHeight="1">
      <x:c r="A90" s="2" t="str">
        <x:v>S36-EV1</x:v>
      </x:c>
      <x:c r="B90" s="2" t="str">
        <x:v>S36</x:v>
      </x:c>
      <x:c r="C90" s="2" t="str">
        <x:v>merged_1236</x:v>
      </x:c>
      <x:c r="D90" s="2" t="str">
        <x:v>Published</x:v>
      </x:c>
      <x:c r="E90" s="2" t="str">
        <x:v>Reviewer_A</x:v>
      </x:c>
      <x:c r="F90" s="2" t="str">
        <x:v>Reviewer_A</x:v>
      </x:c>
      <x:c r="G90" s="2" t="str">
        <x:v>EM3</x:v>
      </x:c>
      <x:c r="H90" s="2" t="n">
        <x:f>IF(G90="","",VALUE(RIGHT(G90,1))/5)</x:f>
        <x:v>0.6</x:v>
      </x:c>
      <x:c r="I90" s="2" t="str">
        <x:v>Academic controlled study or public benchmark</x:v>
      </x:c>
      <x:c r="J90" s="6" t="str">
        <x:v>Section V.C, Table II, page 4</x:v>
      </x:c>
      <x:c r="K90" s="6" t="str">
        <x:v>NR</x:v>
      </x:c>
      <x:c r="L90" s="6" t="str">
        <x:v>This is a controlled experiment in an academic setting using a custom test suite with known violations. It evaluates the core detection capability on a small, offline benchmark. No real-world project or industrial context is involved.</x:v>
      </x:c>
      <x:c r="M90" s="2" t="str">
        <x:v>E3</x:v>
      </x:c>
      <x:c r="N90" s="2" t="str">
        <x:v>2026-07-25 00:00:00</x:v>
      </x:c>
      <x:c r="O90" s="6" t="str">
        <x:v>Evaluation description: Violation detection accuracy on 15 intentionally planted violations in a sample e-commerce codebase
Source setting: academic
Source record_id: merged_1236; source reviewer=第一作者
The source evaluation table did not store a separate verbatim quotation; evidence_verbatim is therefore NR.</x:v>
      </x:c>
    </x:row>
    <x:row r="91" ht="76" customHeight="1">
      <x:c r="A91" s="2" t="str">
        <x:v>S36-EV2</x:v>
      </x:c>
      <x:c r="B91" s="2" t="str">
        <x:v>S36</x:v>
      </x:c>
      <x:c r="C91" s="2" t="str">
        <x:v>merged_1236</x:v>
      </x:c>
      <x:c r="D91" s="2" t="str">
        <x:v>Published</x:v>
      </x:c>
      <x:c r="E91" s="2" t="str">
        <x:v>Reviewer_A</x:v>
      </x:c>
      <x:c r="F91" s="2" t="str">
        <x:v>Reviewer_A</x:v>
      </x:c>
      <x:c r="G91" s="2" t="str">
        <x:v>EM3</x:v>
      </x:c>
      <x:c r="H91" s="2" t="n">
        <x:f>IF(G91="","",VALUE(RIGHT(G91,1))/5)</x:f>
        <x:v>0.6</x:v>
      </x:c>
      <x:c r="I91" s="2" t="str">
        <x:v>Academic controlled study or public benchmark</x:v>
      </x:c>
      <x:c r="J91" s="6" t="str">
        <x:v>Section V.D, Table III, page 5</x:v>
      </x:c>
      <x:c r="K91" s="6" t="str">
        <x:v>NR</x:v>
      </x:c>
      <x:c r="L91" s="6" t="str">
        <x:v>The evaluation uses three curated domain datasets (banking, healthcare, e-commerce) and artificially polluted variants. It measures retrieval accuracy in an offline benchmark scenario. While simulated noise is introduced, the setting remains a controlled academic study.</x:v>
      </x:c>
      <x:c r="M91" s="2" t="str">
        <x:v>E3</x:v>
      </x:c>
      <x:c r="N91" s="2" t="str">
        <x:v>2026-07-25 00:00:00</x:v>
      </x:c>
      <x:c r="O91" s="6" t="str">
        <x:v>Evaluation description: RAG source retrieval accuracy (Top-1, Top-3) across multiple domain datasets with noise variants
Source setting: academic
Source record_id: merged_1236; source reviewer=第一作者
The source evaluation table did not store a separate verbatim quotation; evidence_verbatim is therefore NR.</x:v>
      </x:c>
    </x:row>
    <x:row r="92" ht="76" customHeight="1">
      <x:c r="A92" s="2" t="str">
        <x:v>S36-EV3</x:v>
      </x:c>
      <x:c r="B92" s="2" t="str">
        <x:v>S36</x:v>
      </x:c>
      <x:c r="C92" s="2" t="str">
        <x:v>merged_1236</x:v>
      </x:c>
      <x:c r="D92" s="2" t="str">
        <x:v>Published</x:v>
      </x:c>
      <x:c r="E92" s="2" t="str">
        <x:v>Reviewer_A</x:v>
      </x:c>
      <x:c r="F92" s="2" t="str">
        <x:v>Reviewer_A</x:v>
      </x:c>
      <x:c r="G92" s="2" t="str">
        <x:v>EM3</x:v>
      </x:c>
      <x:c r="H92" s="2" t="n">
        <x:f>IF(G92="","",VALUE(RIGHT(G92,1))/5)</x:f>
        <x:v>0.6</x:v>
      </x:c>
      <x:c r="I92" s="2" t="str">
        <x:v>Academic controlled study or public benchmark</x:v>
      </x:c>
      <x:c r="J92" s="6" t="str">
        <x:v>Section V.E, Tables IV–VI, page 5</x:v>
      </x:c>
      <x:c r="K92" s="6" t="str">
        <x:v>NR</x:v>
      </x:c>
      <x:c r="L92" s="6" t="str">
        <x:v>Benchmarks measure latency on small/medium/large input sizes using the implemented system on a single machine (AMD Ryzen 6900S/16GB). Cost analysis is based on API pricing. The evaluation is an in vitro performance test, not an industrial case study.</x:v>
      </x:c>
      <x:c r="M92" s="2" t="str">
        <x:v>E3</x:v>
      </x:c>
      <x:c r="N92" s="2" t="str">
        <x:v>2026-07-25 00:00:00</x:v>
      </x:c>
      <x:c r="O92" s="6" t="str">
        <x:v>Evaluation description: Performance benchmarks of domain model generation and code validation (latency and cost)
Source setting: academic
Source record_id: merged_1236; source reviewer=第一作者
The source evaluation table did not store a separate verbatim quotation; evidence_verbatim is therefore NR.</x:v>
      </x:c>
    </x:row>
    <x:row r="93" ht="76" customHeight="1">
      <x:c r="A93" s="2" t="str">
        <x:v>S37-EV1</x:v>
      </x:c>
      <x:c r="B93" s="2" t="str">
        <x:v>S37</x:v>
      </x:c>
      <x:c r="C93" s="2" t="str">
        <x:v>merged_1238</x:v>
      </x:c>
      <x:c r="D93" s="2" t="str">
        <x:v>Published</x:v>
      </x:c>
      <x:c r="E93" s="2" t="str">
        <x:v>Reviewer_A</x:v>
      </x:c>
      <x:c r="F93" s="2" t="str">
        <x:v>Reviewer_A</x:v>
      </x:c>
      <x:c r="G93" s="2" t="str">
        <x:v>EM3</x:v>
      </x:c>
      <x:c r="H93" s="2" t="n">
        <x:f>IF(G93="","",VALUE(RIGHT(G93,1))/5)</x:f>
        <x:v>0.6</x:v>
      </x:c>
      <x:c r="I93" s="2" t="str">
        <x:v>Academic controlled study or public benchmark</x:v>
      </x:c>
      <x:c r="J93" s="6" t="str">
        <x:v>第21-22页（5.2节与表8）</x:v>
      </x:c>
      <x:c r="K93" s="6" t="str">
        <x:v>NR</x:v>
      </x:c>
      <x:c r="L93" s="6" t="str">
        <x:v>实验基于公开数据集，采用标准度量与多基线系统比较，属于学术环境中的受控研究，符合E3标准。</x:v>
      </x:c>
      <x:c r="M93" s="2" t="str">
        <x:v>E3</x:v>
      </x:c>
      <x:c r="N93" s="2" t="str">
        <x:v>2026-07-25 00:00:00</x:v>
      </x:c>
      <x:c r="O93" s="6" t="str">
        <x:v>Evaluation description: 需求建模质量对比实验：在五个公开案例上，使用精确率、召回率、F1指标将PRBC与GSD、AEPD、TtMT三种基线方法进行定量比较。
Source setting: academic
Source record_id: merged_1238; source reviewer=第一作者
The source evaluation table did not store a separate verbatim quotation; evidence_verbatim is therefore NR.</x:v>
      </x:c>
    </x:row>
    <x:row r="94" ht="76" customHeight="1">
      <x:c r="A94" s="2" t="str">
        <x:v>S37-EV2</x:v>
      </x:c>
      <x:c r="B94" s="2" t="str">
        <x:v>S37</x:v>
      </x:c>
      <x:c r="C94" s="2" t="str">
        <x:v>merged_1238</x:v>
      </x:c>
      <x:c r="D94" s="2" t="str">
        <x:v>Published</x:v>
      </x:c>
      <x:c r="E94" s="2" t="str">
        <x:v>Reviewer_A</x:v>
      </x:c>
      <x:c r="F94" s="2" t="str">
        <x:v>Reviewer_A</x:v>
      </x:c>
      <x:c r="G94" s="2" t="str">
        <x:v>EM2</x:v>
      </x:c>
      <x:c r="H94" s="2" t="n">
        <x:f>IF(G94="","",VALUE(RIGHT(G94,1))/5)</x:f>
        <x:v>0.4</x:v>
      </x:c>
      <x:c r="I94" s="2" t="str">
        <x:v>Expert opinion or observation</x:v>
      </x:c>
      <x:c r="J94" s="6" t="str">
        <x:v>第22-26页（5.3节）</x:v>
      </x:c>
      <x:c r="K94" s="6" t="str">
        <x:v>NR</x:v>
      </x:c>
      <x:c r="L94" s="6" t="str">
        <x:v>该评价为单一案例演示，未使用真实工业数据，也未与其它方法进行系统比较，仅展示了框架的可行性，属于专家观察或示例级别，符合E2标准。</x:v>
      </x:c>
      <x:c r="M94" s="2" t="str">
        <x:v>E3</x:v>
      </x:c>
      <x:c r="N94" s="2" t="str">
        <x:v>2026-07-25 00:00:00</x:v>
      </x:c>
      <x:c r="O94" s="6" t="str">
        <x:v>Evaluation description: 汽车叫车系统案例研究：从需求对话出发，应用PRBC框架生成PFM、RBPMN、CBPMN模型，并进行静态流检测与CPN模拟验证。
Source setting: academic
Source record_id: merged_1238; source reviewer=第一作者
The source evaluation table did not store a separate verbatim quotation; evidence_verbatim is therefore NR.</x:v>
      </x:c>
    </x:row>
    <x:row r="95" ht="76" customHeight="1">
      <x:c r="A95" s="2" t="str">
        <x:v>S38-EV1</x:v>
      </x:c>
      <x:c r="B95" s="2" t="str">
        <x:v>S38</x:v>
      </x:c>
      <x:c r="C95" s="2" t="str">
        <x:v>merged_1241</x:v>
      </x:c>
      <x:c r="D95" s="2" t="str">
        <x:v>Published</x:v>
      </x:c>
      <x:c r="E95" s="2" t="str">
        <x:v>Reviewer_A</x:v>
      </x:c>
      <x:c r="F95" s="2" t="str">
        <x:v>Reviewer_A</x:v>
      </x:c>
      <x:c r="G95" s="2" t="str">
        <x:v>EM3</x:v>
      </x:c>
      <x:c r="H95" s="2" t="n">
        <x:f>IF(G95="","",VALUE(RIGHT(G95,1))/5)</x:f>
        <x:v>0.6</x:v>
      </x:c>
      <x:c r="I95" s="2" t="str">
        <x:v>Academic controlled study or public benchmark</x:v>
      </x:c>
      <x:c r="J95" s="6" t="str">
        <x:v>第4.1节与5.1节</x:v>
      </x:c>
      <x:c r="K95" s="6" t="str">
        <x:v>NR</x:v>
      </x:c>
      <x:c r="L95" s="6" t="str">
        <x:v>在学术数据集上开展的受控对照实验，进行系统比较。</x:v>
      </x:c>
      <x:c r="M95" s="2" t="str">
        <x:v>E3</x:v>
      </x:c>
      <x:c r="N95" s="2" t="str">
        <x:v>2026-07-25 00:00:00</x:v>
      </x:c>
      <x:c r="O95" s="6" t="str">
        <x:v>Evaluation description: RQ1属性正确性评估：在四个数据集上比较MOP、MFP和LusGen，使用P-corr@1
Source setting: academic
Source record_id: merged_1241; source reviewer=第一作者
The source evaluation table did not store a separate verbatim quotation; evidence_verbatim is therefore NR.</x:v>
      </x:c>
    </x:row>
    <x:row r="96" ht="76" customHeight="1">
      <x:c r="A96" s="2" t="str">
        <x:v>S38-EV2</x:v>
      </x:c>
      <x:c r="B96" s="2" t="str">
        <x:v>S38</x:v>
      </x:c>
      <x:c r="C96" s="2" t="str">
        <x:v>merged_1241</x:v>
      </x:c>
      <x:c r="D96" s="2" t="str">
        <x:v>Published</x:v>
      </x:c>
      <x:c r="E96" s="2" t="str">
        <x:v>Reviewer_A</x:v>
      </x:c>
      <x:c r="F96" s="2" t="str">
        <x:v>Reviewer_A</x:v>
      </x:c>
      <x:c r="G96" s="2" t="str">
        <x:v>EM3</x:v>
      </x:c>
      <x:c r="H96" s="2" t="n">
        <x:f>IF(G96="","",VALUE(RIGHT(G96,1))/5)</x:f>
        <x:v>0.6</x:v>
      </x:c>
      <x:c r="I96" s="2" t="str">
        <x:v>Academic controlled study or public benchmark</x:v>
      </x:c>
      <x:c r="J96" s="6" t="str">
        <x:v>第4.1节与5.2节</x:v>
      </x:c>
      <x:c r="K96" s="6" t="str">
        <x:v>NR</x:v>
      </x:c>
      <x:c r="L96" s="6" t="str">
        <x:v>离线受控实验，评估迭代策略效率。</x:v>
      </x:c>
      <x:c r="M96" s="2" t="str">
        <x:v>E3</x:v>
      </x:c>
      <x:c r="N96" s="2" t="str">
        <x:v>2026-07-25 00:00:00</x:v>
      </x:c>
      <x:c r="O96" s="6" t="str">
        <x:v>Evaluation description: RQ2迭代效率分析：在学术数据集上观察LusGen随迭代次数增加的收敛行为
Source setting: academic
Source record_id: merged_1241; source reviewer=第一作者
The source evaluation table did not store a separate verbatim quotation; evidence_verbatim is therefore NR.</x:v>
      </x:c>
    </x:row>
    <x:row r="97" ht="76" customHeight="1">
      <x:c r="A97" s="2" t="str">
        <x:v>S38-EV3</x:v>
      </x:c>
      <x:c r="B97" s="2" t="str">
        <x:v>S38</x:v>
      </x:c>
      <x:c r="C97" s="2" t="str">
        <x:v>merged_1241</x:v>
      </x:c>
      <x:c r="D97" s="2" t="str">
        <x:v>Published</x:v>
      </x:c>
      <x:c r="E97" s="2" t="str">
        <x:v>Reviewer_A</x:v>
      </x:c>
      <x:c r="F97" s="2" t="str">
        <x:v>Reviewer_A</x:v>
      </x:c>
      <x:c r="G97" s="2" t="str">
        <x:v>EM3</x:v>
      </x:c>
      <x:c r="H97" s="2" t="n">
        <x:f>IF(G97="","",VALUE(RIGHT(G97,1))/5)</x:f>
        <x:v>0.6</x:v>
      </x:c>
      <x:c r="I97" s="2" t="str">
        <x:v>Academic controlled study or public benchmark</x:v>
      </x:c>
      <x:c r="J97" s="6" t="str">
        <x:v>第4.1节与5.3节</x:v>
      </x:c>
      <x:c r="K97" s="6" t="str">
        <x:v>NR</x:v>
      </x:c>
      <x:c r="L97" s="6" t="str">
        <x:v>利用基准数据集和自动验证工具进行系统比较的学术研究。</x:v>
      </x:c>
      <x:c r="M97" s="2" t="str">
        <x:v>E3</x:v>
      </x:c>
      <x:c r="N97" s="2" t="str">
        <x:v>2026-07-25 00:00:00</x:v>
      </x:c>
      <x:c r="O97" s="6" t="str">
        <x:v>Evaluation description: RQ3 Lustre生成正确性评估：在四个数据集上比较ML、VeCoGen和LusGen，使用Syn@1和Sem@1
Source setting: academic
Source record_id: merged_1241; source reviewer=第一作者
The source evaluation table did not store a separate verbatim quotation; evidence_verbatim is therefore NR.</x:v>
      </x:c>
    </x:row>
    <x:row r="98" ht="76" customHeight="1">
      <x:c r="A98" s="2" t="str">
        <x:v>S38-EV4</x:v>
      </x:c>
      <x:c r="B98" s="2" t="str">
        <x:v>S38</x:v>
      </x:c>
      <x:c r="C98" s="2" t="str">
        <x:v>merged_1241</x:v>
      </x:c>
      <x:c r="D98" s="2" t="str">
        <x:v>Published</x:v>
      </x:c>
      <x:c r="E98" s="2" t="str">
        <x:v>Reviewer_A</x:v>
      </x:c>
      <x:c r="F98" s="2" t="str">
        <x:v>Reviewer_A</x:v>
      </x:c>
      <x:c r="G98" s="2" t="str">
        <x:v>EM3</x:v>
      </x:c>
      <x:c r="H98" s="2" t="n">
        <x:f>IF(G98="","",VALUE(RIGHT(G98,1))/5)</x:f>
        <x:v>0.6</x:v>
      </x:c>
      <x:c r="I98" s="2" t="str">
        <x:v>Academic controlled study or public benchmark</x:v>
      </x:c>
      <x:c r="J98" s="6" t="str">
        <x:v>第4.1节与5.4节</x:v>
      </x:c>
      <x:c r="K98" s="6" t="str">
        <x:v>NR</x:v>
      </x:c>
      <x:c r="L98" s="6" t="str">
        <x:v>基于标注数据集进行的受控评估，属学术环境。</x:v>
      </x:c>
      <x:c r="M98" s="2" t="str">
        <x:v>E3</x:v>
      </x:c>
      <x:c r="N98" s="2" t="str">
        <x:v>2026-07-25 00:00:00</x:v>
      </x:c>
      <x:c r="O98" s="6" t="str">
        <x:v>Evaluation description: RQ4需求可追溯性评估：使用四个数据集评估LusGen的T-acc，通过人工标注真值
Source setting: academic
Source record_id: merged_1241; source reviewer=第一作者
The source evaluation table did not store a separate verbatim quotation; evidence_verbatim is therefore NR.</x:v>
      </x:c>
    </x:row>
    <x:row r="99" ht="76" customHeight="1">
      <x:c r="A99" s="2" t="str">
        <x:v>S39-EV1</x:v>
      </x:c>
      <x:c r="B99" s="2" t="str">
        <x:v>S39</x:v>
      </x:c>
      <x:c r="C99" s="2" t="str">
        <x:v>merged_1245</x:v>
      </x:c>
      <x:c r="D99" s="2" t="str">
        <x:v>Published</x:v>
      </x:c>
      <x:c r="E99" s="2" t="str">
        <x:v>Reviewer_A</x:v>
      </x:c>
      <x:c r="F99" s="2" t="str">
        <x:v>Reviewer_A</x:v>
      </x:c>
      <x:c r="G99" s="2" t="str">
        <x:v>EM3</x:v>
      </x:c>
      <x:c r="H99" s="2" t="n">
        <x:f>IF(G99="","",VALUE(RIGHT(G99,1))/5)</x:f>
        <x:v>0.6</x:v>
      </x:c>
      <x:c r="I99" s="2" t="str">
        <x:v>Academic controlled study or public benchmark</x:v>
      </x:c>
      <x:c r="J99" s="6" t="str">
        <x:v>第4页 V. PREVIOUS RESULTS 及图1</x:v>
      </x:c>
      <x:c r="K99" s="6" t="str">
        <x:v>NR</x:v>
      </x:c>
      <x:c r="L99" s="6" t="str">
        <x:v>该实验为受控研究，使用自己构造的数据集（含游戏项目）并系统比较不同气味水平，属于学术环境中的系统比较，无工业部署证据。</x:v>
      </x:c>
      <x:c r="M99" s="2" t="str">
        <x:v>E3</x:v>
      </x:c>
      <x:c r="N99" s="2" t="str">
        <x:v>2026-07-25 00:00:00</x:v>
      </x:c>
      <x:c r="O99" s="6" t="str">
        <x:v>Evaluation description: RQ1初步实验：在不同需求气味比例下评估GPT-4o在需求到代码追踪任务上的性能，使用二元追踪准确率和LOC追踪F1分数
Source setting: academic
Source record_id: merged_1245; source reviewer=第一作者
The source evaluation table did not store a separate verbatim quotation; evidence_verbatim is therefore NR.</x:v>
      </x:c>
    </x:row>
    <x:row r="100" ht="76" customHeight="1">
      <x:c r="A100" s="2" t="str">
        <x:v>S40-EV1</x:v>
      </x:c>
      <x:c r="B100" s="2" t="str">
        <x:v>S40</x:v>
      </x:c>
      <x:c r="C100" s="2" t="str">
        <x:v>merged_1263</x:v>
      </x:c>
      <x:c r="D100" s="2" t="str">
        <x:v>Published</x:v>
      </x:c>
      <x:c r="E100" s="2" t="str">
        <x:v>Reviewer_A</x:v>
      </x:c>
      <x:c r="F100" s="2" t="str">
        <x:v>Reviewer_A</x:v>
      </x:c>
      <x:c r="G100" s="2" t="str">
        <x:v>EM3</x:v>
      </x:c>
      <x:c r="H100" s="2" t="n">
        <x:f>IF(G100="","",VALUE(RIGHT(G100,1))/5)</x:f>
        <x:v>0.6</x:v>
      </x:c>
      <x:c r="I100" s="2" t="str">
        <x:v>Academic controlled study or public benchmark</x:v>
      </x:c>
      <x:c r="J100" s="6" t="str">
        <x:v>Pages 16-18, Section 4.1 Main Results</x:v>
      </x:c>
      <x:c r="K100" s="6" t="str">
        <x:v>NR</x:v>
      </x:c>
      <x:c r="L100" s="6" t="str">
        <x:v>Offline benchmark evaluation with systematic comparison, no industrial deployment evidence.</x:v>
      </x:c>
      <x:c r="M100" s="2" t="str">
        <x:v>E3</x:v>
      </x:c>
      <x:c r="N100" s="2" t="str">
        <x:v>2026-07-25 00:00:00</x:v>
      </x:c>
      <x:c r="O100" s="6" t="str">
        <x:v>Evaluation description: Comparison of DSDR against baselines on five public benchmark datasets for RC-TLR.
Source setting: academic
Source record_id: merged_1263; source reviewer=第一作者
The source evaluation table did not store a separate verbatim quotation; evidence_verbatim is therefore NR.</x:v>
      </x:c>
    </x:row>
    <x:row r="101" ht="76" customHeight="1">
      <x:c r="A101" s="2" t="str">
        <x:v>S41-EV1</x:v>
      </x:c>
      <x:c r="B101" s="2" t="str">
        <x:v>S41</x:v>
      </x:c>
      <x:c r="C101" s="2" t="str">
        <x:v>merged_1264</x:v>
      </x:c>
      <x:c r="D101" s="2" t="str">
        <x:v>Published</x:v>
      </x:c>
      <x:c r="E101" s="2" t="str">
        <x:v>Reviewer_A</x:v>
      </x:c>
      <x:c r="F101" s="2" t="str">
        <x:v>Reviewer_A</x:v>
      </x:c>
      <x:c r="G101" s="2" t="str">
        <x:v>EM3</x:v>
      </x:c>
      <x:c r="H101" s="2" t="n">
        <x:f>IF(G101="","",VALUE(RIGHT(G101,1))/5)</x:f>
        <x:v>0.6</x:v>
      </x:c>
      <x:c r="I101" s="2" t="str">
        <x:v>Academic controlled study or public benchmark</x:v>
      </x:c>
      <x:c r="J101" s="6" t="str">
        <x:v>Pages 10-11, Sections 5.1 and 4.3</x:v>
      </x:c>
      <x:c r="K101" s="6" t="str">
        <x:v>NR</x:v>
      </x:c>
      <x:c r="L101" s="6" t="str">
        <x:v>Controlled experiment with established public datasets and statistical analysis, typical of academic benchmark studies.</x:v>
      </x:c>
      <x:c r="M101" s="2" t="str">
        <x:v>E3</x:v>
      </x:c>
      <x:c r="N101" s="2" t="str">
        <x:v>2026-07-25 00:00:00</x:v>
      </x:c>
      <x:c r="O101" s="6" t="str">
        <x:v>Evaluation description: Comparison with state-of-the-art baselines (DeepLink, T-BERT, EALink) on six public Apache datasets using offline benchmark metrics.
Source setting: academic
Source record_id: merged_1264; source reviewer=第一作者
The source evaluation table did not store a separate verbatim quotation; evidence_verbatim is therefore NR.</x:v>
      </x:c>
    </x:row>
    <x:row r="102" ht="76" customHeight="1">
      <x:c r="A102" s="2" t="str">
        <x:v>S41-EV2</x:v>
      </x:c>
      <x:c r="B102" s="2" t="str">
        <x:v>S41</x:v>
      </x:c>
      <x:c r="C102" s="2" t="str">
        <x:v>merged_1264</x:v>
      </x:c>
      <x:c r="D102" s="2" t="str">
        <x:v>Published</x:v>
      </x:c>
      <x:c r="E102" s="2" t="str">
        <x:v>Reviewer_A</x:v>
      </x:c>
      <x:c r="F102" s="2" t="str">
        <x:v>Reviewer_A</x:v>
      </x:c>
      <x:c r="G102" s="2" t="str">
        <x:v>EM3</x:v>
      </x:c>
      <x:c r="H102" s="2" t="n">
        <x:f>IF(G102="","",VALUE(RIGHT(G102,1))/5)</x:f>
        <x:v>0.6</x:v>
      </x:c>
      <x:c r="I102" s="2" t="str">
        <x:v>Academic controlled study or public benchmark</x:v>
      </x:c>
      <x:c r="J102" s="6" t="str">
        <x:v>Pages 11-12, Section 5.2</x:v>
      </x:c>
      <x:c r="K102" s="6" t="str">
        <x:v>NR</x:v>
      </x:c>
      <x:c r="L102" s="6" t="str">
        <x:v>Systematic comparison of module configurations on public benchmarks with statistical tests; no industrial deployment.</x:v>
      </x:c>
      <x:c r="M102" s="2" t="str">
        <x:v>E3</x:v>
      </x:c>
      <x:c r="N102" s="2" t="str">
        <x:v>2026-07-25 00:00:00</x:v>
      </x:c>
      <x:c r="O102" s="6" t="str">
        <x:v>Evaluation description: Ablation study assessing contribution of summarization and re-ranking modules on the same six datasets.
Source setting: academic
Source record_id: merged_1264; source reviewer=第一作者
The source evaluation table did not store a separate verbatim quotation; evidence_verbatim is therefore NR.</x:v>
      </x:c>
    </x:row>
    <x:row r="103" ht="76" customHeight="1">
      <x:c r="A103" s="2" t="str">
        <x:v>S41-EV3</x:v>
      </x:c>
      <x:c r="B103" s="2" t="str">
        <x:v>S41</x:v>
      </x:c>
      <x:c r="C103" s="2" t="str">
        <x:v>merged_1264</x:v>
      </x:c>
      <x:c r="D103" s="2" t="str">
        <x:v>Published</x:v>
      </x:c>
      <x:c r="E103" s="2" t="str">
        <x:v>Reviewer_A</x:v>
      </x:c>
      <x:c r="F103" s="2" t="str">
        <x:v>Reviewer_A</x:v>
      </x:c>
      <x:c r="G103" s="2" t="str">
        <x:v>EM3</x:v>
      </x:c>
      <x:c r="H103" s="2" t="n">
        <x:f>IF(G103="","",VALUE(RIGHT(G103,1))/5)</x:f>
        <x:v>0.6</x:v>
      </x:c>
      <x:c r="I103" s="2" t="str">
        <x:v>Academic controlled study or public benchmark</x:v>
      </x:c>
      <x:c r="J103" s="6" t="str">
        <x:v>Pages 12-13, Section 5.3</x:v>
      </x:c>
      <x:c r="K103" s="6" t="str">
        <x:v>NR</x:v>
      </x:c>
      <x:c r="L103" s="6" t="str">
        <x:v>Evaluation of LLM alternatives on public benchmarks with summary statistics; no real-world adoption evidence.</x:v>
      </x:c>
      <x:c r="M103" s="2" t="str">
        <x:v>E3</x:v>
      </x:c>
      <x:c r="N103" s="2" t="str">
        <x:v>2026-07-25 00:00:00</x:v>
      </x:c>
      <x:c r="O103" s="6" t="str">
        <x:v>Evaluation description: Comparison of three LLMs (DeepSeek-v3, ChatGPT-4o-mini, Claude-3.7-Sonnet) within the SELink framework on the same datasets.
Source setting: academic
Source record_id: merged_1264; source reviewer=第一作者
The source evaluation table did not store a separate verbatim quotation; evidence_verbatim is therefore NR.</x:v>
      </x:c>
    </x:row>
    <x:row r="104" ht="76" customHeight="1">
      <x:c r="A104" s="2" t="str">
        <x:v>S42-EV1</x:v>
      </x:c>
      <x:c r="B104" s="2" t="str">
        <x:v>S42</x:v>
      </x:c>
      <x:c r="C104" s="2" t="str">
        <x:v>merged_1266</x:v>
      </x:c>
      <x:c r="D104" s="2" t="str">
        <x:v>Published</x:v>
      </x:c>
      <x:c r="E104" s="2" t="str">
        <x:v>Reviewer_A</x:v>
      </x:c>
      <x:c r="F104" s="2" t="str">
        <x:v>Reviewer_A</x:v>
      </x:c>
      <x:c r="G104" s="2" t="str">
        <x:v>EM3</x:v>
      </x:c>
      <x:c r="H104" s="2" t="n">
        <x:f>IF(G104="","",VALUE(RIGHT(G104,1))/5)</x:f>
        <x:v>0.6</x:v>
      </x:c>
      <x:c r="I104" s="2" t="str">
        <x:v>Academic controlled study or public benchmark</x:v>
      </x:c>
      <x:c r="J104" s="6" t="str">
        <x:v>Section 4.2, Pages 8-11</x:v>
      </x:c>
      <x:c r="K104" s="6" t="str">
        <x:v>NR</x:v>
      </x:c>
      <x:c r="L104" s="6" t="str">
        <x:v>使用公开benchmark进行的受控学术研究，包含与基线的系统比较和统计检验。</x:v>
      </x:c>
      <x:c r="M104" s="2" t="str">
        <x:v>E3</x:v>
      </x:c>
      <x:c r="N104" s="2" t="str">
        <x:v>2026-07-25 00:00:00</x:v>
      </x:c>
      <x:c r="O104" s="6" t="str">
        <x:v>Evaluation description: 在六个公开基准数据集上对四种LLM和两种提示的RAG方法进行系统比较实验
Source setting: academic
Source record_id: merged_1266; source reviewer=第一作者
The source evaluation table did not store a separate verbatim quotation; evidence_verbatim is therefore NR.</x:v>
      </x:c>
    </x:row>
    <x:row r="105" ht="76" customHeight="1">
      <x:c r="A105" s="2" t="str">
        <x:v>S43-EV1</x:v>
      </x:c>
      <x:c r="B105" s="2" t="str">
        <x:v>S43</x:v>
      </x:c>
      <x:c r="C105" s="2" t="str">
        <x:v>merged_1270</x:v>
      </x:c>
      <x:c r="D105" s="2" t="str">
        <x:v>Published</x:v>
      </x:c>
      <x:c r="E105" s="2" t="str">
        <x:v>Reviewer_A</x:v>
      </x:c>
      <x:c r="F105" s="2" t="str">
        <x:v>Reviewer_A</x:v>
      </x:c>
      <x:c r="G105" s="2" t="str">
        <x:v>EM3</x:v>
      </x:c>
      <x:c r="H105" s="2" t="n">
        <x:f>IF(G105="","",VALUE(RIGHT(G105,1))/5)</x:f>
        <x:v>0.6</x:v>
      </x:c>
      <x:c r="I105" s="2" t="str">
        <x:v>Academic controlled study or public benchmark</x:v>
      </x:c>
      <x:c r="J105" s="6" t="str">
        <x:v>第8页 V.A节，表IV</x:v>
      </x:c>
      <x:c r="K105" s="6" t="str">
        <x:v>NR</x:v>
      </x:c>
      <x:c r="L105" s="6" t="str">
        <x:v>在公开数据集上的离线benchmark受控比较研究。</x:v>
      </x:c>
      <x:c r="M105" s="2" t="str">
        <x:v>E3</x:v>
      </x:c>
      <x:c r="N105" s="2" t="str">
        <x:v>2026-07-25 00:00:00</x:v>
      </x:c>
      <x:c r="O105" s="6" t="str">
        <x:v>Evaluation description: RQ1: 比较四种LLM在10个数据集上的RC-TLR性能
Source setting: academic
Source record_id: merged_1270; source reviewer=第一作者
The source evaluation table did not store a separate verbatim quotation; evidence_verbatim is therefore NR.</x:v>
      </x:c>
    </x:row>
    <x:row r="106" ht="76" customHeight="1">
      <x:c r="A106" s="2" t="str">
        <x:v>S43-EV2</x:v>
      </x:c>
      <x:c r="B106" s="2" t="str">
        <x:v>S43</x:v>
      </x:c>
      <x:c r="C106" s="2" t="str">
        <x:v>merged_1270</x:v>
      </x:c>
      <x:c r="D106" s="2" t="str">
        <x:v>Published</x:v>
      </x:c>
      <x:c r="E106" s="2" t="str">
        <x:v>Reviewer_A</x:v>
      </x:c>
      <x:c r="F106" s="2" t="str">
        <x:v>Reviewer_A</x:v>
      </x:c>
      <x:c r="G106" s="2" t="str">
        <x:v>EM3</x:v>
      </x:c>
      <x:c r="H106" s="2" t="n">
        <x:f>IF(G106="","",VALUE(RIGHT(G106,1))/5)</x:f>
        <x:v>0.6</x:v>
      </x:c>
      <x:c r="I106" s="2" t="str">
        <x:v>Academic controlled study or public benchmark</x:v>
      </x:c>
      <x:c r="J106" s="6" t="str">
        <x:v>第9-10页 V.B节，表V</x:v>
      </x:c>
      <x:c r="K106" s="6" t="str">
        <x:v>NR</x:v>
      </x:c>
      <x:c r="L106" s="6" t="str">
        <x:v>在公开数据集上的受控实验比较。</x:v>
      </x:c>
      <x:c r="M106" s="2" t="str">
        <x:v>E3</x:v>
      </x:c>
      <x:c r="N106" s="2" t="str">
        <x:v>2026-07-25 00:00:00</x:v>
      </x:c>
      <x:c r="O106" s="6" t="str">
        <x:v>Evaluation description: RQ2: 验证HGT聚合LLM归因推理的有效性
Source setting: academic
Source record_id: merged_1270; source reviewer=第一作者
The source evaluation table did not store a separate verbatim quotation; evidence_verbatim is therefore NR.</x:v>
      </x:c>
    </x:row>
    <x:row r="107" ht="76" customHeight="1">
      <x:c r="A107" s="2" t="str">
        <x:v>S43-EV3</x:v>
      </x:c>
      <x:c r="B107" s="2" t="str">
        <x:v>S43</x:v>
      </x:c>
      <x:c r="C107" s="2" t="str">
        <x:v>merged_1270</x:v>
      </x:c>
      <x:c r="D107" s="2" t="str">
        <x:v>Published</x:v>
      </x:c>
      <x:c r="E107" s="2" t="str">
        <x:v>Reviewer_A</x:v>
      </x:c>
      <x:c r="F107" s="2" t="str">
        <x:v>Reviewer_A</x:v>
      </x:c>
      <x:c r="G107" s="2" t="str">
        <x:v>EM3</x:v>
      </x:c>
      <x:c r="H107" s="2" t="n">
        <x:f>IF(G107="","",VALUE(RIGHT(G107,1))/5)</x:f>
        <x:v>0.6</x:v>
      </x:c>
      <x:c r="I107" s="2" t="str">
        <x:v>Academic controlled study or public benchmark</x:v>
      </x:c>
      <x:c r="J107" s="6" t="str">
        <x:v>第9-10页 V.C节，表VI</x:v>
      </x:c>
      <x:c r="K107" s="6" t="str">
        <x:v>NR</x:v>
      </x:c>
      <x:c r="L107" s="6" t="str">
        <x:v>基准测试，多个方法、统计检验，但非工业应用。</x:v>
      </x:c>
      <x:c r="M107" s="2" t="str">
        <x:v>E3</x:v>
      </x:c>
      <x:c r="N107" s="2" t="str">
        <x:v>2026-07-25 00:00:00</x:v>
      </x:c>
      <x:c r="O107" s="6" t="str">
        <x:v>Evaluation description: RQ3: HGTRTracer与多个基线方法的全面比较
Source setting: academic
Source record_id: merged_1270; source reviewer=第一作者
The source evaluation table did not store a separate verbatim quotation; evidence_verbatim is therefore NR.</x:v>
      </x:c>
    </x:row>
    <x:row r="108" ht="76" customHeight="1">
      <x:c r="A108" s="2" t="str">
        <x:v>S44-EV1</x:v>
      </x:c>
      <x:c r="B108" s="2" t="str">
        <x:v>S44</x:v>
      </x:c>
      <x:c r="C108" s="2" t="str">
        <x:v>merged_1274</x:v>
      </x:c>
      <x:c r="D108" s="2" t="str">
        <x:v>Published</x:v>
      </x:c>
      <x:c r="E108" s="2" t="str">
        <x:v>Reviewer_A</x:v>
      </x:c>
      <x:c r="F108" s="2" t="str">
        <x:v>Reviewer_A</x:v>
      </x:c>
      <x:c r="G108" s="2" t="str">
        <x:v>EM3</x:v>
      </x:c>
      <x:c r="H108" s="2" t="n">
        <x:f>IF(G108="","",VALUE(RIGHT(G108,1))/5)</x:f>
        <x:v>0.6</x:v>
      </x:c>
      <x:c r="I108" s="2" t="str">
        <x:v>Academic controlled study or public benchmark</x:v>
      </x:c>
      <x:c r="J108" s="6" t="str">
        <x:v>第4-5页图3、图4</x:v>
      </x:c>
      <x:c r="K108" s="6" t="str">
        <x:v>NR</x:v>
      </x:c>
      <x:c r="L108" s="6" t="str">
        <x:v>使用公开benchmark进行系统比较，采用标准指标，属于学术环境中的受控研究。</x:v>
      </x:c>
      <x:c r="M108" s="2" t="str">
        <x:v>E3</x:v>
      </x:c>
      <x:c r="N108" s="2" t="str">
        <x:v>2026-07-25 00:00:00</x:v>
      </x:c>
      <x:c r="O108" s="6" t="str">
        <x:v>Evaluation description: 与LSI、FTLR+、FQETLR+基线在四个数据集上的比较(RQ1)
Source setting: academic
Source record_id: merged_1274; source reviewer=第一作者
The source evaluation table did not store a separate verbatim quotation; evidence_verbatim is therefore NR.</x:v>
      </x:c>
    </x:row>
    <x:row r="109" ht="76" customHeight="1">
      <x:c r="A109" s="2" t="str">
        <x:v>S44-EV2</x:v>
      </x:c>
      <x:c r="B109" s="2" t="str">
        <x:v>S44</x:v>
      </x:c>
      <x:c r="C109" s="2" t="str">
        <x:v>merged_1274</x:v>
      </x:c>
      <x:c r="D109" s="2" t="str">
        <x:v>Published</x:v>
      </x:c>
      <x:c r="E109" s="2" t="str">
        <x:v>Reviewer_A</x:v>
      </x:c>
      <x:c r="F109" s="2" t="str">
        <x:v>Reviewer_A</x:v>
      </x:c>
      <x:c r="G109" s="2" t="str">
        <x:v>EM3</x:v>
      </x:c>
      <x:c r="H109" s="2" t="n">
        <x:f>IF(G109="","",VALUE(RIGHT(G109,1))/5)</x:f>
        <x:v>0.6</x:v>
      </x:c>
      <x:c r="I109" s="2" t="str">
        <x:v>Academic controlled study or public benchmark</x:v>
      </x:c>
      <x:c r="J109" s="6" t="str">
        <x:v>第5页表II</x:v>
      </x:c>
      <x:c r="K109" s="6" t="str">
        <x:v>NR</x:v>
      </x:c>
      <x:c r="L109" s="6" t="str">
        <x:v>同样基于公开数据集进行离线对比，属于学术受控比较。</x:v>
      </x:c>
      <x:c r="M109" s="2" t="str">
        <x:v>E3</x:v>
      </x:c>
      <x:c r="N109" s="2" t="str">
        <x:v>2026-07-25 00:00:00</x:v>
      </x:c>
      <x:c r="O109" s="6" t="str">
        <x:v>Evaluation description: 简单提示与CoT提示的对比实验(RQ2)
Source setting: academic
Source record_id: merged_1274; source reviewer=第一作者
The source evaluation table did not store a separate verbatim quotation; evidence_verbatim is therefore NR.</x:v>
      </x:c>
    </x:row>
    <x:row r="110" ht="76" customHeight="1">
      <x:c r="A110" s="2" t="str">
        <x:v>S45-EV1</x:v>
      </x:c>
      <x:c r="B110" s="2" t="str">
        <x:v>S45</x:v>
      </x:c>
      <x:c r="C110" s="2" t="str">
        <x:v>merged_1275</x:v>
      </x:c>
      <x:c r="D110" s="2" t="str">
        <x:v>Published</x:v>
      </x:c>
      <x:c r="E110" s="2" t="str">
        <x:v>Reviewer_A</x:v>
      </x:c>
      <x:c r="F110" s="2" t="str">
        <x:v>Reviewer_A</x:v>
      </x:c>
      <x:c r="G110" s="2" t="str">
        <x:v>EM3</x:v>
      </x:c>
      <x:c r="H110" s="2" t="n">
        <x:f>IF(G110="","",VALUE(RIGHT(G110,1))/5)</x:f>
        <x:v>0.6</x:v>
      </x:c>
      <x:c r="I110" s="2" t="str">
        <x:v>Academic controlled study or public benchmark</x:v>
      </x:c>
      <x:c r="J110" s="6" t="str">
        <x:v>第2-3页Study 1</x:v>
      </x:c>
      <x:c r="K110" s="6" t="str">
        <x:v>NR</x:v>
      </x:c>
      <x:c r="L110" s="6" t="str">
        <x:v>使用了工业数据集，但有正式的专家池化真值和匿名排名评估，计算P/R/F1并与人工耗时比较，属于学术环境中的系统比较。</x:v>
      </x:c>
      <x:c r="M110" s="2" t="str">
        <x:v>E3</x:v>
      </x:c>
      <x:c r="N110" s="2" t="str">
        <x:v>2026-07-25 00:00:00</x:v>
      </x:c>
      <x:c r="O110" s="6" t="str">
        <x:v>Evaluation description: Study 1: Trace Link Quality check between System and Software Requirements (pooling-based and ranking-based evaluation)
Source setting: academic
Source record_id: merged_1275; source reviewer=第一作者
The source evaluation table did not store a separate verbatim quotation; evidence_verbatim is therefore NR.</x:v>
      </x:c>
    </x:row>
    <x:row r="111" ht="76" customHeight="1">
      <x:c r="A111" s="2" t="str">
        <x:v>S45-EV2</x:v>
      </x:c>
      <x:c r="B111" s="2" t="str">
        <x:v>S45</x:v>
      </x:c>
      <x:c r="C111" s="2" t="str">
        <x:v>merged_1275</x:v>
      </x:c>
      <x:c r="D111" s="2" t="str">
        <x:v>Published</x:v>
      </x:c>
      <x:c r="E111" s="2" t="str">
        <x:v>Reviewer_A</x:v>
      </x:c>
      <x:c r="F111" s="2" t="str">
        <x:v>Reviewer_A</x:v>
      </x:c>
      <x:c r="G111" s="2" t="str">
        <x:v>EM3</x:v>
      </x:c>
      <x:c r="H111" s="2" t="n">
        <x:f>IF(G111="","",VALUE(RIGHT(G111,1))/5)</x:f>
        <x:v>0.6</x:v>
      </x:c>
      <x:c r="I111" s="2" t="str">
        <x:v>Academic controlled study or public benchmark</x:v>
      </x:c>
      <x:c r="J111" s="6" t="str">
        <x:v>第3-4页Study 2</x:v>
      </x:c>
      <x:c r="K111" s="6" t="str">
        <x:v>NR</x:v>
      </x:c>
      <x:c r="L111" s="6" t="str">
        <x:v>设计了简要问卷调查，由两位测试专家对ChatGPT-4o的输出进行有效性和有用性评估，形成系统化的专家评判，属于受控的学术评价。</x:v>
      </x:c>
      <x:c r="M111" s="2" t="str">
        <x:v>E3</x:v>
      </x:c>
      <x:c r="N111" s="2" t="str">
        <x:v>2026-07-25 00:00:00</x:v>
      </x:c>
      <x:c r="O111" s="6" t="str">
        <x:v>Evaluation description: Study 2: Trace Link Quality check between Software Requirements and Test Cases (expert survey)
Source setting: academic
Source record_id: merged_1275; source reviewer=第一作者
The source evaluation table did not store a separate verbatim quotation; evidence_verbatim is therefore NR.</x:v>
      </x:c>
    </x:row>
    <x:row r="112" ht="76" customHeight="1">
      <x:c r="A112" s="2" t="str">
        <x:v>S45-EV3</x:v>
      </x:c>
      <x:c r="B112" s="2" t="str">
        <x:v>S45</x:v>
      </x:c>
      <x:c r="C112" s="2" t="str">
        <x:v>merged_1275</x:v>
      </x:c>
      <x:c r="D112" s="2" t="str">
        <x:v>Published</x:v>
      </x:c>
      <x:c r="E112" s="2" t="str">
        <x:v>Reviewer_A</x:v>
      </x:c>
      <x:c r="F112" s="2" t="str">
        <x:v>Reviewer_A</x:v>
      </x:c>
      <x:c r="G112" s="2" t="str">
        <x:v>EM3</x:v>
      </x:c>
      <x:c r="H112" s="2" t="n">
        <x:f>IF(G112="","",VALUE(RIGHT(G112,1))/5)</x:f>
        <x:v>0.6</x:v>
      </x:c>
      <x:c r="I112" s="2" t="str">
        <x:v>Academic controlled study or public benchmark</x:v>
      </x:c>
      <x:c r="J112" s="6" t="str">
        <x:v>第4页Study 3</x:v>
      </x:c>
      <x:c r="K112" s="6" t="str">
        <x:v>NR</x:v>
      </x:c>
      <x:c r="L112" s="6" t="str">
        <x:v>使用工业项目已有的链接作为真值，进行七次随机移除的链接预测实验，报告平均P/R/F1，属于标准的学术benchmark式比较。</x:v>
      </x:c>
      <x:c r="M112" s="2" t="str">
        <x:v>E3</x:v>
      </x:c>
      <x:c r="N112" s="2" t="str">
        <x:v>2026-07-25 00:00:00</x:v>
      </x:c>
      <x:c r="O112" s="6" t="str">
        <x:v>Evaluation description: Study 3: Trace Link Prediction between System and Software requirements
Source setting: academic
Source record_id: merged_1275; source reviewer=第一作者
The source evaluation table did not store a separate verbatim quotation; evidence_verbatim is therefore NR.</x:v>
      </x:c>
    </x:row>
    <x:row r="113" ht="76" customHeight="1">
      <x:c r="A113" s="2" t="str">
        <x:v>S45-EV4</x:v>
      </x:c>
      <x:c r="B113" s="2" t="str">
        <x:v>S45</x:v>
      </x:c>
      <x:c r="C113" s="2" t="str">
        <x:v>merged_1275</x:v>
      </x:c>
      <x:c r="D113" s="2" t="str">
        <x:v>Published</x:v>
      </x:c>
      <x:c r="E113" s="2" t="str">
        <x:v>Reviewer_A</x:v>
      </x:c>
      <x:c r="F113" s="2" t="str">
        <x:v>Reviewer_A</x:v>
      </x:c>
      <x:c r="G113" s="2" t="str">
        <x:v>EM1</x:v>
      </x:c>
      <x:c r="H113" s="2" t="n">
        <x:f>IF(G113="","",VALUE(RIGHT(G113,1))/5)</x:f>
        <x:v>0.2</x:v>
      </x:c>
      <x:c r="I113" s="2" t="str">
        <x:v>Demonstration or toy example</x:v>
      </x:c>
      <x:c r="J113" s="6" t="str">
        <x:v>第4页Study 4</x:v>
      </x:c>
      <x:c r="K113" s="6" t="str">
        <x:v>NR</x:v>
      </x:c>
      <x:c r="L113" s="6" t="str">
        <x:v>仅提供了几个示例性输出，未进行系统性的量化评估或与人工标注的对比，属于演示性质的概念验证。</x:v>
      </x:c>
      <x:c r="M113" s="2" t="str">
        <x:v>E3</x:v>
      </x:c>
      <x:c r="N113" s="2" t="str">
        <x:v>2026-07-25 00:00:00</x:v>
      </x:c>
      <x:c r="O113" s="6" t="str">
        <x:v>Evaluation description: Study 4: Anomaly detection to identify gaps or ambiguities in requirements
Source setting: toy
Source record_id: merged_1275; source reviewer=第一作者
The source evaluation table did not store a separate verbatim quotation; evidence_verbatim is therefore NR.</x:v>
      </x:c>
    </x:row>
    <x:row r="114" ht="76" customHeight="1">
      <x:c r="A114" s="2" t="str">
        <x:v>S45-EV5</x:v>
      </x:c>
      <x:c r="B114" s="2" t="str">
        <x:v>S45</x:v>
      </x:c>
      <x:c r="C114" s="2" t="str">
        <x:v>merged_1275</x:v>
      </x:c>
      <x:c r="D114" s="2" t="str">
        <x:v>Published</x:v>
      </x:c>
      <x:c r="E114" s="2" t="str">
        <x:v>Reviewer_A</x:v>
      </x:c>
      <x:c r="F114" s="2" t="str">
        <x:v>Reviewer_A</x:v>
      </x:c>
      <x:c r="G114" s="2" t="str">
        <x:v>EM1</x:v>
      </x:c>
      <x:c r="H114" s="2" t="n">
        <x:f>IF(G114="","",VALUE(RIGHT(G114,1))/5)</x:f>
        <x:v>0.2</x:v>
      </x:c>
      <x:c r="I114" s="2" t="str">
        <x:v>Demonstration or toy example</x:v>
      </x:c>
      <x:c r="J114" s="6" t="str">
        <x:v>第4-5页Study 5</x:v>
      </x:c>
      <x:c r="K114" s="6" t="str">
        <x:v>NR</x:v>
      </x:c>
      <x:c r="L114" s="6" t="str">
        <x:v>仅在单个真实工单上测试了ChatGPT-4o识别不一致性的能力，未包含任何正式的评价或对比，属于一次性的演示案例。</x:v>
      </x:c>
      <x:c r="M114" s="2" t="str">
        <x:v>E3</x:v>
      </x:c>
      <x:c r="N114" s="2" t="str">
        <x:v>2026-07-25 00:00:00</x:v>
      </x:c>
      <x:c r="O114" s="6" t="str">
        <x:v>Evaluation description: Study 5: Inconsistencies between system and software requirements - Real Project Ticket
Source setting: toy
Source record_id: merged_1275; source reviewer=第一作者
The source evaluation table did not store a separate verbatim quotation; evidence_verbatim is therefore NR.</x:v>
      </x:c>
    </x:row>
    <x:row r="115" ht="76" customHeight="1">
      <x:c r="A115" s="2" t="str">
        <x:v>S46-EV1</x:v>
      </x:c>
      <x:c r="B115" s="2" t="str">
        <x:v>S46</x:v>
      </x:c>
      <x:c r="C115" s="2" t="str">
        <x:v>merged_1293</x:v>
      </x:c>
      <x:c r="D115" s="2" t="str">
        <x:v>Published</x:v>
      </x:c>
      <x:c r="E115" s="2" t="str">
        <x:v>Reviewer_A</x:v>
      </x:c>
      <x:c r="F115" s="2" t="str">
        <x:v>Reviewer_A</x:v>
      </x:c>
      <x:c r="G115" s="2" t="str">
        <x:v>EM3</x:v>
      </x:c>
      <x:c r="H115" s="2" t="n">
        <x:f>IF(G115="","",VALUE(RIGHT(G115,1))/5)</x:f>
        <x:v>0.6</x:v>
      </x:c>
      <x:c r="I115" s="2" t="str">
        <x:v>Academic controlled study or public benchmark</x:v>
      </x:c>
      <x:c r="J115" s="6" t="str">
        <x:v>Pages 9-18</x:v>
      </x:c>
      <x:c r="K115" s="6" t="str">
        <x:v>NR</x:v>
      </x:c>
      <x:c r="L115" s="6" t="str">
        <x:v>The evaluation is a controlled academic study using a self-constructed case and five LLMs, with systematic metrics and comparison. There is no evidence of real-world industrial deployment or user adoption; it corresponds to a benchmark-level evaluation (E3).</x:v>
      </x:c>
      <x:c r="M115" s="2" t="str">
        <x:v>E3</x:v>
      </x:c>
      <x:c r="N115" s="2" t="str">
        <x:v>2026-07-25 00:00:00</x:v>
      </x:c>
      <x:c r="O115" s="6" t="str">
        <x:v>Evaluation description: Comparison of structured vs. unstructured prompts on traceability metrics (TMA, TMP, TMPR) using a smart home system case study across five LLMs.
Source setting: academic
Source record_id: merged_1293; source reviewer=第一作者
The source evaluation table did not store a separate verbatim quotation; evidence_verbatim is therefore NR.</x:v>
      </x:c>
    </x:row>
    <x:row r="116" ht="76" customHeight="1">
      <x:c r="A116" s="2" t="str">
        <x:v>S47-EV1</x:v>
      </x:c>
      <x:c r="B116" s="2" t="str">
        <x:v>S47</x:v>
      </x:c>
      <x:c r="C116" s="2" t="str">
        <x:v>merged_1302-v1</x:v>
      </x:c>
      <x:c r="D116" s="2" t="str">
        <x:v>Preprint</x:v>
      </x:c>
      <x:c r="E116" s="2" t="str">
        <x:v>Reviewer_A</x:v>
      </x:c>
      <x:c r="F116" s="2" t="str">
        <x:v>Reviewer_A</x:v>
      </x:c>
      <x:c r="G116" s="2" t="str">
        <x:v>EM3</x:v>
      </x:c>
      <x:c r="H116" s="2" t="n">
        <x:f>IF(G116="","",VALUE(RIGHT(G116,1))/5)</x:f>
        <x:v>0.6</x:v>
      </x:c>
      <x:c r="I116" s="2" t="str">
        <x:v>Academic controlled study or public benchmark</x:v>
      </x:c>
      <x:c r="J116" s="6" t="str">
        <x:v>Pages 9-13, Section 5, Table 2</x:v>
      </x:c>
      <x:c r="K116" s="6" t="str">
        <x:v>NR</x:v>
      </x:c>
      <x:c r="L116" s="6" t="str">
        <x:v>在学术环境中使用人工标注真实数据进行受控实验和系统比较，无工业部署或持续使用证据。</x:v>
      </x:c>
      <x:c r="M116" s="2" t="str">
        <x:v>E3</x:v>
      </x:c>
      <x:c r="N116" s="2" t="str">
        <x:v>2026-07-25 00:00:00</x:v>
      </x:c>
      <x:c r="O116" s="6" t="str">
        <x:v>Evaluation description: 定量性能比较：在多个开源嵌入式仓库上使用人工标注真实数据，比较所提分层方法与基线方法（mgrep, BM25+向量嵌入）及不同LLM配置。
Source setting: academic
Source record_id: merged_1302; source reviewer=第一作者
The source evaluation table did not store a separate verbatim quotation; evidence_verbatim is therefore NR.</x:v>
      </x:c>
    </x:row>
    <x:row r="117" ht="76" customHeight="1">
      <x:c r="A117" s="2" t="str">
        <x:v>S48-EV1</x:v>
      </x:c>
      <x:c r="B117" s="2" t="str">
        <x:v>S48</x:v>
      </x:c>
      <x:c r="C117" s="2" t="str">
        <x:v>merged_1441</x:v>
      </x:c>
      <x:c r="D117" s="2" t="str">
        <x:v>Published</x:v>
      </x:c>
      <x:c r="E117" s="2" t="str">
        <x:v>Reviewer_A</x:v>
      </x:c>
      <x:c r="F117" s="2" t="str">
        <x:v>Reviewer_A</x:v>
      </x:c>
      <x:c r="G117" s="2" t="str">
        <x:v>EM3</x:v>
      </x:c>
      <x:c r="H117" s="2" t="n">
        <x:f>IF(G117="","",VALUE(RIGHT(G117,1))/5)</x:f>
        <x:v>0.6</x:v>
      </x:c>
      <x:c r="I117" s="2" t="str">
        <x:v>Academic controlled study or public benchmark</x:v>
      </x:c>
      <x:c r="J117" s="6" t="str">
        <x:v>第11-15页，第V节结果，表II</x:v>
      </x:c>
      <x:c r="K117" s="6" t="str">
        <x:v>NR</x:v>
      </x:c>
      <x:c r="L117" s="6" t="str">
        <x:v>离线受控实验，使用公开的OS项目真实数据，构建benchmark，系统比较多个竞争方法，包含统计检验；无证据表明该框架已在工业项目或真实工作流中部署或采纳，因此属于学术环境下的受控研究（E3）。</x:v>
      </x:c>
      <x:c r="M117" s="2" t="str">
        <x:v>E3</x:v>
      </x:c>
      <x:c r="N117" s="2" t="str">
        <x:v>2026-07-25 00:00:00</x:v>
      </x:c>
      <x:c r="O117" s="6" t="str">
        <x:v>Evaluation description: 主要实验：在23个Apache Jira项目上，采用时间顺序分割，与DCCNN、BERTLink、TLDBERT等基线进行离线比较，使用标准分类指标评估链接预测性能。
Source setting: academic
Source record_id: merged_1441; source reviewer=第一作者
The source evaluation table did not store a separate verbatim quotation; evidence_verbatim is therefore NR.</x:v>
      </x:c>
    </x:row>
    <x:row r="118" ht="76" customHeight="1">
      <x:c r="A118" s="2" t="str">
        <x:v>S49-EV1</x:v>
      </x:c>
      <x:c r="B118" s="2" t="str">
        <x:v>S49</x:v>
      </x:c>
      <x:c r="C118" s="2" t="str">
        <x:v>merged_1486</x:v>
      </x:c>
      <x:c r="D118" s="2" t="str">
        <x:v>Published</x:v>
      </x:c>
      <x:c r="E118" s="2" t="str">
        <x:v>Reviewer_A</x:v>
      </x:c>
      <x:c r="F118" s="2" t="str">
        <x:v>Reviewer_A</x:v>
      </x:c>
      <x:c r="G118" s="2" t="str">
        <x:v>EM3</x:v>
      </x:c>
      <x:c r="H118" s="2" t="n">
        <x:f>IF(G118="","",VALUE(RIGHT(G118,1))/5)</x:f>
        <x:v>0.6</x:v>
      </x:c>
      <x:c r="I118" s="2" t="str">
        <x:v>Academic controlled study or public benchmark</x:v>
      </x:c>
      <x:c r="J118" s="6" t="str">
        <x:v>Section 4.1, Tables 2 and 4</x:v>
      </x:c>
      <x:c r="K118" s="6" t="str">
        <x:v>NR</x:v>
      </x:c>
      <x:c r="L118" s="6" t="str">
        <x:v>在公开benchmark上进行系统比较，不同模式在不同温度下的受控实验，属于学术环境下的基准测试。</x:v>
      </x:c>
      <x:c r="M118" s="2" t="str">
        <x:v>E3</x:v>
      </x:c>
      <x:c r="N118" s="2" t="str">
        <x:v>2026-07-25 00:00:00</x:v>
      </x:c>
      <x:c r="O118" s="6" t="str">
        <x:v>Evaluation description: Binary requirements classification performance evaluation using five prompt patterns and three temperature settings on PROMISE dataset.
Source setting: academic
Source record_id: merged_1486; source reviewer=第一作者
The source evaluation table did not store a separate verbatim quotation; evidence_verbatim is therefore NR.</x:v>
      </x:c>
    </x:row>
    <x:row r="119" ht="76" customHeight="1">
      <x:c r="A119" s="2" t="str">
        <x:v>S49-EV2</x:v>
      </x:c>
      <x:c r="B119" s="2" t="str">
        <x:v>S49</x:v>
      </x:c>
      <x:c r="C119" s="2" t="str">
        <x:v>merged_1486</x:v>
      </x:c>
      <x:c r="D119" s="2" t="str">
        <x:v>Published</x:v>
      </x:c>
      <x:c r="E119" s="2" t="str">
        <x:v>Reviewer_A</x:v>
      </x:c>
      <x:c r="F119" s="2" t="str">
        <x:v>Reviewer_A</x:v>
      </x:c>
      <x:c r="G119" s="2" t="str">
        <x:v>EM3</x:v>
      </x:c>
      <x:c r="H119" s="2" t="n">
        <x:f>IF(G119="","",VALUE(RIGHT(G119,1))/5)</x:f>
        <x:v>0.6</x:v>
      </x:c>
      <x:c r="I119" s="2" t="str">
        <x:v>Academic controlled study or public benchmark</x:v>
      </x:c>
      <x:c r="J119" s="6" t="str">
        <x:v>Section 4.1, Tables 3 and 5</x:v>
      </x:c>
      <x:c r="K119" s="6" t="str">
        <x:v>NR</x:v>
      </x:c>
      <x:c r="L119" s="6" t="str">
        <x:v>同样是在公开数据集上的受控比较实验，使用标准指标。</x:v>
      </x:c>
      <x:c r="M119" s="2" t="str">
        <x:v>E3</x:v>
      </x:c>
      <x:c r="N119" s="2" t="str">
        <x:v>2026-07-25 00:00:00</x:v>
      </x:c>
      <x:c r="O119" s="6" t="str">
        <x:v>Evaluation description: Requirements traceability performance evaluation using five prompt patterns and three temperature settings on PURE dataset.
Source setting: academic
Source record_id: merged_1486; source reviewer=第一作者
The source evaluation table did not store a separate verbatim quotation; evidence_verbatim is therefore NR.</x:v>
      </x:c>
    </x:row>
    <x:row r="120" ht="76" customHeight="1">
      <x:c r="A120" s="2" t="str">
        <x:v>S50-EV1</x:v>
      </x:c>
      <x:c r="B120" s="2" t="str">
        <x:v>S50</x:v>
      </x:c>
      <x:c r="C120" s="2" t="str">
        <x:v>snowball_00068</x:v>
      </x:c>
      <x:c r="D120" s="2" t="str">
        <x:v>Published</x:v>
      </x:c>
      <x:c r="E120" s="2" t="str">
        <x:v>Reviewer_A</x:v>
      </x:c>
      <x:c r="F120" s="2" t="str">
        <x:v>Reviewer_A</x:v>
      </x:c>
      <x:c r="G120" s="2" t="str">
        <x:v>EM3</x:v>
      </x:c>
      <x:c r="H120" s="2" t="n">
        <x:f>IF(G120="","",VALUE(RIGHT(G120,1))/5)</x:f>
        <x:v>0.6</x:v>
      </x:c>
      <x:c r="I120" s="2" t="str">
        <x:v>Academic controlled study or public benchmark</x:v>
      </x:c>
      <x:c r="J120" s="6" t="str">
        <x:v>第10–11页 Section V-B</x:v>
      </x:c>
      <x:c r="K120" s="6" t="str">
        <x:v>NR</x:v>
      </x:c>
      <x:c r="L120" s="6" t="str">
        <x:v>在受控学术环境中使用专家构建的测试集和多个指标进行系统比较，属于E3。</x:v>
      </x:c>
      <x:c r="M120" s="2" t="str">
        <x:v>E3</x:v>
      </x:c>
      <x:c r="N120" s="2" t="str">
        <x:v>2026-07-25 00:00:00</x:v>
      </x:c>
      <x:c r="O120" s="6" t="str">
        <x:v>Evaluation description: 基于30道专家编制问题的客观指标评估（准确率、事实一致性、语义相似度等）
Source setting: academic
Source record_id: snowball_00068; source reviewer=第一作者
The source evaluation table did not store a separate verbatim quotation; evidence_verbatim is therefore NR.</x:v>
      </x:c>
    </x:row>
    <x:row r="121" ht="76" customHeight="1">
      <x:c r="A121" s="2" t="str">
        <x:v>S50-EV2</x:v>
      </x:c>
      <x:c r="B121" s="2" t="str">
        <x:v>S50</x:v>
      </x:c>
      <x:c r="C121" s="2" t="str">
        <x:v>snowball_00068</x:v>
      </x:c>
      <x:c r="D121" s="2" t="str">
        <x:v>Published</x:v>
      </x:c>
      <x:c r="E121" s="2" t="str">
        <x:v>Reviewer_A</x:v>
      </x:c>
      <x:c r="F121" s="2" t="str">
        <x:v>Reviewer_A</x:v>
      </x:c>
      <x:c r="G121" s="2" t="str">
        <x:v>EM2</x:v>
      </x:c>
      <x:c r="H121" s="2" t="n">
        <x:f>IF(G121="","",VALUE(RIGHT(G121,1))/5)</x:f>
        <x:v>0.4</x:v>
      </x:c>
      <x:c r="I121" s="2" t="str">
        <x:v>Expert opinion or observation</x:v>
      </x:c>
      <x:c r="J121" s="6" t="str">
        <x:v>第11–12页 Section V-C</x:v>
      </x:c>
      <x:c r="K121" s="6" t="str">
        <x:v>NR</x:v>
      </x:c>
      <x:c r="L121" s="6" t="str">
        <x:v>仅展示单一问答示例，缺乏系统比较，可视为专家观察，评为E2。</x:v>
      </x:c>
      <x:c r="M121" s="2" t="str">
        <x:v>E3</x:v>
      </x:c>
      <x:c r="N121" s="2" t="str">
        <x:v>2026-07-25 00:00:00</x:v>
      </x:c>
      <x:c r="O121" s="6" t="str">
        <x:v>Evaluation description: 两个安全设计场景（审计、维护）的定性展示
Source setting: academic
Source record_id: snowball_00068; source reviewer=第一作者
The source evaluation table did not store a separate verbatim quotation; evidence_verbatim is therefore NR.</x:v>
      </x:c>
    </x:row>
    <x:row r="122" ht="76" customHeight="1">
      <x:c r="A122" s="2" t="str">
        <x:v>S50-EV3</x:v>
      </x:c>
      <x:c r="B122" s="2" t="str">
        <x:v>S50</x:v>
      </x:c>
      <x:c r="C122" s="2" t="str">
        <x:v>snowball_00068</x:v>
      </x:c>
      <x:c r="D122" s="2" t="str">
        <x:v>Published</x:v>
      </x:c>
      <x:c r="E122" s="2" t="str">
        <x:v>Reviewer_A</x:v>
      </x:c>
      <x:c r="F122" s="2" t="str">
        <x:v>Reviewer_A</x:v>
      </x:c>
      <x:c r="G122" s="2" t="str">
        <x:v>EM3</x:v>
      </x:c>
      <x:c r="H122" s="2" t="n">
        <x:f>IF(G122="","",VALUE(RIGHT(G122,1))/5)</x:f>
        <x:v>0.6</x:v>
      </x:c>
      <x:c r="I122" s="2" t="str">
        <x:v>Academic controlled study or public benchmark</x:v>
      </x:c>
      <x:c r="J122" s="6" t="str">
        <x:v>第12页 Section V-D</x:v>
      </x:c>
      <x:c r="K122" s="6" t="str">
        <x:v>NR</x:v>
      </x:c>
      <x:c r="L122" s="6" t="str">
        <x:v>小规模受控用户研究，有基线对比，属于学术环境下的系统比较。</x:v>
      </x:c>
      <x:c r="M122" s="2" t="str">
        <x:v>E3</x:v>
      </x:c>
      <x:c r="N122" s="2" t="str">
        <x:v>2026-07-25 00:00:00</x:v>
      </x:c>
      <x:c r="O122" s="6" t="str">
        <x:v>Evaluation description: 与SPARQL查询的可用性对比（5名用户问卷）
Source setting: academic
Source record_id: snowball_00068; source reviewer=第一作者
The source evaluation table did not store a separate verbatim quotation; evidence_verbatim is therefore NR.</x:v>
      </x:c>
    </x:row>
    <x:row r="123" ht="76" customHeight="1">
      <x:c r="A123" s="2" t="str">
        <x:v>S51-EV1</x:v>
      </x:c>
      <x:c r="B123" s="2" t="str">
        <x:v>S51</x:v>
      </x:c>
      <x:c r="C123" s="2" t="str">
        <x:v>snowball_00085</x:v>
      </x:c>
      <x:c r="D123" s="2" t="str">
        <x:v>Published</x:v>
      </x:c>
      <x:c r="E123" s="2" t="str">
        <x:v>Reviewer_A</x:v>
      </x:c>
      <x:c r="F123" s="2" t="str">
        <x:v>Reviewer_A</x:v>
      </x:c>
      <x:c r="G123" s="2" t="str">
        <x:v>EM3</x:v>
      </x:c>
      <x:c r="H123" s="2" t="n">
        <x:f>IF(G123="","",VALUE(RIGHT(G123,1))/5)</x:f>
        <x:v>0.6</x:v>
      </x:c>
      <x:c r="I123" s="2" t="str">
        <x:v>Academic controlled study or public benchmark</x:v>
      </x:c>
      <x:c r="J123" s="6" t="str">
        <x:v>Pages 2-5, Sections III and IV</x:v>
      </x:c>
      <x:c r="K123" s="6" t="str">
        <x:v>NR</x:v>
      </x:c>
      <x:c r="L123" s="6" t="str">
        <x:v>The study is a systematic offline comparison in an academic setting using a ground truth from formal models. There is no evidence of deployment in real industrial workflows or organizational adoption.</x:v>
      </x:c>
      <x:c r="M123" s="2" t="str">
        <x:v>E3</x:v>
      </x:c>
      <x:c r="N123" s="2" t="str">
        <x:v>2026-07-25 00:00:00</x:v>
      </x:c>
      <x:c r="O123" s="6" t="str">
        <x:v>Evaluation description: Controlled experiment comparing four LLMs against a formal rule-based benchmark using synthetic smart-grid system specifications and requirements
Source setting: academic
Source record_id: snowball_00085; source reviewer=第一作者
The source evaluation table did not store a separate verbatim quotation; evidence_verbatim is therefore NR.</x:v>
      </x:c>
    </x:row>
    <x:row r="124" ht="76" customHeight="1">
      <x:c r="A124" s="2" t="str">
        <x:v>S52-EV1</x:v>
      </x:c>
      <x:c r="B124" s="2" t="str">
        <x:v>S52</x:v>
      </x:c>
      <x:c r="C124" s="2" t="str">
        <x:v>snowball_00095</x:v>
      </x:c>
      <x:c r="D124" s="2" t="str">
        <x:v>Published</x:v>
      </x:c>
      <x:c r="E124" s="2" t="str">
        <x:v>Reviewer_A</x:v>
      </x:c>
      <x:c r="F124" s="2" t="str">
        <x:v>Reviewer_A</x:v>
      </x:c>
      <x:c r="G124" s="2" t="str">
        <x:v>EM3</x:v>
      </x:c>
      <x:c r="H124" s="2" t="n">
        <x:f>IF(G124="","",VALUE(RIGHT(G124,1))/5)</x:f>
        <x:v>0.6</x:v>
      </x:c>
      <x:c r="I124" s="2" t="str">
        <x:v>Academic controlled study or public benchmark</x:v>
      </x:c>
      <x:c r="J124" s="6" t="str">
        <x:v>第7-8页第4节A</x:v>
      </x:c>
      <x:c r="K124" s="6" t="str">
        <x:v>NR</x:v>
      </x:c>
      <x:c r="L124" s="6" t="str">
        <x:v>受控研究，使用三个开源/工业项目，系统比较三种处理，统计检验分析，属于学术环境下的基准评估。</x:v>
      </x:c>
      <x:c r="M124" s="2" t="str">
        <x:v>E4</x:v>
      </x:c>
      <x:c r="N124" s="2" t="str">
        <x:v>2026-07-25 00:00:00</x:v>
      </x:c>
      <x:c r="O124" s="6" t="str">
        <x:v>Evaluation description: 研究一RQ1：通过三名关键开发者评估三个项目中生成的单个文档的质量，与人工文档和基线比较，使用Mann-Whitney U检验。
Source setting: academic
Source record_id: snowball_00095; source reviewer=第一作者
The source evaluation table did not store a separate verbatim quotation; evidence_verbatim is therefore NR.</x:v>
      </x:c>
    </x:row>
    <x:row r="125" ht="76" customHeight="1">
      <x:c r="A125" s="2" t="str">
        <x:v>S52-EV2</x:v>
      </x:c>
      <x:c r="B125" s="2" t="str">
        <x:v>S52</x:v>
      </x:c>
      <x:c r="C125" s="2" t="str">
        <x:v>snowball_00095</x:v>
      </x:c>
      <x:c r="D125" s="2" t="str">
        <x:v>Published</x:v>
      </x:c>
      <x:c r="E125" s="2" t="str">
        <x:v>Reviewer_A</x:v>
      </x:c>
      <x:c r="F125" s="2" t="str">
        <x:v>Reviewer_A</x:v>
      </x:c>
      <x:c r="G125" s="2" t="str">
        <x:v>EM3</x:v>
      </x:c>
      <x:c r="H125" s="2" t="n">
        <x:f>IF(G125="","",VALUE(RIGHT(G125,1))/5)</x:f>
        <x:v>0.6</x:v>
      </x:c>
      <x:c r="I125" s="2" t="str">
        <x:v>Academic controlled study or public benchmark</x:v>
      </x:c>
      <x:c r="J125" s="6" t="str">
        <x:v>第8页第4节B</x:v>
      </x:c>
      <x:c r="K125" s="6" t="str">
        <x:v>NR</x:v>
      </x:c>
      <x:c r="L125" s="6" t="str">
        <x:v>专家判断覆盖率，比较HGEN与基线，属学术环境下的系统比较。</x:v>
      </x:c>
      <x:c r="M125" s="2" t="str">
        <x:v>E4</x:v>
      </x:c>
      <x:c r="N125" s="2" t="str">
        <x:v>2026-07-25 00:00:00</x:v>
      </x:c>
      <x:c r="O125" s="6" t="str">
        <x:v>Evaluation description: 研究一RQ2：评估生成文档覆盖人工文档中核心概念的程度，由同一批专家完成。
Source setting: academic
Source record_id: snowball_00095; source reviewer=第一作者
The source evaluation table did not store a separate verbatim quotation; evidence_verbatim is therefore NR.</x:v>
      </x:c>
    </x:row>
    <x:row r="126" ht="76" customHeight="1">
      <x:c r="A126" s="2" t="str">
        <x:v>S52-EV3</x:v>
      </x:c>
      <x:c r="B126" s="2" t="str">
        <x:v>S52</x:v>
      </x:c>
      <x:c r="C126" s="2" t="str">
        <x:v>snowball_00095</x:v>
      </x:c>
      <x:c r="D126" s="2" t="str">
        <x:v>Published</x:v>
      </x:c>
      <x:c r="E126" s="2" t="str">
        <x:v>Reviewer_A</x:v>
      </x:c>
      <x:c r="F126" s="2" t="str">
        <x:v>Reviewer_A</x:v>
      </x:c>
      <x:c r="G126" s="2" t="str">
        <x:v>EM3</x:v>
      </x:c>
      <x:c r="H126" s="2" t="n">
        <x:f>IF(G126="","",VALUE(RIGHT(G126,1))/5)</x:f>
        <x:v>0.6</x:v>
      </x:c>
      <x:c r="I126" s="2" t="str">
        <x:v>Academic controlled study or public benchmark</x:v>
      </x:c>
      <x:c r="J126" s="6" t="str">
        <x:v>第8-9页第4节C</x:v>
      </x:c>
      <x:c r="K126" s="6" t="str">
        <x:v>NR</x:v>
      </x:c>
      <x:c r="L126" s="6" t="str">
        <x:v>基于专家修正的真值计算标准追踪指标，属于受控学术评估。</x:v>
      </x:c>
      <x:c r="M126" s="2" t="str">
        <x:v>E4</x:v>
      </x:c>
      <x:c r="N126" s="2" t="str">
        <x:v>2026-07-25 00:00:00</x:v>
      </x:c>
      <x:c r="O126" s="6" t="str">
        <x:v>Evaluation description: 研究一RQ3：评估生成文档层次中的追踪链接质量，使用mAP、精度、召回等指标，基于专家修正的真值。
Source setting: academic
Source record_id: snowball_00095; source reviewer=第一作者
The source evaluation table did not store a separate verbatim quotation; evidence_verbatim is therefore NR.</x:v>
      </x:c>
    </x:row>
    <x:row r="127" ht="76" customHeight="1">
      <x:c r="A127" s="2" t="str">
        <x:v>S52-EV4</x:v>
      </x:c>
      <x:c r="B127" s="2" t="str">
        <x:v>S52</x:v>
      </x:c>
      <x:c r="C127" s="2" t="str">
        <x:v>snowball_00095</x:v>
      </x:c>
      <x:c r="D127" s="2" t="str">
        <x:v>Published</x:v>
      </x:c>
      <x:c r="E127" s="2" t="str">
        <x:v>Reviewer_A</x:v>
      </x:c>
      <x:c r="F127" s="2" t="str">
        <x:v>Reviewer_A</x:v>
      </x:c>
      <x:c r="G127" s="2" t="str">
        <x:v>EM4</x:v>
      </x:c>
      <x:c r="H127" s="2" t="n">
        <x:f>IF(G127="","",VALUE(RIGHT(G127,1))/5)</x:f>
        <x:v>0.8</x:v>
      </x:c>
      <x:c r="I127" s="2" t="str">
        <x:v>Industrial case study or pilot</x:v>
      </x:c>
      <x:c r="J127" s="6" t="str">
        <x:v>第9-10页第5节</x:v>
      </x:c>
      <x:c r="K127" s="6" t="str">
        <x:v>NR</x:v>
      </x:c>
      <x:c r="L127" s="6" t="str">
        <x:v>在真实企业环境中使用合作伙伴的项目数据进行试点，收集利益相关者反馈，属于工业案例研究，但尚未实际部署或持续使用。</x:v>
      </x:c>
      <x:c r="M127" s="2" t="str">
        <x:v>E4</x:v>
      </x:c>
      <x:c r="N127" s="2" t="str">
        <x:v>2026-07-25 00:00:00</x:v>
      </x:c>
      <x:c r="O127" s="6" t="str">
        <x:v>Evaluation description: 研究二：在九个工业项目中进行试点，访谈合作伙伴收集对HGEN生成文档的定性反馈，主题分析。
Source setting: industrial
Source record_id: snowball_00095; source reviewer=第一作者
The source evaluation table did not store a separate verbatim quotation; evidence_verbatim is therefore NR.</x:v>
      </x:c>
    </x:row>
    <x:row r="128" ht="76" customHeight="1">
      <x:c r="A128" s="2" t="str">
        <x:v>S53-EV01</x:v>
      </x:c>
      <x:c r="B128" s="2" t="str">
        <x:v>S53</x:v>
      </x:c>
      <x:c r="C128" s="2" t="str">
        <x:v>merged_1229</x:v>
      </x:c>
      <x:c r="D128" s="2" t="str">
        <x:v>Published</x:v>
      </x:c>
      <x:c r="E128" s="2" t="str">
        <x:v>Reviewer_A</x:v>
      </x:c>
      <x:c r="F128" s="2" t="str">
        <x:v>Reviewer_A</x:v>
      </x:c>
      <x:c r="G128" s="2" t="str">
        <x:v>EM3</x:v>
      </x:c>
      <x:c r="H128" s="2" t="n">
        <x:v>0.6</x:v>
      </x:c>
      <x:c r="I128" s="2" t="str">
        <x:v>User requirements generation</x:v>
      </x:c>
      <x:c r="J128" s="6" t="str">
        <x:v>pp. 3-5; Sections III-IV and Table II</x:v>
      </x:c>
      <x:c r="K128" s="6" t="str">
        <x:v>Evaluation ... was done by assigning scores for each existing sub-criterion</x:v>
      </x:c>
      <x:c r="L128" s="6" t="str">
        <x:v>Controlled evaluation on author-created synthetic artifacts with systematic scoring; no industrial deployment or real-user adoption.</x:v>
      </x:c>
      <x:c r="M128" s="2" t="str">
        <x:v>E3</x:v>
      </x:c>
      <x:c r="N128" s="2" t="str">
        <x:v>2026-07-29 00:00:00</x:v>
      </x:c>
      <x:c r="O128" s="6" t="str">
        <x:v>R1 manual full-text extraction checked and confirmed on 2026-07-29.</x:v>
      </x:c>
    </x:row>
    <x:row r="129" ht="76" customHeight="1">
      <x:c r="A129" s="2" t="str">
        <x:v>S53-EV02</x:v>
      </x:c>
      <x:c r="B129" s="2" t="str">
        <x:v>S53</x:v>
      </x:c>
      <x:c r="C129" s="2" t="str">
        <x:v>merged_1229</x:v>
      </x:c>
      <x:c r="D129" s="2" t="str">
        <x:v>Published</x:v>
      </x:c>
      <x:c r="E129" s="2" t="str">
        <x:v>Reviewer_A</x:v>
      </x:c>
      <x:c r="F129" s="2" t="str">
        <x:v>Reviewer_A</x:v>
      </x:c>
      <x:c r="G129" s="2" t="str">
        <x:v>EM3</x:v>
      </x:c>
      <x:c r="H129" s="2" t="n">
        <x:v>0.6</x:v>
      </x:c>
      <x:c r="I129" s="2" t="str">
        <x:v>System requirements generation</x:v>
      </x:c>
      <x:c r="J129" s="6" t="str">
        <x:v>pp. 3-5; Sections III-IV and Table II</x:v>
      </x:c>
      <x:c r="K129" s="6" t="str">
        <x:v>Evaluation ... was done by assigning scores for each existing sub-criterion</x:v>
      </x:c>
      <x:c r="L129" s="6" t="str">
        <x:v>Controlled evaluation on author-created synthetic artifacts with systematic scoring; no industrial deployment or real-user adoption.</x:v>
      </x:c>
      <x:c r="M129" s="2" t="str">
        <x:v>E3</x:v>
      </x:c>
      <x:c r="N129" s="2" t="str">
        <x:v>2026-07-29 00:00:00</x:v>
      </x:c>
      <x:c r="O129" s="6" t="str">
        <x:v>R1 manual full-text extraction checked and confirmed on 2026-07-29.</x:v>
      </x:c>
    </x:row>
    <x:row r="130" ht="76" customHeight="1">
      <x:c r="A130" s="2" t="str">
        <x:v>S53-EV03</x:v>
      </x:c>
      <x:c r="B130" s="2" t="str">
        <x:v>S53</x:v>
      </x:c>
      <x:c r="C130" s="2" t="str">
        <x:v>merged_1229</x:v>
      </x:c>
      <x:c r="D130" s="2" t="str">
        <x:v>Published</x:v>
      </x:c>
      <x:c r="E130" s="2" t="str">
        <x:v>Reviewer_A</x:v>
      </x:c>
      <x:c r="F130" s="2" t="str">
        <x:v>Reviewer_A</x:v>
      </x:c>
      <x:c r="G130" s="2" t="str">
        <x:v>EM3</x:v>
      </x:c>
      <x:c r="H130" s="2" t="n">
        <x:v>0.6</x:v>
      </x:c>
      <x:c r="I130" s="2" t="str">
        <x:v>Requirements error detection</x:v>
      </x:c>
      <x:c r="J130" s="6" t="str">
        <x:v>pp. 3-5; Sections III-IV and Table II</x:v>
      </x:c>
      <x:c r="K130" s="6" t="str">
        <x:v>Evaluation ... was done by assigning scores for each existing sub-criterion</x:v>
      </x:c>
      <x:c r="L130" s="6" t="str">
        <x:v>Controlled evaluation on author-created synthetic artifacts with systematic scoring; no industrial deployment or real-user adoption.</x:v>
      </x:c>
      <x:c r="M130" s="2" t="str">
        <x:v>E3</x:v>
      </x:c>
      <x:c r="N130" s="2" t="str">
        <x:v>2026-07-29 00:00:00</x:v>
      </x:c>
      <x:c r="O130" s="6" t="str">
        <x:v>R1 manual full-text extraction checked and confirmed on 2026-07-29.</x:v>
      </x:c>
    </x:row>
    <x:row r="131" ht="76" customHeight="1">
      <x:c r="A131" s="2" t="str">
        <x:v>S53-EV04</x:v>
      </x:c>
      <x:c r="B131" s="2" t="str">
        <x:v>S53</x:v>
      </x:c>
      <x:c r="C131" s="2" t="str">
        <x:v>merged_1229</x:v>
      </x:c>
      <x:c r="D131" s="2" t="str">
        <x:v>Published</x:v>
      </x:c>
      <x:c r="E131" s="2" t="str">
        <x:v>Reviewer_A</x:v>
      </x:c>
      <x:c r="F131" s="2" t="str">
        <x:v>Reviewer_A</x:v>
      </x:c>
      <x:c r="G131" s="2" t="str">
        <x:v>EM3</x:v>
      </x:c>
      <x:c r="H131" s="2" t="n">
        <x:v>0.6</x:v>
      </x:c>
      <x:c r="I131" s="2" t="str">
        <x:v>Test case generation</x:v>
      </x:c>
      <x:c r="J131" s="6" t="str">
        <x:v>pp. 3-5; Sections III-IV and Table II</x:v>
      </x:c>
      <x:c r="K131" s="6" t="str">
        <x:v>Evaluation ... was done by assigning scores for each existing sub-criterion</x:v>
      </x:c>
      <x:c r="L131" s="6" t="str">
        <x:v>Controlled evaluation on author-created synthetic artifacts with systematic scoring; no industrial deployment or real-user adoption.</x:v>
      </x:c>
      <x:c r="M131" s="2" t="str">
        <x:v>E3</x:v>
      </x:c>
      <x:c r="N131" s="2" t="str">
        <x:v>2026-07-29 00:00:00</x:v>
      </x:c>
      <x:c r="O131" s="6" t="str">
        <x:v>R1 manual full-text extraction checked and confirmed on 2026-07-29.</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ht="38" customHeight="1">
      <x:c r="A1" s="5" t="str">
        <x:v>QA、GQA与E证据成熟度操作定义</x:v>
      </x:c>
      <x:c r="B1" s="5"/>
      <x:c r="C1" s="5"/>
      <x:c r="D1" s="5"/>
      <x:c r="E1" s="5"/>
      <x:c r="F1" s="5"/>
      <x:c r="G1" s="5"/>
    </x:row>
    <x:row r="2" ht="23" customHeight="1">
      <x:c r="A2" s="2"/>
      <x:c r="B2" s="2"/>
      <x:c r="C2" s="2"/>
      <x:c r="D2" s="2"/>
      <x:c r="E2" s="2"/>
      <x:c r="F2" s="2"/>
      <x:c r="G2" s="2"/>
    </x:row>
    <x:row r="3" ht="23" customHeight="1">
      <x:c r="A3" s="2" t="str">
        <x:v>体系</x:v>
      </x:c>
      <x:c r="B3" s="2" t="str">
        <x:v>代码</x:v>
      </x:c>
      <x:c r="C3" s="2" t="str">
        <x:v>检查问题/操作定义</x:v>
      </x:c>
      <x:c r="D3" s="2" t="str">
        <x:v>0分或分值</x:v>
      </x:c>
      <x:c r="E3" s="2" t="str">
        <x:v>0.5分</x:v>
      </x:c>
      <x:c r="F3" s="2" t="str">
        <x:v>1分</x:v>
      </x:c>
      <x:c r="G3" s="2" t="str">
        <x:v>特别说明</x:v>
      </x:c>
    </x:row>
    <x:row r="4" ht="23" customHeight="1">
      <x:c r="A4" s="2" t="str">
        <x:v>正式QA</x:v>
      </x:c>
      <x:c r="B4" s="2" t="str">
        <x:v>QA1</x:v>
      </x:c>
      <x:c r="C4" s="2" t="str">
        <x:v>研究目标或研究问题是否清楚？</x:v>
      </x:c>
      <x:c r="D4" s="2" t="str">
        <x:v>目标缺失或含混</x:v>
      </x:c>
      <x:c r="E4" s="2" t="str">
        <x:v>目标可推断但不完整</x:v>
      </x:c>
      <x:c r="F4" s="2" t="str">
        <x:v>目标或RQ明确</x:v>
      </x:c>
      <x:c r="G4" s="2"/>
    </x:row>
    <x:row r="5" ht="23" customHeight="1">
      <x:c r="A5" s="2" t="str">
        <x:v>正式QA</x:v>
      </x:c>
      <x:c r="B5" s="2" t="str">
        <x:v>QA2</x:v>
      </x:c>
      <x:c r="C5" s="2" t="str">
        <x:v>方法与研究过程是否描述清楚？</x:v>
      </x:c>
      <x:c r="D5" s="2" t="str">
        <x:v>无法理解如何开展研究</x:v>
      </x:c>
      <x:c r="E5" s="2" t="str">
        <x:v>主要步骤可见但细节不足</x:v>
      </x:c>
      <x:c r="F5" s="2" t="str">
        <x:v>方法与过程足以复述</x:v>
      </x:c>
      <x:c r="G5" s="2"/>
    </x:row>
    <x:row r="6" ht="23" customHeight="1">
      <x:c r="A6" s="2" t="str">
        <x:v>正式QA</x:v>
      </x:c>
      <x:c r="B6" s="2" t="str">
        <x:v>QA3</x:v>
      </x:c>
      <x:c r="C6" s="2" t="str">
        <x:v>研究对象、数据集和情境是否明确？</x:v>
      </x:c>
      <x:c r="D6" s="2" t="str">
        <x:v>对象或来源不明</x:v>
      </x:c>
      <x:c r="E6" s="2" t="str">
        <x:v>基本对象明确但选择依据不足</x:v>
      </x:c>
      <x:c r="F6" s="2" t="str">
        <x:v>对象、规模、来源与情境完整</x:v>
      </x:c>
      <x:c r="G6" s="2"/>
    </x:row>
    <x:row r="7" ht="23" customHeight="1">
      <x:c r="A7" s="2" t="str">
        <x:v>正式QA</x:v>
      </x:c>
      <x:c r="B7" s="2" t="str">
        <x:v>QA4</x:v>
      </x:c>
      <x:c r="C7" s="2" t="str">
        <x:v>评价设计是否适合研究目标？</x:v>
      </x:c>
      <x:c r="D7" s="2" t="str">
        <x:v>无有效评价或明显不匹配</x:v>
      </x:c>
      <x:c r="E7" s="2" t="str">
        <x:v>有评价但真值、指标或比较较弱</x:v>
      </x:c>
      <x:c r="F7" s="2" t="str">
        <x:v>真值、指标、基线/对照与目标匹配</x:v>
      </x:c>
      <x:c r="G7" s="2"/>
    </x:row>
    <x:row r="8" ht="23" customHeight="1">
      <x:c r="A8" s="2" t="str">
        <x:v>正式QA</x:v>
      </x:c>
      <x:c r="B8" s="2" t="str">
        <x:v>QA5</x:v>
      </x:c>
      <x:c r="C8" s="2" t="str">
        <x:v>LLM配置和实验设置是否足以理解或复现？</x:v>
      </x:c>
      <x:c r="D8" s="2" t="str">
        <x:v>模型与设置不明</x:v>
      </x:c>
      <x:c r="E8" s="2" t="str">
        <x:v>报告模型或部分设置</x:v>
      </x:c>
      <x:c r="F8" s="2" t="str">
        <x:v>模型版本、提示/上下文与关键设置清楚</x:v>
      </x:c>
      <x:c r="G8" s="2"/>
    </x:row>
    <x:row r="9" ht="23" customHeight="1">
      <x:c r="A9" s="2" t="str">
        <x:v>正式QA</x:v>
      </x:c>
      <x:c r="B9" s="2" t="str">
        <x:v>QA6</x:v>
      </x:c>
      <x:c r="C9" s="2" t="str">
        <x:v>数据分析和结果报告是否充分？</x:v>
      </x:c>
      <x:c r="D9" s="2" t="str">
        <x:v>仅选择性示例或结果不可核验</x:v>
      </x:c>
      <x:c r="E9" s="2" t="str">
        <x:v>有主要结果但分析有限</x:v>
      </x:c>
      <x:c r="F9" s="2" t="str">
        <x:v>结果、误差/不确定性及必要分析充分</x:v>
      </x:c>
      <x:c r="G9" s="2"/>
    </x:row>
    <x:row r="10" ht="23" customHeight="1">
      <x:c r="A10" s="2" t="str">
        <x:v>正式QA</x:v>
      </x:c>
      <x:c r="B10" s="2" t="str">
        <x:v>QA7</x:v>
      </x:c>
      <x:c r="C10" s="2" t="str">
        <x:v>结论是否由结果支持，并说明局限？</x:v>
      </x:c>
      <x:c r="D10" s="2" t="str">
        <x:v>结论明显越界且无局限</x:v>
      </x:c>
      <x:c r="E10" s="2" t="str">
        <x:v>结论大体有据但边界不足</x:v>
      </x:c>
      <x:c r="F10" s="2" t="str">
        <x:v>结论可追溯到结果且局限明确</x:v>
      </x:c>
      <x:c r="G10" s="2"/>
    </x:row>
    <x:row r="11" ht="23" customHeight="1">
      <x:c r="A11" s="2" t="str">
        <x:v>正式QA</x:v>
      </x:c>
      <x:c r="B11" s="2" t="str">
        <x:v>QA8</x:v>
      </x:c>
      <x:c r="C11" s="2" t="str">
        <x:v>数据、代码、提示、利益关系等透明度是否足够？</x:v>
      </x:c>
      <x:c r="D11" s="2" t="str">
        <x:v>关键材料和披露均缺失</x:v>
      </x:c>
      <x:c r="E11" s="2" t="str">
        <x:v>部分材料或披露可得</x:v>
      </x:c>
      <x:c r="F11" s="2" t="str">
        <x:v>复现材料充分，或限制与利益关系解释清楚</x:v>
      </x:c>
      <x:c r="G11" s="2" t="str">
        <x:v>保密但说明充分可记0.5</x:v>
      </x:c>
    </x:row>
    <x:row r="12" ht="23" customHeight="1">
      <x:c r="A12" s="2" t="str">
        <x:v>预印本GQA</x:v>
      </x:c>
      <x:c r="B12" s="2" t="str">
        <x:v>GQA1</x:v>
      </x:c>
      <x:c r="C12" s="2" t="str">
        <x:v>作者及其组织是否具有可信度和相关专业经验？</x:v>
      </x:c>
      <x:c r="D12" s="2" t="str">
        <x:v>作者、单位和背景无法核验</x:v>
      </x:c>
      <x:c r="E12" s="2" t="str">
        <x:v>单位或经历部分可核验</x:v>
      </x:c>
      <x:c r="F12" s="2" t="str">
        <x:v>单位、相关发表或专业角色均可核验</x:v>
      </x:c>
      <x:c r="G12" s="2"/>
    </x:row>
    <x:row r="13" ht="23" customHeight="1">
      <x:c r="A13" s="2" t="str">
        <x:v>预印本GQA</x:v>
      </x:c>
      <x:c r="B13" s="2" t="str">
        <x:v>GQA2</x:v>
      </x:c>
      <x:c r="C13" s="2" t="str">
        <x:v>是否有明确目标并针对具体问题？</x:v>
      </x:c>
      <x:c r="D13" s="2" t="str">
        <x:v>目标和问题均不清楚</x:v>
      </x:c>
      <x:c r="E13" s="2" t="str">
        <x:v>可推断目标或范围</x:v>
      </x:c>
      <x:c r="F13" s="2" t="str">
        <x:v>目标、问题和范围明确</x:v>
      </x:c>
      <x:c r="G13" s="2"/>
    </x:row>
    <x:row r="14" ht="23" customHeight="1">
      <x:c r="A14" s="2" t="str">
        <x:v>预印本GQA</x:v>
      </x:c>
      <x:c r="B14" s="2" t="str">
        <x:v>GQA3</x:v>
      </x:c>
      <x:c r="C14" s="2" t="str">
        <x:v>是否说明方法及所研究的人群、系统、数据或案例？</x:v>
      </x:c>
      <x:c r="D14" s="2" t="str">
        <x:v>无方法和研究对象</x:v>
      </x:c>
      <x:c r="E14" s="2" t="str">
        <x:v>方法或对象部分明确</x:v>
      </x:c>
      <x:c r="F14" s="2" t="str">
        <x:v>方法步骤与具体对象均清楚</x:v>
      </x:c>
      <x:c r="G14" s="2"/>
    </x:row>
    <x:row r="15" ht="23" customHeight="1">
      <x:c r="A15" s="2" t="str">
        <x:v>预印本GQA</x:v>
      </x:c>
      <x:c r="B15" s="2" t="str">
        <x:v>GQA4</x:v>
      </x:c>
      <x:c r="C15" s="2" t="str">
        <x:v>是否由权威、当代文献支持，并说明与关键研究关系？</x:v>
      </x:c>
      <x:c r="D15" s="2" t="str">
        <x:v>缺少有效引用和定位</x:v>
      </x:c>
      <x:c r="E15" s="2" t="str">
        <x:v>有引用但覆盖或定位有限</x:v>
      </x:c>
      <x:c r="F15" s="2" t="str">
        <x:v>关键主张有来源支持且贡献定位清楚</x:v>
      </x:c>
      <x:c r="G15" s="2"/>
    </x:row>
    <x:row r="16" ht="23" customHeight="1">
      <x:c r="A16" s="2" t="str">
        <x:v>预印本GQA</x:v>
      </x:c>
      <x:c r="B16" s="2" t="str">
        <x:v>GQA5</x:v>
      </x:c>
      <x:c r="C16" s="2" t="str">
        <x:v>是否明确报告局限和适用边界？</x:v>
      </x:c>
      <x:c r="D16" s="2" t="str">
        <x:v>未报告</x:v>
      </x:c>
      <x:c r="E16" s="2" t="str">
        <x:v>简要提及</x:v>
      </x:c>
      <x:c r="F16" s="2" t="str">
        <x:v>有实质说明</x:v>
      </x:c>
      <x:c r="G16" s="2"/>
    </x:row>
    <x:row r="17" ht="23" customHeight="1">
      <x:c r="A17" s="2" t="str">
        <x:v>预印本GQA</x:v>
      </x:c>
      <x:c r="B17" s="2" t="str">
        <x:v>GQA6</x:v>
      </x:c>
      <x:c r="C17" s="2" t="str">
        <x:v>呈现是否平衡、客观，并披露潜在既得利益？</x:v>
      </x:c>
      <x:c r="D17" s="2" t="str">
        <x:v>明显片面或利益未披露</x:v>
      </x:c>
      <x:c r="E17" s="2" t="str">
        <x:v>基本客观但反证或披露不足</x:v>
      </x:c>
      <x:c r="F17" s="2" t="str">
        <x:v>正反证据、事实意见和利益关系清楚</x:v>
      </x:c>
      <x:c r="G17" s="2"/>
    </x:row>
    <x:row r="18" ht="23" customHeight="1">
      <x:c r="A18" s="2" t="str">
        <x:v>预印本GQA</x:v>
      </x:c>
      <x:c r="B18" s="2" t="str">
        <x:v>GQA7</x:v>
      </x:c>
      <x:c r="C18" s="2" t="str">
        <x:v>结论是否得到数据或案例证据支持？</x:v>
      </x:c>
      <x:c r="D18" s="2" t="str">
        <x:v>主要结论无证据</x:v>
      </x:c>
      <x:c r="E18" s="2" t="str">
        <x:v>部分有据但存在外推</x:v>
      </x:c>
      <x:c r="F18" s="2" t="str">
        <x:v>主要结论均可追溯到证据</x:v>
      </x:c>
      <x:c r="G18" s="2"/>
    </x:row>
    <x:row r="19" ht="23" customHeight="1">
      <x:c r="A19" s="2" t="str">
        <x:v>预印本GQA</x:v>
      </x:c>
      <x:c r="B19" s="2" t="str">
        <x:v>GQA8</x:v>
      </x:c>
      <x:c r="C19" s="2" t="str">
        <x:v>发布日期、版本日期和访问日期是否明确？</x:v>
      </x:c>
      <x:c r="D19" s="2" t="str">
        <x:v>日期无法确认</x:v>
      </x:c>
      <x:c r="E19" s="2" t="str">
        <x:v>有发布或版本日期之一</x:v>
      </x:c>
      <x:c r="F19" s="2" t="str">
        <x:v>首次发布、当前版本及访问日期明确</x:v>
      </x:c>
      <x:c r="G19" s="2"/>
    </x:row>
    <x:row r="20" ht="23" customHeight="1">
      <x:c r="A20" s="2" t="str">
        <x:v>预印本GQA</x:v>
      </x:c>
      <x:c r="B20" s="2" t="str">
        <x:v>GQA9</x:v>
      </x:c>
      <x:c r="C20" s="2" t="str">
        <x:v>是否增加独特内容，或强化/反驳既有立场？</x:v>
      </x:c>
      <x:c r="D20" s="2" t="str">
        <x:v>重复且无新证据</x:v>
      </x:c>
      <x:c r="E20" s="2" t="str">
        <x:v>有限增量</x:v>
      </x:c>
      <x:c r="F20" s="2" t="str">
        <x:v>有明确新方法、新证据、新情境或反驳</x:v>
      </x:c>
      <x:c r="G20" s="2"/>
    </x:row>
    <x:row r="21" ht="23" customHeight="1">
      <x:c r="A21" s="2" t="str">
        <x:v>预印本GQA</x:v>
      </x:c>
      <x:c r="B21" s="2" t="str">
        <x:v>GQA10</x:v>
      </x:c>
      <x:c r="C21" s="2" t="str">
        <x:v>出处是否稳定可核验，并记录可得影响指标？</x:v>
      </x:c>
      <x:c r="D21" s="2" t="str">
        <x:v>出处不稳定或不可核验</x:v>
      </x:c>
      <x:c r="E21" s="2" t="str">
        <x:v>完整稳定预印本；指标为零或不可得</x:v>
      </x:c>
      <x:c r="F21" s="2" t="str">
        <x:v>稳定出处且至少一种影响指标可得</x:v>
      </x:c>
      <x:c r="G21" s="2" t="str">
        <x:v>新近预印本低/零引用不单独排除</x:v>
      </x:c>
    </x:row>
    <x:row r="22" ht="23" customHeight="1">
      <x:c r="A22" s="2" t="str">
        <x:v>证据成熟度</x:v>
      </x:c>
      <x:c r="B22" s="2" t="str">
        <x:v>EM0</x:v>
      </x:c>
      <x:c r="C22" s="2" t="str">
        <x:v>无评价证据，仅提出方法或未经验证的主张</x:v>
      </x:c>
      <x:c r="D22" s="2" t="str">
        <x:v>0.0</x:v>
      </x:c>
      <x:c r="E22" s="2"/>
      <x:c r="F22" s="2"/>
      <x:c r="G22" s="2" t="str">
        <x:v>不决定QA过门</x:v>
      </x:c>
    </x:row>
    <x:row r="23" ht="23" customHeight="1">
      <x:c r="A23" s="2" t="str">
        <x:v>证据成熟度</x:v>
      </x:c>
      <x:c r="B23" s="2" t="str">
        <x:v>EM1</x:v>
      </x:c>
      <x:c r="C23" s="2" t="str">
        <x:v>演示或toy example，仅证明可以运行</x:v>
      </x:c>
      <x:c r="D23" s="2" t="str">
        <x:v>0.2</x:v>
      </x:c>
      <x:c r="E23" s="2"/>
      <x:c r="F23" s="2"/>
      <x:c r="G23" s="2"/>
    </x:row>
    <x:row r="24" ht="23" customHeight="1">
      <x:c r="A24" s="2" t="str">
        <x:v>证据成熟度</x:v>
      </x:c>
      <x:c r="B24" s="2" t="str">
        <x:v>EM2</x:v>
      </x:c>
      <x:c r="C24" s="2" t="str">
        <x:v>专家意见或观察，没有系统比较</x:v>
      </x:c>
      <x:c r="D24" s="2" t="str">
        <x:v>0.4</x:v>
      </x:c>
      <x:c r="E24" s="2"/>
      <x:c r="F24" s="2"/>
      <x:c r="G24" s="2"/>
    </x:row>
    <x:row r="25" ht="23" customHeight="1">
      <x:c r="A25" s="2" t="str">
        <x:v>证据成熟度</x:v>
      </x:c>
      <x:c r="B25" s="2" t="str">
        <x:v>EM3</x:v>
      </x:c>
      <x:c r="C25" s="2" t="str">
        <x:v>学术环境受控研究、公开benchmark或系统比较</x:v>
      </x:c>
      <x:c r="D25" s="2" t="str">
        <x:v>0.6</x:v>
      </x:c>
      <x:c r="E25" s="2"/>
      <x:c r="F25" s="2"/>
      <x:c r="G25" s="2" t="str">
        <x:v>企业合作离线benchmark通常仍为E3</x:v>
      </x:c>
    </x:row>
    <x:row r="26" ht="23" customHeight="1">
      <x:c r="A26" s="2" t="str">
        <x:v>证据成熟度</x:v>
      </x:c>
      <x:c r="B26" s="2" t="str">
        <x:v>EM4</x:v>
      </x:c>
      <x:c r="C26" s="2" t="str">
        <x:v>真实企业项目中的工业案例研究或试点</x:v>
      </x:c>
      <x:c r="D26" s="2" t="str">
        <x:v>0.8</x:v>
      </x:c>
      <x:c r="E26" s="2"/>
      <x:c r="F26" s="2"/>
      <x:c r="G26" s="2" t="str">
        <x:v>使用工业数据不自动等于E4</x:v>
      </x:c>
    </x:row>
    <x:row r="27" ht="23" customHeight="1">
      <x:c r="A27" s="2" t="str">
        <x:v>证据成熟度</x:v>
      </x:c>
      <x:c r="B27" s="2" t="str">
        <x:v>EM5</x:v>
      </x:c>
      <x:c r="C27" s="2" t="str">
        <x:v>组织采纳并在真实、持续或重复工程流程中使用</x:v>
      </x:c>
      <x:c r="D27" s="2" t="str">
        <x:v>1.0</x:v>
      </x:c>
      <x:c r="E27" s="2"/>
      <x:c r="F27" s="2"/>
      <x:c r="G27" s="2" t="str">
        <x:v>必须有真实用户、工作流和持续/重复使用</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20" hidden="0" customWidth="1"/>
    <x:col min="3" max="3" width="20" hidden="0" customWidth="1"/>
    <x:col min="4" max="4" width="52" hidden="0" customWidth="1"/>
    <x:col min="5" max="5" width="52" hidden="0" customWidth="1"/>
    <x:col min="6" max="6" width="20" hidden="0" customWidth="1"/>
    <x:col min="7" max="7" width="20" hidden="0" customWidth="1"/>
    <x:col min="8" max="8" width="52" hidden="0" customWidth="1"/>
    <x:col min="9" max="9" width="52" hidden="0" customWidth="1"/>
    <x:col min="10" max="10" width="52" hidden="0" customWidth="1"/>
  </x:cols>
  <x:sheetData>
    <x:row r="1" ht="38" customHeight="1">
      <x:c r="A1" s="5" t="str">
        <x:v>sheet_name</x:v>
      </x:c>
      <x:c r="B1" s="5" t="str">
        <x:v>row_unit</x:v>
      </x:c>
      <x:c r="C1" s="5" t="str">
        <x:v>field_name</x:v>
      </x:c>
      <x:c r="D1" s="5" t="str">
        <x:v>field_label</x:v>
      </x:c>
      <x:c r="E1" s="5" t="str">
        <x:v>definition</x:v>
      </x:c>
      <x:c r="F1" s="5" t="str">
        <x:v>required</x:v>
      </x:c>
      <x:c r="G1" s="5" t="str">
        <x:v>allowed_values</x:v>
      </x:c>
      <x:c r="H1" s="5" t="str">
        <x:v>evidence_requirement</x:v>
      </x:c>
      <x:c r="I1" s="5" t="str">
        <x:v>missing_value_rule</x:v>
      </x:c>
      <x:c r="J1" s="5" t="str">
        <x:v>notes</x:v>
      </x:c>
    </x:row>
    <x:row r="2" ht="23" customHeight="1">
      <x:c r="A2" s="2" t="str">
        <x:v>01_研究索引</x:v>
      </x:c>
      <x:c r="B2" s="2" t="str">
        <x:v>一篇研究/一个纳入study family的主证据版本</x:v>
      </x:c>
      <x:c r="C2" s="2" t="str">
        <x:v>study_id</x:v>
      </x:c>
      <x:c r="D2" s="6" t="str">
        <x:v>研究ID</x:v>
      </x:c>
      <x:c r="E2" s="6" t="str">
        <x:v>全工作簿的稳定主键。</x:v>
      </x:c>
      <x:c r="F2" s="2" t="str">
        <x:v>是</x:v>
      </x:c>
      <x:c r="G2" s="2" t="str">
        <x:v>自由文本</x:v>
      </x:c>
      <x:c r="H2" s="6" t="str">
        <x:v>按字段定义提供</x:v>
      </x:c>
      <x:c r="I2" s="6" t="str">
        <x:v>使用 NR / NA / Unclear / No，不留空</x:v>
      </x:c>
      <x:c r="J2" s="6"/>
    </x:row>
    <x:row r="3" ht="23" customHeight="1">
      <x:c r="A3" s="2" t="str">
        <x:v>01_研究索引</x:v>
      </x:c>
      <x:c r="B3" s="2" t="str">
        <x:v>一篇研究/一个纳入study family的主证据版本</x:v>
      </x:c>
      <x:c r="C3" s="2" t="str">
        <x:v>study_family_id</x:v>
      </x:c>
      <x:c r="D3" s="6" t="str">
        <x:v>研究家族ID</x:v>
      </x:c>
      <x:c r="E3" s="6" t="str">
        <x:v>连接同一工作的预印本、正式版与其他版本。</x:v>
      </x:c>
      <x:c r="F3" s="2" t="str">
        <x:v>是</x:v>
      </x:c>
      <x:c r="G3" s="2" t="str">
        <x:v>自由文本</x:v>
      </x:c>
      <x:c r="H3" s="6" t="str">
        <x:v>按字段定义提供</x:v>
      </x:c>
      <x:c r="I3" s="6" t="str">
        <x:v>使用 NR / NA / Unclear / No，不留空</x:v>
      </x:c>
      <x:c r="J3" s="6"/>
    </x:row>
    <x:row r="4" ht="23" customHeight="1">
      <x:c r="A4" s="2" t="str">
        <x:v>01_研究索引</x:v>
      </x:c>
      <x:c r="B4" s="2" t="str">
        <x:v>一篇研究/一个纳入study family的主证据版本</x:v>
      </x:c>
      <x:c r="C4" s="2" t="str">
        <x:v>source_id</x:v>
      </x:c>
      <x:c r="D4" s="6" t="str">
        <x:v>来源ID</x:v>
      </x:c>
      <x:c r="E4" s="6" t="str">
        <x:v>检索与筛选阶段的来源记录ID。</x:v>
      </x:c>
      <x:c r="F4" s="2" t="str">
        <x:v>是</x:v>
      </x:c>
      <x:c r="G4" s="2" t="str">
        <x:v>自由文本</x:v>
      </x:c>
      <x:c r="H4" s="6" t="str">
        <x:v>按字段定义提供</x:v>
      </x:c>
      <x:c r="I4" s="6" t="str">
        <x:v>使用 NR / NA / Unclear / No，不留空</x:v>
      </x:c>
      <x:c r="J4" s="6"/>
    </x:row>
    <x:row r="5" ht="23" customHeight="1">
      <x:c r="A5" s="2" t="str">
        <x:v>01_研究索引</x:v>
      </x:c>
      <x:c r="B5" s="2" t="str">
        <x:v>一篇研究/一个纳入study family的主证据版本</x:v>
      </x:c>
      <x:c r="C5" s="2" t="str">
        <x:v>record_id</x:v>
      </x:c>
      <x:c r="D5" s="6" t="str">
        <x:v>检索记录ID</x:v>
      </x:c>
      <x:c r="E5" s="6" t="str">
        <x:v>原始检索记录的唯一ID。</x:v>
      </x:c>
      <x:c r="F5" s="2" t="str">
        <x:v>是</x:v>
      </x:c>
      <x:c r="G5" s="2" t="str">
        <x:v>自由文本</x:v>
      </x:c>
      <x:c r="H5" s="6" t="str">
        <x:v>按字段定义提供</x:v>
      </x:c>
      <x:c r="I5" s="6" t="str">
        <x:v>使用 NR / NA / Unclear / No，不留空</x:v>
      </x:c>
      <x:c r="J5" s="6"/>
    </x:row>
    <x:row r="6" ht="23" customHeight="1">
      <x:c r="A6" s="2" t="str">
        <x:v>01_研究索引</x:v>
      </x:c>
      <x:c r="B6" s="2" t="str">
        <x:v>一篇研究/一个纳入study family的主证据版本</x:v>
      </x:c>
      <x:c r="C6" s="2" t="str">
        <x:v>version_id</x:v>
      </x:c>
      <x:c r="D6" s="6" t="str">
        <x:v>版本ID</x:v>
      </x:c>
      <x:c r="E6" s="6" t="str">
        <x:v>用于本次评价和抽取的具体版本。</x:v>
      </x:c>
      <x:c r="F6" s="2" t="str">
        <x:v>是</x:v>
      </x:c>
      <x:c r="G6" s="2" t="str">
        <x:v>自由文本</x:v>
      </x:c>
      <x:c r="H6" s="6" t="str">
        <x:v>按字段定义提供</x:v>
      </x:c>
      <x:c r="I6" s="6" t="str">
        <x:v>使用 NR / NA / Unclear / No，不留空</x:v>
      </x:c>
      <x:c r="J6" s="6"/>
    </x:row>
    <x:row r="7" ht="23" customHeight="1">
      <x:c r="A7" s="2" t="str">
        <x:v>01_研究索引</x:v>
      </x:c>
      <x:c r="B7" s="2" t="str">
        <x:v>一篇研究/一个纳入study family的主证据版本</x:v>
      </x:c>
      <x:c r="C7" s="2" t="str">
        <x:v>title</x:v>
      </x:c>
      <x:c r="D7" s="6" t="str">
        <x:v>题名</x:v>
      </x:c>
      <x:c r="E7" s="6" t="str">
        <x:v>论文完整题名。</x:v>
      </x:c>
      <x:c r="F7" s="2" t="str">
        <x:v>是</x:v>
      </x:c>
      <x:c r="G7" s="2" t="str">
        <x:v>自由文本</x:v>
      </x:c>
      <x:c r="H7" s="6" t="str">
        <x:v>按字段定义提供</x:v>
      </x:c>
      <x:c r="I7" s="6" t="str">
        <x:v>使用 NR / NA / Unclear / No，不留空</x:v>
      </x:c>
      <x:c r="J7" s="6"/>
    </x:row>
    <x:row r="8" ht="23" customHeight="1">
      <x:c r="A8" s="2" t="str">
        <x:v>01_研究索引</x:v>
      </x:c>
      <x:c r="B8" s="2" t="str">
        <x:v>一篇研究/一个纳入study family的主证据版本</x:v>
      </x:c>
      <x:c r="C8" s="2" t="str">
        <x:v>authors</x:v>
      </x:c>
      <x:c r="D8" s="6" t="str">
        <x:v>作者</x:v>
      </x:c>
      <x:c r="E8" s="6" t="str">
        <x:v>按来源顺序记录作者；多值使用分号分隔。</x:v>
      </x:c>
      <x:c r="F8" s="2" t="str">
        <x:v>是</x:v>
      </x:c>
      <x:c r="G8" s="2" t="str">
        <x:v>自由文本</x:v>
      </x:c>
      <x:c r="H8" s="6" t="str">
        <x:v>按字段定义提供</x:v>
      </x:c>
      <x:c r="I8" s="6" t="str">
        <x:v>使用 NR / NA / Unclear / No，不留空</x:v>
      </x:c>
      <x:c r="J8" s="6"/>
    </x:row>
    <x:row r="9" ht="23" customHeight="1">
      <x:c r="A9" s="2" t="str">
        <x:v>01_研究索引</x:v>
      </x:c>
      <x:c r="B9" s="2" t="str">
        <x:v>一篇研究/一个纳入study family的主证据版本</x:v>
      </x:c>
      <x:c r="C9" s="2" t="str">
        <x:v>year</x:v>
      </x:c>
      <x:c r="D9" s="6" t="str">
        <x:v>年份</x:v>
      </x:c>
      <x:c r="E9" s="6" t="str">
        <x:v>该版本的发表或发布年份。</x:v>
      </x:c>
      <x:c r="F9" s="2" t="str">
        <x:v>是</x:v>
      </x:c>
      <x:c r="G9" s="2" t="str">
        <x:v>自由文本</x:v>
      </x:c>
      <x:c r="H9" s="6" t="str">
        <x:v>按字段定义提供</x:v>
      </x:c>
      <x:c r="I9" s="6" t="str">
        <x:v>使用 NR / NA / Unclear / No，不留空</x:v>
      </x:c>
      <x:c r="J9" s="6"/>
    </x:row>
    <x:row r="10" ht="23" customHeight="1">
      <x:c r="A10" s="2" t="str">
        <x:v>01_研究索引</x:v>
      </x:c>
      <x:c r="B10" s="2" t="str">
        <x:v>一篇研究/一个纳入study family的主证据版本</x:v>
      </x:c>
      <x:c r="C10" s="2" t="str">
        <x:v>venue</x:v>
      </x:c>
      <x:c r="D10" s="6" t="str">
        <x:v>发表场所</x:v>
      </x:c>
      <x:c r="E10" s="6" t="str">
        <x:v>期刊、会议、研讨会或预印本平台。</x:v>
      </x:c>
      <x:c r="F10" s="2" t="str">
        <x:v>条件必填</x:v>
      </x:c>
      <x:c r="G10" s="2" t="str">
        <x:v>自由文本</x:v>
      </x:c>
      <x:c r="H10" s="6" t="str">
        <x:v>按字段定义提供</x:v>
      </x:c>
      <x:c r="I10" s="6" t="str">
        <x:v>使用 NR / NA / Unclear / No，不留空</x:v>
      </x:c>
      <x:c r="J10" s="6"/>
    </x:row>
    <x:row r="11" ht="23" customHeight="1">
      <x:c r="A11" s="2" t="str">
        <x:v>01_研究索引</x:v>
      </x:c>
      <x:c r="B11" s="2" t="str">
        <x:v>一篇研究/一个纳入study family的主证据版本</x:v>
      </x:c>
      <x:c r="C11" s="2" t="str">
        <x:v>doi</x:v>
      </x:c>
      <x:c r="D11" s="6" t="str">
        <x:v>DOI</x:v>
      </x:c>
      <x:c r="E11" s="6" t="str">
        <x:v>正式DOI；没有则记NR。</x:v>
      </x:c>
      <x:c r="F11" s="2" t="str">
        <x:v>条件必填</x:v>
      </x:c>
      <x:c r="G11" s="2" t="str">
        <x:v>自由文本</x:v>
      </x:c>
      <x:c r="H11" s="6" t="str">
        <x:v>按字段定义提供</x:v>
      </x:c>
      <x:c r="I11" s="6" t="str">
        <x:v>使用 NR / NA / Unclear / No，不留空</x:v>
      </x:c>
      <x:c r="J11" s="6"/>
    </x:row>
    <x:row r="12" ht="23" customHeight="1">
      <x:c r="A12" s="2" t="str">
        <x:v>01_研究索引</x:v>
      </x:c>
      <x:c r="B12" s="2" t="str">
        <x:v>一篇研究/一个纳入study family的主证据版本</x:v>
      </x:c>
      <x:c r="C12" s="2" t="str">
        <x:v>url</x:v>
      </x:c>
      <x:c r="D12" s="6" t="str">
        <x:v>URL</x:v>
      </x:c>
      <x:c r="E12" s="6" t="str">
        <x:v>主要访问地址。</x:v>
      </x:c>
      <x:c r="F12" s="2" t="str">
        <x:v>是</x:v>
      </x:c>
      <x:c r="G12" s="2" t="str">
        <x:v>自由文本</x:v>
      </x:c>
      <x:c r="H12" s="6" t="str">
        <x:v>按字段定义提供</x:v>
      </x:c>
      <x:c r="I12" s="6" t="str">
        <x:v>使用 NR / NA / Unclear / No，不留空</x:v>
      </x:c>
      <x:c r="J12" s="6"/>
    </x:row>
    <x:row r="13" ht="23" customHeight="1">
      <x:c r="A13" s="2" t="str">
        <x:v>01_研究索引</x:v>
      </x:c>
      <x:c r="B13" s="2" t="str">
        <x:v>一篇研究/一个纳入study family的主证据版本</x:v>
      </x:c>
      <x:c r="C13" s="2" t="str">
        <x:v>archived_url</x:v>
      </x:c>
      <x:c r="D13" s="6" t="str">
        <x:v>归档URL</x:v>
      </x:c>
      <x:c r="E13" s="6" t="str">
        <x:v>稳定归档或永久链接。</x:v>
      </x:c>
      <x:c r="F13" s="2" t="str">
        <x:v>条件必填</x:v>
      </x:c>
      <x:c r="G13" s="2" t="str">
        <x:v>自由文本</x:v>
      </x:c>
      <x:c r="H13" s="6" t="str">
        <x:v>按字段定义提供</x:v>
      </x:c>
      <x:c r="I13" s="6" t="str">
        <x:v>使用 NR / NA / Unclear / No，不留空</x:v>
      </x:c>
      <x:c r="J13" s="6"/>
    </x:row>
    <x:row r="14" ht="23" customHeight="1">
      <x:c r="A14" s="2" t="str">
        <x:v>01_研究索引</x:v>
      </x:c>
      <x:c r="B14" s="2" t="str">
        <x:v>一篇研究/一个纳入study family的主证据版本</x:v>
      </x:c>
      <x:c r="C14" s="2" t="str">
        <x:v>source_type</x:v>
      </x:c>
      <x:c r="D14" s="6" t="str">
        <x:v>来源类型</x:v>
      </x:c>
      <x:c r="E14" s="6" t="str">
        <x:v>正式文献或预印本。</x:v>
      </x:c>
      <x:c r="F14" s="2" t="str">
        <x:v>是</x:v>
      </x:c>
      <x:c r="G14" s="2" t="str">
        <x:v>Formal | Preprint</x:v>
      </x:c>
      <x:c r="H14" s="6" t="str">
        <x:v>按字段定义提供</x:v>
      </x:c>
      <x:c r="I14" s="6" t="str">
        <x:v>使用 NR / NA / Unclear / No，不留空</x:v>
      </x:c>
      <x:c r="J14" s="6"/>
    </x:row>
    <x:row r="15" ht="42" customHeight="1">
      <x:c r="A15" s="2" t="str">
        <x:v>01_研究索引</x:v>
      </x:c>
      <x:c r="B15" s="2" t="str">
        <x:v>一篇研究/一个纳入study family的主证据版本</x:v>
      </x:c>
      <x:c r="C15" s="2" t="str">
        <x:v>publication_status</x:v>
      </x:c>
      <x:c r="D15" s="6" t="str">
        <x:v>发表状态</x:v>
      </x:c>
      <x:c r="E15" s="6" t="str">
        <x:v>该版本的出版状态。</x:v>
      </x:c>
      <x:c r="F15" s="2" t="str">
        <x:v>是</x:v>
      </x:c>
      <x:c r="G15" s="2" t="str">
        <x:v>Formal journal article | Formal conference paper | Formal workshop paper | Preprint | Technical report | Other</x:v>
      </x:c>
      <x:c r="H15" s="6" t="str">
        <x:v>按字段定义提供</x:v>
      </x:c>
      <x:c r="I15" s="6" t="str">
        <x:v>使用 NR / NA / Unclear / No，不留空</x:v>
      </x:c>
      <x:c r="J15" s="6"/>
    </x:row>
    <x:row r="16" ht="23" customHeight="1">
      <x:c r="A16" s="2" t="str">
        <x:v>01_研究索引</x:v>
      </x:c>
      <x:c r="B16" s="2" t="str">
        <x:v>一篇研究/一个纳入study family的主证据版本</x:v>
      </x:c>
      <x:c r="C16" s="2" t="str">
        <x:v>peer_review_status</x:v>
      </x:c>
      <x:c r="D16" s="6" t="str">
        <x:v>同行评审状态</x:v>
      </x:c>
      <x:c r="E16" s="6" t="str">
        <x:v>该版本是否经过同行评审。</x:v>
      </x:c>
      <x:c r="F16" s="2" t="str">
        <x:v>是</x:v>
      </x:c>
      <x:c r="G16" s="2" t="str">
        <x:v>Peer-reviewed | Not peer-reviewed | Unclear</x:v>
      </x:c>
      <x:c r="H16" s="6" t="str">
        <x:v>按字段定义提供</x:v>
      </x:c>
      <x:c r="I16" s="6" t="str">
        <x:v>使用 NR / NA / Unclear / No，不留空</x:v>
      </x:c>
      <x:c r="J16" s="6"/>
    </x:row>
    <x:row r="17" ht="23" customHeight="1">
      <x:c r="A17" s="2" t="str">
        <x:v>01_研究索引</x:v>
      </x:c>
      <x:c r="B17" s="2" t="str">
        <x:v>一篇研究/一个纳入study family的主证据版本</x:v>
      </x:c>
      <x:c r="C17" s="2" t="str">
        <x:v>preprint_server</x:v>
      </x:c>
      <x:c r="D17" s="6" t="str">
        <x:v>预印本平台</x:v>
      </x:c>
      <x:c r="E17" s="6" t="str">
        <x:v>arXiv、SSRN等；正式文献记NA。</x:v>
      </x:c>
      <x:c r="F17" s="2" t="str">
        <x:v>条件必填</x:v>
      </x:c>
      <x:c r="G17" s="2" t="str">
        <x:v>自由文本</x:v>
      </x:c>
      <x:c r="H17" s="6" t="str">
        <x:v>按字段定义提供</x:v>
      </x:c>
      <x:c r="I17" s="6" t="str">
        <x:v>使用 NR / NA / Unclear / No，不留空</x:v>
      </x:c>
      <x:c r="J17" s="6"/>
    </x:row>
    <x:row r="18" ht="23" customHeight="1">
      <x:c r="A18" s="2" t="str">
        <x:v>01_研究索引</x:v>
      </x:c>
      <x:c r="B18" s="2" t="str">
        <x:v>一篇研究/一个纳入study family的主证据版本</x:v>
      </x:c>
      <x:c r="C18" s="2" t="str">
        <x:v>version_number</x:v>
      </x:c>
      <x:c r="D18" s="6" t="str">
        <x:v>版本号</x:v>
      </x:c>
      <x:c r="E18" s="6" t="str">
        <x:v>预印本版本号或正式版本标记。</x:v>
      </x:c>
      <x:c r="F18" s="2" t="str">
        <x:v>条件必填</x:v>
      </x:c>
      <x:c r="G18" s="2" t="str">
        <x:v>自由文本</x:v>
      </x:c>
      <x:c r="H18" s="6" t="str">
        <x:v>按字段定义提供</x:v>
      </x:c>
      <x:c r="I18" s="6" t="str">
        <x:v>使用 NR / NA / Unclear / No，不留空</x:v>
      </x:c>
      <x:c r="J18" s="6"/>
    </x:row>
    <x:row r="19" ht="23" customHeight="1">
      <x:c r="A19" s="2" t="str">
        <x:v>01_研究索引</x:v>
      </x:c>
      <x:c r="B19" s="2" t="str">
        <x:v>一篇研究/一个纳入study family的主证据版本</x:v>
      </x:c>
      <x:c r="C19" s="2" t="str">
        <x:v>publication_date</x:v>
      </x:c>
      <x:c r="D19" s="6" t="str">
        <x:v>发布日期</x:v>
      </x:c>
      <x:c r="E19" s="6" t="str">
        <x:v>首次或当前版本发布日期。</x:v>
      </x:c>
      <x:c r="F19" s="2" t="str">
        <x:v>是</x:v>
      </x:c>
      <x:c r="G19" s="2" t="str">
        <x:v>自由文本</x:v>
      </x:c>
      <x:c r="H19" s="6" t="str">
        <x:v>按字段定义提供</x:v>
      </x:c>
      <x:c r="I19" s="6" t="str">
        <x:v>使用 NR / NA / Unclear / No，不留空</x:v>
      </x:c>
      <x:c r="J19" s="6"/>
    </x:row>
    <x:row r="20" ht="23" customHeight="1">
      <x:c r="A20" s="2" t="str">
        <x:v>01_研究索引</x:v>
      </x:c>
      <x:c r="B20" s="2" t="str">
        <x:v>一篇研究/一个纳入study family的主证据版本</x:v>
      </x:c>
      <x:c r="C20" s="2" t="str">
        <x:v>access_date</x:v>
      </x:c>
      <x:c r="D20" s="6" t="str">
        <x:v>访问日期</x:v>
      </x:c>
      <x:c r="E20" s="6" t="str">
        <x:v>全文访问与核验日期。</x:v>
      </x:c>
      <x:c r="F20" s="2" t="str">
        <x:v>是</x:v>
      </x:c>
      <x:c r="G20" s="2" t="str">
        <x:v>自由文本</x:v>
      </x:c>
      <x:c r="H20" s="6" t="str">
        <x:v>按字段定义提供</x:v>
      </x:c>
      <x:c r="I20" s="6" t="str">
        <x:v>使用 NR / NA / Unclear / No，不留空</x:v>
      </x:c>
      <x:c r="J20" s="6"/>
    </x:row>
    <x:row r="21" ht="23" customHeight="1">
      <x:c r="A21" s="2" t="str">
        <x:v>01_研究索引</x:v>
      </x:c>
      <x:c r="B21" s="2" t="str">
        <x:v>一篇研究/一个纳入study family的主证据版本</x:v>
      </x:c>
      <x:c r="C21" s="2" t="str">
        <x:v>superseded</x:v>
      </x:c>
      <x:c r="D21" s="6" t="str">
        <x:v>已被替代</x:v>
      </x:c>
      <x:c r="E21" s="6" t="str">
        <x:v>是否已被后续版本替代。</x:v>
      </x:c>
      <x:c r="F21" s="2" t="str">
        <x:v>条件必填</x:v>
      </x:c>
      <x:c r="G21" s="2" t="str">
        <x:v>Yes | No | Unclear | NR | NA</x:v>
      </x:c>
      <x:c r="H21" s="6" t="str">
        <x:v>按字段定义提供</x:v>
      </x:c>
      <x:c r="I21" s="6" t="str">
        <x:v>使用 NR / NA / Unclear / No，不留空</x:v>
      </x:c>
      <x:c r="J21" s="6"/>
    </x:row>
    <x:row r="22" ht="23" customHeight="1">
      <x:c r="A22" s="2" t="str">
        <x:v>01_研究索引</x:v>
      </x:c>
      <x:c r="B22" s="2" t="str">
        <x:v>一篇研究/一个纳入study family的主证据版本</x:v>
      </x:c>
      <x:c r="C22" s="2" t="str">
        <x:v>corrected</x:v>
      </x:c>
      <x:c r="D22" s="6" t="str">
        <x:v>已更正</x:v>
      </x:c>
      <x:c r="E22" s="6" t="str">
        <x:v>是否存在更正或勘误。</x:v>
      </x:c>
      <x:c r="F22" s="2" t="str">
        <x:v>条件必填</x:v>
      </x:c>
      <x:c r="G22" s="2" t="str">
        <x:v>Yes | No | Unclear | NR | NA</x:v>
      </x:c>
      <x:c r="H22" s="6" t="str">
        <x:v>按字段定义提供</x:v>
      </x:c>
      <x:c r="I22" s="6" t="str">
        <x:v>使用 NR / NA / Unclear / No，不留空</x:v>
      </x:c>
      <x:c r="J22" s="6"/>
    </x:row>
    <x:row r="23" ht="23" customHeight="1">
      <x:c r="A23" s="2" t="str">
        <x:v>01_研究索引</x:v>
      </x:c>
      <x:c r="B23" s="2" t="str">
        <x:v>一篇研究/一个纳入study family的主证据版本</x:v>
      </x:c>
      <x:c r="C23" s="2" t="str">
        <x:v>retracted</x:v>
      </x:c>
      <x:c r="D23" s="6" t="str">
        <x:v>已撤回</x:v>
      </x:c>
      <x:c r="E23" s="6" t="str">
        <x:v>是否已撤回。</x:v>
      </x:c>
      <x:c r="F23" s="2" t="str">
        <x:v>条件必填</x:v>
      </x:c>
      <x:c r="G23" s="2" t="str">
        <x:v>Yes | No | Unclear | NR | NA</x:v>
      </x:c>
      <x:c r="H23" s="6" t="str">
        <x:v>按字段定义提供</x:v>
      </x:c>
      <x:c r="I23" s="6" t="str">
        <x:v>使用 NR / NA / Unclear / No，不留空</x:v>
      </x:c>
      <x:c r="J23" s="6"/>
    </x:row>
    <x:row r="24" ht="23" customHeight="1">
      <x:c r="A24" s="2" t="str">
        <x:v>01_研究索引</x:v>
      </x:c>
      <x:c r="B24" s="2" t="str">
        <x:v>一篇研究/一个纳入study family的主证据版本</x:v>
      </x:c>
      <x:c r="C24" s="2" t="str">
        <x:v>qa_final_decision</x:v>
      </x:c>
      <x:c r="D24" s="6" t="str">
        <x:v>最终QA决定</x:v>
      </x:c>
      <x:c r="E24" s="6" t="str">
        <x:v>从正式QA或预印本GQA共识记录回填，不合并两种分数。</x:v>
      </x:c>
      <x:c r="F24" s="2" t="str">
        <x:v>条件必填</x:v>
      </x:c>
      <x:c r="G24" s="2" t="str">
        <x:v>自由文本</x:v>
      </x:c>
      <x:c r="H24" s="6" t="str">
        <x:v>按字段定义提供</x:v>
      </x:c>
      <x:c r="I24" s="6" t="str">
        <x:v>使用 NR / NA / Unclear / No，不留空</x:v>
      </x:c>
      <x:c r="J24" s="6"/>
    </x:row>
    <x:row r="25" ht="23" customHeight="1">
      <x:c r="A25" s="2" t="str">
        <x:v>01_研究索引</x:v>
      </x:c>
      <x:c r="B25" s="2" t="str">
        <x:v>一篇研究/一个纳入study family的主证据版本</x:v>
      </x:c>
      <x:c r="C25" s="2" t="str">
        <x:v>e_final_level</x:v>
      </x:c>
      <x:c r="D25" s="6" t="str">
        <x:v>最终E等级</x:v>
      </x:c>
      <x:c r="E25" s="6" t="str">
        <x:v>从E研究级共识记录回填。</x:v>
      </x:c>
      <x:c r="F25" s="2" t="str">
        <x:v>条件必填</x:v>
      </x:c>
      <x:c r="G25" s="2" t="str">
        <x:v>EM0 | EM1 | EM2 | EM3 | EM4 | EM5</x:v>
      </x:c>
      <x:c r="H25" s="6" t="str">
        <x:v>按字段定义提供</x:v>
      </x:c>
      <x:c r="I25" s="6" t="str">
        <x:v>使用 NR / NA / Unclear / No，不留空</x:v>
      </x:c>
      <x:c r="J25" s="6"/>
    </x:row>
    <x:row r="26" ht="28" customHeight="1">
      <x:c r="A26" s="2" t="str">
        <x:v>01_研究索引</x:v>
      </x:c>
      <x:c r="B26" s="2" t="str">
        <x:v>一篇研究/一个纳入study family的主证据版本</x:v>
      </x:c>
      <x:c r="C26" s="2" t="str">
        <x:v>extraction_status</x:v>
      </x:c>
      <x:c r="D26" s="6" t="str">
        <x:v>抽取状态</x:v>
      </x:c>
      <x:c r="E26" s="6" t="str">
        <x:v>内容抽取当前进度。</x:v>
      </x:c>
      <x:c r="F26" s="2" t="str">
        <x:v>是</x:v>
      </x:c>
      <x:c r="G26" s="2" t="str">
        <x:v>Not started | Pilot | In progress | Completed | Checked | Consensus complete</x:v>
      </x:c>
      <x:c r="H26" s="6" t="str">
        <x:v>按字段定义提供</x:v>
      </x:c>
      <x:c r="I26" s="6" t="str">
        <x:v>使用 NR / NA / Unclear / No，不留空</x:v>
      </x:c>
      <x:c r="J26" s="6"/>
    </x:row>
    <x:row r="27" ht="23" customHeight="1">
      <x:c r="A27" s="2" t="str">
        <x:v>01_研究索引</x:v>
      </x:c>
      <x:c r="B27" s="2" t="str">
        <x:v>一篇研究/一个纳入study family的主证据版本</x:v>
      </x:c>
      <x:c r="C27" s="2" t="str">
        <x:v>notes</x:v>
      </x:c>
      <x:c r="D27" s="6" t="str">
        <x:v>备注</x:v>
      </x:c>
      <x:c r="E27" s="6" t="str">
        <x:v>边界情况、冲突、待核查内容或其他说明。</x:v>
      </x:c>
      <x:c r="F27" s="2" t="str">
        <x:v>否</x:v>
      </x:c>
      <x:c r="G27" s="2" t="str">
        <x:v>自由文本</x:v>
      </x:c>
      <x:c r="H27" s="6" t="str">
        <x:v>按字段定义提供</x:v>
      </x:c>
      <x:c r="I27" s="6" t="str">
        <x:v>可留空</x:v>
      </x:c>
      <x:c r="J27" s="6"/>
    </x:row>
    <x:row r="28" ht="23" customHeight="1">
      <x:c r="A28" s="2" t="str">
        <x:v>辅助_概念过程证据</x:v>
      </x:c>
      <x:c r="B28" s="2" t="str">
        <x:v>一条来源明确报告的定义、范围、边界、必要/可选步骤或反例证据</x:v>
      </x:c>
      <x:c r="C28" s="2" t="str">
        <x:v>record_id</x:v>
      </x:c>
      <x:c r="D28" s="6" t="str">
        <x:v>记录ID</x:v>
      </x:c>
      <x:c r="E28" s="6" t="str">
        <x:v>当前表中该条记录的稳定唯一ID。</x:v>
      </x:c>
      <x:c r="F28" s="2" t="str">
        <x:v>是</x:v>
      </x:c>
      <x:c r="G28" s="2" t="str">
        <x:v>自由文本</x:v>
      </x:c>
      <x:c r="H28" s="6" t="str">
        <x:v>按字段定义提供</x:v>
      </x:c>
      <x:c r="I28" s="6" t="str">
        <x:v>使用 NR / NA / Unclear / No，不留空</x:v>
      </x:c>
      <x:c r="J28" s="6" t="str">
        <x:v>建议格式：S001-C01、S001-T01等。</x:v>
      </x:c>
    </x:row>
    <x:row r="29" ht="23" customHeight="1">
      <x:c r="A29" s="2" t="str">
        <x:v>辅助_概念过程证据</x:v>
      </x:c>
      <x:c r="B29" s="2" t="str">
        <x:v>一条来源明确报告的定义、范围、边界、必要/可选步骤或反例证据</x:v>
      </x:c>
      <x:c r="C29" s="2" t="str">
        <x:v>study_id</x:v>
      </x:c>
      <x:c r="D29" s="6" t="str">
        <x:v>研究ID</x:v>
      </x:c>
      <x:c r="E29" s="6" t="str">
        <x:v>连接研究索引与所有抽取表的稳定研究标识。</x:v>
      </x:c>
      <x:c r="F29" s="2" t="str">
        <x:v>是</x:v>
      </x:c>
      <x:c r="G29" s="2" t="str">
        <x:v>study_id</x:v>
      </x:c>
      <x:c r="H29" s="6" t="str">
        <x:v>按字段定义提供</x:v>
      </x:c>
      <x:c r="I29" s="6" t="str">
        <x:v>使用 NR / NA / Unclear / No，不留空</x:v>
      </x:c>
      <x:c r="J29" s="6" t="str">
        <x:v>建议格式：S001。</x:v>
      </x:c>
    </x:row>
    <x:row r="30" ht="23" customHeight="1">
      <x:c r="A30" s="2" t="str">
        <x:v>辅助_概念过程证据</x:v>
      </x:c>
      <x:c r="B30" s="2" t="str">
        <x:v>一条来源明确报告的定义、范围、边界、必要/可选步骤或反例证据</x:v>
      </x:c>
      <x:c r="C30" s="2" t="str">
        <x:v>version_id</x:v>
      </x:c>
      <x:c r="D30" s="6" t="str">
        <x:v>版本ID</x:v>
      </x:c>
      <x:c r="E30" s="6" t="str">
        <x:v>本次抽取所依据的具体论文版本标识。</x:v>
      </x:c>
      <x:c r="F30" s="2" t="str">
        <x:v>是</x:v>
      </x:c>
      <x:c r="G30" s="2" t="str">
        <x:v>version_id</x:v>
      </x:c>
      <x:c r="H30" s="6" t="str">
        <x:v>按字段定义提供</x:v>
      </x:c>
      <x:c r="I30" s="6" t="str">
        <x:v>使用 NR / NA / Unclear / No，不留空</x:v>
      </x:c>
      <x:c r="J30" s="6" t="str">
        <x:v>同一study family不同版本不得混写。</x:v>
      </x:c>
    </x:row>
    <x:row r="31" ht="23" customHeight="1">
      <x:c r="A31" s="2" t="str">
        <x:v>辅助_概念过程证据</x:v>
      </x:c>
      <x:c r="B31" s="2" t="str">
        <x:v>一条来源明确报告的定义、范围、边界、必要/可选步骤或反例证据</x:v>
      </x:c>
      <x:c r="C31" s="2" t="str">
        <x:v>review_stage</x:v>
      </x:c>
      <x:c r="D31" s="6" t="str">
        <x:v>记录阶段</x:v>
      </x:c>
      <x:c r="E31" s="6" t="str">
        <x:v>区分两名独立评审者、共识与仲裁记录。</x:v>
      </x:c>
      <x:c r="F31" s="2" t="str">
        <x:v>是</x:v>
      </x:c>
      <x:c r="G31" s="2" t="str">
        <x:v>Reviewer_A | Reviewer_B | Consensus | Arbitration</x:v>
      </x:c>
      <x:c r="H31" s="6" t="str">
        <x:v>按字段定义提供</x:v>
      </x:c>
      <x:c r="I31" s="6" t="str">
        <x:v>使用 NR / NA / Unclear / No，不留空</x:v>
      </x:c>
      <x:c r="J31" s="6"/>
    </x:row>
    <x:row r="32" ht="23" customHeight="1">
      <x:c r="A32" s="2" t="str">
        <x:v>辅助_概念过程证据</x:v>
      </x:c>
      <x:c r="B32" s="2" t="str">
        <x:v>一条来源明确报告的定义、范围、边界、必要/可选步骤或反例证据</x:v>
      </x:c>
      <x:c r="C32" s="2" t="str">
        <x:v>reviewer_id</x:v>
      </x:c>
      <x:c r="D32" s="6" t="str">
        <x:v>评审者ID</x:v>
      </x:c>
      <x:c r="E32" s="6" t="str">
        <x:v>完成该条记录的评审者或共识组标识。</x:v>
      </x:c>
      <x:c r="F32" s="2" t="str">
        <x:v>是</x:v>
      </x:c>
      <x:c r="G32" s="2" t="str">
        <x:v>自由文本</x:v>
      </x:c>
      <x:c r="H32" s="6" t="str">
        <x:v>按字段定义提供</x:v>
      </x:c>
      <x:c r="I32" s="6" t="str">
        <x:v>使用 NR / NA / Unclear / No，不留空</x:v>
      </x:c>
      <x:c r="J32" s="6"/>
    </x:row>
    <x:row r="33" ht="28" customHeight="1">
      <x:c r="A33" s="2" t="str">
        <x:v>辅助_概念过程证据</x:v>
      </x:c>
      <x:c r="B33" s="2" t="str">
        <x:v>一条来源明确报告的定义、范围、边界、必要/可选步骤或反例证据</x:v>
      </x:c>
      <x:c r="C33" s="2" t="str">
        <x:v>claim_type</x:v>
      </x:c>
      <x:c r="D33" s="6" t="str">
        <x:v>概念证据类型</x:v>
      </x:c>
      <x:c r="E33" s="6" t="str">
        <x:v>该条证据用于定义、范围、边界、必要步骤、可选步骤或反例。</x:v>
      </x:c>
      <x:c r="F33" s="2" t="str">
        <x:v>是</x:v>
      </x:c>
      <x:c r="G33" s="2" t="str">
        <x:v>definition | scope | boundary | necessary_step | optional_step | counterexample</x:v>
      </x:c>
      <x:c r="H33" s="6" t="str">
        <x:v>按字段定义提供</x:v>
      </x:c>
      <x:c r="I33" s="6" t="str">
        <x:v>使用 NR / NA / Unclear / No，不留空</x:v>
      </x:c>
      <x:c r="J33" s="6"/>
    </x:row>
    <x:row r="34" ht="23" customHeight="1">
      <x:c r="A34" s="2" t="str">
        <x:v>辅助_概念过程证据</x:v>
      </x:c>
      <x:c r="B34" s="2" t="str">
        <x:v>一条来源明确报告的定义、范围、边界、必要/可选步骤或反例证据</x:v>
      </x:c>
      <x:c r="C34" s="2" t="str">
        <x:v>term_verbatim</x:v>
      </x:c>
      <x:c r="D34" s="6" t="str">
        <x:v>来源术语</x:v>
      </x:c>
      <x:c r="E34" s="6" t="str">
        <x:v>论文用于描述LLM、ST或二者结合的原文术语。</x:v>
      </x:c>
      <x:c r="F34" s="2" t="str">
        <x:v>是</x:v>
      </x:c>
      <x:c r="G34" s="2" t="str">
        <x:v>自由文本</x:v>
      </x:c>
      <x:c r="H34" s="6" t="str">
        <x:v>按字段定义提供</x:v>
      </x:c>
      <x:c r="I34" s="6" t="str">
        <x:v>使用 NR / NA / Unclear / No，不留空</x:v>
      </x:c>
      <x:c r="J34" s="6"/>
    </x:row>
    <x:row r="35" ht="23" customHeight="1">
      <x:c r="A35" s="2" t="str">
        <x:v>辅助_概念过程证据</x:v>
      </x:c>
      <x:c r="B35" s="2" t="str">
        <x:v>一条来源明确报告的定义、范围、边界、必要/可选步骤或反例证据</x:v>
      </x:c>
      <x:c r="C35" s="2" t="str">
        <x:v>object_a</x:v>
      </x:c>
      <x:c r="D35" s="6" t="str">
        <x:v>关系端点A</x:v>
      </x:c>
      <x:c r="E35" s="6" t="str">
        <x:v>原文涉及的第一个软件制品或对象。</x:v>
      </x:c>
      <x:c r="F35" s="2" t="str">
        <x:v>条件必填</x:v>
      </x:c>
      <x:c r="G35" s="2" t="str">
        <x:v>自由文本</x:v>
      </x:c>
      <x:c r="H35" s="6" t="str">
        <x:v>按字段定义提供</x:v>
      </x:c>
      <x:c r="I35" s="6" t="str">
        <x:v>使用 NR / NA / Unclear / No，不留空</x:v>
      </x:c>
      <x:c r="J35" s="6"/>
    </x:row>
    <x:row r="36" ht="23" customHeight="1">
      <x:c r="A36" s="2" t="str">
        <x:v>辅助_概念过程证据</x:v>
      </x:c>
      <x:c r="B36" s="2" t="str">
        <x:v>一条来源明确报告的定义、范围、边界、必要/可选步骤或反例证据</x:v>
      </x:c>
      <x:c r="C36" s="2" t="str">
        <x:v>relation</x:v>
      </x:c>
      <x:c r="D36" s="6" t="str">
        <x:v>关系/活动</x:v>
      </x:c>
      <x:c r="E36" s="6" t="str">
        <x:v>端点之间的追溯关系或活动。</x:v>
      </x:c>
      <x:c r="F36" s="2" t="str">
        <x:v>条件必填</x:v>
      </x:c>
      <x:c r="G36" s="2" t="str">
        <x:v>自由文本</x:v>
      </x:c>
      <x:c r="H36" s="6" t="str">
        <x:v>按字段定义提供</x:v>
      </x:c>
      <x:c r="I36" s="6" t="str">
        <x:v>使用 NR / NA / Unclear / No，不留空</x:v>
      </x:c>
      <x:c r="J36" s="6"/>
    </x:row>
    <x:row r="37" ht="23" customHeight="1">
      <x:c r="A37" s="2" t="str">
        <x:v>辅助_概念过程证据</x:v>
      </x:c>
      <x:c r="B37" s="2" t="str">
        <x:v>一条来源明确报告的定义、范围、边界、必要/可选步骤或反例证据</x:v>
      </x:c>
      <x:c r="C37" s="2" t="str">
        <x:v>object_b</x:v>
      </x:c>
      <x:c r="D37" s="6" t="str">
        <x:v>关系端点B</x:v>
      </x:c>
      <x:c r="E37" s="6" t="str">
        <x:v>原文涉及的第二个软件制品或对象。</x:v>
      </x:c>
      <x:c r="F37" s="2" t="str">
        <x:v>条件必填</x:v>
      </x:c>
      <x:c r="G37" s="2" t="str">
        <x:v>自由文本</x:v>
      </x:c>
      <x:c r="H37" s="6" t="str">
        <x:v>按字段定义提供</x:v>
      </x:c>
      <x:c r="I37" s="6" t="str">
        <x:v>使用 NR / NA / Unclear / No，不留空</x:v>
      </x:c>
      <x:c r="J37" s="6"/>
    </x:row>
    <x:row r="38" ht="23" customHeight="1">
      <x:c r="A38" s="2" t="str">
        <x:v>辅助_概念过程证据</x:v>
      </x:c>
      <x:c r="B38" s="2" t="str">
        <x:v>一条来源明确报告的定义、范围、边界、必要/可选步骤或反例证据</x:v>
      </x:c>
      <x:c r="C38" s="2" t="str">
        <x:v>llm_involvement</x:v>
      </x:c>
      <x:c r="D38" s="6" t="str">
        <x:v>LLM参与方式</x:v>
      </x:c>
      <x:c r="E38" s="6" t="str">
        <x:v>LLM直接参与了什么操作，以及如何影响追溯关系。</x:v>
      </x:c>
      <x:c r="F38" s="2" t="str">
        <x:v>是</x:v>
      </x:c>
      <x:c r="G38" s="2" t="str">
        <x:v>自由文本</x:v>
      </x:c>
      <x:c r="H38" s="6" t="str">
        <x:v>按字段定义提供</x:v>
      </x:c>
      <x:c r="I38" s="6" t="str">
        <x:v>使用 NR / NA / Unclear / No，不留空</x:v>
      </x:c>
      <x:c r="J38" s="6"/>
    </x:row>
    <x:row r="39" ht="23" customHeight="1">
      <x:c r="A39" s="2" t="str">
        <x:v>辅助_概念过程证据</x:v>
      </x:c>
      <x:c r="B39" s="2" t="str">
        <x:v>一条来源明确报告的定义、范围、边界、必要/可选步骤或反例证据</x:v>
      </x:c>
      <x:c r="C39" s="2" t="str">
        <x:v>necessity_status</x:v>
      </x:c>
      <x:c r="D39" s="6" t="str">
        <x:v>必要性状态</x:v>
      </x:c>
      <x:c r="E39" s="6" t="str">
        <x:v>该步骤在来源中是必要、可选或不适用。</x:v>
      </x:c>
      <x:c r="F39" s="2" t="str">
        <x:v>条件必填</x:v>
      </x:c>
      <x:c r="G39" s="2" t="str">
        <x:v>Necessary | Optional | Not applicable | Unclear</x:v>
      </x:c>
      <x:c r="H39" s="6" t="str">
        <x:v>按字段定义提供</x:v>
      </x:c>
      <x:c r="I39" s="6" t="str">
        <x:v>使用 NR / NA / Unclear / No，不留空</x:v>
      </x:c>
      <x:c r="J39" s="6"/>
    </x:row>
    <x:row r="40" ht="23" customHeight="1">
      <x:c r="A40" s="2" t="str">
        <x:v>辅助_概念过程证据</x:v>
      </x:c>
      <x:c r="B40" s="2" t="str">
        <x:v>一条来源明确报告的定义、范围、边界、必要/可选步骤或反例证据</x:v>
      </x:c>
      <x:c r="C40" s="2" t="str">
        <x:v>counterexample_description</x:v>
      </x:c>
      <x:c r="D40" s="6" t="str">
        <x:v>反例/排除边界</x:v>
      </x:c>
      <x:c r="E40" s="6" t="str">
        <x:v>来源或评审中识别的不能构成LLM4ST的边界案例。</x:v>
      </x:c>
      <x:c r="F40" s="2" t="str">
        <x:v>条件必填</x:v>
      </x:c>
      <x:c r="G40" s="2" t="str">
        <x:v>自由文本</x:v>
      </x:c>
      <x:c r="H40" s="6" t="str">
        <x:v>按字段定义提供</x:v>
      </x:c>
      <x:c r="I40" s="6" t="str">
        <x:v>使用 NR / NA / Unclear / No，不留空</x:v>
      </x:c>
      <x:c r="J40" s="6"/>
    </x:row>
    <x:row r="41" ht="23" customHeight="1">
      <x:c r="A41" s="2" t="str">
        <x:v>辅助_概念过程证据</x:v>
      </x:c>
      <x:c r="B41" s="2" t="str">
        <x:v>一条来源明确报告的定义、范围、边界、必要/可选步骤或反例证据</x:v>
      </x:c>
      <x:c r="C41" s="2" t="str">
        <x:v>normalized_claim</x:v>
      </x:c>
      <x:c r="D41" s="6" t="str">
        <x:v>规范化概念主张</x:v>
      </x:c>
      <x:c r="E41" s="6" t="str">
        <x:v>忠实于原文的简洁规范化表述。</x:v>
      </x:c>
      <x:c r="F41" s="2" t="str">
        <x:v>是</x:v>
      </x:c>
      <x:c r="G41" s="2" t="str">
        <x:v>自由文本</x:v>
      </x:c>
      <x:c r="H41" s="6" t="str">
        <x:v>按字段定义提供</x:v>
      </x:c>
      <x:c r="I41" s="6" t="str">
        <x:v>使用 NR / NA / Unclear / No，不留空</x:v>
      </x:c>
      <x:c r="J41" s="6"/>
    </x:row>
    <x:row r="42" ht="23" customHeight="1">
      <x:c r="A42" s="2" t="str">
        <x:v>辅助_概念过程证据</x:v>
      </x:c>
      <x:c r="B42" s="2" t="str">
        <x:v>一条来源明确报告的定义、范围、边界、必要/可选步骤或反例证据</x:v>
      </x:c>
      <x:c r="C42" s="2" t="str">
        <x:v>open_code</x:v>
      </x:c>
      <x:c r="D42" s="6" t="str">
        <x:v>开放码</x:v>
      </x:c>
      <x:c r="E42" s="6" t="str">
        <x:v>从原文直接归纳的初始概念码。</x:v>
      </x:c>
      <x:c r="F42" s="2" t="str">
        <x:v>是</x:v>
      </x:c>
      <x:c r="G42" s="2" t="str">
        <x:v>自由文本</x:v>
      </x:c>
      <x:c r="H42" s="6" t="str">
        <x:v>按字段定义提供</x:v>
      </x:c>
      <x:c r="I42" s="6" t="str">
        <x:v>使用 NR / NA / Unclear / No，不留空</x:v>
      </x:c>
      <x:c r="J42" s="6"/>
    </x:row>
    <x:row r="43" ht="23" customHeight="1">
      <x:c r="A43" s="2" t="str">
        <x:v>辅助_概念过程证据</x:v>
      </x:c>
      <x:c r="B43" s="2" t="str">
        <x:v>一条来源明确报告的定义、范围、边界、必要/可选步骤或反例证据</x:v>
      </x:c>
      <x:c r="C43" s="2" t="str">
        <x:v>axial_code</x:v>
      </x:c>
      <x:c r="D43" s="6" t="str">
        <x:v>轴心码</x:v>
      </x:c>
      <x:c r="E43" s="6" t="str">
        <x:v>将相关开放码连接后的中层类别。</x:v>
      </x:c>
      <x:c r="F43" s="2" t="str">
        <x:v>条件必填</x:v>
      </x:c>
      <x:c r="G43" s="2" t="str">
        <x:v>自由文本</x:v>
      </x:c>
      <x:c r="H43" s="6" t="str">
        <x:v>按字段定义提供</x:v>
      </x:c>
      <x:c r="I43" s="6" t="str">
        <x:v>使用 NR / NA / Unclear / No，不留空</x:v>
      </x:c>
      <x:c r="J43" s="6"/>
    </x:row>
    <x:row r="44" ht="23" customHeight="1">
      <x:c r="A44" s="2" t="str">
        <x:v>辅助_概念过程证据</x:v>
      </x:c>
      <x:c r="B44" s="2" t="str">
        <x:v>一条来源明确报告的定义、范围、边界、必要/可选步骤或反例证据</x:v>
      </x:c>
      <x:c r="C44" s="2" t="str">
        <x:v>final_concept_code</x:v>
      </x:c>
      <x:c r="D44" s="6" t="str">
        <x:v>最终概念码</x:v>
      </x:c>
      <x:c r="E44" s="6" t="str">
        <x:v>编码本冻结后使用的最终类别。</x:v>
      </x:c>
      <x:c r="F44" s="2" t="str">
        <x:v>条件必填</x:v>
      </x:c>
      <x:c r="G44" s="2" t="str">
        <x:v>自由文本</x:v>
      </x:c>
      <x:c r="H44" s="6" t="str">
        <x:v>按字段定义提供</x:v>
      </x:c>
      <x:c r="I44" s="6" t="str">
        <x:v>使用 NR / NA / Unclear / No，不留空</x:v>
      </x:c>
      <x:c r="J44" s="6"/>
    </x:row>
    <x:row r="45" ht="23" customHeight="1">
      <x:c r="A45" s="2" t="str">
        <x:v>辅助_概念过程证据</x:v>
      </x:c>
      <x:c r="B45" s="2" t="str">
        <x:v>一条来源明确报告的定义、范围、边界、必要/可选步骤或反例证据</x:v>
      </x:c>
      <x:c r="C45" s="2" t="str">
        <x:v>evidence_tag</x:v>
      </x:c>
      <x:c r="D45" s="6" t="str">
        <x:v>证据标签</x:v>
      </x:c>
      <x:c r="E45" s="6" t="str">
        <x:v>原始抽取表仅允许SR。</x:v>
      </x:c>
      <x:c r="F45" s="2" t="str">
        <x:v>是</x:v>
      </x:c>
      <x:c r="G45" s="2" t="str">
        <x:v>SR</x:v>
      </x:c>
      <x:c r="H45" s="6" t="str">
        <x:v>按字段定义提供</x:v>
      </x:c>
      <x:c r="I45" s="6" t="str">
        <x:v>使用 NR / NA / Unclear / No，不留空</x:v>
      </x:c>
      <x:c r="J45" s="6"/>
    </x:row>
    <x:row r="46" ht="23" customHeight="1">
      <x:c r="A46" s="2" t="str">
        <x:v>辅助_概念过程证据</x:v>
      </x:c>
      <x:c r="B46" s="2" t="str">
        <x:v>一条来源明确报告的定义、范围、边界、必要/可选步骤或反例证据</x:v>
      </x:c>
      <x:c r="C46" s="2" t="str">
        <x:v>evidence_location</x:v>
      </x:c>
      <x:c r="D46" s="6" t="str">
        <x:v>证据位置</x:v>
      </x:c>
      <x:c r="E46" s="6" t="str">
        <x:v>页码、章节、表格、图或附录等可复核位置。</x:v>
      </x:c>
      <x:c r="F46" s="2" t="str">
        <x:v>是</x:v>
      </x:c>
      <x:c r="G46" s="2" t="str">
        <x:v>自由文本</x:v>
      </x:c>
      <x:c r="H46" s="6" t="str">
        <x:v>必须可定位</x:v>
      </x:c>
      <x:c r="I46" s="6" t="str">
        <x:v>使用 NR / NA / Unclear / No，不留空</x:v>
      </x:c>
      <x:c r="J46" s="6"/>
    </x:row>
    <x:row r="47" ht="23" customHeight="1">
      <x:c r="A47" s="2" t="str">
        <x:v>辅助_概念过程证据</x:v>
      </x:c>
      <x:c r="B47" s="2" t="str">
        <x:v>一条来源明确报告的定义、范围、边界、必要/可选步骤或反例证据</x:v>
      </x:c>
      <x:c r="C47" s="2" t="str">
        <x:v>evidence_verbatim</x:v>
      </x:c>
      <x:c r="D47" s="6" t="str">
        <x:v>原文证据</x:v>
      </x:c>
      <x:c r="E47" s="6" t="str">
        <x:v>支持本条记录的简短原文摘录；不得用综述者概括代替。</x:v>
      </x:c>
      <x:c r="F47" s="2" t="str">
        <x:v>是</x:v>
      </x:c>
      <x:c r="G47" s="2" t="str">
        <x:v>自由文本</x:v>
      </x:c>
      <x:c r="H47" s="6" t="str">
        <x:v>必须保留原文</x:v>
      </x:c>
      <x:c r="I47" s="6" t="str">
        <x:v>使用 NR / NA / Unclear / No，不留空</x:v>
      </x:c>
      <x:c r="J47" s="6"/>
    </x:row>
    <x:row r="48" ht="23" customHeight="1">
      <x:c r="A48" s="2" t="str">
        <x:v>辅助_概念过程证据</x:v>
      </x:c>
      <x:c r="B48" s="2" t="str">
        <x:v>一条来源明确报告的定义、范围、边界、必要/可选步骤或反例证据</x:v>
      </x:c>
      <x:c r="C48" s="2" t="str">
        <x:v>reviewer_interpretation</x:v>
      </x:c>
      <x:c r="D48" s="6" t="str">
        <x:v>评审者解释</x:v>
      </x:c>
      <x:c r="E48" s="6" t="str">
        <x:v>对原文含义及编码理由的简洁解释，与原文证据分开保存。</x:v>
      </x:c>
      <x:c r="F48" s="2" t="str">
        <x:v>条件必填</x:v>
      </x:c>
      <x:c r="G48" s="2" t="str">
        <x:v>自由文本</x:v>
      </x:c>
      <x:c r="H48" s="6" t="str">
        <x:v>按字段定义提供</x:v>
      </x:c>
      <x:c r="I48" s="6" t="str">
        <x:v>使用 NR / NA / Unclear / No，不留空</x:v>
      </x:c>
      <x:c r="J48" s="6"/>
    </x:row>
    <x:row r="49" ht="28" customHeight="1">
      <x:c r="A49" s="2" t="str">
        <x:v>辅助_概念过程证据</x:v>
      </x:c>
      <x:c r="B49" s="2" t="str">
        <x:v>一条来源明确报告的定义、范围、边界、必要/可选步骤或反例证据</x:v>
      </x:c>
      <x:c r="C49" s="2" t="str">
        <x:v>record_status</x:v>
      </x:c>
      <x:c r="D49" s="6" t="str">
        <x:v>记录状态</x:v>
      </x:c>
      <x:c r="E49" s="6" t="str">
        <x:v>记录是否已接受、修订、拒绝或形成共识。</x:v>
      </x:c>
      <x:c r="F49" s="2" t="str">
        <x:v>是</x:v>
      </x:c>
      <x:c r="G49" s="2" t="str">
        <x:v>Unreviewed | Accepted | Revised | Rejected | Consensus</x:v>
      </x:c>
      <x:c r="H49" s="6" t="str">
        <x:v>按字段定义提供</x:v>
      </x:c>
      <x:c r="I49" s="6" t="str">
        <x:v>使用 NR / NA / Unclear / No，不留空</x:v>
      </x:c>
      <x:c r="J49" s="6"/>
    </x:row>
    <x:row r="50" ht="23" customHeight="1">
      <x:c r="A50" s="2" t="str">
        <x:v>辅助_概念过程证据</x:v>
      </x:c>
      <x:c r="B50" s="2" t="str">
        <x:v>一条来源明确报告的定义、范围、边界、必要/可选步骤或反例证据</x:v>
      </x:c>
      <x:c r="C50" s="2" t="str">
        <x:v>notes</x:v>
      </x:c>
      <x:c r="D50" s="6" t="str">
        <x:v>备注</x:v>
      </x:c>
      <x:c r="E50" s="6" t="str">
        <x:v>边界情况、冲突、待核查内容或其他说明。</x:v>
      </x:c>
      <x:c r="F50" s="2" t="str">
        <x:v>否</x:v>
      </x:c>
      <x:c r="G50" s="2" t="str">
        <x:v>自由文本</x:v>
      </x:c>
      <x:c r="H50" s="6" t="str">
        <x:v>按字段定义提供</x:v>
      </x:c>
      <x:c r="I50" s="6" t="str">
        <x:v>可留空</x:v>
      </x:c>
      <x:c r="J50" s="6"/>
    </x:row>
    <x:row r="51" ht="23" customHeight="1">
      <x:c r="A51" s="2" t="str">
        <x:v>RQ1_应用任务</x:v>
      </x:c>
      <x:c r="B51" s="2" t="str">
        <x:v>一个ST活动与一组可识别制品端点</x:v>
      </x:c>
      <x:c r="C51" s="2" t="str">
        <x:v>record_id</x:v>
      </x:c>
      <x:c r="D51" s="6" t="str">
        <x:v>记录ID</x:v>
      </x:c>
      <x:c r="E51" s="6" t="str">
        <x:v>当前表中该条记录的稳定唯一ID。</x:v>
      </x:c>
      <x:c r="F51" s="2" t="str">
        <x:v>是</x:v>
      </x:c>
      <x:c r="G51" s="2" t="str">
        <x:v>自由文本</x:v>
      </x:c>
      <x:c r="H51" s="6" t="str">
        <x:v>按字段定义提供</x:v>
      </x:c>
      <x:c r="I51" s="6" t="str">
        <x:v>使用 NR / NA / Unclear / No，不留空</x:v>
      </x:c>
      <x:c r="J51" s="6" t="str">
        <x:v>建议格式：S001-C01、S001-T01等。</x:v>
      </x:c>
    </x:row>
    <x:row r="52" ht="23" customHeight="1">
      <x:c r="A52" s="2" t="str">
        <x:v>RQ1_应用任务</x:v>
      </x:c>
      <x:c r="B52" s="2" t="str">
        <x:v>一个ST活动与一组可识别制品端点</x:v>
      </x:c>
      <x:c r="C52" s="2" t="str">
        <x:v>study_id</x:v>
      </x:c>
      <x:c r="D52" s="6" t="str">
        <x:v>研究ID</x:v>
      </x:c>
      <x:c r="E52" s="6" t="str">
        <x:v>连接研究索引与所有抽取表的稳定研究标识。</x:v>
      </x:c>
      <x:c r="F52" s="2" t="str">
        <x:v>是</x:v>
      </x:c>
      <x:c r="G52" s="2" t="str">
        <x:v>study_id</x:v>
      </x:c>
      <x:c r="H52" s="6" t="str">
        <x:v>按字段定义提供</x:v>
      </x:c>
      <x:c r="I52" s="6" t="str">
        <x:v>使用 NR / NA / Unclear / No，不留空</x:v>
      </x:c>
      <x:c r="J52" s="6" t="str">
        <x:v>建议格式：S001。</x:v>
      </x:c>
    </x:row>
    <x:row r="53" ht="23" customHeight="1">
      <x:c r="A53" s="2" t="str">
        <x:v>RQ1_应用任务</x:v>
      </x:c>
      <x:c r="B53" s="2" t="str">
        <x:v>一个ST活动与一组可识别制品端点</x:v>
      </x:c>
      <x:c r="C53" s="2" t="str">
        <x:v>version_id</x:v>
      </x:c>
      <x:c r="D53" s="6" t="str">
        <x:v>版本ID</x:v>
      </x:c>
      <x:c r="E53" s="6" t="str">
        <x:v>本次抽取所依据的具体论文版本标识。</x:v>
      </x:c>
      <x:c r="F53" s="2" t="str">
        <x:v>是</x:v>
      </x:c>
      <x:c r="G53" s="2" t="str">
        <x:v>version_id</x:v>
      </x:c>
      <x:c r="H53" s="6" t="str">
        <x:v>按字段定义提供</x:v>
      </x:c>
      <x:c r="I53" s="6" t="str">
        <x:v>使用 NR / NA / Unclear / No，不留空</x:v>
      </x:c>
      <x:c r="J53" s="6" t="str">
        <x:v>同一study family不同版本不得混写。</x:v>
      </x:c>
    </x:row>
    <x:row r="54" ht="23" customHeight="1">
      <x:c r="A54" s="2" t="str">
        <x:v>RQ1_应用任务</x:v>
      </x:c>
      <x:c r="B54" s="2" t="str">
        <x:v>一个ST活动与一组可识别制品端点</x:v>
      </x:c>
      <x:c r="C54" s="2" t="str">
        <x:v>review_stage</x:v>
      </x:c>
      <x:c r="D54" s="6" t="str">
        <x:v>记录阶段</x:v>
      </x:c>
      <x:c r="E54" s="6" t="str">
        <x:v>区分两名独立评审者、共识与仲裁记录。</x:v>
      </x:c>
      <x:c r="F54" s="2" t="str">
        <x:v>是</x:v>
      </x:c>
      <x:c r="G54" s="2" t="str">
        <x:v>Reviewer_A | Reviewer_B | Consensus | Arbitration</x:v>
      </x:c>
      <x:c r="H54" s="6" t="str">
        <x:v>按字段定义提供</x:v>
      </x:c>
      <x:c r="I54" s="6" t="str">
        <x:v>使用 NR / NA / Unclear / No，不留空</x:v>
      </x:c>
      <x:c r="J54" s="6"/>
    </x:row>
    <x:row r="55" ht="23" customHeight="1">
      <x:c r="A55" s="2" t="str">
        <x:v>RQ1_应用任务</x:v>
      </x:c>
      <x:c r="B55" s="2" t="str">
        <x:v>一个ST活动与一组可识别制品端点</x:v>
      </x:c>
      <x:c r="C55" s="2" t="str">
        <x:v>reviewer_id</x:v>
      </x:c>
      <x:c r="D55" s="6" t="str">
        <x:v>评审者ID</x:v>
      </x:c>
      <x:c r="E55" s="6" t="str">
        <x:v>完成该条记录的评审者或共识组标识。</x:v>
      </x:c>
      <x:c r="F55" s="2" t="str">
        <x:v>是</x:v>
      </x:c>
      <x:c r="G55" s="2" t="str">
        <x:v>自由文本</x:v>
      </x:c>
      <x:c r="H55" s="6" t="str">
        <x:v>按字段定义提供</x:v>
      </x:c>
      <x:c r="I55" s="6" t="str">
        <x:v>使用 NR / NA / Unclear / No，不留空</x:v>
      </x:c>
      <x:c r="J55" s="6"/>
    </x:row>
    <x:row r="56" ht="23" customHeight="1">
      <x:c r="A56" s="2" t="str">
        <x:v>RQ1_应用任务</x:v>
      </x:c>
      <x:c r="B56" s="2" t="str">
        <x:v>一个ST活动与一组可识别制品端点</x:v>
      </x:c>
      <x:c r="C56" s="2" t="str">
        <x:v>task_id</x:v>
      </x:c>
      <x:c r="D56" s="6" t="str">
        <x:v>任务ID</x:v>
      </x:c>
      <x:c r="E56" s="6" t="str">
        <x:v>连接角色、模型、组件和评价的ST任务标识。</x:v>
      </x:c>
      <x:c r="F56" s="2" t="str">
        <x:v>是</x:v>
      </x:c>
      <x:c r="G56" s="2" t="str">
        <x:v>自由文本</x:v>
      </x:c>
      <x:c r="H56" s="6" t="str">
        <x:v>按字段定义提供</x:v>
      </x:c>
      <x:c r="I56" s="6" t="str">
        <x:v>使用 NR / NA / Unclear / No，不留空</x:v>
      </x:c>
      <x:c r="J56" s="6"/>
    </x:row>
    <x:row r="57" ht="23" customHeight="1">
      <x:c r="A57" s="2" t="str">
        <x:v>RQ1_应用任务</x:v>
      </x:c>
      <x:c r="B57" s="2" t="str">
        <x:v>一个ST活动与一组可识别制品端点</x:v>
      </x:c>
      <x:c r="C57" s="2" t="str">
        <x:v>st_activity_raw</x:v>
      </x:c>
      <x:c r="D57" s="6" t="str">
        <x:v>来源活动名称</x:v>
      </x:c>
      <x:c r="E57" s="6" t="str">
        <x:v>论文对ST活动的原始表述。</x:v>
      </x:c>
      <x:c r="F57" s="2" t="str">
        <x:v>是</x:v>
      </x:c>
      <x:c r="G57" s="2" t="str">
        <x:v>自由文本</x:v>
      </x:c>
      <x:c r="H57" s="6" t="str">
        <x:v>按字段定义提供</x:v>
      </x:c>
      <x:c r="I57" s="6" t="str">
        <x:v>使用 NR / NA / Unclear / No，不留空</x:v>
      </x:c>
      <x:c r="J57" s="6"/>
    </x:row>
    <x:row r="58" ht="126" customHeight="1">
      <x:c r="A58" s="2" t="str">
        <x:v>RQ1_应用任务</x:v>
      </x:c>
      <x:c r="B58" s="2" t="str">
        <x:v>一个ST活动与一组可识别制品端点</x:v>
      </x:c>
      <x:c r="C58" s="2" t="str">
        <x:v>st_activity_code</x:v>
      </x:c>
      <x:c r="D58" s="6" t="str">
        <x:v>规范化ST活动</x:v>
      </x:c>
      <x:c r="E58" s="6" t="str">
        <x:v>按编码本映射后的ST活动。</x:v>
      </x:c>
      <x:c r="F58" s="2" t="str">
        <x:v>是</x:v>
      </x:c>
      <x:c r="G58" s="2" t="str">
        <x:v>traceability link establishment | traceability link recovery | traceability link generation | traceability link classification | traceability link ranking | traceability link validation | traceability explanation | traceability maintenance | traceability evolution | trace-aware artifact generation | coverage checking | consistency checking | compliance mapping | change propagation | other | Unclear</x:v>
      </x:c>
      <x:c r="H58" s="6" t="str">
        <x:v>按字段定义提供</x:v>
      </x:c>
      <x:c r="I58" s="6" t="str">
        <x:v>使用 NR / NA / Unclear / No，不留空</x:v>
      </x:c>
      <x:c r="J58" s="6"/>
    </x:row>
    <x:row r="59" ht="23" customHeight="1">
      <x:c r="A59" s="2" t="str">
        <x:v>RQ1_应用任务</x:v>
      </x:c>
      <x:c r="B59" s="2" t="str">
        <x:v>一个ST活动与一组可识别制品端点</x:v>
      </x:c>
      <x:c r="C59" s="2" t="str">
        <x:v>source_artifact_raw</x:v>
      </x:c>
      <x:c r="D59" s="6" t="str">
        <x:v>源制品原文</x:v>
      </x:c>
      <x:c r="E59" s="6" t="str">
        <x:v>来源使用的源制品名称。</x:v>
      </x:c>
      <x:c r="F59" s="2" t="str">
        <x:v>是</x:v>
      </x:c>
      <x:c r="G59" s="2" t="str">
        <x:v>自由文本</x:v>
      </x:c>
      <x:c r="H59" s="6" t="str">
        <x:v>按字段定义提供</x:v>
      </x:c>
      <x:c r="I59" s="6" t="str">
        <x:v>使用 NR / NA / Unclear / No，不留空</x:v>
      </x:c>
      <x:c r="J59" s="6"/>
    </x:row>
    <x:row r="60" ht="84" customHeight="1">
      <x:c r="A60" s="2" t="str">
        <x:v>RQ1_应用任务</x:v>
      </x:c>
      <x:c r="B60" s="2" t="str">
        <x:v>一个ST活动与一组可识别制品端点</x:v>
      </x:c>
      <x:c r="C60" s="2" t="str">
        <x:v>source_artifact_code</x:v>
      </x:c>
      <x:c r="D60" s="6" t="str">
        <x:v>源制品类别</x:v>
      </x:c>
      <x:c r="E60" s="6" t="str">
        <x:v>规范化源制品类别。</x:v>
      </x:c>
      <x:c r="F60" s="2" t="str">
        <x:v>是</x:v>
      </x:c>
      <x:c r="G60" s="2" t="str">
        <x:v>requirement | design | architecture model | UML model | goal model | domain model | source code | issue | commit | pull request | test case | documentation | system specification | regulation | compliance evidence | safety analysis | generated artifact | other | Unclear</x:v>
      </x:c>
      <x:c r="H60" s="6" t="str">
        <x:v>按字段定义提供</x:v>
      </x:c>
      <x:c r="I60" s="6" t="str">
        <x:v>使用 NR / NA / Unclear / No，不留空</x:v>
      </x:c>
      <x:c r="J60" s="6"/>
    </x:row>
    <x:row r="61" ht="23" customHeight="1">
      <x:c r="A61" s="2" t="str">
        <x:v>RQ1_应用任务</x:v>
      </x:c>
      <x:c r="B61" s="2" t="str">
        <x:v>一个ST活动与一组可识别制品端点</x:v>
      </x:c>
      <x:c r="C61" s="2" t="str">
        <x:v>target_artifact_raw</x:v>
      </x:c>
      <x:c r="D61" s="6" t="str">
        <x:v>目标制品原文</x:v>
      </x:c>
      <x:c r="E61" s="6" t="str">
        <x:v>来源使用的目标制品名称。</x:v>
      </x:c>
      <x:c r="F61" s="2" t="str">
        <x:v>是</x:v>
      </x:c>
      <x:c r="G61" s="2" t="str">
        <x:v>自由文本</x:v>
      </x:c>
      <x:c r="H61" s="6" t="str">
        <x:v>按字段定义提供</x:v>
      </x:c>
      <x:c r="I61" s="6" t="str">
        <x:v>使用 NR / NA / Unclear / No，不留空</x:v>
      </x:c>
      <x:c r="J61" s="6"/>
    </x:row>
    <x:row r="62" ht="84" customHeight="1">
      <x:c r="A62" s="2" t="str">
        <x:v>RQ1_应用任务</x:v>
      </x:c>
      <x:c r="B62" s="2" t="str">
        <x:v>一个ST活动与一组可识别制品端点</x:v>
      </x:c>
      <x:c r="C62" s="2" t="str">
        <x:v>target_artifact_code</x:v>
      </x:c>
      <x:c r="D62" s="6" t="str">
        <x:v>目标制品类别</x:v>
      </x:c>
      <x:c r="E62" s="6" t="str">
        <x:v>规范化目标制品类别。</x:v>
      </x:c>
      <x:c r="F62" s="2" t="str">
        <x:v>是</x:v>
      </x:c>
      <x:c r="G62" s="2" t="str">
        <x:v>requirement | design | architecture model | UML model | goal model | domain model | source code | issue | commit | pull request | test case | documentation | system specification | regulation | compliance evidence | safety analysis | generated artifact | other | Unclear</x:v>
      </x:c>
      <x:c r="H62" s="6" t="str">
        <x:v>按字段定义提供</x:v>
      </x:c>
      <x:c r="I62" s="6" t="str">
        <x:v>使用 NR / NA / Unclear / No，不留空</x:v>
      </x:c>
      <x:c r="J62" s="6"/>
    </x:row>
    <x:row r="63" ht="23" customHeight="1">
      <x:c r="A63" s="2" t="str">
        <x:v>RQ1_应用任务</x:v>
      </x:c>
      <x:c r="B63" s="2" t="str">
        <x:v>一个ST活动与一组可识别制品端点</x:v>
      </x:c>
      <x:c r="C63" s="2" t="str">
        <x:v>relation_direction</x:v>
      </x:c>
      <x:c r="D63" s="6" t="str">
        <x:v>关系方向</x:v>
      </x:c>
      <x:c r="E63" s="6" t="str">
        <x:v>记录source -&gt; target；无方向关系需说明。</x:v>
      </x:c>
      <x:c r="F63" s="2" t="str">
        <x:v>是</x:v>
      </x:c>
      <x:c r="G63" s="2" t="str">
        <x:v>自由文本</x:v>
      </x:c>
      <x:c r="H63" s="6" t="str">
        <x:v>按字段定义提供</x:v>
      </x:c>
      <x:c r="I63" s="6" t="str">
        <x:v>使用 NR / NA / Unclear / No，不留空</x:v>
      </x:c>
      <x:c r="J63" s="6"/>
    </x:row>
    <x:row r="64" ht="42" customHeight="1">
      <x:c r="A64" s="2" t="str">
        <x:v>RQ1_应用任务</x:v>
      </x:c>
      <x:c r="B64" s="2" t="str">
        <x:v>一个ST活动与一组可识别制品端点</x:v>
      </x:c>
      <x:c r="C64" s="2" t="str">
        <x:v>lifecycle_stage</x:v>
      </x:c>
      <x:c r="D64" s="6" t="str">
        <x:v>生命周期阶段</x:v>
      </x:c>
      <x:c r="E64" s="6" t="str">
        <x:v>该任务主要位于哪个生命周期阶段。</x:v>
      </x:c>
      <x:c r="F64" s="2" t="str">
        <x:v>条件必填</x:v>
      </x:c>
      <x:c r="G64" s="2" t="str">
        <x:v>requirements | design | implementation | testing | maintenance | compliance and assurance | cross-lifecycle | other | Unclear</x:v>
      </x:c>
      <x:c r="H64" s="6" t="str">
        <x:v>按字段定义提供</x:v>
      </x:c>
      <x:c r="I64" s="6" t="str">
        <x:v>使用 NR / NA / Unclear / No，不留空</x:v>
      </x:c>
      <x:c r="J64" s="6"/>
    </x:row>
    <x:row r="65" ht="23" customHeight="1">
      <x:c r="A65" s="2" t="str">
        <x:v>RQ1_应用任务</x:v>
      </x:c>
      <x:c r="B65" s="2" t="str">
        <x:v>一个ST活动与一组可识别制品端点</x:v>
      </x:c>
      <x:c r="C65" s="2" t="str">
        <x:v>application_domain</x:v>
      </x:c>
      <x:c r="D65" s="6" t="str">
        <x:v>应用领域</x:v>
      </x:c>
      <x:c r="E65" s="6" t="str">
        <x:v>医疗、汽车、铁路、通用SE等具体领域。</x:v>
      </x:c>
      <x:c r="F65" s="2" t="str">
        <x:v>条件必填</x:v>
      </x:c>
      <x:c r="G65" s="2" t="str">
        <x:v>自由文本</x:v>
      </x:c>
      <x:c r="H65" s="6" t="str">
        <x:v>按字段定义提供</x:v>
      </x:c>
      <x:c r="I65" s="6" t="str">
        <x:v>使用 NR / NA / Unclear / No，不留空</x:v>
      </x:c>
      <x:c r="J65" s="6"/>
    </x:row>
    <x:row r="66" ht="23" customHeight="1">
      <x:c r="A66" s="2" t="str">
        <x:v>RQ1_应用任务</x:v>
      </x:c>
      <x:c r="B66" s="2" t="str">
        <x:v>一个ST活动与一组可识别制品端点</x:v>
      </x:c>
      <x:c r="C66" s="2" t="str">
        <x:v>project_or_dataset</x:v>
      </x:c>
      <x:c r="D66" s="6" t="str">
        <x:v>项目/数据集</x:v>
      </x:c>
      <x:c r="E66" s="6" t="str">
        <x:v>任务所处项目、案例或数据集。</x:v>
      </x:c>
      <x:c r="F66" s="2" t="str">
        <x:v>条件必填</x:v>
      </x:c>
      <x:c r="G66" s="2" t="str">
        <x:v>自由文本</x:v>
      </x:c>
      <x:c r="H66" s="6" t="str">
        <x:v>按字段定义提供</x:v>
      </x:c>
      <x:c r="I66" s="6" t="str">
        <x:v>使用 NR / NA / Unclear / No，不留空</x:v>
      </x:c>
      <x:c r="J66" s="6"/>
    </x:row>
    <x:row r="67" ht="28" customHeight="1">
      <x:c r="A67" s="2" t="str">
        <x:v>RQ1_应用任务</x:v>
      </x:c>
      <x:c r="B67" s="2" t="str">
        <x:v>一个ST活动与一组可识别制品端点</x:v>
      </x:c>
      <x:c r="C67" s="2" t="str">
        <x:v>study_setting</x:v>
      </x:c>
      <x:c r="D67" s="6" t="str">
        <x:v>研究情境</x:v>
      </x:c>
      <x:c r="E67" s="6" t="str">
        <x:v>学术、工业、混合或合成情境。</x:v>
      </x:c>
      <x:c r="F67" s="2" t="str">
        <x:v>条件必填</x:v>
      </x:c>
      <x:c r="G67" s="2" t="str">
        <x:v>Academic | Industrial | Mixed | Synthetic | Unclear</x:v>
      </x:c>
      <x:c r="H67" s="6" t="str">
        <x:v>按字段定义提供</x:v>
      </x:c>
      <x:c r="I67" s="6" t="str">
        <x:v>使用 NR / NA / Unclear / No，不留空</x:v>
      </x:c>
      <x:c r="J67" s="6"/>
    </x:row>
    <x:row r="68" ht="23" customHeight="1">
      <x:c r="A68" s="2" t="str">
        <x:v>RQ1_应用任务</x:v>
      </x:c>
      <x:c r="B68" s="2" t="str">
        <x:v>一个ST活动与一组可识别制品端点</x:v>
      </x:c>
      <x:c r="C68" s="2" t="str">
        <x:v>industrial_provenance</x:v>
      </x:c>
      <x:c r="D68" s="6" t="str">
        <x:v>工业来源依据</x:v>
      </x:c>
      <x:c r="E68" s="6" t="str">
        <x:v>工业数据、合作方、真实流程等来源依据。</x:v>
      </x:c>
      <x:c r="F68" s="2" t="str">
        <x:v>条件必填</x:v>
      </x:c>
      <x:c r="G68" s="2" t="str">
        <x:v>自由文本</x:v>
      </x:c>
      <x:c r="H68" s="6" t="str">
        <x:v>按字段定义提供</x:v>
      </x:c>
      <x:c r="I68" s="6" t="str">
        <x:v>使用 NR / NA / Unclear / No，不留空</x:v>
      </x:c>
      <x:c r="J68" s="6"/>
    </x:row>
    <x:row r="69" ht="23" customHeight="1">
      <x:c r="A69" s="2" t="str">
        <x:v>RQ1_应用任务</x:v>
      </x:c>
      <x:c r="B69" s="2" t="str">
        <x:v>一个ST活动与一组可识别制品端点</x:v>
      </x:c>
      <x:c r="C69" s="2" t="str">
        <x:v>task_description</x:v>
      </x:c>
      <x:c r="D69" s="6" t="str">
        <x:v>任务描述</x:v>
      </x:c>
      <x:c r="E69" s="6" t="str">
        <x:v>用一句话说明该研究要建立或维护什么追溯关系。</x:v>
      </x:c>
      <x:c r="F69" s="2" t="str">
        <x:v>是</x:v>
      </x:c>
      <x:c r="G69" s="2" t="str">
        <x:v>自由文本</x:v>
      </x:c>
      <x:c r="H69" s="6" t="str">
        <x:v>按字段定义提供</x:v>
      </x:c>
      <x:c r="I69" s="6" t="str">
        <x:v>使用 NR / NA / Unclear / No，不留空</x:v>
      </x:c>
      <x:c r="J69" s="6"/>
    </x:row>
    <x:row r="70" ht="23" customHeight="1">
      <x:c r="A70" s="2" t="str">
        <x:v>RQ1_应用任务</x:v>
      </x:c>
      <x:c r="B70" s="2" t="str">
        <x:v>一个ST活动与一组可识别制品端点</x:v>
      </x:c>
      <x:c r="C70" s="2" t="str">
        <x:v>verifiable_output</x:v>
      </x:c>
      <x:c r="D70" s="6" t="str">
        <x:v>可核验输出</x:v>
      </x:c>
      <x:c r="E70" s="6" t="str">
        <x:v>链接、排序、判断、矩阵、覆盖报告等可核验输出。</x:v>
      </x:c>
      <x:c r="F70" s="2" t="str">
        <x:v>是</x:v>
      </x:c>
      <x:c r="G70" s="2" t="str">
        <x:v>自由文本</x:v>
      </x:c>
      <x:c r="H70" s="6" t="str">
        <x:v>按字段定义提供</x:v>
      </x:c>
      <x:c r="I70" s="6" t="str">
        <x:v>使用 NR / NA / Unclear / No，不留空</x:v>
      </x:c>
      <x:c r="J70" s="6"/>
    </x:row>
    <x:row r="71" ht="23" customHeight="1">
      <x:c r="A71" s="2" t="str">
        <x:v>RQ1_应用任务</x:v>
      </x:c>
      <x:c r="B71" s="2" t="str">
        <x:v>一个ST活动与一组可识别制品端点</x:v>
      </x:c>
      <x:c r="C71" s="2" t="str">
        <x:v>evidence_location</x:v>
      </x:c>
      <x:c r="D71" s="6" t="str">
        <x:v>证据位置</x:v>
      </x:c>
      <x:c r="E71" s="6" t="str">
        <x:v>页码、章节、表格、图或附录等可复核位置。</x:v>
      </x:c>
      <x:c r="F71" s="2" t="str">
        <x:v>是</x:v>
      </x:c>
      <x:c r="G71" s="2" t="str">
        <x:v>自由文本</x:v>
      </x:c>
      <x:c r="H71" s="6" t="str">
        <x:v>必须可定位</x:v>
      </x:c>
      <x:c r="I71" s="6" t="str">
        <x:v>使用 NR / NA / Unclear / No，不留空</x:v>
      </x:c>
      <x:c r="J71" s="6"/>
    </x:row>
    <x:row r="72" ht="23" customHeight="1">
      <x:c r="A72" s="2" t="str">
        <x:v>RQ1_应用任务</x:v>
      </x:c>
      <x:c r="B72" s="2" t="str">
        <x:v>一个ST活动与一组可识别制品端点</x:v>
      </x:c>
      <x:c r="C72" s="2" t="str">
        <x:v>evidence_verbatim</x:v>
      </x:c>
      <x:c r="D72" s="6" t="str">
        <x:v>原文证据</x:v>
      </x:c>
      <x:c r="E72" s="6" t="str">
        <x:v>支持本条记录的简短原文摘录；不得用综述者概括代替。</x:v>
      </x:c>
      <x:c r="F72" s="2" t="str">
        <x:v>是</x:v>
      </x:c>
      <x:c r="G72" s="2" t="str">
        <x:v>自由文本</x:v>
      </x:c>
      <x:c r="H72" s="6" t="str">
        <x:v>必须保留原文</x:v>
      </x:c>
      <x:c r="I72" s="6" t="str">
        <x:v>使用 NR / NA / Unclear / No，不留空</x:v>
      </x:c>
      <x:c r="J72" s="6"/>
    </x:row>
    <x:row r="73" ht="23" customHeight="1">
      <x:c r="A73" s="2" t="str">
        <x:v>RQ1_应用任务</x:v>
      </x:c>
      <x:c r="B73" s="2" t="str">
        <x:v>一个ST活动与一组可识别制品端点</x:v>
      </x:c>
      <x:c r="C73" s="2" t="str">
        <x:v>reviewer_interpretation</x:v>
      </x:c>
      <x:c r="D73" s="6" t="str">
        <x:v>评审者解释</x:v>
      </x:c>
      <x:c r="E73" s="6" t="str">
        <x:v>对原文含义及编码理由的简洁解释，与原文证据分开保存。</x:v>
      </x:c>
      <x:c r="F73" s="2" t="str">
        <x:v>条件必填</x:v>
      </x:c>
      <x:c r="G73" s="2" t="str">
        <x:v>自由文本</x:v>
      </x:c>
      <x:c r="H73" s="6" t="str">
        <x:v>按字段定义提供</x:v>
      </x:c>
      <x:c r="I73" s="6" t="str">
        <x:v>使用 NR / NA / Unclear / No，不留空</x:v>
      </x:c>
      <x:c r="J73" s="6"/>
    </x:row>
    <x:row r="74" ht="28" customHeight="1">
      <x:c r="A74" s="2" t="str">
        <x:v>RQ1_应用任务</x:v>
      </x:c>
      <x:c r="B74" s="2" t="str">
        <x:v>一个ST活动与一组可识别制品端点</x:v>
      </x:c>
      <x:c r="C74" s="2" t="str">
        <x:v>record_status</x:v>
      </x:c>
      <x:c r="D74" s="6" t="str">
        <x:v>记录状态</x:v>
      </x:c>
      <x:c r="E74" s="6" t="str">
        <x:v>记录是否已接受、修订、拒绝或形成共识。</x:v>
      </x:c>
      <x:c r="F74" s="2" t="str">
        <x:v>是</x:v>
      </x:c>
      <x:c r="G74" s="2" t="str">
        <x:v>Unreviewed | Accepted | Revised | Rejected | Consensus</x:v>
      </x:c>
      <x:c r="H74" s="6" t="str">
        <x:v>按字段定义提供</x:v>
      </x:c>
      <x:c r="I74" s="6" t="str">
        <x:v>使用 NR / NA / Unclear / No，不留空</x:v>
      </x:c>
      <x:c r="J74" s="6"/>
    </x:row>
    <x:row r="75" ht="23" customHeight="1">
      <x:c r="A75" s="2" t="str">
        <x:v>RQ1_应用任务</x:v>
      </x:c>
      <x:c r="B75" s="2" t="str">
        <x:v>一个ST活动与一组可识别制品端点</x:v>
      </x:c>
      <x:c r="C75" s="2" t="str">
        <x:v>notes</x:v>
      </x:c>
      <x:c r="D75" s="6" t="str">
        <x:v>备注</x:v>
      </x:c>
      <x:c r="E75" s="6" t="str">
        <x:v>边界情况、冲突、待核查内容或其他说明。</x:v>
      </x:c>
      <x:c r="F75" s="2" t="str">
        <x:v>否</x:v>
      </x:c>
      <x:c r="G75" s="2" t="str">
        <x:v>自由文本</x:v>
      </x:c>
      <x:c r="H75" s="6" t="str">
        <x:v>按字段定义提供</x:v>
      </x:c>
      <x:c r="I75" s="6" t="str">
        <x:v>可留空</x:v>
      </x:c>
      <x:c r="J75" s="6"/>
    </x:row>
    <x:row r="76" ht="23" customHeight="1">
      <x:c r="A76" s="2" t="str">
        <x:v>RQ1_评价设计</x:v>
      </x:c>
      <x:c r="B76" s="2" t="str">
        <x:v>一个任务—数据集—评价协议组合</x:v>
      </x:c>
      <x:c r="C76" s="2" t="str">
        <x:v>record_id</x:v>
      </x:c>
      <x:c r="D76" s="6" t="str">
        <x:v>记录ID</x:v>
      </x:c>
      <x:c r="E76" s="6" t="str">
        <x:v>当前表中该条记录的稳定唯一ID。</x:v>
      </x:c>
      <x:c r="F76" s="2" t="str">
        <x:v>是</x:v>
      </x:c>
      <x:c r="G76" s="2" t="str">
        <x:v>自由文本</x:v>
      </x:c>
      <x:c r="H76" s="6" t="str">
        <x:v>按字段定义提供</x:v>
      </x:c>
      <x:c r="I76" s="6" t="str">
        <x:v>使用 NR / NA / Unclear / No，不留空</x:v>
      </x:c>
      <x:c r="J76" s="6" t="str">
        <x:v>建议格式：S001-C01、S001-T01等。</x:v>
      </x:c>
    </x:row>
    <x:row r="77" ht="23" customHeight="1">
      <x:c r="A77" s="2" t="str">
        <x:v>RQ1_评价设计</x:v>
      </x:c>
      <x:c r="B77" s="2" t="str">
        <x:v>一个任务—数据集—评价协议组合</x:v>
      </x:c>
      <x:c r="C77" s="2" t="str">
        <x:v>study_id</x:v>
      </x:c>
      <x:c r="D77" s="6" t="str">
        <x:v>研究ID</x:v>
      </x:c>
      <x:c r="E77" s="6" t="str">
        <x:v>连接研究索引与所有抽取表的稳定研究标识。</x:v>
      </x:c>
      <x:c r="F77" s="2" t="str">
        <x:v>是</x:v>
      </x:c>
      <x:c r="G77" s="2" t="str">
        <x:v>study_id</x:v>
      </x:c>
      <x:c r="H77" s="6" t="str">
        <x:v>按字段定义提供</x:v>
      </x:c>
      <x:c r="I77" s="6" t="str">
        <x:v>使用 NR / NA / Unclear / No，不留空</x:v>
      </x:c>
      <x:c r="J77" s="6" t="str">
        <x:v>建议格式：S001。</x:v>
      </x:c>
    </x:row>
    <x:row r="78" ht="23" customHeight="1">
      <x:c r="A78" s="2" t="str">
        <x:v>RQ1_评价设计</x:v>
      </x:c>
      <x:c r="B78" s="2" t="str">
        <x:v>一个任务—数据集—评价协议组合</x:v>
      </x:c>
      <x:c r="C78" s="2" t="str">
        <x:v>version_id</x:v>
      </x:c>
      <x:c r="D78" s="6" t="str">
        <x:v>版本ID</x:v>
      </x:c>
      <x:c r="E78" s="6" t="str">
        <x:v>本次抽取所依据的具体论文版本标识。</x:v>
      </x:c>
      <x:c r="F78" s="2" t="str">
        <x:v>是</x:v>
      </x:c>
      <x:c r="G78" s="2" t="str">
        <x:v>version_id</x:v>
      </x:c>
      <x:c r="H78" s="6" t="str">
        <x:v>按字段定义提供</x:v>
      </x:c>
      <x:c r="I78" s="6" t="str">
        <x:v>使用 NR / NA / Unclear / No，不留空</x:v>
      </x:c>
      <x:c r="J78" s="6" t="str">
        <x:v>同一study family不同版本不得混写。</x:v>
      </x:c>
    </x:row>
    <x:row r="79" ht="23" customHeight="1">
      <x:c r="A79" s="2" t="str">
        <x:v>RQ1_评价设计</x:v>
      </x:c>
      <x:c r="B79" s="2" t="str">
        <x:v>一个任务—数据集—评价协议组合</x:v>
      </x:c>
      <x:c r="C79" s="2" t="str">
        <x:v>review_stage</x:v>
      </x:c>
      <x:c r="D79" s="6" t="str">
        <x:v>记录阶段</x:v>
      </x:c>
      <x:c r="E79" s="6" t="str">
        <x:v>区分两名独立评审者、共识与仲裁记录。</x:v>
      </x:c>
      <x:c r="F79" s="2" t="str">
        <x:v>是</x:v>
      </x:c>
      <x:c r="G79" s="2" t="str">
        <x:v>Reviewer_A | Reviewer_B | Consensus | Arbitration</x:v>
      </x:c>
      <x:c r="H79" s="6" t="str">
        <x:v>按字段定义提供</x:v>
      </x:c>
      <x:c r="I79" s="6" t="str">
        <x:v>使用 NR / NA / Unclear / No，不留空</x:v>
      </x:c>
      <x:c r="J79" s="6"/>
    </x:row>
    <x:row r="80" ht="23" customHeight="1">
      <x:c r="A80" s="2" t="str">
        <x:v>RQ1_评价设计</x:v>
      </x:c>
      <x:c r="B80" s="2" t="str">
        <x:v>一个任务—数据集—评价协议组合</x:v>
      </x:c>
      <x:c r="C80" s="2" t="str">
        <x:v>reviewer_id</x:v>
      </x:c>
      <x:c r="D80" s="6" t="str">
        <x:v>评审者ID</x:v>
      </x:c>
      <x:c r="E80" s="6" t="str">
        <x:v>完成该条记录的评审者或共识组标识。</x:v>
      </x:c>
      <x:c r="F80" s="2" t="str">
        <x:v>是</x:v>
      </x:c>
      <x:c r="G80" s="2" t="str">
        <x:v>自由文本</x:v>
      </x:c>
      <x:c r="H80" s="6" t="str">
        <x:v>按字段定义提供</x:v>
      </x:c>
      <x:c r="I80" s="6" t="str">
        <x:v>使用 NR / NA / Unclear / No，不留空</x:v>
      </x:c>
      <x:c r="J80" s="6"/>
    </x:row>
    <x:row r="81" ht="23" customHeight="1">
      <x:c r="A81" s="2" t="str">
        <x:v>RQ1_评价设计</x:v>
      </x:c>
      <x:c r="B81" s="2" t="str">
        <x:v>一个任务—数据集—评价协议组合</x:v>
      </x:c>
      <x:c r="C81" s="2" t="str">
        <x:v>evaluation_id</x:v>
      </x:c>
      <x:c r="D81" s="6" t="str">
        <x:v>评价ID</x:v>
      </x:c>
      <x:c r="E81" s="6" t="str">
        <x:v>连接结果表和E评价级表的稳定评价标识。</x:v>
      </x:c>
      <x:c r="F81" s="2" t="str">
        <x:v>是</x:v>
      </x:c>
      <x:c r="G81" s="2" t="str">
        <x:v>自由文本</x:v>
      </x:c>
      <x:c r="H81" s="6" t="str">
        <x:v>按字段定义提供</x:v>
      </x:c>
      <x:c r="I81" s="6" t="str">
        <x:v>使用 NR / NA / Unclear / No，不留空</x:v>
      </x:c>
      <x:c r="J81" s="6"/>
    </x:row>
    <x:row r="82" ht="23" customHeight="1">
      <x:c r="A82" s="2" t="str">
        <x:v>RQ1_评价设计</x:v>
      </x:c>
      <x:c r="B82" s="2" t="str">
        <x:v>一个任务—数据集—评价协议组合</x:v>
      </x:c>
      <x:c r="C82" s="2" t="str">
        <x:v>task_id</x:v>
      </x:c>
      <x:c r="D82" s="6" t="str">
        <x:v>任务ID</x:v>
      </x:c>
      <x:c r="E82" s="6" t="str">
        <x:v>该评价对应的RQ1应用任务。</x:v>
      </x:c>
      <x:c r="F82" s="2" t="str">
        <x:v>是</x:v>
      </x:c>
      <x:c r="G82" s="2" t="str">
        <x:v>自由文本</x:v>
      </x:c>
      <x:c r="H82" s="6" t="str">
        <x:v>按字段定义提供</x:v>
      </x:c>
      <x:c r="I82" s="6" t="str">
        <x:v>使用 NR / NA / Unclear / No，不留空</x:v>
      </x:c>
      <x:c r="J82" s="6"/>
    </x:row>
    <x:row r="83" ht="56" customHeight="1">
      <x:c r="A83" s="2" t="str">
        <x:v>RQ1_评价设计</x:v>
      </x:c>
      <x:c r="B83" s="2" t="str">
        <x:v>一个任务—数据集—评价协议组合</x:v>
      </x:c>
      <x:c r="C83" s="2" t="str">
        <x:v>evaluation_design</x:v>
      </x:c>
      <x:c r="D83" s="6" t="str">
        <x:v>评价设计</x:v>
      </x:c>
      <x:c r="E83" s="6" t="str">
        <x:v>评价采用的主要研究设计。</x:v>
      </x:c>
      <x:c r="F83" s="2" t="str">
        <x:v>是</x:v>
      </x:c>
      <x:c r="G83" s="2" t="str">
        <x:v>No evaluation | Demonstration | Controlled experiment | Benchmark comparison | Case study | User study | Expert evaluation | Industrial pilot | Longitudinal deployment | Mixed | Other | Unclear</x:v>
      </x:c>
      <x:c r="H83" s="6" t="str">
        <x:v>按字段定义提供</x:v>
      </x:c>
      <x:c r="I83" s="6" t="str">
        <x:v>使用 NR / NA / Unclear / No，不留空</x:v>
      </x:c>
      <x:c r="J83" s="6"/>
    </x:row>
    <x:row r="84" ht="23" customHeight="1">
      <x:c r="A84" s="2" t="str">
        <x:v>RQ1_评价设计</x:v>
      </x:c>
      <x:c r="B84" s="2" t="str">
        <x:v>一个任务—数据集—评价协议组合</x:v>
      </x:c>
      <x:c r="C84" s="2" t="str">
        <x:v>dataset_name</x:v>
      </x:c>
      <x:c r="D84" s="6" t="str">
        <x:v>数据集名称</x:v>
      </x:c>
      <x:c r="E84" s="6" t="str">
        <x:v>一行仅对应一个具体数据集或案例数据。</x:v>
      </x:c>
      <x:c r="F84" s="2" t="str">
        <x:v>是</x:v>
      </x:c>
      <x:c r="G84" s="2" t="str">
        <x:v>自由文本</x:v>
      </x:c>
      <x:c r="H84" s="6" t="str">
        <x:v>按字段定义提供</x:v>
      </x:c>
      <x:c r="I84" s="6" t="str">
        <x:v>使用 NR / NA / Unclear / No，不留空</x:v>
      </x:c>
      <x:c r="J84" s="6"/>
    </x:row>
    <x:row r="85" ht="23" customHeight="1">
      <x:c r="A85" s="2" t="str">
        <x:v>RQ1_评价设计</x:v>
      </x:c>
      <x:c r="B85" s="2" t="str">
        <x:v>一个任务—数据集—评价协议组合</x:v>
      </x:c>
      <x:c r="C85" s="2" t="str">
        <x:v>dataset_source</x:v>
      </x:c>
      <x:c r="D85" s="6" t="str">
        <x:v>数据来源</x:v>
      </x:c>
      <x:c r="E85" s="6" t="str">
        <x:v>数据集出处、项目来源或构建方式。</x:v>
      </x:c>
      <x:c r="F85" s="2" t="str">
        <x:v>是</x:v>
      </x:c>
      <x:c r="G85" s="2" t="str">
        <x:v>自由文本</x:v>
      </x:c>
      <x:c r="H85" s="6" t="str">
        <x:v>按字段定义提供</x:v>
      </x:c>
      <x:c r="I85" s="6" t="str">
        <x:v>使用 NR / NA / Unclear / No，不留空</x:v>
      </x:c>
      <x:c r="J85" s="6"/>
    </x:row>
    <x:row r="86" ht="28" customHeight="1">
      <x:c r="A86" s="2" t="str">
        <x:v>RQ1_评价设计</x:v>
      </x:c>
      <x:c r="B86" s="2" t="str">
        <x:v>一个任务—数据集—评价协议组合</x:v>
      </x:c>
      <x:c r="C86" s="2" t="str">
        <x:v>dataset_public</x:v>
      </x:c>
      <x:c r="D86" s="6" t="str">
        <x:v>公开状态</x:v>
      </x:c>
      <x:c r="E86" s="6" t="str">
        <x:v>数据是否公开可得。</x:v>
      </x:c>
      <x:c r="F86" s="2" t="str">
        <x:v>条件必填</x:v>
      </x:c>
      <x:c r="G86" s="2" t="str">
        <x:v>Public | Private | Partially public | NR | Unclear | NA</x:v>
      </x:c>
      <x:c r="H86" s="6" t="str">
        <x:v>按字段定义提供</x:v>
      </x:c>
      <x:c r="I86" s="6" t="str">
        <x:v>使用 NR / NA / Unclear / No，不留空</x:v>
      </x:c>
      <x:c r="J86" s="6"/>
    </x:row>
    <x:row r="87" ht="42" customHeight="1">
      <x:c r="A87" s="2" t="str">
        <x:v>RQ1_评价设计</x:v>
      </x:c>
      <x:c r="B87" s="2" t="str">
        <x:v>一个任务—数据集—评价协议组合</x:v>
      </x:c>
      <x:c r="C87" s="2" t="str">
        <x:v>dataset_realism</x:v>
      </x:c>
      <x:c r="D87" s="6" t="str">
        <x:v>数据现实性</x:v>
      </x:c>
      <x:c r="E87" s="6" t="str">
        <x:v>toy、benchmark、开源、工业数据、试点或生产使用。</x:v>
      </x:c>
      <x:c r="F87" s="2" t="str">
        <x:v>是</x:v>
      </x:c>
      <x:c r="G87" s="2" t="str">
        <x:v>Toy | Synthetic | Academic benchmark | Open-source project | Industrial offline data | Industrial pilot | Production use | Mixed | Unclear</x:v>
      </x:c>
      <x:c r="H87" s="6" t="str">
        <x:v>按字段定义提供</x:v>
      </x:c>
      <x:c r="I87" s="6" t="str">
        <x:v>使用 NR / NA / Unclear / No，不留空</x:v>
      </x:c>
      <x:c r="J87" s="6"/>
    </x:row>
    <x:row r="88" ht="23" customHeight="1">
      <x:c r="A88" s="2" t="str">
        <x:v>RQ1_评价设计</x:v>
      </x:c>
      <x:c r="B88" s="2" t="str">
        <x:v>一个任务—数据集—评价协议组合</x:v>
      </x:c>
      <x:c r="C88" s="2" t="str">
        <x:v>train_validation_test_split</x:v>
      </x:c>
      <x:c r="D88" s="6" t="str">
        <x:v>数据划分</x:v>
      </x:c>
      <x:c r="E88" s="6" t="str">
        <x:v>训练、验证和测试划分及交叉验证方式。</x:v>
      </x:c>
      <x:c r="F88" s="2" t="str">
        <x:v>条件必填</x:v>
      </x:c>
      <x:c r="G88" s="2" t="str">
        <x:v>自由文本</x:v>
      </x:c>
      <x:c r="H88" s="6" t="str">
        <x:v>按字段定义提供</x:v>
      </x:c>
      <x:c r="I88" s="6" t="str">
        <x:v>使用 NR / NA / Unclear / No，不留空</x:v>
      </x:c>
      <x:c r="J88" s="6"/>
    </x:row>
    <x:row r="89" ht="23" customHeight="1">
      <x:c r="A89" s="2" t="str">
        <x:v>RQ1_评价设计</x:v>
      </x:c>
      <x:c r="B89" s="2" t="str">
        <x:v>一个任务—数据集—评价协议组合</x:v>
      </x:c>
      <x:c r="C89" s="2" t="str">
        <x:v>source_artifact_count</x:v>
      </x:c>
      <x:c r="D89" s="6" t="str">
        <x:v>源制品数</x:v>
      </x:c>
      <x:c r="E89" s="6" t="str">
        <x:v>该评价中的源制品数量。</x:v>
      </x:c>
      <x:c r="F89" s="2" t="str">
        <x:v>条件必填</x:v>
      </x:c>
      <x:c r="G89" s="2" t="str">
        <x:v>自由文本</x:v>
      </x:c>
      <x:c r="H89" s="6" t="str">
        <x:v>按字段定义提供</x:v>
      </x:c>
      <x:c r="I89" s="6" t="str">
        <x:v>使用 NR / NA / Unclear / No，不留空</x:v>
      </x:c>
      <x:c r="J89" s="6"/>
    </x:row>
    <x:row r="90" ht="23" customHeight="1">
      <x:c r="A90" s="2" t="str">
        <x:v>RQ1_评价设计</x:v>
      </x:c>
      <x:c r="B90" s="2" t="str">
        <x:v>一个任务—数据集—评价协议组合</x:v>
      </x:c>
      <x:c r="C90" s="2" t="str">
        <x:v>target_artifact_count</x:v>
      </x:c>
      <x:c r="D90" s="6" t="str">
        <x:v>目标制品数</x:v>
      </x:c>
      <x:c r="E90" s="6" t="str">
        <x:v>该评价中的目标制品数量。</x:v>
      </x:c>
      <x:c r="F90" s="2" t="str">
        <x:v>条件必填</x:v>
      </x:c>
      <x:c r="G90" s="2" t="str">
        <x:v>自由文本</x:v>
      </x:c>
      <x:c r="H90" s="6" t="str">
        <x:v>按字段定义提供</x:v>
      </x:c>
      <x:c r="I90" s="6" t="str">
        <x:v>使用 NR / NA / Unclear / No，不留空</x:v>
      </x:c>
      <x:c r="J90" s="6"/>
    </x:row>
    <x:row r="91" ht="23" customHeight="1">
      <x:c r="A91" s="2" t="str">
        <x:v>RQ1_评价设计</x:v>
      </x:c>
      <x:c r="B91" s="2" t="str">
        <x:v>一个任务—数据集—评价协议组合</x:v>
      </x:c>
      <x:c r="C91" s="2" t="str">
        <x:v>true_link_count</x:v>
      </x:c>
      <x:c r="D91" s="6" t="str">
        <x:v>真实链接数</x:v>
      </x:c>
      <x:c r="E91" s="6" t="str">
        <x:v>金标准中的正链接数量。</x:v>
      </x:c>
      <x:c r="F91" s="2" t="str">
        <x:v>条件必填</x:v>
      </x:c>
      <x:c r="G91" s="2" t="str">
        <x:v>自由文本</x:v>
      </x:c>
      <x:c r="H91" s="6" t="str">
        <x:v>按字段定义提供</x:v>
      </x:c>
      <x:c r="I91" s="6" t="str">
        <x:v>使用 NR / NA / Unclear / No，不留空</x:v>
      </x:c>
      <x:c r="J91" s="6"/>
    </x:row>
    <x:row r="92" ht="23" customHeight="1">
      <x:c r="A92" s="2" t="str">
        <x:v>RQ1_评价设计</x:v>
      </x:c>
      <x:c r="B92" s="2" t="str">
        <x:v>一个任务—数据集—评价协议组合</x:v>
      </x:c>
      <x:c r="C92" s="2" t="str">
        <x:v>participant_type</x:v>
      </x:c>
      <x:c r="D92" s="6" t="str">
        <x:v>参与者类型</x:v>
      </x:c>
      <x:c r="E92" s="6" t="str">
        <x:v>专家、学生、开发者、评审者等。</x:v>
      </x:c>
      <x:c r="F92" s="2" t="str">
        <x:v>条件必填</x:v>
      </x:c>
      <x:c r="G92" s="2" t="str">
        <x:v>自由文本</x:v>
      </x:c>
      <x:c r="H92" s="6" t="str">
        <x:v>按字段定义提供</x:v>
      </x:c>
      <x:c r="I92" s="6" t="str">
        <x:v>使用 NR / NA / Unclear / No，不留空</x:v>
      </x:c>
      <x:c r="J92" s="6"/>
    </x:row>
    <x:row r="93" ht="23" customHeight="1">
      <x:c r="A93" s="2" t="str">
        <x:v>RQ1_评价设计</x:v>
      </x:c>
      <x:c r="B93" s="2" t="str">
        <x:v>一个任务—数据集—评价协议组合</x:v>
      </x:c>
      <x:c r="C93" s="2" t="str">
        <x:v>participant_count</x:v>
      </x:c>
      <x:c r="D93" s="6" t="str">
        <x:v>参与者数量</x:v>
      </x:c>
      <x:c r="E93" s="6" t="str">
        <x:v>参与评价的人数。</x:v>
      </x:c>
      <x:c r="F93" s="2" t="str">
        <x:v>条件必填</x:v>
      </x:c>
      <x:c r="G93" s="2" t="str">
        <x:v>自由文本</x:v>
      </x:c>
      <x:c r="H93" s="6" t="str">
        <x:v>按字段定义提供</x:v>
      </x:c>
      <x:c r="I93" s="6" t="str">
        <x:v>使用 NR / NA / Unclear / No，不留空</x:v>
      </x:c>
      <x:c r="J93" s="6"/>
    </x:row>
    <x:row r="94" ht="23" customHeight="1">
      <x:c r="A94" s="2" t="str">
        <x:v>RQ1_评价设计</x:v>
      </x:c>
      <x:c r="B94" s="2" t="str">
        <x:v>一个任务—数据集—评价协议组合</x:v>
      </x:c>
      <x:c r="C94" s="2" t="str">
        <x:v>ground_truth_source</x:v>
      </x:c>
      <x:c r="D94" s="6" t="str">
        <x:v>真值来源</x:v>
      </x:c>
      <x:c r="E94" s="6" t="str">
        <x:v>预存真值、作者标注、专家标注或其他来源。</x:v>
      </x:c>
      <x:c r="F94" s="2" t="str">
        <x:v>条件必填</x:v>
      </x:c>
      <x:c r="G94" s="2" t="str">
        <x:v>自由文本</x:v>
      </x:c>
      <x:c r="H94" s="6" t="str">
        <x:v>按字段定义提供</x:v>
      </x:c>
      <x:c r="I94" s="6" t="str">
        <x:v>使用 NR / NA / Unclear / No，不留空</x:v>
      </x:c>
      <x:c r="J94" s="6"/>
    </x:row>
    <x:row r="95" ht="23" customHeight="1">
      <x:c r="A95" s="2" t="str">
        <x:v>RQ1_评价设计</x:v>
      </x:c>
      <x:c r="B95" s="2" t="str">
        <x:v>一个任务—数据集—评价协议组合</x:v>
      </x:c>
      <x:c r="C95" s="2" t="str">
        <x:v>ground_truth_validation</x:v>
      </x:c>
      <x:c r="D95" s="6" t="str">
        <x:v>真值核验</x:v>
      </x:c>
      <x:c r="E95" s="6" t="str">
        <x:v>真值如何复核、一致性如何处理。</x:v>
      </x:c>
      <x:c r="F95" s="2" t="str">
        <x:v>条件必填</x:v>
      </x:c>
      <x:c r="G95" s="2" t="str">
        <x:v>自由文本</x:v>
      </x:c>
      <x:c r="H95" s="6" t="str">
        <x:v>按字段定义提供</x:v>
      </x:c>
      <x:c r="I95" s="6" t="str">
        <x:v>使用 NR / NA / Unclear / No，不留空</x:v>
      </x:c>
      <x:c r="J95" s="6"/>
    </x:row>
    <x:row r="96" ht="28" customHeight="1">
      <x:c r="A96" s="2" t="str">
        <x:v>RQ1_评价设计</x:v>
      </x:c>
      <x:c r="B96" s="2" t="str">
        <x:v>一个任务—数据集—评价协议组合</x:v>
      </x:c>
      <x:c r="C96" s="2" t="str">
        <x:v>baseline_strength</x:v>
      </x:c>
      <x:c r="D96" s="6" t="str">
        <x:v>基线强度</x:v>
      </x:c>
      <x:c r="E96" s="6" t="str">
        <x:v>无、弱、中等、强或多层次基线。</x:v>
      </x:c>
      <x:c r="F96" s="2" t="str">
        <x:v>条件必填</x:v>
      </x:c>
      <x:c r="G96" s="2" t="str">
        <x:v>None | Weak | Moderate | Strong | Multiple strengths | Unclear | NA</x:v>
      </x:c>
      <x:c r="H96" s="6" t="str">
        <x:v>按字段定义提供</x:v>
      </x:c>
      <x:c r="I96" s="6" t="str">
        <x:v>使用 NR / NA / Unclear / No，不留空</x:v>
      </x:c>
      <x:c r="J96" s="6"/>
    </x:row>
    <x:row r="97" ht="23" customHeight="1">
      <x:c r="A97" s="2" t="str">
        <x:v>RQ1_评价设计</x:v>
      </x:c>
      <x:c r="B97" s="2" t="str">
        <x:v>一个任务—数据集—评价协议组合</x:v>
      </x:c>
      <x:c r="C97" s="2" t="str">
        <x:v>ablation</x:v>
      </x:c>
      <x:c r="D97" s="6" t="str">
        <x:v>消融研究</x:v>
      </x:c>
      <x:c r="E97" s="6" t="str">
        <x:v>是否实施以及移除了哪些组件。</x:v>
      </x:c>
      <x:c r="F97" s="2" t="str">
        <x:v>条件必填</x:v>
      </x:c>
      <x:c r="G97" s="2" t="str">
        <x:v>自由文本</x:v>
      </x:c>
      <x:c r="H97" s="6" t="str">
        <x:v>按字段定义提供</x:v>
      </x:c>
      <x:c r="I97" s="6" t="str">
        <x:v>使用 NR / NA / Unclear / No，不留空</x:v>
      </x:c>
      <x:c r="J97" s="6"/>
    </x:row>
    <x:row r="98" ht="23" customHeight="1">
      <x:c r="A98" s="2" t="str">
        <x:v>RQ1_评价设计</x:v>
      </x:c>
      <x:c r="B98" s="2" t="str">
        <x:v>一个任务—数据集—评价协议组合</x:v>
      </x:c>
      <x:c r="C98" s="2" t="str">
        <x:v>metrics_reported</x:v>
      </x:c>
      <x:c r="D98" s="6" t="str">
        <x:v>评价指标</x:v>
      </x:c>
      <x:c r="E98" s="6" t="str">
        <x:v>指标名称；多指标使用分号，具体数值在结果表分行。</x:v>
      </x:c>
      <x:c r="F98" s="2" t="str">
        <x:v>是</x:v>
      </x:c>
      <x:c r="G98" s="2" t="str">
        <x:v>自由文本</x:v>
      </x:c>
      <x:c r="H98" s="6" t="str">
        <x:v>按字段定义提供</x:v>
      </x:c>
      <x:c r="I98" s="6" t="str">
        <x:v>使用 NR / NA / Unclear / No，不留空</x:v>
      </x:c>
      <x:c r="J98" s="6"/>
    </x:row>
    <x:row r="99" ht="42" customHeight="1">
      <x:c r="A99" s="2" t="str">
        <x:v>RQ1_评价设计</x:v>
      </x:c>
      <x:c r="B99" s="2" t="str">
        <x:v>一个任务—数据集—评价协议组合</x:v>
      </x:c>
      <x:c r="C99" s="2" t="str">
        <x:v>unit_of_analysis</x:v>
      </x:c>
      <x:c r="D99" s="6" t="str">
        <x:v>分析单位</x:v>
      </x:c>
      <x:c r="E99" s="6" t="str">
        <x:v>制品、制品对、链接、项目、参与者等。</x:v>
      </x:c>
      <x:c r="F99" s="2" t="str">
        <x:v>条件必填</x:v>
      </x:c>
      <x:c r="G99" s="2" t="str">
        <x:v>artifact | artifact pair | trace link | project | dataset | participant | task execution | organization | other | Unclear</x:v>
      </x:c>
      <x:c r="H99" s="6" t="str">
        <x:v>按字段定义提供</x:v>
      </x:c>
      <x:c r="I99" s="6" t="str">
        <x:v>使用 NR / NA / Unclear / No，不留空</x:v>
      </x:c>
      <x:c r="J99" s="6"/>
    </x:row>
    <x:row r="100" ht="23" customHeight="1">
      <x:c r="A100" s="2" t="str">
        <x:v>RQ1_评价设计</x:v>
      </x:c>
      <x:c r="B100" s="2" t="str">
        <x:v>一个任务—数据集—评价协议组合</x:v>
      </x:c>
      <x:c r="C100" s="2" t="str">
        <x:v>human_evaluation_protocol</x:v>
      </x:c>
      <x:c r="D100" s="6" t="str">
        <x:v>人工评价协议</x:v>
      </x:c>
      <x:c r="E100" s="6" t="str">
        <x:v>参与者、任务、量表、盲法和一致性等。</x:v>
      </x:c>
      <x:c r="F100" s="2" t="str">
        <x:v>条件必填</x:v>
      </x:c>
      <x:c r="G100" s="2" t="str">
        <x:v>自由文本</x:v>
      </x:c>
      <x:c r="H100" s="6" t="str">
        <x:v>按字段定义提供</x:v>
      </x:c>
      <x:c r="I100" s="6" t="str">
        <x:v>使用 NR / NA / Unclear / No，不留空</x:v>
      </x:c>
      <x:c r="J100" s="6"/>
    </x:row>
    <x:row r="101" ht="23" customHeight="1">
      <x:c r="A101" s="2" t="str">
        <x:v>RQ1_评价设计</x:v>
      </x:c>
      <x:c r="B101" s="2" t="str">
        <x:v>一个任务—数据集—评价协议组合</x:v>
      </x:c>
      <x:c r="C101" s="2" t="str">
        <x:v>contamination_check</x:v>
      </x:c>
      <x:c r="D101" s="6" t="str">
        <x:v>污染检查</x:v>
      </x:c>
      <x:c r="E101" s="6" t="str">
        <x:v>是否检查训练数据泄漏或benchmark污染。</x:v>
      </x:c>
      <x:c r="F101" s="2" t="str">
        <x:v>条件必填</x:v>
      </x:c>
      <x:c r="G101" s="2" t="str">
        <x:v>自由文本</x:v>
      </x:c>
      <x:c r="H101" s="6" t="str">
        <x:v>按字段定义提供</x:v>
      </x:c>
      <x:c r="I101" s="6" t="str">
        <x:v>使用 NR / NA / Unclear / No，不留空</x:v>
      </x:c>
      <x:c r="J101" s="6"/>
    </x:row>
    <x:row r="102" ht="23" customHeight="1">
      <x:c r="A102" s="2" t="str">
        <x:v>RQ1_评价设计</x:v>
      </x:c>
      <x:c r="B102" s="2" t="str">
        <x:v>一个任务—数据集—评价协议组合</x:v>
      </x:c>
      <x:c r="C102" s="2" t="str">
        <x:v>statistical_method</x:v>
      </x:c>
      <x:c r="D102" s="6" t="str">
        <x:v>统计方法</x:v>
      </x:c>
      <x:c r="E102" s="6" t="str">
        <x:v>显著性检验、效应量或其他分析。</x:v>
      </x:c>
      <x:c r="F102" s="2" t="str">
        <x:v>条件必填</x:v>
      </x:c>
      <x:c r="G102" s="2" t="str">
        <x:v>自由文本</x:v>
      </x:c>
      <x:c r="H102" s="6" t="str">
        <x:v>按字段定义提供</x:v>
      </x:c>
      <x:c r="I102" s="6" t="str">
        <x:v>使用 NR / NA / Unclear / No，不留空</x:v>
      </x:c>
      <x:c r="J102" s="6"/>
    </x:row>
    <x:row r="103" ht="23" customHeight="1">
      <x:c r="A103" s="2" t="str">
        <x:v>RQ1_评价设计</x:v>
      </x:c>
      <x:c r="B103" s="2" t="str">
        <x:v>一个任务—数据集—评价协议组合</x:v>
      </x:c>
      <x:c r="C103" s="2" t="str">
        <x:v>uncertainty_reported</x:v>
      </x:c>
      <x:c r="D103" s="6" t="str">
        <x:v>不确定性报告</x:v>
      </x:c>
      <x:c r="E103" s="6" t="str">
        <x:v>方差、置信区间、重复运行等。</x:v>
      </x:c>
      <x:c r="F103" s="2" t="str">
        <x:v>条件必填</x:v>
      </x:c>
      <x:c r="G103" s="2" t="str">
        <x:v>自由文本</x:v>
      </x:c>
      <x:c r="H103" s="6" t="str">
        <x:v>按字段定义提供</x:v>
      </x:c>
      <x:c r="I103" s="6" t="str">
        <x:v>使用 NR / NA / Unclear / No，不留空</x:v>
      </x:c>
      <x:c r="J103" s="6"/>
    </x:row>
    <x:row r="104" ht="23" customHeight="1">
      <x:c r="A104" s="2" t="str">
        <x:v>RQ1_评价设计</x:v>
      </x:c>
      <x:c r="B104" s="2" t="str">
        <x:v>一个任务—数据集—评价协议组合</x:v>
      </x:c>
      <x:c r="C104" s="2" t="str">
        <x:v>error_analysis</x:v>
      </x:c>
      <x:c r="D104" s="6" t="str">
        <x:v>错误分析</x:v>
      </x:c>
      <x:c r="E104" s="6" t="str">
        <x:v>是否及如何分析错误或失败案例。</x:v>
      </x:c>
      <x:c r="F104" s="2" t="str">
        <x:v>条件必填</x:v>
      </x:c>
      <x:c r="G104" s="2" t="str">
        <x:v>自由文本</x:v>
      </x:c>
      <x:c r="H104" s="6" t="str">
        <x:v>按字段定义提供</x:v>
      </x:c>
      <x:c r="I104" s="6" t="str">
        <x:v>使用 NR / NA / Unclear / No，不留空</x:v>
      </x:c>
      <x:c r="J104" s="6"/>
    </x:row>
    <x:row r="105" ht="23" customHeight="1">
      <x:c r="A105" s="2" t="str">
        <x:v>RQ1_评价设计</x:v>
      </x:c>
      <x:c r="B105" s="2" t="str">
        <x:v>一个任务—数据集—评价协议组合</x:v>
      </x:c>
      <x:c r="C105" s="2" t="str">
        <x:v>threat_control</x:v>
      </x:c>
      <x:c r="D105" s="6" t="str">
        <x:v>威胁控制</x:v>
      </x:c>
      <x:c r="E105" s="6" t="str">
        <x:v>评价设计中控制偏差和效度威胁的措施。</x:v>
      </x:c>
      <x:c r="F105" s="2" t="str">
        <x:v>条件必填</x:v>
      </x:c>
      <x:c r="G105" s="2" t="str">
        <x:v>自由文本</x:v>
      </x:c>
      <x:c r="H105" s="6" t="str">
        <x:v>按字段定义提供</x:v>
      </x:c>
      <x:c r="I105" s="6" t="str">
        <x:v>使用 NR / NA / Unclear / No，不留空</x:v>
      </x:c>
      <x:c r="J105" s="6"/>
    </x:row>
    <x:row r="106" ht="23" customHeight="1">
      <x:c r="A106" s="2" t="str">
        <x:v>RQ1_评价设计</x:v>
      </x:c>
      <x:c r="B106" s="2" t="str">
        <x:v>一个任务—数据集—评价协议组合</x:v>
      </x:c>
      <x:c r="C106" s="2" t="str">
        <x:v>evidence_location</x:v>
      </x:c>
      <x:c r="D106" s="6" t="str">
        <x:v>证据位置</x:v>
      </x:c>
      <x:c r="E106" s="6" t="str">
        <x:v>页码、章节、表格、图或附录等可复核位置。</x:v>
      </x:c>
      <x:c r="F106" s="2" t="str">
        <x:v>是</x:v>
      </x:c>
      <x:c r="G106" s="2" t="str">
        <x:v>自由文本</x:v>
      </x:c>
      <x:c r="H106" s="6" t="str">
        <x:v>必须可定位</x:v>
      </x:c>
      <x:c r="I106" s="6" t="str">
        <x:v>使用 NR / NA / Unclear / No，不留空</x:v>
      </x:c>
      <x:c r="J106" s="6"/>
    </x:row>
    <x:row r="107" ht="23" customHeight="1">
      <x:c r="A107" s="2" t="str">
        <x:v>RQ1_评价设计</x:v>
      </x:c>
      <x:c r="B107" s="2" t="str">
        <x:v>一个任务—数据集—评价协议组合</x:v>
      </x:c>
      <x:c r="C107" s="2" t="str">
        <x:v>evidence_verbatim</x:v>
      </x:c>
      <x:c r="D107" s="6" t="str">
        <x:v>原文证据</x:v>
      </x:c>
      <x:c r="E107" s="6" t="str">
        <x:v>支持本条记录的简短原文摘录；不得用综述者概括代替。</x:v>
      </x:c>
      <x:c r="F107" s="2" t="str">
        <x:v>是</x:v>
      </x:c>
      <x:c r="G107" s="2" t="str">
        <x:v>自由文本</x:v>
      </x:c>
      <x:c r="H107" s="6" t="str">
        <x:v>必须保留原文</x:v>
      </x:c>
      <x:c r="I107" s="6" t="str">
        <x:v>使用 NR / NA / Unclear / No，不留空</x:v>
      </x:c>
      <x:c r="J107" s="6"/>
    </x:row>
    <x:row r="108" ht="23" customHeight="1">
      <x:c r="A108" s="2" t="str">
        <x:v>RQ1_评价设计</x:v>
      </x:c>
      <x:c r="B108" s="2" t="str">
        <x:v>一个任务—数据集—评价协议组合</x:v>
      </x:c>
      <x:c r="C108" s="2" t="str">
        <x:v>reviewer_interpretation</x:v>
      </x:c>
      <x:c r="D108" s="6" t="str">
        <x:v>评审者解释</x:v>
      </x:c>
      <x:c r="E108" s="6" t="str">
        <x:v>对原文含义及编码理由的简洁解释，与原文证据分开保存。</x:v>
      </x:c>
      <x:c r="F108" s="2" t="str">
        <x:v>条件必填</x:v>
      </x:c>
      <x:c r="G108" s="2" t="str">
        <x:v>自由文本</x:v>
      </x:c>
      <x:c r="H108" s="6" t="str">
        <x:v>按字段定义提供</x:v>
      </x:c>
      <x:c r="I108" s="6" t="str">
        <x:v>使用 NR / NA / Unclear / No，不留空</x:v>
      </x:c>
      <x:c r="J108" s="6"/>
    </x:row>
    <x:row r="109" ht="28" customHeight="1">
      <x:c r="A109" s="2" t="str">
        <x:v>RQ1_评价设计</x:v>
      </x:c>
      <x:c r="B109" s="2" t="str">
        <x:v>一个任务—数据集—评价协议组合</x:v>
      </x:c>
      <x:c r="C109" s="2" t="str">
        <x:v>record_status</x:v>
      </x:c>
      <x:c r="D109" s="6" t="str">
        <x:v>记录状态</x:v>
      </x:c>
      <x:c r="E109" s="6" t="str">
        <x:v>记录是否已接受、修订、拒绝或形成共识。</x:v>
      </x:c>
      <x:c r="F109" s="2" t="str">
        <x:v>是</x:v>
      </x:c>
      <x:c r="G109" s="2" t="str">
        <x:v>Unreviewed | Accepted | Revised | Rejected | Consensus</x:v>
      </x:c>
      <x:c r="H109" s="6" t="str">
        <x:v>按字段定义提供</x:v>
      </x:c>
      <x:c r="I109" s="6" t="str">
        <x:v>使用 NR / NA / Unclear / No，不留空</x:v>
      </x:c>
      <x:c r="J109" s="6"/>
    </x:row>
    <x:row r="110" ht="23" customHeight="1">
      <x:c r="A110" s="2" t="str">
        <x:v>RQ1_评价设计</x:v>
      </x:c>
      <x:c r="B110" s="2" t="str">
        <x:v>一个任务—数据集—评价协议组合</x:v>
      </x:c>
      <x:c r="C110" s="2" t="str">
        <x:v>notes</x:v>
      </x:c>
      <x:c r="D110" s="6" t="str">
        <x:v>备注</x:v>
      </x:c>
      <x:c r="E110" s="6" t="str">
        <x:v>边界情况、冲突、待核查内容或其他说明。</x:v>
      </x:c>
      <x:c r="F110" s="2" t="str">
        <x:v>否</x:v>
      </x:c>
      <x:c r="G110" s="2" t="str">
        <x:v>自由文本</x:v>
      </x:c>
      <x:c r="H110" s="6" t="str">
        <x:v>按字段定义提供</x:v>
      </x:c>
      <x:c r="I110" s="6" t="str">
        <x:v>可留空</x:v>
      </x:c>
      <x:c r="J110" s="6"/>
    </x:row>
    <x:row r="111" ht="23" customHeight="1">
      <x:c r="A111" s="2" t="str">
        <x:v>RQ1_结果</x:v>
      </x:c>
      <x:c r="B111" s="2" t="str">
        <x:v>一个评价中的模型/方法—基线—指标结果组合</x:v>
      </x:c>
      <x:c r="C111" s="2" t="str">
        <x:v>record_id</x:v>
      </x:c>
      <x:c r="D111" s="6" t="str">
        <x:v>记录ID</x:v>
      </x:c>
      <x:c r="E111" s="6" t="str">
        <x:v>当前表中该条记录的稳定唯一ID。</x:v>
      </x:c>
      <x:c r="F111" s="2" t="str">
        <x:v>是</x:v>
      </x:c>
      <x:c r="G111" s="2" t="str">
        <x:v>自由文本</x:v>
      </x:c>
      <x:c r="H111" s="6" t="str">
        <x:v>按字段定义提供</x:v>
      </x:c>
      <x:c r="I111" s="6" t="str">
        <x:v>使用 NR / NA / Unclear / No，不留空</x:v>
      </x:c>
      <x:c r="J111" s="6" t="str">
        <x:v>建议格式：S001-C01、S001-T01等。</x:v>
      </x:c>
    </x:row>
    <x:row r="112" ht="23" customHeight="1">
      <x:c r="A112" s="2" t="str">
        <x:v>RQ1_结果</x:v>
      </x:c>
      <x:c r="B112" s="2" t="str">
        <x:v>一个评价中的模型/方法—基线—指标结果组合</x:v>
      </x:c>
      <x:c r="C112" s="2" t="str">
        <x:v>study_id</x:v>
      </x:c>
      <x:c r="D112" s="6" t="str">
        <x:v>研究ID</x:v>
      </x:c>
      <x:c r="E112" s="6" t="str">
        <x:v>连接研究索引与所有抽取表的稳定研究标识。</x:v>
      </x:c>
      <x:c r="F112" s="2" t="str">
        <x:v>是</x:v>
      </x:c>
      <x:c r="G112" s="2" t="str">
        <x:v>study_id</x:v>
      </x:c>
      <x:c r="H112" s="6" t="str">
        <x:v>按字段定义提供</x:v>
      </x:c>
      <x:c r="I112" s="6" t="str">
        <x:v>使用 NR / NA / Unclear / No，不留空</x:v>
      </x:c>
      <x:c r="J112" s="6" t="str">
        <x:v>建议格式：S001。</x:v>
      </x:c>
    </x:row>
    <x:row r="113" ht="23" customHeight="1">
      <x:c r="A113" s="2" t="str">
        <x:v>RQ1_结果</x:v>
      </x:c>
      <x:c r="B113" s="2" t="str">
        <x:v>一个评价中的模型/方法—基线—指标结果组合</x:v>
      </x:c>
      <x:c r="C113" s="2" t="str">
        <x:v>version_id</x:v>
      </x:c>
      <x:c r="D113" s="6" t="str">
        <x:v>版本ID</x:v>
      </x:c>
      <x:c r="E113" s="6" t="str">
        <x:v>本次抽取所依据的具体论文版本标识。</x:v>
      </x:c>
      <x:c r="F113" s="2" t="str">
        <x:v>是</x:v>
      </x:c>
      <x:c r="G113" s="2" t="str">
        <x:v>version_id</x:v>
      </x:c>
      <x:c r="H113" s="6" t="str">
        <x:v>按字段定义提供</x:v>
      </x:c>
      <x:c r="I113" s="6" t="str">
        <x:v>使用 NR / NA / Unclear / No，不留空</x:v>
      </x:c>
      <x:c r="J113" s="6" t="str">
        <x:v>同一study family不同版本不得混写。</x:v>
      </x:c>
    </x:row>
    <x:row r="114" ht="23" customHeight="1">
      <x:c r="A114" s="2" t="str">
        <x:v>RQ1_结果</x:v>
      </x:c>
      <x:c r="B114" s="2" t="str">
        <x:v>一个评价中的模型/方法—基线—指标结果组合</x:v>
      </x:c>
      <x:c r="C114" s="2" t="str">
        <x:v>review_stage</x:v>
      </x:c>
      <x:c r="D114" s="6" t="str">
        <x:v>记录阶段</x:v>
      </x:c>
      <x:c r="E114" s="6" t="str">
        <x:v>区分两名独立评审者、共识与仲裁记录。</x:v>
      </x:c>
      <x:c r="F114" s="2" t="str">
        <x:v>是</x:v>
      </x:c>
      <x:c r="G114" s="2" t="str">
        <x:v>Reviewer_A | Reviewer_B | Consensus | Arbitration</x:v>
      </x:c>
      <x:c r="H114" s="6" t="str">
        <x:v>按字段定义提供</x:v>
      </x:c>
      <x:c r="I114" s="6" t="str">
        <x:v>使用 NR / NA / Unclear / No，不留空</x:v>
      </x:c>
      <x:c r="J114" s="6"/>
    </x:row>
    <x:row r="115" ht="23" customHeight="1">
      <x:c r="A115" s="2" t="str">
        <x:v>RQ1_结果</x:v>
      </x:c>
      <x:c r="B115" s="2" t="str">
        <x:v>一个评价中的模型/方法—基线—指标结果组合</x:v>
      </x:c>
      <x:c r="C115" s="2" t="str">
        <x:v>reviewer_id</x:v>
      </x:c>
      <x:c r="D115" s="6" t="str">
        <x:v>评审者ID</x:v>
      </x:c>
      <x:c r="E115" s="6" t="str">
        <x:v>完成该条记录的评审者或共识组标识。</x:v>
      </x:c>
      <x:c r="F115" s="2" t="str">
        <x:v>是</x:v>
      </x:c>
      <x:c r="G115" s="2" t="str">
        <x:v>自由文本</x:v>
      </x:c>
      <x:c r="H115" s="6" t="str">
        <x:v>按字段定义提供</x:v>
      </x:c>
      <x:c r="I115" s="6" t="str">
        <x:v>使用 NR / NA / Unclear / No，不留空</x:v>
      </x:c>
      <x:c r="J115" s="6"/>
    </x:row>
    <x:row r="116" ht="23" customHeight="1">
      <x:c r="A116" s="2" t="str">
        <x:v>RQ1_结果</x:v>
      </x:c>
      <x:c r="B116" s="2" t="str">
        <x:v>一个评价中的模型/方法—基线—指标结果组合</x:v>
      </x:c>
      <x:c r="C116" s="2" t="str">
        <x:v>result_id</x:v>
      </x:c>
      <x:c r="D116" s="6" t="str">
        <x:v>结果ID</x:v>
      </x:c>
      <x:c r="E116" s="6" t="str">
        <x:v>单条结果的稳定标识。</x:v>
      </x:c>
      <x:c r="F116" s="2" t="str">
        <x:v>是</x:v>
      </x:c>
      <x:c r="G116" s="2" t="str">
        <x:v>自由文本</x:v>
      </x:c>
      <x:c r="H116" s="6" t="str">
        <x:v>按字段定义提供</x:v>
      </x:c>
      <x:c r="I116" s="6" t="str">
        <x:v>使用 NR / NA / Unclear / No，不留空</x:v>
      </x:c>
      <x:c r="J116" s="6"/>
    </x:row>
    <x:row r="117" ht="23" customHeight="1">
      <x:c r="A117" s="2" t="str">
        <x:v>RQ1_结果</x:v>
      </x:c>
      <x:c r="B117" s="2" t="str">
        <x:v>一个评价中的模型/方法—基线—指标结果组合</x:v>
      </x:c>
      <x:c r="C117" s="2" t="str">
        <x:v>evaluation_id</x:v>
      </x:c>
      <x:c r="D117" s="6" t="str">
        <x:v>评价ID</x:v>
      </x:c>
      <x:c r="E117" s="6" t="str">
        <x:v>连接RQ1评价设计和E评价级表。</x:v>
      </x:c>
      <x:c r="F117" s="2" t="str">
        <x:v>是</x:v>
      </x:c>
      <x:c r="G117" s="2" t="str">
        <x:v>自由文本</x:v>
      </x:c>
      <x:c r="H117" s="6" t="str">
        <x:v>按字段定义提供</x:v>
      </x:c>
      <x:c r="I117" s="6" t="str">
        <x:v>使用 NR / NA / Unclear / No，不留空</x:v>
      </x:c>
      <x:c r="J117" s="6"/>
    </x:row>
    <x:row r="118" ht="23" customHeight="1">
      <x:c r="A118" s="2" t="str">
        <x:v>RQ1_结果</x:v>
      </x:c>
      <x:c r="B118" s="2" t="str">
        <x:v>一个评价中的模型/方法—基线—指标结果组合</x:v>
      </x:c>
      <x:c r="C118" s="2" t="str">
        <x:v>task_id</x:v>
      </x:c>
      <x:c r="D118" s="6" t="str">
        <x:v>任务ID</x:v>
      </x:c>
      <x:c r="E118" s="6" t="str">
        <x:v>连接RQ1应用任务。</x:v>
      </x:c>
      <x:c r="F118" s="2" t="str">
        <x:v>是</x:v>
      </x:c>
      <x:c r="G118" s="2" t="str">
        <x:v>自由文本</x:v>
      </x:c>
      <x:c r="H118" s="6" t="str">
        <x:v>按字段定义提供</x:v>
      </x:c>
      <x:c r="I118" s="6" t="str">
        <x:v>使用 NR / NA / Unclear / No，不留空</x:v>
      </x:c>
      <x:c r="J118" s="6"/>
    </x:row>
    <x:row r="119" ht="23" customHeight="1">
      <x:c r="A119" s="2" t="str">
        <x:v>RQ1_结果</x:v>
      </x:c>
      <x:c r="B119" s="2" t="str">
        <x:v>一个评价中的模型/方法—基线—指标结果组合</x:v>
      </x:c>
      <x:c r="C119" s="2" t="str">
        <x:v>model_use_id</x:v>
      </x:c>
      <x:c r="D119" s="6" t="str">
        <x:v>模型使用ID</x:v>
      </x:c>
      <x:c r="E119" s="6" t="str">
        <x:v>连接RQ4模型配置；无对应模型时记NA。</x:v>
      </x:c>
      <x:c r="F119" s="2" t="str">
        <x:v>条件必填</x:v>
      </x:c>
      <x:c r="G119" s="2" t="str">
        <x:v>自由文本</x:v>
      </x:c>
      <x:c r="H119" s="6" t="str">
        <x:v>按字段定义提供</x:v>
      </x:c>
      <x:c r="I119" s="6" t="str">
        <x:v>使用 NR / NA / Unclear / No，不留空</x:v>
      </x:c>
      <x:c r="J119" s="6"/>
    </x:row>
    <x:row r="120" ht="23" customHeight="1">
      <x:c r="A120" s="2" t="str">
        <x:v>RQ1_结果</x:v>
      </x:c>
      <x:c r="B120" s="2" t="str">
        <x:v>一个评价中的模型/方法—基线—指标结果组合</x:v>
      </x:c>
      <x:c r="C120" s="2" t="str">
        <x:v>dataset_name</x:v>
      </x:c>
      <x:c r="D120" s="6" t="str">
        <x:v>数据集</x:v>
      </x:c>
      <x:c r="E120" s="6" t="str">
        <x:v>该数值对应的具体数据集。</x:v>
      </x:c>
      <x:c r="F120" s="2" t="str">
        <x:v>是</x:v>
      </x:c>
      <x:c r="G120" s="2" t="str">
        <x:v>自由文本</x:v>
      </x:c>
      <x:c r="H120" s="6" t="str">
        <x:v>按字段定义提供</x:v>
      </x:c>
      <x:c r="I120" s="6" t="str">
        <x:v>使用 NR / NA / Unclear / No，不留空</x:v>
      </x:c>
      <x:c r="J120" s="6"/>
    </x:row>
    <x:row r="121" ht="23" customHeight="1">
      <x:c r="A121" s="2" t="str">
        <x:v>RQ1_结果</x:v>
      </x:c>
      <x:c r="B121" s="2" t="str">
        <x:v>一个评价中的模型/方法—基线—指标结果组合</x:v>
      </x:c>
      <x:c r="C121" s="2" t="str">
        <x:v>method_name</x:v>
      </x:c>
      <x:c r="D121" s="6" t="str">
        <x:v>方法/配置</x:v>
      </x:c>
      <x:c r="E121" s="6" t="str">
        <x:v>该结果对应的LLM方法或配置。</x:v>
      </x:c>
      <x:c r="F121" s="2" t="str">
        <x:v>是</x:v>
      </x:c>
      <x:c r="G121" s="2" t="str">
        <x:v>自由文本</x:v>
      </x:c>
      <x:c r="H121" s="6" t="str">
        <x:v>按字段定义提供</x:v>
      </x:c>
      <x:c r="I121" s="6" t="str">
        <x:v>使用 NR / NA / Unclear / No，不留空</x:v>
      </x:c>
      <x:c r="J121" s="6"/>
    </x:row>
    <x:row r="122" ht="23" customHeight="1">
      <x:c r="A122" s="2" t="str">
        <x:v>RQ1_结果</x:v>
      </x:c>
      <x:c r="B122" s="2" t="str">
        <x:v>一个评价中的模型/方法—基线—指标结果组合</x:v>
      </x:c>
      <x:c r="C122" s="2" t="str">
        <x:v>baseline_name</x:v>
      </x:c>
      <x:c r="D122" s="6" t="str">
        <x:v>基线名称</x:v>
      </x:c>
      <x:c r="E122" s="6" t="str">
        <x:v>比较基线；没有比较时记No。</x:v>
      </x:c>
      <x:c r="F122" s="2" t="str">
        <x:v>条件必填</x:v>
      </x:c>
      <x:c r="G122" s="2" t="str">
        <x:v>自由文本</x:v>
      </x:c>
      <x:c r="H122" s="6" t="str">
        <x:v>按字段定义提供</x:v>
      </x:c>
      <x:c r="I122" s="6" t="str">
        <x:v>使用 NR / NA / Unclear / No，不留空</x:v>
      </x:c>
      <x:c r="J122" s="6"/>
    </x:row>
    <x:row r="123" ht="23" customHeight="1">
      <x:c r="A123" s="2" t="str">
        <x:v>RQ1_结果</x:v>
      </x:c>
      <x:c r="B123" s="2" t="str">
        <x:v>一个评价中的模型/方法—基线—指标结果组合</x:v>
      </x:c>
      <x:c r="C123" s="2" t="str">
        <x:v>metric</x:v>
      </x:c>
      <x:c r="D123" s="6" t="str">
        <x:v>指标</x:v>
      </x:c>
      <x:c r="E123" s="6" t="str">
        <x:v>一行只记录一个评价指标。</x:v>
      </x:c>
      <x:c r="F123" s="2" t="str">
        <x:v>是</x:v>
      </x:c>
      <x:c r="G123" s="2" t="str">
        <x:v>自由文本</x:v>
      </x:c>
      <x:c r="H123" s="6" t="str">
        <x:v>按字段定义提供</x:v>
      </x:c>
      <x:c r="I123" s="6" t="str">
        <x:v>使用 NR / NA / Unclear / No，不留空</x:v>
      </x:c>
      <x:c r="J123" s="6"/>
    </x:row>
    <x:row r="124" ht="23" customHeight="1">
      <x:c r="A124" s="2" t="str">
        <x:v>RQ1_结果</x:v>
      </x:c>
      <x:c r="B124" s="2" t="str">
        <x:v>一个评价中的模型/方法—基线—指标结果组合</x:v>
      </x:c>
      <x:c r="C124" s="2" t="str">
        <x:v>reported_value_verbatim</x:v>
      </x:c>
      <x:c r="D124" s="6" t="str">
        <x:v>报告值原文</x:v>
      </x:c>
      <x:c r="E124" s="6" t="str">
        <x:v>完整保留论文中的数值、单位和范围写法。</x:v>
      </x:c>
      <x:c r="F124" s="2" t="str">
        <x:v>是</x:v>
      </x:c>
      <x:c r="G124" s="2" t="str">
        <x:v>自由文本</x:v>
      </x:c>
      <x:c r="H124" s="6" t="str">
        <x:v>按字段定义提供</x:v>
      </x:c>
      <x:c r="I124" s="6" t="str">
        <x:v>使用 NR / NA / Unclear / No，不留空</x:v>
      </x:c>
      <x:c r="J124" s="6"/>
    </x:row>
    <x:row r="125" ht="23" customHeight="1">
      <x:c r="A125" s="2" t="str">
        <x:v>RQ1_结果</x:v>
      </x:c>
      <x:c r="B125" s="2" t="str">
        <x:v>一个评价中的模型/方法—基线—指标结果组合</x:v>
      </x:c>
      <x:c r="C125" s="2" t="str">
        <x:v>numeric_value</x:v>
      </x:c>
      <x:c r="D125" s="6" t="str">
        <x:v>数值</x:v>
      </x:c>
      <x:c r="E125" s="6" t="str">
        <x:v>可可靠转换时记录纯数值；否则记Unclear或NA。</x:v>
      </x:c>
      <x:c r="F125" s="2" t="str">
        <x:v>条件必填</x:v>
      </x:c>
      <x:c r="G125" s="2" t="str">
        <x:v>自由文本</x:v>
      </x:c>
      <x:c r="H125" s="6" t="str">
        <x:v>按字段定义提供</x:v>
      </x:c>
      <x:c r="I125" s="6" t="str">
        <x:v>使用 NR / NA / Unclear / No，不留空</x:v>
      </x:c>
      <x:c r="J125" s="6"/>
    </x:row>
    <x:row r="126" ht="23" customHeight="1">
      <x:c r="A126" s="2" t="str">
        <x:v>RQ1_结果</x:v>
      </x:c>
      <x:c r="B126" s="2" t="str">
        <x:v>一个评价中的模型/方法—基线—指标结果组合</x:v>
      </x:c>
      <x:c r="C126" s="2" t="str">
        <x:v>value_unit</x:v>
      </x:c>
      <x:c r="D126" s="6" t="str">
        <x:v>数值单位</x:v>
      </x:c>
      <x:c r="E126" s="6" t="str">
        <x:v>%、小数、秒、美元、计数等。</x:v>
      </x:c>
      <x:c r="F126" s="2" t="str">
        <x:v>条件必填</x:v>
      </x:c>
      <x:c r="G126" s="2" t="str">
        <x:v>自由文本</x:v>
      </x:c>
      <x:c r="H126" s="6" t="str">
        <x:v>按字段定义提供</x:v>
      </x:c>
      <x:c r="I126" s="6" t="str">
        <x:v>使用 NR / NA / Unclear / No，不留空</x:v>
      </x:c>
      <x:c r="J126" s="6"/>
    </x:row>
    <x:row r="127" ht="23" customHeight="1">
      <x:c r="A127" s="2" t="str">
        <x:v>RQ1_结果</x:v>
      </x:c>
      <x:c r="B127" s="2" t="str">
        <x:v>一个评价中的模型/方法—基线—指标结果组合</x:v>
      </x:c>
      <x:c r="C127" s="2" t="str">
        <x:v>baseline_value_verbatim</x:v>
      </x:c>
      <x:c r="D127" s="6" t="str">
        <x:v>基线值原文</x:v>
      </x:c>
      <x:c r="E127" s="6" t="str">
        <x:v>论文报告的基线数值原文。</x:v>
      </x:c>
      <x:c r="F127" s="2" t="str">
        <x:v>条件必填</x:v>
      </x:c>
      <x:c r="G127" s="2" t="str">
        <x:v>自由文本</x:v>
      </x:c>
      <x:c r="H127" s="6" t="str">
        <x:v>按字段定义提供</x:v>
      </x:c>
      <x:c r="I127" s="6" t="str">
        <x:v>使用 NR / NA / Unclear / No，不留空</x:v>
      </x:c>
      <x:c r="J127" s="6"/>
    </x:row>
    <x:row r="128" ht="23" customHeight="1">
      <x:c r="A128" s="2" t="str">
        <x:v>RQ1_结果</x:v>
      </x:c>
      <x:c r="B128" s="2" t="str">
        <x:v>一个评价中的模型/方法—基线—指标结果组合</x:v>
      </x:c>
      <x:c r="C128" s="2" t="str">
        <x:v>baseline_numeric</x:v>
      </x:c>
      <x:c r="D128" s="6" t="str">
        <x:v>基线数值</x:v>
      </x:c>
      <x:c r="E128" s="6" t="str">
        <x:v>可可靠转换时记录纯数值。</x:v>
      </x:c>
      <x:c r="F128" s="2" t="str">
        <x:v>条件必填</x:v>
      </x:c>
      <x:c r="G128" s="2" t="str">
        <x:v>自由文本</x:v>
      </x:c>
      <x:c r="H128" s="6" t="str">
        <x:v>按字段定义提供</x:v>
      </x:c>
      <x:c r="I128" s="6" t="str">
        <x:v>使用 NR / NA / Unclear / No，不留空</x:v>
      </x:c>
      <x:c r="J128" s="6"/>
    </x:row>
    <x:row r="129" ht="23" customHeight="1">
      <x:c r="A129" s="2" t="str">
        <x:v>RQ1_结果</x:v>
      </x:c>
      <x:c r="B129" s="2" t="str">
        <x:v>一个评价中的模型/方法—基线—指标结果组合</x:v>
      </x:c>
      <x:c r="C129" s="2" t="str">
        <x:v>variance_or_ci</x:v>
      </x:c>
      <x:c r="D129" s="6" t="str">
        <x:v>方差/置信区间</x:v>
      </x:c>
      <x:c r="E129" s="6" t="str">
        <x:v>方差、标准差或置信区间。</x:v>
      </x:c>
      <x:c r="F129" s="2" t="str">
        <x:v>条件必填</x:v>
      </x:c>
      <x:c r="G129" s="2" t="str">
        <x:v>自由文本</x:v>
      </x:c>
      <x:c r="H129" s="6" t="str">
        <x:v>按字段定义提供</x:v>
      </x:c>
      <x:c r="I129" s="6" t="str">
        <x:v>使用 NR / NA / Unclear / No，不留空</x:v>
      </x:c>
      <x:c r="J129" s="6"/>
    </x:row>
    <x:row r="130" ht="28" customHeight="1">
      <x:c r="A130" s="2" t="str">
        <x:v>RQ1_结果</x:v>
      </x:c>
      <x:c r="B130" s="2" t="str">
        <x:v>一个评价中的模型/方法—基线—指标结果组合</x:v>
      </x:c>
      <x:c r="C130" s="2" t="str">
        <x:v>effect_direction</x:v>
      </x:c>
      <x:c r="D130" s="6" t="str">
        <x:v>效果方向</x:v>
      </x:c>
      <x:c r="E130" s="6" t="str">
        <x:v>相对基线更好、相当、更差、混合或未比较。</x:v>
      </x:c>
      <x:c r="F130" s="2" t="str">
        <x:v>条件必填</x:v>
      </x:c>
      <x:c r="G130" s="2" t="str">
        <x:v>Better | Comparable | Worse | Mixed | Not compared | Unclear</x:v>
      </x:c>
      <x:c r="H130" s="6" t="str">
        <x:v>按字段定义提供</x:v>
      </x:c>
      <x:c r="I130" s="6" t="str">
        <x:v>使用 NR / NA / Unclear / No，不留空</x:v>
      </x:c>
      <x:c r="J130" s="6"/>
    </x:row>
    <x:row r="131" ht="28" customHeight="1">
      <x:c r="A131" s="2" t="str">
        <x:v>RQ1_结果</x:v>
      </x:c>
      <x:c r="B131" s="2" t="str">
        <x:v>一个评价中的模型/方法—基线—指标结果组合</x:v>
      </x:c>
      <x:c r="C131" s="2" t="str">
        <x:v>statistical_significance</x:v>
      </x:c>
      <x:c r="D131" s="6" t="str">
        <x:v>统计显著性</x:v>
      </x:c>
      <x:c r="E131" s="6" t="str">
        <x:v>显著、不显著、未检验或不适用。</x:v>
      </x:c>
      <x:c r="F131" s="2" t="str">
        <x:v>条件必填</x:v>
      </x:c>
      <x:c r="G131" s="2" t="str">
        <x:v>Significant | Not significant | Not tested | Unclear | NA</x:v>
      </x:c>
      <x:c r="H131" s="6" t="str">
        <x:v>按字段定义提供</x:v>
      </x:c>
      <x:c r="I131" s="6" t="str">
        <x:v>使用 NR / NA / Unclear / No，不留空</x:v>
      </x:c>
      <x:c r="J131" s="6"/>
    </x:row>
    <x:row r="132" ht="23" customHeight="1">
      <x:c r="A132" s="2" t="str">
        <x:v>RQ1_结果</x:v>
      </x:c>
      <x:c r="B132" s="2" t="str">
        <x:v>一个评价中的模型/方法—基线—指标结果组合</x:v>
      </x:c>
      <x:c r="C132" s="2" t="str">
        <x:v>practical_significance</x:v>
      </x:c>
      <x:c r="D132" s="6" t="str">
        <x:v>实践意义</x:v>
      </x:c>
      <x:c r="E132" s="6" t="str">
        <x:v>来源是否讨论实际幅度或工程意义。</x:v>
      </x:c>
      <x:c r="F132" s="2" t="str">
        <x:v>条件必填</x:v>
      </x:c>
      <x:c r="G132" s="2" t="str">
        <x:v>自由文本</x:v>
      </x:c>
      <x:c r="H132" s="6" t="str">
        <x:v>按字段定义提供</x:v>
      </x:c>
      <x:c r="I132" s="6" t="str">
        <x:v>使用 NR / NA / Unclear / No，不留空</x:v>
      </x:c>
      <x:c r="J132" s="6"/>
    </x:row>
    <x:row r="133" ht="23" customHeight="1">
      <x:c r="A133" s="2" t="str">
        <x:v>RQ1_结果</x:v>
      </x:c>
      <x:c r="B133" s="2" t="str">
        <x:v>一个评价中的模型/方法—基线—指标结果组合</x:v>
      </x:c>
      <x:c r="C133" s="2" t="str">
        <x:v>cost_result</x:v>
      </x:c>
      <x:c r="D133" s="6" t="str">
        <x:v>成本结果</x:v>
      </x:c>
      <x:c r="E133" s="6" t="str">
        <x:v>API费用、计算资源等量化或定性结果。</x:v>
      </x:c>
      <x:c r="F133" s="2" t="str">
        <x:v>条件必填</x:v>
      </x:c>
      <x:c r="G133" s="2" t="str">
        <x:v>自由文本</x:v>
      </x:c>
      <x:c r="H133" s="6" t="str">
        <x:v>按字段定义提供</x:v>
      </x:c>
      <x:c r="I133" s="6" t="str">
        <x:v>使用 NR / NA / Unclear / No，不留空</x:v>
      </x:c>
      <x:c r="J133" s="6"/>
    </x:row>
    <x:row r="134" ht="23" customHeight="1">
      <x:c r="A134" s="2" t="str">
        <x:v>RQ1_结果</x:v>
      </x:c>
      <x:c r="B134" s="2" t="str">
        <x:v>一个评价中的模型/方法—基线—指标结果组合</x:v>
      </x:c>
      <x:c r="C134" s="2" t="str">
        <x:v>time_result</x:v>
      </x:c>
      <x:c r="D134" s="6" t="str">
        <x:v>时间结果</x:v>
      </x:c>
      <x:c r="E134" s="6" t="str">
        <x:v>延迟、执行时间或人工节省。</x:v>
      </x:c>
      <x:c r="F134" s="2" t="str">
        <x:v>条件必填</x:v>
      </x:c>
      <x:c r="G134" s="2" t="str">
        <x:v>自由文本</x:v>
      </x:c>
      <x:c r="H134" s="6" t="str">
        <x:v>按字段定义提供</x:v>
      </x:c>
      <x:c r="I134" s="6" t="str">
        <x:v>使用 NR / NA / Unclear / No，不留空</x:v>
      </x:c>
      <x:c r="J134" s="6"/>
    </x:row>
    <x:row r="135" ht="23" customHeight="1">
      <x:c r="A135" s="2" t="str">
        <x:v>RQ1_结果</x:v>
      </x:c>
      <x:c r="B135" s="2" t="str">
        <x:v>一个评价中的模型/方法—基线—指标结果组合</x:v>
      </x:c>
      <x:c r="C135" s="2" t="str">
        <x:v>failure_case</x:v>
      </x:c>
      <x:c r="D135" s="6" t="str">
        <x:v>失败案例</x:v>
      </x:c>
      <x:c r="E135" s="6" t="str">
        <x:v>与该结果直接相关的错误或失败情形。</x:v>
      </x:c>
      <x:c r="F135" s="2" t="str">
        <x:v>条件必填</x:v>
      </x:c>
      <x:c r="G135" s="2" t="str">
        <x:v>自由文本</x:v>
      </x:c>
      <x:c r="H135" s="6" t="str">
        <x:v>按字段定义提供</x:v>
      </x:c>
      <x:c r="I135" s="6" t="str">
        <x:v>使用 NR / NA / Unclear / No，不留空</x:v>
      </x:c>
      <x:c r="J135" s="6"/>
    </x:row>
    <x:row r="136" ht="23" customHeight="1">
      <x:c r="A136" s="2" t="str">
        <x:v>RQ1_结果</x:v>
      </x:c>
      <x:c r="B136" s="2" t="str">
        <x:v>一个评价中的模型/方法—基线—指标结果组合</x:v>
      </x:c>
      <x:c r="C136" s="2" t="str">
        <x:v>negative_or_null_result</x:v>
      </x:c>
      <x:c r="D136" s="6" t="str">
        <x:v>负面/零结果</x:v>
      </x:c>
      <x:c r="E136" s="6" t="str">
        <x:v>是否为负面、零结果或未达预期结果。</x:v>
      </x:c>
      <x:c r="F136" s="2" t="str">
        <x:v>条件必填</x:v>
      </x:c>
      <x:c r="G136" s="2" t="str">
        <x:v>Yes | No | Unclear | NR | NA</x:v>
      </x:c>
      <x:c r="H136" s="6" t="str">
        <x:v>按字段定义提供</x:v>
      </x:c>
      <x:c r="I136" s="6" t="str">
        <x:v>使用 NR / NA / Unclear / No，不留空</x:v>
      </x:c>
      <x:c r="J136" s="6"/>
    </x:row>
    <x:row r="137" ht="23" customHeight="1">
      <x:c r="A137" s="2" t="str">
        <x:v>RQ1_结果</x:v>
      </x:c>
      <x:c r="B137" s="2" t="str">
        <x:v>一个评价中的模型/方法—基线—指标结果组合</x:v>
      </x:c>
      <x:c r="C137" s="2" t="str">
        <x:v>evidence_location</x:v>
      </x:c>
      <x:c r="D137" s="6" t="str">
        <x:v>证据位置</x:v>
      </x:c>
      <x:c r="E137" s="6" t="str">
        <x:v>页码、章节、表格、图或附录等可复核位置。</x:v>
      </x:c>
      <x:c r="F137" s="2" t="str">
        <x:v>是</x:v>
      </x:c>
      <x:c r="G137" s="2" t="str">
        <x:v>自由文本</x:v>
      </x:c>
      <x:c r="H137" s="6" t="str">
        <x:v>必须可定位</x:v>
      </x:c>
      <x:c r="I137" s="6" t="str">
        <x:v>使用 NR / NA / Unclear / No，不留空</x:v>
      </x:c>
      <x:c r="J137" s="6"/>
    </x:row>
    <x:row r="138" ht="23" customHeight="1">
      <x:c r="A138" s="2" t="str">
        <x:v>RQ1_结果</x:v>
      </x:c>
      <x:c r="B138" s="2" t="str">
        <x:v>一个评价中的模型/方法—基线—指标结果组合</x:v>
      </x:c>
      <x:c r="C138" s="2" t="str">
        <x:v>evidence_verbatim</x:v>
      </x:c>
      <x:c r="D138" s="6" t="str">
        <x:v>原文证据</x:v>
      </x:c>
      <x:c r="E138" s="6" t="str">
        <x:v>支持本条记录的简短原文摘录；不得用综述者概括代替。</x:v>
      </x:c>
      <x:c r="F138" s="2" t="str">
        <x:v>是</x:v>
      </x:c>
      <x:c r="G138" s="2" t="str">
        <x:v>自由文本</x:v>
      </x:c>
      <x:c r="H138" s="6" t="str">
        <x:v>必须保留原文</x:v>
      </x:c>
      <x:c r="I138" s="6" t="str">
        <x:v>使用 NR / NA / Unclear / No，不留空</x:v>
      </x:c>
      <x:c r="J138" s="6"/>
    </x:row>
    <x:row r="139" ht="23" customHeight="1">
      <x:c r="A139" s="2" t="str">
        <x:v>RQ1_结果</x:v>
      </x:c>
      <x:c r="B139" s="2" t="str">
        <x:v>一个评价中的模型/方法—基线—指标结果组合</x:v>
      </x:c>
      <x:c r="C139" s="2" t="str">
        <x:v>reviewer_interpretation</x:v>
      </x:c>
      <x:c r="D139" s="6" t="str">
        <x:v>评审者解释</x:v>
      </x:c>
      <x:c r="E139" s="6" t="str">
        <x:v>对原文含义及编码理由的简洁解释，与原文证据分开保存。</x:v>
      </x:c>
      <x:c r="F139" s="2" t="str">
        <x:v>条件必填</x:v>
      </x:c>
      <x:c r="G139" s="2" t="str">
        <x:v>自由文本</x:v>
      </x:c>
      <x:c r="H139" s="6" t="str">
        <x:v>按字段定义提供</x:v>
      </x:c>
      <x:c r="I139" s="6" t="str">
        <x:v>使用 NR / NA / Unclear / No，不留空</x:v>
      </x:c>
      <x:c r="J139" s="6"/>
    </x:row>
    <x:row r="140" ht="28" customHeight="1">
      <x:c r="A140" s="2" t="str">
        <x:v>RQ1_结果</x:v>
      </x:c>
      <x:c r="B140" s="2" t="str">
        <x:v>一个评价中的模型/方法—基线—指标结果组合</x:v>
      </x:c>
      <x:c r="C140" s="2" t="str">
        <x:v>record_status</x:v>
      </x:c>
      <x:c r="D140" s="6" t="str">
        <x:v>记录状态</x:v>
      </x:c>
      <x:c r="E140" s="6" t="str">
        <x:v>记录是否已接受、修订、拒绝或形成共识。</x:v>
      </x:c>
      <x:c r="F140" s="2" t="str">
        <x:v>是</x:v>
      </x:c>
      <x:c r="G140" s="2" t="str">
        <x:v>Unreviewed | Accepted | Revised | Rejected | Consensus</x:v>
      </x:c>
      <x:c r="H140" s="6" t="str">
        <x:v>按字段定义提供</x:v>
      </x:c>
      <x:c r="I140" s="6" t="str">
        <x:v>使用 NR / NA / Unclear / No，不留空</x:v>
      </x:c>
      <x:c r="J140" s="6"/>
    </x:row>
    <x:row r="141" ht="23" customHeight="1">
      <x:c r="A141" s="2" t="str">
        <x:v>RQ1_结果</x:v>
      </x:c>
      <x:c r="B141" s="2" t="str">
        <x:v>一个评价中的模型/方法—基线—指标结果组合</x:v>
      </x:c>
      <x:c r="C141" s="2" t="str">
        <x:v>notes</x:v>
      </x:c>
      <x:c r="D141" s="6" t="str">
        <x:v>备注</x:v>
      </x:c>
      <x:c r="E141" s="6" t="str">
        <x:v>边界情况、冲突、待核查内容或其他说明。</x:v>
      </x:c>
      <x:c r="F141" s="2" t="str">
        <x:v>否</x:v>
      </x:c>
      <x:c r="G141" s="2" t="str">
        <x:v>自由文本</x:v>
      </x:c>
      <x:c r="H141" s="6" t="str">
        <x:v>按字段定义提供</x:v>
      </x:c>
      <x:c r="I141" s="6" t="str">
        <x:v>可留空</x:v>
      </x:c>
      <x:c r="J141" s="6"/>
    </x:row>
    <x:row r="142" ht="23" customHeight="1">
      <x:c r="A142" s="2" t="str">
        <x:v>RQ3_LLM角色</x:v>
      </x:c>
      <x:c r="B142" s="2" t="str">
        <x:v>一次可区分的LLM输入—操作—输出及其工作流位置</x:v>
      </x:c>
      <x:c r="C142" s="2" t="str">
        <x:v>record_id</x:v>
      </x:c>
      <x:c r="D142" s="6" t="str">
        <x:v>记录ID</x:v>
      </x:c>
      <x:c r="E142" s="6" t="str">
        <x:v>当前表中该条记录的稳定唯一ID。</x:v>
      </x:c>
      <x:c r="F142" s="2" t="str">
        <x:v>是</x:v>
      </x:c>
      <x:c r="G142" s="2" t="str">
        <x:v>自由文本</x:v>
      </x:c>
      <x:c r="H142" s="6" t="str">
        <x:v>按字段定义提供</x:v>
      </x:c>
      <x:c r="I142" s="6" t="str">
        <x:v>使用 NR / NA / Unclear / No，不留空</x:v>
      </x:c>
      <x:c r="J142" s="6" t="str">
        <x:v>建议格式：S001-C01、S001-T01等。</x:v>
      </x:c>
    </x:row>
    <x:row r="143" ht="23" customHeight="1">
      <x:c r="A143" s="2" t="str">
        <x:v>RQ3_LLM角色</x:v>
      </x:c>
      <x:c r="B143" s="2" t="str">
        <x:v>一次可区分的LLM输入—操作—输出及其工作流位置</x:v>
      </x:c>
      <x:c r="C143" s="2" t="str">
        <x:v>study_id</x:v>
      </x:c>
      <x:c r="D143" s="6" t="str">
        <x:v>研究ID</x:v>
      </x:c>
      <x:c r="E143" s="6" t="str">
        <x:v>连接研究索引与所有抽取表的稳定研究标识。</x:v>
      </x:c>
      <x:c r="F143" s="2" t="str">
        <x:v>是</x:v>
      </x:c>
      <x:c r="G143" s="2" t="str">
        <x:v>study_id</x:v>
      </x:c>
      <x:c r="H143" s="6" t="str">
        <x:v>按字段定义提供</x:v>
      </x:c>
      <x:c r="I143" s="6" t="str">
        <x:v>使用 NR / NA / Unclear / No，不留空</x:v>
      </x:c>
      <x:c r="J143" s="6" t="str">
        <x:v>建议格式：S001。</x:v>
      </x:c>
    </x:row>
    <x:row r="144" ht="23" customHeight="1">
      <x:c r="A144" s="2" t="str">
        <x:v>RQ3_LLM角色</x:v>
      </x:c>
      <x:c r="B144" s="2" t="str">
        <x:v>一次可区分的LLM输入—操作—输出及其工作流位置</x:v>
      </x:c>
      <x:c r="C144" s="2" t="str">
        <x:v>version_id</x:v>
      </x:c>
      <x:c r="D144" s="6" t="str">
        <x:v>版本ID</x:v>
      </x:c>
      <x:c r="E144" s="6" t="str">
        <x:v>本次抽取所依据的具体论文版本标识。</x:v>
      </x:c>
      <x:c r="F144" s="2" t="str">
        <x:v>是</x:v>
      </x:c>
      <x:c r="G144" s="2" t="str">
        <x:v>version_id</x:v>
      </x:c>
      <x:c r="H144" s="6" t="str">
        <x:v>按字段定义提供</x:v>
      </x:c>
      <x:c r="I144" s="6" t="str">
        <x:v>使用 NR / NA / Unclear / No，不留空</x:v>
      </x:c>
      <x:c r="J144" s="6" t="str">
        <x:v>同一study family不同版本不得混写。</x:v>
      </x:c>
    </x:row>
    <x:row r="145" ht="23" customHeight="1">
      <x:c r="A145" s="2" t="str">
        <x:v>RQ3_LLM角色</x:v>
      </x:c>
      <x:c r="B145" s="2" t="str">
        <x:v>一次可区分的LLM输入—操作—输出及其工作流位置</x:v>
      </x:c>
      <x:c r="C145" s="2" t="str">
        <x:v>review_stage</x:v>
      </x:c>
      <x:c r="D145" s="6" t="str">
        <x:v>记录阶段</x:v>
      </x:c>
      <x:c r="E145" s="6" t="str">
        <x:v>区分两名独立评审者、共识与仲裁记录。</x:v>
      </x:c>
      <x:c r="F145" s="2" t="str">
        <x:v>是</x:v>
      </x:c>
      <x:c r="G145" s="2" t="str">
        <x:v>Reviewer_A | Reviewer_B | Consensus | Arbitration</x:v>
      </x:c>
      <x:c r="H145" s="6" t="str">
        <x:v>按字段定义提供</x:v>
      </x:c>
      <x:c r="I145" s="6" t="str">
        <x:v>使用 NR / NA / Unclear / No，不留空</x:v>
      </x:c>
      <x:c r="J145" s="6"/>
    </x:row>
    <x:row r="146" ht="23" customHeight="1">
      <x:c r="A146" s="2" t="str">
        <x:v>RQ3_LLM角色</x:v>
      </x:c>
      <x:c r="B146" s="2" t="str">
        <x:v>一次可区分的LLM输入—操作—输出及其工作流位置</x:v>
      </x:c>
      <x:c r="C146" s="2" t="str">
        <x:v>reviewer_id</x:v>
      </x:c>
      <x:c r="D146" s="6" t="str">
        <x:v>评审者ID</x:v>
      </x:c>
      <x:c r="E146" s="6" t="str">
        <x:v>完成该条记录的评审者或共识组标识。</x:v>
      </x:c>
      <x:c r="F146" s="2" t="str">
        <x:v>是</x:v>
      </x:c>
      <x:c r="G146" s="2" t="str">
        <x:v>自由文本</x:v>
      </x:c>
      <x:c r="H146" s="6" t="str">
        <x:v>按字段定义提供</x:v>
      </x:c>
      <x:c r="I146" s="6" t="str">
        <x:v>使用 NR / NA / Unclear / No，不留空</x:v>
      </x:c>
      <x:c r="J146" s="6"/>
    </x:row>
    <x:row r="147" ht="23" customHeight="1">
      <x:c r="A147" s="2" t="str">
        <x:v>RQ3_LLM角色</x:v>
      </x:c>
      <x:c r="B147" s="2" t="str">
        <x:v>一次可区分的LLM输入—操作—输出及其工作流位置</x:v>
      </x:c>
      <x:c r="C147" s="2" t="str">
        <x:v>operation_id</x:v>
      </x:c>
      <x:c r="D147" s="6" t="str">
        <x:v>操作ID</x:v>
      </x:c>
      <x:c r="E147" s="6" t="str">
        <x:v>连接RQ4模型配置的LLM操作标识。</x:v>
      </x:c>
      <x:c r="F147" s="2" t="str">
        <x:v>是</x:v>
      </x:c>
      <x:c r="G147" s="2" t="str">
        <x:v>自由文本</x:v>
      </x:c>
      <x:c r="H147" s="6" t="str">
        <x:v>按字段定义提供</x:v>
      </x:c>
      <x:c r="I147" s="6" t="str">
        <x:v>使用 NR / NA / Unclear / No，不留空</x:v>
      </x:c>
      <x:c r="J147" s="6"/>
    </x:row>
    <x:row r="148" ht="23" customHeight="1">
      <x:c r="A148" s="2" t="str">
        <x:v>RQ3_LLM角色</x:v>
      </x:c>
      <x:c r="B148" s="2" t="str">
        <x:v>一次可区分的LLM输入—操作—输出及其工作流位置</x:v>
      </x:c>
      <x:c r="C148" s="2" t="str">
        <x:v>task_id</x:v>
      </x:c>
      <x:c r="D148" s="6" t="str">
        <x:v>任务ID</x:v>
      </x:c>
      <x:c r="E148" s="6" t="str">
        <x:v>该操作支持的ST任务。</x:v>
      </x:c>
      <x:c r="F148" s="2" t="str">
        <x:v>是</x:v>
      </x:c>
      <x:c r="G148" s="2" t="str">
        <x:v>自由文本</x:v>
      </x:c>
      <x:c r="H148" s="6" t="str">
        <x:v>按字段定义提供</x:v>
      </x:c>
      <x:c r="I148" s="6" t="str">
        <x:v>使用 NR / NA / Unclear / No，不留空</x:v>
      </x:c>
      <x:c r="J148" s="6"/>
    </x:row>
    <x:row r="149" ht="23" customHeight="1">
      <x:c r="A149" s="2" t="str">
        <x:v>RQ3_LLM角色</x:v>
      </x:c>
      <x:c r="B149" s="2" t="str">
        <x:v>一次可区分的LLM输入—操作—输出及其工作流位置</x:v>
      </x:c>
      <x:c r="C149" s="2" t="str">
        <x:v>role_name_in_paper</x:v>
      </x:c>
      <x:c r="D149" s="6" t="str">
        <x:v>来源角色名称</x:v>
      </x:c>
      <x:c r="E149" s="6" t="str">
        <x:v>论文对该功能或模块的原始称呼。</x:v>
      </x:c>
      <x:c r="F149" s="2" t="str">
        <x:v>是</x:v>
      </x:c>
      <x:c r="G149" s="2" t="str">
        <x:v>自由文本</x:v>
      </x:c>
      <x:c r="H149" s="6" t="str">
        <x:v>按字段定义提供</x:v>
      </x:c>
      <x:c r="I149" s="6" t="str">
        <x:v>使用 NR / NA / Unclear / No，不留空</x:v>
      </x:c>
      <x:c r="J149" s="6"/>
    </x:row>
    <x:row r="150" ht="23" customHeight="1">
      <x:c r="A150" s="2" t="str">
        <x:v>RQ3_LLM角色</x:v>
      </x:c>
      <x:c r="B150" s="2" t="str">
        <x:v>一次可区分的LLM输入—操作—输出及其工作流位置</x:v>
      </x:c>
      <x:c r="C150" s="2" t="str">
        <x:v>llm_input</x:v>
      </x:c>
      <x:c r="D150" s="6" t="str">
        <x:v>LLM输入</x:v>
      </x:c>
      <x:c r="E150" s="6" t="str">
        <x:v>直接送入LLM的制品、候选、上下文或反馈。</x:v>
      </x:c>
      <x:c r="F150" s="2" t="str">
        <x:v>是</x:v>
      </x:c>
      <x:c r="G150" s="2" t="str">
        <x:v>自由文本</x:v>
      </x:c>
      <x:c r="H150" s="6" t="str">
        <x:v>按字段定义提供</x:v>
      </x:c>
      <x:c r="I150" s="6" t="str">
        <x:v>使用 NR / NA / Unclear / No，不留空</x:v>
      </x:c>
      <x:c r="J150" s="6"/>
    </x:row>
    <x:row r="151" ht="23" customHeight="1">
      <x:c r="A151" s="2" t="str">
        <x:v>RQ3_LLM角色</x:v>
      </x:c>
      <x:c r="B151" s="2" t="str">
        <x:v>一次可区分的LLM输入—操作—输出及其工作流位置</x:v>
      </x:c>
      <x:c r="C151" s="2" t="str">
        <x:v>llm_operation</x:v>
      </x:c>
      <x:c r="D151" s="6" t="str">
        <x:v>LLM操作</x:v>
      </x:c>
      <x:c r="E151" s="6" t="str">
        <x:v>LLM实际执行的动作，不用角色标签代替。</x:v>
      </x:c>
      <x:c r="F151" s="2" t="str">
        <x:v>是</x:v>
      </x:c>
      <x:c r="G151" s="2" t="str">
        <x:v>自由文本</x:v>
      </x:c>
      <x:c r="H151" s="6" t="str">
        <x:v>按字段定义提供</x:v>
      </x:c>
      <x:c r="I151" s="6" t="str">
        <x:v>使用 NR / NA / Unclear / No，不留空</x:v>
      </x:c>
      <x:c r="J151" s="6"/>
    </x:row>
    <x:row r="152" ht="23" customHeight="1">
      <x:c r="A152" s="2" t="str">
        <x:v>RQ3_LLM角色</x:v>
      </x:c>
      <x:c r="B152" s="2" t="str">
        <x:v>一次可区分的LLM输入—操作—输出及其工作流位置</x:v>
      </x:c>
      <x:c r="C152" s="2" t="str">
        <x:v>llm_output</x:v>
      </x:c>
      <x:c r="D152" s="6" t="str">
        <x:v>LLM输出</x:v>
      </x:c>
      <x:c r="E152" s="6" t="str">
        <x:v>LLM产生的链接判断、摘要、解释、制品或中间表示。</x:v>
      </x:c>
      <x:c r="F152" s="2" t="str">
        <x:v>是</x:v>
      </x:c>
      <x:c r="G152" s="2" t="str">
        <x:v>自由文本</x:v>
      </x:c>
      <x:c r="H152" s="6" t="str">
        <x:v>按字段定义提供</x:v>
      </x:c>
      <x:c r="I152" s="6" t="str">
        <x:v>使用 NR / NA / Unclear / No，不留空</x:v>
      </x:c>
      <x:c r="J152" s="6"/>
    </x:row>
    <x:row r="153" ht="56" customHeight="1">
      <x:c r="A153" s="2" t="str">
        <x:v>RQ3_LLM角色</x:v>
      </x:c>
      <x:c r="B153" s="2" t="str">
        <x:v>一次可区分的LLM输入—操作—输出及其工作流位置</x:v>
      </x:c>
      <x:c r="C153" s="2" t="str">
        <x:v>workflow_stage</x:v>
      </x:c>
      <x:c r="D153" s="6" t="str">
        <x:v>工作流阶段</x:v>
      </x:c>
      <x:c r="E153" s="6" t="str">
        <x:v>该操作在LLM4ST工作流中的位置。</x:v>
      </x:c>
      <x:c r="F153" s="2" t="str">
        <x:v>是</x:v>
      </x:c>
      <x:c r="G153" s="2" t="str">
        <x:v>1 Artifact acquisition and scoping | 2 Semantic contextualization | 3 Traceability inference | 4 Validation and explanation | 5 Evolution and embedding | End-to-end | Other | Unclear</x:v>
      </x:c>
      <x:c r="H153" s="6" t="str">
        <x:v>按字段定义提供</x:v>
      </x:c>
      <x:c r="I153" s="6" t="str">
        <x:v>使用 NR / NA / Unclear / No，不留空</x:v>
      </x:c>
      <x:c r="J153" s="6"/>
    </x:row>
    <x:row r="154" ht="23" customHeight="1">
      <x:c r="A154" s="2" t="str">
        <x:v>RQ3_LLM角色</x:v>
      </x:c>
      <x:c r="B154" s="2" t="str">
        <x:v>一次可区分的LLM输入—操作—输出及其工作流位置</x:v>
      </x:c>
      <x:c r="C154" s="2" t="str">
        <x:v>role_open_code</x:v>
      </x:c>
      <x:c r="D154" s="6" t="str">
        <x:v>角色开放码</x:v>
      </x:c>
      <x:c r="E154" s="6" t="str">
        <x:v>依据输入—操作—输出形成的初始功能码。</x:v>
      </x:c>
      <x:c r="F154" s="2" t="str">
        <x:v>是</x:v>
      </x:c>
      <x:c r="G154" s="2" t="str">
        <x:v>自由文本</x:v>
      </x:c>
      <x:c r="H154" s="6" t="str">
        <x:v>按字段定义提供</x:v>
      </x:c>
      <x:c r="I154" s="6" t="str">
        <x:v>使用 NR / NA / Unclear / No，不留空</x:v>
      </x:c>
      <x:c r="J154" s="6"/>
    </x:row>
    <x:row r="155" ht="56" customHeight="1">
      <x:c r="A155" s="2" t="str">
        <x:v>RQ3_LLM角色</x:v>
      </x:c>
      <x:c r="B155" s="2" t="str">
        <x:v>一次可区分的LLM输入—操作—输出及其工作流位置</x:v>
      </x:c>
      <x:c r="C155" s="2" t="str">
        <x:v>role_candidate</x:v>
      </x:c>
      <x:c r="D155" s="6" t="str">
        <x:v>既有角色候选</x:v>
      </x:c>
      <x:c r="E155" s="6" t="str">
        <x:v>试编码后映射到R1-R5、新候选或Unclear。</x:v>
      </x:c>
      <x:c r="F155" s="2" t="str">
        <x:v>是</x:v>
      </x:c>
      <x:c r="G155" s="2" t="str">
        <x:v>R1 Artifact Feature Extractor | R2 Artifact Information Enhancer | R3 Trace Inferencer | R4 Link Verification Evaluator | R5 Link Information Embedder | New candidate | Unclear</x:v>
      </x:c>
      <x:c r="H155" s="6" t="str">
        <x:v>按字段定义提供</x:v>
      </x:c>
      <x:c r="I155" s="6" t="str">
        <x:v>使用 NR / NA / Unclear / No，不留空</x:v>
      </x:c>
      <x:c r="J155" s="6"/>
    </x:row>
    <x:row r="156" ht="23" customHeight="1">
      <x:c r="A156" s="2" t="str">
        <x:v>RQ3_LLM角色</x:v>
      </x:c>
      <x:c r="B156" s="2" t="str">
        <x:v>一次可区分的LLM输入—操作—输出及其工作流位置</x:v>
      </x:c>
      <x:c r="C156" s="2" t="str">
        <x:v>new_role_candidate</x:v>
      </x:c>
      <x:c r="D156" s="6" t="str">
        <x:v>新角色候选</x:v>
      </x:c>
      <x:c r="E156" s="6" t="str">
        <x:v>既有五类不能覆盖时给出新候选名称和理由。</x:v>
      </x:c>
      <x:c r="F156" s="2" t="str">
        <x:v>条件必填</x:v>
      </x:c>
      <x:c r="G156" s="2" t="str">
        <x:v>自由文本</x:v>
      </x:c>
      <x:c r="H156" s="6" t="str">
        <x:v>按字段定义提供</x:v>
      </x:c>
      <x:c r="I156" s="6" t="str">
        <x:v>使用 NR / NA / Unclear / No，不留空</x:v>
      </x:c>
      <x:c r="J156" s="6"/>
    </x:row>
    <x:row r="157" ht="23" customHeight="1">
      <x:c r="A157" s="2" t="str">
        <x:v>RQ3_LLM角色</x:v>
      </x:c>
      <x:c r="B157" s="2" t="str">
        <x:v>一次可区分的LLM输入—操作—输出及其工作流位置</x:v>
      </x:c>
      <x:c r="C157" s="2" t="str">
        <x:v>role_priority</x:v>
      </x:c>
      <x:c r="D157" s="6" t="str">
        <x:v>主/次角色</x:v>
      </x:c>
      <x:c r="E157" s="6" t="str">
        <x:v>同一操作存在多重功能时标记主次。</x:v>
      </x:c>
      <x:c r="F157" s="2" t="str">
        <x:v>条件必填</x:v>
      </x:c>
      <x:c r="G157" s="2" t="str">
        <x:v>Primary | Secondary | Equal | Unclear</x:v>
      </x:c>
      <x:c r="H157" s="6" t="str">
        <x:v>按字段定义提供</x:v>
      </x:c>
      <x:c r="I157" s="6" t="str">
        <x:v>使用 NR / NA / Unclear / No，不留空</x:v>
      </x:c>
      <x:c r="J157" s="6"/>
    </x:row>
    <x:row r="158" ht="23" customHeight="1">
      <x:c r="A158" s="2" t="str">
        <x:v>RQ3_LLM角色</x:v>
      </x:c>
      <x:c r="B158" s="2" t="str">
        <x:v>一次可区分的LLM输入—操作—输出及其工作流位置</x:v>
      </x:c>
      <x:c r="C158" s="2" t="str">
        <x:v>boundary_case</x:v>
      </x:c>
      <x:c r="D158" s="6" t="str">
        <x:v>边界案例</x:v>
      </x:c>
      <x:c r="E158" s="6" t="str">
        <x:v>说明与相邻角色难以区分的原因。</x:v>
      </x:c>
      <x:c r="F158" s="2" t="str">
        <x:v>条件必填</x:v>
      </x:c>
      <x:c r="G158" s="2" t="str">
        <x:v>自由文本</x:v>
      </x:c>
      <x:c r="H158" s="6" t="str">
        <x:v>按字段定义提供</x:v>
      </x:c>
      <x:c r="I158" s="6" t="str">
        <x:v>使用 NR / NA / Unclear / No，不留空</x:v>
      </x:c>
      <x:c r="J158" s="6"/>
    </x:row>
    <x:row r="159" ht="23" customHeight="1">
      <x:c r="A159" s="2" t="str">
        <x:v>RQ3_LLM角色</x:v>
      </x:c>
      <x:c r="B159" s="2" t="str">
        <x:v>一次可区分的LLM输入—操作—输出及其工作流位置</x:v>
      </x:c>
      <x:c r="C159" s="2" t="str">
        <x:v>coding_rationale</x:v>
      </x:c>
      <x:c r="D159" s="6" t="str">
        <x:v>角色编码理由</x:v>
      </x:c>
      <x:c r="E159" s="6" t="str">
        <x:v>明确说明为何属于该角色及如何避免重复计数。</x:v>
      </x:c>
      <x:c r="F159" s="2" t="str">
        <x:v>是</x:v>
      </x:c>
      <x:c r="G159" s="2" t="str">
        <x:v>自由文本</x:v>
      </x:c>
      <x:c r="H159" s="6" t="str">
        <x:v>按字段定义提供</x:v>
      </x:c>
      <x:c r="I159" s="6" t="str">
        <x:v>使用 NR / NA / Unclear / No，不留空</x:v>
      </x:c>
      <x:c r="J159" s="6"/>
    </x:row>
    <x:row r="160" ht="23" customHeight="1">
      <x:c r="A160" s="2" t="str">
        <x:v>RQ3_LLM角色</x:v>
      </x:c>
      <x:c r="B160" s="2" t="str">
        <x:v>一次可区分的LLM输入—操作—输出及其工作流位置</x:v>
      </x:c>
      <x:c r="C160" s="2" t="str">
        <x:v>evidence_location</x:v>
      </x:c>
      <x:c r="D160" s="6" t="str">
        <x:v>证据位置</x:v>
      </x:c>
      <x:c r="E160" s="6" t="str">
        <x:v>页码、章节、表格、图或附录等可复核位置。</x:v>
      </x:c>
      <x:c r="F160" s="2" t="str">
        <x:v>是</x:v>
      </x:c>
      <x:c r="G160" s="2" t="str">
        <x:v>自由文本</x:v>
      </x:c>
      <x:c r="H160" s="6" t="str">
        <x:v>必须可定位</x:v>
      </x:c>
      <x:c r="I160" s="6" t="str">
        <x:v>使用 NR / NA / Unclear / No，不留空</x:v>
      </x:c>
      <x:c r="J160" s="6"/>
    </x:row>
    <x:row r="161" ht="23" customHeight="1">
      <x:c r="A161" s="2" t="str">
        <x:v>RQ3_LLM角色</x:v>
      </x:c>
      <x:c r="B161" s="2" t="str">
        <x:v>一次可区分的LLM输入—操作—输出及其工作流位置</x:v>
      </x:c>
      <x:c r="C161" s="2" t="str">
        <x:v>evidence_verbatim</x:v>
      </x:c>
      <x:c r="D161" s="6" t="str">
        <x:v>原文证据</x:v>
      </x:c>
      <x:c r="E161" s="6" t="str">
        <x:v>支持本条记录的简短原文摘录；不得用综述者概括代替。</x:v>
      </x:c>
      <x:c r="F161" s="2" t="str">
        <x:v>是</x:v>
      </x:c>
      <x:c r="G161" s="2" t="str">
        <x:v>自由文本</x:v>
      </x:c>
      <x:c r="H161" s="6" t="str">
        <x:v>必须保留原文</x:v>
      </x:c>
      <x:c r="I161" s="6" t="str">
        <x:v>使用 NR / NA / Unclear / No，不留空</x:v>
      </x:c>
      <x:c r="J161" s="6"/>
    </x:row>
    <x:row r="162" ht="23" customHeight="1">
      <x:c r="A162" s="2" t="str">
        <x:v>RQ3_LLM角色</x:v>
      </x:c>
      <x:c r="B162" s="2" t="str">
        <x:v>一次可区分的LLM输入—操作—输出及其工作流位置</x:v>
      </x:c>
      <x:c r="C162" s="2" t="str">
        <x:v>reviewer_interpretation</x:v>
      </x:c>
      <x:c r="D162" s="6" t="str">
        <x:v>评审者解释</x:v>
      </x:c>
      <x:c r="E162" s="6" t="str">
        <x:v>对原文含义及编码理由的简洁解释，与原文证据分开保存。</x:v>
      </x:c>
      <x:c r="F162" s="2" t="str">
        <x:v>条件必填</x:v>
      </x:c>
      <x:c r="G162" s="2" t="str">
        <x:v>自由文本</x:v>
      </x:c>
      <x:c r="H162" s="6" t="str">
        <x:v>按字段定义提供</x:v>
      </x:c>
      <x:c r="I162" s="6" t="str">
        <x:v>使用 NR / NA / Unclear / No，不留空</x:v>
      </x:c>
      <x:c r="J162" s="6"/>
    </x:row>
    <x:row r="163" ht="28" customHeight="1">
      <x:c r="A163" s="2" t="str">
        <x:v>RQ3_LLM角色</x:v>
      </x:c>
      <x:c r="B163" s="2" t="str">
        <x:v>一次可区分的LLM输入—操作—输出及其工作流位置</x:v>
      </x:c>
      <x:c r="C163" s="2" t="str">
        <x:v>record_status</x:v>
      </x:c>
      <x:c r="D163" s="6" t="str">
        <x:v>记录状态</x:v>
      </x:c>
      <x:c r="E163" s="6" t="str">
        <x:v>记录是否已接受、修订、拒绝或形成共识。</x:v>
      </x:c>
      <x:c r="F163" s="2" t="str">
        <x:v>是</x:v>
      </x:c>
      <x:c r="G163" s="2" t="str">
        <x:v>Unreviewed | Accepted | Revised | Rejected | Consensus</x:v>
      </x:c>
      <x:c r="H163" s="6" t="str">
        <x:v>按字段定义提供</x:v>
      </x:c>
      <x:c r="I163" s="6" t="str">
        <x:v>使用 NR / NA / Unclear / No，不留空</x:v>
      </x:c>
      <x:c r="J163" s="6"/>
    </x:row>
    <x:row r="164" ht="23" customHeight="1">
      <x:c r="A164" s="2" t="str">
        <x:v>RQ3_LLM角色</x:v>
      </x:c>
      <x:c r="B164" s="2" t="str">
        <x:v>一次可区分的LLM输入—操作—输出及其工作流位置</x:v>
      </x:c>
      <x:c r="C164" s="2" t="str">
        <x:v>notes</x:v>
      </x:c>
      <x:c r="D164" s="6" t="str">
        <x:v>备注</x:v>
      </x:c>
      <x:c r="E164" s="6" t="str">
        <x:v>边界情况、冲突、待核查内容或其他说明。</x:v>
      </x:c>
      <x:c r="F164" s="2" t="str">
        <x:v>否</x:v>
      </x:c>
      <x:c r="G164" s="2" t="str">
        <x:v>自由文本</x:v>
      </x:c>
      <x:c r="H164" s="6" t="str">
        <x:v>按字段定义提供</x:v>
      </x:c>
      <x:c r="I164" s="6" t="str">
        <x:v>可留空</x:v>
      </x:c>
      <x:c r="J164" s="6"/>
    </x:row>
    <x:row r="165" ht="23" customHeight="1">
      <x:c r="A165" s="2" t="str">
        <x:v>RQ4_模型配置</x:v>
      </x:c>
      <x:c r="B165" s="2" t="str">
        <x:v>一个模型在一个LLM操作中的具体使用/调用配置</x:v>
      </x:c>
      <x:c r="C165" s="2" t="str">
        <x:v>record_id</x:v>
      </x:c>
      <x:c r="D165" s="6" t="str">
        <x:v>记录ID</x:v>
      </x:c>
      <x:c r="E165" s="6" t="str">
        <x:v>当前表中该条记录的稳定唯一ID。</x:v>
      </x:c>
      <x:c r="F165" s="2" t="str">
        <x:v>是</x:v>
      </x:c>
      <x:c r="G165" s="2" t="str">
        <x:v>自由文本</x:v>
      </x:c>
      <x:c r="H165" s="6" t="str">
        <x:v>按字段定义提供</x:v>
      </x:c>
      <x:c r="I165" s="6" t="str">
        <x:v>使用 NR / NA / Unclear / No，不留空</x:v>
      </x:c>
      <x:c r="J165" s="6" t="str">
        <x:v>建议格式：S001-C01、S001-T01等。</x:v>
      </x:c>
    </x:row>
    <x:row r="166" ht="23" customHeight="1">
      <x:c r="A166" s="2" t="str">
        <x:v>RQ4_模型配置</x:v>
      </x:c>
      <x:c r="B166" s="2" t="str">
        <x:v>一个模型在一个LLM操作中的具体使用/调用配置</x:v>
      </x:c>
      <x:c r="C166" s="2" t="str">
        <x:v>study_id</x:v>
      </x:c>
      <x:c r="D166" s="6" t="str">
        <x:v>研究ID</x:v>
      </x:c>
      <x:c r="E166" s="6" t="str">
        <x:v>连接研究索引与所有抽取表的稳定研究标识。</x:v>
      </x:c>
      <x:c r="F166" s="2" t="str">
        <x:v>是</x:v>
      </x:c>
      <x:c r="G166" s="2" t="str">
        <x:v>study_id</x:v>
      </x:c>
      <x:c r="H166" s="6" t="str">
        <x:v>按字段定义提供</x:v>
      </x:c>
      <x:c r="I166" s="6" t="str">
        <x:v>使用 NR / NA / Unclear / No，不留空</x:v>
      </x:c>
      <x:c r="J166" s="6" t="str">
        <x:v>建议格式：S001。</x:v>
      </x:c>
    </x:row>
    <x:row r="167" ht="23" customHeight="1">
      <x:c r="A167" s="2" t="str">
        <x:v>RQ4_模型配置</x:v>
      </x:c>
      <x:c r="B167" s="2" t="str">
        <x:v>一个模型在一个LLM操作中的具体使用/调用配置</x:v>
      </x:c>
      <x:c r="C167" s="2" t="str">
        <x:v>version_id</x:v>
      </x:c>
      <x:c r="D167" s="6" t="str">
        <x:v>版本ID</x:v>
      </x:c>
      <x:c r="E167" s="6" t="str">
        <x:v>本次抽取所依据的具体论文版本标识。</x:v>
      </x:c>
      <x:c r="F167" s="2" t="str">
        <x:v>是</x:v>
      </x:c>
      <x:c r="G167" s="2" t="str">
        <x:v>version_id</x:v>
      </x:c>
      <x:c r="H167" s="6" t="str">
        <x:v>按字段定义提供</x:v>
      </x:c>
      <x:c r="I167" s="6" t="str">
        <x:v>使用 NR / NA / Unclear / No，不留空</x:v>
      </x:c>
      <x:c r="J167" s="6" t="str">
        <x:v>同一study family不同版本不得混写。</x:v>
      </x:c>
    </x:row>
    <x:row r="168" ht="23" customHeight="1">
      <x:c r="A168" s="2" t="str">
        <x:v>RQ4_模型配置</x:v>
      </x:c>
      <x:c r="B168" s="2" t="str">
        <x:v>一个模型在一个LLM操作中的具体使用/调用配置</x:v>
      </x:c>
      <x:c r="C168" s="2" t="str">
        <x:v>review_stage</x:v>
      </x:c>
      <x:c r="D168" s="6" t="str">
        <x:v>记录阶段</x:v>
      </x:c>
      <x:c r="E168" s="6" t="str">
        <x:v>区分两名独立评审者、共识与仲裁记录。</x:v>
      </x:c>
      <x:c r="F168" s="2" t="str">
        <x:v>是</x:v>
      </x:c>
      <x:c r="G168" s="2" t="str">
        <x:v>Reviewer_A | Reviewer_B | Consensus | Arbitration</x:v>
      </x:c>
      <x:c r="H168" s="6" t="str">
        <x:v>按字段定义提供</x:v>
      </x:c>
      <x:c r="I168" s="6" t="str">
        <x:v>使用 NR / NA / Unclear / No，不留空</x:v>
      </x:c>
      <x:c r="J168" s="6"/>
    </x:row>
    <x:row r="169" ht="23" customHeight="1">
      <x:c r="A169" s="2" t="str">
        <x:v>RQ4_模型配置</x:v>
      </x:c>
      <x:c r="B169" s="2" t="str">
        <x:v>一个模型在一个LLM操作中的具体使用/调用配置</x:v>
      </x:c>
      <x:c r="C169" s="2" t="str">
        <x:v>reviewer_id</x:v>
      </x:c>
      <x:c r="D169" s="6" t="str">
        <x:v>评审者ID</x:v>
      </x:c>
      <x:c r="E169" s="6" t="str">
        <x:v>完成该条记录的评审者或共识组标识。</x:v>
      </x:c>
      <x:c r="F169" s="2" t="str">
        <x:v>是</x:v>
      </x:c>
      <x:c r="G169" s="2" t="str">
        <x:v>自由文本</x:v>
      </x:c>
      <x:c r="H169" s="6" t="str">
        <x:v>按字段定义提供</x:v>
      </x:c>
      <x:c r="I169" s="6" t="str">
        <x:v>使用 NR / NA / Unclear / No，不留空</x:v>
      </x:c>
      <x:c r="J169" s="6"/>
    </x:row>
    <x:row r="170" ht="23" customHeight="1">
      <x:c r="A170" s="2" t="str">
        <x:v>RQ4_模型配置</x:v>
      </x:c>
      <x:c r="B170" s="2" t="str">
        <x:v>一个模型在一个LLM操作中的具体使用/调用配置</x:v>
      </x:c>
      <x:c r="C170" s="2" t="str">
        <x:v>model_use_id</x:v>
      </x:c>
      <x:c r="D170" s="6" t="str">
        <x:v>模型使用ID</x:v>
      </x:c>
      <x:c r="E170" s="6" t="str">
        <x:v>连接操作、配置特征和结果的模型使用标识。</x:v>
      </x:c>
      <x:c r="F170" s="2" t="str">
        <x:v>是</x:v>
      </x:c>
      <x:c r="G170" s="2" t="str">
        <x:v>自由文本</x:v>
      </x:c>
      <x:c r="H170" s="6" t="str">
        <x:v>按字段定义提供</x:v>
      </x:c>
      <x:c r="I170" s="6" t="str">
        <x:v>使用 NR / NA / Unclear / No，不留空</x:v>
      </x:c>
      <x:c r="J170" s="6"/>
    </x:row>
    <x:row r="171" ht="23" customHeight="1">
      <x:c r="A171" s="2" t="str">
        <x:v>RQ4_模型配置</x:v>
      </x:c>
      <x:c r="B171" s="2" t="str">
        <x:v>一个模型在一个LLM操作中的具体使用/调用配置</x:v>
      </x:c>
      <x:c r="C171" s="2" t="str">
        <x:v>operation_id</x:v>
      </x:c>
      <x:c r="D171" s="6" t="str">
        <x:v>操作ID</x:v>
      </x:c>
      <x:c r="E171" s="6" t="str">
        <x:v>该模型实现的RQ3操作。</x:v>
      </x:c>
      <x:c r="F171" s="2" t="str">
        <x:v>是</x:v>
      </x:c>
      <x:c r="G171" s="2" t="str">
        <x:v>自由文本</x:v>
      </x:c>
      <x:c r="H171" s="6" t="str">
        <x:v>按字段定义提供</x:v>
      </x:c>
      <x:c r="I171" s="6" t="str">
        <x:v>使用 NR / NA / Unclear / No，不留空</x:v>
      </x:c>
      <x:c r="J171" s="6"/>
    </x:row>
    <x:row r="172" ht="23" customHeight="1">
      <x:c r="A172" s="2" t="str">
        <x:v>RQ4_模型配置</x:v>
      </x:c>
      <x:c r="B172" s="2" t="str">
        <x:v>一个模型在一个LLM操作中的具体使用/调用配置</x:v>
      </x:c>
      <x:c r="C172" s="2" t="str">
        <x:v>task_id</x:v>
      </x:c>
      <x:c r="D172" s="6" t="str">
        <x:v>任务ID</x:v>
      </x:c>
      <x:c r="E172" s="6" t="str">
        <x:v>该模型支持的ST任务。</x:v>
      </x:c>
      <x:c r="F172" s="2" t="str">
        <x:v>是</x:v>
      </x:c>
      <x:c r="G172" s="2" t="str">
        <x:v>自由文本</x:v>
      </x:c>
      <x:c r="H172" s="6" t="str">
        <x:v>按字段定义提供</x:v>
      </x:c>
      <x:c r="I172" s="6" t="str">
        <x:v>使用 NR / NA / Unclear / No，不留空</x:v>
      </x:c>
      <x:c r="J172" s="6"/>
    </x:row>
    <x:row r="173" ht="23" customHeight="1">
      <x:c r="A173" s="2" t="str">
        <x:v>RQ4_模型配置</x:v>
      </x:c>
      <x:c r="B173" s="2" t="str">
        <x:v>一个模型在一个LLM操作中的具体使用/调用配置</x:v>
      </x:c>
      <x:c r="C173" s="2" t="str">
        <x:v>model_name_in_paper</x:v>
      </x:c>
      <x:c r="D173" s="6" t="str">
        <x:v>模型原始名称</x:v>
      </x:c>
      <x:c r="E173" s="6" t="str">
        <x:v>论文中出现的完整模型名称。</x:v>
      </x:c>
      <x:c r="F173" s="2" t="str">
        <x:v>是</x:v>
      </x:c>
      <x:c r="G173" s="2" t="str">
        <x:v>自由文本</x:v>
      </x:c>
      <x:c r="H173" s="6" t="str">
        <x:v>按字段定义提供</x:v>
      </x:c>
      <x:c r="I173" s="6" t="str">
        <x:v>使用 NR / NA / Unclear / No，不留空</x:v>
      </x:c>
      <x:c r="J173" s="6"/>
    </x:row>
    <x:row r="174" ht="23" customHeight="1">
      <x:c r="A174" s="2" t="str">
        <x:v>RQ4_模型配置</x:v>
      </x:c>
      <x:c r="B174" s="2" t="str">
        <x:v>一个模型在一个LLM操作中的具体使用/调用配置</x:v>
      </x:c>
      <x:c r="C174" s="2" t="str">
        <x:v>canonical_model_name</x:v>
      </x:c>
      <x:c r="D174" s="6" t="str">
        <x:v>规范化模型名称</x:v>
      </x:c>
      <x:c r="E174" s="6" t="str">
        <x:v>用于计数和比较的规范化名称。</x:v>
      </x:c>
      <x:c r="F174" s="2" t="str">
        <x:v>是</x:v>
      </x:c>
      <x:c r="G174" s="2" t="str">
        <x:v>自由文本</x:v>
      </x:c>
      <x:c r="H174" s="6" t="str">
        <x:v>按字段定义提供</x:v>
      </x:c>
      <x:c r="I174" s="6" t="str">
        <x:v>使用 NR / NA / Unclear / No，不留空</x:v>
      </x:c>
      <x:c r="J174" s="6"/>
    </x:row>
    <x:row r="175" ht="28" customHeight="1">
      <x:c r="A175" s="2" t="str">
        <x:v>RQ4_模型配置</x:v>
      </x:c>
      <x:c r="B175" s="2" t="str">
        <x:v>一个模型在一个LLM操作中的具体使用/调用配置</x:v>
      </x:c>
      <x:c r="C175" s="2" t="str">
        <x:v>model_family</x:v>
      </x:c>
      <x:c r="D175" s="6" t="str">
        <x:v>模型家族</x:v>
      </x:c>
      <x:c r="E175" s="6" t="str">
        <x:v>GPT、Llama、Claude等。</x:v>
      </x:c>
      <x:c r="F175" s="2" t="str">
        <x:v>是</x:v>
      </x:c>
      <x:c r="G175" s="2" t="str">
        <x:v>GPT | Llama | Claude | Gemini | DeepSeek | Qwen | Mistral | Codex | Copilot | Other | NR | Unclear</x:v>
      </x:c>
      <x:c r="H175" s="6" t="str">
        <x:v>按字段定义提供</x:v>
      </x:c>
      <x:c r="I175" s="6" t="str">
        <x:v>使用 NR / NA / Unclear / No，不留空</x:v>
      </x:c>
      <x:c r="J175" s="6"/>
    </x:row>
    <x:row r="176" ht="23" customHeight="1">
      <x:c r="A176" s="2" t="str">
        <x:v>RQ4_模型配置</x:v>
      </x:c>
      <x:c r="B176" s="2" t="str">
        <x:v>一个模型在一个LLM操作中的具体使用/调用配置</x:v>
      </x:c>
      <x:c r="C176" s="2" t="str">
        <x:v>model_version</x:v>
      </x:c>
      <x:c r="D176" s="6" t="str">
        <x:v>模型版本</x:v>
      </x:c>
      <x:c r="E176" s="6" t="str">
        <x:v>日期化版本、checkpoint或API版本。</x:v>
      </x:c>
      <x:c r="F176" s="2" t="str">
        <x:v>条件必填</x:v>
      </x:c>
      <x:c r="G176" s="2" t="str">
        <x:v>自由文本</x:v>
      </x:c>
      <x:c r="H176" s="6" t="str">
        <x:v>按字段定义提供</x:v>
      </x:c>
      <x:c r="I176" s="6" t="str">
        <x:v>使用 NR / NA / Unclear / No，不留空</x:v>
      </x:c>
      <x:c r="J176" s="6"/>
    </x:row>
    <x:row r="177" ht="23" customHeight="1">
      <x:c r="A177" s="2" t="str">
        <x:v>RQ4_模型配置</x:v>
      </x:c>
      <x:c r="B177" s="2" t="str">
        <x:v>一个模型在一个LLM操作中的具体使用/调用配置</x:v>
      </x:c>
      <x:c r="C177" s="2" t="str">
        <x:v>model_size</x:v>
      </x:c>
      <x:c r="D177" s="6" t="str">
        <x:v>模型规模</x:v>
      </x:c>
      <x:c r="E177" s="6" t="str">
        <x:v>参数规模或模型大小。</x:v>
      </x:c>
      <x:c r="F177" s="2" t="str">
        <x:v>条件必填</x:v>
      </x:c>
      <x:c r="G177" s="2" t="str">
        <x:v>自由文本</x:v>
      </x:c>
      <x:c r="H177" s="6" t="str">
        <x:v>按字段定义提供</x:v>
      </x:c>
      <x:c r="I177" s="6" t="str">
        <x:v>使用 NR / NA / Unclear / No，不留空</x:v>
      </x:c>
      <x:c r="J177" s="6"/>
    </x:row>
    <x:row r="178" ht="23" customHeight="1">
      <x:c r="A178" s="2" t="str">
        <x:v>RQ4_模型配置</x:v>
      </x:c>
      <x:c r="B178" s="2" t="str">
        <x:v>一个模型在一个LLM操作中的具体使用/调用配置</x:v>
      </x:c>
      <x:c r="C178" s="2" t="str">
        <x:v>model_access_date</x:v>
      </x:c>
      <x:c r="D178" s="6" t="str">
        <x:v>模型访问日期</x:v>
      </x:c>
      <x:c r="E178" s="6" t="str">
        <x:v>API模型实际调用日期。</x:v>
      </x:c>
      <x:c r="F178" s="2" t="str">
        <x:v>条件必填</x:v>
      </x:c>
      <x:c r="G178" s="2" t="str">
        <x:v>自由文本</x:v>
      </x:c>
      <x:c r="H178" s="6" t="str">
        <x:v>按字段定义提供</x:v>
      </x:c>
      <x:c r="I178" s="6" t="str">
        <x:v>使用 NR / NA / Unclear / No，不留空</x:v>
      </x:c>
      <x:c r="J178" s="6"/>
    </x:row>
    <x:row r="179" ht="23" customHeight="1">
      <x:c r="A179" s="2" t="str">
        <x:v>RQ4_模型配置</x:v>
      </x:c>
      <x:c r="B179" s="2" t="str">
        <x:v>一个模型在一个LLM操作中的具体使用/调用配置</x:v>
      </x:c>
      <x:c r="C179" s="2" t="str">
        <x:v>open_weight_closed</x:v>
      </x:c>
      <x:c r="D179" s="6" t="str">
        <x:v>开放性</x:v>
      </x:c>
      <x:c r="E179" s="6" t="str">
        <x:v>开放权重、闭源或混合。</x:v>
      </x:c>
      <x:c r="F179" s="2" t="str">
        <x:v>条件必填</x:v>
      </x:c>
      <x:c r="G179" s="2" t="str">
        <x:v>Open weights | Closed | Mixed | NR | Unclear</x:v>
      </x:c>
      <x:c r="H179" s="6" t="str">
        <x:v>按字段定义提供</x:v>
      </x:c>
      <x:c r="I179" s="6" t="str">
        <x:v>使用 NR / NA / Unclear / No，不留空</x:v>
      </x:c>
      <x:c r="J179" s="6"/>
    </x:row>
    <x:row r="180" ht="23" customHeight="1">
      <x:c r="A180" s="2" t="str">
        <x:v>RQ4_模型配置</x:v>
      </x:c>
      <x:c r="B180" s="2" t="str">
        <x:v>一个模型在一个LLM操作中的具体使用/调用配置</x:v>
      </x:c>
      <x:c r="C180" s="2" t="str">
        <x:v>api_local</x:v>
      </x:c>
      <x:c r="D180" s="6" t="str">
        <x:v>调用方式</x:v>
      </x:c>
      <x:c r="E180" s="6" t="str">
        <x:v>API、本地或混合部署。</x:v>
      </x:c>
      <x:c r="F180" s="2" t="str">
        <x:v>条件必填</x:v>
      </x:c>
      <x:c r="G180" s="2" t="str">
        <x:v>API | Local | Hybrid | NR | Unclear</x:v>
      </x:c>
      <x:c r="H180" s="6" t="str">
        <x:v>按字段定义提供</x:v>
      </x:c>
      <x:c r="I180" s="6" t="str">
        <x:v>使用 NR / NA / Unclear / No，不留空</x:v>
      </x:c>
      <x:c r="J180" s="6"/>
    </x:row>
    <x:row r="181" ht="23" customHeight="1">
      <x:c r="A181" s="2" t="str">
        <x:v>RQ4_模型配置</x:v>
      </x:c>
      <x:c r="B181" s="2" t="str">
        <x:v>一个模型在一个LLM操作中的具体使用/调用配置</x:v>
      </x:c>
      <x:c r="C181" s="2" t="str">
        <x:v>temperature</x:v>
      </x:c>
      <x:c r="D181" s="6" t="str">
        <x:v>Temperature</x:v>
      </x:c>
      <x:c r="E181" s="6" t="str">
        <x:v>论文报告的temperature。</x:v>
      </x:c>
      <x:c r="F181" s="2" t="str">
        <x:v>条件必填</x:v>
      </x:c>
      <x:c r="G181" s="2" t="str">
        <x:v>自由文本</x:v>
      </x:c>
      <x:c r="H181" s="6" t="str">
        <x:v>按字段定义提供</x:v>
      </x:c>
      <x:c r="I181" s="6" t="str">
        <x:v>使用 NR / NA / Unclear / No，不留空</x:v>
      </x:c>
      <x:c r="J181" s="6"/>
    </x:row>
    <x:row r="182" ht="23" customHeight="1">
      <x:c r="A182" s="2" t="str">
        <x:v>RQ4_模型配置</x:v>
      </x:c>
      <x:c r="B182" s="2" t="str">
        <x:v>一个模型在一个LLM操作中的具体使用/调用配置</x:v>
      </x:c>
      <x:c r="C182" s="2" t="str">
        <x:v>random_seed</x:v>
      </x:c>
      <x:c r="D182" s="6" t="str">
        <x:v>随机种子</x:v>
      </x:c>
      <x:c r="E182" s="6" t="str">
        <x:v>论文报告的随机种子。</x:v>
      </x:c>
      <x:c r="F182" s="2" t="str">
        <x:v>条件必填</x:v>
      </x:c>
      <x:c r="G182" s="2" t="str">
        <x:v>自由文本</x:v>
      </x:c>
      <x:c r="H182" s="6" t="str">
        <x:v>按字段定义提供</x:v>
      </x:c>
      <x:c r="I182" s="6" t="str">
        <x:v>使用 NR / NA / Unclear / No，不留空</x:v>
      </x:c>
      <x:c r="J182" s="6"/>
    </x:row>
    <x:row r="183" ht="23" customHeight="1">
      <x:c r="A183" s="2" t="str">
        <x:v>RQ4_模型配置</x:v>
      </x:c>
      <x:c r="B183" s="2" t="str">
        <x:v>一个模型在一个LLM操作中的具体使用/调用配置</x:v>
      </x:c>
      <x:c r="C183" s="2" t="str">
        <x:v>repeat_count</x:v>
      </x:c>
      <x:c r="D183" s="6" t="str">
        <x:v>重复次数</x:v>
      </x:c>
      <x:c r="E183" s="6" t="str">
        <x:v>独立重复运行次数。</x:v>
      </x:c>
      <x:c r="F183" s="2" t="str">
        <x:v>条件必填</x:v>
      </x:c>
      <x:c r="G183" s="2" t="str">
        <x:v>自由文本</x:v>
      </x:c>
      <x:c r="H183" s="6" t="str">
        <x:v>按字段定义提供</x:v>
      </x:c>
      <x:c r="I183" s="6" t="str">
        <x:v>使用 NR / NA / Unclear / No，不留空</x:v>
      </x:c>
      <x:c r="J183" s="6"/>
    </x:row>
    <x:row r="184" ht="23" customHeight="1">
      <x:c r="A184" s="2" t="str">
        <x:v>RQ4_模型配置</x:v>
      </x:c>
      <x:c r="B184" s="2" t="str">
        <x:v>一个模型在一个LLM操作中的具体使用/调用配置</x:v>
      </x:c>
      <x:c r="C184" s="2" t="str">
        <x:v>context_window</x:v>
      </x:c>
      <x:c r="D184" s="6" t="str">
        <x:v>上下文窗口</x:v>
      </x:c>
      <x:c r="E184" s="6" t="str">
        <x:v>模型或实验使用的token窗口。</x:v>
      </x:c>
      <x:c r="F184" s="2" t="str">
        <x:v>条件必填</x:v>
      </x:c>
      <x:c r="G184" s="2" t="str">
        <x:v>自由文本</x:v>
      </x:c>
      <x:c r="H184" s="6" t="str">
        <x:v>按字段定义提供</x:v>
      </x:c>
      <x:c r="I184" s="6" t="str">
        <x:v>使用 NR / NA / Unclear / No，不留空</x:v>
      </x:c>
      <x:c r="J184" s="6"/>
    </x:row>
    <x:row r="185" ht="23" customHeight="1">
      <x:c r="A185" s="2" t="str">
        <x:v>RQ4_模型配置</x:v>
      </x:c>
      <x:c r="B185" s="2" t="str">
        <x:v>一个模型在一个LLM操作中的具体使用/调用配置</x:v>
      </x:c>
      <x:c r="C185" s="2" t="str">
        <x:v>deployment_mode</x:v>
      </x:c>
      <x:c r="D185" s="6" t="str">
        <x:v>部署模式</x:v>
      </x:c>
      <x:c r="E185" s="6" t="str">
        <x:v>云端、实验本地、组织内部、生产等。</x:v>
      </x:c>
      <x:c r="F185" s="2" t="str">
        <x:v>条件必填</x:v>
      </x:c>
      <x:c r="G185" s="2" t="str">
        <x:v>自由文本</x:v>
      </x:c>
      <x:c r="H185" s="6" t="str">
        <x:v>按字段定义提供</x:v>
      </x:c>
      <x:c r="I185" s="6" t="str">
        <x:v>使用 NR / NA / Unclear / No，不留空</x:v>
      </x:c>
      <x:c r="J185" s="6"/>
    </x:row>
    <x:row r="186" ht="23" customHeight="1">
      <x:c r="A186" s="2" t="str">
        <x:v>RQ4_模型配置</x:v>
      </x:c>
      <x:c r="B186" s="2" t="str">
        <x:v>一个模型在一个LLM操作中的具体使用/调用配置</x:v>
      </x:c>
      <x:c r="C186" s="2" t="str">
        <x:v>privacy_control</x:v>
      </x:c>
      <x:c r="D186" s="6" t="str">
        <x:v>隐私控制</x:v>
      </x:c>
      <x:c r="E186" s="6" t="str">
        <x:v>脱敏、本地部署、访问控制等。</x:v>
      </x:c>
      <x:c r="F186" s="2" t="str">
        <x:v>条件必填</x:v>
      </x:c>
      <x:c r="G186" s="2" t="str">
        <x:v>自由文本</x:v>
      </x:c>
      <x:c r="H186" s="6" t="str">
        <x:v>按字段定义提供</x:v>
      </x:c>
      <x:c r="I186" s="6" t="str">
        <x:v>使用 NR / NA / Unclear / No，不留空</x:v>
      </x:c>
      <x:c r="J186" s="6"/>
    </x:row>
    <x:row r="187" ht="23" customHeight="1">
      <x:c r="A187" s="2" t="str">
        <x:v>RQ4_模型配置</x:v>
      </x:c>
      <x:c r="B187" s="2" t="str">
        <x:v>一个模型在一个LLM操作中的具体使用/调用配置</x:v>
      </x:c>
      <x:c r="C187" s="2" t="str">
        <x:v>cost_reported</x:v>
      </x:c>
      <x:c r="D187" s="6" t="str">
        <x:v>成本报告</x:v>
      </x:c>
      <x:c r="E187" s="6" t="str">
        <x:v>是否报告费用或资源成本。</x:v>
      </x:c>
      <x:c r="F187" s="2" t="str">
        <x:v>条件必填</x:v>
      </x:c>
      <x:c r="G187" s="2" t="str">
        <x:v>Yes | No | Unclear | NR | NA</x:v>
      </x:c>
      <x:c r="H187" s="6" t="str">
        <x:v>按字段定义提供</x:v>
      </x:c>
      <x:c r="I187" s="6" t="str">
        <x:v>使用 NR / NA / Unclear / No，不留空</x:v>
      </x:c>
      <x:c r="J187" s="6"/>
    </x:row>
    <x:row r="188" ht="23" customHeight="1">
      <x:c r="A188" s="2" t="str">
        <x:v>RQ4_模型配置</x:v>
      </x:c>
      <x:c r="B188" s="2" t="str">
        <x:v>一个模型在一个LLM操作中的具体使用/调用配置</x:v>
      </x:c>
      <x:c r="C188" s="2" t="str">
        <x:v>latency_reported</x:v>
      </x:c>
      <x:c r="D188" s="6" t="str">
        <x:v>延迟报告</x:v>
      </x:c>
      <x:c r="E188" s="6" t="str">
        <x:v>是否报告响应或运行时间。</x:v>
      </x:c>
      <x:c r="F188" s="2" t="str">
        <x:v>条件必填</x:v>
      </x:c>
      <x:c r="G188" s="2" t="str">
        <x:v>Yes | No | Unclear | NR | NA</x:v>
      </x:c>
      <x:c r="H188" s="6" t="str">
        <x:v>按字段定义提供</x:v>
      </x:c>
      <x:c r="I188" s="6" t="str">
        <x:v>使用 NR / NA / Unclear / No，不留空</x:v>
      </x:c>
      <x:c r="J188" s="6"/>
    </x:row>
    <x:row r="189" ht="23" customHeight="1">
      <x:c r="A189" s="2" t="str">
        <x:v>RQ4_模型配置</x:v>
      </x:c>
      <x:c r="B189" s="2" t="str">
        <x:v>一个模型在一个LLM操作中的具体使用/调用配置</x:v>
      </x:c>
      <x:c r="C189" s="2" t="str">
        <x:v>evidence_location</x:v>
      </x:c>
      <x:c r="D189" s="6" t="str">
        <x:v>证据位置</x:v>
      </x:c>
      <x:c r="E189" s="6" t="str">
        <x:v>页码、章节、表格、图或附录等可复核位置。</x:v>
      </x:c>
      <x:c r="F189" s="2" t="str">
        <x:v>是</x:v>
      </x:c>
      <x:c r="G189" s="2" t="str">
        <x:v>自由文本</x:v>
      </x:c>
      <x:c r="H189" s="6" t="str">
        <x:v>必须可定位</x:v>
      </x:c>
      <x:c r="I189" s="6" t="str">
        <x:v>使用 NR / NA / Unclear / No，不留空</x:v>
      </x:c>
      <x:c r="J189" s="6"/>
    </x:row>
    <x:row r="190" ht="23" customHeight="1">
      <x:c r="A190" s="2" t="str">
        <x:v>RQ4_模型配置</x:v>
      </x:c>
      <x:c r="B190" s="2" t="str">
        <x:v>一个模型在一个LLM操作中的具体使用/调用配置</x:v>
      </x:c>
      <x:c r="C190" s="2" t="str">
        <x:v>evidence_verbatim</x:v>
      </x:c>
      <x:c r="D190" s="6" t="str">
        <x:v>原文证据</x:v>
      </x:c>
      <x:c r="E190" s="6" t="str">
        <x:v>支持本条记录的简短原文摘录；不得用综述者概括代替。</x:v>
      </x:c>
      <x:c r="F190" s="2" t="str">
        <x:v>是</x:v>
      </x:c>
      <x:c r="G190" s="2" t="str">
        <x:v>自由文本</x:v>
      </x:c>
      <x:c r="H190" s="6" t="str">
        <x:v>必须保留原文</x:v>
      </x:c>
      <x:c r="I190" s="6" t="str">
        <x:v>使用 NR / NA / Unclear / No，不留空</x:v>
      </x:c>
      <x:c r="J190" s="6"/>
    </x:row>
    <x:row r="191" ht="23" customHeight="1">
      <x:c r="A191" s="2" t="str">
        <x:v>RQ4_模型配置</x:v>
      </x:c>
      <x:c r="B191" s="2" t="str">
        <x:v>一个模型在一个LLM操作中的具体使用/调用配置</x:v>
      </x:c>
      <x:c r="C191" s="2" t="str">
        <x:v>reviewer_interpretation</x:v>
      </x:c>
      <x:c r="D191" s="6" t="str">
        <x:v>评审者解释</x:v>
      </x:c>
      <x:c r="E191" s="6" t="str">
        <x:v>对原文含义及编码理由的简洁解释，与原文证据分开保存。</x:v>
      </x:c>
      <x:c r="F191" s="2" t="str">
        <x:v>条件必填</x:v>
      </x:c>
      <x:c r="G191" s="2" t="str">
        <x:v>自由文本</x:v>
      </x:c>
      <x:c r="H191" s="6" t="str">
        <x:v>按字段定义提供</x:v>
      </x:c>
      <x:c r="I191" s="6" t="str">
        <x:v>使用 NR / NA / Unclear / No，不留空</x:v>
      </x:c>
      <x:c r="J191" s="6"/>
    </x:row>
    <x:row r="192" ht="28" customHeight="1">
      <x:c r="A192" s="2" t="str">
        <x:v>RQ4_模型配置</x:v>
      </x:c>
      <x:c r="B192" s="2" t="str">
        <x:v>一个模型在一个LLM操作中的具体使用/调用配置</x:v>
      </x:c>
      <x:c r="C192" s="2" t="str">
        <x:v>record_status</x:v>
      </x:c>
      <x:c r="D192" s="6" t="str">
        <x:v>记录状态</x:v>
      </x:c>
      <x:c r="E192" s="6" t="str">
        <x:v>记录是否已接受、修订、拒绝或形成共识。</x:v>
      </x:c>
      <x:c r="F192" s="2" t="str">
        <x:v>是</x:v>
      </x:c>
      <x:c r="G192" s="2" t="str">
        <x:v>Unreviewed | Accepted | Revised | Rejected | Consensus</x:v>
      </x:c>
      <x:c r="H192" s="6" t="str">
        <x:v>按字段定义提供</x:v>
      </x:c>
      <x:c r="I192" s="6" t="str">
        <x:v>使用 NR / NA / Unclear / No，不留空</x:v>
      </x:c>
      <x:c r="J192" s="6"/>
    </x:row>
    <x:row r="193" ht="23" customHeight="1">
      <x:c r="A193" s="2" t="str">
        <x:v>RQ4_模型配置</x:v>
      </x:c>
      <x:c r="B193" s="2" t="str">
        <x:v>一个模型在一个LLM操作中的具体使用/调用配置</x:v>
      </x:c>
      <x:c r="C193" s="2" t="str">
        <x:v>notes</x:v>
      </x:c>
      <x:c r="D193" s="6" t="str">
        <x:v>备注</x:v>
      </x:c>
      <x:c r="E193" s="6" t="str">
        <x:v>边界情况、冲突、待核查内容或其他说明。</x:v>
      </x:c>
      <x:c r="F193" s="2" t="str">
        <x:v>否</x:v>
      </x:c>
      <x:c r="G193" s="2" t="str">
        <x:v>自由文本</x:v>
      </x:c>
      <x:c r="H193" s="6" t="str">
        <x:v>按字段定义提供</x:v>
      </x:c>
      <x:c r="I193" s="6" t="str">
        <x:v>可留空</x:v>
      </x:c>
      <x:c r="J193" s="6"/>
    </x:row>
    <x:row r="194" ht="23" customHeight="1">
      <x:c r="A194" s="2" t="str">
        <x:v>RQ4_配置特征</x:v>
      </x:c>
      <x:c r="B194" s="2" t="str">
        <x:v>一个适配、提示、上下文、调用编排或输出约束特征</x:v>
      </x:c>
      <x:c r="C194" s="2" t="str">
        <x:v>record_id</x:v>
      </x:c>
      <x:c r="D194" s="6" t="str">
        <x:v>记录ID</x:v>
      </x:c>
      <x:c r="E194" s="6" t="str">
        <x:v>当前表中该条记录的稳定唯一ID。</x:v>
      </x:c>
      <x:c r="F194" s="2" t="str">
        <x:v>是</x:v>
      </x:c>
      <x:c r="G194" s="2" t="str">
        <x:v>自由文本</x:v>
      </x:c>
      <x:c r="H194" s="6" t="str">
        <x:v>按字段定义提供</x:v>
      </x:c>
      <x:c r="I194" s="6" t="str">
        <x:v>使用 NR / NA / Unclear / No，不留空</x:v>
      </x:c>
      <x:c r="J194" s="6" t="str">
        <x:v>建议格式：S001-C01、S001-T01等。</x:v>
      </x:c>
    </x:row>
    <x:row r="195" ht="23" customHeight="1">
      <x:c r="A195" s="2" t="str">
        <x:v>RQ4_配置特征</x:v>
      </x:c>
      <x:c r="B195" s="2" t="str">
        <x:v>一个适配、提示、上下文、调用编排或输出约束特征</x:v>
      </x:c>
      <x:c r="C195" s="2" t="str">
        <x:v>study_id</x:v>
      </x:c>
      <x:c r="D195" s="6" t="str">
        <x:v>研究ID</x:v>
      </x:c>
      <x:c r="E195" s="6" t="str">
        <x:v>连接研究索引与所有抽取表的稳定研究标识。</x:v>
      </x:c>
      <x:c r="F195" s="2" t="str">
        <x:v>是</x:v>
      </x:c>
      <x:c r="G195" s="2" t="str">
        <x:v>study_id</x:v>
      </x:c>
      <x:c r="H195" s="6" t="str">
        <x:v>按字段定义提供</x:v>
      </x:c>
      <x:c r="I195" s="6" t="str">
        <x:v>使用 NR / NA / Unclear / No，不留空</x:v>
      </x:c>
      <x:c r="J195" s="6" t="str">
        <x:v>建议格式：S001。</x:v>
      </x:c>
    </x:row>
    <x:row r="196" ht="23" customHeight="1">
      <x:c r="A196" s="2" t="str">
        <x:v>RQ4_配置特征</x:v>
      </x:c>
      <x:c r="B196" s="2" t="str">
        <x:v>一个适配、提示、上下文、调用编排或输出约束特征</x:v>
      </x:c>
      <x:c r="C196" s="2" t="str">
        <x:v>version_id</x:v>
      </x:c>
      <x:c r="D196" s="6" t="str">
        <x:v>版本ID</x:v>
      </x:c>
      <x:c r="E196" s="6" t="str">
        <x:v>本次抽取所依据的具体论文版本标识。</x:v>
      </x:c>
      <x:c r="F196" s="2" t="str">
        <x:v>是</x:v>
      </x:c>
      <x:c r="G196" s="2" t="str">
        <x:v>version_id</x:v>
      </x:c>
      <x:c r="H196" s="6" t="str">
        <x:v>按字段定义提供</x:v>
      </x:c>
      <x:c r="I196" s="6" t="str">
        <x:v>使用 NR / NA / Unclear / No，不留空</x:v>
      </x:c>
      <x:c r="J196" s="6" t="str">
        <x:v>同一study family不同版本不得混写。</x:v>
      </x:c>
    </x:row>
    <x:row r="197" ht="23" customHeight="1">
      <x:c r="A197" s="2" t="str">
        <x:v>RQ4_配置特征</x:v>
      </x:c>
      <x:c r="B197" s="2" t="str">
        <x:v>一个适配、提示、上下文、调用编排或输出约束特征</x:v>
      </x:c>
      <x:c r="C197" s="2" t="str">
        <x:v>review_stage</x:v>
      </x:c>
      <x:c r="D197" s="6" t="str">
        <x:v>记录阶段</x:v>
      </x:c>
      <x:c r="E197" s="6" t="str">
        <x:v>区分两名独立评审者、共识与仲裁记录。</x:v>
      </x:c>
      <x:c r="F197" s="2" t="str">
        <x:v>是</x:v>
      </x:c>
      <x:c r="G197" s="2" t="str">
        <x:v>Reviewer_A | Reviewer_B | Consensus | Arbitration</x:v>
      </x:c>
      <x:c r="H197" s="6" t="str">
        <x:v>按字段定义提供</x:v>
      </x:c>
      <x:c r="I197" s="6" t="str">
        <x:v>使用 NR / NA / Unclear / No，不留空</x:v>
      </x:c>
      <x:c r="J197" s="6"/>
    </x:row>
    <x:row r="198" ht="23" customHeight="1">
      <x:c r="A198" s="2" t="str">
        <x:v>RQ4_配置特征</x:v>
      </x:c>
      <x:c r="B198" s="2" t="str">
        <x:v>一个适配、提示、上下文、调用编排或输出约束特征</x:v>
      </x:c>
      <x:c r="C198" s="2" t="str">
        <x:v>reviewer_id</x:v>
      </x:c>
      <x:c r="D198" s="6" t="str">
        <x:v>评审者ID</x:v>
      </x:c>
      <x:c r="E198" s="6" t="str">
        <x:v>完成该条记录的评审者或共识组标识。</x:v>
      </x:c>
      <x:c r="F198" s="2" t="str">
        <x:v>是</x:v>
      </x:c>
      <x:c r="G198" s="2" t="str">
        <x:v>自由文本</x:v>
      </x:c>
      <x:c r="H198" s="6" t="str">
        <x:v>按字段定义提供</x:v>
      </x:c>
      <x:c r="I198" s="6" t="str">
        <x:v>使用 NR / NA / Unclear / No，不留空</x:v>
      </x:c>
      <x:c r="J198" s="6"/>
    </x:row>
    <x:row r="199" ht="23" customHeight="1">
      <x:c r="A199" s="2" t="str">
        <x:v>RQ4_配置特征</x:v>
      </x:c>
      <x:c r="B199" s="2" t="str">
        <x:v>一个适配、提示、上下文、调用编排或输出约束特征</x:v>
      </x:c>
      <x:c r="C199" s="2" t="str">
        <x:v>config_feature_id</x:v>
      </x:c>
      <x:c r="D199" s="6" t="str">
        <x:v>配置特征ID</x:v>
      </x:c>
      <x:c r="E199" s="6" t="str">
        <x:v>单个配置特征的稳定标识。</x:v>
      </x:c>
      <x:c r="F199" s="2" t="str">
        <x:v>是</x:v>
      </x:c>
      <x:c r="G199" s="2" t="str">
        <x:v>自由文本</x:v>
      </x:c>
      <x:c r="H199" s="6" t="str">
        <x:v>按字段定义提供</x:v>
      </x:c>
      <x:c r="I199" s="6" t="str">
        <x:v>使用 NR / NA / Unclear / No，不留空</x:v>
      </x:c>
      <x:c r="J199" s="6"/>
    </x:row>
    <x:row r="200" ht="23" customHeight="1">
      <x:c r="A200" s="2" t="str">
        <x:v>RQ4_配置特征</x:v>
      </x:c>
      <x:c r="B200" s="2" t="str">
        <x:v>一个适配、提示、上下文、调用编排或输出约束特征</x:v>
      </x:c>
      <x:c r="C200" s="2" t="str">
        <x:v>model_use_id</x:v>
      </x:c>
      <x:c r="D200" s="6" t="str">
        <x:v>模型使用ID</x:v>
      </x:c>
      <x:c r="E200" s="6" t="str">
        <x:v>该特征所属的RQ4模型使用记录。</x:v>
      </x:c>
      <x:c r="F200" s="2" t="str">
        <x:v>是</x:v>
      </x:c>
      <x:c r="G200" s="2" t="str">
        <x:v>自由文本</x:v>
      </x:c>
      <x:c r="H200" s="6" t="str">
        <x:v>按字段定义提供</x:v>
      </x:c>
      <x:c r="I200" s="6" t="str">
        <x:v>使用 NR / NA / Unclear / No，不留空</x:v>
      </x:c>
      <x:c r="J200" s="6"/>
    </x:row>
    <x:row r="201" ht="23" customHeight="1">
      <x:c r="A201" s="2" t="str">
        <x:v>RQ4_配置特征</x:v>
      </x:c>
      <x:c r="B201" s="2" t="str">
        <x:v>一个适配、提示、上下文、调用编排或输出约束特征</x:v>
      </x:c>
      <x:c r="C201" s="2" t="str">
        <x:v>operation_id</x:v>
      </x:c>
      <x:c r="D201" s="6" t="str">
        <x:v>操作ID</x:v>
      </x:c>
      <x:c r="E201" s="6" t="str">
        <x:v>该特征支持的RQ3操作。</x:v>
      </x:c>
      <x:c r="F201" s="2" t="str">
        <x:v>是</x:v>
      </x:c>
      <x:c r="G201" s="2" t="str">
        <x:v>自由文本</x:v>
      </x:c>
      <x:c r="H201" s="6" t="str">
        <x:v>按字段定义提供</x:v>
      </x:c>
      <x:c r="I201" s="6" t="str">
        <x:v>使用 NR / NA / Unclear / No，不留空</x:v>
      </x:c>
      <x:c r="J201" s="6"/>
    </x:row>
    <x:row r="202" ht="42" customHeight="1">
      <x:c r="A202" s="2" t="str">
        <x:v>RQ4_配置特征</x:v>
      </x:c>
      <x:c r="B202" s="2" t="str">
        <x:v>一个适配、提示、上下文、调用编排或输出约束特征</x:v>
      </x:c>
      <x:c r="C202" s="2" t="str">
        <x:v>feature_type</x:v>
      </x:c>
      <x:c r="D202" s="6" t="str">
        <x:v>特征类型</x:v>
      </x:c>
      <x:c r="E202" s="6" t="str">
        <x:v>适配、提示、上下文构造、调用编排或输出约束。</x:v>
      </x:c>
      <x:c r="F202" s="2" t="str">
        <x:v>是</x:v>
      </x:c>
      <x:c r="G202" s="2" t="str">
        <x:v>Adaptation | Prompting | Context construction | Calling and orchestration | Output constraint | Other</x:v>
      </x:c>
      <x:c r="H202" s="6" t="str">
        <x:v>按字段定义提供</x:v>
      </x:c>
      <x:c r="I202" s="6" t="str">
        <x:v>使用 NR / NA / Unclear / No，不留空</x:v>
      </x:c>
      <x:c r="J202" s="6"/>
    </x:row>
    <x:row r="203" ht="23" customHeight="1">
      <x:c r="A203" s="2" t="str">
        <x:v>RQ4_配置特征</x:v>
      </x:c>
      <x:c r="B203" s="2" t="str">
        <x:v>一个适配、提示、上下文、调用编排或输出约束特征</x:v>
      </x:c>
      <x:c r="C203" s="2" t="str">
        <x:v>feature_name_in_paper</x:v>
      </x:c>
      <x:c r="D203" s="6" t="str">
        <x:v>来源特征名称</x:v>
      </x:c>
      <x:c r="E203" s="6" t="str">
        <x:v>论文使用的原始术语。</x:v>
      </x:c>
      <x:c r="F203" s="2" t="str">
        <x:v>是</x:v>
      </x:c>
      <x:c r="G203" s="2" t="str">
        <x:v>自由文本</x:v>
      </x:c>
      <x:c r="H203" s="6" t="str">
        <x:v>按字段定义提供</x:v>
      </x:c>
      <x:c r="I203" s="6" t="str">
        <x:v>使用 NR / NA / Unclear / No，不留空</x:v>
      </x:c>
      <x:c r="J203" s="6"/>
    </x:row>
    <x:row r="204" ht="23" customHeight="1">
      <x:c r="A204" s="2" t="str">
        <x:v>RQ4_配置特征</x:v>
      </x:c>
      <x:c r="B204" s="2" t="str">
        <x:v>一个适配、提示、上下文、调用编排或输出约束特征</x:v>
      </x:c>
      <x:c r="C204" s="2" t="str">
        <x:v>feature_code</x:v>
      </x:c>
      <x:c r="D204" s="6" t="str">
        <x:v>规范化特征码</x:v>
      </x:c>
      <x:c r="E204" s="6" t="str">
        <x:v>经编码本规范化后的简短类别。</x:v>
      </x:c>
      <x:c r="F204" s="2" t="str">
        <x:v>是</x:v>
      </x:c>
      <x:c r="G204" s="2" t="str">
        <x:v>自由文本</x:v>
      </x:c>
      <x:c r="H204" s="6" t="str">
        <x:v>按字段定义提供</x:v>
      </x:c>
      <x:c r="I204" s="6" t="str">
        <x:v>使用 NR / NA / Unclear / No，不留空</x:v>
      </x:c>
      <x:c r="J204" s="6"/>
    </x:row>
    <x:row r="205" ht="23" customHeight="1">
      <x:c r="A205" s="2" t="str">
        <x:v>RQ4_配置特征</x:v>
      </x:c>
      <x:c r="B205" s="2" t="str">
        <x:v>一个适配、提示、上下文、调用编排或输出约束特征</x:v>
      </x:c>
      <x:c r="C205" s="2" t="str">
        <x:v>feature_description</x:v>
      </x:c>
      <x:c r="D205" s="6" t="str">
        <x:v>特征描述</x:v>
      </x:c>
      <x:c r="E205" s="6" t="str">
        <x:v>具体说明如何实施及作用对象。</x:v>
      </x:c>
      <x:c r="F205" s="2" t="str">
        <x:v>是</x:v>
      </x:c>
      <x:c r="G205" s="2" t="str">
        <x:v>自由文本</x:v>
      </x:c>
      <x:c r="H205" s="6" t="str">
        <x:v>按字段定义提供</x:v>
      </x:c>
      <x:c r="I205" s="6" t="str">
        <x:v>使用 NR / NA / Unclear / No，不留空</x:v>
      </x:c>
      <x:c r="J205" s="6"/>
    </x:row>
    <x:row r="206" ht="23" customHeight="1">
      <x:c r="A206" s="2" t="str">
        <x:v>RQ4_配置特征</x:v>
      </x:c>
      <x:c r="B206" s="2" t="str">
        <x:v>一个适配、提示、上下文、调用编排或输出约束特征</x:v>
      </x:c>
      <x:c r="C206" s="2" t="str">
        <x:v>prompt_available</x:v>
      </x:c>
      <x:c r="D206" s="6" t="str">
        <x:v>提示是否可得</x:v>
      </x:c>
      <x:c r="E206" s="6" t="str">
        <x:v>是否报告完整提示、模板或仅描述。</x:v>
      </x:c>
      <x:c r="F206" s="2" t="str">
        <x:v>条件必填</x:v>
      </x:c>
      <x:c r="G206" s="2" t="str">
        <x:v>Yes | No | Unclear | NR | NA</x:v>
      </x:c>
      <x:c r="H206" s="6" t="str">
        <x:v>按字段定义提供</x:v>
      </x:c>
      <x:c r="I206" s="6" t="str">
        <x:v>使用 NR / NA / Unclear / No，不留空</x:v>
      </x:c>
      <x:c r="J206" s="6"/>
    </x:row>
    <x:row r="207" ht="28" customHeight="1">
      <x:c r="A207" s="2" t="str">
        <x:v>RQ4_配置特征</x:v>
      </x:c>
      <x:c r="B207" s="2" t="str">
        <x:v>一个适配、提示、上下文、调用编排或输出约束特征</x:v>
      </x:c>
      <x:c r="C207" s="2" t="str">
        <x:v>prompt_detail_level</x:v>
      </x:c>
      <x:c r="D207" s="6" t="str">
        <x:v>提示细节等级</x:v>
      </x:c>
      <x:c r="E207" s="6" t="str">
        <x:v>仅适用于提示类特征。</x:v>
      </x:c>
      <x:c r="F207" s="2" t="str">
        <x:v>条件必填</x:v>
      </x:c>
      <x:c r="G207" s="2" t="str">
        <x:v>Full prompt reported | Template reported | Partial description | Not reported | NA</x:v>
      </x:c>
      <x:c r="H207" s="6" t="str">
        <x:v>按字段定义提供</x:v>
      </x:c>
      <x:c r="I207" s="6" t="str">
        <x:v>使用 NR / NA / Unclear / No，不留空</x:v>
      </x:c>
      <x:c r="J207" s="6"/>
    </x:row>
    <x:row r="208" ht="23" customHeight="1">
      <x:c r="A208" s="2" t="str">
        <x:v>RQ4_配置特征</x:v>
      </x:c>
      <x:c r="B208" s="2" t="str">
        <x:v>一个适配、提示、上下文、调用编排或输出约束特征</x:v>
      </x:c>
      <x:c r="C208" s="2" t="str">
        <x:v>few_shot_count</x:v>
      </x:c>
      <x:c r="D208" s="6" t="str">
        <x:v>示例数量</x:v>
      </x:c>
      <x:c r="E208" s="6" t="str">
        <x:v>few-shot或one-shot示例数量。</x:v>
      </x:c>
      <x:c r="F208" s="2" t="str">
        <x:v>条件必填</x:v>
      </x:c>
      <x:c r="G208" s="2" t="str">
        <x:v>自由文本</x:v>
      </x:c>
      <x:c r="H208" s="6" t="str">
        <x:v>按字段定义提供</x:v>
      </x:c>
      <x:c r="I208" s="6" t="str">
        <x:v>使用 NR / NA / Unclear / No，不留空</x:v>
      </x:c>
      <x:c r="J208" s="6"/>
    </x:row>
    <x:row r="209" ht="23" customHeight="1">
      <x:c r="A209" s="2" t="str">
        <x:v>RQ4_配置特征</x:v>
      </x:c>
      <x:c r="B209" s="2" t="str">
        <x:v>一个适配、提示、上下文、调用编排或输出约束特征</x:v>
      </x:c>
      <x:c r="C209" s="2" t="str">
        <x:v>rag_used</x:v>
      </x:c>
      <x:c r="D209" s="6" t="str">
        <x:v>使用RAG</x:v>
      </x:c>
      <x:c r="E209" s="6" t="str">
        <x:v>是否通过检索结果构造LLM上下文。</x:v>
      </x:c>
      <x:c r="F209" s="2" t="str">
        <x:v>条件必填</x:v>
      </x:c>
      <x:c r="G209" s="2" t="str">
        <x:v>Yes | No | Unclear | NR | NA</x:v>
      </x:c>
      <x:c r="H209" s="6" t="str">
        <x:v>按字段定义提供</x:v>
      </x:c>
      <x:c r="I209" s="6" t="str">
        <x:v>使用 NR / NA / Unclear / No，不留空</x:v>
      </x:c>
      <x:c r="J209" s="6"/>
    </x:row>
    <x:row r="210" ht="23" customHeight="1">
      <x:c r="A210" s="2" t="str">
        <x:v>RQ4_配置特征</x:v>
      </x:c>
      <x:c r="B210" s="2" t="str">
        <x:v>一个适配、提示、上下文、调用编排或输出约束特征</x:v>
      </x:c>
      <x:c r="C210" s="2" t="str">
        <x:v>fine_tuning_used</x:v>
      </x:c>
      <x:c r="D210" s="6" t="str">
        <x:v>使用微调</x:v>
      </x:c>
      <x:c r="E210" s="6" t="str">
        <x:v>是否对目标LLM进行微调或参数高效适配。</x:v>
      </x:c>
      <x:c r="F210" s="2" t="str">
        <x:v>条件必填</x:v>
      </x:c>
      <x:c r="G210" s="2" t="str">
        <x:v>Yes | No | Unclear | NR | NA</x:v>
      </x:c>
      <x:c r="H210" s="6" t="str">
        <x:v>按字段定义提供</x:v>
      </x:c>
      <x:c r="I210" s="6" t="str">
        <x:v>使用 NR / NA / Unclear / No，不留空</x:v>
      </x:c>
      <x:c r="J210" s="6"/>
    </x:row>
    <x:row r="211" ht="23" customHeight="1">
      <x:c r="A211" s="2" t="str">
        <x:v>RQ4_配置特征</x:v>
      </x:c>
      <x:c r="B211" s="2" t="str">
        <x:v>一个适配、提示、上下文、调用编排或输出约束特征</x:v>
      </x:c>
      <x:c r="C211" s="2" t="str">
        <x:v>agent_workflow</x:v>
      </x:c>
      <x:c r="D211" s="6" t="str">
        <x:v>Agent工作流</x:v>
      </x:c>
      <x:c r="E211" s="6" t="str">
        <x:v>是否采用Agent以及其调用关系。</x:v>
      </x:c>
      <x:c r="F211" s="2" t="str">
        <x:v>条件必填</x:v>
      </x:c>
      <x:c r="G211" s="2" t="str">
        <x:v>自由文本</x:v>
      </x:c>
      <x:c r="H211" s="6" t="str">
        <x:v>按字段定义提供</x:v>
      </x:c>
      <x:c r="I211" s="6" t="str">
        <x:v>使用 NR / NA / Unclear / No，不留空</x:v>
      </x:c>
      <x:c r="J211" s="6"/>
    </x:row>
    <x:row r="212" ht="23" customHeight="1">
      <x:c r="A212" s="2" t="str">
        <x:v>RQ4_配置特征</x:v>
      </x:c>
      <x:c r="B212" s="2" t="str">
        <x:v>一个适配、提示、上下文、调用编排或输出约束特征</x:v>
      </x:c>
      <x:c r="C212" s="2" t="str">
        <x:v>orchestration</x:v>
      </x:c>
      <x:c r="D212" s="6" t="str">
        <x:v>调用编排</x:v>
      </x:c>
      <x:c r="E212" s="6" t="str">
        <x:v>单次、迭代、多轮、多模型、反馈循环等。</x:v>
      </x:c>
      <x:c r="F212" s="2" t="str">
        <x:v>条件必填</x:v>
      </x:c>
      <x:c r="G212" s="2" t="str">
        <x:v>自由文本</x:v>
      </x:c>
      <x:c r="H212" s="6" t="str">
        <x:v>按字段定义提供</x:v>
      </x:c>
      <x:c r="I212" s="6" t="str">
        <x:v>使用 NR / NA / Unclear / No，不留空</x:v>
      </x:c>
      <x:c r="J212" s="6"/>
    </x:row>
    <x:row r="213" ht="23" customHeight="1">
      <x:c r="A213" s="2" t="str">
        <x:v>RQ4_配置特征</x:v>
      </x:c>
      <x:c r="B213" s="2" t="str">
        <x:v>一个适配、提示、上下文、调用编排或输出约束特征</x:v>
      </x:c>
      <x:c r="C213" s="2" t="str">
        <x:v>evidence_location</x:v>
      </x:c>
      <x:c r="D213" s="6" t="str">
        <x:v>证据位置</x:v>
      </x:c>
      <x:c r="E213" s="6" t="str">
        <x:v>页码、章节、表格、图或附录等可复核位置。</x:v>
      </x:c>
      <x:c r="F213" s="2" t="str">
        <x:v>是</x:v>
      </x:c>
      <x:c r="G213" s="2" t="str">
        <x:v>自由文本</x:v>
      </x:c>
      <x:c r="H213" s="6" t="str">
        <x:v>必须可定位</x:v>
      </x:c>
      <x:c r="I213" s="6" t="str">
        <x:v>使用 NR / NA / Unclear / No，不留空</x:v>
      </x:c>
      <x:c r="J213" s="6"/>
    </x:row>
    <x:row r="214" ht="23" customHeight="1">
      <x:c r="A214" s="2" t="str">
        <x:v>RQ4_配置特征</x:v>
      </x:c>
      <x:c r="B214" s="2" t="str">
        <x:v>一个适配、提示、上下文、调用编排或输出约束特征</x:v>
      </x:c>
      <x:c r="C214" s="2" t="str">
        <x:v>evidence_verbatim</x:v>
      </x:c>
      <x:c r="D214" s="6" t="str">
        <x:v>原文证据</x:v>
      </x:c>
      <x:c r="E214" s="6" t="str">
        <x:v>支持本条记录的简短原文摘录；不得用综述者概括代替。</x:v>
      </x:c>
      <x:c r="F214" s="2" t="str">
        <x:v>是</x:v>
      </x:c>
      <x:c r="G214" s="2" t="str">
        <x:v>自由文本</x:v>
      </x:c>
      <x:c r="H214" s="6" t="str">
        <x:v>必须保留原文</x:v>
      </x:c>
      <x:c r="I214" s="6" t="str">
        <x:v>使用 NR / NA / Unclear / No，不留空</x:v>
      </x:c>
      <x:c r="J214" s="6"/>
    </x:row>
    <x:row r="215" ht="23" customHeight="1">
      <x:c r="A215" s="2" t="str">
        <x:v>RQ4_配置特征</x:v>
      </x:c>
      <x:c r="B215" s="2" t="str">
        <x:v>一个适配、提示、上下文、调用编排或输出约束特征</x:v>
      </x:c>
      <x:c r="C215" s="2" t="str">
        <x:v>reviewer_interpretation</x:v>
      </x:c>
      <x:c r="D215" s="6" t="str">
        <x:v>评审者解释</x:v>
      </x:c>
      <x:c r="E215" s="6" t="str">
        <x:v>对原文含义及编码理由的简洁解释，与原文证据分开保存。</x:v>
      </x:c>
      <x:c r="F215" s="2" t="str">
        <x:v>条件必填</x:v>
      </x:c>
      <x:c r="G215" s="2" t="str">
        <x:v>自由文本</x:v>
      </x:c>
      <x:c r="H215" s="6" t="str">
        <x:v>按字段定义提供</x:v>
      </x:c>
      <x:c r="I215" s="6" t="str">
        <x:v>使用 NR / NA / Unclear / No，不留空</x:v>
      </x:c>
      <x:c r="J215" s="6"/>
    </x:row>
    <x:row r="216" ht="28" customHeight="1">
      <x:c r="A216" s="2" t="str">
        <x:v>RQ4_配置特征</x:v>
      </x:c>
      <x:c r="B216" s="2" t="str">
        <x:v>一个适配、提示、上下文、调用编排或输出约束特征</x:v>
      </x:c>
      <x:c r="C216" s="2" t="str">
        <x:v>record_status</x:v>
      </x:c>
      <x:c r="D216" s="6" t="str">
        <x:v>记录状态</x:v>
      </x:c>
      <x:c r="E216" s="6" t="str">
        <x:v>记录是否已接受、修订、拒绝或形成共识。</x:v>
      </x:c>
      <x:c r="F216" s="2" t="str">
        <x:v>是</x:v>
      </x:c>
      <x:c r="G216" s="2" t="str">
        <x:v>Unreviewed | Accepted | Revised | Rejected | Consensus</x:v>
      </x:c>
      <x:c r="H216" s="6" t="str">
        <x:v>按字段定义提供</x:v>
      </x:c>
      <x:c r="I216" s="6" t="str">
        <x:v>使用 NR / NA / Unclear / No，不留空</x:v>
      </x:c>
      <x:c r="J216" s="6"/>
    </x:row>
    <x:row r="217" ht="23" customHeight="1">
      <x:c r="A217" s="2" t="str">
        <x:v>RQ4_配置特征</x:v>
      </x:c>
      <x:c r="B217" s="2" t="str">
        <x:v>一个适配、提示、上下文、调用编排或输出约束特征</x:v>
      </x:c>
      <x:c r="C217" s="2" t="str">
        <x:v>notes</x:v>
      </x:c>
      <x:c r="D217" s="6" t="str">
        <x:v>备注</x:v>
      </x:c>
      <x:c r="E217" s="6" t="str">
        <x:v>边界情况、冲突、待核查内容或其他说明。</x:v>
      </x:c>
      <x:c r="F217" s="2" t="str">
        <x:v>否</x:v>
      </x:c>
      <x:c r="G217" s="2" t="str">
        <x:v>自由文本</x:v>
      </x:c>
      <x:c r="H217" s="6" t="str">
        <x:v>按字段定义提供</x:v>
      </x:c>
      <x:c r="I217" s="6" t="str">
        <x:v>可留空</x:v>
      </x:c>
      <x:c r="J217" s="6"/>
    </x:row>
    <x:row r="218" ht="23" customHeight="1">
      <x:c r="A218" s="2" t="str">
        <x:v>RQ5_外部组件</x:v>
      </x:c>
      <x:c r="B218" s="2" t="str">
        <x:v>一个可独立于目标LLM运行的检索、分析、校验、约束或人工组件</x:v>
      </x:c>
      <x:c r="C218" s="2" t="str">
        <x:v>record_id</x:v>
      </x:c>
      <x:c r="D218" s="6" t="str">
        <x:v>记录ID</x:v>
      </x:c>
      <x:c r="E218" s="6" t="str">
        <x:v>当前表中该条记录的稳定唯一ID。</x:v>
      </x:c>
      <x:c r="F218" s="2" t="str">
        <x:v>是</x:v>
      </x:c>
      <x:c r="G218" s="2" t="str">
        <x:v>自由文本</x:v>
      </x:c>
      <x:c r="H218" s="6" t="str">
        <x:v>按字段定义提供</x:v>
      </x:c>
      <x:c r="I218" s="6" t="str">
        <x:v>使用 NR / NA / Unclear / No，不留空</x:v>
      </x:c>
      <x:c r="J218" s="6" t="str">
        <x:v>建议格式：S001-C01、S001-T01等。</x:v>
      </x:c>
    </x:row>
    <x:row r="219" ht="23" customHeight="1">
      <x:c r="A219" s="2" t="str">
        <x:v>RQ5_外部组件</x:v>
      </x:c>
      <x:c r="B219" s="2" t="str">
        <x:v>一个可独立于目标LLM运行的检索、分析、校验、约束或人工组件</x:v>
      </x:c>
      <x:c r="C219" s="2" t="str">
        <x:v>study_id</x:v>
      </x:c>
      <x:c r="D219" s="6" t="str">
        <x:v>研究ID</x:v>
      </x:c>
      <x:c r="E219" s="6" t="str">
        <x:v>连接研究索引与所有抽取表的稳定研究标识。</x:v>
      </x:c>
      <x:c r="F219" s="2" t="str">
        <x:v>是</x:v>
      </x:c>
      <x:c r="G219" s="2" t="str">
        <x:v>study_id</x:v>
      </x:c>
      <x:c r="H219" s="6" t="str">
        <x:v>按字段定义提供</x:v>
      </x:c>
      <x:c r="I219" s="6" t="str">
        <x:v>使用 NR / NA / Unclear / No，不留空</x:v>
      </x:c>
      <x:c r="J219" s="6" t="str">
        <x:v>建议格式：S001。</x:v>
      </x:c>
    </x:row>
    <x:row r="220" ht="23" customHeight="1">
      <x:c r="A220" s="2" t="str">
        <x:v>RQ5_外部组件</x:v>
      </x:c>
      <x:c r="B220" s="2" t="str">
        <x:v>一个可独立于目标LLM运行的检索、分析、校验、约束或人工组件</x:v>
      </x:c>
      <x:c r="C220" s="2" t="str">
        <x:v>version_id</x:v>
      </x:c>
      <x:c r="D220" s="6" t="str">
        <x:v>版本ID</x:v>
      </x:c>
      <x:c r="E220" s="6" t="str">
        <x:v>本次抽取所依据的具体论文版本标识。</x:v>
      </x:c>
      <x:c r="F220" s="2" t="str">
        <x:v>是</x:v>
      </x:c>
      <x:c r="G220" s="2" t="str">
        <x:v>version_id</x:v>
      </x:c>
      <x:c r="H220" s="6" t="str">
        <x:v>按字段定义提供</x:v>
      </x:c>
      <x:c r="I220" s="6" t="str">
        <x:v>使用 NR / NA / Unclear / No，不留空</x:v>
      </x:c>
      <x:c r="J220" s="6" t="str">
        <x:v>同一study family不同版本不得混写。</x:v>
      </x:c>
    </x:row>
    <x:row r="221" ht="23" customHeight="1">
      <x:c r="A221" s="2" t="str">
        <x:v>RQ5_外部组件</x:v>
      </x:c>
      <x:c r="B221" s="2" t="str">
        <x:v>一个可独立于目标LLM运行的检索、分析、校验、约束或人工组件</x:v>
      </x:c>
      <x:c r="C221" s="2" t="str">
        <x:v>review_stage</x:v>
      </x:c>
      <x:c r="D221" s="6" t="str">
        <x:v>记录阶段</x:v>
      </x:c>
      <x:c r="E221" s="6" t="str">
        <x:v>区分两名独立评审者、共识与仲裁记录。</x:v>
      </x:c>
      <x:c r="F221" s="2" t="str">
        <x:v>是</x:v>
      </x:c>
      <x:c r="G221" s="2" t="str">
        <x:v>Reviewer_A | Reviewer_B | Consensus | Arbitration</x:v>
      </x:c>
      <x:c r="H221" s="6" t="str">
        <x:v>按字段定义提供</x:v>
      </x:c>
      <x:c r="I221" s="6" t="str">
        <x:v>使用 NR / NA / Unclear / No，不留空</x:v>
      </x:c>
      <x:c r="J221" s="6"/>
    </x:row>
    <x:row r="222" ht="23" customHeight="1">
      <x:c r="A222" s="2" t="str">
        <x:v>RQ5_外部组件</x:v>
      </x:c>
      <x:c r="B222" s="2" t="str">
        <x:v>一个可独立于目标LLM运行的检索、分析、校验、约束或人工组件</x:v>
      </x:c>
      <x:c r="C222" s="2" t="str">
        <x:v>reviewer_id</x:v>
      </x:c>
      <x:c r="D222" s="6" t="str">
        <x:v>评审者ID</x:v>
      </x:c>
      <x:c r="E222" s="6" t="str">
        <x:v>完成该条记录的评审者或共识组标识。</x:v>
      </x:c>
      <x:c r="F222" s="2" t="str">
        <x:v>是</x:v>
      </x:c>
      <x:c r="G222" s="2" t="str">
        <x:v>自由文本</x:v>
      </x:c>
      <x:c r="H222" s="6" t="str">
        <x:v>按字段定义提供</x:v>
      </x:c>
      <x:c r="I222" s="6" t="str">
        <x:v>使用 NR / NA / Unclear / No，不留空</x:v>
      </x:c>
      <x:c r="J222" s="6"/>
    </x:row>
    <x:row r="223" ht="23" customHeight="1">
      <x:c r="A223" s="2" t="str">
        <x:v>RQ5_外部组件</x:v>
      </x:c>
      <x:c r="B223" s="2" t="str">
        <x:v>一个可独立于目标LLM运行的检索、分析、校验、约束或人工组件</x:v>
      </x:c>
      <x:c r="C223" s="2" t="str">
        <x:v>component_id</x:v>
      </x:c>
      <x:c r="D223" s="6" t="str">
        <x:v>组件ID</x:v>
      </x:c>
      <x:c r="E223" s="6" t="str">
        <x:v>连接任务、模型使用和评价的外部组件标识。</x:v>
      </x:c>
      <x:c r="F223" s="2" t="str">
        <x:v>是</x:v>
      </x:c>
      <x:c r="G223" s="2" t="str">
        <x:v>自由文本</x:v>
      </x:c>
      <x:c r="H223" s="6" t="str">
        <x:v>按字段定义提供</x:v>
      </x:c>
      <x:c r="I223" s="6" t="str">
        <x:v>使用 NR / NA / Unclear / No，不留空</x:v>
      </x:c>
      <x:c r="J223" s="6"/>
    </x:row>
    <x:row r="224" ht="23" customHeight="1">
      <x:c r="A224" s="2" t="str">
        <x:v>RQ5_外部组件</x:v>
      </x:c>
      <x:c r="B224" s="2" t="str">
        <x:v>一个可独立于目标LLM运行的检索、分析、校验、约束或人工组件</x:v>
      </x:c>
      <x:c r="C224" s="2" t="str">
        <x:v>task_id</x:v>
      </x:c>
      <x:c r="D224" s="6" t="str">
        <x:v>任务ID</x:v>
      </x:c>
      <x:c r="E224" s="6" t="str">
        <x:v>该组件支持的ST任务。</x:v>
      </x:c>
      <x:c r="F224" s="2" t="str">
        <x:v>是</x:v>
      </x:c>
      <x:c r="G224" s="2" t="str">
        <x:v>自由文本</x:v>
      </x:c>
      <x:c r="H224" s="6" t="str">
        <x:v>按字段定义提供</x:v>
      </x:c>
      <x:c r="I224" s="6" t="str">
        <x:v>使用 NR / NA / Unclear / No，不留空</x:v>
      </x:c>
      <x:c r="J224" s="6"/>
    </x:row>
    <x:row r="225" ht="23" customHeight="1">
      <x:c r="A225" s="2" t="str">
        <x:v>RQ5_外部组件</x:v>
      </x:c>
      <x:c r="B225" s="2" t="str">
        <x:v>一个可独立于目标LLM运行的检索、分析、校验、约束或人工组件</x:v>
      </x:c>
      <x:c r="C225" s="2" t="str">
        <x:v>operation_id</x:v>
      </x:c>
      <x:c r="D225" s="6" t="str">
        <x:v>操作ID</x:v>
      </x:c>
      <x:c r="E225" s="6" t="str">
        <x:v>该组件相邻或支持的LLM操作。</x:v>
      </x:c>
      <x:c r="F225" s="2" t="str">
        <x:v>条件必填</x:v>
      </x:c>
      <x:c r="G225" s="2" t="str">
        <x:v>自由文本</x:v>
      </x:c>
      <x:c r="H225" s="6" t="str">
        <x:v>按字段定义提供</x:v>
      </x:c>
      <x:c r="I225" s="6" t="str">
        <x:v>使用 NR / NA / Unclear / No，不留空</x:v>
      </x:c>
      <x:c r="J225" s="6"/>
    </x:row>
    <x:row r="226" ht="23" customHeight="1">
      <x:c r="A226" s="2" t="str">
        <x:v>RQ5_外部组件</x:v>
      </x:c>
      <x:c r="B226" s="2" t="str">
        <x:v>一个可独立于目标LLM运行的检索、分析、校验、约束或人工组件</x:v>
      </x:c>
      <x:c r="C226" s="2" t="str">
        <x:v>component_name</x:v>
      </x:c>
      <x:c r="D226" s="6" t="str">
        <x:v>组件名称</x:v>
      </x:c>
      <x:c r="E226" s="6" t="str">
        <x:v>论文中的工具、算法、人工环节或外部模型名称。</x:v>
      </x:c>
      <x:c r="F226" s="2" t="str">
        <x:v>是</x:v>
      </x:c>
      <x:c r="G226" s="2" t="str">
        <x:v>自由文本</x:v>
      </x:c>
      <x:c r="H226" s="6" t="str">
        <x:v>按字段定义提供</x:v>
      </x:c>
      <x:c r="I226" s="6" t="str">
        <x:v>使用 NR / NA / Unclear / No，不留空</x:v>
      </x:c>
      <x:c r="J226" s="6"/>
    </x:row>
    <x:row r="227" ht="84" customHeight="1">
      <x:c r="A227" s="2" t="str">
        <x:v>RQ5_外部组件</x:v>
      </x:c>
      <x:c r="B227" s="2" t="str">
        <x:v>一个可独立于目标LLM运行的检索、分析、校验、约束或人工组件</x:v>
      </x:c>
      <x:c r="C227" s="2" t="str">
        <x:v>component_category</x:v>
      </x:c>
      <x:c r="D227" s="6" t="str">
        <x:v>组件类别</x:v>
      </x:c>
      <x:c r="E227" s="6" t="str">
        <x:v>IR、检索、静态分析、图、规则、人工审核等。</x:v>
      </x:c>
      <x:c r="F227" s="2" t="str">
        <x:v>是</x:v>
      </x:c>
      <x:c r="G227" s="2" t="str">
        <x:v>Traditional IR | Dense retrieval | Embedding model | Vector database | Static analysis | Program analysis | Knowledge graph | Rule or heuristic | Schema validation | Search engine | Repository mining | Human review | Non-LLM ML or DL | Tool framework | Other | Unclear</x:v>
      </x:c>
      <x:c r="H227" s="6" t="str">
        <x:v>按字段定义提供</x:v>
      </x:c>
      <x:c r="I227" s="6" t="str">
        <x:v>使用 NR / NA / Unclear / No，不留空</x:v>
      </x:c>
      <x:c r="J227" s="6"/>
    </x:row>
    <x:row r="228" ht="70" customHeight="1">
      <x:c r="A228" s="2" t="str">
        <x:v>RQ5_外部组件</x:v>
      </x:c>
      <x:c r="B228" s="2" t="str">
        <x:v>一个可独立于目标LLM运行的检索、分析、校验、约束或人工组件</x:v>
      </x:c>
      <x:c r="C228" s="2" t="str">
        <x:v>workflow_position</x:v>
      </x:c>
      <x:c r="D228" s="6" t="str">
        <x:v>集成位置</x:v>
      </x:c>
      <x:c r="E228" s="6" t="str">
        <x:v>候选检索、上下文构建、输出验证等。</x:v>
      </x:c>
      <x:c r="F228" s="2" t="str">
        <x:v>是</x:v>
      </x:c>
      <x:c r="G228" s="2" t="str">
        <x:v>Candidate generation | Candidate retrieval | Context construction | Feature augmentation | Pre-filtering | Post-processing | Output validation | Human correction | Evaluation only | Tool orchestration | Other | Unclear</x:v>
      </x:c>
      <x:c r="H228" s="6" t="str">
        <x:v>按字段定义提供</x:v>
      </x:c>
      <x:c r="I228" s="6" t="str">
        <x:v>使用 NR / NA / Unclear / No，不留空</x:v>
      </x:c>
      <x:c r="J228" s="6"/>
    </x:row>
    <x:row r="229" ht="23" customHeight="1">
      <x:c r="A229" s="2" t="str">
        <x:v>RQ5_外部组件</x:v>
      </x:c>
      <x:c r="B229" s="2" t="str">
        <x:v>一个可独立于目标LLM运行的检索、分析、校验、约束或人工组件</x:v>
      </x:c>
      <x:c r="C229" s="2" t="str">
        <x:v>component_function</x:v>
      </x:c>
      <x:c r="D229" s="6" t="str">
        <x:v>组件功能</x:v>
      </x:c>
      <x:c r="E229" s="6" t="str">
        <x:v>说明该组件独立完成什么工作。</x:v>
      </x:c>
      <x:c r="F229" s="2" t="str">
        <x:v>是</x:v>
      </x:c>
      <x:c r="G229" s="2" t="str">
        <x:v>自由文本</x:v>
      </x:c>
      <x:c r="H229" s="6" t="str">
        <x:v>按字段定义提供</x:v>
      </x:c>
      <x:c r="I229" s="6" t="str">
        <x:v>使用 NR / NA / Unclear / No，不留空</x:v>
      </x:c>
      <x:c r="J229" s="6"/>
    </x:row>
    <x:row r="230" ht="23" customHeight="1">
      <x:c r="A230" s="2" t="str">
        <x:v>RQ5_外部组件</x:v>
      </x:c>
      <x:c r="B230" s="2" t="str">
        <x:v>一个可独立于目标LLM运行的检索、分析、校验、约束或人工组件</x:v>
      </x:c>
      <x:c r="C230" s="2" t="str">
        <x:v>interaction_with_llm</x:v>
      </x:c>
      <x:c r="D230" s="6" t="str">
        <x:v>与LLM交互</x:v>
      </x:c>
      <x:c r="E230" s="6" t="str">
        <x:v>组件输入/输出如何与LLM连接。</x:v>
      </x:c>
      <x:c r="F230" s="2" t="str">
        <x:v>是</x:v>
      </x:c>
      <x:c r="G230" s="2" t="str">
        <x:v>自由文本</x:v>
      </x:c>
      <x:c r="H230" s="6" t="str">
        <x:v>按字段定义提供</x:v>
      </x:c>
      <x:c r="I230" s="6" t="str">
        <x:v>使用 NR / NA / Unclear / No，不留空</x:v>
      </x:c>
      <x:c r="J230" s="6"/>
    </x:row>
    <x:row r="231" ht="23" customHeight="1">
      <x:c r="A231" s="2" t="str">
        <x:v>RQ5_外部组件</x:v>
      </x:c>
      <x:c r="B231" s="2" t="str">
        <x:v>一个可独立于目标LLM运行的检索、分析、校验、约束或人工组件</x:v>
      </x:c>
      <x:c r="C231" s="2" t="str">
        <x:v>is_workflow_component</x:v>
      </x:c>
      <x:c r="D231" s="6" t="str">
        <x:v>是否工作流组件</x:v>
      </x:c>
      <x:c r="E231" s="6" t="str">
        <x:v>仅用于评价的组件应标记No，避免计入RQ5工作流组件。</x:v>
      </x:c>
      <x:c r="F231" s="2" t="str">
        <x:v>是</x:v>
      </x:c>
      <x:c r="G231" s="2" t="str">
        <x:v>Yes | No | Unclear | NR | NA</x:v>
      </x:c>
      <x:c r="H231" s="6" t="str">
        <x:v>按字段定义提供</x:v>
      </x:c>
      <x:c r="I231" s="6" t="str">
        <x:v>使用 NR / NA / Unclear / No，不留空</x:v>
      </x:c>
      <x:c r="J231" s="6"/>
    </x:row>
    <x:row r="232" ht="23" customHeight="1">
      <x:c r="A232" s="2" t="str">
        <x:v>RQ5_外部组件</x:v>
      </x:c>
      <x:c r="B232" s="2" t="str">
        <x:v>一个可独立于目标LLM运行的检索、分析、校验、约束或人工组件</x:v>
      </x:c>
      <x:c r="C232" s="2" t="str">
        <x:v>ablation_reported</x:v>
      </x:c>
      <x:c r="D232" s="6" t="str">
        <x:v>组件消融</x:v>
      </x:c>
      <x:c r="E232" s="6" t="str">
        <x:v>是否通过消融隔离该组件贡献。</x:v>
      </x:c>
      <x:c r="F232" s="2" t="str">
        <x:v>条件必填</x:v>
      </x:c>
      <x:c r="G232" s="2" t="str">
        <x:v>Yes | No | Unclear | NR | NA</x:v>
      </x:c>
      <x:c r="H232" s="6" t="str">
        <x:v>按字段定义提供</x:v>
      </x:c>
      <x:c r="I232" s="6" t="str">
        <x:v>使用 NR / NA / Unclear / No，不留空</x:v>
      </x:c>
      <x:c r="J232" s="6"/>
    </x:row>
    <x:row r="233" ht="23" customHeight="1">
      <x:c r="A233" s="2" t="str">
        <x:v>RQ5_外部组件</x:v>
      </x:c>
      <x:c r="B233" s="2" t="str">
        <x:v>一个可独立于目标LLM运行的检索、分析、校验、约束或人工组件</x:v>
      </x:c>
      <x:c r="C233" s="2" t="str">
        <x:v>component_contribution</x:v>
      </x:c>
      <x:c r="D233" s="6" t="str">
        <x:v>组件贡献证据</x:v>
      </x:c>
      <x:c r="E233" s="6" t="str">
        <x:v>来源报告的组件作用或消融结果。</x:v>
      </x:c>
      <x:c r="F233" s="2" t="str">
        <x:v>条件必填</x:v>
      </x:c>
      <x:c r="G233" s="2" t="str">
        <x:v>自由文本</x:v>
      </x:c>
      <x:c r="H233" s="6" t="str">
        <x:v>按字段定义提供</x:v>
      </x:c>
      <x:c r="I233" s="6" t="str">
        <x:v>使用 NR / NA / Unclear / No，不留空</x:v>
      </x:c>
      <x:c r="J233" s="6"/>
    </x:row>
    <x:row r="234" ht="23" customHeight="1">
      <x:c r="A234" s="2" t="str">
        <x:v>RQ5_外部组件</x:v>
      </x:c>
      <x:c r="B234" s="2" t="str">
        <x:v>一个可独立于目标LLM运行的检索、分析、校验、约束或人工组件</x:v>
      </x:c>
      <x:c r="C234" s="2" t="str">
        <x:v>evidence_location</x:v>
      </x:c>
      <x:c r="D234" s="6" t="str">
        <x:v>证据位置</x:v>
      </x:c>
      <x:c r="E234" s="6" t="str">
        <x:v>页码、章节、表格、图或附录等可复核位置。</x:v>
      </x:c>
      <x:c r="F234" s="2" t="str">
        <x:v>是</x:v>
      </x:c>
      <x:c r="G234" s="2" t="str">
        <x:v>自由文本</x:v>
      </x:c>
      <x:c r="H234" s="6" t="str">
        <x:v>必须可定位</x:v>
      </x:c>
      <x:c r="I234" s="6" t="str">
        <x:v>使用 NR / NA / Unclear / No，不留空</x:v>
      </x:c>
      <x:c r="J234" s="6"/>
    </x:row>
    <x:row r="235" ht="23" customHeight="1">
      <x:c r="A235" s="2" t="str">
        <x:v>RQ5_外部组件</x:v>
      </x:c>
      <x:c r="B235" s="2" t="str">
        <x:v>一个可独立于目标LLM运行的检索、分析、校验、约束或人工组件</x:v>
      </x:c>
      <x:c r="C235" s="2" t="str">
        <x:v>evidence_verbatim</x:v>
      </x:c>
      <x:c r="D235" s="6" t="str">
        <x:v>原文证据</x:v>
      </x:c>
      <x:c r="E235" s="6" t="str">
        <x:v>支持本条记录的简短原文摘录；不得用综述者概括代替。</x:v>
      </x:c>
      <x:c r="F235" s="2" t="str">
        <x:v>是</x:v>
      </x:c>
      <x:c r="G235" s="2" t="str">
        <x:v>自由文本</x:v>
      </x:c>
      <x:c r="H235" s="6" t="str">
        <x:v>必须保留原文</x:v>
      </x:c>
      <x:c r="I235" s="6" t="str">
        <x:v>使用 NR / NA / Unclear / No，不留空</x:v>
      </x:c>
      <x:c r="J235" s="6"/>
    </x:row>
    <x:row r="236" ht="23" customHeight="1">
      <x:c r="A236" s="2" t="str">
        <x:v>RQ5_外部组件</x:v>
      </x:c>
      <x:c r="B236" s="2" t="str">
        <x:v>一个可独立于目标LLM运行的检索、分析、校验、约束或人工组件</x:v>
      </x:c>
      <x:c r="C236" s="2" t="str">
        <x:v>reviewer_interpretation</x:v>
      </x:c>
      <x:c r="D236" s="6" t="str">
        <x:v>评审者解释</x:v>
      </x:c>
      <x:c r="E236" s="6" t="str">
        <x:v>对原文含义及编码理由的简洁解释，与原文证据分开保存。</x:v>
      </x:c>
      <x:c r="F236" s="2" t="str">
        <x:v>条件必填</x:v>
      </x:c>
      <x:c r="G236" s="2" t="str">
        <x:v>自由文本</x:v>
      </x:c>
      <x:c r="H236" s="6" t="str">
        <x:v>按字段定义提供</x:v>
      </x:c>
      <x:c r="I236" s="6" t="str">
        <x:v>使用 NR / NA / Unclear / No，不留空</x:v>
      </x:c>
      <x:c r="J236" s="6"/>
    </x:row>
    <x:row r="237" ht="28" customHeight="1">
      <x:c r="A237" s="2" t="str">
        <x:v>RQ5_外部组件</x:v>
      </x:c>
      <x:c r="B237" s="2" t="str">
        <x:v>一个可独立于目标LLM运行的检索、分析、校验、约束或人工组件</x:v>
      </x:c>
      <x:c r="C237" s="2" t="str">
        <x:v>record_status</x:v>
      </x:c>
      <x:c r="D237" s="6" t="str">
        <x:v>记录状态</x:v>
      </x:c>
      <x:c r="E237" s="6" t="str">
        <x:v>记录是否已接受、修订、拒绝或形成共识。</x:v>
      </x:c>
      <x:c r="F237" s="2" t="str">
        <x:v>是</x:v>
      </x:c>
      <x:c r="G237" s="2" t="str">
        <x:v>Unreviewed | Accepted | Revised | Rejected | Consensus</x:v>
      </x:c>
      <x:c r="H237" s="6" t="str">
        <x:v>按字段定义提供</x:v>
      </x:c>
      <x:c r="I237" s="6" t="str">
        <x:v>使用 NR / NA / Unclear / No，不留空</x:v>
      </x:c>
      <x:c r="J237" s="6"/>
    </x:row>
    <x:row r="238" ht="23" customHeight="1">
      <x:c r="A238" s="2" t="str">
        <x:v>RQ5_外部组件</x:v>
      </x:c>
      <x:c r="B238" s="2" t="str">
        <x:v>一个可独立于目标LLM运行的检索、分析、校验、约束或人工组件</x:v>
      </x:c>
      <x:c r="C238" s="2" t="str">
        <x:v>notes</x:v>
      </x:c>
      <x:c r="D238" s="6" t="str">
        <x:v>备注</x:v>
      </x:c>
      <x:c r="E238" s="6" t="str">
        <x:v>边界情况、冲突、待核查内容或其他说明。</x:v>
      </x:c>
      <x:c r="F238" s="2" t="str">
        <x:v>否</x:v>
      </x:c>
      <x:c r="G238" s="2" t="str">
        <x:v>自由文本</x:v>
      </x:c>
      <x:c r="H238" s="6" t="str">
        <x:v>按字段定义提供</x:v>
      </x:c>
      <x:c r="I238" s="6" t="str">
        <x:v>可留空</x:v>
      </x:c>
      <x:c r="J238" s="6"/>
    </x:row>
    <x:row r="239" ht="23" customHeight="1">
      <x:c r="A239" s="2" t="str">
        <x:v>RQ6_局限</x:v>
      </x:c>
      <x:c r="B239" s="2" t="str">
        <x:v>一条来源明确报告的局限、威胁、失败或缓解证据</x:v>
      </x:c>
      <x:c r="C239" s="2" t="str">
        <x:v>record_id</x:v>
      </x:c>
      <x:c r="D239" s="6" t="str">
        <x:v>记录ID</x:v>
      </x:c>
      <x:c r="E239" s="6" t="str">
        <x:v>当前表中该条记录的稳定唯一ID。</x:v>
      </x:c>
      <x:c r="F239" s="2" t="str">
        <x:v>是</x:v>
      </x:c>
      <x:c r="G239" s="2" t="str">
        <x:v>自由文本</x:v>
      </x:c>
      <x:c r="H239" s="6" t="str">
        <x:v>按字段定义提供</x:v>
      </x:c>
      <x:c r="I239" s="6" t="str">
        <x:v>使用 NR / NA / Unclear / No，不留空</x:v>
      </x:c>
      <x:c r="J239" s="6" t="str">
        <x:v>建议格式：S001-C01、S001-T01等。</x:v>
      </x:c>
    </x:row>
    <x:row r="240" ht="23" customHeight="1">
      <x:c r="A240" s="2" t="str">
        <x:v>RQ6_局限</x:v>
      </x:c>
      <x:c r="B240" s="2" t="str">
        <x:v>一条来源明确报告的局限、威胁、失败或缓解证据</x:v>
      </x:c>
      <x:c r="C240" s="2" t="str">
        <x:v>study_id</x:v>
      </x:c>
      <x:c r="D240" s="6" t="str">
        <x:v>研究ID</x:v>
      </x:c>
      <x:c r="E240" s="6" t="str">
        <x:v>连接研究索引与所有抽取表的稳定研究标识。</x:v>
      </x:c>
      <x:c r="F240" s="2" t="str">
        <x:v>是</x:v>
      </x:c>
      <x:c r="G240" s="2" t="str">
        <x:v>study_id</x:v>
      </x:c>
      <x:c r="H240" s="6" t="str">
        <x:v>按字段定义提供</x:v>
      </x:c>
      <x:c r="I240" s="6" t="str">
        <x:v>使用 NR / NA / Unclear / No，不留空</x:v>
      </x:c>
      <x:c r="J240" s="6" t="str">
        <x:v>建议格式：S001。</x:v>
      </x:c>
    </x:row>
    <x:row r="241" ht="23" customHeight="1">
      <x:c r="A241" s="2" t="str">
        <x:v>RQ6_局限</x:v>
      </x:c>
      <x:c r="B241" s="2" t="str">
        <x:v>一条来源明确报告的局限、威胁、失败或缓解证据</x:v>
      </x:c>
      <x:c r="C241" s="2" t="str">
        <x:v>version_id</x:v>
      </x:c>
      <x:c r="D241" s="6" t="str">
        <x:v>版本ID</x:v>
      </x:c>
      <x:c r="E241" s="6" t="str">
        <x:v>本次抽取所依据的具体论文版本标识。</x:v>
      </x:c>
      <x:c r="F241" s="2" t="str">
        <x:v>是</x:v>
      </x:c>
      <x:c r="G241" s="2" t="str">
        <x:v>version_id</x:v>
      </x:c>
      <x:c r="H241" s="6" t="str">
        <x:v>按字段定义提供</x:v>
      </x:c>
      <x:c r="I241" s="6" t="str">
        <x:v>使用 NR / NA / Unclear / No，不留空</x:v>
      </x:c>
      <x:c r="J241" s="6" t="str">
        <x:v>同一study family不同版本不得混写。</x:v>
      </x:c>
    </x:row>
    <x:row r="242" ht="23" customHeight="1">
      <x:c r="A242" s="2" t="str">
        <x:v>RQ6_局限</x:v>
      </x:c>
      <x:c r="B242" s="2" t="str">
        <x:v>一条来源明确报告的局限、威胁、失败或缓解证据</x:v>
      </x:c>
      <x:c r="C242" s="2" t="str">
        <x:v>review_stage</x:v>
      </x:c>
      <x:c r="D242" s="6" t="str">
        <x:v>记录阶段</x:v>
      </x:c>
      <x:c r="E242" s="6" t="str">
        <x:v>区分两名独立评审者、共识与仲裁记录。</x:v>
      </x:c>
      <x:c r="F242" s="2" t="str">
        <x:v>是</x:v>
      </x:c>
      <x:c r="G242" s="2" t="str">
        <x:v>Reviewer_A | Reviewer_B | Consensus | Arbitration</x:v>
      </x:c>
      <x:c r="H242" s="6" t="str">
        <x:v>按字段定义提供</x:v>
      </x:c>
      <x:c r="I242" s="6" t="str">
        <x:v>使用 NR / NA / Unclear / No，不留空</x:v>
      </x:c>
      <x:c r="J242" s="6"/>
    </x:row>
    <x:row r="243" ht="23" customHeight="1">
      <x:c r="A243" s="2" t="str">
        <x:v>RQ6_局限</x:v>
      </x:c>
      <x:c r="B243" s="2" t="str">
        <x:v>一条来源明确报告的局限、威胁、失败或缓解证据</x:v>
      </x:c>
      <x:c r="C243" s="2" t="str">
        <x:v>reviewer_id</x:v>
      </x:c>
      <x:c r="D243" s="6" t="str">
        <x:v>评审者ID</x:v>
      </x:c>
      <x:c r="E243" s="6" t="str">
        <x:v>完成该条记录的评审者或共识组标识。</x:v>
      </x:c>
      <x:c r="F243" s="2" t="str">
        <x:v>是</x:v>
      </x:c>
      <x:c r="G243" s="2" t="str">
        <x:v>自由文本</x:v>
      </x:c>
      <x:c r="H243" s="6" t="str">
        <x:v>按字段定义提供</x:v>
      </x:c>
      <x:c r="I243" s="6" t="str">
        <x:v>使用 NR / NA / Unclear / No，不留空</x:v>
      </x:c>
      <x:c r="J243" s="6"/>
    </x:row>
    <x:row r="244" ht="23" customHeight="1">
      <x:c r="A244" s="2" t="str">
        <x:v>RQ6_局限</x:v>
      </x:c>
      <x:c r="B244" s="2" t="str">
        <x:v>一条来源明确报告的局限、威胁、失败或缓解证据</x:v>
      </x:c>
      <x:c r="C244" s="2" t="str">
        <x:v>limitation_id</x:v>
      </x:c>
      <x:c r="D244" s="6" t="str">
        <x:v>局限ID</x:v>
      </x:c>
      <x:c r="E244" s="6" t="str">
        <x:v>连接缓解措施和RQ7方向的稳定标识。</x:v>
      </x:c>
      <x:c r="F244" s="2" t="str">
        <x:v>是</x:v>
      </x:c>
      <x:c r="G244" s="2" t="str">
        <x:v>自由文本</x:v>
      </x:c>
      <x:c r="H244" s="6" t="str">
        <x:v>按字段定义提供</x:v>
      </x:c>
      <x:c r="I244" s="6" t="str">
        <x:v>使用 NR / NA / Unclear / No，不留空</x:v>
      </x:c>
      <x:c r="J244" s="6"/>
    </x:row>
    <x:row r="245" ht="23" customHeight="1">
      <x:c r="A245" s="2" t="str">
        <x:v>RQ6_局限</x:v>
      </x:c>
      <x:c r="B245" s="2" t="str">
        <x:v>一条来源明确报告的局限、威胁、失败或缓解证据</x:v>
      </x:c>
      <x:c r="C245" s="2" t="str">
        <x:v>evidence_tag</x:v>
      </x:c>
      <x:c r="D245" s="6" t="str">
        <x:v>证据标签</x:v>
      </x:c>
      <x:c r="E245" s="6" t="str">
        <x:v>原始抽取表仅允许SR。</x:v>
      </x:c>
      <x:c r="F245" s="2" t="str">
        <x:v>是</x:v>
      </x:c>
      <x:c r="G245" s="2" t="str">
        <x:v>SR</x:v>
      </x:c>
      <x:c r="H245" s="6" t="str">
        <x:v>按字段定义提供</x:v>
      </x:c>
      <x:c r="I245" s="6" t="str">
        <x:v>使用 NR / NA / Unclear / No，不留空</x:v>
      </x:c>
      <x:c r="J245" s="6"/>
    </x:row>
    <x:row r="246" ht="23" customHeight="1">
      <x:c r="A246" s="2" t="str">
        <x:v>RQ6_局限</x:v>
      </x:c>
      <x:c r="B246" s="2" t="str">
        <x:v>一条来源明确报告的局限、威胁、失败或缓解证据</x:v>
      </x:c>
      <x:c r="C246" s="2" t="str">
        <x:v>reporting_actor</x:v>
      </x:c>
      <x:c r="D246" s="6" t="str">
        <x:v>报告主体</x:v>
      </x:c>
      <x:c r="E246" s="6" t="str">
        <x:v>作者、参与者或其他明确主体。</x:v>
      </x:c>
      <x:c r="F246" s="2" t="str">
        <x:v>是</x:v>
      </x:c>
      <x:c r="G246" s="2" t="str">
        <x:v>自由文本</x:v>
      </x:c>
      <x:c r="H246" s="6" t="str">
        <x:v>按字段定义提供</x:v>
      </x:c>
      <x:c r="I246" s="6" t="str">
        <x:v>使用 NR / NA / Unclear / No，不留空</x:v>
      </x:c>
      <x:c r="J246" s="6"/>
    </x:row>
    <x:row r="247" ht="23" customHeight="1">
      <x:c r="A247" s="2" t="str">
        <x:v>RQ6_局限</x:v>
      </x:c>
      <x:c r="B247" s="2" t="str">
        <x:v>一条来源明确报告的局限、威胁、失败或缓解证据</x:v>
      </x:c>
      <x:c r="C247" s="2" t="str">
        <x:v>limitation_raw</x:v>
      </x:c>
      <x:c r="D247" s="6" t="str">
        <x:v>来源局限表述</x:v>
      </x:c>
      <x:c r="E247" s="6" t="str">
        <x:v>忠实于来源的简短局限概括。</x:v>
      </x:c>
      <x:c r="F247" s="2" t="str">
        <x:v>是</x:v>
      </x:c>
      <x:c r="G247" s="2" t="str">
        <x:v>自由文本</x:v>
      </x:c>
      <x:c r="H247" s="6" t="str">
        <x:v>按字段定义提供</x:v>
      </x:c>
      <x:c r="I247" s="6" t="str">
        <x:v>使用 NR / NA / Unclear / No，不留空</x:v>
      </x:c>
      <x:c r="J247" s="6"/>
    </x:row>
    <x:row r="248" ht="23" customHeight="1">
      <x:c r="A248" s="2" t="str">
        <x:v>RQ6_局限</x:v>
      </x:c>
      <x:c r="B248" s="2" t="str">
        <x:v>一条来源明确报告的局限、威胁、失败或缓解证据</x:v>
      </x:c>
      <x:c r="C248" s="2" t="str">
        <x:v>empirical_or_speculative</x:v>
      </x:c>
      <x:c r="D248" s="6" t="str">
        <x:v>经验依据</x:v>
      </x:c>
      <x:c r="E248" s="6" t="str">
        <x:v>局限是经验观察、推测还是混合。</x:v>
      </x:c>
      <x:c r="F248" s="2" t="str">
        <x:v>是</x:v>
      </x:c>
      <x:c r="G248" s="2" t="str">
        <x:v>Empirical | Speculative | Mixed | Unclear</x:v>
      </x:c>
      <x:c r="H248" s="6" t="str">
        <x:v>按字段定义提供</x:v>
      </x:c>
      <x:c r="I248" s="6" t="str">
        <x:v>使用 NR / NA / Unclear / No，不留空</x:v>
      </x:c>
      <x:c r="J248" s="6"/>
    </x:row>
    <x:row r="249" ht="23" customHeight="1">
      <x:c r="A249" s="2" t="str">
        <x:v>RQ6_局限</x:v>
      </x:c>
      <x:c r="B249" s="2" t="str">
        <x:v>一条来源明确报告的局限、威胁、失败或缓解证据</x:v>
      </x:c>
      <x:c r="C249" s="2" t="str">
        <x:v>affected_task</x:v>
      </x:c>
      <x:c r="D249" s="6" t="str">
        <x:v>受影响任务</x:v>
      </x:c>
      <x:c r="E249" s="6" t="str">
        <x:v>对应task_id或具体ST活动。</x:v>
      </x:c>
      <x:c r="F249" s="2" t="str">
        <x:v>条件必填</x:v>
      </x:c>
      <x:c r="G249" s="2" t="str">
        <x:v>自由文本</x:v>
      </x:c>
      <x:c r="H249" s="6" t="str">
        <x:v>按字段定义提供</x:v>
      </x:c>
      <x:c r="I249" s="6" t="str">
        <x:v>使用 NR / NA / Unclear / No，不留空</x:v>
      </x:c>
      <x:c r="J249" s="6"/>
    </x:row>
    <x:row r="250" ht="23" customHeight="1">
      <x:c r="A250" s="2" t="str">
        <x:v>RQ6_局限</x:v>
      </x:c>
      <x:c r="B250" s="2" t="str">
        <x:v>一条来源明确报告的局限、威胁、失败或缓解证据</x:v>
      </x:c>
      <x:c r="C250" s="2" t="str">
        <x:v>affected_model</x:v>
      </x:c>
      <x:c r="D250" s="6" t="str">
        <x:v>受影响模型</x:v>
      </x:c>
      <x:c r="E250" s="6" t="str">
        <x:v>对应model_use_id或模型范围。</x:v>
      </x:c>
      <x:c r="F250" s="2" t="str">
        <x:v>条件必填</x:v>
      </x:c>
      <x:c r="G250" s="2" t="str">
        <x:v>自由文本</x:v>
      </x:c>
      <x:c r="H250" s="6" t="str">
        <x:v>按字段定义提供</x:v>
      </x:c>
      <x:c r="I250" s="6" t="str">
        <x:v>使用 NR / NA / Unclear / No，不留空</x:v>
      </x:c>
      <x:c r="J250" s="6"/>
    </x:row>
    <x:row r="251" ht="23" customHeight="1">
      <x:c r="A251" s="2" t="str">
        <x:v>RQ6_局限</x:v>
      </x:c>
      <x:c r="B251" s="2" t="str">
        <x:v>一条来源明确报告的局限、威胁、失败或缓解证据</x:v>
      </x:c>
      <x:c r="C251" s="2" t="str">
        <x:v>affected_context</x:v>
      </x:c>
      <x:c r="D251" s="6" t="str">
        <x:v>受影响情境</x:v>
      </x:c>
      <x:c r="E251" s="6" t="str">
        <x:v>数据集、领域、项目、部署环境等。</x:v>
      </x:c>
      <x:c r="F251" s="2" t="str">
        <x:v>条件必填</x:v>
      </x:c>
      <x:c r="G251" s="2" t="str">
        <x:v>自由文本</x:v>
      </x:c>
      <x:c r="H251" s="6" t="str">
        <x:v>按字段定义提供</x:v>
      </x:c>
      <x:c r="I251" s="6" t="str">
        <x:v>使用 NR / NA / Unclear / No，不留空</x:v>
      </x:c>
      <x:c r="J251" s="6"/>
    </x:row>
    <x:row r="252" ht="23" customHeight="1">
      <x:c r="A252" s="2" t="str">
        <x:v>RQ6_局限</x:v>
      </x:c>
      <x:c r="B252" s="2" t="str">
        <x:v>一条来源明确报告的局限、威胁、失败或缓解证据</x:v>
      </x:c>
      <x:c r="C252" s="2" t="str">
        <x:v>consequence</x:v>
      </x:c>
      <x:c r="D252" s="6" t="str">
        <x:v>后果</x:v>
      </x:c>
      <x:c r="E252" s="6" t="str">
        <x:v>该局限对效度、性能、采用或维护的影响。</x:v>
      </x:c>
      <x:c r="F252" s="2" t="str">
        <x:v>是</x:v>
      </x:c>
      <x:c r="G252" s="2" t="str">
        <x:v>自由文本</x:v>
      </x:c>
      <x:c r="H252" s="6" t="str">
        <x:v>按字段定义提供</x:v>
      </x:c>
      <x:c r="I252" s="6" t="str">
        <x:v>使用 NR / NA / Unclear / No，不留空</x:v>
      </x:c>
      <x:c r="J252" s="6"/>
    </x:row>
    <x:row r="253" ht="23" customHeight="1">
      <x:c r="A253" s="2" t="str">
        <x:v>RQ6_局限</x:v>
      </x:c>
      <x:c r="B253" s="2" t="str">
        <x:v>一条来源明确报告的局限、威胁、失败或缓解证据</x:v>
      </x:c>
      <x:c r="C253" s="2" t="str">
        <x:v>severity_basis</x:v>
      </x:c>
      <x:c r="D253" s="6" t="str">
        <x:v>严重性依据</x:v>
      </x:c>
      <x:c r="E253" s="6" t="str">
        <x:v>来源提供的严重性、频率或影响依据；不在原始表主观打1-5分。</x:v>
      </x:c>
      <x:c r="F253" s="2" t="str">
        <x:v>条件必填</x:v>
      </x:c>
      <x:c r="G253" s="2" t="str">
        <x:v>自由文本</x:v>
      </x:c>
      <x:c r="H253" s="6" t="str">
        <x:v>按字段定义提供</x:v>
      </x:c>
      <x:c r="I253" s="6" t="str">
        <x:v>使用 NR / NA / Unclear / No，不留空</x:v>
      </x:c>
      <x:c r="J253" s="6"/>
    </x:row>
    <x:row r="254" ht="23" customHeight="1">
      <x:c r="A254" s="2" t="str">
        <x:v>RQ6_局限</x:v>
      </x:c>
      <x:c r="B254" s="2" t="str">
        <x:v>一条来源明确报告的局限、威胁、失败或缓解证据</x:v>
      </x:c>
      <x:c r="C254" s="2" t="str">
        <x:v>mitigation</x:v>
      </x:c>
      <x:c r="D254" s="6" t="str">
        <x:v>缓解措施</x:v>
      </x:c>
      <x:c r="E254" s="6" t="str">
        <x:v>来源提出或实施的缓解方法。</x:v>
      </x:c>
      <x:c r="F254" s="2" t="str">
        <x:v>条件必填</x:v>
      </x:c>
      <x:c r="G254" s="2" t="str">
        <x:v>自由文本</x:v>
      </x:c>
      <x:c r="H254" s="6" t="str">
        <x:v>按字段定义提供</x:v>
      </x:c>
      <x:c r="I254" s="6" t="str">
        <x:v>使用 NR / NA / Unclear / No，不留空</x:v>
      </x:c>
      <x:c r="J254" s="6"/>
    </x:row>
    <x:row r="255" ht="28" customHeight="1">
      <x:c r="A255" s="2" t="str">
        <x:v>RQ6_局限</x:v>
      </x:c>
      <x:c r="B255" s="2" t="str">
        <x:v>一条来源明确报告的局限、威胁、失败或缓解证据</x:v>
      </x:c>
      <x:c r="C255" s="2" t="str">
        <x:v>mitigation_status</x:v>
      </x:c>
      <x:c r="D255" s="6" t="str">
        <x:v>缓解状态</x:v>
      </x:c>
      <x:c r="E255" s="6" t="str">
        <x:v>未提出、提出、实施、评价或实际使用。</x:v>
      </x:c>
      <x:c r="F255" s="2" t="str">
        <x:v>条件必填</x:v>
      </x:c>
      <x:c r="G255" s="2" t="str">
        <x:v>Not proposed | Proposed | Implemented | Evaluated | Operationally used | Unclear</x:v>
      </x:c>
      <x:c r="H255" s="6" t="str">
        <x:v>按字段定义提供</x:v>
      </x:c>
      <x:c r="I255" s="6" t="str">
        <x:v>使用 NR / NA / Unclear / No，不留空</x:v>
      </x:c>
      <x:c r="J255" s="6"/>
    </x:row>
    <x:row r="256" ht="23" customHeight="1">
      <x:c r="A256" s="2" t="str">
        <x:v>RQ6_局限</x:v>
      </x:c>
      <x:c r="B256" s="2" t="str">
        <x:v>一条来源明确报告的局限、威胁、失败或缓解证据</x:v>
      </x:c>
      <x:c r="C256" s="2" t="str">
        <x:v>open_code</x:v>
      </x:c>
      <x:c r="D256" s="6" t="str">
        <x:v>开放码</x:v>
      </x:c>
      <x:c r="E256" s="6" t="str">
        <x:v>从原文形成的初始局限码。</x:v>
      </x:c>
      <x:c r="F256" s="2" t="str">
        <x:v>是</x:v>
      </x:c>
      <x:c r="G256" s="2" t="str">
        <x:v>自由文本</x:v>
      </x:c>
      <x:c r="H256" s="6" t="str">
        <x:v>按字段定义提供</x:v>
      </x:c>
      <x:c r="I256" s="6" t="str">
        <x:v>使用 NR / NA / Unclear / No，不留空</x:v>
      </x:c>
      <x:c r="J256" s="6"/>
    </x:row>
    <x:row r="257" ht="23" customHeight="1">
      <x:c r="A257" s="2" t="str">
        <x:v>RQ6_局限</x:v>
      </x:c>
      <x:c r="B257" s="2" t="str">
        <x:v>一条来源明确报告的局限、威胁、失败或缓解证据</x:v>
      </x:c>
      <x:c r="C257" s="2" t="str">
        <x:v>axial_code</x:v>
      </x:c>
      <x:c r="D257" s="6" t="str">
        <x:v>轴心码</x:v>
      </x:c>
      <x:c r="E257" s="6" t="str">
        <x:v>将相关开放码连接后的中层类别。</x:v>
      </x:c>
      <x:c r="F257" s="2" t="str">
        <x:v>条件必填</x:v>
      </x:c>
      <x:c r="G257" s="2" t="str">
        <x:v>自由文本</x:v>
      </x:c>
      <x:c r="H257" s="6" t="str">
        <x:v>按字段定义提供</x:v>
      </x:c>
      <x:c r="I257" s="6" t="str">
        <x:v>使用 NR / NA / Unclear / No，不留空</x:v>
      </x:c>
      <x:c r="J257" s="6"/>
    </x:row>
    <x:row r="258" ht="23" customHeight="1">
      <x:c r="A258" s="2" t="str">
        <x:v>RQ6_局限</x:v>
      </x:c>
      <x:c r="B258" s="2" t="str">
        <x:v>一条来源明确报告的局限、威胁、失败或缓解证据</x:v>
      </x:c>
      <x:c r="C258" s="2" t="str">
        <x:v>final_theme</x:v>
      </x:c>
      <x:c r="D258" s="6" t="str">
        <x:v>最终主题</x:v>
      </x:c>
      <x:c r="E258" s="6" t="str">
        <x:v>编码本冻结后的局限主题。</x:v>
      </x:c>
      <x:c r="F258" s="2" t="str">
        <x:v>条件必填</x:v>
      </x:c>
      <x:c r="G258" s="2" t="str">
        <x:v>自由文本</x:v>
      </x:c>
      <x:c r="H258" s="6" t="str">
        <x:v>按字段定义提供</x:v>
      </x:c>
      <x:c r="I258" s="6" t="str">
        <x:v>使用 NR / NA / Unclear / No，不留空</x:v>
      </x:c>
      <x:c r="J258" s="6"/>
    </x:row>
    <x:row r="259" ht="23" customHeight="1">
      <x:c r="A259" s="2" t="str">
        <x:v>RQ6_局限</x:v>
      </x:c>
      <x:c r="B259" s="2" t="str">
        <x:v>一条来源明确报告的局限、威胁、失败或缓解证据</x:v>
      </x:c>
      <x:c r="C259" s="2" t="str">
        <x:v>evidence_location</x:v>
      </x:c>
      <x:c r="D259" s="6" t="str">
        <x:v>证据位置</x:v>
      </x:c>
      <x:c r="E259" s="6" t="str">
        <x:v>页码、章节、表格、图或附录等可复核位置。</x:v>
      </x:c>
      <x:c r="F259" s="2" t="str">
        <x:v>是</x:v>
      </x:c>
      <x:c r="G259" s="2" t="str">
        <x:v>自由文本</x:v>
      </x:c>
      <x:c r="H259" s="6" t="str">
        <x:v>必须可定位</x:v>
      </x:c>
      <x:c r="I259" s="6" t="str">
        <x:v>使用 NR / NA / Unclear / No，不留空</x:v>
      </x:c>
      <x:c r="J259" s="6"/>
    </x:row>
    <x:row r="260" ht="23" customHeight="1">
      <x:c r="A260" s="2" t="str">
        <x:v>RQ6_局限</x:v>
      </x:c>
      <x:c r="B260" s="2" t="str">
        <x:v>一条来源明确报告的局限、威胁、失败或缓解证据</x:v>
      </x:c>
      <x:c r="C260" s="2" t="str">
        <x:v>evidence_verbatim</x:v>
      </x:c>
      <x:c r="D260" s="6" t="str">
        <x:v>原文证据</x:v>
      </x:c>
      <x:c r="E260" s="6" t="str">
        <x:v>支持本条记录的简短原文摘录；不得用综述者概括代替。</x:v>
      </x:c>
      <x:c r="F260" s="2" t="str">
        <x:v>是</x:v>
      </x:c>
      <x:c r="G260" s="2" t="str">
        <x:v>自由文本</x:v>
      </x:c>
      <x:c r="H260" s="6" t="str">
        <x:v>必须保留原文</x:v>
      </x:c>
      <x:c r="I260" s="6" t="str">
        <x:v>使用 NR / NA / Unclear / No，不留空</x:v>
      </x:c>
      <x:c r="J260" s="6"/>
    </x:row>
    <x:row r="261" ht="23" customHeight="1">
      <x:c r="A261" s="2" t="str">
        <x:v>RQ6_局限</x:v>
      </x:c>
      <x:c r="B261" s="2" t="str">
        <x:v>一条来源明确报告的局限、威胁、失败或缓解证据</x:v>
      </x:c>
      <x:c r="C261" s="2" t="str">
        <x:v>reviewer_interpretation</x:v>
      </x:c>
      <x:c r="D261" s="6" t="str">
        <x:v>评审者解释</x:v>
      </x:c>
      <x:c r="E261" s="6" t="str">
        <x:v>对原文含义及编码理由的简洁解释，与原文证据分开保存。</x:v>
      </x:c>
      <x:c r="F261" s="2" t="str">
        <x:v>条件必填</x:v>
      </x:c>
      <x:c r="G261" s="2" t="str">
        <x:v>自由文本</x:v>
      </x:c>
      <x:c r="H261" s="6" t="str">
        <x:v>按字段定义提供</x:v>
      </x:c>
      <x:c r="I261" s="6" t="str">
        <x:v>使用 NR / NA / Unclear / No，不留空</x:v>
      </x:c>
      <x:c r="J261" s="6"/>
    </x:row>
    <x:row r="262" ht="28" customHeight="1">
      <x:c r="A262" s="2" t="str">
        <x:v>RQ6_局限</x:v>
      </x:c>
      <x:c r="B262" s="2" t="str">
        <x:v>一条来源明确报告的局限、威胁、失败或缓解证据</x:v>
      </x:c>
      <x:c r="C262" s="2" t="str">
        <x:v>record_status</x:v>
      </x:c>
      <x:c r="D262" s="6" t="str">
        <x:v>记录状态</x:v>
      </x:c>
      <x:c r="E262" s="6" t="str">
        <x:v>记录是否已接受、修订、拒绝或形成共识。</x:v>
      </x:c>
      <x:c r="F262" s="2" t="str">
        <x:v>是</x:v>
      </x:c>
      <x:c r="G262" s="2" t="str">
        <x:v>Unreviewed | Accepted | Revised | Rejected | Consensus</x:v>
      </x:c>
      <x:c r="H262" s="6" t="str">
        <x:v>按字段定义提供</x:v>
      </x:c>
      <x:c r="I262" s="6" t="str">
        <x:v>使用 NR / NA / Unclear / No，不留空</x:v>
      </x:c>
      <x:c r="J262" s="6"/>
    </x:row>
    <x:row r="263" ht="23" customHeight="1">
      <x:c r="A263" s="2" t="str">
        <x:v>RQ6_局限</x:v>
      </x:c>
      <x:c r="B263" s="2" t="str">
        <x:v>一条来源明确报告的局限、威胁、失败或缓解证据</x:v>
      </x:c>
      <x:c r="C263" s="2" t="str">
        <x:v>notes</x:v>
      </x:c>
      <x:c r="D263" s="6" t="str">
        <x:v>备注</x:v>
      </x:c>
      <x:c r="E263" s="6" t="str">
        <x:v>边界情况、冲突、待核查内容或其他说明。</x:v>
      </x:c>
      <x:c r="F263" s="2" t="str">
        <x:v>否</x:v>
      </x:c>
      <x:c r="G263" s="2" t="str">
        <x:v>自由文本</x:v>
      </x:c>
      <x:c r="H263" s="6" t="str">
        <x:v>按字段定义提供</x:v>
      </x:c>
      <x:c r="I263" s="6" t="str">
        <x:v>可留空</x:v>
      </x:c>
      <x:c r="J263" s="6"/>
    </x:row>
    <x:row r="264" ht="23" customHeight="1">
      <x:c r="A264" s="2" t="str">
        <x:v>RQ7_未来方向</x:v>
      </x:c>
      <x:c r="B264" s="2" t="str">
        <x:v>一条来源明确提出的未来工作、建议或研究缺口</x:v>
      </x:c>
      <x:c r="C264" s="2" t="str">
        <x:v>record_id</x:v>
      </x:c>
      <x:c r="D264" s="6" t="str">
        <x:v>记录ID</x:v>
      </x:c>
      <x:c r="E264" s="6" t="str">
        <x:v>当前表中该条记录的稳定唯一ID。</x:v>
      </x:c>
      <x:c r="F264" s="2" t="str">
        <x:v>是</x:v>
      </x:c>
      <x:c r="G264" s="2" t="str">
        <x:v>自由文本</x:v>
      </x:c>
      <x:c r="H264" s="6" t="str">
        <x:v>按字段定义提供</x:v>
      </x:c>
      <x:c r="I264" s="6" t="str">
        <x:v>使用 NR / NA / Unclear / No，不留空</x:v>
      </x:c>
      <x:c r="J264" s="6" t="str">
        <x:v>建议格式：S001-C01、S001-T01等。</x:v>
      </x:c>
    </x:row>
    <x:row r="265" ht="23" customHeight="1">
      <x:c r="A265" s="2" t="str">
        <x:v>RQ7_未来方向</x:v>
      </x:c>
      <x:c r="B265" s="2" t="str">
        <x:v>一条来源明确提出的未来工作、建议或研究缺口</x:v>
      </x:c>
      <x:c r="C265" s="2" t="str">
        <x:v>study_id</x:v>
      </x:c>
      <x:c r="D265" s="6" t="str">
        <x:v>研究ID</x:v>
      </x:c>
      <x:c r="E265" s="6" t="str">
        <x:v>连接研究索引与所有抽取表的稳定研究标识。</x:v>
      </x:c>
      <x:c r="F265" s="2" t="str">
        <x:v>是</x:v>
      </x:c>
      <x:c r="G265" s="2" t="str">
        <x:v>study_id</x:v>
      </x:c>
      <x:c r="H265" s="6" t="str">
        <x:v>按字段定义提供</x:v>
      </x:c>
      <x:c r="I265" s="6" t="str">
        <x:v>使用 NR / NA / Unclear / No，不留空</x:v>
      </x:c>
      <x:c r="J265" s="6" t="str">
        <x:v>建议格式：S001。</x:v>
      </x:c>
    </x:row>
    <x:row r="266" ht="23" customHeight="1">
      <x:c r="A266" s="2" t="str">
        <x:v>RQ7_未来方向</x:v>
      </x:c>
      <x:c r="B266" s="2" t="str">
        <x:v>一条来源明确提出的未来工作、建议或研究缺口</x:v>
      </x:c>
      <x:c r="C266" s="2" t="str">
        <x:v>version_id</x:v>
      </x:c>
      <x:c r="D266" s="6" t="str">
        <x:v>版本ID</x:v>
      </x:c>
      <x:c r="E266" s="6" t="str">
        <x:v>本次抽取所依据的具体论文版本标识。</x:v>
      </x:c>
      <x:c r="F266" s="2" t="str">
        <x:v>是</x:v>
      </x:c>
      <x:c r="G266" s="2" t="str">
        <x:v>version_id</x:v>
      </x:c>
      <x:c r="H266" s="6" t="str">
        <x:v>按字段定义提供</x:v>
      </x:c>
      <x:c r="I266" s="6" t="str">
        <x:v>使用 NR / NA / Unclear / No，不留空</x:v>
      </x:c>
      <x:c r="J266" s="6" t="str">
        <x:v>同一study family不同版本不得混写。</x:v>
      </x:c>
    </x:row>
    <x:row r="267" ht="23" customHeight="1">
      <x:c r="A267" s="2" t="str">
        <x:v>RQ7_未来方向</x:v>
      </x:c>
      <x:c r="B267" s="2" t="str">
        <x:v>一条来源明确提出的未来工作、建议或研究缺口</x:v>
      </x:c>
      <x:c r="C267" s="2" t="str">
        <x:v>review_stage</x:v>
      </x:c>
      <x:c r="D267" s="6" t="str">
        <x:v>记录阶段</x:v>
      </x:c>
      <x:c r="E267" s="6" t="str">
        <x:v>区分两名独立评审者、共识与仲裁记录。</x:v>
      </x:c>
      <x:c r="F267" s="2" t="str">
        <x:v>是</x:v>
      </x:c>
      <x:c r="G267" s="2" t="str">
        <x:v>Reviewer_A | Reviewer_B | Consensus | Arbitration</x:v>
      </x:c>
      <x:c r="H267" s="6" t="str">
        <x:v>按字段定义提供</x:v>
      </x:c>
      <x:c r="I267" s="6" t="str">
        <x:v>使用 NR / NA / Unclear / No，不留空</x:v>
      </x:c>
      <x:c r="J267" s="6"/>
    </x:row>
    <x:row r="268" ht="23" customHeight="1">
      <x:c r="A268" s="2" t="str">
        <x:v>RQ7_未来方向</x:v>
      </x:c>
      <x:c r="B268" s="2" t="str">
        <x:v>一条来源明确提出的未来工作、建议或研究缺口</x:v>
      </x:c>
      <x:c r="C268" s="2" t="str">
        <x:v>reviewer_id</x:v>
      </x:c>
      <x:c r="D268" s="6" t="str">
        <x:v>评审者ID</x:v>
      </x:c>
      <x:c r="E268" s="6" t="str">
        <x:v>完成该条记录的评审者或共识组标识。</x:v>
      </x:c>
      <x:c r="F268" s="2" t="str">
        <x:v>是</x:v>
      </x:c>
      <x:c r="G268" s="2" t="str">
        <x:v>自由文本</x:v>
      </x:c>
      <x:c r="H268" s="6" t="str">
        <x:v>按字段定义提供</x:v>
      </x:c>
      <x:c r="I268" s="6" t="str">
        <x:v>使用 NR / NA / Unclear / No，不留空</x:v>
      </x:c>
      <x:c r="J268" s="6"/>
    </x:row>
    <x:row r="269" ht="23" customHeight="1">
      <x:c r="A269" s="2" t="str">
        <x:v>RQ7_未来方向</x:v>
      </x:c>
      <x:c r="B269" s="2" t="str">
        <x:v>一条来源明确提出的未来工作、建议或研究缺口</x:v>
      </x:c>
      <x:c r="C269" s="2" t="str">
        <x:v>direction_id</x:v>
      </x:c>
      <x:c r="D269" s="6" t="str">
        <x:v>方向ID</x:v>
      </x:c>
      <x:c r="E269" s="6" t="str">
        <x:v>未来方向记录的稳定标识。</x:v>
      </x:c>
      <x:c r="F269" s="2" t="str">
        <x:v>是</x:v>
      </x:c>
      <x:c r="G269" s="2" t="str">
        <x:v>自由文本</x:v>
      </x:c>
      <x:c r="H269" s="6" t="str">
        <x:v>按字段定义提供</x:v>
      </x:c>
      <x:c r="I269" s="6" t="str">
        <x:v>使用 NR / NA / Unclear / No，不留空</x:v>
      </x:c>
      <x:c r="J269" s="6"/>
    </x:row>
    <x:row r="270" ht="23" customHeight="1">
      <x:c r="A270" s="2" t="str">
        <x:v>RQ7_未来方向</x:v>
      </x:c>
      <x:c r="B270" s="2" t="str">
        <x:v>一条来源明确提出的未来工作、建议或研究缺口</x:v>
      </x:c>
      <x:c r="C270" s="2" t="str">
        <x:v>evidence_tag</x:v>
      </x:c>
      <x:c r="D270" s="6" t="str">
        <x:v>证据标签</x:v>
      </x:c>
      <x:c r="E270" s="6" t="str">
        <x:v>原始抽取表仅允许SR；SY/AI在后续综合表生成。</x:v>
      </x:c>
      <x:c r="F270" s="2" t="str">
        <x:v>是</x:v>
      </x:c>
      <x:c r="G270" s="2" t="str">
        <x:v>SR</x:v>
      </x:c>
      <x:c r="H270" s="6" t="str">
        <x:v>按字段定义提供</x:v>
      </x:c>
      <x:c r="I270" s="6" t="str">
        <x:v>使用 NR / NA / Unclear / No，不留空</x:v>
      </x:c>
      <x:c r="J270" s="6"/>
    </x:row>
    <x:row r="271" ht="28" customHeight="1">
      <x:c r="A271" s="2" t="str">
        <x:v>RQ7_未来方向</x:v>
      </x:c>
      <x:c r="B271" s="2" t="str">
        <x:v>一条来源明确提出的未来工作、建议或研究缺口</x:v>
      </x:c>
      <x:c r="C271" s="2" t="str">
        <x:v>future_basis</x:v>
      </x:c>
      <x:c r="D271" s="6" t="str">
        <x:v>来源形式</x:v>
      </x:c>
      <x:c r="E271" s="6" t="str">
        <x:v>明确未来工作、建议、研究缺口或Unclear。</x:v>
      </x:c>
      <x:c r="F271" s="2" t="str">
        <x:v>是</x:v>
      </x:c>
      <x:c r="G271" s="2" t="str">
        <x:v>Explicit future work | Explicit recommendation | Explicit research gap | Unclear</x:v>
      </x:c>
      <x:c r="H271" s="6" t="str">
        <x:v>按字段定义提供</x:v>
      </x:c>
      <x:c r="I271" s="6" t="str">
        <x:v>使用 NR / NA / Unclear / No，不留空</x:v>
      </x:c>
      <x:c r="J271" s="6"/>
    </x:row>
    <x:row r="272" ht="23" customHeight="1">
      <x:c r="A272" s="2" t="str">
        <x:v>RQ7_未来方向</x:v>
      </x:c>
      <x:c r="B272" s="2" t="str">
        <x:v>一条来源明确提出的未来工作、建议或研究缺口</x:v>
      </x:c>
      <x:c r="C272" s="2" t="str">
        <x:v>direction_raw</x:v>
      </x:c>
      <x:c r="D272" s="6" t="str">
        <x:v>来源方向表述</x:v>
      </x:c>
      <x:c r="E272" s="6" t="str">
        <x:v>忠实于来源的未来研究方向概括。</x:v>
      </x:c>
      <x:c r="F272" s="2" t="str">
        <x:v>是</x:v>
      </x:c>
      <x:c r="G272" s="2" t="str">
        <x:v>自由文本</x:v>
      </x:c>
      <x:c r="H272" s="6" t="str">
        <x:v>按字段定义提供</x:v>
      </x:c>
      <x:c r="I272" s="6" t="str">
        <x:v>使用 NR / NA / Unclear / No，不留空</x:v>
      </x:c>
      <x:c r="J272" s="6"/>
    </x:row>
    <x:row r="273" ht="23" customHeight="1">
      <x:c r="A273" s="2" t="str">
        <x:v>RQ7_未来方向</x:v>
      </x:c>
      <x:c r="B273" s="2" t="str">
        <x:v>一条来源明确提出的未来工作、建议或研究缺口</x:v>
      </x:c>
      <x:c r="C273" s="2" t="str">
        <x:v>linked_limitation_id</x:v>
      </x:c>
      <x:c r="D273" s="6" t="str">
        <x:v>关联局限ID</x:v>
      </x:c>
      <x:c r="E273" s="6" t="str">
        <x:v>该方向要解决的RQ6局限；无明确对应时记NR。</x:v>
      </x:c>
      <x:c r="F273" s="2" t="str">
        <x:v>条件必填</x:v>
      </x:c>
      <x:c r="G273" s="2" t="str">
        <x:v>自由文本</x:v>
      </x:c>
      <x:c r="H273" s="6" t="str">
        <x:v>按字段定义提供</x:v>
      </x:c>
      <x:c r="I273" s="6" t="str">
        <x:v>使用 NR / NA / Unclear / No，不留空</x:v>
      </x:c>
      <x:c r="J273" s="6"/>
    </x:row>
    <x:row r="274" ht="23" customHeight="1">
      <x:c r="A274" s="2" t="str">
        <x:v>RQ7_未来方向</x:v>
      </x:c>
      <x:c r="B274" s="2" t="str">
        <x:v>一条来源明确提出的未来工作、建议或研究缺口</x:v>
      </x:c>
      <x:c r="C274" s="2" t="str">
        <x:v>target_problem</x:v>
      </x:c>
      <x:c r="D274" s="6" t="str">
        <x:v>目标问题</x:v>
      </x:c>
      <x:c r="E274" s="6" t="str">
        <x:v>该方向拟解决的问题或证据缺口。</x:v>
      </x:c>
      <x:c r="F274" s="2" t="str">
        <x:v>是</x:v>
      </x:c>
      <x:c r="G274" s="2" t="str">
        <x:v>自由文本</x:v>
      </x:c>
      <x:c r="H274" s="6" t="str">
        <x:v>按字段定义提供</x:v>
      </x:c>
      <x:c r="I274" s="6" t="str">
        <x:v>使用 NR / NA / Unclear / No，不留空</x:v>
      </x:c>
      <x:c r="J274" s="6"/>
    </x:row>
    <x:row r="275" ht="23" customHeight="1">
      <x:c r="A275" s="2" t="str">
        <x:v>RQ7_未来方向</x:v>
      </x:c>
      <x:c r="B275" s="2" t="str">
        <x:v>一条来源明确提出的未来工作、建议或研究缺口</x:v>
      </x:c>
      <x:c r="C275" s="2" t="str">
        <x:v>implementation_condition</x:v>
      </x:c>
      <x:c r="D275" s="6" t="str">
        <x:v>实施条件</x:v>
      </x:c>
      <x:c r="E275" s="6" t="str">
        <x:v>数据、模型、人员、工具或组织前提。</x:v>
      </x:c>
      <x:c r="F275" s="2" t="str">
        <x:v>条件必填</x:v>
      </x:c>
      <x:c r="G275" s="2" t="str">
        <x:v>自由文本</x:v>
      </x:c>
      <x:c r="H275" s="6" t="str">
        <x:v>按字段定义提供</x:v>
      </x:c>
      <x:c r="I275" s="6" t="str">
        <x:v>使用 NR / NA / Unclear / No，不留空</x:v>
      </x:c>
      <x:c r="J275" s="6"/>
    </x:row>
    <x:row r="276" ht="23" customHeight="1">
      <x:c r="A276" s="2" t="str">
        <x:v>RQ7_未来方向</x:v>
      </x:c>
      <x:c r="B276" s="2" t="str">
        <x:v>一条来源明确提出的未来工作、建议或研究缺口</x:v>
      </x:c>
      <x:c r="C276" s="2" t="str">
        <x:v>initial_evidence</x:v>
      </x:c>
      <x:c r="D276" s="6" t="str">
        <x:v>初步证据</x:v>
      </x:c>
      <x:c r="E276" s="6" t="str">
        <x:v>来源是否已提供原型、实验或概念依据。</x:v>
      </x:c>
      <x:c r="F276" s="2" t="str">
        <x:v>条件必填</x:v>
      </x:c>
      <x:c r="G276" s="2" t="str">
        <x:v>自由文本</x:v>
      </x:c>
      <x:c r="H276" s="6" t="str">
        <x:v>按字段定义提供</x:v>
      </x:c>
      <x:c r="I276" s="6" t="str">
        <x:v>使用 NR / NA / Unclear / No，不留空</x:v>
      </x:c>
      <x:c r="J276" s="6"/>
    </x:row>
    <x:row r="277" ht="23" customHeight="1">
      <x:c r="A277" s="2" t="str">
        <x:v>RQ7_未来方向</x:v>
      </x:c>
      <x:c r="B277" s="2" t="str">
        <x:v>一条来源明确提出的未来工作、建议或研究缺口</x:v>
      </x:c>
      <x:c r="C277" s="2" t="str">
        <x:v>empirical_or_speculative</x:v>
      </x:c>
      <x:c r="D277" s="6" t="str">
        <x:v>方向依据</x:v>
      </x:c>
      <x:c r="E277" s="6" t="str">
        <x:v>方向是经验驱动、推测或混合。</x:v>
      </x:c>
      <x:c r="F277" s="2" t="str">
        <x:v>条件必填</x:v>
      </x:c>
      <x:c r="G277" s="2" t="str">
        <x:v>Empirical | Speculative | Mixed | Unclear</x:v>
      </x:c>
      <x:c r="H277" s="6" t="str">
        <x:v>按字段定义提供</x:v>
      </x:c>
      <x:c r="I277" s="6" t="str">
        <x:v>使用 NR / NA / Unclear / No，不留空</x:v>
      </x:c>
      <x:c r="J277" s="6"/>
    </x:row>
    <x:row r="278" ht="23" customHeight="1">
      <x:c r="A278" s="2" t="str">
        <x:v>RQ7_未来方向</x:v>
      </x:c>
      <x:c r="B278" s="2" t="str">
        <x:v>一条来源明确提出的未来工作、建议或研究缺口</x:v>
      </x:c>
      <x:c r="C278" s="2" t="str">
        <x:v>open_code</x:v>
      </x:c>
      <x:c r="D278" s="6" t="str">
        <x:v>开放码</x:v>
      </x:c>
      <x:c r="E278" s="6" t="str">
        <x:v>从原文形成的初始方向码。</x:v>
      </x:c>
      <x:c r="F278" s="2" t="str">
        <x:v>是</x:v>
      </x:c>
      <x:c r="G278" s="2" t="str">
        <x:v>自由文本</x:v>
      </x:c>
      <x:c r="H278" s="6" t="str">
        <x:v>按字段定义提供</x:v>
      </x:c>
      <x:c r="I278" s="6" t="str">
        <x:v>使用 NR / NA / Unclear / No，不留空</x:v>
      </x:c>
      <x:c r="J278" s="6"/>
    </x:row>
    <x:row r="279" ht="23" customHeight="1">
      <x:c r="A279" s="2" t="str">
        <x:v>RQ7_未来方向</x:v>
      </x:c>
      <x:c r="B279" s="2" t="str">
        <x:v>一条来源明确提出的未来工作、建议或研究缺口</x:v>
      </x:c>
      <x:c r="C279" s="2" t="str">
        <x:v>axial_code</x:v>
      </x:c>
      <x:c r="D279" s="6" t="str">
        <x:v>轴心码</x:v>
      </x:c>
      <x:c r="E279" s="6" t="str">
        <x:v>将相关开放码连接后的中层类别。</x:v>
      </x:c>
      <x:c r="F279" s="2" t="str">
        <x:v>条件必填</x:v>
      </x:c>
      <x:c r="G279" s="2" t="str">
        <x:v>自由文本</x:v>
      </x:c>
      <x:c r="H279" s="6" t="str">
        <x:v>按字段定义提供</x:v>
      </x:c>
      <x:c r="I279" s="6" t="str">
        <x:v>使用 NR / NA / Unclear / No，不留空</x:v>
      </x:c>
      <x:c r="J279" s="6"/>
    </x:row>
    <x:row r="280" ht="23" customHeight="1">
      <x:c r="A280" s="2" t="str">
        <x:v>RQ7_未来方向</x:v>
      </x:c>
      <x:c r="B280" s="2" t="str">
        <x:v>一条来源明确提出的未来工作、建议或研究缺口</x:v>
      </x:c>
      <x:c r="C280" s="2" t="str">
        <x:v>final_theme</x:v>
      </x:c>
      <x:c r="D280" s="6" t="str">
        <x:v>最终主题</x:v>
      </x:c>
      <x:c r="E280" s="6" t="str">
        <x:v>编码本冻结后的未来方向主题。</x:v>
      </x:c>
      <x:c r="F280" s="2" t="str">
        <x:v>条件必填</x:v>
      </x:c>
      <x:c r="G280" s="2" t="str">
        <x:v>自由文本</x:v>
      </x:c>
      <x:c r="H280" s="6" t="str">
        <x:v>按字段定义提供</x:v>
      </x:c>
      <x:c r="I280" s="6" t="str">
        <x:v>使用 NR / NA / Unclear / No，不留空</x:v>
      </x:c>
      <x:c r="J280" s="6"/>
    </x:row>
    <x:row r="281" ht="23" customHeight="1">
      <x:c r="A281" s="2" t="str">
        <x:v>RQ7_未来方向</x:v>
      </x:c>
      <x:c r="B281" s="2" t="str">
        <x:v>一条来源明确提出的未来工作、建议或研究缺口</x:v>
      </x:c>
      <x:c r="C281" s="2" t="str">
        <x:v>evidence_location</x:v>
      </x:c>
      <x:c r="D281" s="6" t="str">
        <x:v>证据位置</x:v>
      </x:c>
      <x:c r="E281" s="6" t="str">
        <x:v>页码、章节、表格、图或附录等可复核位置。</x:v>
      </x:c>
      <x:c r="F281" s="2" t="str">
        <x:v>是</x:v>
      </x:c>
      <x:c r="G281" s="2" t="str">
        <x:v>自由文本</x:v>
      </x:c>
      <x:c r="H281" s="6" t="str">
        <x:v>必须可定位</x:v>
      </x:c>
      <x:c r="I281" s="6" t="str">
        <x:v>使用 NR / NA / Unclear / No，不留空</x:v>
      </x:c>
      <x:c r="J281" s="6"/>
    </x:row>
    <x:row r="282" ht="23" customHeight="1">
      <x:c r="A282" s="2" t="str">
        <x:v>RQ7_未来方向</x:v>
      </x:c>
      <x:c r="B282" s="2" t="str">
        <x:v>一条来源明确提出的未来工作、建议或研究缺口</x:v>
      </x:c>
      <x:c r="C282" s="2" t="str">
        <x:v>evidence_verbatim</x:v>
      </x:c>
      <x:c r="D282" s="6" t="str">
        <x:v>原文证据</x:v>
      </x:c>
      <x:c r="E282" s="6" t="str">
        <x:v>支持本条记录的简短原文摘录；不得用综述者概括代替。</x:v>
      </x:c>
      <x:c r="F282" s="2" t="str">
        <x:v>是</x:v>
      </x:c>
      <x:c r="G282" s="2" t="str">
        <x:v>自由文本</x:v>
      </x:c>
      <x:c r="H282" s="6" t="str">
        <x:v>必须保留原文</x:v>
      </x:c>
      <x:c r="I282" s="6" t="str">
        <x:v>使用 NR / NA / Unclear / No，不留空</x:v>
      </x:c>
      <x:c r="J282" s="6"/>
    </x:row>
    <x:row r="283" ht="23" customHeight="1">
      <x:c r="A283" s="2" t="str">
        <x:v>RQ7_未来方向</x:v>
      </x:c>
      <x:c r="B283" s="2" t="str">
        <x:v>一条来源明确提出的未来工作、建议或研究缺口</x:v>
      </x:c>
      <x:c r="C283" s="2" t="str">
        <x:v>reviewer_interpretation</x:v>
      </x:c>
      <x:c r="D283" s="6" t="str">
        <x:v>评审者解释</x:v>
      </x:c>
      <x:c r="E283" s="6" t="str">
        <x:v>对原文含义及编码理由的简洁解释，与原文证据分开保存。</x:v>
      </x:c>
      <x:c r="F283" s="2" t="str">
        <x:v>条件必填</x:v>
      </x:c>
      <x:c r="G283" s="2" t="str">
        <x:v>自由文本</x:v>
      </x:c>
      <x:c r="H283" s="6" t="str">
        <x:v>按字段定义提供</x:v>
      </x:c>
      <x:c r="I283" s="6" t="str">
        <x:v>使用 NR / NA / Unclear / No，不留空</x:v>
      </x:c>
      <x:c r="J283" s="6"/>
    </x:row>
    <x:row r="284" ht="28" customHeight="1">
      <x:c r="A284" s="2" t="str">
        <x:v>RQ7_未来方向</x:v>
      </x:c>
      <x:c r="B284" s="2" t="str">
        <x:v>一条来源明确提出的未来工作、建议或研究缺口</x:v>
      </x:c>
      <x:c r="C284" s="2" t="str">
        <x:v>record_status</x:v>
      </x:c>
      <x:c r="D284" s="6" t="str">
        <x:v>记录状态</x:v>
      </x:c>
      <x:c r="E284" s="6" t="str">
        <x:v>记录是否已接受、修订、拒绝或形成共识。</x:v>
      </x:c>
      <x:c r="F284" s="2" t="str">
        <x:v>是</x:v>
      </x:c>
      <x:c r="G284" s="2" t="str">
        <x:v>Unreviewed | Accepted | Revised | Rejected | Consensus</x:v>
      </x:c>
      <x:c r="H284" s="6" t="str">
        <x:v>按字段定义提供</x:v>
      </x:c>
      <x:c r="I284" s="6" t="str">
        <x:v>使用 NR / NA / Unclear / No，不留空</x:v>
      </x:c>
      <x:c r="J284" s="6"/>
    </x:row>
    <x:row r="285" ht="23" customHeight="1">
      <x:c r="A285" s="2" t="str">
        <x:v>RQ7_未来方向</x:v>
      </x:c>
      <x:c r="B285" s="2" t="str">
        <x:v>一条来源明确提出的未来工作、建议或研究缺口</x:v>
      </x:c>
      <x:c r="C285" s="2" t="str">
        <x:v>notes</x:v>
      </x:c>
      <x:c r="D285" s="6" t="str">
        <x:v>备注</x:v>
      </x:c>
      <x:c r="E285" s="6" t="str">
        <x:v>边界情况、冲突、待核查内容或其他说明。</x:v>
      </x:c>
      <x:c r="F285" s="2" t="str">
        <x:v>否</x:v>
      </x:c>
      <x:c r="G285" s="2" t="str">
        <x:v>自由文本</x:v>
      </x:c>
      <x:c r="H285" s="6" t="str">
        <x:v>按字段定义提供</x:v>
      </x:c>
      <x:c r="I285" s="6" t="str">
        <x:v>可留空</x:v>
      </x:c>
      <x:c r="J285" s="6"/>
    </x:row>
    <x:row r="286" ht="23" customHeight="1">
      <x:c r="A286" s="2" t="str">
        <x:v>公共_复现资源</x:v>
      </x:c>
      <x:c r="B286" s="2" t="str">
        <x:v>一项可定位的代码、数据、提示、工具或补充资源</x:v>
      </x:c>
      <x:c r="C286" s="2" t="str">
        <x:v>record_id</x:v>
      </x:c>
      <x:c r="D286" s="6" t="str">
        <x:v>记录ID</x:v>
      </x:c>
      <x:c r="E286" s="6" t="str">
        <x:v>当前表中该条记录的稳定唯一ID。</x:v>
      </x:c>
      <x:c r="F286" s="2" t="str">
        <x:v>是</x:v>
      </x:c>
      <x:c r="G286" s="2" t="str">
        <x:v>自由文本</x:v>
      </x:c>
      <x:c r="H286" s="6" t="str">
        <x:v>按字段定义提供</x:v>
      </x:c>
      <x:c r="I286" s="6" t="str">
        <x:v>使用 NR / NA / Unclear / No，不留空</x:v>
      </x:c>
      <x:c r="J286" s="6" t="str">
        <x:v>建议格式：S001-C01、S001-T01等。</x:v>
      </x:c>
    </x:row>
    <x:row r="287" ht="23" customHeight="1">
      <x:c r="A287" s="2" t="str">
        <x:v>公共_复现资源</x:v>
      </x:c>
      <x:c r="B287" s="2" t="str">
        <x:v>一项可定位的代码、数据、提示、工具或补充资源</x:v>
      </x:c>
      <x:c r="C287" s="2" t="str">
        <x:v>study_id</x:v>
      </x:c>
      <x:c r="D287" s="6" t="str">
        <x:v>研究ID</x:v>
      </x:c>
      <x:c r="E287" s="6" t="str">
        <x:v>连接研究索引与所有抽取表的稳定研究标识。</x:v>
      </x:c>
      <x:c r="F287" s="2" t="str">
        <x:v>是</x:v>
      </x:c>
      <x:c r="G287" s="2" t="str">
        <x:v>study_id</x:v>
      </x:c>
      <x:c r="H287" s="6" t="str">
        <x:v>按字段定义提供</x:v>
      </x:c>
      <x:c r="I287" s="6" t="str">
        <x:v>使用 NR / NA / Unclear / No，不留空</x:v>
      </x:c>
      <x:c r="J287" s="6" t="str">
        <x:v>建议格式：S001。</x:v>
      </x:c>
    </x:row>
    <x:row r="288" ht="23" customHeight="1">
      <x:c r="A288" s="2" t="str">
        <x:v>公共_复现资源</x:v>
      </x:c>
      <x:c r="B288" s="2" t="str">
        <x:v>一项可定位的代码、数据、提示、工具或补充资源</x:v>
      </x:c>
      <x:c r="C288" s="2" t="str">
        <x:v>version_id</x:v>
      </x:c>
      <x:c r="D288" s="6" t="str">
        <x:v>版本ID</x:v>
      </x:c>
      <x:c r="E288" s="6" t="str">
        <x:v>本次抽取所依据的具体论文版本标识。</x:v>
      </x:c>
      <x:c r="F288" s="2" t="str">
        <x:v>是</x:v>
      </x:c>
      <x:c r="G288" s="2" t="str">
        <x:v>version_id</x:v>
      </x:c>
      <x:c r="H288" s="6" t="str">
        <x:v>按字段定义提供</x:v>
      </x:c>
      <x:c r="I288" s="6" t="str">
        <x:v>使用 NR / NA / Unclear / No，不留空</x:v>
      </x:c>
      <x:c r="J288" s="6" t="str">
        <x:v>同一study family不同版本不得混写。</x:v>
      </x:c>
    </x:row>
    <x:row r="289" ht="23" customHeight="1">
      <x:c r="A289" s="2" t="str">
        <x:v>公共_复现资源</x:v>
      </x:c>
      <x:c r="B289" s="2" t="str">
        <x:v>一项可定位的代码、数据、提示、工具或补充资源</x:v>
      </x:c>
      <x:c r="C289" s="2" t="str">
        <x:v>review_stage</x:v>
      </x:c>
      <x:c r="D289" s="6" t="str">
        <x:v>记录阶段</x:v>
      </x:c>
      <x:c r="E289" s="6" t="str">
        <x:v>区分两名独立评审者、共识与仲裁记录。</x:v>
      </x:c>
      <x:c r="F289" s="2" t="str">
        <x:v>是</x:v>
      </x:c>
      <x:c r="G289" s="2" t="str">
        <x:v>Reviewer_A | Reviewer_B | Consensus | Arbitration</x:v>
      </x:c>
      <x:c r="H289" s="6" t="str">
        <x:v>按字段定义提供</x:v>
      </x:c>
      <x:c r="I289" s="6" t="str">
        <x:v>使用 NR / NA / Unclear / No，不留空</x:v>
      </x:c>
      <x:c r="J289" s="6"/>
    </x:row>
    <x:row r="290" ht="23" customHeight="1">
      <x:c r="A290" s="2" t="str">
        <x:v>公共_复现资源</x:v>
      </x:c>
      <x:c r="B290" s="2" t="str">
        <x:v>一项可定位的代码、数据、提示、工具或补充资源</x:v>
      </x:c>
      <x:c r="C290" s="2" t="str">
        <x:v>reviewer_id</x:v>
      </x:c>
      <x:c r="D290" s="6" t="str">
        <x:v>评审者ID</x:v>
      </x:c>
      <x:c r="E290" s="6" t="str">
        <x:v>完成该条记录的评审者或共识组标识。</x:v>
      </x:c>
      <x:c r="F290" s="2" t="str">
        <x:v>是</x:v>
      </x:c>
      <x:c r="G290" s="2" t="str">
        <x:v>自由文本</x:v>
      </x:c>
      <x:c r="H290" s="6" t="str">
        <x:v>按字段定义提供</x:v>
      </x:c>
      <x:c r="I290" s="6" t="str">
        <x:v>使用 NR / NA / Unclear / No，不留空</x:v>
      </x:c>
      <x:c r="J290" s="6"/>
    </x:row>
    <x:row r="291" ht="23" customHeight="1">
      <x:c r="A291" s="2" t="str">
        <x:v>公共_复现资源</x:v>
      </x:c>
      <x:c r="B291" s="2" t="str">
        <x:v>一项可定位的代码、数据、提示、工具或补充资源</x:v>
      </x:c>
      <x:c r="C291" s="2" t="str">
        <x:v>resource_id</x:v>
      </x:c>
      <x:c r="D291" s="6" t="str">
        <x:v>资源ID</x:v>
      </x:c>
      <x:c r="E291" s="6" t="str">
        <x:v>复现资源的稳定标识。</x:v>
      </x:c>
      <x:c r="F291" s="2" t="str">
        <x:v>是</x:v>
      </x:c>
      <x:c r="G291" s="2" t="str">
        <x:v>自由文本</x:v>
      </x:c>
      <x:c r="H291" s="6" t="str">
        <x:v>按字段定义提供</x:v>
      </x:c>
      <x:c r="I291" s="6" t="str">
        <x:v>使用 NR / NA / Unclear / No，不留空</x:v>
      </x:c>
      <x:c r="J291" s="6"/>
    </x:row>
    <x:row r="292" ht="42" customHeight="1">
      <x:c r="A292" s="2" t="str">
        <x:v>公共_复现资源</x:v>
      </x:c>
      <x:c r="B292" s="2" t="str">
        <x:v>一项可定位的代码、数据、提示、工具或补充资源</x:v>
      </x:c>
      <x:c r="C292" s="2" t="str">
        <x:v>resource_type</x:v>
      </x:c>
      <x:c r="D292" s="6" t="str">
        <x:v>资源类型</x:v>
      </x:c>
      <x:c r="E292" s="6" t="str">
        <x:v>代码、数据、提示、复现包、补充材料或工具。</x:v>
      </x:c>
      <x:c r="F292" s="2" t="str">
        <x:v>是</x:v>
      </x:c>
      <x:c r="G292" s="2" t="str">
        <x:v>Code | Dataset | Prompt | Replication package | Supplementary material | Tool | Archived page | Other</x:v>
      </x:c>
      <x:c r="H292" s="6" t="str">
        <x:v>按字段定义提供</x:v>
      </x:c>
      <x:c r="I292" s="6" t="str">
        <x:v>使用 NR / NA / Unclear / No，不留空</x:v>
      </x:c>
      <x:c r="J292" s="6"/>
    </x:row>
    <x:row r="293" ht="23" customHeight="1">
      <x:c r="A293" s="2" t="str">
        <x:v>公共_复现资源</x:v>
      </x:c>
      <x:c r="B293" s="2" t="str">
        <x:v>一项可定位的代码、数据、提示、工具或补充资源</x:v>
      </x:c>
      <x:c r="C293" s="2" t="str">
        <x:v>resource_name</x:v>
      </x:c>
      <x:c r="D293" s="6" t="str">
        <x:v>资源名称</x:v>
      </x:c>
      <x:c r="E293" s="6" t="str">
        <x:v>论文报告的资源名称。</x:v>
      </x:c>
      <x:c r="F293" s="2" t="str">
        <x:v>是</x:v>
      </x:c>
      <x:c r="G293" s="2" t="str">
        <x:v>自由文本</x:v>
      </x:c>
      <x:c r="H293" s="6" t="str">
        <x:v>按字段定义提供</x:v>
      </x:c>
      <x:c r="I293" s="6" t="str">
        <x:v>使用 NR / NA / Unclear / No，不留空</x:v>
      </x:c>
      <x:c r="J293" s="6"/>
    </x:row>
    <x:row r="294" ht="23" customHeight="1">
      <x:c r="A294" s="2" t="str">
        <x:v>公共_复现资源</x:v>
      </x:c>
      <x:c r="B294" s="2" t="str">
        <x:v>一项可定位的代码、数据、提示、工具或补充资源</x:v>
      </x:c>
      <x:c r="C294" s="2" t="str">
        <x:v>url</x:v>
      </x:c>
      <x:c r="D294" s="6" t="str">
        <x:v>资源URL</x:v>
      </x:c>
      <x:c r="E294" s="6" t="str">
        <x:v>来源明确给出的URL或DOI。</x:v>
      </x:c>
      <x:c r="F294" s="2" t="str">
        <x:v>是</x:v>
      </x:c>
      <x:c r="G294" s="2" t="str">
        <x:v>自由文本</x:v>
      </x:c>
      <x:c r="H294" s="6" t="str">
        <x:v>按字段定义提供</x:v>
      </x:c>
      <x:c r="I294" s="6" t="str">
        <x:v>使用 NR / NA / Unclear / No，不留空</x:v>
      </x:c>
      <x:c r="J294" s="6"/>
    </x:row>
    <x:row r="295" ht="28" customHeight="1">
      <x:c r="A295" s="2" t="str">
        <x:v>公共_复现资源</x:v>
      </x:c>
      <x:c r="B295" s="2" t="str">
        <x:v>一项可定位的代码、数据、提示、工具或补充资源</x:v>
      </x:c>
      <x:c r="C295" s="2" t="str">
        <x:v>access_note</x:v>
      </x:c>
      <x:c r="D295" s="6" t="str">
        <x:v>可得性</x:v>
      </x:c>
      <x:c r="E295" s="6" t="str">
        <x:v>公开、需申请、私有、失效或不清楚。</x:v>
      </x:c>
      <x:c r="F295" s="2" t="str">
        <x:v>是</x:v>
      </x:c>
      <x:c r="G295" s="2" t="str">
        <x:v>Public | Request required | Private | Broken or unavailable | NR | Unclear</x:v>
      </x:c>
      <x:c r="H295" s="6" t="str">
        <x:v>按字段定义提供</x:v>
      </x:c>
      <x:c r="I295" s="6" t="str">
        <x:v>使用 NR / NA / Unclear / No，不留空</x:v>
      </x:c>
      <x:c r="J295" s="6"/>
    </x:row>
    <x:row r="296" ht="23" customHeight="1">
      <x:c r="A296" s="2" t="str">
        <x:v>公共_复现资源</x:v>
      </x:c>
      <x:c r="B296" s="2" t="str">
        <x:v>一项可定位的代码、数据、提示、工具或补充资源</x:v>
      </x:c>
      <x:c r="C296" s="2" t="str">
        <x:v>checked_date</x:v>
      </x:c>
      <x:c r="D296" s="6" t="str">
        <x:v>核验日期</x:v>
      </x:c>
      <x:c r="E296" s="6" t="str">
        <x:v>实际检查链接的日期。</x:v>
      </x:c>
      <x:c r="F296" s="2" t="str">
        <x:v>是</x:v>
      </x:c>
      <x:c r="G296" s="2" t="str">
        <x:v>自由文本</x:v>
      </x:c>
      <x:c r="H296" s="6" t="str">
        <x:v>按字段定义提供</x:v>
      </x:c>
      <x:c r="I296" s="6" t="str">
        <x:v>使用 NR / NA / Unclear / No，不留空</x:v>
      </x:c>
      <x:c r="J296" s="6"/>
    </x:row>
    <x:row r="297" ht="23" customHeight="1">
      <x:c r="A297" s="2" t="str">
        <x:v>公共_复现资源</x:v>
      </x:c>
      <x:c r="B297" s="2" t="str">
        <x:v>一项可定位的代码、数据、提示、工具或补充资源</x:v>
      </x:c>
      <x:c r="C297" s="2" t="str">
        <x:v>resource_scope</x:v>
      </x:c>
      <x:c r="D297" s="6" t="str">
        <x:v>资源范围</x:v>
      </x:c>
      <x:c r="E297" s="6" t="str">
        <x:v>包含代码、数据、结果、提示或其他材料。</x:v>
      </x:c>
      <x:c r="F297" s="2" t="str">
        <x:v>条件必填</x:v>
      </x:c>
      <x:c r="G297" s="2" t="str">
        <x:v>自由文本</x:v>
      </x:c>
      <x:c r="H297" s="6" t="str">
        <x:v>按字段定义提供</x:v>
      </x:c>
      <x:c r="I297" s="6" t="str">
        <x:v>使用 NR / NA / Unclear / No，不留空</x:v>
      </x:c>
      <x:c r="J297" s="6"/>
    </x:row>
    <x:row r="298" ht="23" customHeight="1">
      <x:c r="A298" s="2" t="str">
        <x:v>公共_复现资源</x:v>
      </x:c>
      <x:c r="B298" s="2" t="str">
        <x:v>一项可定位的代码、数据、提示、工具或补充资源</x:v>
      </x:c>
      <x:c r="C298" s="2" t="str">
        <x:v>evidence_location</x:v>
      </x:c>
      <x:c r="D298" s="6" t="str">
        <x:v>证据位置</x:v>
      </x:c>
      <x:c r="E298" s="6" t="str">
        <x:v>页码、章节、表格、图或附录等可复核位置。</x:v>
      </x:c>
      <x:c r="F298" s="2" t="str">
        <x:v>是</x:v>
      </x:c>
      <x:c r="G298" s="2" t="str">
        <x:v>自由文本</x:v>
      </x:c>
      <x:c r="H298" s="6" t="str">
        <x:v>必须可定位</x:v>
      </x:c>
      <x:c r="I298" s="6" t="str">
        <x:v>使用 NR / NA / Unclear / No，不留空</x:v>
      </x:c>
      <x:c r="J298" s="6"/>
    </x:row>
    <x:row r="299" ht="23" customHeight="1">
      <x:c r="A299" s="2" t="str">
        <x:v>公共_复现资源</x:v>
      </x:c>
      <x:c r="B299" s="2" t="str">
        <x:v>一项可定位的代码、数据、提示、工具或补充资源</x:v>
      </x:c>
      <x:c r="C299" s="2" t="str">
        <x:v>evidence_verbatim</x:v>
      </x:c>
      <x:c r="D299" s="6" t="str">
        <x:v>原文证据</x:v>
      </x:c>
      <x:c r="E299" s="6" t="str">
        <x:v>支持本条记录的简短原文摘录；不得用综述者概括代替。</x:v>
      </x:c>
      <x:c r="F299" s="2" t="str">
        <x:v>是</x:v>
      </x:c>
      <x:c r="G299" s="2" t="str">
        <x:v>自由文本</x:v>
      </x:c>
      <x:c r="H299" s="6" t="str">
        <x:v>必须保留原文</x:v>
      </x:c>
      <x:c r="I299" s="6" t="str">
        <x:v>使用 NR / NA / Unclear / No，不留空</x:v>
      </x:c>
      <x:c r="J299" s="6"/>
    </x:row>
    <x:row r="300" ht="23" customHeight="1">
      <x:c r="A300" s="2" t="str">
        <x:v>公共_复现资源</x:v>
      </x:c>
      <x:c r="B300" s="2" t="str">
        <x:v>一项可定位的代码、数据、提示、工具或补充资源</x:v>
      </x:c>
      <x:c r="C300" s="2" t="str">
        <x:v>reviewer_interpretation</x:v>
      </x:c>
      <x:c r="D300" s="6" t="str">
        <x:v>评审者解释</x:v>
      </x:c>
      <x:c r="E300" s="6" t="str">
        <x:v>对原文含义及编码理由的简洁解释，与原文证据分开保存。</x:v>
      </x:c>
      <x:c r="F300" s="2" t="str">
        <x:v>条件必填</x:v>
      </x:c>
      <x:c r="G300" s="2" t="str">
        <x:v>自由文本</x:v>
      </x:c>
      <x:c r="H300" s="6" t="str">
        <x:v>按字段定义提供</x:v>
      </x:c>
      <x:c r="I300" s="6" t="str">
        <x:v>使用 NR / NA / Unclear / No，不留空</x:v>
      </x:c>
      <x:c r="J300" s="6"/>
    </x:row>
    <x:row r="301" ht="28" customHeight="1">
      <x:c r="A301" s="2" t="str">
        <x:v>公共_复现资源</x:v>
      </x:c>
      <x:c r="B301" s="2" t="str">
        <x:v>一项可定位的代码、数据、提示、工具或补充资源</x:v>
      </x:c>
      <x:c r="C301" s="2" t="str">
        <x:v>record_status</x:v>
      </x:c>
      <x:c r="D301" s="6" t="str">
        <x:v>记录状态</x:v>
      </x:c>
      <x:c r="E301" s="6" t="str">
        <x:v>记录是否已接受、修订、拒绝或形成共识。</x:v>
      </x:c>
      <x:c r="F301" s="2" t="str">
        <x:v>是</x:v>
      </x:c>
      <x:c r="G301" s="2" t="str">
        <x:v>Unreviewed | Accepted | Revised | Rejected | Consensus</x:v>
      </x:c>
      <x:c r="H301" s="6" t="str">
        <x:v>按字段定义提供</x:v>
      </x:c>
      <x:c r="I301" s="6" t="str">
        <x:v>使用 NR / NA / Unclear / No，不留空</x:v>
      </x:c>
      <x:c r="J301" s="6"/>
    </x:row>
    <x:row r="302" ht="23" customHeight="1">
      <x:c r="A302" s="2" t="str">
        <x:v>公共_复现资源</x:v>
      </x:c>
      <x:c r="B302" s="2" t="str">
        <x:v>一项可定位的代码、数据、提示、工具或补充资源</x:v>
      </x:c>
      <x:c r="C302" s="2" t="str">
        <x:v>notes</x:v>
      </x:c>
      <x:c r="D302" s="6" t="str">
        <x:v>备注</x:v>
      </x:c>
      <x:c r="E302" s="6" t="str">
        <x:v>边界情况、冲突、待核查内容或其他说明。</x:v>
      </x:c>
      <x:c r="F302" s="2" t="str">
        <x:v>否</x:v>
      </x:c>
      <x:c r="G302" s="2" t="str">
        <x:v>自由文本</x:v>
      </x:c>
      <x:c r="H302" s="6" t="str">
        <x:v>按字段定义提供</x:v>
      </x:c>
      <x:c r="I302" s="6" t="str">
        <x:v>可留空</x:v>
      </x:c>
      <x:c r="J302" s="6"/>
    </x:row>
    <x:row r="303" ht="23" customHeight="1">
      <x:c r="A303" s="2" t="str">
        <x:v>QA_正式文献</x:v>
      </x:c>
      <x:c r="B303" s="2" t="str">
        <x:v>一篇正式文献在一个评审阶段的一组QA1-QA8评分</x:v>
      </x:c>
      <x:c r="C303" s="2" t="str">
        <x:v>study_id</x:v>
      </x:c>
      <x:c r="D303" s="6" t="str">
        <x:v>研究ID</x:v>
      </x:c>
      <x:c r="E303" s="6" t="str">
        <x:v>连接研究索引与所有抽取表的稳定研究标识。</x:v>
      </x:c>
      <x:c r="F303" s="2" t="str">
        <x:v>是</x:v>
      </x:c>
      <x:c r="G303" s="2" t="str">
        <x:v>study_id</x:v>
      </x:c>
      <x:c r="H303" s="6" t="str">
        <x:v>按字段定义提供</x:v>
      </x:c>
      <x:c r="I303" s="6" t="str">
        <x:v>使用 NR / NA / Unclear / No，不留空</x:v>
      </x:c>
      <x:c r="J303" s="6" t="str">
        <x:v>建议格式：S001。</x:v>
      </x:c>
    </x:row>
    <x:row r="304" ht="23" customHeight="1">
      <x:c r="A304" s="2" t="str">
        <x:v>QA_正式文献</x:v>
      </x:c>
      <x:c r="B304" s="2" t="str">
        <x:v>一篇正式文献在一个评审阶段的一组QA1-QA8评分</x:v>
      </x:c>
      <x:c r="C304" s="2" t="str">
        <x:v>version_id</x:v>
      </x:c>
      <x:c r="D304" s="6" t="str">
        <x:v>版本ID</x:v>
      </x:c>
      <x:c r="E304" s="6" t="str">
        <x:v>本次抽取所依据的具体论文版本标识。</x:v>
      </x:c>
      <x:c r="F304" s="2" t="str">
        <x:v>是</x:v>
      </x:c>
      <x:c r="G304" s="2" t="str">
        <x:v>version_id</x:v>
      </x:c>
      <x:c r="H304" s="6" t="str">
        <x:v>按字段定义提供</x:v>
      </x:c>
      <x:c r="I304" s="6" t="str">
        <x:v>使用 NR / NA / Unclear / No，不留空</x:v>
      </x:c>
      <x:c r="J304" s="6" t="str">
        <x:v>同一study family不同版本不得混写。</x:v>
      </x:c>
    </x:row>
    <x:row r="305" ht="23" customHeight="1">
      <x:c r="A305" s="2" t="str">
        <x:v>QA_正式文献</x:v>
      </x:c>
      <x:c r="B305" s="2" t="str">
        <x:v>一篇正式文献在一个评审阶段的一组QA1-QA8评分</x:v>
      </x:c>
      <x:c r="C305" s="2" t="str">
        <x:v>review_stage</x:v>
      </x:c>
      <x:c r="D305" s="6" t="str">
        <x:v>记录阶段</x:v>
      </x:c>
      <x:c r="E305" s="6" t="str">
        <x:v>区分两名独立评审者、共识与仲裁记录。</x:v>
      </x:c>
      <x:c r="F305" s="2" t="str">
        <x:v>是</x:v>
      </x:c>
      <x:c r="G305" s="2" t="str">
        <x:v>Reviewer_A | Reviewer_B | Consensus | Arbitration</x:v>
      </x:c>
      <x:c r="H305" s="6" t="str">
        <x:v>按字段定义提供</x:v>
      </x:c>
      <x:c r="I305" s="6" t="str">
        <x:v>使用 NR / NA / Unclear / No，不留空</x:v>
      </x:c>
      <x:c r="J305" s="6"/>
    </x:row>
    <x:row r="306" ht="23" customHeight="1">
      <x:c r="A306" s="2" t="str">
        <x:v>QA_正式文献</x:v>
      </x:c>
      <x:c r="B306" s="2" t="str">
        <x:v>一篇正式文献在一个评审阶段的一组QA1-QA8评分</x:v>
      </x:c>
      <x:c r="C306" s="2" t="str">
        <x:v>reviewer_id</x:v>
      </x:c>
      <x:c r="D306" s="6" t="str">
        <x:v>评审者ID</x:v>
      </x:c>
      <x:c r="E306" s="6" t="str">
        <x:v>完成该条记录的评审者或共识组标识。</x:v>
      </x:c>
      <x:c r="F306" s="2" t="str">
        <x:v>是</x:v>
      </x:c>
      <x:c r="G306" s="2" t="str">
        <x:v>自由文本</x:v>
      </x:c>
      <x:c r="H306" s="6" t="str">
        <x:v>按字段定义提供</x:v>
      </x:c>
      <x:c r="I306" s="6" t="str">
        <x:v>使用 NR / NA / Unclear / No，不留空</x:v>
      </x:c>
      <x:c r="J306" s="6"/>
    </x:row>
    <x:row r="307" ht="23" customHeight="1">
      <x:c r="A307" s="2" t="str">
        <x:v>QA_正式文献</x:v>
      </x:c>
      <x:c r="B307" s="2" t="str">
        <x:v>一篇正式文献在一个评审阶段的一组QA1-QA8评分</x:v>
      </x:c>
      <x:c r="C307" s="2" t="str">
        <x:v>QA1_score</x:v>
      </x:c>
      <x:c r="D307" s="6" t="str">
        <x:v>QA1分数</x:v>
      </x:c>
      <x:c r="E307" s="6" t="str">
        <x:v>正式文献QA1评分：0、0.5、1或NA。</x:v>
      </x:c>
      <x:c r="F307" s="2" t="str">
        <x:v>是</x:v>
      </x:c>
      <x:c r="G307" s="2" t="str">
        <x:v>0 | 0.5 | 1 | NA</x:v>
      </x:c>
      <x:c r="H307" s="6" t="str">
        <x:v>按字段定义提供</x:v>
      </x:c>
      <x:c r="I307" s="6" t="str">
        <x:v>缺少报告证据记0；仅确实不适用记NA。</x:v>
      </x:c>
      <x:c r="J307" s="6"/>
    </x:row>
    <x:row r="308" ht="23" customHeight="1">
      <x:c r="A308" s="2" t="str">
        <x:v>QA_正式文献</x:v>
      </x:c>
      <x:c r="B308" s="2" t="str">
        <x:v>一篇正式文献在一个评审阶段的一组QA1-QA8评分</x:v>
      </x:c>
      <x:c r="C308" s="2" t="str">
        <x:v>QA2_score</x:v>
      </x:c>
      <x:c r="D308" s="6" t="str">
        <x:v>QA2分数</x:v>
      </x:c>
      <x:c r="E308" s="6" t="str">
        <x:v>正式文献QA2评分：0、0.5、1或NA。</x:v>
      </x:c>
      <x:c r="F308" s="2" t="str">
        <x:v>是</x:v>
      </x:c>
      <x:c r="G308" s="2" t="str">
        <x:v>0 | 0.5 | 1 | NA</x:v>
      </x:c>
      <x:c r="H308" s="6" t="str">
        <x:v>按字段定义提供</x:v>
      </x:c>
      <x:c r="I308" s="6" t="str">
        <x:v>缺少报告证据记0；仅确实不适用记NA。</x:v>
      </x:c>
      <x:c r="J308" s="6"/>
    </x:row>
    <x:row r="309" ht="23" customHeight="1">
      <x:c r="A309" s="2" t="str">
        <x:v>QA_正式文献</x:v>
      </x:c>
      <x:c r="B309" s="2" t="str">
        <x:v>一篇正式文献在一个评审阶段的一组QA1-QA8评分</x:v>
      </x:c>
      <x:c r="C309" s="2" t="str">
        <x:v>QA3_score</x:v>
      </x:c>
      <x:c r="D309" s="6" t="str">
        <x:v>QA3分数</x:v>
      </x:c>
      <x:c r="E309" s="6" t="str">
        <x:v>正式文献QA3评分：0、0.5、1或NA。</x:v>
      </x:c>
      <x:c r="F309" s="2" t="str">
        <x:v>是</x:v>
      </x:c>
      <x:c r="G309" s="2" t="str">
        <x:v>0 | 0.5 | 1 | NA</x:v>
      </x:c>
      <x:c r="H309" s="6" t="str">
        <x:v>按字段定义提供</x:v>
      </x:c>
      <x:c r="I309" s="6" t="str">
        <x:v>缺少报告证据记0；仅确实不适用记NA。</x:v>
      </x:c>
      <x:c r="J309" s="6"/>
    </x:row>
    <x:row r="310" ht="23" customHeight="1">
      <x:c r="A310" s="2" t="str">
        <x:v>QA_正式文献</x:v>
      </x:c>
      <x:c r="B310" s="2" t="str">
        <x:v>一篇正式文献在一个评审阶段的一组QA1-QA8评分</x:v>
      </x:c>
      <x:c r="C310" s="2" t="str">
        <x:v>QA4_score</x:v>
      </x:c>
      <x:c r="D310" s="6" t="str">
        <x:v>QA4分数</x:v>
      </x:c>
      <x:c r="E310" s="6" t="str">
        <x:v>正式文献QA4评分：0、0.5、1或NA。</x:v>
      </x:c>
      <x:c r="F310" s="2" t="str">
        <x:v>是</x:v>
      </x:c>
      <x:c r="G310" s="2" t="str">
        <x:v>0 | 0.5 | 1 | NA</x:v>
      </x:c>
      <x:c r="H310" s="6" t="str">
        <x:v>按字段定义提供</x:v>
      </x:c>
      <x:c r="I310" s="6" t="str">
        <x:v>缺少报告证据记0；仅确实不适用记NA。</x:v>
      </x:c>
      <x:c r="J310" s="6"/>
    </x:row>
    <x:row r="311" ht="23" customHeight="1">
      <x:c r="A311" s="2" t="str">
        <x:v>QA_正式文献</x:v>
      </x:c>
      <x:c r="B311" s="2" t="str">
        <x:v>一篇正式文献在一个评审阶段的一组QA1-QA8评分</x:v>
      </x:c>
      <x:c r="C311" s="2" t="str">
        <x:v>QA5_score</x:v>
      </x:c>
      <x:c r="D311" s="6" t="str">
        <x:v>QA5分数</x:v>
      </x:c>
      <x:c r="E311" s="6" t="str">
        <x:v>正式文献QA5评分：0、0.5、1或NA。</x:v>
      </x:c>
      <x:c r="F311" s="2" t="str">
        <x:v>是</x:v>
      </x:c>
      <x:c r="G311" s="2" t="str">
        <x:v>0 | 0.5 | 1 | NA</x:v>
      </x:c>
      <x:c r="H311" s="6" t="str">
        <x:v>按字段定义提供</x:v>
      </x:c>
      <x:c r="I311" s="6" t="str">
        <x:v>缺少报告证据记0；仅确实不适用记NA。</x:v>
      </x:c>
      <x:c r="J311" s="6"/>
    </x:row>
    <x:row r="312" ht="23" customHeight="1">
      <x:c r="A312" s="2" t="str">
        <x:v>QA_正式文献</x:v>
      </x:c>
      <x:c r="B312" s="2" t="str">
        <x:v>一篇正式文献在一个评审阶段的一组QA1-QA8评分</x:v>
      </x:c>
      <x:c r="C312" s="2" t="str">
        <x:v>QA6_score</x:v>
      </x:c>
      <x:c r="D312" s="6" t="str">
        <x:v>QA6分数</x:v>
      </x:c>
      <x:c r="E312" s="6" t="str">
        <x:v>正式文献QA6评分：0、0.5、1或NA。</x:v>
      </x:c>
      <x:c r="F312" s="2" t="str">
        <x:v>是</x:v>
      </x:c>
      <x:c r="G312" s="2" t="str">
        <x:v>0 | 0.5 | 1 | NA</x:v>
      </x:c>
      <x:c r="H312" s="6" t="str">
        <x:v>按字段定义提供</x:v>
      </x:c>
      <x:c r="I312" s="6" t="str">
        <x:v>缺少报告证据记0；仅确实不适用记NA。</x:v>
      </x:c>
      <x:c r="J312" s="6"/>
    </x:row>
    <x:row r="313" ht="23" customHeight="1">
      <x:c r="A313" s="2" t="str">
        <x:v>QA_正式文献</x:v>
      </x:c>
      <x:c r="B313" s="2" t="str">
        <x:v>一篇正式文献在一个评审阶段的一组QA1-QA8评分</x:v>
      </x:c>
      <x:c r="C313" s="2" t="str">
        <x:v>QA7_score</x:v>
      </x:c>
      <x:c r="D313" s="6" t="str">
        <x:v>QA7分数</x:v>
      </x:c>
      <x:c r="E313" s="6" t="str">
        <x:v>正式文献QA7评分：0、0.5、1或NA。</x:v>
      </x:c>
      <x:c r="F313" s="2" t="str">
        <x:v>是</x:v>
      </x:c>
      <x:c r="G313" s="2" t="str">
        <x:v>0 | 0.5 | 1 | NA</x:v>
      </x:c>
      <x:c r="H313" s="6" t="str">
        <x:v>按字段定义提供</x:v>
      </x:c>
      <x:c r="I313" s="6" t="str">
        <x:v>缺少报告证据记0；仅确实不适用记NA。</x:v>
      </x:c>
      <x:c r="J313" s="6"/>
    </x:row>
    <x:row r="314" ht="23" customHeight="1">
      <x:c r="A314" s="2" t="str">
        <x:v>QA_正式文献</x:v>
      </x:c>
      <x:c r="B314" s="2" t="str">
        <x:v>一篇正式文献在一个评审阶段的一组QA1-QA8评分</x:v>
      </x:c>
      <x:c r="C314" s="2" t="str">
        <x:v>QA8_score</x:v>
      </x:c>
      <x:c r="D314" s="6" t="str">
        <x:v>QA8分数</x:v>
      </x:c>
      <x:c r="E314" s="6" t="str">
        <x:v>正式文献QA8评分：0、0.5、1或NA。</x:v>
      </x:c>
      <x:c r="F314" s="2" t="str">
        <x:v>是</x:v>
      </x:c>
      <x:c r="G314" s="2" t="str">
        <x:v>0 | 0.5 | 1 | NA</x:v>
      </x:c>
      <x:c r="H314" s="6" t="str">
        <x:v>按字段定义提供</x:v>
      </x:c>
      <x:c r="I314" s="6" t="str">
        <x:v>缺少报告证据记0；仅确实不适用记NA。</x:v>
      </x:c>
      <x:c r="J314" s="6"/>
    </x:row>
    <x:row r="315" ht="23" customHeight="1">
      <x:c r="A315" s="2" t="str">
        <x:v>QA_正式文献</x:v>
      </x:c>
      <x:c r="B315" s="2" t="str">
        <x:v>一篇正式文献在一个评审阶段的一组QA1-QA8评分</x:v>
      </x:c>
      <x:c r="C315" s="2" t="str">
        <x:v>QA1_evidence</x:v>
      </x:c>
      <x:c r="D315" s="6" t="str">
        <x:v>QA1证据</x:v>
      </x:c>
      <x:c r="E315" s="6" t="str">
        <x:v>支持QA1评分的证据位置、简短摘录和理由。</x:v>
      </x:c>
      <x:c r="F315" s="2" t="str">
        <x:v>是</x:v>
      </x:c>
      <x:c r="G315" s="2" t="str">
        <x:v>自由文本</x:v>
      </x:c>
      <x:c r="H315" s="6" t="str">
        <x:v>必须逐项提供</x:v>
      </x:c>
      <x:c r="I315" s="6" t="str">
        <x:v>使用 NR / NA / Unclear / No，不留空</x:v>
      </x:c>
      <x:c r="J315" s="6"/>
    </x:row>
    <x:row r="316" ht="23" customHeight="1">
      <x:c r="A316" s="2" t="str">
        <x:v>QA_正式文献</x:v>
      </x:c>
      <x:c r="B316" s="2" t="str">
        <x:v>一篇正式文献在一个评审阶段的一组QA1-QA8评分</x:v>
      </x:c>
      <x:c r="C316" s="2" t="str">
        <x:v>QA2_evidence</x:v>
      </x:c>
      <x:c r="D316" s="6" t="str">
        <x:v>QA2证据</x:v>
      </x:c>
      <x:c r="E316" s="6" t="str">
        <x:v>支持QA2评分的证据位置、简短摘录和理由。</x:v>
      </x:c>
      <x:c r="F316" s="2" t="str">
        <x:v>是</x:v>
      </x:c>
      <x:c r="G316" s="2" t="str">
        <x:v>自由文本</x:v>
      </x:c>
      <x:c r="H316" s="6" t="str">
        <x:v>必须逐项提供</x:v>
      </x:c>
      <x:c r="I316" s="6" t="str">
        <x:v>使用 NR / NA / Unclear / No，不留空</x:v>
      </x:c>
      <x:c r="J316" s="6"/>
    </x:row>
    <x:row r="317" ht="23" customHeight="1">
      <x:c r="A317" s="2" t="str">
        <x:v>QA_正式文献</x:v>
      </x:c>
      <x:c r="B317" s="2" t="str">
        <x:v>一篇正式文献在一个评审阶段的一组QA1-QA8评分</x:v>
      </x:c>
      <x:c r="C317" s="2" t="str">
        <x:v>QA3_evidence</x:v>
      </x:c>
      <x:c r="D317" s="6" t="str">
        <x:v>QA3证据</x:v>
      </x:c>
      <x:c r="E317" s="6" t="str">
        <x:v>支持QA3评分的证据位置、简短摘录和理由。</x:v>
      </x:c>
      <x:c r="F317" s="2" t="str">
        <x:v>是</x:v>
      </x:c>
      <x:c r="G317" s="2" t="str">
        <x:v>自由文本</x:v>
      </x:c>
      <x:c r="H317" s="6" t="str">
        <x:v>必须逐项提供</x:v>
      </x:c>
      <x:c r="I317" s="6" t="str">
        <x:v>使用 NR / NA / Unclear / No，不留空</x:v>
      </x:c>
      <x:c r="J317" s="6"/>
    </x:row>
    <x:row r="318" ht="23" customHeight="1">
      <x:c r="A318" s="2" t="str">
        <x:v>QA_正式文献</x:v>
      </x:c>
      <x:c r="B318" s="2" t="str">
        <x:v>一篇正式文献在一个评审阶段的一组QA1-QA8评分</x:v>
      </x:c>
      <x:c r="C318" s="2" t="str">
        <x:v>QA4_evidence</x:v>
      </x:c>
      <x:c r="D318" s="6" t="str">
        <x:v>QA4证据</x:v>
      </x:c>
      <x:c r="E318" s="6" t="str">
        <x:v>支持QA4评分的证据位置、简短摘录和理由。</x:v>
      </x:c>
      <x:c r="F318" s="2" t="str">
        <x:v>是</x:v>
      </x:c>
      <x:c r="G318" s="2" t="str">
        <x:v>自由文本</x:v>
      </x:c>
      <x:c r="H318" s="6" t="str">
        <x:v>必须逐项提供</x:v>
      </x:c>
      <x:c r="I318" s="6" t="str">
        <x:v>使用 NR / NA / Unclear / No，不留空</x:v>
      </x:c>
      <x:c r="J318" s="6"/>
    </x:row>
    <x:row r="319" ht="23" customHeight="1">
      <x:c r="A319" s="2" t="str">
        <x:v>QA_正式文献</x:v>
      </x:c>
      <x:c r="B319" s="2" t="str">
        <x:v>一篇正式文献在一个评审阶段的一组QA1-QA8评分</x:v>
      </x:c>
      <x:c r="C319" s="2" t="str">
        <x:v>QA5_evidence</x:v>
      </x:c>
      <x:c r="D319" s="6" t="str">
        <x:v>QA5证据</x:v>
      </x:c>
      <x:c r="E319" s="6" t="str">
        <x:v>支持QA5评分的证据位置、简短摘录和理由。</x:v>
      </x:c>
      <x:c r="F319" s="2" t="str">
        <x:v>是</x:v>
      </x:c>
      <x:c r="G319" s="2" t="str">
        <x:v>自由文本</x:v>
      </x:c>
      <x:c r="H319" s="6" t="str">
        <x:v>必须逐项提供</x:v>
      </x:c>
      <x:c r="I319" s="6" t="str">
        <x:v>使用 NR / NA / Unclear / No，不留空</x:v>
      </x:c>
      <x:c r="J319" s="6"/>
    </x:row>
    <x:row r="320" ht="23" customHeight="1">
      <x:c r="A320" s="2" t="str">
        <x:v>QA_正式文献</x:v>
      </x:c>
      <x:c r="B320" s="2" t="str">
        <x:v>一篇正式文献在一个评审阶段的一组QA1-QA8评分</x:v>
      </x:c>
      <x:c r="C320" s="2" t="str">
        <x:v>QA6_evidence</x:v>
      </x:c>
      <x:c r="D320" s="6" t="str">
        <x:v>QA6证据</x:v>
      </x:c>
      <x:c r="E320" s="6" t="str">
        <x:v>支持QA6评分的证据位置、简短摘录和理由。</x:v>
      </x:c>
      <x:c r="F320" s="2" t="str">
        <x:v>是</x:v>
      </x:c>
      <x:c r="G320" s="2" t="str">
        <x:v>自由文本</x:v>
      </x:c>
      <x:c r="H320" s="6" t="str">
        <x:v>必须逐项提供</x:v>
      </x:c>
      <x:c r="I320" s="6" t="str">
        <x:v>使用 NR / NA / Unclear / No，不留空</x:v>
      </x:c>
      <x:c r="J320" s="6"/>
    </x:row>
    <x:row r="321" ht="23" customHeight="1">
      <x:c r="A321" s="2" t="str">
        <x:v>QA_正式文献</x:v>
      </x:c>
      <x:c r="B321" s="2" t="str">
        <x:v>一篇正式文献在一个评审阶段的一组QA1-QA8评分</x:v>
      </x:c>
      <x:c r="C321" s="2" t="str">
        <x:v>QA7_evidence</x:v>
      </x:c>
      <x:c r="D321" s="6" t="str">
        <x:v>QA7证据</x:v>
      </x:c>
      <x:c r="E321" s="6" t="str">
        <x:v>支持QA7评分的证据位置、简短摘录和理由。</x:v>
      </x:c>
      <x:c r="F321" s="2" t="str">
        <x:v>是</x:v>
      </x:c>
      <x:c r="G321" s="2" t="str">
        <x:v>自由文本</x:v>
      </x:c>
      <x:c r="H321" s="6" t="str">
        <x:v>必须逐项提供</x:v>
      </x:c>
      <x:c r="I321" s="6" t="str">
        <x:v>使用 NR / NA / Unclear / No，不留空</x:v>
      </x:c>
      <x:c r="J321" s="6"/>
    </x:row>
    <x:row r="322" ht="23" customHeight="1">
      <x:c r="A322" s="2" t="str">
        <x:v>QA_正式文献</x:v>
      </x:c>
      <x:c r="B322" s="2" t="str">
        <x:v>一篇正式文献在一个评审阶段的一组QA1-QA8评分</x:v>
      </x:c>
      <x:c r="C322" s="2" t="str">
        <x:v>QA8_evidence</x:v>
      </x:c>
      <x:c r="D322" s="6" t="str">
        <x:v>QA8证据</x:v>
      </x:c>
      <x:c r="E322" s="6" t="str">
        <x:v>支持QA8评分的证据位置、简短摘录和理由。</x:v>
      </x:c>
      <x:c r="F322" s="2" t="str">
        <x:v>是</x:v>
      </x:c>
      <x:c r="G322" s="2" t="str">
        <x:v>自由文本</x:v>
      </x:c>
      <x:c r="H322" s="6" t="str">
        <x:v>必须逐项提供</x:v>
      </x:c>
      <x:c r="I322" s="6" t="str">
        <x:v>使用 NR / NA / Unclear / No，不留空</x:v>
      </x:c>
      <x:c r="J322" s="6"/>
    </x:row>
    <x:row r="323" ht="23" customHeight="1">
      <x:c r="A323" s="2" t="str">
        <x:v>QA_正式文献</x:v>
      </x:c>
      <x:c r="B323" s="2" t="str">
        <x:v>一篇正式文献在一个评审阶段的一组QA1-QA8评分</x:v>
      </x:c>
      <x:c r="C323" s="2" t="str">
        <x:v>QA_score</x:v>
      </x:c>
      <x:c r="D323" s="6" t="str">
        <x:v>QA平均分</x:v>
      </x:c>
      <x:c r="E323" s="6" t="str">
        <x:v>适用项目的算术平均；公式自动计算。</x:v>
      </x:c>
      <x:c r="F323" s="2" t="str">
        <x:v>自动</x:v>
      </x:c>
      <x:c r="G323" s="2" t="str">
        <x:v>自由文本</x:v>
      </x:c>
      <x:c r="H323" s="6" t="str">
        <x:v>按字段定义提供</x:v>
      </x:c>
      <x:c r="I323" s="6" t="str">
        <x:v>自动计算</x:v>
      </x:c>
      <x:c r="J323" s="6"/>
    </x:row>
    <x:row r="324" ht="23" customHeight="1">
      <x:c r="A324" s="2" t="str">
        <x:v>QA_正式文献</x:v>
      </x:c>
      <x:c r="B324" s="2" t="str">
        <x:v>一篇正式文献在一个评审阶段的一组QA1-QA8评分</x:v>
      </x:c>
      <x:c r="C324" s="2" t="str">
        <x:v>calculated_decision</x:v>
      </x:c>
      <x:c r="D324" s="6" t="str">
        <x:v>计算决定</x:v>
      </x:c>
      <x:c r="E324" s="6" t="str">
        <x:v>根据0.50门槛自动给出的过门决定。</x:v>
      </x:c>
      <x:c r="F324" s="2" t="str">
        <x:v>自动</x:v>
      </x:c>
      <x:c r="G324" s="2" t="str">
        <x:v>自由文本</x:v>
      </x:c>
      <x:c r="H324" s="6" t="str">
        <x:v>按字段定义提供</x:v>
      </x:c>
      <x:c r="I324" s="6" t="str">
        <x:v>自动计算</x:v>
      </x:c>
      <x:c r="J324" s="6"/>
    </x:row>
    <x:row r="325" ht="28" customHeight="1">
      <x:c r="A325" s="2" t="str">
        <x:v>QA_正式文献</x:v>
      </x:c>
      <x:c r="B325" s="2" t="str">
        <x:v>一篇正式文献在一个评审阶段的一组QA1-QA8评分</x:v>
      </x:c>
      <x:c r="C325" s="2" t="str">
        <x:v>final_decision</x:v>
      </x:c>
      <x:c r="D325" s="6" t="str">
        <x:v>最终决定</x:v>
      </x:c>
      <x:c r="E325" s="6" t="str">
        <x:v>共识或仲裁后的正式决定。</x:v>
      </x:c>
      <x:c r="F325" s="2" t="str">
        <x:v>共识行必填</x:v>
      </x:c>
      <x:c r="G325" s="2" t="str">
        <x:v>QA_INCLUDE_STANDARD | QA_INCLUDE_WEAK | QA_EXCLUDE_FORMAL | QA_CONFLICT | Pending</x:v>
      </x:c>
      <x:c r="H325" s="6" t="str">
        <x:v>按字段定义提供</x:v>
      </x:c>
      <x:c r="I325" s="6" t="str">
        <x:v>使用 NR / NA / Unclear / No，不留空</x:v>
      </x:c>
      <x:c r="J325" s="6"/>
    </x:row>
    <x:row r="326" ht="23" customHeight="1">
      <x:c r="A326" s="2" t="str">
        <x:v>QA_正式文献</x:v>
      </x:c>
      <x:c r="B326" s="2" t="str">
        <x:v>一篇正式文献在一个评审阶段的一组QA1-QA8评分</x:v>
      </x:c>
      <x:c r="C326" s="2" t="str">
        <x:v>exclusion_reason</x:v>
      </x:c>
      <x:c r="D326" s="6" t="str">
        <x:v>排除理由</x:v>
      </x:c>
      <x:c r="E326" s="6" t="str">
        <x:v>QA排除时记录明确理由；纳入时记NA。</x:v>
      </x:c>
      <x:c r="F326" s="2" t="str">
        <x:v>条件必填</x:v>
      </x:c>
      <x:c r="G326" s="2" t="str">
        <x:v>自由文本</x:v>
      </x:c>
      <x:c r="H326" s="6" t="str">
        <x:v>按字段定义提供</x:v>
      </x:c>
      <x:c r="I326" s="6" t="str">
        <x:v>使用 NR / NA / Unclear / No，不留空</x:v>
      </x:c>
      <x:c r="J326" s="6"/>
    </x:row>
    <x:row r="327" ht="23" customHeight="1">
      <x:c r="A327" s="2" t="str">
        <x:v>QA_正式文献</x:v>
      </x:c>
      <x:c r="B327" s="2" t="str">
        <x:v>一篇正式文献在一个评审阶段的一组QA1-QA8评分</x:v>
      </x:c>
      <x:c r="C327" s="2" t="str">
        <x:v>review_date</x:v>
      </x:c>
      <x:c r="D327" s="6" t="str">
        <x:v>评估日期</x:v>
      </x:c>
      <x:c r="E327" s="6" t="str">
        <x:v>该轮QA完成日期。</x:v>
      </x:c>
      <x:c r="F327" s="2" t="str">
        <x:v>是</x:v>
      </x:c>
      <x:c r="G327" s="2" t="str">
        <x:v>自由文本</x:v>
      </x:c>
      <x:c r="H327" s="6" t="str">
        <x:v>按字段定义提供</x:v>
      </x:c>
      <x:c r="I327" s="6" t="str">
        <x:v>使用 NR / NA / Unclear / No，不留空</x:v>
      </x:c>
      <x:c r="J327" s="6"/>
    </x:row>
    <x:row r="328" ht="23" customHeight="1">
      <x:c r="A328" s="2" t="str">
        <x:v>QA_正式文献</x:v>
      </x:c>
      <x:c r="B328" s="2" t="str">
        <x:v>一篇正式文献在一个评审阶段的一组QA1-QA8评分</x:v>
      </x:c>
      <x:c r="C328" s="2" t="str">
        <x:v>notes</x:v>
      </x:c>
      <x:c r="D328" s="6" t="str">
        <x:v>备注</x:v>
      </x:c>
      <x:c r="E328" s="6" t="str">
        <x:v>边界情况、冲突、待核查内容或其他说明。</x:v>
      </x:c>
      <x:c r="F328" s="2" t="str">
        <x:v>否</x:v>
      </x:c>
      <x:c r="G328" s="2" t="str">
        <x:v>自由文本</x:v>
      </x:c>
      <x:c r="H328" s="6" t="str">
        <x:v>按字段定义提供</x:v>
      </x:c>
      <x:c r="I328" s="6" t="str">
        <x:v>可留空</x:v>
      </x:c>
      <x:c r="J328" s="6"/>
    </x:row>
    <x:row r="329" ht="23" customHeight="1">
      <x:c r="A329" s="2" t="str">
        <x:v>GQA_预印本</x:v>
      </x:c>
      <x:c r="B329" s="2" t="str">
        <x:v>一篇预印本在一个评审阶段的一组GQA1-GQA10评分</x:v>
      </x:c>
      <x:c r="C329" s="2" t="str">
        <x:v>study_id</x:v>
      </x:c>
      <x:c r="D329" s="6" t="str">
        <x:v>研究ID</x:v>
      </x:c>
      <x:c r="E329" s="6" t="str">
        <x:v>连接研究索引与所有抽取表的稳定研究标识。</x:v>
      </x:c>
      <x:c r="F329" s="2" t="str">
        <x:v>是</x:v>
      </x:c>
      <x:c r="G329" s="2" t="str">
        <x:v>study_id</x:v>
      </x:c>
      <x:c r="H329" s="6" t="str">
        <x:v>按字段定义提供</x:v>
      </x:c>
      <x:c r="I329" s="6" t="str">
        <x:v>使用 NR / NA / Unclear / No，不留空</x:v>
      </x:c>
      <x:c r="J329" s="6" t="str">
        <x:v>建议格式：S001。</x:v>
      </x:c>
    </x:row>
    <x:row r="330" ht="23" customHeight="1">
      <x:c r="A330" s="2" t="str">
        <x:v>GQA_预印本</x:v>
      </x:c>
      <x:c r="B330" s="2" t="str">
        <x:v>一篇预印本在一个评审阶段的一组GQA1-GQA10评分</x:v>
      </x:c>
      <x:c r="C330" s="2" t="str">
        <x:v>version_id</x:v>
      </x:c>
      <x:c r="D330" s="6" t="str">
        <x:v>版本ID</x:v>
      </x:c>
      <x:c r="E330" s="6" t="str">
        <x:v>本次抽取所依据的具体论文版本标识。</x:v>
      </x:c>
      <x:c r="F330" s="2" t="str">
        <x:v>是</x:v>
      </x:c>
      <x:c r="G330" s="2" t="str">
        <x:v>version_id</x:v>
      </x:c>
      <x:c r="H330" s="6" t="str">
        <x:v>按字段定义提供</x:v>
      </x:c>
      <x:c r="I330" s="6" t="str">
        <x:v>使用 NR / NA / Unclear / No，不留空</x:v>
      </x:c>
      <x:c r="J330" s="6" t="str">
        <x:v>同一study family不同版本不得混写。</x:v>
      </x:c>
    </x:row>
    <x:row r="331" ht="23" customHeight="1">
      <x:c r="A331" s="2" t="str">
        <x:v>GQA_预印本</x:v>
      </x:c>
      <x:c r="B331" s="2" t="str">
        <x:v>一篇预印本在一个评审阶段的一组GQA1-GQA10评分</x:v>
      </x:c>
      <x:c r="C331" s="2" t="str">
        <x:v>review_stage</x:v>
      </x:c>
      <x:c r="D331" s="6" t="str">
        <x:v>记录阶段</x:v>
      </x:c>
      <x:c r="E331" s="6" t="str">
        <x:v>区分两名独立评审者、共识与仲裁记录。</x:v>
      </x:c>
      <x:c r="F331" s="2" t="str">
        <x:v>是</x:v>
      </x:c>
      <x:c r="G331" s="2" t="str">
        <x:v>Reviewer_A | Reviewer_B | Consensus | Arbitration</x:v>
      </x:c>
      <x:c r="H331" s="6" t="str">
        <x:v>按字段定义提供</x:v>
      </x:c>
      <x:c r="I331" s="6" t="str">
        <x:v>使用 NR / NA / Unclear / No，不留空</x:v>
      </x:c>
      <x:c r="J331" s="6"/>
    </x:row>
    <x:row r="332" ht="23" customHeight="1">
      <x:c r="A332" s="2" t="str">
        <x:v>GQA_预印本</x:v>
      </x:c>
      <x:c r="B332" s="2" t="str">
        <x:v>一篇预印本在一个评审阶段的一组GQA1-GQA10评分</x:v>
      </x:c>
      <x:c r="C332" s="2" t="str">
        <x:v>reviewer_id</x:v>
      </x:c>
      <x:c r="D332" s="6" t="str">
        <x:v>评审者ID</x:v>
      </x:c>
      <x:c r="E332" s="6" t="str">
        <x:v>完成该条记录的评审者或共识组标识。</x:v>
      </x:c>
      <x:c r="F332" s="2" t="str">
        <x:v>是</x:v>
      </x:c>
      <x:c r="G332" s="2" t="str">
        <x:v>自由文本</x:v>
      </x:c>
      <x:c r="H332" s="6" t="str">
        <x:v>按字段定义提供</x:v>
      </x:c>
      <x:c r="I332" s="6" t="str">
        <x:v>使用 NR / NA / Unclear / No，不留空</x:v>
      </x:c>
      <x:c r="J332" s="6"/>
    </x:row>
    <x:row r="333" ht="23" customHeight="1">
      <x:c r="A333" s="2" t="str">
        <x:v>GQA_预印本</x:v>
      </x:c>
      <x:c r="B333" s="2" t="str">
        <x:v>一篇预印本在一个评审阶段的一组GQA1-GQA10评分</x:v>
      </x:c>
      <x:c r="C333" s="2" t="str">
        <x:v>GQA1_score</x:v>
      </x:c>
      <x:c r="D333" s="6" t="str">
        <x:v>GQA1分数</x:v>
      </x:c>
      <x:c r="E333" s="6" t="str">
        <x:v>预印本GQA1评分：0、0.5、1或NA。</x:v>
      </x:c>
      <x:c r="F333" s="2" t="str">
        <x:v>是</x:v>
      </x:c>
      <x:c r="G333" s="2" t="str">
        <x:v>0 | 0.5 | 1 | NA</x:v>
      </x:c>
      <x:c r="H333" s="6" t="str">
        <x:v>按字段定义提供</x:v>
      </x:c>
      <x:c r="I333" s="6" t="str">
        <x:v>缺少报告证据记0；仅确实不适用记NA。</x:v>
      </x:c>
      <x:c r="J333" s="6"/>
    </x:row>
    <x:row r="334" ht="23" customHeight="1">
      <x:c r="A334" s="2" t="str">
        <x:v>GQA_预印本</x:v>
      </x:c>
      <x:c r="B334" s="2" t="str">
        <x:v>一篇预印本在一个评审阶段的一组GQA1-GQA10评分</x:v>
      </x:c>
      <x:c r="C334" s="2" t="str">
        <x:v>GQA2_score</x:v>
      </x:c>
      <x:c r="D334" s="6" t="str">
        <x:v>GQA2分数</x:v>
      </x:c>
      <x:c r="E334" s="6" t="str">
        <x:v>预印本GQA2评分：0、0.5、1或NA。</x:v>
      </x:c>
      <x:c r="F334" s="2" t="str">
        <x:v>是</x:v>
      </x:c>
      <x:c r="G334" s="2" t="str">
        <x:v>0 | 0.5 | 1 | NA</x:v>
      </x:c>
      <x:c r="H334" s="6" t="str">
        <x:v>按字段定义提供</x:v>
      </x:c>
      <x:c r="I334" s="6" t="str">
        <x:v>缺少报告证据记0；仅确实不适用记NA。</x:v>
      </x:c>
      <x:c r="J334" s="6"/>
    </x:row>
    <x:row r="335" ht="23" customHeight="1">
      <x:c r="A335" s="2" t="str">
        <x:v>GQA_预印本</x:v>
      </x:c>
      <x:c r="B335" s="2" t="str">
        <x:v>一篇预印本在一个评审阶段的一组GQA1-GQA10评分</x:v>
      </x:c>
      <x:c r="C335" s="2" t="str">
        <x:v>GQA3_score</x:v>
      </x:c>
      <x:c r="D335" s="6" t="str">
        <x:v>GQA3分数</x:v>
      </x:c>
      <x:c r="E335" s="6" t="str">
        <x:v>预印本GQA3评分：0、0.5、1或NA。</x:v>
      </x:c>
      <x:c r="F335" s="2" t="str">
        <x:v>是</x:v>
      </x:c>
      <x:c r="G335" s="2" t="str">
        <x:v>0 | 0.5 | 1 | NA</x:v>
      </x:c>
      <x:c r="H335" s="6" t="str">
        <x:v>按字段定义提供</x:v>
      </x:c>
      <x:c r="I335" s="6" t="str">
        <x:v>缺少报告证据记0；仅确实不适用记NA。</x:v>
      </x:c>
      <x:c r="J335" s="6"/>
    </x:row>
    <x:row r="336" ht="23" customHeight="1">
      <x:c r="A336" s="2" t="str">
        <x:v>GQA_预印本</x:v>
      </x:c>
      <x:c r="B336" s="2" t="str">
        <x:v>一篇预印本在一个评审阶段的一组GQA1-GQA10评分</x:v>
      </x:c>
      <x:c r="C336" s="2" t="str">
        <x:v>GQA4_score</x:v>
      </x:c>
      <x:c r="D336" s="6" t="str">
        <x:v>GQA4分数</x:v>
      </x:c>
      <x:c r="E336" s="6" t="str">
        <x:v>预印本GQA4评分：0、0.5、1或NA。</x:v>
      </x:c>
      <x:c r="F336" s="2" t="str">
        <x:v>是</x:v>
      </x:c>
      <x:c r="G336" s="2" t="str">
        <x:v>0 | 0.5 | 1 | NA</x:v>
      </x:c>
      <x:c r="H336" s="6" t="str">
        <x:v>按字段定义提供</x:v>
      </x:c>
      <x:c r="I336" s="6" t="str">
        <x:v>缺少报告证据记0；仅确实不适用记NA。</x:v>
      </x:c>
      <x:c r="J336" s="6"/>
    </x:row>
    <x:row r="337" ht="23" customHeight="1">
      <x:c r="A337" s="2" t="str">
        <x:v>GQA_预印本</x:v>
      </x:c>
      <x:c r="B337" s="2" t="str">
        <x:v>一篇预印本在一个评审阶段的一组GQA1-GQA10评分</x:v>
      </x:c>
      <x:c r="C337" s="2" t="str">
        <x:v>GQA5_score</x:v>
      </x:c>
      <x:c r="D337" s="6" t="str">
        <x:v>GQA5分数</x:v>
      </x:c>
      <x:c r="E337" s="6" t="str">
        <x:v>预印本GQA5评分：0、0.5、1或NA。</x:v>
      </x:c>
      <x:c r="F337" s="2" t="str">
        <x:v>是</x:v>
      </x:c>
      <x:c r="G337" s="2" t="str">
        <x:v>0 | 0.5 | 1 | NA</x:v>
      </x:c>
      <x:c r="H337" s="6" t="str">
        <x:v>按字段定义提供</x:v>
      </x:c>
      <x:c r="I337" s="6" t="str">
        <x:v>缺少报告证据记0；仅确实不适用记NA。</x:v>
      </x:c>
      <x:c r="J337" s="6"/>
    </x:row>
    <x:row r="338" ht="23" customHeight="1">
      <x:c r="A338" s="2" t="str">
        <x:v>GQA_预印本</x:v>
      </x:c>
      <x:c r="B338" s="2" t="str">
        <x:v>一篇预印本在一个评审阶段的一组GQA1-GQA10评分</x:v>
      </x:c>
      <x:c r="C338" s="2" t="str">
        <x:v>GQA6_score</x:v>
      </x:c>
      <x:c r="D338" s="6" t="str">
        <x:v>GQA6分数</x:v>
      </x:c>
      <x:c r="E338" s="6" t="str">
        <x:v>预印本GQA6评分：0、0.5、1或NA。</x:v>
      </x:c>
      <x:c r="F338" s="2" t="str">
        <x:v>是</x:v>
      </x:c>
      <x:c r="G338" s="2" t="str">
        <x:v>0 | 0.5 | 1 | NA</x:v>
      </x:c>
      <x:c r="H338" s="6" t="str">
        <x:v>按字段定义提供</x:v>
      </x:c>
      <x:c r="I338" s="6" t="str">
        <x:v>缺少报告证据记0；仅确实不适用记NA。</x:v>
      </x:c>
      <x:c r="J338" s="6"/>
    </x:row>
    <x:row r="339" ht="23" customHeight="1">
      <x:c r="A339" s="2" t="str">
        <x:v>GQA_预印本</x:v>
      </x:c>
      <x:c r="B339" s="2" t="str">
        <x:v>一篇预印本在一个评审阶段的一组GQA1-GQA10评分</x:v>
      </x:c>
      <x:c r="C339" s="2" t="str">
        <x:v>GQA7_score</x:v>
      </x:c>
      <x:c r="D339" s="6" t="str">
        <x:v>GQA7分数</x:v>
      </x:c>
      <x:c r="E339" s="6" t="str">
        <x:v>预印本GQA7评分：0、0.5、1或NA。</x:v>
      </x:c>
      <x:c r="F339" s="2" t="str">
        <x:v>是</x:v>
      </x:c>
      <x:c r="G339" s="2" t="str">
        <x:v>0 | 0.5 | 1 | NA</x:v>
      </x:c>
      <x:c r="H339" s="6" t="str">
        <x:v>按字段定义提供</x:v>
      </x:c>
      <x:c r="I339" s="6" t="str">
        <x:v>缺少报告证据记0；仅确实不适用记NA。</x:v>
      </x:c>
      <x:c r="J339" s="6"/>
    </x:row>
    <x:row r="340" ht="23" customHeight="1">
      <x:c r="A340" s="2" t="str">
        <x:v>GQA_预印本</x:v>
      </x:c>
      <x:c r="B340" s="2" t="str">
        <x:v>一篇预印本在一个评审阶段的一组GQA1-GQA10评分</x:v>
      </x:c>
      <x:c r="C340" s="2" t="str">
        <x:v>GQA8_score</x:v>
      </x:c>
      <x:c r="D340" s="6" t="str">
        <x:v>GQA8分数</x:v>
      </x:c>
      <x:c r="E340" s="6" t="str">
        <x:v>预印本GQA8评分：0、0.5、1或NA。</x:v>
      </x:c>
      <x:c r="F340" s="2" t="str">
        <x:v>是</x:v>
      </x:c>
      <x:c r="G340" s="2" t="str">
        <x:v>0 | 0.5 | 1 | NA</x:v>
      </x:c>
      <x:c r="H340" s="6" t="str">
        <x:v>按字段定义提供</x:v>
      </x:c>
      <x:c r="I340" s="6" t="str">
        <x:v>缺少报告证据记0；仅确实不适用记NA。</x:v>
      </x:c>
      <x:c r="J340" s="6"/>
    </x:row>
    <x:row r="341" ht="23" customHeight="1">
      <x:c r="A341" s="2" t="str">
        <x:v>GQA_预印本</x:v>
      </x:c>
      <x:c r="B341" s="2" t="str">
        <x:v>一篇预印本在一个评审阶段的一组GQA1-GQA10评分</x:v>
      </x:c>
      <x:c r="C341" s="2" t="str">
        <x:v>GQA9_score</x:v>
      </x:c>
      <x:c r="D341" s="6" t="str">
        <x:v>GQA9分数</x:v>
      </x:c>
      <x:c r="E341" s="6" t="str">
        <x:v>预印本GQA9评分：0、0.5、1或NA。</x:v>
      </x:c>
      <x:c r="F341" s="2" t="str">
        <x:v>是</x:v>
      </x:c>
      <x:c r="G341" s="2" t="str">
        <x:v>0 | 0.5 | 1 | NA</x:v>
      </x:c>
      <x:c r="H341" s="6" t="str">
        <x:v>按字段定义提供</x:v>
      </x:c>
      <x:c r="I341" s="6" t="str">
        <x:v>缺少报告证据记0；仅确实不适用记NA。</x:v>
      </x:c>
      <x:c r="J341" s="6"/>
    </x:row>
    <x:row r="342" ht="23" customHeight="1">
      <x:c r="A342" s="2" t="str">
        <x:v>GQA_预印本</x:v>
      </x:c>
      <x:c r="B342" s="2" t="str">
        <x:v>一篇预印本在一个评审阶段的一组GQA1-GQA10评分</x:v>
      </x:c>
      <x:c r="C342" s="2" t="str">
        <x:v>GQA10_score</x:v>
      </x:c>
      <x:c r="D342" s="6" t="str">
        <x:v>GQA10分数</x:v>
      </x:c>
      <x:c r="E342" s="6" t="str">
        <x:v>预印本GQA10评分：0、0.5、1或NA。</x:v>
      </x:c>
      <x:c r="F342" s="2" t="str">
        <x:v>是</x:v>
      </x:c>
      <x:c r="G342" s="2" t="str">
        <x:v>0 | 0.5 | 1 | NA</x:v>
      </x:c>
      <x:c r="H342" s="6" t="str">
        <x:v>按字段定义提供</x:v>
      </x:c>
      <x:c r="I342" s="6" t="str">
        <x:v>缺少报告证据记0；仅确实不适用记NA。</x:v>
      </x:c>
      <x:c r="J342" s="6"/>
    </x:row>
    <x:row r="343" ht="23" customHeight="1">
      <x:c r="A343" s="2" t="str">
        <x:v>GQA_预印本</x:v>
      </x:c>
      <x:c r="B343" s="2" t="str">
        <x:v>一篇预印本在一个评审阶段的一组GQA1-GQA10评分</x:v>
      </x:c>
      <x:c r="C343" s="2" t="str">
        <x:v>GQA1_evidence</x:v>
      </x:c>
      <x:c r="D343" s="6" t="str">
        <x:v>GQA1证据</x:v>
      </x:c>
      <x:c r="E343" s="6" t="str">
        <x:v>支持GQA1评分的证据位置、简短摘录和理由。</x:v>
      </x:c>
      <x:c r="F343" s="2" t="str">
        <x:v>是</x:v>
      </x:c>
      <x:c r="G343" s="2" t="str">
        <x:v>自由文本</x:v>
      </x:c>
      <x:c r="H343" s="6" t="str">
        <x:v>必须逐项提供</x:v>
      </x:c>
      <x:c r="I343" s="6" t="str">
        <x:v>使用 NR / NA / Unclear / No，不留空</x:v>
      </x:c>
      <x:c r="J343" s="6"/>
    </x:row>
    <x:row r="344" ht="23" customHeight="1">
      <x:c r="A344" s="2" t="str">
        <x:v>GQA_预印本</x:v>
      </x:c>
      <x:c r="B344" s="2" t="str">
        <x:v>一篇预印本在一个评审阶段的一组GQA1-GQA10评分</x:v>
      </x:c>
      <x:c r="C344" s="2" t="str">
        <x:v>GQA2_evidence</x:v>
      </x:c>
      <x:c r="D344" s="6" t="str">
        <x:v>GQA2证据</x:v>
      </x:c>
      <x:c r="E344" s="6" t="str">
        <x:v>支持GQA2评分的证据位置、简短摘录和理由。</x:v>
      </x:c>
      <x:c r="F344" s="2" t="str">
        <x:v>是</x:v>
      </x:c>
      <x:c r="G344" s="2" t="str">
        <x:v>自由文本</x:v>
      </x:c>
      <x:c r="H344" s="6" t="str">
        <x:v>必须逐项提供</x:v>
      </x:c>
      <x:c r="I344" s="6" t="str">
        <x:v>使用 NR / NA / Unclear / No，不留空</x:v>
      </x:c>
      <x:c r="J344" s="6"/>
    </x:row>
    <x:row r="345" ht="23" customHeight="1">
      <x:c r="A345" s="2" t="str">
        <x:v>GQA_预印本</x:v>
      </x:c>
      <x:c r="B345" s="2" t="str">
        <x:v>一篇预印本在一个评审阶段的一组GQA1-GQA10评分</x:v>
      </x:c>
      <x:c r="C345" s="2" t="str">
        <x:v>GQA3_evidence</x:v>
      </x:c>
      <x:c r="D345" s="6" t="str">
        <x:v>GQA3证据</x:v>
      </x:c>
      <x:c r="E345" s="6" t="str">
        <x:v>支持GQA3评分的证据位置、简短摘录和理由。</x:v>
      </x:c>
      <x:c r="F345" s="2" t="str">
        <x:v>是</x:v>
      </x:c>
      <x:c r="G345" s="2" t="str">
        <x:v>自由文本</x:v>
      </x:c>
      <x:c r="H345" s="6" t="str">
        <x:v>必须逐项提供</x:v>
      </x:c>
      <x:c r="I345" s="6" t="str">
        <x:v>使用 NR / NA / Unclear / No，不留空</x:v>
      </x:c>
      <x:c r="J345" s="6"/>
    </x:row>
    <x:row r="346" ht="23" customHeight="1">
      <x:c r="A346" s="2" t="str">
        <x:v>GQA_预印本</x:v>
      </x:c>
      <x:c r="B346" s="2" t="str">
        <x:v>一篇预印本在一个评审阶段的一组GQA1-GQA10评分</x:v>
      </x:c>
      <x:c r="C346" s="2" t="str">
        <x:v>GQA4_evidence</x:v>
      </x:c>
      <x:c r="D346" s="6" t="str">
        <x:v>GQA4证据</x:v>
      </x:c>
      <x:c r="E346" s="6" t="str">
        <x:v>支持GQA4评分的证据位置、简短摘录和理由。</x:v>
      </x:c>
      <x:c r="F346" s="2" t="str">
        <x:v>是</x:v>
      </x:c>
      <x:c r="G346" s="2" t="str">
        <x:v>自由文本</x:v>
      </x:c>
      <x:c r="H346" s="6" t="str">
        <x:v>必须逐项提供</x:v>
      </x:c>
      <x:c r="I346" s="6" t="str">
        <x:v>使用 NR / NA / Unclear / No，不留空</x:v>
      </x:c>
      <x:c r="J346" s="6"/>
    </x:row>
    <x:row r="347" ht="23" customHeight="1">
      <x:c r="A347" s="2" t="str">
        <x:v>GQA_预印本</x:v>
      </x:c>
      <x:c r="B347" s="2" t="str">
        <x:v>一篇预印本在一个评审阶段的一组GQA1-GQA10评分</x:v>
      </x:c>
      <x:c r="C347" s="2" t="str">
        <x:v>GQA5_evidence</x:v>
      </x:c>
      <x:c r="D347" s="6" t="str">
        <x:v>GQA5证据</x:v>
      </x:c>
      <x:c r="E347" s="6" t="str">
        <x:v>支持GQA5评分的证据位置、简短摘录和理由。</x:v>
      </x:c>
      <x:c r="F347" s="2" t="str">
        <x:v>是</x:v>
      </x:c>
      <x:c r="G347" s="2" t="str">
        <x:v>自由文本</x:v>
      </x:c>
      <x:c r="H347" s="6" t="str">
        <x:v>必须逐项提供</x:v>
      </x:c>
      <x:c r="I347" s="6" t="str">
        <x:v>使用 NR / NA / Unclear / No，不留空</x:v>
      </x:c>
      <x:c r="J347" s="6"/>
    </x:row>
    <x:row r="348" ht="23" customHeight="1">
      <x:c r="A348" s="2" t="str">
        <x:v>GQA_预印本</x:v>
      </x:c>
      <x:c r="B348" s="2" t="str">
        <x:v>一篇预印本在一个评审阶段的一组GQA1-GQA10评分</x:v>
      </x:c>
      <x:c r="C348" s="2" t="str">
        <x:v>GQA6_evidence</x:v>
      </x:c>
      <x:c r="D348" s="6" t="str">
        <x:v>GQA6证据</x:v>
      </x:c>
      <x:c r="E348" s="6" t="str">
        <x:v>支持GQA6评分的证据位置、简短摘录和理由。</x:v>
      </x:c>
      <x:c r="F348" s="2" t="str">
        <x:v>是</x:v>
      </x:c>
      <x:c r="G348" s="2" t="str">
        <x:v>自由文本</x:v>
      </x:c>
      <x:c r="H348" s="6" t="str">
        <x:v>必须逐项提供</x:v>
      </x:c>
      <x:c r="I348" s="6" t="str">
        <x:v>使用 NR / NA / Unclear / No，不留空</x:v>
      </x:c>
      <x:c r="J348" s="6"/>
    </x:row>
    <x:row r="349" ht="23" customHeight="1">
      <x:c r="A349" s="2" t="str">
        <x:v>GQA_预印本</x:v>
      </x:c>
      <x:c r="B349" s="2" t="str">
        <x:v>一篇预印本在一个评审阶段的一组GQA1-GQA10评分</x:v>
      </x:c>
      <x:c r="C349" s="2" t="str">
        <x:v>GQA7_evidence</x:v>
      </x:c>
      <x:c r="D349" s="6" t="str">
        <x:v>GQA7证据</x:v>
      </x:c>
      <x:c r="E349" s="6" t="str">
        <x:v>支持GQA7评分的证据位置、简短摘录和理由。</x:v>
      </x:c>
      <x:c r="F349" s="2" t="str">
        <x:v>是</x:v>
      </x:c>
      <x:c r="G349" s="2" t="str">
        <x:v>自由文本</x:v>
      </x:c>
      <x:c r="H349" s="6" t="str">
        <x:v>必须逐项提供</x:v>
      </x:c>
      <x:c r="I349" s="6" t="str">
        <x:v>使用 NR / NA / Unclear / No，不留空</x:v>
      </x:c>
      <x:c r="J349" s="6"/>
    </x:row>
    <x:row r="350" ht="23" customHeight="1">
      <x:c r="A350" s="2" t="str">
        <x:v>GQA_预印本</x:v>
      </x:c>
      <x:c r="B350" s="2" t="str">
        <x:v>一篇预印本在一个评审阶段的一组GQA1-GQA10评分</x:v>
      </x:c>
      <x:c r="C350" s="2" t="str">
        <x:v>GQA8_evidence</x:v>
      </x:c>
      <x:c r="D350" s="6" t="str">
        <x:v>GQA8证据</x:v>
      </x:c>
      <x:c r="E350" s="6" t="str">
        <x:v>支持GQA8评分的证据位置、简短摘录和理由。</x:v>
      </x:c>
      <x:c r="F350" s="2" t="str">
        <x:v>是</x:v>
      </x:c>
      <x:c r="G350" s="2" t="str">
        <x:v>自由文本</x:v>
      </x:c>
      <x:c r="H350" s="6" t="str">
        <x:v>必须逐项提供</x:v>
      </x:c>
      <x:c r="I350" s="6" t="str">
        <x:v>使用 NR / NA / Unclear / No，不留空</x:v>
      </x:c>
      <x:c r="J350" s="6"/>
    </x:row>
    <x:row r="351" ht="23" customHeight="1">
      <x:c r="A351" s="2" t="str">
        <x:v>GQA_预印本</x:v>
      </x:c>
      <x:c r="B351" s="2" t="str">
        <x:v>一篇预印本在一个评审阶段的一组GQA1-GQA10评分</x:v>
      </x:c>
      <x:c r="C351" s="2" t="str">
        <x:v>GQA9_evidence</x:v>
      </x:c>
      <x:c r="D351" s="6" t="str">
        <x:v>GQA9证据</x:v>
      </x:c>
      <x:c r="E351" s="6" t="str">
        <x:v>支持GQA9评分的证据位置、简短摘录和理由。</x:v>
      </x:c>
      <x:c r="F351" s="2" t="str">
        <x:v>是</x:v>
      </x:c>
      <x:c r="G351" s="2" t="str">
        <x:v>自由文本</x:v>
      </x:c>
      <x:c r="H351" s="6" t="str">
        <x:v>必须逐项提供</x:v>
      </x:c>
      <x:c r="I351" s="6" t="str">
        <x:v>使用 NR / NA / Unclear / No，不留空</x:v>
      </x:c>
      <x:c r="J351" s="6"/>
    </x:row>
    <x:row r="352" ht="23" customHeight="1">
      <x:c r="A352" s="2" t="str">
        <x:v>GQA_预印本</x:v>
      </x:c>
      <x:c r="B352" s="2" t="str">
        <x:v>一篇预印本在一个评审阶段的一组GQA1-GQA10评分</x:v>
      </x:c>
      <x:c r="C352" s="2" t="str">
        <x:v>GQA10_evidence</x:v>
      </x:c>
      <x:c r="D352" s="6" t="str">
        <x:v>GQA10证据</x:v>
      </x:c>
      <x:c r="E352" s="6" t="str">
        <x:v>支持GQA10评分的证据位置、简短摘录和理由。</x:v>
      </x:c>
      <x:c r="F352" s="2" t="str">
        <x:v>是</x:v>
      </x:c>
      <x:c r="G352" s="2" t="str">
        <x:v>自由文本</x:v>
      </x:c>
      <x:c r="H352" s="6" t="str">
        <x:v>必须逐项提供</x:v>
      </x:c>
      <x:c r="I352" s="6" t="str">
        <x:v>使用 NR / NA / Unclear / No，不留空</x:v>
      </x:c>
      <x:c r="J352" s="6"/>
    </x:row>
    <x:row r="353" ht="23" customHeight="1">
      <x:c r="A353" s="2" t="str">
        <x:v>GQA_预印本</x:v>
      </x:c>
      <x:c r="B353" s="2" t="str">
        <x:v>一篇预印本在一个评审阶段的一组GQA1-GQA10评分</x:v>
      </x:c>
      <x:c r="C353" s="2" t="str">
        <x:v>GQA_score</x:v>
      </x:c>
      <x:c r="D353" s="6" t="str">
        <x:v>GQA平均分</x:v>
      </x:c>
      <x:c r="E353" s="6" t="str">
        <x:v>适用项目的算术平均；公式自动计算。</x:v>
      </x:c>
      <x:c r="F353" s="2" t="str">
        <x:v>自动</x:v>
      </x:c>
      <x:c r="G353" s="2" t="str">
        <x:v>自由文本</x:v>
      </x:c>
      <x:c r="H353" s="6" t="str">
        <x:v>按字段定义提供</x:v>
      </x:c>
      <x:c r="I353" s="6" t="str">
        <x:v>自动计算</x:v>
      </x:c>
      <x:c r="J353" s="6"/>
    </x:row>
    <x:row r="354" ht="23" customHeight="1">
      <x:c r="A354" s="2" t="str">
        <x:v>GQA_预印本</x:v>
      </x:c>
      <x:c r="B354" s="2" t="str">
        <x:v>一篇预印本在一个评审阶段的一组GQA1-GQA10评分</x:v>
      </x:c>
      <x:c r="C354" s="2" t="str">
        <x:v>calculated_decision</x:v>
      </x:c>
      <x:c r="D354" s="6" t="str">
        <x:v>计算决定</x:v>
      </x:c>
      <x:c r="E354" s="6" t="str">
        <x:v>根据0.50门槛自动给出的过门决定。</x:v>
      </x:c>
      <x:c r="F354" s="2" t="str">
        <x:v>自动</x:v>
      </x:c>
      <x:c r="G354" s="2" t="str">
        <x:v>自由文本</x:v>
      </x:c>
      <x:c r="H354" s="6" t="str">
        <x:v>按字段定义提供</x:v>
      </x:c>
      <x:c r="I354" s="6" t="str">
        <x:v>自动计算</x:v>
      </x:c>
      <x:c r="J354" s="6"/>
    </x:row>
    <x:row r="355" ht="28" customHeight="1">
      <x:c r="A355" s="2" t="str">
        <x:v>GQA_预印本</x:v>
      </x:c>
      <x:c r="B355" s="2" t="str">
        <x:v>一篇预印本在一个评审阶段的一组GQA1-GQA10评分</x:v>
      </x:c>
      <x:c r="C355" s="2" t="str">
        <x:v>final_decision</x:v>
      </x:c>
      <x:c r="D355" s="6" t="str">
        <x:v>最终决定</x:v>
      </x:c>
      <x:c r="E355" s="6" t="str">
        <x:v>共识或仲裁后的预印本QA决定。</x:v>
      </x:c>
      <x:c r="F355" s="2" t="str">
        <x:v>共识行必填</x:v>
      </x:c>
      <x:c r="G355" s="2" t="str">
        <x:v>QA_INCLUDE_STANDARD | QA_INCLUDE_WEAK | QA_EXCLUDE_PREPRINT | QA_CONFLICT | Pending</x:v>
      </x:c>
      <x:c r="H355" s="6" t="str">
        <x:v>按字段定义提供</x:v>
      </x:c>
      <x:c r="I355" s="6" t="str">
        <x:v>使用 NR / NA / Unclear / No，不留空</x:v>
      </x:c>
      <x:c r="J355" s="6"/>
    </x:row>
    <x:row r="356" ht="23" customHeight="1">
      <x:c r="A356" s="2" t="str">
        <x:v>GQA_预印本</x:v>
      </x:c>
      <x:c r="B356" s="2" t="str">
        <x:v>一篇预印本在一个评审阶段的一组GQA1-GQA10评分</x:v>
      </x:c>
      <x:c r="C356" s="2" t="str">
        <x:v>exclusion_reason</x:v>
      </x:c>
      <x:c r="D356" s="6" t="str">
        <x:v>排除理由</x:v>
      </x:c>
      <x:c r="E356" s="6" t="str">
        <x:v>GQA排除时记录明确理由；纳入时记NA。</x:v>
      </x:c>
      <x:c r="F356" s="2" t="str">
        <x:v>条件必填</x:v>
      </x:c>
      <x:c r="G356" s="2" t="str">
        <x:v>自由文本</x:v>
      </x:c>
      <x:c r="H356" s="6" t="str">
        <x:v>按字段定义提供</x:v>
      </x:c>
      <x:c r="I356" s="6" t="str">
        <x:v>使用 NR / NA / Unclear / No，不留空</x:v>
      </x:c>
      <x:c r="J356" s="6"/>
    </x:row>
    <x:row r="357" ht="23" customHeight="1">
      <x:c r="A357" s="2" t="str">
        <x:v>GQA_预印本</x:v>
      </x:c>
      <x:c r="B357" s="2" t="str">
        <x:v>一篇预印本在一个评审阶段的一组GQA1-GQA10评分</x:v>
      </x:c>
      <x:c r="C357" s="2" t="str">
        <x:v>impact_metric_source</x:v>
      </x:c>
      <x:c r="D357" s="6" t="str">
        <x:v>影响指标来源</x:v>
      </x:c>
      <x:c r="E357" s="6" t="str">
        <x:v>GQA10所用引用、下载、评论等指标来源。</x:v>
      </x:c>
      <x:c r="F357" s="2" t="str">
        <x:v>GQA10条件必填</x:v>
      </x:c>
      <x:c r="G357" s="2" t="str">
        <x:v>自由文本</x:v>
      </x:c>
      <x:c r="H357" s="6" t="str">
        <x:v>按字段定义提供</x:v>
      </x:c>
      <x:c r="I357" s="6" t="str">
        <x:v>使用 NR / NA / Unclear / No，不留空</x:v>
      </x:c>
      <x:c r="J357" s="6"/>
    </x:row>
    <x:row r="358" ht="23" customHeight="1">
      <x:c r="A358" s="2" t="str">
        <x:v>GQA_预印本</x:v>
      </x:c>
      <x:c r="B358" s="2" t="str">
        <x:v>一篇预印本在一个评审阶段的一组GQA1-GQA10评分</x:v>
      </x:c>
      <x:c r="C358" s="2" t="str">
        <x:v>impact_metric_date</x:v>
      </x:c>
      <x:c r="D358" s="6" t="str">
        <x:v>指标评估日期</x:v>
      </x:c>
      <x:c r="E358" s="6" t="str">
        <x:v>影响指标的查询日期。</x:v>
      </x:c>
      <x:c r="F358" s="2" t="str">
        <x:v>GQA10条件必填</x:v>
      </x:c>
      <x:c r="G358" s="2" t="str">
        <x:v>自由文本</x:v>
      </x:c>
      <x:c r="H358" s="6" t="str">
        <x:v>按字段定义提供</x:v>
      </x:c>
      <x:c r="I358" s="6" t="str">
        <x:v>使用 NR / NA / Unclear / No，不留空</x:v>
      </x:c>
      <x:c r="J358" s="6"/>
    </x:row>
    <x:row r="359" ht="23" customHeight="1">
      <x:c r="A359" s="2" t="str">
        <x:v>GQA_预印本</x:v>
      </x:c>
      <x:c r="B359" s="2" t="str">
        <x:v>一篇预印本在一个评审阶段的一组GQA1-GQA10评分</x:v>
      </x:c>
      <x:c r="C359" s="2" t="str">
        <x:v>review_date</x:v>
      </x:c>
      <x:c r="D359" s="6" t="str">
        <x:v>评估日期</x:v>
      </x:c>
      <x:c r="E359" s="6" t="str">
        <x:v>该轮GQA完成日期。</x:v>
      </x:c>
      <x:c r="F359" s="2" t="str">
        <x:v>是</x:v>
      </x:c>
      <x:c r="G359" s="2" t="str">
        <x:v>自由文本</x:v>
      </x:c>
      <x:c r="H359" s="6" t="str">
        <x:v>按字段定义提供</x:v>
      </x:c>
      <x:c r="I359" s="6" t="str">
        <x:v>使用 NR / NA / Unclear / No，不留空</x:v>
      </x:c>
      <x:c r="J359" s="6"/>
    </x:row>
    <x:row r="360" ht="23" customHeight="1">
      <x:c r="A360" s="2" t="str">
        <x:v>GQA_预印本</x:v>
      </x:c>
      <x:c r="B360" s="2" t="str">
        <x:v>一篇预印本在一个评审阶段的一组GQA1-GQA10评分</x:v>
      </x:c>
      <x:c r="C360" s="2" t="str">
        <x:v>notes</x:v>
      </x:c>
      <x:c r="D360" s="6" t="str">
        <x:v>备注</x:v>
      </x:c>
      <x:c r="E360" s="6" t="str">
        <x:v>边界情况、冲突、待核查内容或其他说明。</x:v>
      </x:c>
      <x:c r="F360" s="2" t="str">
        <x:v>否</x:v>
      </x:c>
      <x:c r="G360" s="2" t="str">
        <x:v>自由文本</x:v>
      </x:c>
      <x:c r="H360" s="6" t="str">
        <x:v>按字段定义提供</x:v>
      </x:c>
      <x:c r="I360" s="6" t="str">
        <x:v>可留空</x:v>
      </x:c>
      <x:c r="J360" s="6"/>
    </x:row>
    <x:row r="361" ht="23" customHeight="1">
      <x:c r="A361" s="2" t="str">
        <x:v>E_研究级</x:v>
      </x:c>
      <x:c r="B361" s="2" t="str">
        <x:v>一篇研究在一个评审阶段的研究级最高E等级</x:v>
      </x:c>
      <x:c r="C361" s="2" t="str">
        <x:v>study_id</x:v>
      </x:c>
      <x:c r="D361" s="6" t="str">
        <x:v>研究ID</x:v>
      </x:c>
      <x:c r="E361" s="6" t="str">
        <x:v>连接研究索引与所有抽取表的稳定研究标识。</x:v>
      </x:c>
      <x:c r="F361" s="2" t="str">
        <x:v>是</x:v>
      </x:c>
      <x:c r="G361" s="2" t="str">
        <x:v>study_id</x:v>
      </x:c>
      <x:c r="H361" s="6" t="str">
        <x:v>按字段定义提供</x:v>
      </x:c>
      <x:c r="I361" s="6" t="str">
        <x:v>使用 NR / NA / Unclear / No，不留空</x:v>
      </x:c>
      <x:c r="J361" s="6" t="str">
        <x:v>建议格式：S001。</x:v>
      </x:c>
    </x:row>
    <x:row r="362" ht="23" customHeight="1">
      <x:c r="A362" s="2" t="str">
        <x:v>E_研究级</x:v>
      </x:c>
      <x:c r="B362" s="2" t="str">
        <x:v>一篇研究在一个评审阶段的研究级最高E等级</x:v>
      </x:c>
      <x:c r="C362" s="2" t="str">
        <x:v>version_id</x:v>
      </x:c>
      <x:c r="D362" s="6" t="str">
        <x:v>版本ID</x:v>
      </x:c>
      <x:c r="E362" s="6" t="str">
        <x:v>本次抽取所依据的具体论文版本标识。</x:v>
      </x:c>
      <x:c r="F362" s="2" t="str">
        <x:v>是</x:v>
      </x:c>
      <x:c r="G362" s="2" t="str">
        <x:v>version_id</x:v>
      </x:c>
      <x:c r="H362" s="6" t="str">
        <x:v>按字段定义提供</x:v>
      </x:c>
      <x:c r="I362" s="6" t="str">
        <x:v>使用 NR / NA / Unclear / No，不留空</x:v>
      </x:c>
      <x:c r="J362" s="6" t="str">
        <x:v>同一study family不同版本不得混写。</x:v>
      </x:c>
    </x:row>
    <x:row r="363" ht="23" customHeight="1">
      <x:c r="A363" s="2" t="str">
        <x:v>E_研究级</x:v>
      </x:c>
      <x:c r="B363" s="2" t="str">
        <x:v>一篇研究在一个评审阶段的研究级最高E等级</x:v>
      </x:c>
      <x:c r="C363" s="2" t="str">
        <x:v>source_type</x:v>
      </x:c>
      <x:c r="D363" s="6" t="str">
        <x:v>来源类型</x:v>
      </x:c>
      <x:c r="E363" s="6" t="str">
        <x:v>Formal或Preprint；E定义对两类研究完全相同。</x:v>
      </x:c>
      <x:c r="F363" s="2" t="str">
        <x:v>是</x:v>
      </x:c>
      <x:c r="G363" s="2" t="str">
        <x:v>Formal | Preprint</x:v>
      </x:c>
      <x:c r="H363" s="6" t="str">
        <x:v>按字段定义提供</x:v>
      </x:c>
      <x:c r="I363" s="6" t="str">
        <x:v>使用 NR / NA / Unclear / No，不留空</x:v>
      </x:c>
      <x:c r="J363" s="6"/>
    </x:row>
    <x:row r="364" ht="23" customHeight="1">
      <x:c r="A364" s="2" t="str">
        <x:v>E_研究级</x:v>
      </x:c>
      <x:c r="B364" s="2" t="str">
        <x:v>一篇研究在一个评审阶段的研究级最高E等级</x:v>
      </x:c>
      <x:c r="C364" s="2" t="str">
        <x:v>review_stage</x:v>
      </x:c>
      <x:c r="D364" s="6" t="str">
        <x:v>记录阶段</x:v>
      </x:c>
      <x:c r="E364" s="6" t="str">
        <x:v>区分两名独立评审者、共识与仲裁记录。</x:v>
      </x:c>
      <x:c r="F364" s="2" t="str">
        <x:v>是</x:v>
      </x:c>
      <x:c r="G364" s="2" t="str">
        <x:v>Reviewer_A | Reviewer_B | Consensus | Arbitration</x:v>
      </x:c>
      <x:c r="H364" s="6" t="str">
        <x:v>按字段定义提供</x:v>
      </x:c>
      <x:c r="I364" s="6" t="str">
        <x:v>使用 NR / NA / Unclear / No，不留空</x:v>
      </x:c>
      <x:c r="J364" s="6"/>
    </x:row>
    <x:row r="365" ht="23" customHeight="1">
      <x:c r="A365" s="2" t="str">
        <x:v>E_研究级</x:v>
      </x:c>
      <x:c r="B365" s="2" t="str">
        <x:v>一篇研究在一个评审阶段的研究级最高E等级</x:v>
      </x:c>
      <x:c r="C365" s="2" t="str">
        <x:v>reviewer_id</x:v>
      </x:c>
      <x:c r="D365" s="6" t="str">
        <x:v>评审者ID</x:v>
      </x:c>
      <x:c r="E365" s="6" t="str">
        <x:v>完成该条记录的评审者或共识组标识。</x:v>
      </x:c>
      <x:c r="F365" s="2" t="str">
        <x:v>是</x:v>
      </x:c>
      <x:c r="G365" s="2" t="str">
        <x:v>自由文本</x:v>
      </x:c>
      <x:c r="H365" s="6" t="str">
        <x:v>按字段定义提供</x:v>
      </x:c>
      <x:c r="I365" s="6" t="str">
        <x:v>使用 NR / NA / Unclear / No，不留空</x:v>
      </x:c>
      <x:c r="J365" s="6"/>
    </x:row>
    <x:row r="366" ht="23" customHeight="1">
      <x:c r="A366" s="2" t="str">
        <x:v>E_研究级</x:v>
      </x:c>
      <x:c r="B366" s="2" t="str">
        <x:v>一篇研究在一个评审阶段的研究级最高E等级</x:v>
      </x:c>
      <x:c r="C366" s="2" t="str">
        <x:v>E_level</x:v>
      </x:c>
      <x:c r="D366" s="6" t="str">
        <x:v>E等级</x:v>
      </x:c>
      <x:c r="E366" s="6" t="str">
        <x:v>研究全部独立评价中的最高证据成熟度。</x:v>
      </x:c>
      <x:c r="F366" s="2" t="str">
        <x:v>是</x:v>
      </x:c>
      <x:c r="G366" s="2" t="str">
        <x:v>EM0 | EM1 | EM2 | EM3 | EM4 | EM5</x:v>
      </x:c>
      <x:c r="H366" s="6" t="str">
        <x:v>按字段定义提供</x:v>
      </x:c>
      <x:c r="I366" s="6" t="str">
        <x:v>使用 NR / NA / Unclear / No，不留空</x:v>
      </x:c>
      <x:c r="J366" s="6"/>
    </x:row>
    <x:row r="367" ht="23" customHeight="1">
      <x:c r="A367" s="2" t="str">
        <x:v>E_研究级</x:v>
      </x:c>
      <x:c r="B367" s="2" t="str">
        <x:v>一篇研究在一个评审阶段的研究级最高E等级</x:v>
      </x:c>
      <x:c r="C367" s="2" t="str">
        <x:v>E_score</x:v>
      </x:c>
      <x:c r="D367" s="6" t="str">
        <x:v>E分值</x:v>
      </x:c>
      <x:c r="E367" s="6" t="str">
        <x:v>EM0-E5对应0.0-1.0；公式自动计算。</x:v>
      </x:c>
      <x:c r="F367" s="2" t="str">
        <x:v>自动</x:v>
      </x:c>
      <x:c r="G367" s="2" t="str">
        <x:v>自由文本</x:v>
      </x:c>
      <x:c r="H367" s="6" t="str">
        <x:v>按字段定义提供</x:v>
      </x:c>
      <x:c r="I367" s="6" t="str">
        <x:v>自动计算</x:v>
      </x:c>
      <x:c r="J367" s="6"/>
    </x:row>
    <x:row r="368" ht="23" customHeight="1">
      <x:c r="A368" s="2" t="str">
        <x:v>E_研究级</x:v>
      </x:c>
      <x:c r="B368" s="2" t="str">
        <x:v>一篇研究在一个评审阶段的研究级最高E等级</x:v>
      </x:c>
      <x:c r="C368" s="2" t="str">
        <x:v>evaluation_count</x:v>
      </x:c>
      <x:c r="D368" s="6" t="str">
        <x:v>评价数量</x:v>
      </x:c>
      <x:c r="E368" s="6" t="str">
        <x:v>纳入研究级最高值判定的独立评价数量。</x:v>
      </x:c>
      <x:c r="F368" s="2" t="str">
        <x:v>是</x:v>
      </x:c>
      <x:c r="G368" s="2" t="str">
        <x:v>自由文本</x:v>
      </x:c>
      <x:c r="H368" s="6" t="str">
        <x:v>按字段定义提供</x:v>
      </x:c>
      <x:c r="I368" s="6" t="str">
        <x:v>使用 NR / NA / Unclear / No，不留空</x:v>
      </x:c>
      <x:c r="J368" s="6"/>
    </x:row>
    <x:row r="369" ht="23" customHeight="1">
      <x:c r="A369" s="2" t="str">
        <x:v>E_研究级</x:v>
      </x:c>
      <x:c r="B369" s="2" t="str">
        <x:v>一篇研究在一个评审阶段的研究级最高E等级</x:v>
      </x:c>
      <x:c r="C369" s="2" t="str">
        <x:v>study_rationale</x:v>
      </x:c>
      <x:c r="D369" s="6" t="str">
        <x:v>研究级判定理由</x:v>
      </x:c>
      <x:c r="E369" s="6" t="str">
        <x:v>说明为何取该最高等级及对应评价。</x:v>
      </x:c>
      <x:c r="F369" s="2" t="str">
        <x:v>是</x:v>
      </x:c>
      <x:c r="G369" s="2" t="str">
        <x:v>自由文本</x:v>
      </x:c>
      <x:c r="H369" s="6" t="str">
        <x:v>按字段定义提供</x:v>
      </x:c>
      <x:c r="I369" s="6" t="str">
        <x:v>使用 NR / NA / Unclear / No，不留空</x:v>
      </x:c>
      <x:c r="J369" s="6"/>
    </x:row>
    <x:row r="370" ht="23" customHeight="1">
      <x:c r="A370" s="2" t="str">
        <x:v>E_研究级</x:v>
      </x:c>
      <x:c r="B370" s="2" t="str">
        <x:v>一篇研究在一个评审阶段的研究级最高E等级</x:v>
      </x:c>
      <x:c r="C370" s="2" t="str">
        <x:v>evidence_location</x:v>
      </x:c>
      <x:c r="D370" s="6" t="str">
        <x:v>证据位置</x:v>
      </x:c>
      <x:c r="E370" s="6" t="str">
        <x:v>支持研究级最高E等级的评价位置。</x:v>
      </x:c>
      <x:c r="F370" s="2" t="str">
        <x:v>是</x:v>
      </x:c>
      <x:c r="G370" s="2" t="str">
        <x:v>自由文本</x:v>
      </x:c>
      <x:c r="H370" s="6" t="str">
        <x:v>按字段定义提供</x:v>
      </x:c>
      <x:c r="I370" s="6" t="str">
        <x:v>使用 NR / NA / Unclear / No，不留空</x:v>
      </x:c>
      <x:c r="J370" s="6"/>
    </x:row>
    <x:row r="371" ht="23" customHeight="1">
      <x:c r="A371" s="2" t="str">
        <x:v>E_研究级</x:v>
      </x:c>
      <x:c r="B371" s="2" t="str">
        <x:v>一篇研究在一个评审阶段的研究级最高E等级</x:v>
      </x:c>
      <x:c r="C371" s="2" t="str">
        <x:v>review_date</x:v>
      </x:c>
      <x:c r="D371" s="6" t="str">
        <x:v>评估日期</x:v>
      </x:c>
      <x:c r="E371" s="6" t="str">
        <x:v>该轮E评价日期。</x:v>
      </x:c>
      <x:c r="F371" s="2" t="str">
        <x:v>是</x:v>
      </x:c>
      <x:c r="G371" s="2" t="str">
        <x:v>自由文本</x:v>
      </x:c>
      <x:c r="H371" s="6" t="str">
        <x:v>按字段定义提供</x:v>
      </x:c>
      <x:c r="I371" s="6" t="str">
        <x:v>使用 NR / NA / Unclear / No，不留空</x:v>
      </x:c>
      <x:c r="J371" s="6"/>
    </x:row>
    <x:row r="372" ht="23" customHeight="1">
      <x:c r="A372" s="2" t="str">
        <x:v>E_研究级</x:v>
      </x:c>
      <x:c r="B372" s="2" t="str">
        <x:v>一篇研究在一个评审阶段的研究级最高E等级</x:v>
      </x:c>
      <x:c r="C372" s="2" t="str">
        <x:v>notes</x:v>
      </x:c>
      <x:c r="D372" s="6" t="str">
        <x:v>备注</x:v>
      </x:c>
      <x:c r="E372" s="6" t="str">
        <x:v>边界情况、冲突、待核查内容或其他说明。</x:v>
      </x:c>
      <x:c r="F372" s="2" t="str">
        <x:v>否</x:v>
      </x:c>
      <x:c r="G372" s="2" t="str">
        <x:v>自由文本</x:v>
      </x:c>
      <x:c r="H372" s="6" t="str">
        <x:v>按字段定义提供</x:v>
      </x:c>
      <x:c r="I372" s="6" t="str">
        <x:v>可留空</x:v>
      </x:c>
      <x:c r="J372" s="6"/>
    </x:row>
    <x:row r="373" ht="23" customHeight="1">
      <x:c r="A373" s="2" t="str">
        <x:v>E_评价级</x:v>
      </x:c>
      <x:c r="B373" s="2" t="str">
        <x:v>一项独立评价在一个评审阶段的E等级</x:v>
      </x:c>
      <x:c r="C373" s="2" t="str">
        <x:v>evaluation_id</x:v>
      </x:c>
      <x:c r="D373" s="6" t="str">
        <x:v>评价ID</x:v>
      </x:c>
      <x:c r="E373" s="6" t="str">
        <x:v>连接RQ2评价设计的评价标识。</x:v>
      </x:c>
      <x:c r="F373" s="2" t="str">
        <x:v>是</x:v>
      </x:c>
      <x:c r="G373" s="2" t="str">
        <x:v>自由文本</x:v>
      </x:c>
      <x:c r="H373" s="6" t="str">
        <x:v>按字段定义提供</x:v>
      </x:c>
      <x:c r="I373" s="6" t="str">
        <x:v>使用 NR / NA / Unclear / No，不留空</x:v>
      </x:c>
      <x:c r="J373" s="6"/>
    </x:row>
    <x:row r="374" ht="23" customHeight="1">
      <x:c r="A374" s="2" t="str">
        <x:v>E_评价级</x:v>
      </x:c>
      <x:c r="B374" s="2" t="str">
        <x:v>一项独立评价在一个评审阶段的E等级</x:v>
      </x:c>
      <x:c r="C374" s="2" t="str">
        <x:v>study_id</x:v>
      </x:c>
      <x:c r="D374" s="6" t="str">
        <x:v>研究ID</x:v>
      </x:c>
      <x:c r="E374" s="6" t="str">
        <x:v>连接研究索引与所有抽取表的稳定研究标识。</x:v>
      </x:c>
      <x:c r="F374" s="2" t="str">
        <x:v>是</x:v>
      </x:c>
      <x:c r="G374" s="2" t="str">
        <x:v>study_id</x:v>
      </x:c>
      <x:c r="H374" s="6" t="str">
        <x:v>按字段定义提供</x:v>
      </x:c>
      <x:c r="I374" s="6" t="str">
        <x:v>使用 NR / NA / Unclear / No，不留空</x:v>
      </x:c>
      <x:c r="J374" s="6" t="str">
        <x:v>建议格式：S001。</x:v>
      </x:c>
    </x:row>
    <x:row r="375" ht="23" customHeight="1">
      <x:c r="A375" s="2" t="str">
        <x:v>E_评价级</x:v>
      </x:c>
      <x:c r="B375" s="2" t="str">
        <x:v>一项独立评价在一个评审阶段的E等级</x:v>
      </x:c>
      <x:c r="C375" s="2" t="str">
        <x:v>version_id</x:v>
      </x:c>
      <x:c r="D375" s="6" t="str">
        <x:v>版本ID</x:v>
      </x:c>
      <x:c r="E375" s="6" t="str">
        <x:v>本次抽取所依据的具体论文版本标识。</x:v>
      </x:c>
      <x:c r="F375" s="2" t="str">
        <x:v>是</x:v>
      </x:c>
      <x:c r="G375" s="2" t="str">
        <x:v>version_id</x:v>
      </x:c>
      <x:c r="H375" s="6" t="str">
        <x:v>按字段定义提供</x:v>
      </x:c>
      <x:c r="I375" s="6" t="str">
        <x:v>使用 NR / NA / Unclear / No，不留空</x:v>
      </x:c>
      <x:c r="J375" s="6" t="str">
        <x:v>同一study family不同版本不得混写。</x:v>
      </x:c>
    </x:row>
    <x:row r="376" ht="23" customHeight="1">
      <x:c r="A376" s="2" t="str">
        <x:v>E_评价级</x:v>
      </x:c>
      <x:c r="B376" s="2" t="str">
        <x:v>一项独立评价在一个评审阶段的E等级</x:v>
      </x:c>
      <x:c r="C376" s="2" t="str">
        <x:v>source_type</x:v>
      </x:c>
      <x:c r="D376" s="6" t="str">
        <x:v>来源类型</x:v>
      </x:c>
      <x:c r="E376" s="6" t="str">
        <x:v>Formal或Preprint；E定义保持一致。</x:v>
      </x:c>
      <x:c r="F376" s="2" t="str">
        <x:v>是</x:v>
      </x:c>
      <x:c r="G376" s="2" t="str">
        <x:v>Formal | Preprint</x:v>
      </x:c>
      <x:c r="H376" s="6" t="str">
        <x:v>按字段定义提供</x:v>
      </x:c>
      <x:c r="I376" s="6" t="str">
        <x:v>使用 NR / NA / Unclear / No，不留空</x:v>
      </x:c>
      <x:c r="J376" s="6"/>
    </x:row>
    <x:row r="377" ht="23" customHeight="1">
      <x:c r="A377" s="2" t="str">
        <x:v>E_评价级</x:v>
      </x:c>
      <x:c r="B377" s="2" t="str">
        <x:v>一项独立评价在一个评审阶段的E等级</x:v>
      </x:c>
      <x:c r="C377" s="2" t="str">
        <x:v>review_stage</x:v>
      </x:c>
      <x:c r="D377" s="6" t="str">
        <x:v>记录阶段</x:v>
      </x:c>
      <x:c r="E377" s="6" t="str">
        <x:v>区分两名独立评审者、共识与仲裁记录。</x:v>
      </x:c>
      <x:c r="F377" s="2" t="str">
        <x:v>是</x:v>
      </x:c>
      <x:c r="G377" s="2" t="str">
        <x:v>Reviewer_A | Reviewer_B | Consensus | Arbitration</x:v>
      </x:c>
      <x:c r="H377" s="6" t="str">
        <x:v>按字段定义提供</x:v>
      </x:c>
      <x:c r="I377" s="6" t="str">
        <x:v>使用 NR / NA / Unclear / No，不留空</x:v>
      </x:c>
      <x:c r="J377" s="6"/>
    </x:row>
    <x:row r="378" ht="23" customHeight="1">
      <x:c r="A378" s="2" t="str">
        <x:v>E_评价级</x:v>
      </x:c>
      <x:c r="B378" s="2" t="str">
        <x:v>一项独立评价在一个评审阶段的E等级</x:v>
      </x:c>
      <x:c r="C378" s="2" t="str">
        <x:v>reviewer_id</x:v>
      </x:c>
      <x:c r="D378" s="6" t="str">
        <x:v>评审者ID</x:v>
      </x:c>
      <x:c r="E378" s="6" t="str">
        <x:v>完成该条记录的评审者或共识组标识。</x:v>
      </x:c>
      <x:c r="F378" s="2" t="str">
        <x:v>是</x:v>
      </x:c>
      <x:c r="G378" s="2" t="str">
        <x:v>自由文本</x:v>
      </x:c>
      <x:c r="H378" s="6" t="str">
        <x:v>按字段定义提供</x:v>
      </x:c>
      <x:c r="I378" s="6" t="str">
        <x:v>使用 NR / NA / Unclear / No，不留空</x:v>
      </x:c>
      <x:c r="J378" s="6"/>
    </x:row>
    <x:row r="379" ht="23" customHeight="1">
      <x:c r="A379" s="2" t="str">
        <x:v>E_评价级</x:v>
      </x:c>
      <x:c r="B379" s="2" t="str">
        <x:v>一项独立评价在一个评审阶段的E等级</x:v>
      </x:c>
      <x:c r="C379" s="2" t="str">
        <x:v>E_level</x:v>
      </x:c>
      <x:c r="D379" s="6" t="str">
        <x:v>E等级</x:v>
      </x:c>
      <x:c r="E379" s="6" t="str">
        <x:v>该项独立评价的E0-E5等级。</x:v>
      </x:c>
      <x:c r="F379" s="2" t="str">
        <x:v>是</x:v>
      </x:c>
      <x:c r="G379" s="2" t="str">
        <x:v>EM0 | EM1 | EM2 | EM3 | EM4 | EM5</x:v>
      </x:c>
      <x:c r="H379" s="6" t="str">
        <x:v>按字段定义提供</x:v>
      </x:c>
      <x:c r="I379" s="6" t="str">
        <x:v>使用 NR / NA / Unclear / No，不留空</x:v>
      </x:c>
      <x:c r="J379" s="6"/>
    </x:row>
    <x:row r="380" ht="23" customHeight="1">
      <x:c r="A380" s="2" t="str">
        <x:v>E_评价级</x:v>
      </x:c>
      <x:c r="B380" s="2" t="str">
        <x:v>一项独立评价在一个评审阶段的E等级</x:v>
      </x:c>
      <x:c r="C380" s="2" t="str">
        <x:v>E_score</x:v>
      </x:c>
      <x:c r="D380" s="6" t="str">
        <x:v>E分值</x:v>
      </x:c>
      <x:c r="E380" s="6" t="str">
        <x:v>EM0-E5对应0.0-1.0；公式自动计算。</x:v>
      </x:c>
      <x:c r="F380" s="2" t="str">
        <x:v>自动</x:v>
      </x:c>
      <x:c r="G380" s="2" t="str">
        <x:v>自由文本</x:v>
      </x:c>
      <x:c r="H380" s="6" t="str">
        <x:v>按字段定义提供</x:v>
      </x:c>
      <x:c r="I380" s="6" t="str">
        <x:v>自动计算</x:v>
      </x:c>
      <x:c r="J380" s="6"/>
    </x:row>
    <x:row r="381" ht="23" customHeight="1">
      <x:c r="A381" s="2" t="str">
        <x:v>E_评价级</x:v>
      </x:c>
      <x:c r="B381" s="2" t="str">
        <x:v>一项独立评价在一个评审阶段的E等级</x:v>
      </x:c>
      <x:c r="C381" s="2" t="str">
        <x:v>evaluation_type</x:v>
      </x:c>
      <x:c r="D381" s="6" t="str">
        <x:v>评价类型</x:v>
      </x:c>
      <x:c r="E381" s="6" t="str">
        <x:v>toy、专家观察、benchmark、工业试点或持续采用等。</x:v>
      </x:c>
      <x:c r="F381" s="2" t="str">
        <x:v>是</x:v>
      </x:c>
      <x:c r="G381" s="2" t="str">
        <x:v>自由文本</x:v>
      </x:c>
      <x:c r="H381" s="6" t="str">
        <x:v>按字段定义提供</x:v>
      </x:c>
      <x:c r="I381" s="6" t="str">
        <x:v>使用 NR / NA / Unclear / No，不留空</x:v>
      </x:c>
      <x:c r="J381" s="6"/>
    </x:row>
    <x:row r="382" ht="23" customHeight="1">
      <x:c r="A382" s="2" t="str">
        <x:v>E_评价级</x:v>
      </x:c>
      <x:c r="B382" s="2" t="str">
        <x:v>一项独立评价在一个评审阶段的E等级</x:v>
      </x:c>
      <x:c r="C382" s="2" t="str">
        <x:v>evidence_location</x:v>
      </x:c>
      <x:c r="D382" s="6" t="str">
        <x:v>证据位置</x:v>
      </x:c>
      <x:c r="E382" s="6" t="str">
        <x:v>支持等级判定的页码、章节、表格或附录。</x:v>
      </x:c>
      <x:c r="F382" s="2" t="str">
        <x:v>是</x:v>
      </x:c>
      <x:c r="G382" s="2" t="str">
        <x:v>自由文本</x:v>
      </x:c>
      <x:c r="H382" s="6" t="str">
        <x:v>按字段定义提供</x:v>
      </x:c>
      <x:c r="I382" s="6" t="str">
        <x:v>使用 NR / NA / Unclear / No，不留空</x:v>
      </x:c>
      <x:c r="J382" s="6"/>
    </x:row>
    <x:row r="383" ht="23" customHeight="1">
      <x:c r="A383" s="2" t="str">
        <x:v>E_评价级</x:v>
      </x:c>
      <x:c r="B383" s="2" t="str">
        <x:v>一项独立评价在一个评审阶段的E等级</x:v>
      </x:c>
      <x:c r="C383" s="2" t="str">
        <x:v>evidence_verbatim</x:v>
      </x:c>
      <x:c r="D383" s="6" t="str">
        <x:v>原文证据</x:v>
      </x:c>
      <x:c r="E383" s="6" t="str">
        <x:v>支持E等级的简短原文摘录。</x:v>
      </x:c>
      <x:c r="F383" s="2" t="str">
        <x:v>是</x:v>
      </x:c>
      <x:c r="G383" s="2" t="str">
        <x:v>自由文本</x:v>
      </x:c>
      <x:c r="H383" s="6" t="str">
        <x:v>按字段定义提供</x:v>
      </x:c>
      <x:c r="I383" s="6" t="str">
        <x:v>使用 NR / NA / Unclear / No，不留空</x:v>
      </x:c>
      <x:c r="J383" s="6"/>
    </x:row>
    <x:row r="384" ht="23" customHeight="1">
      <x:c r="A384" s="2" t="str">
        <x:v>E_评价级</x:v>
      </x:c>
      <x:c r="B384" s="2" t="str">
        <x:v>一项独立评价在一个评审阶段的E等级</x:v>
      </x:c>
      <x:c r="C384" s="2" t="str">
        <x:v>maturity_rationale</x:v>
      </x:c>
      <x:c r="D384" s="6" t="str">
        <x:v>判定理由</x:v>
      </x:c>
      <x:c r="E384" s="6" t="str">
        <x:v>对照E0-E5操作定义说明判定依据。</x:v>
      </x:c>
      <x:c r="F384" s="2" t="str">
        <x:v>是</x:v>
      </x:c>
      <x:c r="G384" s="2" t="str">
        <x:v>自由文本</x:v>
      </x:c>
      <x:c r="H384" s="6" t="str">
        <x:v>按字段定义提供</x:v>
      </x:c>
      <x:c r="I384" s="6" t="str">
        <x:v>使用 NR / NA / Unclear / No，不留空</x:v>
      </x:c>
      <x:c r="J384" s="6"/>
    </x:row>
    <x:row r="385" ht="23" customHeight="1">
      <x:c r="A385" s="2" t="str">
        <x:v>E_评价级</x:v>
      </x:c>
      <x:c r="B385" s="2" t="str">
        <x:v>一项独立评价在一个评审阶段的E等级</x:v>
      </x:c>
      <x:c r="C385" s="2" t="str">
        <x:v>study_highest_level</x:v>
      </x:c>
      <x:c r="D385" s="6" t="str">
        <x:v>研究级最高等级</x:v>
      </x:c>
      <x:c r="E385" s="6" t="str">
        <x:v>共识后回填该研究全部评价的最高E等级。</x:v>
      </x:c>
      <x:c r="F385" s="2" t="str">
        <x:v>条件必填</x:v>
      </x:c>
      <x:c r="G385" s="2" t="str">
        <x:v>EM0 | EM1 | EM2 | EM3 | EM4 | EM5</x:v>
      </x:c>
      <x:c r="H385" s="6" t="str">
        <x:v>按字段定义提供</x:v>
      </x:c>
      <x:c r="I385" s="6" t="str">
        <x:v>使用 NR / NA / Unclear / No，不留空</x:v>
      </x:c>
      <x:c r="J385" s="6"/>
    </x:row>
    <x:row r="386" ht="23" customHeight="1">
      <x:c r="A386" s="2" t="str">
        <x:v>E_评价级</x:v>
      </x:c>
      <x:c r="B386" s="2" t="str">
        <x:v>一项独立评价在一个评审阶段的E等级</x:v>
      </x:c>
      <x:c r="C386" s="2" t="str">
        <x:v>review_date</x:v>
      </x:c>
      <x:c r="D386" s="6" t="str">
        <x:v>评估日期</x:v>
      </x:c>
      <x:c r="E386" s="6" t="str">
        <x:v>该轮E评价日期。</x:v>
      </x:c>
      <x:c r="F386" s="2" t="str">
        <x:v>是</x:v>
      </x:c>
      <x:c r="G386" s="2" t="str">
        <x:v>自由文本</x:v>
      </x:c>
      <x:c r="H386" s="6" t="str">
        <x:v>按字段定义提供</x:v>
      </x:c>
      <x:c r="I386" s="6" t="str">
        <x:v>使用 NR / NA / Unclear / No，不留空</x:v>
      </x:c>
      <x:c r="J386" s="6"/>
    </x:row>
    <x:row r="387" ht="23" customHeight="1">
      <x:c r="A387" s="2" t="str">
        <x:v>E_评价级</x:v>
      </x:c>
      <x:c r="B387" s="2" t="str">
        <x:v>一项独立评价在一个评审阶段的E等级</x:v>
      </x:c>
      <x:c r="C387" s="2" t="str">
        <x:v>notes</x:v>
      </x:c>
      <x:c r="D387" s="6" t="str">
        <x:v>备注</x:v>
      </x:c>
      <x:c r="E387" s="6" t="str">
        <x:v>边界情况、冲突、待核查内容或其他说明。</x:v>
      </x:c>
      <x:c r="F387" s="2" t="str">
        <x:v>否</x:v>
      </x:c>
      <x:c r="G387" s="2" t="str">
        <x:v>自由文本</x:v>
      </x:c>
      <x:c r="H387" s="6" t="str">
        <x:v>按字段定义提供</x:v>
      </x:c>
      <x:c r="I387" s="6" t="str">
        <x:v>可留空</x:v>
      </x:c>
      <x:c r="J387" s="6"/>
    </x:row>
    <x:row r="388" ht="23" customHeight="1">
      <x:c r="A388" s="2" t="str">
        <x:v>RQ2_过程重构</x:v>
      </x:c>
      <x:c r="B388" s="2" t="str">
        <x:v>一项研究中的一个ST任务的一个过程步骤</x:v>
      </x:c>
      <x:c r="C388" s="2" t="str">
        <x:v>record_id</x:v>
      </x:c>
      <x:c r="D388" s="6" t="str">
        <x:v>记录ID</x:v>
      </x:c>
      <x:c r="E388" s="6" t="str">
        <x:v>任务步骤记录的稳定唯一ID。</x:v>
      </x:c>
      <x:c r="F388" s="2" t="str">
        <x:v>是</x:v>
      </x:c>
      <x:c r="G388" s="2" t="str">
        <x:v>自由文本</x:v>
      </x:c>
      <x:c r="H388" s="6" t="str">
        <x:v>按字段定义提供</x:v>
      </x:c>
      <x:c r="I388" s="6" t="str">
        <x:v>不留空</x:v>
      </x:c>
      <x:c r="J388" s="6" t="str">
        <x:v>格式建议为task_id-P1至P5</x:v>
      </x:c>
    </x:row>
    <x:row r="389" ht="23" customHeight="1">
      <x:c r="A389" s="2" t="str">
        <x:v>RQ2_过程重构</x:v>
      </x:c>
      <x:c r="B389" s="2" t="str">
        <x:v>一项研究中的一个ST任务的一个过程步骤</x:v>
      </x:c>
      <x:c r="C389" s="2" t="str">
        <x:v>study_id</x:v>
      </x:c>
      <x:c r="D389" s="6" t="str">
        <x:v>研究ID</x:v>
      </x:c>
      <x:c r="E389" s="6" t="str">
        <x:v>连接研究索引及其他抽取表。</x:v>
      </x:c>
      <x:c r="F389" s="2" t="str">
        <x:v>是</x:v>
      </x:c>
      <x:c r="G389" s="2" t="str">
        <x:v>study_id</x:v>
      </x:c>
      <x:c r="H389" s="6" t="str">
        <x:v>按字段定义提供</x:v>
      </x:c>
      <x:c r="I389" s="6" t="str">
        <x:v>不留空</x:v>
      </x:c>
      <x:c r="J389" s="6"/>
    </x:row>
    <x:row r="390" ht="23" customHeight="1">
      <x:c r="A390" s="2" t="str">
        <x:v>RQ2_过程重构</x:v>
      </x:c>
      <x:c r="B390" s="2" t="str">
        <x:v>一项研究中的一个ST任务的一个过程步骤</x:v>
      </x:c>
      <x:c r="C390" s="2" t="str">
        <x:v>version_id</x:v>
      </x:c>
      <x:c r="D390" s="6" t="str">
        <x:v>版本ID</x:v>
      </x:c>
      <x:c r="E390" s="6" t="str">
        <x:v>本次过程核验所依据的论文版本。</x:v>
      </x:c>
      <x:c r="F390" s="2" t="str">
        <x:v>是</x:v>
      </x:c>
      <x:c r="G390" s="2" t="str">
        <x:v>version_id</x:v>
      </x:c>
      <x:c r="H390" s="6" t="str">
        <x:v>按字段定义提供</x:v>
      </x:c>
      <x:c r="I390" s="6" t="str">
        <x:v>不留空</x:v>
      </x:c>
      <x:c r="J390" s="6"/>
    </x:row>
    <x:row r="391" ht="23" customHeight="1">
      <x:c r="A391" s="2" t="str">
        <x:v>RQ2_过程重构</x:v>
      </x:c>
      <x:c r="B391" s="2" t="str">
        <x:v>一项研究中的一个ST任务的一个过程步骤</x:v>
      </x:c>
      <x:c r="C391" s="2" t="str">
        <x:v>review_stage</x:v>
      </x:c>
      <x:c r="D391" s="6" t="str">
        <x:v>评审阶段</x:v>
      </x:c>
      <x:c r="E391" s="6" t="str">
        <x:v>区分独立评审、共识和仲裁。</x:v>
      </x:c>
      <x:c r="F391" s="2" t="str">
        <x:v>是</x:v>
      </x:c>
      <x:c r="G391" s="2" t="str">
        <x:v>Reviewer_A | Reviewer_B | Consensus | Arbitration</x:v>
      </x:c>
      <x:c r="H391" s="6" t="str">
        <x:v>按字段定义提供</x:v>
      </x:c>
      <x:c r="I391" s="6" t="str">
        <x:v>待抽取队列可暂空</x:v>
      </x:c>
      <x:c r="J391" s="6" t="str">
        <x:v>完成抽取后必填</x:v>
      </x:c>
    </x:row>
    <x:row r="392" ht="23" customHeight="1">
      <x:c r="A392" s="2" t="str">
        <x:v>RQ2_过程重构</x:v>
      </x:c>
      <x:c r="B392" s="2" t="str">
        <x:v>一项研究中的一个ST任务的一个过程步骤</x:v>
      </x:c>
      <x:c r="C392" s="2" t="str">
        <x:v>reviewer_id</x:v>
      </x:c>
      <x:c r="D392" s="6" t="str">
        <x:v>评审者ID</x:v>
      </x:c>
      <x:c r="E392" s="6" t="str">
        <x:v>执行当前过程核验的评审者。</x:v>
      </x:c>
      <x:c r="F392" s="2" t="str">
        <x:v>是</x:v>
      </x:c>
      <x:c r="G392" s="2" t="str">
        <x:v>自由文本</x:v>
      </x:c>
      <x:c r="H392" s="6" t="str">
        <x:v>按字段定义提供</x:v>
      </x:c>
      <x:c r="I392" s="6" t="str">
        <x:v>待抽取队列可暂空</x:v>
      </x:c>
      <x:c r="J392" s="6" t="str">
        <x:v>完成抽取后必填</x:v>
      </x:c>
    </x:row>
    <x:row r="393" ht="23" customHeight="1">
      <x:c r="A393" s="2" t="str">
        <x:v>RQ2_过程重构</x:v>
      </x:c>
      <x:c r="B393" s="2" t="str">
        <x:v>一项研究中的一个ST任务的一个过程步骤</x:v>
      </x:c>
      <x:c r="C393" s="2" t="str">
        <x:v>process_id</x:v>
      </x:c>
      <x:c r="D393" s="6" t="str">
        <x:v>过程ID</x:v>
      </x:c>
      <x:c r="E393" s="6" t="str">
        <x:v>连接同一task_id下五个步骤的过程标识。</x:v>
      </x:c>
      <x:c r="F393" s="2" t="str">
        <x:v>是</x:v>
      </x:c>
      <x:c r="G393" s="2" t="str">
        <x:v>自由文本</x:v>
      </x:c>
      <x:c r="H393" s="6" t="str">
        <x:v>按字段定义提供</x:v>
      </x:c>
      <x:c r="I393" s="6" t="str">
        <x:v>不留空</x:v>
      </x:c>
      <x:c r="J393" s="6"/>
    </x:row>
    <x:row r="394" ht="23" customHeight="1">
      <x:c r="A394" s="2" t="str">
        <x:v>RQ2_过程重构</x:v>
      </x:c>
      <x:c r="B394" s="2" t="str">
        <x:v>一项研究中的一个ST任务的一个过程步骤</x:v>
      </x:c>
      <x:c r="C394" s="2" t="str">
        <x:v>task_id</x:v>
      </x:c>
      <x:c r="D394" s="6" t="str">
        <x:v>任务ID</x:v>
      </x:c>
      <x:c r="E394" s="6" t="str">
        <x:v>连接RQ1应用任务、RQ3角色和RQ5组件。</x:v>
      </x:c>
      <x:c r="F394" s="2" t="str">
        <x:v>是</x:v>
      </x:c>
      <x:c r="G394" s="2" t="str">
        <x:v>task_id</x:v>
      </x:c>
      <x:c r="H394" s="6" t="str">
        <x:v>按字段定义提供</x:v>
      </x:c>
      <x:c r="I394" s="6" t="str">
        <x:v>不留空</x:v>
      </x:c>
      <x:c r="J394" s="6"/>
    </x:row>
    <x:row r="395" ht="56" customHeight="1">
      <x:c r="A395" s="2" t="str">
        <x:v>RQ2_过程重构</x:v>
      </x:c>
      <x:c r="B395" s="2" t="str">
        <x:v>一项研究中的一个ST任务的一个过程步骤</x:v>
      </x:c>
      <x:c r="C395" s="2" t="str">
        <x:v>step_code</x:v>
      </x:c>
      <x:c r="D395" s="6" t="str">
        <x:v>过程步骤</x:v>
      </x:c>
      <x:c r="E395" s="6" t="str">
        <x:v>五步骤通用过程中的标准步骤。</x:v>
      </x:c>
      <x:c r="F395" s="2" t="str">
        <x:v>是</x:v>
      </x:c>
      <x:c r="G395" s="2" t="str">
        <x:v>1 Artifact acquisition and scoping | 2 Semantic contextualization | 3 Traceability inference | 4 Validation and explanation | 5 Evolution and embedding</x:v>
      </x:c>
      <x:c r="H395" s="6" t="str">
        <x:v>按字段定义提供</x:v>
      </x:c>
      <x:c r="I395" s="6" t="str">
        <x:v>不留空</x:v>
      </x:c>
      <x:c r="J395" s="6"/>
    </x:row>
    <x:row r="396" ht="23" customHeight="1">
      <x:c r="A396" s="2" t="str">
        <x:v>RQ2_过程重构</x:v>
      </x:c>
      <x:c r="B396" s="2" t="str">
        <x:v>一项研究中的一个ST任务的一个过程步骤</x:v>
      </x:c>
      <x:c r="C396" s="2" t="str">
        <x:v>step_order</x:v>
      </x:c>
      <x:c r="D396" s="6" t="str">
        <x:v>步骤顺序</x:v>
      </x:c>
      <x:c r="E396" s="6" t="str">
        <x:v>步骤编号1至5。</x:v>
      </x:c>
      <x:c r="F396" s="2" t="str">
        <x:v>是</x:v>
      </x:c>
      <x:c r="G396" s="2" t="str">
        <x:v>1 | 2 | 3 | 4 | 5</x:v>
      </x:c>
      <x:c r="H396" s="6" t="str">
        <x:v>按字段定义提供</x:v>
      </x:c>
      <x:c r="I396" s="6" t="str">
        <x:v>不留空</x:v>
      </x:c>
      <x:c r="J396" s="6" t="str">
        <x:v>数值字段</x:v>
      </x:c>
    </x:row>
    <x:row r="397" ht="23" customHeight="1">
      <x:c r="A397" s="2" t="str">
        <x:v>RQ2_过程重构</x:v>
      </x:c>
      <x:c r="B397" s="2" t="str">
        <x:v>一项研究中的一个ST任务的一个过程步骤</x:v>
      </x:c>
      <x:c r="C397" s="2" t="str">
        <x:v>generic_scope</x:v>
      </x:c>
      <x:c r="D397" s="6" t="str">
        <x:v>通用过程属性</x:v>
      </x:c>
      <x:c r="E397" s="6" t="str">
        <x:v>该步骤在综述通用过程中的共同核心或可选扩展属性。</x:v>
      </x:c>
      <x:c r="F397" s="2" t="str">
        <x:v>是</x:v>
      </x:c>
      <x:c r="G397" s="2" t="str">
        <x:v>Common core | Optional extension</x:v>
      </x:c>
      <x:c r="H397" s="6" t="str">
        <x:v>综述模型属性</x:v>
      </x:c>
      <x:c r="I397" s="6" t="str">
        <x:v>不留空</x:v>
      </x:c>
      <x:c r="J397" s="6" t="str">
        <x:v>不代表单篇研究必须实施</x:v>
      </x:c>
    </x:row>
    <x:row r="398" ht="28" customHeight="1">
      <x:c r="A398" s="2" t="str">
        <x:v>RQ2_过程重构</x:v>
      </x:c>
      <x:c r="B398" s="2" t="str">
        <x:v>一项研究中的一个ST任务的一个过程步骤</x:v>
      </x:c>
      <x:c r="C398" s="2" t="str">
        <x:v>extraction_status</x:v>
      </x:c>
      <x:c r="D398" s="6" t="str">
        <x:v>抽取状态</x:v>
      </x:c>
      <x:c r="E398" s="6" t="str">
        <x:v>当前任务步骤的过程核验进度。</x:v>
      </x:c>
      <x:c r="F398" s="2" t="str">
        <x:v>是</x:v>
      </x:c>
      <x:c r="G398" s="2" t="str">
        <x:v>Not started | Pilot | In progress | Completed | Checked | Consensus complete</x:v>
      </x:c>
      <x:c r="H398" s="6" t="str">
        <x:v>按字段定义提供</x:v>
      </x:c>
      <x:c r="I398" s="6" t="str">
        <x:v>不留空</x:v>
      </x:c>
      <x:c r="J398" s="6"/>
    </x:row>
    <x:row r="399" ht="28" customHeight="1">
      <x:c r="A399" s="2" t="str">
        <x:v>RQ2_过程重构</x:v>
      </x:c>
      <x:c r="B399" s="2" t="str">
        <x:v>一项研究中的一个ST任务的一个过程步骤</x:v>
      </x:c>
      <x:c r="C399" s="2" t="str">
        <x:v>step_status</x:v>
      </x:c>
      <x:c r="D399" s="6" t="str">
        <x:v>步骤状态</x:v>
      </x:c>
      <x:c r="E399" s="6" t="str">
        <x:v>该任务方法是否实施或隐含该步骤。</x:v>
      </x:c>
      <x:c r="F399" s="2" t="str">
        <x:v>是</x:v>
      </x:c>
      <x:c r="G399" s="2" t="str">
        <x:v>Implemented | Implicit | Not present | Not reported | Not applicable | Unclear | Not assessed</x:v>
      </x:c>
      <x:c r="H399" s="6" t="str">
        <x:v>必须有原文或方法结构依据</x:v>
      </x:c>
      <x:c r="I399" s="6" t="str">
        <x:v>不留空</x:v>
      </x:c>
      <x:c r="J399" s="6" t="str">
        <x:v>Not assessed只用于待核验队列</x:v>
      </x:c>
    </x:row>
    <x:row r="400" ht="28" customHeight="1">
      <x:c r="A400" s="2" t="str">
        <x:v>RQ2_过程重构</x:v>
      </x:c>
      <x:c r="B400" s="2" t="str">
        <x:v>一项研究中的一个ST任务的一个过程步骤</x:v>
      </x:c>
      <x:c r="C400" s="2" t="str">
        <x:v>actor_type</x:v>
      </x:c>
      <x:c r="D400" s="6" t="str">
        <x:v>执行主体</x:v>
      </x:c>
      <x:c r="E400" s="6" t="str">
        <x:v>执行该步骤的主要主体。</x:v>
      </x:c>
      <x:c r="F400" s="2" t="str">
        <x:v>是</x:v>
      </x:c>
      <x:c r="G400" s="2" t="str">
        <x:v>LLM | Non-LLM | Human | Hybrid | Implicit | Unclear | Not assessed</x:v>
      </x:c>
      <x:c r="H400" s="6" t="str">
        <x:v>必须有原文或方法结构依据</x:v>
      </x:c>
      <x:c r="I400" s="6" t="str">
        <x:v>不留空</x:v>
      </x:c>
      <x:c r="J400" s="6"/>
    </x:row>
    <x:row r="401" ht="23" customHeight="1">
      <x:c r="A401" s="2" t="str">
        <x:v>RQ2_过程重构</x:v>
      </x:c>
      <x:c r="B401" s="2" t="str">
        <x:v>一项研究中的一个ST任务的一个过程步骤</x:v>
      </x:c>
      <x:c r="C401" s="2" t="str">
        <x:v>linked_operation_ids</x:v>
      </x:c>
      <x:c r="D401" s="6" t="str">
        <x:v>关联LLM操作</x:v>
      </x:c>
      <x:c r="E401" s="6" t="str">
        <x:v>连接在该步骤中执行的RQ3 operation_id。</x:v>
      </x:c>
      <x:c r="F401" s="2" t="str">
        <x:v>条件必填</x:v>
      </x:c>
      <x:c r="G401" s="2" t="str">
        <x:v>自由文本</x:v>
      </x:c>
      <x:c r="H401" s="6" t="str">
        <x:v>由RQ3操作证据核验</x:v>
      </x:c>
      <x:c r="I401" s="6" t="str">
        <x:v>无对应操作记NA</x:v>
      </x:c>
      <x:c r="J401" s="6" t="str">
        <x:v>多值用分号</x:v>
      </x:c>
    </x:row>
    <x:row r="402" ht="23" customHeight="1">
      <x:c r="A402" s="2" t="str">
        <x:v>RQ2_过程重构</x:v>
      </x:c>
      <x:c r="B402" s="2" t="str">
        <x:v>一项研究中的一个ST任务的一个过程步骤</x:v>
      </x:c>
      <x:c r="C402" s="2" t="str">
        <x:v>linked_component_ids</x:v>
      </x:c>
      <x:c r="D402" s="6" t="str">
        <x:v>关联外部组件</x:v>
      </x:c>
      <x:c r="E402" s="6" t="str">
        <x:v>连接在该步骤中执行的RQ5 component_id。</x:v>
      </x:c>
      <x:c r="F402" s="2" t="str">
        <x:v>条件必填</x:v>
      </x:c>
      <x:c r="G402" s="2" t="str">
        <x:v>自由文本</x:v>
      </x:c>
      <x:c r="H402" s="6" t="str">
        <x:v>由RQ5组件证据核验</x:v>
      </x:c>
      <x:c r="I402" s="6" t="str">
        <x:v>无对应组件记NA</x:v>
      </x:c>
      <x:c r="J402" s="6" t="str">
        <x:v>多值用分号</x:v>
      </x:c>
    </x:row>
    <x:row r="403" ht="23" customHeight="1">
      <x:c r="A403" s="2" t="str">
        <x:v>RQ2_过程重构</x:v>
      </x:c>
      <x:c r="B403" s="2" t="str">
        <x:v>一项研究中的一个ST任务的一个过程步骤</x:v>
      </x:c>
      <x:c r="C403" s="2" t="str">
        <x:v>process_input</x:v>
      </x:c>
      <x:c r="D403" s="6" t="str">
        <x:v>步骤输入</x:v>
      </x:c>
      <x:c r="E403" s="6" t="str">
        <x:v>进入该步骤的软件制品、候选、上下文或状态。</x:v>
      </x:c>
      <x:c r="F403" s="2" t="str">
        <x:v>是</x:v>
      </x:c>
      <x:c r="G403" s="2" t="str">
        <x:v>自由文本</x:v>
      </x:c>
      <x:c r="H403" s="6" t="str">
        <x:v>必须保留来源依据</x:v>
      </x:c>
      <x:c r="I403" s="6" t="str">
        <x:v>使用NR/Unclear，不留空</x:v>
      </x:c>
      <x:c r="J403" s="6"/>
    </x:row>
    <x:row r="404" ht="23" customHeight="1">
      <x:c r="A404" s="2" t="str">
        <x:v>RQ2_过程重构</x:v>
      </x:c>
      <x:c r="B404" s="2" t="str">
        <x:v>一项研究中的一个ST任务的一个过程步骤</x:v>
      </x:c>
      <x:c r="C404" s="2" t="str">
        <x:v>process_activity</x:v>
      </x:c>
      <x:c r="D404" s="6" t="str">
        <x:v>步骤活动</x:v>
      </x:c>
      <x:c r="E404" s="6" t="str">
        <x:v>该步骤实际执行的处理或判断。</x:v>
      </x:c>
      <x:c r="F404" s="2" t="str">
        <x:v>是</x:v>
      </x:c>
      <x:c r="G404" s="2" t="str">
        <x:v>自由文本</x:v>
      </x:c>
      <x:c r="H404" s="6" t="str">
        <x:v>必须保留来源依据</x:v>
      </x:c>
      <x:c r="I404" s="6" t="str">
        <x:v>使用NR/Unclear，不留空</x:v>
      </x:c>
      <x:c r="J404" s="6"/>
    </x:row>
    <x:row r="405" ht="23" customHeight="1">
      <x:c r="A405" s="2" t="str">
        <x:v>RQ2_过程重构</x:v>
      </x:c>
      <x:c r="B405" s="2" t="str">
        <x:v>一项研究中的一个ST任务的一个过程步骤</x:v>
      </x:c>
      <x:c r="C405" s="2" t="str">
        <x:v>process_output</x:v>
      </x:c>
      <x:c r="D405" s="6" t="str">
        <x:v>步骤输出</x:v>
      </x:c>
      <x:c r="E405" s="6" t="str">
        <x:v>该步骤提供给后续步骤或最终结果的输出。</x:v>
      </x:c>
      <x:c r="F405" s="2" t="str">
        <x:v>是</x:v>
      </x:c>
      <x:c r="G405" s="2" t="str">
        <x:v>自由文本</x:v>
      </x:c>
      <x:c r="H405" s="6" t="str">
        <x:v>必须保留来源依据</x:v>
      </x:c>
      <x:c r="I405" s="6" t="str">
        <x:v>使用NR/Unclear，不留空</x:v>
      </x:c>
      <x:c r="J405" s="6"/>
    </x:row>
    <x:row r="406" ht="23" customHeight="1">
      <x:c r="A406" s="2" t="str">
        <x:v>RQ2_过程重构</x:v>
      </x:c>
      <x:c r="B406" s="2" t="str">
        <x:v>一项研究中的一个ST任务的一个过程步骤</x:v>
      </x:c>
      <x:c r="C406" s="2" t="str">
        <x:v>predecessor_steps</x:v>
      </x:c>
      <x:c r="D406" s="6" t="str">
        <x:v>前置步骤</x:v>
      </x:c>
      <x:c r="E406" s="6" t="str">
        <x:v>来源报告或可由方法结构核验的直接前置步骤。</x:v>
      </x:c>
      <x:c r="F406" s="2" t="str">
        <x:v>条件必填</x:v>
      </x:c>
      <x:c r="G406" s="2" t="str">
        <x:v>自由文本</x:v>
      </x:c>
      <x:c r="H406" s="6" t="str">
        <x:v>必须保留来源依据</x:v>
      </x:c>
      <x:c r="I406" s="6" t="str">
        <x:v>无前置记NA</x:v>
      </x:c>
      <x:c r="J406" s="6" t="str">
        <x:v>多值用分号</x:v>
      </x:c>
    </x:row>
    <x:row r="407" ht="23" customHeight="1">
      <x:c r="A407" s="2" t="str">
        <x:v>RQ2_过程重构</x:v>
      </x:c>
      <x:c r="B407" s="2" t="str">
        <x:v>一项研究中的一个ST任务的一个过程步骤</x:v>
      </x:c>
      <x:c r="C407" s="2" t="str">
        <x:v>successor_steps</x:v>
      </x:c>
      <x:c r="D407" s="6" t="str">
        <x:v>后续步骤</x:v>
      </x:c>
      <x:c r="E407" s="6" t="str">
        <x:v>来源报告或可由方法结构核验的直接后续步骤。</x:v>
      </x:c>
      <x:c r="F407" s="2" t="str">
        <x:v>条件必填</x:v>
      </x:c>
      <x:c r="G407" s="2" t="str">
        <x:v>自由文本</x:v>
      </x:c>
      <x:c r="H407" s="6" t="str">
        <x:v>必须保留来源依据</x:v>
      </x:c>
      <x:c r="I407" s="6" t="str">
        <x:v>无后续记NA</x:v>
      </x:c>
      <x:c r="J407" s="6" t="str">
        <x:v>多值用分号</x:v>
      </x:c>
    </x:row>
    <x:row r="408" ht="23" customHeight="1">
      <x:c r="A408" s="2" t="str">
        <x:v>RQ2_过程重构</x:v>
      </x:c>
      <x:c r="B408" s="2" t="str">
        <x:v>一项研究中的一个ST任务的一个过程步骤</x:v>
      </x:c>
      <x:c r="C408" s="2" t="str">
        <x:v>branch_or_iteration</x:v>
      </x:c>
      <x:c r="D408" s="6" t="str">
        <x:v>分支或迭代</x:v>
      </x:c>
      <x:c r="E408" s="6" t="str">
        <x:v>记录条件分支、反馈循环、重复调用或跳步。</x:v>
      </x:c>
      <x:c r="F408" s="2" t="str">
        <x:v>条件必填</x:v>
      </x:c>
      <x:c r="G408" s="2" t="str">
        <x:v>自由文本</x:v>
      </x:c>
      <x:c r="H408" s="6" t="str">
        <x:v>必须保留来源依据</x:v>
      </x:c>
      <x:c r="I408" s="6" t="str">
        <x:v>无则记No</x:v>
      </x:c>
      <x:c r="J408" s="6"/>
    </x:row>
    <x:row r="409" ht="23" customHeight="1">
      <x:c r="A409" s="2" t="str">
        <x:v>RQ2_过程重构</x:v>
      </x:c>
      <x:c r="B409" s="2" t="str">
        <x:v>一项研究中的一个ST任务的一个过程步骤</x:v>
      </x:c>
      <x:c r="C409" s="2" t="str">
        <x:v>dependency_basis</x:v>
      </x:c>
      <x:c r="D409" s="6" t="str">
        <x:v>过程依赖依据</x:v>
      </x:c>
      <x:c r="E409" s="6" t="str">
        <x:v>说明输入输出如何支持步骤依赖及核心或可选解释。</x:v>
      </x:c>
      <x:c r="F409" s="2" t="str">
        <x:v>是</x:v>
      </x:c>
      <x:c r="G409" s="2" t="str">
        <x:v>自由文本</x:v>
      </x:c>
      <x:c r="H409" s="6" t="str">
        <x:v>来源证据与评审解释分开</x:v>
      </x:c>
      <x:c r="I409" s="6" t="str">
        <x:v>使用NR/Unclear，不留空</x:v>
      </x:c>
      <x:c r="J409" s="6"/>
    </x:row>
    <x:row r="410" ht="23" customHeight="1">
      <x:c r="A410" s="2" t="str">
        <x:v>RQ2_过程重构</x:v>
      </x:c>
      <x:c r="B410" s="2" t="str">
        <x:v>一项研究中的一个ST任务的一个过程步骤</x:v>
      </x:c>
      <x:c r="C410" s="2" t="str">
        <x:v>evidence_location</x:v>
      </x:c>
      <x:c r="D410" s="6" t="str">
        <x:v>证据位置</x:v>
      </x:c>
      <x:c r="E410" s="6" t="str">
        <x:v>页码、章节、图、表、算法或附录位置。</x:v>
      </x:c>
      <x:c r="F410" s="2" t="str">
        <x:v>是</x:v>
      </x:c>
      <x:c r="G410" s="2" t="str">
        <x:v>自由文本</x:v>
      </x:c>
      <x:c r="H410" s="6" t="str">
        <x:v>必须可定位</x:v>
      </x:c>
      <x:c r="I410" s="6" t="str">
        <x:v>不留空</x:v>
      </x:c>
      <x:c r="J410" s="6"/>
    </x:row>
    <x:row r="411" ht="23" customHeight="1">
      <x:c r="A411" s="2" t="str">
        <x:v>RQ2_过程重构</x:v>
      </x:c>
      <x:c r="B411" s="2" t="str">
        <x:v>一项研究中的一个ST任务的一个过程步骤</x:v>
      </x:c>
      <x:c r="C411" s="2" t="str">
        <x:v>evidence_verbatim</x:v>
      </x:c>
      <x:c r="D411" s="6" t="str">
        <x:v>原文证据</x:v>
      </x:c>
      <x:c r="E411" s="6" t="str">
        <x:v>支持步骤状态、主体和依赖关系的简短原文。</x:v>
      </x:c>
      <x:c r="F411" s="2" t="str">
        <x:v>是</x:v>
      </x:c>
      <x:c r="G411" s="2" t="str">
        <x:v>自由文本</x:v>
      </x:c>
      <x:c r="H411" s="6" t="str">
        <x:v>必须保留原文</x:v>
      </x:c>
      <x:c r="I411" s="6" t="str">
        <x:v>不留空</x:v>
      </x:c>
      <x:c r="J411" s="6"/>
    </x:row>
    <x:row r="412" ht="23" customHeight="1">
      <x:c r="A412" s="2" t="str">
        <x:v>RQ2_过程重构</x:v>
      </x:c>
      <x:c r="B412" s="2" t="str">
        <x:v>一项研究中的一个ST任务的一个过程步骤</x:v>
      </x:c>
      <x:c r="C412" s="2" t="str">
        <x:v>reviewer_interpretation</x:v>
      </x:c>
      <x:c r="D412" s="6" t="str">
        <x:v>评审者解释</x:v>
      </x:c>
      <x:c r="E412" s="6" t="str">
        <x:v>说明过程重构和步骤判定理由。</x:v>
      </x:c>
      <x:c r="F412" s="2" t="str">
        <x:v>是</x:v>
      </x:c>
      <x:c r="G412" s="2" t="str">
        <x:v>自由文本</x:v>
      </x:c>
      <x:c r="H412" s="6" t="str">
        <x:v>与原文证据分开</x:v>
      </x:c>
      <x:c r="I412" s="6" t="str">
        <x:v>不留空</x:v>
      </x:c>
      <x:c r="J412" s="6"/>
    </x:row>
    <x:row r="413" ht="28" customHeight="1">
      <x:c r="A413" s="2" t="str">
        <x:v>RQ2_过程重构</x:v>
      </x:c>
      <x:c r="B413" s="2" t="str">
        <x:v>一项研究中的一个ST任务的一个过程步骤</x:v>
      </x:c>
      <x:c r="C413" s="2" t="str">
        <x:v>record_status</x:v>
      </x:c>
      <x:c r="D413" s="6" t="str">
        <x:v>记录状态</x:v>
      </x:c>
      <x:c r="E413" s="6" t="str">
        <x:v>记录是否未核验、接受、修订、拒绝或形成共识。</x:v>
      </x:c>
      <x:c r="F413" s="2" t="str">
        <x:v>是</x:v>
      </x:c>
      <x:c r="G413" s="2" t="str">
        <x:v>Unreviewed | Accepted | Revised | Rejected | Consensus</x:v>
      </x:c>
      <x:c r="H413" s="6" t="str">
        <x:v>按字段定义提供</x:v>
      </x:c>
      <x:c r="I413" s="6" t="str">
        <x:v>不留空</x:v>
      </x:c>
      <x:c r="J413" s="6"/>
    </x:row>
    <x:row r="414" ht="23" customHeight="1">
      <x:c r="A414" s="2" t="str">
        <x:v>RQ2_过程重构</x:v>
      </x:c>
      <x:c r="B414" s="2" t="str">
        <x:v>一项研究中的一个ST任务的一个过程步骤</x:v>
      </x:c>
      <x:c r="C414" s="2" t="str">
        <x:v>notes</x:v>
      </x:c>
      <x:c r="D414" s="6" t="str">
        <x:v>备注</x:v>
      </x:c>
      <x:c r="E414" s="6" t="str">
        <x:v>边界案例、证据冲突和待核查事项。</x:v>
      </x:c>
      <x:c r="F414" s="2" t="str">
        <x:v>否</x:v>
      </x:c>
      <x:c r="G414" s="2" t="str">
        <x:v>自由文本</x:v>
      </x:c>
      <x:c r="H414" s="6" t="str">
        <x:v>按字段定义提供</x:v>
      </x:c>
      <x:c r="I414" s="6" t="str">
        <x:v>可留空</x:v>
      </x:c>
      <x:c r="J414" s="6"/>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52"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52" hidden="0" customWidth="1"/>
    <x:col min="30" max="30" width="20" hidden="0" customWidth="1"/>
    <x:col min="31" max="31" width="52" hidden="0" customWidth="1"/>
    <x:col min="32" max="32" width="20" hidden="0" customWidth="1"/>
    <x:col min="33" max="33" width="52" hidden="0" customWidth="1"/>
    <x:col min="34" max="34" width="52" hidden="0" customWidth="1"/>
    <x:col min="35" max="35" width="20" hidden="0" customWidth="1"/>
    <x:col min="36" max="36" width="20" hidden="0" customWidth="1"/>
    <x:col min="37" max="37" width="20" hidden="0" customWidth="1"/>
    <x:col min="38" max="38" width="20" hidden="0" customWidth="1"/>
    <x:col min="39" max="39" width="20" hidden="0" customWidth="1"/>
    <x:col min="40" max="40" width="20" hidden="0" customWidth="1"/>
    <x:col min="41" max="41" width="20" hidden="0" customWidth="1"/>
    <x:col min="42" max="42" width="20" hidden="0" customWidth="1"/>
    <x:col min="43" max="43" width="20" hidden="0" customWidth="1"/>
    <x:col min="44" max="44" width="20" hidden="0" customWidth="1"/>
  </x:cols>
  <x:sheetData>
    <x:row r="1" ht="38" customHeight="1">
      <x:c r="A1" s="5" t="str">
        <x:v>source_type</x:v>
      </x:c>
      <x:c r="B1" s="5" t="str">
        <x:v>publication_status</x:v>
      </x:c>
      <x:c r="C1" s="5" t="str">
        <x:v>peer_review_status</x:v>
      </x:c>
      <x:c r="D1" s="5" t="str">
        <x:v>yes_no_unclear</x:v>
      </x:c>
      <x:c r="E1" s="5" t="str">
        <x:v>review_stage</x:v>
      </x:c>
      <x:c r="F1" s="5" t="str">
        <x:v>record_status</x:v>
      </x:c>
      <x:c r="G1" s="5" t="str">
        <x:v>extraction_status</x:v>
      </x:c>
      <x:c r="H1" s="5" t="str">
        <x:v>rq1_claim_type</x:v>
      </x:c>
      <x:c r="I1" s="5" t="str">
        <x:v>necessity_status</x:v>
      </x:c>
      <x:c r="J1" s="5" t="str">
        <x:v>evidence_tag_sr</x:v>
      </x:c>
      <x:c r="K1" s="5" t="str">
        <x:v>polarity</x:v>
      </x:c>
      <x:c r="L1" s="5" t="str">
        <x:v>st_activity</x:v>
      </x:c>
      <x:c r="M1" s="5" t="str">
        <x:v>artifact_type</x:v>
      </x:c>
      <x:c r="N1" s="5" t="str">
        <x:v>lifecycle_stage</x:v>
      </x:c>
      <x:c r="O1" s="5" t="str">
        <x:v>study_setting</x:v>
      </x:c>
      <x:c r="P1" s="5" t="str">
        <x:v>dataset_public</x:v>
      </x:c>
      <x:c r="Q1" s="5" t="str">
        <x:v>dataset_realism</x:v>
      </x:c>
      <x:c r="R1" s="5" t="str">
        <x:v>evaluation_design</x:v>
      </x:c>
      <x:c r="S1" s="5" t="str">
        <x:v>baseline_strength</x:v>
      </x:c>
      <x:c r="T1" s="5" t="str">
        <x:v>effect_direction</x:v>
      </x:c>
      <x:c r="U1" s="5" t="str">
        <x:v>workflow_stage</x:v>
      </x:c>
      <x:c r="V1" s="5" t="str">
        <x:v>role_candidate</x:v>
      </x:c>
      <x:c r="W1" s="5" t="str">
        <x:v>role_priority</x:v>
      </x:c>
      <x:c r="X1" s="5" t="str">
        <x:v>model_family</x:v>
      </x:c>
      <x:c r="Y1" s="5" t="str">
        <x:v>openness</x:v>
      </x:c>
      <x:c r="Z1" s="5" t="str">
        <x:v>api_local</x:v>
      </x:c>
      <x:c r="AA1" s="5" t="str">
        <x:v>config_feature_type</x:v>
      </x:c>
      <x:c r="AB1" s="5" t="str">
        <x:v>prompt_detail</x:v>
      </x:c>
      <x:c r="AC1" s="5" t="str">
        <x:v>component_category</x:v>
      </x:c>
      <x:c r="AD1" s="5" t="str">
        <x:v>component_stage</x:v>
      </x:c>
      <x:c r="AE1" s="5" t="str">
        <x:v>claim_basis</x:v>
      </x:c>
      <x:c r="AF1" s="5" t="str">
        <x:v>mitigation_status</x:v>
      </x:c>
      <x:c r="AG1" s="5" t="str">
        <x:v>future_basis</x:v>
      </x:c>
      <x:c r="AH1" s="5" t="str">
        <x:v>resource_type</x:v>
      </x:c>
      <x:c r="AI1" s="5" t="str">
        <x:v>access_note</x:v>
      </x:c>
      <x:c r="AJ1" s="5" t="str">
        <x:v>qa_score</x:v>
      </x:c>
      <x:c r="AK1" s="5" t="str">
        <x:v>qa_formal_decision</x:v>
      </x:c>
      <x:c r="AL1" s="5" t="str">
        <x:v>gqa_decision</x:v>
      </x:c>
      <x:c r="AM1" s="5" t="str">
        <x:v>e_level</x:v>
      </x:c>
      <x:c r="AN1" s="5" t="str">
        <x:v>result_significance</x:v>
      </x:c>
      <x:c r="AO1" s="5" t="str">
        <x:v>comparison_unit</x:v>
      </x:c>
      <x:c r="AP1" s="5" t="str">
        <x:v>process_scope</x:v>
      </x:c>
      <x:c r="AQ1" s="5" t="str">
        <x:v>process_step_status</x:v>
      </x:c>
      <x:c r="AR1" s="5" t="str">
        <x:v>process_actor_type</x:v>
      </x:c>
    </x:row>
    <x:row r="2" ht="76" customHeight="1">
      <x:c r="A2" s="2" t="str">
        <x:v>Formal</x:v>
      </x:c>
      <x:c r="B2" s="2" t="str">
        <x:v>Formal journal article</x:v>
      </x:c>
      <x:c r="C2" s="2" t="str">
        <x:v>Peer-reviewed</x:v>
      </x:c>
      <x:c r="D2" s="2" t="str">
        <x:v>Yes</x:v>
      </x:c>
      <x:c r="E2" s="2" t="str">
        <x:v>Reviewer_A</x:v>
      </x:c>
      <x:c r="F2" s="2" t="str">
        <x:v>Unreviewed</x:v>
      </x:c>
      <x:c r="G2" s="2" t="str">
        <x:v>Not started</x:v>
      </x:c>
      <x:c r="H2" s="2" t="str">
        <x:v>definition</x:v>
      </x:c>
      <x:c r="I2" s="2" t="str">
        <x:v>Necessary</x:v>
      </x:c>
      <x:c r="J2" s="6" t="str">
        <x:v>SR</x:v>
      </x:c>
      <x:c r="K2" s="2" t="str">
        <x:v>Positive</x:v>
      </x:c>
      <x:c r="L2" s="2" t="str">
        <x:v>traceability link establishment</x:v>
      </x:c>
      <x:c r="M2" s="2" t="str">
        <x:v>requirement</x:v>
      </x:c>
      <x:c r="N2" s="2" t="str">
        <x:v>requirements</x:v>
      </x:c>
      <x:c r="O2" s="2" t="str">
        <x:v>Academic</x:v>
      </x:c>
      <x:c r="P2" s="2" t="str">
        <x:v>Public</x:v>
      </x:c>
      <x:c r="Q2" s="2" t="str">
        <x:v>Toy</x:v>
      </x:c>
      <x:c r="R2" s="2" t="str">
        <x:v>No evaluation</x:v>
      </x:c>
      <x:c r="S2" s="2" t="str">
        <x:v>None</x:v>
      </x:c>
      <x:c r="T2" s="2" t="str">
        <x:v>Better</x:v>
      </x:c>
      <x:c r="U2" s="2" t="str">
        <x:v>1 Artifact acquisition and scoping</x:v>
      </x:c>
      <x:c r="V2" s="2" t="str">
        <x:v>R1 Artifact Feature Extractor</x:v>
      </x:c>
      <x:c r="W2" s="2" t="str">
        <x:v>Primary</x:v>
      </x:c>
      <x:c r="X2" s="2" t="str">
        <x:v>GPT</x:v>
      </x:c>
      <x:c r="Y2" s="2" t="str">
        <x:v>Open weights</x:v>
      </x:c>
      <x:c r="Z2" s="2" t="str">
        <x:v>API</x:v>
      </x:c>
      <x:c r="AA2" s="2" t="str">
        <x:v>Adaptation</x:v>
      </x:c>
      <x:c r="AB2" s="2" t="str">
        <x:v>Full prompt reported</x:v>
      </x:c>
      <x:c r="AC2" s="6" t="str">
        <x:v>Traditional IR</x:v>
      </x:c>
      <x:c r="AD2" s="2" t="str">
        <x:v>Candidate generation</x:v>
      </x:c>
      <x:c r="AE2" s="6" t="str">
        <x:v>Empirical</x:v>
      </x:c>
      <x:c r="AF2" s="2" t="str">
        <x:v>Not proposed</x:v>
      </x:c>
      <x:c r="AG2" s="6" t="str">
        <x:v>Explicit future work</x:v>
      </x:c>
      <x:c r="AH2" s="6" t="str">
        <x:v>Code</x:v>
      </x:c>
      <x:c r="AI2" s="2" t="str">
        <x:v>Public</x:v>
      </x:c>
      <x:c r="AJ2" s="2" t="n">
        <x:v>0</x:v>
      </x:c>
      <x:c r="AK2" s="2" t="str">
        <x:v>QA_INCLUDE_STANDARD</x:v>
      </x:c>
      <x:c r="AL2" s="2" t="str">
        <x:v>QA_INCLUDE_STANDARD</x:v>
      </x:c>
      <x:c r="AM2" s="2" t="str">
        <x:v>EM0</x:v>
      </x:c>
      <x:c r="AN2" s="2" t="str">
        <x:v>Significant</x:v>
      </x:c>
      <x:c r="AO2" s="2" t="str">
        <x:v>artifact</x:v>
      </x:c>
      <x:c r="AP2" s="2" t="str">
        <x:v>Common core</x:v>
      </x:c>
      <x:c r="AQ2" s="2" t="str">
        <x:v>Implemented</x:v>
      </x:c>
      <x:c r="AR2" s="2" t="str">
        <x:v>LLM</x:v>
      </x:c>
    </x:row>
    <x:row r="3" ht="76" customHeight="1">
      <x:c r="A3" s="2" t="str">
        <x:v>Preprint</x:v>
      </x:c>
      <x:c r="B3" s="2" t="str">
        <x:v>Formal conference paper</x:v>
      </x:c>
      <x:c r="C3" s="2" t="str">
        <x:v>Not peer-reviewed</x:v>
      </x:c>
      <x:c r="D3" s="2" t="str">
        <x:v>No</x:v>
      </x:c>
      <x:c r="E3" s="2" t="str">
        <x:v>Reviewer_B</x:v>
      </x:c>
      <x:c r="F3" s="2" t="str">
        <x:v>Accepted</x:v>
      </x:c>
      <x:c r="G3" s="2" t="str">
        <x:v>Pilot</x:v>
      </x:c>
      <x:c r="H3" s="2" t="str">
        <x:v>scope</x:v>
      </x:c>
      <x:c r="I3" s="2" t="str">
        <x:v>Optional</x:v>
      </x:c>
      <x:c r="J3" s="6"/>
      <x:c r="K3" s="2" t="str">
        <x:v>Negative</x:v>
      </x:c>
      <x:c r="L3" s="2" t="str">
        <x:v>traceability link recovery</x:v>
      </x:c>
      <x:c r="M3" s="2" t="str">
        <x:v>design</x:v>
      </x:c>
      <x:c r="N3" s="2" t="str">
        <x:v>design</x:v>
      </x:c>
      <x:c r="O3" s="2" t="str">
        <x:v>Industrial</x:v>
      </x:c>
      <x:c r="P3" s="2" t="str">
        <x:v>Private</x:v>
      </x:c>
      <x:c r="Q3" s="2" t="str">
        <x:v>Synthetic</x:v>
      </x:c>
      <x:c r="R3" s="2" t="str">
        <x:v>Demonstration</x:v>
      </x:c>
      <x:c r="S3" s="2" t="str">
        <x:v>Weak</x:v>
      </x:c>
      <x:c r="T3" s="2" t="str">
        <x:v>Comparable</x:v>
      </x:c>
      <x:c r="U3" s="2" t="str">
        <x:v>2 Semantic contextualization</x:v>
      </x:c>
      <x:c r="V3" s="2" t="str">
        <x:v>R2 Artifact Information Enhancer</x:v>
      </x:c>
      <x:c r="W3" s="2" t="str">
        <x:v>Secondary</x:v>
      </x:c>
      <x:c r="X3" s="2" t="str">
        <x:v>Llama</x:v>
      </x:c>
      <x:c r="Y3" s="2" t="str">
        <x:v>Closed</x:v>
      </x:c>
      <x:c r="Z3" s="2" t="str">
        <x:v>Local</x:v>
      </x:c>
      <x:c r="AA3" s="2" t="str">
        <x:v>Prompting</x:v>
      </x:c>
      <x:c r="AB3" s="2" t="str">
        <x:v>Template reported</x:v>
      </x:c>
      <x:c r="AC3" s="6" t="str">
        <x:v>Dense retrieval</x:v>
      </x:c>
      <x:c r="AD3" s="2" t="str">
        <x:v>Candidate retrieval</x:v>
      </x:c>
      <x:c r="AE3" s="6" t="str">
        <x:v>Speculative</x:v>
      </x:c>
      <x:c r="AF3" s="2" t="str">
        <x:v>Proposed</x:v>
      </x:c>
      <x:c r="AG3" s="6" t="str">
        <x:v>Explicit recommendation</x:v>
      </x:c>
      <x:c r="AH3" s="6" t="str">
        <x:v>Dataset</x:v>
      </x:c>
      <x:c r="AI3" s="2" t="str">
        <x:v>Request required</x:v>
      </x:c>
      <x:c r="AJ3" s="2" t="n">
        <x:v>0.5</x:v>
      </x:c>
      <x:c r="AK3" s="2" t="str">
        <x:v>QA_INCLUDE_WEAK</x:v>
      </x:c>
      <x:c r="AL3" s="2" t="str">
        <x:v>QA_INCLUDE_WEAK</x:v>
      </x:c>
      <x:c r="AM3" s="2" t="str">
        <x:v>EM1</x:v>
      </x:c>
      <x:c r="AN3" s="2" t="str">
        <x:v>Not significant</x:v>
      </x:c>
      <x:c r="AO3" s="2" t="str">
        <x:v>artifact pair</x:v>
      </x:c>
      <x:c r="AP3" s="2" t="str">
        <x:v>Optional extension</x:v>
      </x:c>
      <x:c r="AQ3" s="2" t="str">
        <x:v>Implicit</x:v>
      </x:c>
      <x:c r="AR3" s="2" t="str">
        <x:v>Non-LLM</x:v>
      </x:c>
    </x:row>
    <x:row r="4" ht="76" customHeight="1">
      <x:c r="A4" s="2"/>
      <x:c r="B4" s="2" t="str">
        <x:v>Formal workshop paper</x:v>
      </x:c>
      <x:c r="C4" s="2" t="str">
        <x:v>Unclear</x:v>
      </x:c>
      <x:c r="D4" s="2" t="str">
        <x:v>Unclear</x:v>
      </x:c>
      <x:c r="E4" s="2" t="str">
        <x:v>Consensus</x:v>
      </x:c>
      <x:c r="F4" s="2" t="str">
        <x:v>Revised</x:v>
      </x:c>
      <x:c r="G4" s="2" t="str">
        <x:v>In progress</x:v>
      </x:c>
      <x:c r="H4" s="2" t="str">
        <x:v>boundary</x:v>
      </x:c>
      <x:c r="I4" s="2" t="str">
        <x:v>Not applicable</x:v>
      </x:c>
      <x:c r="J4" s="6"/>
      <x:c r="K4" s="2" t="str">
        <x:v>Mixed</x:v>
      </x:c>
      <x:c r="L4" s="2" t="str">
        <x:v>traceability link generation</x:v>
      </x:c>
      <x:c r="M4" s="2" t="str">
        <x:v>architecture model</x:v>
      </x:c>
      <x:c r="N4" s="2" t="str">
        <x:v>implementation</x:v>
      </x:c>
      <x:c r="O4" s="2" t="str">
        <x:v>Mixed</x:v>
      </x:c>
      <x:c r="P4" s="2" t="str">
        <x:v>Partially public</x:v>
      </x:c>
      <x:c r="Q4" s="2" t="str">
        <x:v>Academic benchmark</x:v>
      </x:c>
      <x:c r="R4" s="2" t="str">
        <x:v>Controlled experiment</x:v>
      </x:c>
      <x:c r="S4" s="2" t="str">
        <x:v>Moderate</x:v>
      </x:c>
      <x:c r="T4" s="2" t="str">
        <x:v>Worse</x:v>
      </x:c>
      <x:c r="U4" s="2" t="str">
        <x:v>3 Traceability inference</x:v>
      </x:c>
      <x:c r="V4" s="2" t="str">
        <x:v>R3 Trace Inferencer</x:v>
      </x:c>
      <x:c r="W4" s="2" t="str">
        <x:v>Equal</x:v>
      </x:c>
      <x:c r="X4" s="2" t="str">
        <x:v>Claude</x:v>
      </x:c>
      <x:c r="Y4" s="2" t="str">
        <x:v>Mixed</x:v>
      </x:c>
      <x:c r="Z4" s="2" t="str">
        <x:v>Hybrid</x:v>
      </x:c>
      <x:c r="AA4" s="2" t="str">
        <x:v>Context construction</x:v>
      </x:c>
      <x:c r="AB4" s="2" t="str">
        <x:v>Partial description</x:v>
      </x:c>
      <x:c r="AC4" s="6" t="str">
        <x:v>Embedding model</x:v>
      </x:c>
      <x:c r="AD4" s="2" t="str">
        <x:v>Context construction</x:v>
      </x:c>
      <x:c r="AE4" s="6" t="str">
        <x:v>Mixed</x:v>
      </x:c>
      <x:c r="AF4" s="2" t="str">
        <x:v>Implemented</x:v>
      </x:c>
      <x:c r="AG4" s="6" t="str">
        <x:v>Explicit research gap</x:v>
      </x:c>
      <x:c r="AH4" s="6" t="str">
        <x:v>Prompt</x:v>
      </x:c>
      <x:c r="AI4" s="2" t="str">
        <x:v>Private</x:v>
      </x:c>
      <x:c r="AJ4" s="2" t="n">
        <x:v>1</x:v>
      </x:c>
      <x:c r="AK4" s="2" t="str">
        <x:v>QA_EXCLUDE_FORMAL</x:v>
      </x:c>
      <x:c r="AL4" s="2" t="str">
        <x:v>QA_EXCLUDE_PREPRINT</x:v>
      </x:c>
      <x:c r="AM4" s="2" t="str">
        <x:v>EM2</x:v>
      </x:c>
      <x:c r="AN4" s="2" t="str">
        <x:v>Not tested</x:v>
      </x:c>
      <x:c r="AO4" s="2" t="str">
        <x:v>trace link</x:v>
      </x:c>
      <x:c r="AP4" s="2"/>
      <x:c r="AQ4" s="2" t="str">
        <x:v>Not present</x:v>
      </x:c>
      <x:c r="AR4" s="2" t="str">
        <x:v>Human</x:v>
      </x:c>
    </x:row>
    <x:row r="5" ht="76" customHeight="1">
      <x:c r="A5" s="2"/>
      <x:c r="B5" s="2" t="str">
        <x:v>Preprint</x:v>
      </x:c>
      <x:c r="C5" s="2"/>
      <x:c r="D5" s="2" t="str">
        <x:v>NR</x:v>
      </x:c>
      <x:c r="E5" s="2" t="str">
        <x:v>Arbitration</x:v>
      </x:c>
      <x:c r="F5" s="2" t="str">
        <x:v>Rejected</x:v>
      </x:c>
      <x:c r="G5" s="2" t="str">
        <x:v>Completed</x:v>
      </x:c>
      <x:c r="H5" s="2" t="str">
        <x:v>necessary_step</x:v>
      </x:c>
      <x:c r="I5" s="2" t="str">
        <x:v>Unclear</x:v>
      </x:c>
      <x:c r="J5" s="6"/>
      <x:c r="K5" s="2" t="str">
        <x:v>Neutral</x:v>
      </x:c>
      <x:c r="L5" s="2" t="str">
        <x:v>traceability link classification</x:v>
      </x:c>
      <x:c r="M5" s="2" t="str">
        <x:v>UML model</x:v>
      </x:c>
      <x:c r="N5" s="2" t="str">
        <x:v>testing</x:v>
      </x:c>
      <x:c r="O5" s="2" t="str">
        <x:v>Synthetic</x:v>
      </x:c>
      <x:c r="P5" s="2" t="str">
        <x:v>NR</x:v>
      </x:c>
      <x:c r="Q5" s="2" t="str">
        <x:v>Open-source project</x:v>
      </x:c>
      <x:c r="R5" s="2" t="str">
        <x:v>Benchmark comparison</x:v>
      </x:c>
      <x:c r="S5" s="2" t="str">
        <x:v>Strong</x:v>
      </x:c>
      <x:c r="T5" s="2" t="str">
        <x:v>Mixed</x:v>
      </x:c>
      <x:c r="U5" s="2" t="str">
        <x:v>4 Validation and explanation</x:v>
      </x:c>
      <x:c r="V5" s="2" t="str">
        <x:v>R4 Link Verification Evaluator</x:v>
      </x:c>
      <x:c r="W5" s="2" t="str">
        <x:v>Unclear</x:v>
      </x:c>
      <x:c r="X5" s="2" t="str">
        <x:v>Gemini</x:v>
      </x:c>
      <x:c r="Y5" s="2" t="str">
        <x:v>NR</x:v>
      </x:c>
      <x:c r="Z5" s="2" t="str">
        <x:v>NR</x:v>
      </x:c>
      <x:c r="AA5" s="2" t="str">
        <x:v>Calling and orchestration</x:v>
      </x:c>
      <x:c r="AB5" s="2" t="str">
        <x:v>Not reported</x:v>
      </x:c>
      <x:c r="AC5" s="6" t="str">
        <x:v>Vector database</x:v>
      </x:c>
      <x:c r="AD5" s="2" t="str">
        <x:v>Feature augmentation</x:v>
      </x:c>
      <x:c r="AE5" s="6" t="str">
        <x:v>Unclear</x:v>
      </x:c>
      <x:c r="AF5" s="2" t="str">
        <x:v>Evaluated</x:v>
      </x:c>
      <x:c r="AG5" s="6" t="str">
        <x:v>Unclear</x:v>
      </x:c>
      <x:c r="AH5" s="6" t="str">
        <x:v>Replication package</x:v>
      </x:c>
      <x:c r="AI5" s="2" t="str">
        <x:v>Broken or unavailable</x:v>
      </x:c>
      <x:c r="AJ5" s="2" t="str">
        <x:v>NA</x:v>
      </x:c>
      <x:c r="AK5" s="2" t="str">
        <x:v>QA_CONFLICT</x:v>
      </x:c>
      <x:c r="AL5" s="2" t="str">
        <x:v>QA_CONFLICT</x:v>
      </x:c>
      <x:c r="AM5" s="2" t="str">
        <x:v>EM3</x:v>
      </x:c>
      <x:c r="AN5" s="2" t="str">
        <x:v>Unclear</x:v>
      </x:c>
      <x:c r="AO5" s="2" t="str">
        <x:v>project</x:v>
      </x:c>
      <x:c r="AP5" s="2"/>
      <x:c r="AQ5" s="2" t="str">
        <x:v>Not reported</x:v>
      </x:c>
      <x:c r="AR5" s="2" t="str">
        <x:v>Hybrid</x:v>
      </x:c>
    </x:row>
    <x:row r="6" ht="76" customHeight="1">
      <x:c r="A6" s="2"/>
      <x:c r="B6" s="2" t="str">
        <x:v>Technical report</x:v>
      </x:c>
      <x:c r="C6" s="2"/>
      <x:c r="D6" s="2" t="str">
        <x:v>NA</x:v>
      </x:c>
      <x:c r="E6" s="2"/>
      <x:c r="F6" s="2" t="str">
        <x:v>Consensus</x:v>
      </x:c>
      <x:c r="G6" s="2" t="str">
        <x:v>Checked</x:v>
      </x:c>
      <x:c r="H6" s="2" t="str">
        <x:v>optional_step</x:v>
      </x:c>
      <x:c r="I6" s="2"/>
      <x:c r="J6" s="6"/>
      <x:c r="K6" s="2" t="str">
        <x:v>Not applicable</x:v>
      </x:c>
      <x:c r="L6" s="2" t="str">
        <x:v>traceability link ranking</x:v>
      </x:c>
      <x:c r="M6" s="2" t="str">
        <x:v>goal model</x:v>
      </x:c>
      <x:c r="N6" s="2" t="str">
        <x:v>maintenance</x:v>
      </x:c>
      <x:c r="O6" s="2" t="str">
        <x:v>Unclear</x:v>
      </x:c>
      <x:c r="P6" s="2" t="str">
        <x:v>Unclear</x:v>
      </x:c>
      <x:c r="Q6" s="2" t="str">
        <x:v>Industrial offline data</x:v>
      </x:c>
      <x:c r="R6" s="2" t="str">
        <x:v>Case study</x:v>
      </x:c>
      <x:c r="S6" s="2" t="str">
        <x:v>Multiple strengths</x:v>
      </x:c>
      <x:c r="T6" s="2" t="str">
        <x:v>Not compared</x:v>
      </x:c>
      <x:c r="U6" s="2" t="str">
        <x:v>5 Evolution and embedding</x:v>
      </x:c>
      <x:c r="V6" s="2" t="str">
        <x:v>R5 Link Information Embedder</x:v>
      </x:c>
      <x:c r="W6" s="2"/>
      <x:c r="X6" s="2" t="str">
        <x:v>DeepSeek</x:v>
      </x:c>
      <x:c r="Y6" s="2" t="str">
        <x:v>Unclear</x:v>
      </x:c>
      <x:c r="Z6" s="2" t="str">
        <x:v>Unclear</x:v>
      </x:c>
      <x:c r="AA6" s="2" t="str">
        <x:v>Output constraint</x:v>
      </x:c>
      <x:c r="AB6" s="2" t="str">
        <x:v>NA</x:v>
      </x:c>
      <x:c r="AC6" s="6" t="str">
        <x:v>Static analysis</x:v>
      </x:c>
      <x:c r="AD6" s="2" t="str">
        <x:v>Pre-filtering</x:v>
      </x:c>
      <x:c r="AE6" s="6"/>
      <x:c r="AF6" s="2" t="str">
        <x:v>Operationally used</x:v>
      </x:c>
      <x:c r="AG6" s="6"/>
      <x:c r="AH6" s="6" t="str">
        <x:v>Supplementary material</x:v>
      </x:c>
      <x:c r="AI6" s="2" t="str">
        <x:v>NR</x:v>
      </x:c>
      <x:c r="AJ6" s="2"/>
      <x:c r="AK6" s="2" t="str">
        <x:v>Pending</x:v>
      </x:c>
      <x:c r="AL6" s="2" t="str">
        <x:v>Pending</x:v>
      </x:c>
      <x:c r="AM6" s="2" t="str">
        <x:v>EM4</x:v>
      </x:c>
      <x:c r="AN6" s="2" t="str">
        <x:v>NA</x:v>
      </x:c>
      <x:c r="AO6" s="2" t="str">
        <x:v>dataset</x:v>
      </x:c>
      <x:c r="AP6" s="2"/>
      <x:c r="AQ6" s="2" t="str">
        <x:v>Not applicable</x:v>
      </x:c>
      <x:c r="AR6" s="2" t="str">
        <x:v>Implicit</x:v>
      </x:c>
    </x:row>
    <x:row r="7" ht="76" customHeight="1">
      <x:c r="A7" s="2"/>
      <x:c r="B7" s="2" t="str">
        <x:v>Other</x:v>
      </x:c>
      <x:c r="C7" s="2"/>
      <x:c r="D7" s="2"/>
      <x:c r="E7" s="2"/>
      <x:c r="F7" s="2"/>
      <x:c r="G7" s="2" t="str">
        <x:v>Consensus complete</x:v>
      </x:c>
      <x:c r="H7" s="2" t="str">
        <x:v>counterexample</x:v>
      </x:c>
      <x:c r="I7" s="2"/>
      <x:c r="J7" s="6"/>
      <x:c r="K7" s="2"/>
      <x:c r="L7" s="2" t="str">
        <x:v>traceability link validation</x:v>
      </x:c>
      <x:c r="M7" s="2" t="str">
        <x:v>domain model</x:v>
      </x:c>
      <x:c r="N7" s="2" t="str">
        <x:v>compliance and assurance</x:v>
      </x:c>
      <x:c r="O7" s="2"/>
      <x:c r="P7" s="2" t="str">
        <x:v>NA</x:v>
      </x:c>
      <x:c r="Q7" s="2" t="str">
        <x:v>Industrial pilot</x:v>
      </x:c>
      <x:c r="R7" s="2" t="str">
        <x:v>User study</x:v>
      </x:c>
      <x:c r="S7" s="2" t="str">
        <x:v>Unclear</x:v>
      </x:c>
      <x:c r="T7" s="2" t="str">
        <x:v>Unclear</x:v>
      </x:c>
      <x:c r="U7" s="2" t="str">
        <x:v>End-to-end</x:v>
      </x:c>
      <x:c r="V7" s="2" t="str">
        <x:v>New candidate</x:v>
      </x:c>
      <x:c r="W7" s="2"/>
      <x:c r="X7" s="2" t="str">
        <x:v>Qwen</x:v>
      </x:c>
      <x:c r="Y7" s="2"/>
      <x:c r="Z7" s="2"/>
      <x:c r="AA7" s="2" t="str">
        <x:v>Other</x:v>
      </x:c>
      <x:c r="AB7" s="2"/>
      <x:c r="AC7" s="6" t="str">
        <x:v>Program analysis</x:v>
      </x:c>
      <x:c r="AD7" s="2" t="str">
        <x:v>Post-processing</x:v>
      </x:c>
      <x:c r="AE7" s="6"/>
      <x:c r="AF7" s="2" t="str">
        <x:v>Unclear</x:v>
      </x:c>
      <x:c r="AG7" s="6"/>
      <x:c r="AH7" s="6" t="str">
        <x:v>Tool</x:v>
      </x:c>
      <x:c r="AI7" s="2" t="str">
        <x:v>Unclear</x:v>
      </x:c>
      <x:c r="AJ7" s="2"/>
      <x:c r="AK7" s="2"/>
      <x:c r="AL7" s="2"/>
      <x:c r="AM7" s="2" t="str">
        <x:v>EM5</x:v>
      </x:c>
      <x:c r="AN7" s="2"/>
      <x:c r="AO7" s="2" t="str">
        <x:v>participant</x:v>
      </x:c>
      <x:c r="AP7" s="2"/>
      <x:c r="AQ7" s="2" t="str">
        <x:v>Unclear</x:v>
      </x:c>
      <x:c r="AR7" s="2" t="str">
        <x:v>Unclear</x:v>
      </x:c>
    </x:row>
    <x:row r="8" ht="76" customHeight="1">
      <x:c r="A8" s="2"/>
      <x:c r="B8" s="2"/>
      <x:c r="C8" s="2"/>
      <x:c r="D8" s="2"/>
      <x:c r="E8" s="2"/>
      <x:c r="F8" s="2"/>
      <x:c r="G8" s="2"/>
      <x:c r="H8" s="2"/>
      <x:c r="I8" s="2"/>
      <x:c r="J8" s="6"/>
      <x:c r="K8" s="2"/>
      <x:c r="L8" s="2" t="str">
        <x:v>traceability explanation</x:v>
      </x:c>
      <x:c r="M8" s="2" t="str">
        <x:v>source code</x:v>
      </x:c>
      <x:c r="N8" s="2" t="str">
        <x:v>cross-lifecycle</x:v>
      </x:c>
      <x:c r="O8" s="2"/>
      <x:c r="P8" s="2"/>
      <x:c r="Q8" s="2" t="str">
        <x:v>Production use</x:v>
      </x:c>
      <x:c r="R8" s="2" t="str">
        <x:v>Expert evaluation</x:v>
      </x:c>
      <x:c r="S8" s="2" t="str">
        <x:v>NA</x:v>
      </x:c>
      <x:c r="T8" s="2"/>
      <x:c r="U8" s="2" t="str">
        <x:v>Other</x:v>
      </x:c>
      <x:c r="V8" s="2" t="str">
        <x:v>Unclear</x:v>
      </x:c>
      <x:c r="W8" s="2"/>
      <x:c r="X8" s="2" t="str">
        <x:v>Mistral</x:v>
      </x:c>
      <x:c r="Y8" s="2"/>
      <x:c r="Z8" s="2"/>
      <x:c r="AA8" s="2"/>
      <x:c r="AB8" s="2"/>
      <x:c r="AC8" s="6" t="str">
        <x:v>Knowledge graph</x:v>
      </x:c>
      <x:c r="AD8" s="2" t="str">
        <x:v>Output validation</x:v>
      </x:c>
      <x:c r="AE8" s="6"/>
      <x:c r="AF8" s="2"/>
      <x:c r="AG8" s="6"/>
      <x:c r="AH8" s="6" t="str">
        <x:v>Archived page</x:v>
      </x:c>
      <x:c r="AI8" s="2"/>
      <x:c r="AJ8" s="2"/>
      <x:c r="AK8" s="2"/>
      <x:c r="AL8" s="2"/>
      <x:c r="AM8" s="2"/>
      <x:c r="AN8" s="2"/>
      <x:c r="AO8" s="2" t="str">
        <x:v>task execution</x:v>
      </x:c>
      <x:c r="AP8" s="2"/>
      <x:c r="AQ8" s="2" t="str">
        <x:v>Not assessed</x:v>
      </x:c>
      <x:c r="AR8" s="2" t="str">
        <x:v>Not assessed</x:v>
      </x:c>
    </x:row>
    <x:row r="9" ht="76" customHeight="1">
      <x:c r="A9" s="2"/>
      <x:c r="B9" s="2"/>
      <x:c r="C9" s="2"/>
      <x:c r="D9" s="2"/>
      <x:c r="E9" s="2"/>
      <x:c r="F9" s="2"/>
      <x:c r="G9" s="2"/>
      <x:c r="H9" s="2"/>
      <x:c r="I9" s="2"/>
      <x:c r="J9" s="6"/>
      <x:c r="K9" s="2"/>
      <x:c r="L9" s="2" t="str">
        <x:v>traceability maintenance</x:v>
      </x:c>
      <x:c r="M9" s="2" t="str">
        <x:v>issue</x:v>
      </x:c>
      <x:c r="N9" s="2" t="str">
        <x:v>other</x:v>
      </x:c>
      <x:c r="O9" s="2"/>
      <x:c r="P9" s="2"/>
      <x:c r="Q9" s="2" t="str">
        <x:v>Mixed</x:v>
      </x:c>
      <x:c r="R9" s="2" t="str">
        <x:v>Industrial pilot</x:v>
      </x:c>
      <x:c r="S9" s="2"/>
      <x:c r="T9" s="2"/>
      <x:c r="U9" s="2" t="str">
        <x:v>Unclear</x:v>
      </x:c>
      <x:c r="V9" s="2"/>
      <x:c r="W9" s="2"/>
      <x:c r="X9" s="2" t="str">
        <x:v>Codex</x:v>
      </x:c>
      <x:c r="Y9" s="2"/>
      <x:c r="Z9" s="2"/>
      <x:c r="AA9" s="2"/>
      <x:c r="AB9" s="2"/>
      <x:c r="AC9" s="6" t="str">
        <x:v>Rule or heuristic</x:v>
      </x:c>
      <x:c r="AD9" s="2" t="str">
        <x:v>Human correction</x:v>
      </x:c>
      <x:c r="AE9" s="6"/>
      <x:c r="AF9" s="2"/>
      <x:c r="AG9" s="6"/>
      <x:c r="AH9" s="6" t="str">
        <x:v>Other</x:v>
      </x:c>
      <x:c r="AI9" s="2"/>
      <x:c r="AJ9" s="2"/>
      <x:c r="AK9" s="2"/>
      <x:c r="AL9" s="2"/>
      <x:c r="AM9" s="2"/>
      <x:c r="AN9" s="2"/>
      <x:c r="AO9" s="2" t="str">
        <x:v>organization</x:v>
      </x:c>
      <x:c r="AP9" s="2"/>
      <x:c r="AQ9" s="2"/>
      <x:c r="AR9" s="2"/>
    </x:row>
    <x:row r="10" ht="76" customHeight="1">
      <x:c r="A10" s="2"/>
      <x:c r="B10" s="2"/>
      <x:c r="C10" s="2"/>
      <x:c r="D10" s="2"/>
      <x:c r="E10" s="2"/>
      <x:c r="F10" s="2"/>
      <x:c r="G10" s="2"/>
      <x:c r="H10" s="2"/>
      <x:c r="I10" s="2"/>
      <x:c r="J10" s="6"/>
      <x:c r="K10" s="2"/>
      <x:c r="L10" s="2" t="str">
        <x:v>traceability evolution</x:v>
      </x:c>
      <x:c r="M10" s="2" t="str">
        <x:v>commit</x:v>
      </x:c>
      <x:c r="N10" s="2" t="str">
        <x:v>Unclear</x:v>
      </x:c>
      <x:c r="O10" s="2"/>
      <x:c r="P10" s="2"/>
      <x:c r="Q10" s="2" t="str">
        <x:v>Unclear</x:v>
      </x:c>
      <x:c r="R10" s="2" t="str">
        <x:v>Longitudinal deployment</x:v>
      </x:c>
      <x:c r="S10" s="2"/>
      <x:c r="T10" s="2"/>
      <x:c r="U10" s="2"/>
      <x:c r="V10" s="2"/>
      <x:c r="W10" s="2"/>
      <x:c r="X10" s="2" t="str">
        <x:v>Copilot</x:v>
      </x:c>
      <x:c r="Y10" s="2"/>
      <x:c r="Z10" s="2"/>
      <x:c r="AA10" s="2"/>
      <x:c r="AB10" s="2"/>
      <x:c r="AC10" s="6" t="str">
        <x:v>Schema validation</x:v>
      </x:c>
      <x:c r="AD10" s="2" t="str">
        <x:v>Evaluation only</x:v>
      </x:c>
      <x:c r="AE10" s="6"/>
      <x:c r="AF10" s="2"/>
      <x:c r="AG10" s="6"/>
      <x:c r="AH10" s="6"/>
      <x:c r="AI10" s="2"/>
      <x:c r="AJ10" s="2"/>
      <x:c r="AK10" s="2"/>
      <x:c r="AL10" s="2"/>
      <x:c r="AM10" s="2"/>
      <x:c r="AN10" s="2"/>
      <x:c r="AO10" s="2" t="str">
        <x:v>other</x:v>
      </x:c>
      <x:c r="AP10" s="2"/>
      <x:c r="AQ10" s="2"/>
      <x:c r="AR10" s="2"/>
    </x:row>
    <x:row r="11" ht="76" customHeight="1">
      <x:c r="A11" s="2"/>
      <x:c r="B11" s="2"/>
      <x:c r="C11" s="2"/>
      <x:c r="D11" s="2"/>
      <x:c r="E11" s="2"/>
      <x:c r="F11" s="2"/>
      <x:c r="G11" s="2"/>
      <x:c r="H11" s="2"/>
      <x:c r="I11" s="2"/>
      <x:c r="J11" s="6"/>
      <x:c r="K11" s="2"/>
      <x:c r="L11" s="2" t="str">
        <x:v>trace-aware artifact generation</x:v>
      </x:c>
      <x:c r="M11" s="2" t="str">
        <x:v>pull request</x:v>
      </x:c>
      <x:c r="N11" s="2"/>
      <x:c r="O11" s="2"/>
      <x:c r="P11" s="2"/>
      <x:c r="Q11" s="2"/>
      <x:c r="R11" s="2" t="str">
        <x:v>Mixed</x:v>
      </x:c>
      <x:c r="S11" s="2"/>
      <x:c r="T11" s="2"/>
      <x:c r="U11" s="2"/>
      <x:c r="V11" s="2"/>
      <x:c r="W11" s="2"/>
      <x:c r="X11" s="2" t="str">
        <x:v>Other</x:v>
      </x:c>
      <x:c r="Y11" s="2"/>
      <x:c r="Z11" s="2"/>
      <x:c r="AA11" s="2"/>
      <x:c r="AB11" s="2"/>
      <x:c r="AC11" s="6" t="str">
        <x:v>Search engine</x:v>
      </x:c>
      <x:c r="AD11" s="2" t="str">
        <x:v>Tool orchestration</x:v>
      </x:c>
      <x:c r="AE11" s="6"/>
      <x:c r="AF11" s="2"/>
      <x:c r="AG11" s="6"/>
      <x:c r="AH11" s="6"/>
      <x:c r="AI11" s="2"/>
      <x:c r="AJ11" s="2"/>
      <x:c r="AK11" s="2"/>
      <x:c r="AL11" s="2"/>
      <x:c r="AM11" s="2"/>
      <x:c r="AN11" s="2"/>
      <x:c r="AO11" s="2" t="str">
        <x:v>Unclear</x:v>
      </x:c>
      <x:c r="AP11" s="2"/>
      <x:c r="AQ11" s="2"/>
      <x:c r="AR11" s="2"/>
    </x:row>
    <x:row r="12" ht="76" customHeight="1">
      <x:c r="A12" s="2"/>
      <x:c r="B12" s="2"/>
      <x:c r="C12" s="2"/>
      <x:c r="D12" s="2"/>
      <x:c r="E12" s="2"/>
      <x:c r="F12" s="2"/>
      <x:c r="G12" s="2"/>
      <x:c r="H12" s="2"/>
      <x:c r="I12" s="2"/>
      <x:c r="J12" s="6"/>
      <x:c r="K12" s="2"/>
      <x:c r="L12" s="2" t="str">
        <x:v>coverage checking</x:v>
      </x:c>
      <x:c r="M12" s="2" t="str">
        <x:v>test case</x:v>
      </x:c>
      <x:c r="N12" s="2"/>
      <x:c r="O12" s="2"/>
      <x:c r="P12" s="2"/>
      <x:c r="Q12" s="2"/>
      <x:c r="R12" s="2" t="str">
        <x:v>Other</x:v>
      </x:c>
      <x:c r="S12" s="2"/>
      <x:c r="T12" s="2"/>
      <x:c r="U12" s="2"/>
      <x:c r="V12" s="2"/>
      <x:c r="W12" s="2"/>
      <x:c r="X12" s="2" t="str">
        <x:v>NR</x:v>
      </x:c>
      <x:c r="Y12" s="2"/>
      <x:c r="Z12" s="2"/>
      <x:c r="AA12" s="2"/>
      <x:c r="AB12" s="2"/>
      <x:c r="AC12" s="6" t="str">
        <x:v>Repository mining</x:v>
      </x:c>
      <x:c r="AD12" s="2" t="str">
        <x:v>Other</x:v>
      </x:c>
      <x:c r="AE12" s="6"/>
      <x:c r="AF12" s="2"/>
      <x:c r="AG12" s="6"/>
      <x:c r="AH12" s="6"/>
      <x:c r="AI12" s="2"/>
      <x:c r="AJ12" s="2"/>
      <x:c r="AK12" s="2"/>
      <x:c r="AL12" s="2"/>
      <x:c r="AM12" s="2"/>
      <x:c r="AN12" s="2"/>
      <x:c r="AO12" s="2"/>
      <x:c r="AP12" s="2"/>
      <x:c r="AQ12" s="2"/>
      <x:c r="AR12" s="2"/>
    </x:row>
    <x:row r="13" ht="76" customHeight="1">
      <x:c r="A13" s="2"/>
      <x:c r="B13" s="2"/>
      <x:c r="C13" s="2"/>
      <x:c r="D13" s="2"/>
      <x:c r="E13" s="2"/>
      <x:c r="F13" s="2"/>
      <x:c r="G13" s="2"/>
      <x:c r="H13" s="2"/>
      <x:c r="I13" s="2"/>
      <x:c r="J13" s="6"/>
      <x:c r="K13" s="2"/>
      <x:c r="L13" s="2" t="str">
        <x:v>consistency checking</x:v>
      </x:c>
      <x:c r="M13" s="2" t="str">
        <x:v>documentation</x:v>
      </x:c>
      <x:c r="N13" s="2"/>
      <x:c r="O13" s="2"/>
      <x:c r="P13" s="2"/>
      <x:c r="Q13" s="2"/>
      <x:c r="R13" s="2" t="str">
        <x:v>Unclear</x:v>
      </x:c>
      <x:c r="S13" s="2"/>
      <x:c r="T13" s="2"/>
      <x:c r="U13" s="2"/>
      <x:c r="V13" s="2"/>
      <x:c r="W13" s="2"/>
      <x:c r="X13" s="2" t="str">
        <x:v>Unclear</x:v>
      </x:c>
      <x:c r="Y13" s="2"/>
      <x:c r="Z13" s="2"/>
      <x:c r="AA13" s="2"/>
      <x:c r="AB13" s="2"/>
      <x:c r="AC13" s="6" t="str">
        <x:v>Human review</x:v>
      </x:c>
      <x:c r="AD13" s="2" t="str">
        <x:v>Unclear</x:v>
      </x:c>
      <x:c r="AE13" s="6"/>
      <x:c r="AF13" s="2"/>
      <x:c r="AG13" s="6"/>
      <x:c r="AH13" s="6"/>
      <x:c r="AI13" s="2"/>
      <x:c r="AJ13" s="2"/>
      <x:c r="AK13" s="2"/>
      <x:c r="AL13" s="2"/>
      <x:c r="AM13" s="2"/>
      <x:c r="AN13" s="2"/>
      <x:c r="AO13" s="2"/>
      <x:c r="AP13" s="2"/>
      <x:c r="AQ13" s="2"/>
      <x:c r="AR13" s="2"/>
    </x:row>
    <x:row r="14" ht="76" customHeight="1">
      <x:c r="A14" s="2"/>
      <x:c r="B14" s="2"/>
      <x:c r="C14" s="2"/>
      <x:c r="D14" s="2"/>
      <x:c r="E14" s="2"/>
      <x:c r="F14" s="2"/>
      <x:c r="G14" s="2"/>
      <x:c r="H14" s="2"/>
      <x:c r="I14" s="2"/>
      <x:c r="J14" s="6"/>
      <x:c r="K14" s="2"/>
      <x:c r="L14" s="2" t="str">
        <x:v>compliance mapping</x:v>
      </x:c>
      <x:c r="M14" s="2" t="str">
        <x:v>system specification</x:v>
      </x:c>
      <x:c r="N14" s="2"/>
      <x:c r="O14" s="2"/>
      <x:c r="P14" s="2"/>
      <x:c r="Q14" s="2"/>
      <x:c r="R14" s="2"/>
      <x:c r="S14" s="2"/>
      <x:c r="T14" s="2"/>
      <x:c r="U14" s="2"/>
      <x:c r="V14" s="2"/>
      <x:c r="W14" s="2"/>
      <x:c r="X14" s="2"/>
      <x:c r="Y14" s="2"/>
      <x:c r="Z14" s="2"/>
      <x:c r="AA14" s="2"/>
      <x:c r="AB14" s="2"/>
      <x:c r="AC14" s="6" t="str">
        <x:v>Non-LLM ML or DL</x:v>
      </x:c>
      <x:c r="AD14" s="2"/>
      <x:c r="AE14" s="6"/>
      <x:c r="AF14" s="2"/>
      <x:c r="AG14" s="6"/>
      <x:c r="AH14" s="6"/>
      <x:c r="AI14" s="2"/>
      <x:c r="AJ14" s="2"/>
      <x:c r="AK14" s="2"/>
      <x:c r="AL14" s="2"/>
      <x:c r="AM14" s="2"/>
      <x:c r="AN14" s="2"/>
      <x:c r="AO14" s="2"/>
      <x:c r="AP14" s="2"/>
      <x:c r="AQ14" s="2"/>
      <x:c r="AR14" s="2"/>
    </x:row>
    <x:row r="15" ht="76" customHeight="1">
      <x:c r="A15" s="2"/>
      <x:c r="B15" s="2"/>
      <x:c r="C15" s="2"/>
      <x:c r="D15" s="2"/>
      <x:c r="E15" s="2"/>
      <x:c r="F15" s="2"/>
      <x:c r="G15" s="2"/>
      <x:c r="H15" s="2"/>
      <x:c r="I15" s="2"/>
      <x:c r="J15" s="6"/>
      <x:c r="K15" s="2"/>
      <x:c r="L15" s="2" t="str">
        <x:v>change propagation</x:v>
      </x:c>
      <x:c r="M15" s="2" t="str">
        <x:v>regulation</x:v>
      </x:c>
      <x:c r="N15" s="2"/>
      <x:c r="O15" s="2"/>
      <x:c r="P15" s="2"/>
      <x:c r="Q15" s="2"/>
      <x:c r="R15" s="2"/>
      <x:c r="S15" s="2"/>
      <x:c r="T15" s="2"/>
      <x:c r="U15" s="2"/>
      <x:c r="V15" s="2"/>
      <x:c r="W15" s="2"/>
      <x:c r="X15" s="2"/>
      <x:c r="Y15" s="2"/>
      <x:c r="Z15" s="2"/>
      <x:c r="AA15" s="2"/>
      <x:c r="AB15" s="2"/>
      <x:c r="AC15" s="6" t="str">
        <x:v>Tool framework</x:v>
      </x:c>
      <x:c r="AD15" s="2"/>
      <x:c r="AE15" s="6"/>
      <x:c r="AF15" s="2"/>
      <x:c r="AG15" s="6"/>
      <x:c r="AH15" s="6"/>
      <x:c r="AI15" s="2"/>
      <x:c r="AJ15" s="2"/>
      <x:c r="AK15" s="2"/>
      <x:c r="AL15" s="2"/>
      <x:c r="AM15" s="2"/>
      <x:c r="AN15" s="2"/>
      <x:c r="AO15" s="2"/>
      <x:c r="AP15" s="2"/>
      <x:c r="AQ15" s="2"/>
      <x:c r="AR15" s="2"/>
    </x:row>
    <x:row r="16" ht="76" customHeight="1">
      <x:c r="A16" s="2"/>
      <x:c r="B16" s="2"/>
      <x:c r="C16" s="2"/>
      <x:c r="D16" s="2"/>
      <x:c r="E16" s="2"/>
      <x:c r="F16" s="2"/>
      <x:c r="G16" s="2"/>
      <x:c r="H16" s="2"/>
      <x:c r="I16" s="2"/>
      <x:c r="J16" s="6"/>
      <x:c r="K16" s="2"/>
      <x:c r="L16" s="2" t="str">
        <x:v>other</x:v>
      </x:c>
      <x:c r="M16" s="2" t="str">
        <x:v>compliance evidence</x:v>
      </x:c>
      <x:c r="N16" s="2"/>
      <x:c r="O16" s="2"/>
      <x:c r="P16" s="2"/>
      <x:c r="Q16" s="2"/>
      <x:c r="R16" s="2"/>
      <x:c r="S16" s="2"/>
      <x:c r="T16" s="2"/>
      <x:c r="U16" s="2"/>
      <x:c r="V16" s="2"/>
      <x:c r="W16" s="2"/>
      <x:c r="X16" s="2"/>
      <x:c r="Y16" s="2"/>
      <x:c r="Z16" s="2"/>
      <x:c r="AA16" s="2"/>
      <x:c r="AB16" s="2"/>
      <x:c r="AC16" s="6" t="str">
        <x:v>Other</x:v>
      </x:c>
      <x:c r="AD16" s="2"/>
      <x:c r="AE16" s="6"/>
      <x:c r="AF16" s="2"/>
      <x:c r="AG16" s="6"/>
      <x:c r="AH16" s="6"/>
      <x:c r="AI16" s="2"/>
      <x:c r="AJ16" s="2"/>
      <x:c r="AK16" s="2"/>
      <x:c r="AL16" s="2"/>
      <x:c r="AM16" s="2"/>
      <x:c r="AN16" s="2"/>
      <x:c r="AO16" s="2"/>
      <x:c r="AP16" s="2"/>
      <x:c r="AQ16" s="2"/>
      <x:c r="AR16" s="2"/>
    </x:row>
    <x:row r="17" ht="76" customHeight="1">
      <x:c r="A17" s="2"/>
      <x:c r="B17" s="2"/>
      <x:c r="C17" s="2"/>
      <x:c r="D17" s="2"/>
      <x:c r="E17" s="2"/>
      <x:c r="F17" s="2"/>
      <x:c r="G17" s="2"/>
      <x:c r="H17" s="2"/>
      <x:c r="I17" s="2"/>
      <x:c r="J17" s="6"/>
      <x:c r="K17" s="2"/>
      <x:c r="L17" s="2" t="str">
        <x:v>Unclear</x:v>
      </x:c>
      <x:c r="M17" s="2" t="str">
        <x:v>safety analysis</x:v>
      </x:c>
      <x:c r="N17" s="2"/>
      <x:c r="O17" s="2"/>
      <x:c r="P17" s="2"/>
      <x:c r="Q17" s="2"/>
      <x:c r="R17" s="2"/>
      <x:c r="S17" s="2"/>
      <x:c r="T17" s="2"/>
      <x:c r="U17" s="2"/>
      <x:c r="V17" s="2"/>
      <x:c r="W17" s="2"/>
      <x:c r="X17" s="2"/>
      <x:c r="Y17" s="2"/>
      <x:c r="Z17" s="2"/>
      <x:c r="AA17" s="2"/>
      <x:c r="AB17" s="2"/>
      <x:c r="AC17" s="6" t="str">
        <x:v>Unclear</x:v>
      </x:c>
      <x:c r="AD17" s="2"/>
      <x:c r="AE17" s="6"/>
      <x:c r="AF17" s="2"/>
      <x:c r="AG17" s="6"/>
      <x:c r="AH17" s="6"/>
      <x:c r="AI17" s="2"/>
      <x:c r="AJ17" s="2"/>
      <x:c r="AK17" s="2"/>
      <x:c r="AL17" s="2"/>
      <x:c r="AM17" s="2"/>
      <x:c r="AN17" s="2"/>
      <x:c r="AO17" s="2"/>
      <x:c r="AP17" s="2"/>
      <x:c r="AQ17" s="2"/>
      <x:c r="AR17" s="2"/>
    </x:row>
    <x:row r="18" ht="76" customHeight="1">
      <x:c r="A18" s="2"/>
      <x:c r="B18" s="2"/>
      <x:c r="C18" s="2"/>
      <x:c r="D18" s="2"/>
      <x:c r="E18" s="2"/>
      <x:c r="F18" s="2"/>
      <x:c r="G18" s="2"/>
      <x:c r="H18" s="2"/>
      <x:c r="I18" s="2"/>
      <x:c r="J18" s="6"/>
      <x:c r="K18" s="2"/>
      <x:c r="L18" s="2"/>
      <x:c r="M18" s="2" t="str">
        <x:v>generated artifact</x:v>
      </x:c>
      <x:c r="N18" s="2"/>
      <x:c r="O18" s="2"/>
      <x:c r="P18" s="2"/>
      <x:c r="Q18" s="2"/>
      <x:c r="R18" s="2"/>
      <x:c r="S18" s="2"/>
      <x:c r="T18" s="2"/>
      <x:c r="U18" s="2"/>
      <x:c r="V18" s="2"/>
      <x:c r="W18" s="2"/>
      <x:c r="X18" s="2"/>
      <x:c r="Y18" s="2"/>
      <x:c r="Z18" s="2"/>
      <x:c r="AA18" s="2"/>
      <x:c r="AB18" s="2"/>
      <x:c r="AC18" s="6"/>
      <x:c r="AD18" s="2"/>
      <x:c r="AE18" s="6"/>
      <x:c r="AF18" s="2"/>
      <x:c r="AG18" s="6"/>
      <x:c r="AH18" s="6"/>
      <x:c r="AI18" s="2"/>
      <x:c r="AJ18" s="2"/>
      <x:c r="AK18" s="2"/>
      <x:c r="AL18" s="2"/>
      <x:c r="AM18" s="2"/>
      <x:c r="AN18" s="2"/>
      <x:c r="AO18" s="2"/>
      <x:c r="AP18" s="2"/>
      <x:c r="AQ18" s="2"/>
      <x:c r="AR18" s="2"/>
    </x:row>
    <x:row r="19" ht="76" customHeight="1">
      <x:c r="A19" s="2"/>
      <x:c r="B19" s="2"/>
      <x:c r="C19" s="2"/>
      <x:c r="D19" s="2"/>
      <x:c r="E19" s="2"/>
      <x:c r="F19" s="2"/>
      <x:c r="G19" s="2"/>
      <x:c r="H19" s="2"/>
      <x:c r="I19" s="2"/>
      <x:c r="J19" s="6"/>
      <x:c r="K19" s="2"/>
      <x:c r="L19" s="2"/>
      <x:c r="M19" s="2" t="str">
        <x:v>other</x:v>
      </x:c>
      <x:c r="N19" s="2"/>
      <x:c r="O19" s="2"/>
      <x:c r="P19" s="2"/>
      <x:c r="Q19" s="2"/>
      <x:c r="R19" s="2"/>
      <x:c r="S19" s="2"/>
      <x:c r="T19" s="2"/>
      <x:c r="U19" s="2"/>
      <x:c r="V19" s="2"/>
      <x:c r="W19" s="2"/>
      <x:c r="X19" s="2"/>
      <x:c r="Y19" s="2"/>
      <x:c r="Z19" s="2"/>
      <x:c r="AA19" s="2"/>
      <x:c r="AB19" s="2"/>
      <x:c r="AC19" s="6"/>
      <x:c r="AD19" s="2"/>
      <x:c r="AE19" s="6"/>
      <x:c r="AF19" s="2"/>
      <x:c r="AG19" s="6"/>
      <x:c r="AH19" s="6"/>
      <x:c r="AI19" s="2"/>
      <x:c r="AJ19" s="2"/>
      <x:c r="AK19" s="2"/>
      <x:c r="AL19" s="2"/>
      <x:c r="AM19" s="2"/>
      <x:c r="AN19" s="2"/>
      <x:c r="AO19" s="2"/>
      <x:c r="AP19" s="2"/>
      <x:c r="AQ19" s="2"/>
      <x:c r="AR19" s="2"/>
    </x:row>
    <x:row r="20" ht="76" customHeight="1">
      <x:c r="A20" s="2"/>
      <x:c r="B20" s="2"/>
      <x:c r="C20" s="2"/>
      <x:c r="D20" s="2"/>
      <x:c r="E20" s="2"/>
      <x:c r="F20" s="2"/>
      <x:c r="G20" s="2"/>
      <x:c r="H20" s="2"/>
      <x:c r="I20" s="2"/>
      <x:c r="J20" s="6"/>
      <x:c r="K20" s="2"/>
      <x:c r="L20" s="2"/>
      <x:c r="M20" s="2" t="str">
        <x:v>Unclear</x:v>
      </x:c>
      <x:c r="N20" s="2"/>
      <x:c r="O20" s="2"/>
      <x:c r="P20" s="2"/>
      <x:c r="Q20" s="2"/>
      <x:c r="R20" s="2"/>
      <x:c r="S20" s="2"/>
      <x:c r="T20" s="2"/>
      <x:c r="U20" s="2"/>
      <x:c r="V20" s="2"/>
      <x:c r="W20" s="2"/>
      <x:c r="X20" s="2"/>
      <x:c r="Y20" s="2"/>
      <x:c r="Z20" s="2"/>
      <x:c r="AA20" s="2"/>
      <x:c r="AB20" s="2"/>
      <x:c r="AC20" s="6"/>
      <x:c r="AD20" s="2"/>
      <x:c r="AE20" s="6"/>
      <x:c r="AF20" s="2"/>
      <x:c r="AG20" s="6"/>
      <x:c r="AH20" s="6"/>
      <x:c r="AI20" s="2"/>
      <x:c r="AJ20" s="2"/>
      <x:c r="AK20" s="2"/>
      <x:c r="AL20" s="2"/>
      <x:c r="AM20" s="2"/>
      <x:c r="AN20" s="2"/>
      <x:c r="AO20" s="2"/>
      <x:c r="AP20" s="2"/>
      <x:c r="AQ20" s="2"/>
      <x:c r="AR20" s="2"/>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19" hidden="0" customWidth="1"/>
    <x:col min="8" max="8" width="19"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52" hidden="0" customWidth="1"/>
    <x:col min="17" max="17" width="20" hidden="0" customWidth="1"/>
    <x:col min="18" max="18" width="52" hidden="0" customWidth="1"/>
    <x:col min="19" max="19" width="20" hidden="0" customWidth="1"/>
    <x:col min="20" max="20" width="20" hidden="0" customWidth="1"/>
    <x:col min="21" max="21" width="20" hidden="0" customWidth="1"/>
    <x:col min="22" max="22" width="52" hidden="0" customWidth="1"/>
    <x:col min="23" max="23" width="52" hidden="0" customWidth="1"/>
    <x:col min="24" max="24" width="52" hidden="0" customWidth="1"/>
    <x:col min="25" max="25" width="52" hidden="0" customWidth="1"/>
    <x:col min="26" max="26" width="20" hidden="0" customWidth="1"/>
    <x:col min="27" max="27" width="52" hidden="0" customWidth="1"/>
  </x:cols>
  <x:sheetData>
    <x:row r="1" ht="38" customHeight="1">
      <x:c r="A1" s="5" t="str">
        <x:v>record_id</x:v>
      </x:c>
      <x:c r="B1" s="5" t="str">
        <x:v>study_id</x:v>
      </x:c>
      <x:c r="C1" s="5" t="str">
        <x:v>version_id</x:v>
      </x:c>
      <x:c r="D1" s="5" t="str">
        <x:v>review_stage</x:v>
      </x:c>
      <x:c r="E1" s="5" t="str">
        <x:v>reviewer_id</x:v>
      </x:c>
      <x:c r="F1" s="5" t="str">
        <x:v>process_id</x:v>
      </x:c>
      <x:c r="G1" s="5" t="str">
        <x:v>task_id</x:v>
      </x:c>
      <x:c r="H1" s="5" t="str">
        <x:v>step_code</x:v>
      </x:c>
      <x:c r="I1" s="5" t="str">
        <x:v>step_order</x:v>
      </x:c>
      <x:c r="J1" s="5" t="str">
        <x:v>generic_scope</x:v>
      </x:c>
      <x:c r="K1" s="5" t="str">
        <x:v>extraction_status</x:v>
      </x:c>
      <x:c r="L1" s="5" t="str">
        <x:v>step_status</x:v>
      </x:c>
      <x:c r="M1" s="5" t="str">
        <x:v>actor_type</x:v>
      </x:c>
      <x:c r="N1" s="5" t="str">
        <x:v>linked_operation_ids</x:v>
      </x:c>
      <x:c r="O1" s="5" t="str">
        <x:v>linked_component_ids</x:v>
      </x:c>
      <x:c r="P1" s="5" t="str">
        <x:v>process_input</x:v>
      </x:c>
      <x:c r="Q1" s="5" t="str">
        <x:v>process_activity</x:v>
      </x:c>
      <x:c r="R1" s="5" t="str">
        <x:v>process_output</x:v>
      </x:c>
      <x:c r="S1" s="5" t="str">
        <x:v>predecessor_steps</x:v>
      </x:c>
      <x:c r="T1" s="5" t="str">
        <x:v>successor_steps</x:v>
      </x:c>
      <x:c r="U1" s="5" t="str">
        <x:v>branch_or_iteration</x:v>
      </x:c>
      <x:c r="V1" s="5" t="str">
        <x:v>dependency_basis</x:v>
      </x:c>
      <x:c r="W1" s="5" t="str">
        <x:v>evidence_location</x:v>
      </x:c>
      <x:c r="X1" s="5" t="str">
        <x:v>evidence_verbatim</x:v>
      </x:c>
      <x:c r="Y1" s="5" t="str">
        <x:v>reviewer_interpretation</x:v>
      </x:c>
      <x:c r="Z1" s="5" t="str">
        <x:v>record_status</x:v>
      </x:c>
      <x:c r="AA1" s="5" t="str">
        <x:v>notes</x:v>
      </x:c>
    </x:row>
    <x:row r="2" ht="76" customHeight="1">
      <x:c r="A2" s="2" t="str">
        <x:v>S01-T01-P1</x:v>
      </x:c>
      <x:c r="B2" s="2" t="str">
        <x:v>S01</x:v>
      </x:c>
      <x:c r="C2" s="2" t="str">
        <x:v>merged_0002</x:v>
      </x:c>
      <x:c r="D2" s="2" t="str">
        <x:v>Final coding</x:v>
      </x:c>
      <x:c r="E2" s="2" t="str">
        <x:v>R1/R2</x:v>
      </x:c>
      <x:c r="F2" s="2" t="str">
        <x:v>S01-T01-PROC</x:v>
      </x:c>
      <x:c r="G2" s="2" t="str">
        <x:v>S01-T01</x:v>
      </x:c>
      <x:c r="H2" s="2" t="str">
        <x:v>1 Artifact acquisition and scoping</x:v>
      </x:c>
      <x:c r="I2" s="2" t="n">
        <x:v>1</x:v>
      </x:c>
      <x:c r="J2" s="2" t="str">
        <x:v>Common core</x:v>
      </x:c>
      <x:c r="K2" s="2" t="str">
        <x:v>Completed</x:v>
      </x:c>
      <x:c r="L2" s="2" t="str">
        <x:v>Explicitly evidenced</x:v>
      </x:c>
      <x:c r="M2" s="2" t="str">
        <x:v>NR</x:v>
      </x:c>
      <x:c r="N2" s="2" t="str">
        <x:v>NR</x:v>
      </x:c>
      <x:c r="O2" s="2" t="str">
        <x:v>NR</x:v>
      </x:c>
      <x:c r="P2" s="6" t="str">
        <x:v>NR</x:v>
      </x:c>
      <x:c r="Q2" s="2" t="str">
        <x:v>1 Artifact acquisition and scoping</x:v>
      </x:c>
      <x:c r="R2" s="6" t="str">
        <x:v>NR</x:v>
      </x:c>
      <x:c r="S2" s="2" t="str">
        <x:v>NR</x:v>
      </x:c>
      <x:c r="T2" s="2" t="str">
        <x:v>NR</x:v>
      </x:c>
      <x:c r="U2" s="2" t="str">
        <x:v>NR</x:v>
      </x:c>
      <x:c r="V2" s="6" t="str">
        <x:v>Task-specific coded evidence</x:v>
      </x:c>
      <x:c r="W2" s="6" t="str">
        <x:v>p. 1; Section I. Introduction; Section IV-A-1</x:v>
      </x:c>
      <x:c r="X2" s="6" t="str">
        <x:v>we focus on three different TLR tasks</x:v>
      </x:c>
      <x:c r="Y2" s="6" t="str">
        <x:v>See task-step evidence references in the RQ2 supplement.</x:v>
      </x:c>
      <x:c r="Z2" s="2" t="str">
        <x:v>Accepted</x:v>
      </x:c>
      <x:c r="AA2" s="6" t="str">
        <x:v>NR</x:v>
      </x:c>
    </x:row>
    <x:row r="3" ht="76" customHeight="1">
      <x:c r="A3" s="2" t="str">
        <x:v>S01-T01-P2</x:v>
      </x:c>
      <x:c r="B3" s="2" t="str">
        <x:v>S01</x:v>
      </x:c>
      <x:c r="C3" s="2" t="str">
        <x:v>merged_0002</x:v>
      </x:c>
      <x:c r="D3" s="2" t="str">
        <x:v>Final coding</x:v>
      </x:c>
      <x:c r="E3" s="2" t="str">
        <x:v>R1/R2</x:v>
      </x:c>
      <x:c r="F3" s="2" t="str">
        <x:v>S01-T01-PROC</x:v>
      </x:c>
      <x:c r="G3" s="2" t="str">
        <x:v>S01-T01</x:v>
      </x:c>
      <x:c r="H3" s="2" t="str">
        <x:v>2 Semantic contextualization</x:v>
      </x:c>
      <x:c r="I3" s="2" t="n">
        <x:v>2</x:v>
      </x:c>
      <x:c r="J3" s="2" t="str">
        <x:v>Common core</x:v>
      </x:c>
      <x:c r="K3" s="2" t="str">
        <x:v>Completed</x:v>
      </x:c>
      <x:c r="L3" s="2" t="str">
        <x:v>Explicitly evidenced</x:v>
      </x:c>
      <x:c r="M3" s="2" t="str">
        <x:v>NR</x:v>
      </x:c>
      <x:c r="N3" s="2" t="str">
        <x:v>NR</x:v>
      </x:c>
      <x:c r="O3" s="2" t="str">
        <x:v>NR</x:v>
      </x:c>
      <x:c r="P3" s="6" t="str">
        <x:v>NR</x:v>
      </x:c>
      <x:c r="Q3" s="2" t="str">
        <x:v>2 Semantic contextualization</x:v>
      </x:c>
      <x:c r="R3" s="6" t="str">
        <x:v>NR</x:v>
      </x:c>
      <x:c r="S3" s="2" t="str">
        <x:v>NR</x:v>
      </x:c>
      <x:c r="T3" s="2" t="str">
        <x:v>NR</x:v>
      </x:c>
      <x:c r="U3" s="2" t="str">
        <x:v>NR</x:v>
      </x:c>
      <x:c r="V3" s="6" t="str">
        <x:v>Task-specific coded evidence</x:v>
      </x:c>
      <x:c r="W3" s="6" t="str">
        <x:v>p. 1; Section I. Introduction; Section IV-A-1</x:v>
      </x:c>
      <x:c r="X3" s="6" t="str">
        <x:v>we focus on three different TLR tasks</x:v>
      </x:c>
      <x:c r="Y3" s="6" t="str">
        <x:v>See task-step evidence references in the RQ2 supplement.</x:v>
      </x:c>
      <x:c r="Z3" s="2" t="str">
        <x:v>Accepted</x:v>
      </x:c>
      <x:c r="AA3" s="6" t="str">
        <x:v>NR</x:v>
      </x:c>
    </x:row>
    <x:row r="4" ht="76" customHeight="1">
      <x:c r="A4" s="2" t="str">
        <x:v>S01-T01-P3</x:v>
      </x:c>
      <x:c r="B4" s="2" t="str">
        <x:v>S01</x:v>
      </x:c>
      <x:c r="C4" s="2" t="str">
        <x:v>merged_0002</x:v>
      </x:c>
      <x:c r="D4" s="2" t="str">
        <x:v>Final coding</x:v>
      </x:c>
      <x:c r="E4" s="2" t="str">
        <x:v>R1/R2</x:v>
      </x:c>
      <x:c r="F4" s="2" t="str">
        <x:v>S01-T01-PROC</x:v>
      </x:c>
      <x:c r="G4" s="2" t="str">
        <x:v>S01-T01</x:v>
      </x:c>
      <x:c r="H4" s="2" t="str">
        <x:v>3 Traceability inference</x:v>
      </x:c>
      <x:c r="I4" s="2" t="n">
        <x:v>3</x:v>
      </x:c>
      <x:c r="J4" s="2" t="str">
        <x:v>Common core</x:v>
      </x:c>
      <x:c r="K4" s="2" t="str">
        <x:v>Completed</x:v>
      </x:c>
      <x:c r="L4" s="2" t="str">
        <x:v>Explicitly evidenced</x:v>
      </x:c>
      <x:c r="M4" s="2" t="str">
        <x:v>NR</x:v>
      </x:c>
      <x:c r="N4" s="2" t="str">
        <x:v>NR</x:v>
      </x:c>
      <x:c r="O4" s="2" t="str">
        <x:v>NR</x:v>
      </x:c>
      <x:c r="P4" s="6" t="str">
        <x:v>NR</x:v>
      </x:c>
      <x:c r="Q4" s="2" t="str">
        <x:v>3 Traceability inference</x:v>
      </x:c>
      <x:c r="R4" s="6" t="str">
        <x:v>需求与代码文件之间的跟踪链接</x:v>
      </x:c>
      <x:c r="S4" s="2" t="str">
        <x:v>NR</x:v>
      </x:c>
      <x:c r="T4" s="2" t="str">
        <x:v>NR</x:v>
      </x:c>
      <x:c r="U4" s="2" t="str">
        <x:v>NR</x:v>
      </x:c>
      <x:c r="V4" s="6" t="str">
        <x:v>Task-specific coded evidence</x:v>
      </x:c>
      <x:c r="W4" s="6" t="str">
        <x:v>p. 1; Section I. Introduction; Section IV-A-1</x:v>
      </x:c>
      <x:c r="X4" s="6" t="str">
        <x:v>we focus on three different TLR tasks</x:v>
      </x:c>
      <x:c r="Y4" s="6" t="str">
        <x:v>See task-step evidence references in the RQ2 supplement.</x:v>
      </x:c>
      <x:c r="Z4" s="2" t="str">
        <x:v>Accepted</x:v>
      </x:c>
      <x:c r="AA4" s="6" t="str">
        <x:v>NR</x:v>
      </x:c>
    </x:row>
    <x:row r="5" ht="76" customHeight="1">
      <x:c r="A5" s="2" t="str">
        <x:v>S01-T01-P4</x:v>
      </x:c>
      <x:c r="B5" s="2" t="str">
        <x:v>S01</x:v>
      </x:c>
      <x:c r="C5" s="2" t="str">
        <x:v>merged_0002</x:v>
      </x:c>
      <x:c r="D5" s="2" t="str">
        <x:v>Final coding</x:v>
      </x:c>
      <x:c r="E5" s="2" t="str">
        <x:v>R1/R2</x:v>
      </x:c>
      <x:c r="F5" s="2" t="str">
        <x:v>S01-T01-PROC</x:v>
      </x:c>
      <x:c r="G5" s="2" t="str">
        <x:v>S01-T01</x:v>
      </x:c>
      <x:c r="H5" s="2" t="str">
        <x:v>4 Validation and explanation</x:v>
      </x:c>
      <x:c r="I5" s="2" t="n">
        <x:v>4</x:v>
      </x:c>
      <x:c r="J5" s="2" t="str">
        <x:v>Common core</x:v>
      </x:c>
      <x:c r="K5" s="2" t="str">
        <x:v>Completed</x:v>
      </x:c>
      <x:c r="L5" s="2" t="str">
        <x:v>Not separately reported</x:v>
      </x:c>
      <x:c r="M5" s="2" t="str">
        <x:v>NR</x:v>
      </x:c>
      <x:c r="N5" s="2" t="str">
        <x:v>NR</x:v>
      </x:c>
      <x:c r="O5" s="2" t="str">
        <x:v>NR</x:v>
      </x:c>
      <x:c r="P5" s="6" t="str">
        <x:v>NR</x:v>
      </x:c>
      <x:c r="Q5" s="2" t="str">
        <x:v>NR</x:v>
      </x:c>
      <x:c r="R5" s="6" t="str">
        <x:v>NR</x:v>
      </x:c>
      <x:c r="S5" s="2" t="str">
        <x:v>NR</x:v>
      </x:c>
      <x:c r="T5" s="2" t="str">
        <x:v>NR</x:v>
      </x:c>
      <x:c r="U5" s="2" t="str">
        <x:v>NR</x:v>
      </x:c>
      <x:c r="V5" s="6" t="str">
        <x:v>Task-specific coded evidence</x:v>
      </x:c>
      <x:c r="W5" s="6" t="str">
        <x:v>p. 1; Section I. Introduction; Section IV-A-1</x:v>
      </x:c>
      <x:c r="X5" s="6" t="str">
        <x:v>we focus on three different TLR tasks</x:v>
      </x:c>
      <x:c r="Y5" s="6" t="str">
        <x:v>See task-step evidence references in the RQ2 supplement.</x:v>
      </x:c>
      <x:c r="Z5" s="2" t="str">
        <x:v>Accepted</x:v>
      </x:c>
      <x:c r="AA5" s="6" t="str">
        <x:v>NR</x:v>
      </x:c>
    </x:row>
    <x:row r="6" ht="76" customHeight="1">
      <x:c r="A6" s="2" t="str">
        <x:v>S01-T01-P5</x:v>
      </x:c>
      <x:c r="B6" s="2" t="str">
        <x:v>S01</x:v>
      </x:c>
      <x:c r="C6" s="2" t="str">
        <x:v>merged_0002</x:v>
      </x:c>
      <x:c r="D6" s="2" t="str">
        <x:v>Final coding</x:v>
      </x:c>
      <x:c r="E6" s="2" t="str">
        <x:v>R1/R2</x:v>
      </x:c>
      <x:c r="F6" s="2" t="str">
        <x:v>S01-T01-PROC</x:v>
      </x:c>
      <x:c r="G6" s="2" t="str">
        <x:v>S01-T01</x:v>
      </x:c>
      <x:c r="H6" s="2" t="str">
        <x:v>5 Evolution and embedding</x:v>
      </x:c>
      <x:c r="I6" s="2" t="n">
        <x:v>5</x:v>
      </x:c>
      <x:c r="J6" s="2" t="str">
        <x:v>Common core</x:v>
      </x:c>
      <x:c r="K6" s="2" t="str">
        <x:v>Completed</x:v>
      </x:c>
      <x:c r="L6" s="2" t="str">
        <x:v>Not separately reported</x:v>
      </x:c>
      <x:c r="M6" s="2" t="str">
        <x:v>NR</x:v>
      </x:c>
      <x:c r="N6" s="2" t="str">
        <x:v>NR</x:v>
      </x:c>
      <x:c r="O6" s="2" t="str">
        <x:v>NR</x:v>
      </x:c>
      <x:c r="P6" s="6" t="str">
        <x:v>NR</x:v>
      </x:c>
      <x:c r="Q6" s="2" t="str">
        <x:v>NR</x:v>
      </x:c>
      <x:c r="R6" s="6" t="str">
        <x:v>NR</x:v>
      </x:c>
      <x:c r="S6" s="2" t="str">
        <x:v>NR</x:v>
      </x:c>
      <x:c r="T6" s="2" t="str">
        <x:v>NR</x:v>
      </x:c>
      <x:c r="U6" s="2" t="str">
        <x:v>NR</x:v>
      </x:c>
      <x:c r="V6" s="6" t="str">
        <x:v>Task-specific coded evidence</x:v>
      </x:c>
      <x:c r="W6" s="6" t="str">
        <x:v>p. 1; Section I. Introduction; Section IV-A-1</x:v>
      </x:c>
      <x:c r="X6" s="6" t="str">
        <x:v>we focus on three different TLR tasks</x:v>
      </x:c>
      <x:c r="Y6" s="6" t="str">
        <x:v>See task-step evidence references in the RQ2 supplement.</x:v>
      </x:c>
      <x:c r="Z6" s="2" t="str">
        <x:v>Accepted</x:v>
      </x:c>
      <x:c r="AA6" s="6" t="str">
        <x:v>NR</x:v>
      </x:c>
    </x:row>
    <x:row r="7" ht="76" customHeight="1">
      <x:c r="A7" s="2" t="str">
        <x:v>S01-T02-P1</x:v>
      </x:c>
      <x:c r="B7" s="2" t="str">
        <x:v>S01</x:v>
      </x:c>
      <x:c r="C7" s="2" t="str">
        <x:v>merged_0002</x:v>
      </x:c>
      <x:c r="D7" s="2" t="str">
        <x:v>Final coding</x:v>
      </x:c>
      <x:c r="E7" s="2" t="str">
        <x:v>R1/R2</x:v>
      </x:c>
      <x:c r="F7" s="2" t="str">
        <x:v>S01-T02-PROC</x:v>
      </x:c>
      <x:c r="G7" s="2" t="str">
        <x:v>S01-T02</x:v>
      </x:c>
      <x:c r="H7" s="2" t="str">
        <x:v>1 Artifact acquisition and scoping</x:v>
      </x:c>
      <x:c r="I7" s="2" t="n">
        <x:v>1</x:v>
      </x:c>
      <x:c r="J7" s="2" t="str">
        <x:v>Common core</x:v>
      </x:c>
      <x:c r="K7" s="2" t="str">
        <x:v>Completed</x:v>
      </x:c>
      <x:c r="L7" s="2" t="str">
        <x:v>Explicitly evidenced</x:v>
      </x:c>
      <x:c r="M7" s="2" t="str">
        <x:v>NR</x:v>
      </x:c>
      <x:c r="N7" s="2" t="str">
        <x:v>NR</x:v>
      </x:c>
      <x:c r="O7" s="2" t="str">
        <x:v>NR</x:v>
      </x:c>
      <x:c r="P7" s="6" t="str">
        <x:v>NR</x:v>
      </x:c>
      <x:c r="Q7" s="2" t="str">
        <x:v>1 Artifact acquisition and scoping</x:v>
      </x:c>
      <x:c r="R7" s="6" t="str">
        <x:v>NR</x:v>
      </x:c>
      <x:c r="S7" s="2" t="str">
        <x:v>NR</x:v>
      </x:c>
      <x:c r="T7" s="2" t="str">
        <x:v>NR</x:v>
      </x:c>
      <x:c r="U7" s="2" t="str">
        <x:v>NR</x:v>
      </x:c>
      <x:c r="V7" s="6" t="str">
        <x:v>Task-specific coded evidence</x:v>
      </x:c>
      <x:c r="W7" s="6" t="str">
        <x:v>p. 1; Section I. Introduction; Section IV-A-3</x:v>
      </x:c>
      <x:c r="X7" s="6" t="str">
        <x:v>tracing architecture documentation to code</x:v>
      </x:c>
      <x:c r="Y7" s="6" t="str">
        <x:v>See task-step evidence references in the RQ2 supplement.</x:v>
      </x:c>
      <x:c r="Z7" s="2" t="str">
        <x:v>Accepted</x:v>
      </x:c>
      <x:c r="AA7" s="6" t="str">
        <x:v>NR</x:v>
      </x:c>
    </x:row>
    <x:row r="8" ht="76" customHeight="1">
      <x:c r="A8" s="2" t="str">
        <x:v>S01-T02-P2</x:v>
      </x:c>
      <x:c r="B8" s="2" t="str">
        <x:v>S01</x:v>
      </x:c>
      <x:c r="C8" s="2" t="str">
        <x:v>merged_0002</x:v>
      </x:c>
      <x:c r="D8" s="2" t="str">
        <x:v>Final coding</x:v>
      </x:c>
      <x:c r="E8" s="2" t="str">
        <x:v>R1/R2</x:v>
      </x:c>
      <x:c r="F8" s="2" t="str">
        <x:v>S01-T02-PROC</x:v>
      </x:c>
      <x:c r="G8" s="2" t="str">
        <x:v>S01-T02</x:v>
      </x:c>
      <x:c r="H8" s="2" t="str">
        <x:v>2 Semantic contextualization</x:v>
      </x:c>
      <x:c r="I8" s="2" t="n">
        <x:v>2</x:v>
      </x:c>
      <x:c r="J8" s="2" t="str">
        <x:v>Common core</x:v>
      </x:c>
      <x:c r="K8" s="2" t="str">
        <x:v>Completed</x:v>
      </x:c>
      <x:c r="L8" s="2" t="str">
        <x:v>Explicitly evidenced</x:v>
      </x:c>
      <x:c r="M8" s="2" t="str">
        <x:v>NR</x:v>
      </x:c>
      <x:c r="N8" s="2" t="str">
        <x:v>NR</x:v>
      </x:c>
      <x:c r="O8" s="2" t="str">
        <x:v>NR</x:v>
      </x:c>
      <x:c r="P8" s="6" t="str">
        <x:v>NR</x:v>
      </x:c>
      <x:c r="Q8" s="2" t="str">
        <x:v>2 Semantic contextualization</x:v>
      </x:c>
      <x:c r="R8" s="6" t="str">
        <x:v>NR</x:v>
      </x:c>
      <x:c r="S8" s="2" t="str">
        <x:v>NR</x:v>
      </x:c>
      <x:c r="T8" s="2" t="str">
        <x:v>NR</x:v>
      </x:c>
      <x:c r="U8" s="2" t="str">
        <x:v>NR</x:v>
      </x:c>
      <x:c r="V8" s="6" t="str">
        <x:v>Task-specific coded evidence</x:v>
      </x:c>
      <x:c r="W8" s="6" t="str">
        <x:v>p. 1; Section I. Introduction; Section IV-A-3</x:v>
      </x:c>
      <x:c r="X8" s="6" t="str">
        <x:v>tracing architecture documentation to code</x:v>
      </x:c>
      <x:c r="Y8" s="6" t="str">
        <x:v>See task-step evidence references in the RQ2 supplement.</x:v>
      </x:c>
      <x:c r="Z8" s="2" t="str">
        <x:v>Accepted</x:v>
      </x:c>
      <x:c r="AA8" s="6" t="str">
        <x:v>NR</x:v>
      </x:c>
    </x:row>
    <x:row r="9" ht="76" customHeight="1">
      <x:c r="A9" s="2" t="str">
        <x:v>S01-T02-P3</x:v>
      </x:c>
      <x:c r="B9" s="2" t="str">
        <x:v>S01</x:v>
      </x:c>
      <x:c r="C9" s="2" t="str">
        <x:v>merged_0002</x:v>
      </x:c>
      <x:c r="D9" s="2" t="str">
        <x:v>Final coding</x:v>
      </x:c>
      <x:c r="E9" s="2" t="str">
        <x:v>R1/R2</x:v>
      </x:c>
      <x:c r="F9" s="2" t="str">
        <x:v>S01-T02-PROC</x:v>
      </x:c>
      <x:c r="G9" s="2" t="str">
        <x:v>S01-T02</x:v>
      </x:c>
      <x:c r="H9" s="2" t="str">
        <x:v>3 Traceability inference</x:v>
      </x:c>
      <x:c r="I9" s="2" t="n">
        <x:v>3</x:v>
      </x:c>
      <x:c r="J9" s="2" t="str">
        <x:v>Common core</x:v>
      </x:c>
      <x:c r="K9" s="2" t="str">
        <x:v>Completed</x:v>
      </x:c>
      <x:c r="L9" s="2" t="str">
        <x:v>Explicitly evidenced</x:v>
      </x:c>
      <x:c r="M9" s="2" t="str">
        <x:v>NR</x:v>
      </x:c>
      <x:c r="N9" s="2" t="str">
        <x:v>NR</x:v>
      </x:c>
      <x:c r="O9" s="2" t="str">
        <x:v>NR</x:v>
      </x:c>
      <x:c r="P9" s="6" t="str">
        <x:v>NR</x:v>
      </x:c>
      <x:c r="Q9" s="2" t="str">
        <x:v>3 Traceability inference</x:v>
      </x:c>
      <x:c r="R9" s="6" t="str">
        <x:v>文档句子与代码文件之间的跟踪链接</x:v>
      </x:c>
      <x:c r="S9" s="2" t="str">
        <x:v>NR</x:v>
      </x:c>
      <x:c r="T9" s="2" t="str">
        <x:v>NR</x:v>
      </x:c>
      <x:c r="U9" s="2" t="str">
        <x:v>NR</x:v>
      </x:c>
      <x:c r="V9" s="6" t="str">
        <x:v>Task-specific coded evidence</x:v>
      </x:c>
      <x:c r="W9" s="6" t="str">
        <x:v>p. 1; Section I. Introduction; Section IV-A-3</x:v>
      </x:c>
      <x:c r="X9" s="6" t="str">
        <x:v>tracing architecture documentation to code</x:v>
      </x:c>
      <x:c r="Y9" s="6" t="str">
        <x:v>See task-step evidence references in the RQ2 supplement.</x:v>
      </x:c>
      <x:c r="Z9" s="2" t="str">
        <x:v>Accepted</x:v>
      </x:c>
      <x:c r="AA9" s="6" t="str">
        <x:v>NR</x:v>
      </x:c>
    </x:row>
    <x:row r="10" ht="76" customHeight="1">
      <x:c r="A10" s="2" t="str">
        <x:v>S01-T02-P4</x:v>
      </x:c>
      <x:c r="B10" s="2" t="str">
        <x:v>S01</x:v>
      </x:c>
      <x:c r="C10" s="2" t="str">
        <x:v>merged_0002</x:v>
      </x:c>
      <x:c r="D10" s="2" t="str">
        <x:v>Final coding</x:v>
      </x:c>
      <x:c r="E10" s="2" t="str">
        <x:v>R1/R2</x:v>
      </x:c>
      <x:c r="F10" s="2" t="str">
        <x:v>S01-T02-PROC</x:v>
      </x:c>
      <x:c r="G10" s="2" t="str">
        <x:v>S01-T02</x:v>
      </x:c>
      <x:c r="H10" s="2" t="str">
        <x:v>4 Validation and explanation</x:v>
      </x:c>
      <x:c r="I10" s="2" t="n">
        <x:v>4</x:v>
      </x:c>
      <x:c r="J10" s="2" t="str">
        <x:v>Common core</x:v>
      </x:c>
      <x:c r="K10" s="2" t="str">
        <x:v>Completed</x:v>
      </x:c>
      <x:c r="L10" s="2" t="str">
        <x:v>Not separately reported</x:v>
      </x:c>
      <x:c r="M10" s="2" t="str">
        <x:v>NR</x:v>
      </x:c>
      <x:c r="N10" s="2" t="str">
        <x:v>NR</x:v>
      </x:c>
      <x:c r="O10" s="2" t="str">
        <x:v>NR</x:v>
      </x:c>
      <x:c r="P10" s="6" t="str">
        <x:v>NR</x:v>
      </x:c>
      <x:c r="Q10" s="2" t="str">
        <x:v>NR</x:v>
      </x:c>
      <x:c r="R10" s="6" t="str">
        <x:v>NR</x:v>
      </x:c>
      <x:c r="S10" s="2" t="str">
        <x:v>NR</x:v>
      </x:c>
      <x:c r="T10" s="2" t="str">
        <x:v>NR</x:v>
      </x:c>
      <x:c r="U10" s="2" t="str">
        <x:v>NR</x:v>
      </x:c>
      <x:c r="V10" s="6" t="str">
        <x:v>Task-specific coded evidence</x:v>
      </x:c>
      <x:c r="W10" s="6" t="str">
        <x:v>p. 1; Section I. Introduction; Section IV-A-3</x:v>
      </x:c>
      <x:c r="X10" s="6" t="str">
        <x:v>tracing architecture documentation to code</x:v>
      </x:c>
      <x:c r="Y10" s="6" t="str">
        <x:v>See task-step evidence references in the RQ2 supplement.</x:v>
      </x:c>
      <x:c r="Z10" s="2" t="str">
        <x:v>Accepted</x:v>
      </x:c>
      <x:c r="AA10" s="6" t="str">
        <x:v>NR</x:v>
      </x:c>
    </x:row>
    <x:row r="11" ht="76" customHeight="1">
      <x:c r="A11" s="2" t="str">
        <x:v>S01-T02-P5</x:v>
      </x:c>
      <x:c r="B11" s="2" t="str">
        <x:v>S01</x:v>
      </x:c>
      <x:c r="C11" s="2" t="str">
        <x:v>merged_0002</x:v>
      </x:c>
      <x:c r="D11" s="2" t="str">
        <x:v>Final coding</x:v>
      </x:c>
      <x:c r="E11" s="2" t="str">
        <x:v>R1/R2</x:v>
      </x:c>
      <x:c r="F11" s="2" t="str">
        <x:v>S01-T02-PROC</x:v>
      </x:c>
      <x:c r="G11" s="2" t="str">
        <x:v>S01-T02</x:v>
      </x:c>
      <x:c r="H11" s="2" t="str">
        <x:v>5 Evolution and embedding</x:v>
      </x:c>
      <x:c r="I11" s="2" t="n">
        <x:v>5</x:v>
      </x:c>
      <x:c r="J11" s="2" t="str">
        <x:v>Common core</x:v>
      </x:c>
      <x:c r="K11" s="2" t="str">
        <x:v>Completed</x:v>
      </x:c>
      <x:c r="L11" s="2" t="str">
        <x:v>Not separately reported</x:v>
      </x:c>
      <x:c r="M11" s="2" t="str">
        <x:v>NR</x:v>
      </x:c>
      <x:c r="N11" s="2" t="str">
        <x:v>NR</x:v>
      </x:c>
      <x:c r="O11" s="2" t="str">
        <x:v>NR</x:v>
      </x:c>
      <x:c r="P11" s="6" t="str">
        <x:v>NR</x:v>
      </x:c>
      <x:c r="Q11" s="2" t="str">
        <x:v>NR</x:v>
      </x:c>
      <x:c r="R11" s="6" t="str">
        <x:v>NR</x:v>
      </x:c>
      <x:c r="S11" s="2" t="str">
        <x:v>NR</x:v>
      </x:c>
      <x:c r="T11" s="2" t="str">
        <x:v>NR</x:v>
      </x:c>
      <x:c r="U11" s="2" t="str">
        <x:v>NR</x:v>
      </x:c>
      <x:c r="V11" s="6" t="str">
        <x:v>Task-specific coded evidence</x:v>
      </x:c>
      <x:c r="W11" s="6" t="str">
        <x:v>p. 1; Section I. Introduction; Section IV-A-3</x:v>
      </x:c>
      <x:c r="X11" s="6" t="str">
        <x:v>tracing architecture documentation to code</x:v>
      </x:c>
      <x:c r="Y11" s="6" t="str">
        <x:v>See task-step evidence references in the RQ2 supplement.</x:v>
      </x:c>
      <x:c r="Z11" s="2" t="str">
        <x:v>Accepted</x:v>
      </x:c>
      <x:c r="AA11" s="6" t="str">
        <x:v>NR</x:v>
      </x:c>
    </x:row>
    <x:row r="12" ht="76" customHeight="1">
      <x:c r="A12" s="2" t="str">
        <x:v>S01-T03-P1</x:v>
      </x:c>
      <x:c r="B12" s="2" t="str">
        <x:v>S01</x:v>
      </x:c>
      <x:c r="C12" s="2" t="str">
        <x:v>merged_0002</x:v>
      </x:c>
      <x:c r="D12" s="2" t="str">
        <x:v>Final coding</x:v>
      </x:c>
      <x:c r="E12" s="2" t="str">
        <x:v>R1/R2</x:v>
      </x:c>
      <x:c r="F12" s="2" t="str">
        <x:v>S01-T03-PROC</x:v>
      </x:c>
      <x:c r="G12" s="2" t="str">
        <x:v>S01-T03</x:v>
      </x:c>
      <x:c r="H12" s="2" t="str">
        <x:v>1 Artifact acquisition and scoping</x:v>
      </x:c>
      <x:c r="I12" s="2" t="n">
        <x:v>1</x:v>
      </x:c>
      <x:c r="J12" s="2" t="str">
        <x:v>Common core</x:v>
      </x:c>
      <x:c r="K12" s="2" t="str">
        <x:v>Completed</x:v>
      </x:c>
      <x:c r="L12" s="2" t="str">
        <x:v>Explicitly evidenced</x:v>
      </x:c>
      <x:c r="M12" s="2" t="str">
        <x:v>NR</x:v>
      </x:c>
      <x:c r="N12" s="2" t="str">
        <x:v>NR</x:v>
      </x:c>
      <x:c r="O12" s="2" t="str">
        <x:v>NR</x:v>
      </x:c>
      <x:c r="P12" s="6" t="str">
        <x:v>NR</x:v>
      </x:c>
      <x:c r="Q12" s="2" t="str">
        <x:v>1 Artifact acquisition and scoping</x:v>
      </x:c>
      <x:c r="R12" s="6" t="str">
        <x:v>NR</x:v>
      </x:c>
      <x:c r="S12" s="2" t="str">
        <x:v>NR</x:v>
      </x:c>
      <x:c r="T12" s="2" t="str">
        <x:v>NR</x:v>
      </x:c>
      <x:c r="U12" s="2" t="str">
        <x:v>NR</x:v>
      </x:c>
      <x:c r="V12" s="6" t="str">
        <x:v>Task-specific coded evidence</x:v>
      </x:c>
      <x:c r="W12" s="6" t="str">
        <x:v>p. 1; Section I. Introduction; Section IV-A-2</x:v>
      </x:c>
      <x:c r="X12" s="6" t="str">
        <x:v>tracing architecture documentation to architecture models</x:v>
      </x:c>
      <x:c r="Y12" s="6" t="str">
        <x:v>See task-step evidence references in the RQ2 supplement.</x:v>
      </x:c>
      <x:c r="Z12" s="2" t="str">
        <x:v>Accepted</x:v>
      </x:c>
      <x:c r="AA12" s="6" t="str">
        <x:v>NR</x:v>
      </x:c>
    </x:row>
    <x:row r="13" ht="76" customHeight="1">
      <x:c r="A13" s="2" t="str">
        <x:v>S01-T03-P2</x:v>
      </x:c>
      <x:c r="B13" s="2" t="str">
        <x:v>S01</x:v>
      </x:c>
      <x:c r="C13" s="2" t="str">
        <x:v>merged_0002</x:v>
      </x:c>
      <x:c r="D13" s="2" t="str">
        <x:v>Final coding</x:v>
      </x:c>
      <x:c r="E13" s="2" t="str">
        <x:v>R1/R2</x:v>
      </x:c>
      <x:c r="F13" s="2" t="str">
        <x:v>S01-T03-PROC</x:v>
      </x:c>
      <x:c r="G13" s="2" t="str">
        <x:v>S01-T03</x:v>
      </x:c>
      <x:c r="H13" s="2" t="str">
        <x:v>2 Semantic contextualization</x:v>
      </x:c>
      <x:c r="I13" s="2" t="n">
        <x:v>2</x:v>
      </x:c>
      <x:c r="J13" s="2" t="str">
        <x:v>Common core</x:v>
      </x:c>
      <x:c r="K13" s="2" t="str">
        <x:v>Completed</x:v>
      </x:c>
      <x:c r="L13" s="2" t="str">
        <x:v>Explicitly evidenced</x:v>
      </x:c>
      <x:c r="M13" s="2" t="str">
        <x:v>NR</x:v>
      </x:c>
      <x:c r="N13" s="2" t="str">
        <x:v>NR</x:v>
      </x:c>
      <x:c r="O13" s="2" t="str">
        <x:v>NR</x:v>
      </x:c>
      <x:c r="P13" s="6" t="str">
        <x:v>NR</x:v>
      </x:c>
      <x:c r="Q13" s="2" t="str">
        <x:v>2 Semantic contextualization</x:v>
      </x:c>
      <x:c r="R13" s="6" t="str">
        <x:v>NR</x:v>
      </x:c>
      <x:c r="S13" s="2" t="str">
        <x:v>NR</x:v>
      </x:c>
      <x:c r="T13" s="2" t="str">
        <x:v>NR</x:v>
      </x:c>
      <x:c r="U13" s="2" t="str">
        <x:v>NR</x:v>
      </x:c>
      <x:c r="V13" s="6" t="str">
        <x:v>Task-specific coded evidence</x:v>
      </x:c>
      <x:c r="W13" s="6" t="str">
        <x:v>p. 1; Section I. Introduction; Section IV-A-2</x:v>
      </x:c>
      <x:c r="X13" s="6" t="str">
        <x:v>tracing architecture documentation to architecture models</x:v>
      </x:c>
      <x:c r="Y13" s="6" t="str">
        <x:v>See task-step evidence references in the RQ2 supplement.</x:v>
      </x:c>
      <x:c r="Z13" s="2" t="str">
        <x:v>Accepted</x:v>
      </x:c>
      <x:c r="AA13" s="6" t="str">
        <x:v>NR</x:v>
      </x:c>
    </x:row>
    <x:row r="14" ht="76" customHeight="1">
      <x:c r="A14" s="2" t="str">
        <x:v>S01-T03-P3</x:v>
      </x:c>
      <x:c r="B14" s="2" t="str">
        <x:v>S01</x:v>
      </x:c>
      <x:c r="C14" s="2" t="str">
        <x:v>merged_0002</x:v>
      </x:c>
      <x:c r="D14" s="2" t="str">
        <x:v>Final coding</x:v>
      </x:c>
      <x:c r="E14" s="2" t="str">
        <x:v>R1/R2</x:v>
      </x:c>
      <x:c r="F14" s="2" t="str">
        <x:v>S01-T03-PROC</x:v>
      </x:c>
      <x:c r="G14" s="2" t="str">
        <x:v>S01-T03</x:v>
      </x:c>
      <x:c r="H14" s="2" t="str">
        <x:v>3 Traceability inference</x:v>
      </x:c>
      <x:c r="I14" s="2" t="n">
        <x:v>3</x:v>
      </x:c>
      <x:c r="J14" s="2" t="str">
        <x:v>Common core</x:v>
      </x:c>
      <x:c r="K14" s="2" t="str">
        <x:v>Completed</x:v>
      </x:c>
      <x:c r="L14" s="2" t="str">
        <x:v>Explicitly evidenced</x:v>
      </x:c>
      <x:c r="M14" s="2" t="str">
        <x:v>NR</x:v>
      </x:c>
      <x:c r="N14" s="2" t="str">
        <x:v>NR</x:v>
      </x:c>
      <x:c r="O14" s="2" t="str">
        <x:v>NR</x:v>
      </x:c>
      <x:c r="P14" s="6" t="str">
        <x:v>NR</x:v>
      </x:c>
      <x:c r="Q14" s="2" t="str">
        <x:v>3 Traceability inference</x:v>
      </x:c>
      <x:c r="R14" s="6" t="str">
        <x:v>文档句子与模型元素（组件）之间的跟踪链接</x:v>
      </x:c>
      <x:c r="S14" s="2" t="str">
        <x:v>NR</x:v>
      </x:c>
      <x:c r="T14" s="2" t="str">
        <x:v>NR</x:v>
      </x:c>
      <x:c r="U14" s="2" t="str">
        <x:v>NR</x:v>
      </x:c>
      <x:c r="V14" s="6" t="str">
        <x:v>Task-specific coded evidence</x:v>
      </x:c>
      <x:c r="W14" s="6" t="str">
        <x:v>p. 1; Section I. Introduction; Section IV-A-2</x:v>
      </x:c>
      <x:c r="X14" s="6" t="str">
        <x:v>tracing architecture documentation to architecture models</x:v>
      </x:c>
      <x:c r="Y14" s="6" t="str">
        <x:v>See task-step evidence references in the RQ2 supplement.</x:v>
      </x:c>
      <x:c r="Z14" s="2" t="str">
        <x:v>Accepted</x:v>
      </x:c>
      <x:c r="AA14" s="6" t="str">
        <x:v>NR</x:v>
      </x:c>
    </x:row>
    <x:row r="15" ht="76" customHeight="1">
      <x:c r="A15" s="2" t="str">
        <x:v>S01-T03-P4</x:v>
      </x:c>
      <x:c r="B15" s="2" t="str">
        <x:v>S01</x:v>
      </x:c>
      <x:c r="C15" s="2" t="str">
        <x:v>merged_0002</x:v>
      </x:c>
      <x:c r="D15" s="2" t="str">
        <x:v>Final coding</x:v>
      </x:c>
      <x:c r="E15" s="2" t="str">
        <x:v>R1/R2</x:v>
      </x:c>
      <x:c r="F15" s="2" t="str">
        <x:v>S01-T03-PROC</x:v>
      </x:c>
      <x:c r="G15" s="2" t="str">
        <x:v>S01-T03</x:v>
      </x:c>
      <x:c r="H15" s="2" t="str">
        <x:v>4 Validation and explanation</x:v>
      </x:c>
      <x:c r="I15" s="2" t="n">
        <x:v>4</x:v>
      </x:c>
      <x:c r="J15" s="2" t="str">
        <x:v>Common core</x:v>
      </x:c>
      <x:c r="K15" s="2" t="str">
        <x:v>Completed</x:v>
      </x:c>
      <x:c r="L15" s="2" t="str">
        <x:v>Not separately reported</x:v>
      </x:c>
      <x:c r="M15" s="2" t="str">
        <x:v>NR</x:v>
      </x:c>
      <x:c r="N15" s="2" t="str">
        <x:v>NR</x:v>
      </x:c>
      <x:c r="O15" s="2" t="str">
        <x:v>NR</x:v>
      </x:c>
      <x:c r="P15" s="6" t="str">
        <x:v>NR</x:v>
      </x:c>
      <x:c r="Q15" s="2" t="str">
        <x:v>NR</x:v>
      </x:c>
      <x:c r="R15" s="6" t="str">
        <x:v>NR</x:v>
      </x:c>
      <x:c r="S15" s="2" t="str">
        <x:v>NR</x:v>
      </x:c>
      <x:c r="T15" s="2" t="str">
        <x:v>NR</x:v>
      </x:c>
      <x:c r="U15" s="2" t="str">
        <x:v>NR</x:v>
      </x:c>
      <x:c r="V15" s="6" t="str">
        <x:v>Task-specific coded evidence</x:v>
      </x:c>
      <x:c r="W15" s="6" t="str">
        <x:v>p. 1; Section I. Introduction; Section IV-A-2</x:v>
      </x:c>
      <x:c r="X15" s="6" t="str">
        <x:v>tracing architecture documentation to architecture models</x:v>
      </x:c>
      <x:c r="Y15" s="6" t="str">
        <x:v>See task-step evidence references in the RQ2 supplement.</x:v>
      </x:c>
      <x:c r="Z15" s="2" t="str">
        <x:v>Accepted</x:v>
      </x:c>
      <x:c r="AA15" s="6" t="str">
        <x:v>NR</x:v>
      </x:c>
    </x:row>
    <x:row r="16" ht="76" customHeight="1">
      <x:c r="A16" s="2" t="str">
        <x:v>S01-T03-P5</x:v>
      </x:c>
      <x:c r="B16" s="2" t="str">
        <x:v>S01</x:v>
      </x:c>
      <x:c r="C16" s="2" t="str">
        <x:v>merged_0002</x:v>
      </x:c>
      <x:c r="D16" s="2" t="str">
        <x:v>Final coding</x:v>
      </x:c>
      <x:c r="E16" s="2" t="str">
        <x:v>R1/R2</x:v>
      </x:c>
      <x:c r="F16" s="2" t="str">
        <x:v>S01-T03-PROC</x:v>
      </x:c>
      <x:c r="G16" s="2" t="str">
        <x:v>S01-T03</x:v>
      </x:c>
      <x:c r="H16" s="2" t="str">
        <x:v>5 Evolution and embedding</x:v>
      </x:c>
      <x:c r="I16" s="2" t="n">
        <x:v>5</x:v>
      </x:c>
      <x:c r="J16" s="2" t="str">
        <x:v>Common core</x:v>
      </x:c>
      <x:c r="K16" s="2" t="str">
        <x:v>Completed</x:v>
      </x:c>
      <x:c r="L16" s="2" t="str">
        <x:v>Not separately reported</x:v>
      </x:c>
      <x:c r="M16" s="2" t="str">
        <x:v>NR</x:v>
      </x:c>
      <x:c r="N16" s="2" t="str">
        <x:v>NR</x:v>
      </x:c>
      <x:c r="O16" s="2" t="str">
        <x:v>NR</x:v>
      </x:c>
      <x:c r="P16" s="6" t="str">
        <x:v>NR</x:v>
      </x:c>
      <x:c r="Q16" s="2" t="str">
        <x:v>NR</x:v>
      </x:c>
      <x:c r="R16" s="6" t="str">
        <x:v>NR</x:v>
      </x:c>
      <x:c r="S16" s="2" t="str">
        <x:v>NR</x:v>
      </x:c>
      <x:c r="T16" s="2" t="str">
        <x:v>NR</x:v>
      </x:c>
      <x:c r="U16" s="2" t="str">
        <x:v>NR</x:v>
      </x:c>
      <x:c r="V16" s="6" t="str">
        <x:v>Task-specific coded evidence</x:v>
      </x:c>
      <x:c r="W16" s="6" t="str">
        <x:v>p. 1; Section I. Introduction; Section IV-A-2</x:v>
      </x:c>
      <x:c r="X16" s="6" t="str">
        <x:v>tracing architecture documentation to architecture models</x:v>
      </x:c>
      <x:c r="Y16" s="6" t="str">
        <x:v>See task-step evidence references in the RQ2 supplement.</x:v>
      </x:c>
      <x:c r="Z16" s="2" t="str">
        <x:v>Accepted</x:v>
      </x:c>
      <x:c r="AA16" s="6" t="str">
        <x:v>NR</x:v>
      </x:c>
    </x:row>
    <x:row r="17" ht="76" customHeight="1">
      <x:c r="A17" s="2" t="str">
        <x:v>S02-T01-P1</x:v>
      </x:c>
      <x:c r="B17" s="2" t="str">
        <x:v>S02</x:v>
      </x:c>
      <x:c r="C17" s="2" t="str">
        <x:v>merged_0007</x:v>
      </x:c>
      <x:c r="D17" s="2" t="str">
        <x:v>Final coding</x:v>
      </x:c>
      <x:c r="E17" s="2" t="str">
        <x:v>R1/R2</x:v>
      </x:c>
      <x:c r="F17" s="2" t="str">
        <x:v>S02-T01-PROC</x:v>
      </x:c>
      <x:c r="G17" s="2" t="str">
        <x:v>S02-T01</x:v>
      </x:c>
      <x:c r="H17" s="2" t="str">
        <x:v>1 Artifact acquisition and scoping</x:v>
      </x:c>
      <x:c r="I17" s="2" t="n">
        <x:v>1</x:v>
      </x:c>
      <x:c r="J17" s="2" t="str">
        <x:v>Common core</x:v>
      </x:c>
      <x:c r="K17" s="2" t="str">
        <x:v>Completed</x:v>
      </x:c>
      <x:c r="L17" s="2" t="str">
        <x:v>Explicitly evidenced</x:v>
      </x:c>
      <x:c r="M17" s="2" t="str">
        <x:v>NR</x:v>
      </x:c>
      <x:c r="N17" s="2" t="str">
        <x:v>NR</x:v>
      </x:c>
      <x:c r="O17" s="2" t="str">
        <x:v>NR</x:v>
      </x:c>
      <x:c r="P17" s="6" t="str">
        <x:v>NR</x:v>
      </x:c>
      <x:c r="Q17" s="2" t="str">
        <x:v>1 Artifact acquisition and scoping</x:v>
      </x:c>
      <x:c r="R17" s="6" t="str">
        <x:v>NR</x:v>
      </x:c>
      <x:c r="S17" s="2" t="str">
        <x:v>NR</x:v>
      </x:c>
      <x:c r="T17" s="2" t="str">
        <x:v>NR</x:v>
      </x:c>
      <x:c r="U17" s="2" t="str">
        <x:v>NR</x:v>
      </x:c>
      <x:c r="V17" s="6" t="str">
        <x:v>Task-specific coded evidence</x:v>
      </x:c>
      <x:c r="W17" s="6" t="str">
        <x:v>p. 5; Section 3</x:v>
      </x:c>
      <x:c r="X17" s="6" t="str">
        <x:v>ExArch consists of two main parts: generating the component names for a SAM and recovering trace links.</x:v>
      </x:c>
      <x:c r="Y17" s="6" t="str">
        <x:v>See task-step evidence references in the RQ2 supplement.</x:v>
      </x:c>
      <x:c r="Z17" s="2" t="str">
        <x:v>Accepted</x:v>
      </x:c>
      <x:c r="AA17" s="6" t="str">
        <x:v>NR</x:v>
      </x:c>
    </x:row>
    <x:row r="18" ht="76" customHeight="1">
      <x:c r="A18" s="2" t="str">
        <x:v>S02-T01-P2</x:v>
      </x:c>
      <x:c r="B18" s="2" t="str">
        <x:v>S02</x:v>
      </x:c>
      <x:c r="C18" s="2" t="str">
        <x:v>merged_0007</x:v>
      </x:c>
      <x:c r="D18" s="2" t="str">
        <x:v>Final coding</x:v>
      </x:c>
      <x:c r="E18" s="2" t="str">
        <x:v>R1/R2</x:v>
      </x:c>
      <x:c r="F18" s="2" t="str">
        <x:v>S02-T01-PROC</x:v>
      </x:c>
      <x:c r="G18" s="2" t="str">
        <x:v>S02-T01</x:v>
      </x:c>
      <x:c r="H18" s="2" t="str">
        <x:v>2 Semantic contextualization</x:v>
      </x:c>
      <x:c r="I18" s="2" t="n">
        <x:v>2</x:v>
      </x:c>
      <x:c r="J18" s="2" t="str">
        <x:v>Common core</x:v>
      </x:c>
      <x:c r="K18" s="2" t="str">
        <x:v>Completed</x:v>
      </x:c>
      <x:c r="L18" s="2" t="str">
        <x:v>Explicitly evidenced</x:v>
      </x:c>
      <x:c r="M18" s="2" t="str">
        <x:v>NR</x:v>
      </x:c>
      <x:c r="N18" s="2" t="str">
        <x:v>NR</x:v>
      </x:c>
      <x:c r="O18" s="2" t="str">
        <x:v>NR</x:v>
      </x:c>
      <x:c r="P18" s="6" t="str">
        <x:v>NR</x:v>
      </x:c>
      <x:c r="Q18" s="2" t="str">
        <x:v>2 Semantic contextualization</x:v>
      </x:c>
      <x:c r="R18" s="6" t="str">
        <x:v>NR</x:v>
      </x:c>
      <x:c r="S18" s="2" t="str">
        <x:v>NR</x:v>
      </x:c>
      <x:c r="T18" s="2" t="str">
        <x:v>NR</x:v>
      </x:c>
      <x:c r="U18" s="2" t="str">
        <x:v>NR</x:v>
      </x:c>
      <x:c r="V18" s="6" t="str">
        <x:v>Task-specific coded evidence</x:v>
      </x:c>
      <x:c r="W18" s="6" t="str">
        <x:v>p. 5; Section 3</x:v>
      </x:c>
      <x:c r="X18" s="6" t="str">
        <x:v>ExArch consists of two main parts: generating the component names for a SAM and recovering trace links.</x:v>
      </x:c>
      <x:c r="Y18" s="6" t="str">
        <x:v>See task-step evidence references in the RQ2 supplement.</x:v>
      </x:c>
      <x:c r="Z18" s="2" t="str">
        <x:v>Accepted</x:v>
      </x:c>
      <x:c r="AA18" s="6" t="str">
        <x:v>NR</x:v>
      </x:c>
    </x:row>
    <x:row r="19" ht="76" customHeight="1">
      <x:c r="A19" s="2" t="str">
        <x:v>S02-T01-P3</x:v>
      </x:c>
      <x:c r="B19" s="2" t="str">
        <x:v>S02</x:v>
      </x:c>
      <x:c r="C19" s="2" t="str">
        <x:v>merged_0007</x:v>
      </x:c>
      <x:c r="D19" s="2" t="str">
        <x:v>Final coding</x:v>
      </x:c>
      <x:c r="E19" s="2" t="str">
        <x:v>R1/R2</x:v>
      </x:c>
      <x:c r="F19" s="2" t="str">
        <x:v>S02-T01-PROC</x:v>
      </x:c>
      <x:c r="G19" s="2" t="str">
        <x:v>S02-T01</x:v>
      </x:c>
      <x:c r="H19" s="2" t="str">
        <x:v>3 Traceability inference</x:v>
      </x:c>
      <x:c r="I19" s="2" t="n">
        <x:v>3</x:v>
      </x:c>
      <x:c r="J19" s="2" t="str">
        <x:v>Common core</x:v>
      </x:c>
      <x:c r="K19" s="2" t="str">
        <x:v>Completed</x:v>
      </x:c>
      <x:c r="L19" s="2" t="str">
        <x:v>Explicitly evidenced</x:v>
      </x:c>
      <x:c r="M19" s="2" t="str">
        <x:v>NR</x:v>
      </x:c>
      <x:c r="N19" s="2" t="str">
        <x:v>NR</x:v>
      </x:c>
      <x:c r="O19" s="2" t="str">
        <x:v>NR</x:v>
      </x:c>
      <x:c r="P19" s="6" t="str">
        <x:v>NR</x:v>
      </x:c>
      <x:c r="Q19" s="2" t="str">
        <x:v>3 Traceability inference</x:v>
      </x:c>
      <x:c r="R19" s="6" t="str">
        <x:v>可验证的SAD与源代码之间的追踪链接集合。</x:v>
      </x:c>
      <x:c r="S19" s="2" t="str">
        <x:v>NR</x:v>
      </x:c>
      <x:c r="T19" s="2" t="str">
        <x:v>NR</x:v>
      </x:c>
      <x:c r="U19" s="2" t="str">
        <x:v>NR</x:v>
      </x:c>
      <x:c r="V19" s="6" t="str">
        <x:v>Task-specific coded evidence</x:v>
      </x:c>
      <x:c r="W19" s="6" t="str">
        <x:v>p. 5; Section 3</x:v>
      </x:c>
      <x:c r="X19" s="6" t="str">
        <x:v>ExArch consists of two main parts: generating the component names for a SAM and recovering trace links.</x:v>
      </x:c>
      <x:c r="Y19" s="6" t="str">
        <x:v>See task-step evidence references in the RQ2 supplement.</x:v>
      </x:c>
      <x:c r="Z19" s="2" t="str">
        <x:v>Accepted</x:v>
      </x:c>
      <x:c r="AA19" s="6" t="str">
        <x:v>NR</x:v>
      </x:c>
    </x:row>
    <x:row r="20" ht="76" customHeight="1">
      <x:c r="A20" s="2" t="str">
        <x:v>S02-T01-P4</x:v>
      </x:c>
      <x:c r="B20" s="2" t="str">
        <x:v>S02</x:v>
      </x:c>
      <x:c r="C20" s="2" t="str">
        <x:v>merged_0007</x:v>
      </x:c>
      <x:c r="D20" s="2" t="str">
        <x:v>Final coding</x:v>
      </x:c>
      <x:c r="E20" s="2" t="str">
        <x:v>R1/R2</x:v>
      </x:c>
      <x:c r="F20" s="2" t="str">
        <x:v>S02-T01-PROC</x:v>
      </x:c>
      <x:c r="G20" s="2" t="str">
        <x:v>S02-T01</x:v>
      </x:c>
      <x:c r="H20" s="2" t="str">
        <x:v>4 Validation and explanation</x:v>
      </x:c>
      <x:c r="I20" s="2" t="n">
        <x:v>4</x:v>
      </x:c>
      <x:c r="J20" s="2" t="str">
        <x:v>Common core</x:v>
      </x:c>
      <x:c r="K20" s="2" t="str">
        <x:v>Completed</x:v>
      </x:c>
      <x:c r="L20" s="2" t="str">
        <x:v>Not separately reported</x:v>
      </x:c>
      <x:c r="M20" s="2" t="str">
        <x:v>NR</x:v>
      </x:c>
      <x:c r="N20" s="2" t="str">
        <x:v>NR</x:v>
      </x:c>
      <x:c r="O20" s="2" t="str">
        <x:v>NR</x:v>
      </x:c>
      <x:c r="P20" s="6" t="str">
        <x:v>NR</x:v>
      </x:c>
      <x:c r="Q20" s="2" t="str">
        <x:v>NR</x:v>
      </x:c>
      <x:c r="R20" s="6" t="str">
        <x:v>NR</x:v>
      </x:c>
      <x:c r="S20" s="2" t="str">
        <x:v>NR</x:v>
      </x:c>
      <x:c r="T20" s="2" t="str">
        <x:v>NR</x:v>
      </x:c>
      <x:c r="U20" s="2" t="str">
        <x:v>NR</x:v>
      </x:c>
      <x:c r="V20" s="6" t="str">
        <x:v>Task-specific coded evidence</x:v>
      </x:c>
      <x:c r="W20" s="6" t="str">
        <x:v>p. 5; Section 3</x:v>
      </x:c>
      <x:c r="X20" s="6" t="str">
        <x:v>ExArch consists of two main parts: generating the component names for a SAM and recovering trace links.</x:v>
      </x:c>
      <x:c r="Y20" s="6" t="str">
        <x:v>See task-step evidence references in the RQ2 supplement.</x:v>
      </x:c>
      <x:c r="Z20" s="2" t="str">
        <x:v>Accepted</x:v>
      </x:c>
      <x:c r="AA20" s="6" t="str">
        <x:v>NR</x:v>
      </x:c>
    </x:row>
    <x:row r="21" ht="76" customHeight="1">
      <x:c r="A21" s="2" t="str">
        <x:v>S02-T01-P5</x:v>
      </x:c>
      <x:c r="B21" s="2" t="str">
        <x:v>S02</x:v>
      </x:c>
      <x:c r="C21" s="2" t="str">
        <x:v>merged_0007</x:v>
      </x:c>
      <x:c r="D21" s="2" t="str">
        <x:v>Final coding</x:v>
      </x:c>
      <x:c r="E21" s="2" t="str">
        <x:v>R1/R2</x:v>
      </x:c>
      <x:c r="F21" s="2" t="str">
        <x:v>S02-T01-PROC</x:v>
      </x:c>
      <x:c r="G21" s="2" t="str">
        <x:v>S02-T01</x:v>
      </x:c>
      <x:c r="H21" s="2" t="str">
        <x:v>5 Evolution and embedding</x:v>
      </x:c>
      <x:c r="I21" s="2" t="n">
        <x:v>5</x:v>
      </x:c>
      <x:c r="J21" s="2" t="str">
        <x:v>Common core</x:v>
      </x:c>
      <x:c r="K21" s="2" t="str">
        <x:v>Completed</x:v>
      </x:c>
      <x:c r="L21" s="2" t="str">
        <x:v>Not separately reported</x:v>
      </x:c>
      <x:c r="M21" s="2" t="str">
        <x:v>NR</x:v>
      </x:c>
      <x:c r="N21" s="2" t="str">
        <x:v>NR</x:v>
      </x:c>
      <x:c r="O21" s="2" t="str">
        <x:v>NR</x:v>
      </x:c>
      <x:c r="P21" s="6" t="str">
        <x:v>NR</x:v>
      </x:c>
      <x:c r="Q21" s="2" t="str">
        <x:v>NR</x:v>
      </x:c>
      <x:c r="R21" s="6" t="str">
        <x:v>NR</x:v>
      </x:c>
      <x:c r="S21" s="2" t="str">
        <x:v>NR</x:v>
      </x:c>
      <x:c r="T21" s="2" t="str">
        <x:v>NR</x:v>
      </x:c>
      <x:c r="U21" s="2" t="str">
        <x:v>NR</x:v>
      </x:c>
      <x:c r="V21" s="6" t="str">
        <x:v>Task-specific coded evidence</x:v>
      </x:c>
      <x:c r="W21" s="6" t="str">
        <x:v>p. 5; Section 3</x:v>
      </x:c>
      <x:c r="X21" s="6" t="str">
        <x:v>ExArch consists of two main parts: generating the component names for a SAM and recovering trace links.</x:v>
      </x:c>
      <x:c r="Y21" s="6" t="str">
        <x:v>See task-step evidence references in the RQ2 supplement.</x:v>
      </x:c>
      <x:c r="Z21" s="2" t="str">
        <x:v>Accepted</x:v>
      </x:c>
      <x:c r="AA21" s="6" t="str">
        <x:v>NR</x:v>
      </x:c>
    </x:row>
    <x:row r="22" ht="76" customHeight="1">
      <x:c r="A22" s="2" t="str">
        <x:v>S02-T02-P1</x:v>
      </x:c>
      <x:c r="B22" s="2" t="str">
        <x:v>S02</x:v>
      </x:c>
      <x:c r="C22" s="2" t="str">
        <x:v>merged_0007</x:v>
      </x:c>
      <x:c r="D22" s="2" t="str">
        <x:v>Final coding</x:v>
      </x:c>
      <x:c r="E22" s="2" t="str">
        <x:v>R1/R2</x:v>
      </x:c>
      <x:c r="F22" s="2" t="str">
        <x:v>S02-T02-PROC</x:v>
      </x:c>
      <x:c r="G22" s="2" t="str">
        <x:v>S02-T02</x:v>
      </x:c>
      <x:c r="H22" s="2" t="str">
        <x:v>1 Artifact acquisition and scoping</x:v>
      </x:c>
      <x:c r="I22" s="2" t="n">
        <x:v>1</x:v>
      </x:c>
      <x:c r="J22" s="2" t="str">
        <x:v>Common core</x:v>
      </x:c>
      <x:c r="K22" s="2" t="str">
        <x:v>Completed</x:v>
      </x:c>
      <x:c r="L22" s="2" t="str">
        <x:v>Not separately reported</x:v>
      </x:c>
      <x:c r="M22" s="2" t="str">
        <x:v>NR</x:v>
      </x:c>
      <x:c r="N22" s="2" t="str">
        <x:v>NR</x:v>
      </x:c>
      <x:c r="O22" s="2" t="str">
        <x:v>NR</x:v>
      </x:c>
      <x:c r="P22" s="6" t="str">
        <x:v>NR</x:v>
      </x:c>
      <x:c r="Q22" s="2" t="str">
        <x:v>NR</x:v>
      </x:c>
      <x:c r="R22" s="6" t="str">
        <x:v>NR</x:v>
      </x:c>
      <x:c r="S22" s="2" t="str">
        <x:v>NR</x:v>
      </x:c>
      <x:c r="T22" s="2" t="str">
        <x:v>NR</x:v>
      </x:c>
      <x:c r="U22" s="2" t="str">
        <x:v>NR</x:v>
      </x:c>
      <x:c r="V22" s="6" t="str">
        <x:v>Task-specific coded evidence</x:v>
      </x:c>
      <x:c r="W22" s="6" t="str">
        <x:v>p. 8; Section 4</x:v>
      </x:c>
      <x:c r="X22" s="6" t="str">
        <x:v>inference) that takes SADs and SAMs as inputs to identify trace links between both artifacts. ArTEMiS adapts the</x:v>
      </x:c>
      <x:c r="Y22" s="6" t="str">
        <x:v>See task-step evidence references in the RQ2 supplement.</x:v>
      </x:c>
      <x:c r="Z22" s="2" t="str">
        <x:v>Accepted</x:v>
      </x:c>
      <x:c r="AA22" s="6" t="str">
        <x:v>NR</x:v>
      </x:c>
    </x:row>
    <x:row r="23" ht="76" customHeight="1">
      <x:c r="A23" s="2" t="str">
        <x:v>S02-T02-P2</x:v>
      </x:c>
      <x:c r="B23" s="2" t="str">
        <x:v>S02</x:v>
      </x:c>
      <x:c r="C23" s="2" t="str">
        <x:v>merged_0007</x:v>
      </x:c>
      <x:c r="D23" s="2" t="str">
        <x:v>Final coding</x:v>
      </x:c>
      <x:c r="E23" s="2" t="str">
        <x:v>R1/R2</x:v>
      </x:c>
      <x:c r="F23" s="2" t="str">
        <x:v>S02-T02-PROC</x:v>
      </x:c>
      <x:c r="G23" s="2" t="str">
        <x:v>S02-T02</x:v>
      </x:c>
      <x:c r="H23" s="2" t="str">
        <x:v>2 Semantic contextualization</x:v>
      </x:c>
      <x:c r="I23" s="2" t="n">
        <x:v>2</x:v>
      </x:c>
      <x:c r="J23" s="2" t="str">
        <x:v>Common core</x:v>
      </x:c>
      <x:c r="K23" s="2" t="str">
        <x:v>Completed</x:v>
      </x:c>
      <x:c r="L23" s="2" t="str">
        <x:v>Explicitly evidenced</x:v>
      </x:c>
      <x:c r="M23" s="2" t="str">
        <x:v>NR</x:v>
      </x:c>
      <x:c r="N23" s="2" t="str">
        <x:v>NR</x:v>
      </x:c>
      <x:c r="O23" s="2" t="str">
        <x:v>NR</x:v>
      </x:c>
      <x:c r="P23" s="6" t="str">
        <x:v>NR</x:v>
      </x:c>
      <x:c r="Q23" s="2" t="str">
        <x:v>2 Semantic contextualization</x:v>
      </x:c>
      <x:c r="R23" s="6" t="str">
        <x:v>NR</x:v>
      </x:c>
      <x:c r="S23" s="2" t="str">
        <x:v>NR</x:v>
      </x:c>
      <x:c r="T23" s="2" t="str">
        <x:v>NR</x:v>
      </x:c>
      <x:c r="U23" s="2" t="str">
        <x:v>NR</x:v>
      </x:c>
      <x:c r="V23" s="6" t="str">
        <x:v>Task-specific coded evidence</x:v>
      </x:c>
      <x:c r="W23" s="6" t="str">
        <x:v>p. 8; Section 4</x:v>
      </x:c>
      <x:c r="X23" s="6" t="str">
        <x:v>inference) that takes SADs and SAMs as inputs to identify trace links between both artifacts. ArTEMiS adapts the</x:v>
      </x:c>
      <x:c r="Y23" s="6" t="str">
        <x:v>See task-step evidence references in the RQ2 supplement.</x:v>
      </x:c>
      <x:c r="Z23" s="2" t="str">
        <x:v>Accepted</x:v>
      </x:c>
      <x:c r="AA23" s="6" t="str">
        <x:v>NR</x:v>
      </x:c>
    </x:row>
    <x:row r="24" ht="76" customHeight="1">
      <x:c r="A24" s="2" t="str">
        <x:v>S02-T02-P3</x:v>
      </x:c>
      <x:c r="B24" s="2" t="str">
        <x:v>S02</x:v>
      </x:c>
      <x:c r="C24" s="2" t="str">
        <x:v>merged_0007</x:v>
      </x:c>
      <x:c r="D24" s="2" t="str">
        <x:v>Final coding</x:v>
      </x:c>
      <x:c r="E24" s="2" t="str">
        <x:v>R1/R2</x:v>
      </x:c>
      <x:c r="F24" s="2" t="str">
        <x:v>S02-T02-PROC</x:v>
      </x:c>
      <x:c r="G24" s="2" t="str">
        <x:v>S02-T02</x:v>
      </x:c>
      <x:c r="H24" s="2" t="str">
        <x:v>3 Traceability inference</x:v>
      </x:c>
      <x:c r="I24" s="2" t="n">
        <x:v>3</x:v>
      </x:c>
      <x:c r="J24" s="2" t="str">
        <x:v>Common core</x:v>
      </x:c>
      <x:c r="K24" s="2" t="str">
        <x:v>Completed</x:v>
      </x:c>
      <x:c r="L24" s="2" t="str">
        <x:v>Explicitly evidenced</x:v>
      </x:c>
      <x:c r="M24" s="2" t="str">
        <x:v>NR</x:v>
      </x:c>
      <x:c r="N24" s="2" t="str">
        <x:v>NR</x:v>
      </x:c>
      <x:c r="O24" s="2" t="str">
        <x:v>NR</x:v>
      </x:c>
      <x:c r="P24" s="6" t="str">
        <x:v>NR</x:v>
      </x:c>
      <x:c r="Q24" s="2" t="str">
        <x:v>3 Traceability inference</x:v>
      </x:c>
      <x:c r="R24" s="6" t="str">
        <x:v>可验证的SAD与SAM之间的追踪链接集合。</x:v>
      </x:c>
      <x:c r="S24" s="2" t="str">
        <x:v>NR</x:v>
      </x:c>
      <x:c r="T24" s="2" t="str">
        <x:v>NR</x:v>
      </x:c>
      <x:c r="U24" s="2" t="str">
        <x:v>NR</x:v>
      </x:c>
      <x:c r="V24" s="6" t="str">
        <x:v>Task-specific coded evidence</x:v>
      </x:c>
      <x:c r="W24" s="6" t="str">
        <x:v>p. 8; Section 4</x:v>
      </x:c>
      <x:c r="X24" s="6" t="str">
        <x:v>inference) that takes SADs and SAMs as inputs to identify trace links between both artifacts. ArTEMiS adapts the</x:v>
      </x:c>
      <x:c r="Y24" s="6" t="str">
        <x:v>See task-step evidence references in the RQ2 supplement.</x:v>
      </x:c>
      <x:c r="Z24" s="2" t="str">
        <x:v>Accepted</x:v>
      </x:c>
      <x:c r="AA24" s="6" t="str">
        <x:v>NR</x:v>
      </x:c>
    </x:row>
    <x:row r="25" ht="76" customHeight="1">
      <x:c r="A25" s="2" t="str">
        <x:v>S02-T02-P4</x:v>
      </x:c>
      <x:c r="B25" s="2" t="str">
        <x:v>S02</x:v>
      </x:c>
      <x:c r="C25" s="2" t="str">
        <x:v>merged_0007</x:v>
      </x:c>
      <x:c r="D25" s="2" t="str">
        <x:v>Final coding</x:v>
      </x:c>
      <x:c r="E25" s="2" t="str">
        <x:v>R1/R2</x:v>
      </x:c>
      <x:c r="F25" s="2" t="str">
        <x:v>S02-T02-PROC</x:v>
      </x:c>
      <x:c r="G25" s="2" t="str">
        <x:v>S02-T02</x:v>
      </x:c>
      <x:c r="H25" s="2" t="str">
        <x:v>4 Validation and explanation</x:v>
      </x:c>
      <x:c r="I25" s="2" t="n">
        <x:v>4</x:v>
      </x:c>
      <x:c r="J25" s="2" t="str">
        <x:v>Common core</x:v>
      </x:c>
      <x:c r="K25" s="2" t="str">
        <x:v>Completed</x:v>
      </x:c>
      <x:c r="L25" s="2" t="str">
        <x:v>Not separately reported</x:v>
      </x:c>
      <x:c r="M25" s="2" t="str">
        <x:v>NR</x:v>
      </x:c>
      <x:c r="N25" s="2" t="str">
        <x:v>NR</x:v>
      </x:c>
      <x:c r="O25" s="2" t="str">
        <x:v>NR</x:v>
      </x:c>
      <x:c r="P25" s="6" t="str">
        <x:v>NR</x:v>
      </x:c>
      <x:c r="Q25" s="2" t="str">
        <x:v>NR</x:v>
      </x:c>
      <x:c r="R25" s="6" t="str">
        <x:v>NR</x:v>
      </x:c>
      <x:c r="S25" s="2" t="str">
        <x:v>NR</x:v>
      </x:c>
      <x:c r="T25" s="2" t="str">
        <x:v>NR</x:v>
      </x:c>
      <x:c r="U25" s="2" t="str">
        <x:v>NR</x:v>
      </x:c>
      <x:c r="V25" s="6" t="str">
        <x:v>Task-specific coded evidence</x:v>
      </x:c>
      <x:c r="W25" s="6" t="str">
        <x:v>p. 8; Section 4</x:v>
      </x:c>
      <x:c r="X25" s="6" t="str">
        <x:v>inference) that takes SADs and SAMs as inputs to identify trace links between both artifacts. ArTEMiS adapts the</x:v>
      </x:c>
      <x:c r="Y25" s="6" t="str">
        <x:v>See task-step evidence references in the RQ2 supplement.</x:v>
      </x:c>
      <x:c r="Z25" s="2" t="str">
        <x:v>Accepted</x:v>
      </x:c>
      <x:c r="AA25" s="6" t="str">
        <x:v>NR</x:v>
      </x:c>
    </x:row>
    <x:row r="26" ht="76" customHeight="1">
      <x:c r="A26" s="2" t="str">
        <x:v>S02-T02-P5</x:v>
      </x:c>
      <x:c r="B26" s="2" t="str">
        <x:v>S02</x:v>
      </x:c>
      <x:c r="C26" s="2" t="str">
        <x:v>merged_0007</x:v>
      </x:c>
      <x:c r="D26" s="2" t="str">
        <x:v>Final coding</x:v>
      </x:c>
      <x:c r="E26" s="2" t="str">
        <x:v>R1/R2</x:v>
      </x:c>
      <x:c r="F26" s="2" t="str">
        <x:v>S02-T02-PROC</x:v>
      </x:c>
      <x:c r="G26" s="2" t="str">
        <x:v>S02-T02</x:v>
      </x:c>
      <x:c r="H26" s="2" t="str">
        <x:v>5 Evolution and embedding</x:v>
      </x:c>
      <x:c r="I26" s="2" t="n">
        <x:v>5</x:v>
      </x:c>
      <x:c r="J26" s="2" t="str">
        <x:v>Common core</x:v>
      </x:c>
      <x:c r="K26" s="2" t="str">
        <x:v>Completed</x:v>
      </x:c>
      <x:c r="L26" s="2" t="str">
        <x:v>Not separately reported</x:v>
      </x:c>
      <x:c r="M26" s="2" t="str">
        <x:v>NR</x:v>
      </x:c>
      <x:c r="N26" s="2" t="str">
        <x:v>NR</x:v>
      </x:c>
      <x:c r="O26" s="2" t="str">
        <x:v>NR</x:v>
      </x:c>
      <x:c r="P26" s="6" t="str">
        <x:v>NR</x:v>
      </x:c>
      <x:c r="Q26" s="2" t="str">
        <x:v>NR</x:v>
      </x:c>
      <x:c r="R26" s="6" t="str">
        <x:v>NR</x:v>
      </x:c>
      <x:c r="S26" s="2" t="str">
        <x:v>NR</x:v>
      </x:c>
      <x:c r="T26" s="2" t="str">
        <x:v>NR</x:v>
      </x:c>
      <x:c r="U26" s="2" t="str">
        <x:v>NR</x:v>
      </x:c>
      <x:c r="V26" s="6" t="str">
        <x:v>Task-specific coded evidence</x:v>
      </x:c>
      <x:c r="W26" s="6" t="str">
        <x:v>p. 8; Section 4</x:v>
      </x:c>
      <x:c r="X26" s="6" t="str">
        <x:v>inference) that takes SADs and SAMs as inputs to identify trace links between both artifacts. ArTEMiS adapts the</x:v>
      </x:c>
      <x:c r="Y26" s="6" t="str">
        <x:v>See task-step evidence references in the RQ2 supplement.</x:v>
      </x:c>
      <x:c r="Z26" s="2" t="str">
        <x:v>Accepted</x:v>
      </x:c>
      <x:c r="AA26" s="6" t="str">
        <x:v>NR</x:v>
      </x:c>
    </x:row>
    <x:row r="27" ht="76" customHeight="1">
      <x:c r="A27" s="2" t="str">
        <x:v>S02-T03-P1</x:v>
      </x:c>
      <x:c r="B27" s="2" t="str">
        <x:v>S02</x:v>
      </x:c>
      <x:c r="C27" s="2" t="str">
        <x:v>merged_0007</x:v>
      </x:c>
      <x:c r="D27" s="2" t="str">
        <x:v>Final coding</x:v>
      </x:c>
      <x:c r="E27" s="2" t="str">
        <x:v>R1/R2</x:v>
      </x:c>
      <x:c r="F27" s="2" t="str">
        <x:v>S02-T03-PROC</x:v>
      </x:c>
      <x:c r="G27" s="2" t="str">
        <x:v>S02-T03</x:v>
      </x:c>
      <x:c r="H27" s="2" t="str">
        <x:v>1 Artifact acquisition and scoping</x:v>
      </x:c>
      <x:c r="I27" s="2" t="n">
        <x:v>1</x:v>
      </x:c>
      <x:c r="J27" s="2" t="str">
        <x:v>Common core</x:v>
      </x:c>
      <x:c r="K27" s="2" t="str">
        <x:v>Completed</x:v>
      </x:c>
      <x:c r="L27" s="2" t="str">
        <x:v>Explicitly evidenced</x:v>
      </x:c>
      <x:c r="M27" s="2" t="str">
        <x:v>NR</x:v>
      </x:c>
      <x:c r="N27" s="2" t="str">
        <x:v>NR</x:v>
      </x:c>
      <x:c r="O27" s="2" t="str">
        <x:v>NR</x:v>
      </x:c>
      <x:c r="P27" s="6" t="str">
        <x:v>NR</x:v>
      </x:c>
      <x:c r="Q27" s="2" t="str">
        <x:v>1 Artifact acquisition and scoping</x:v>
      </x:c>
      <x:c r="R27" s="6" t="str">
        <x:v>NR</x:v>
      </x:c>
      <x:c r="S27" s="2" t="str">
        <x:v>NR</x:v>
      </x:c>
      <x:c r="T27" s="2" t="str">
        <x:v>NR</x:v>
      </x:c>
      <x:c r="U27" s="2" t="str">
        <x:v>NR</x:v>
      </x:c>
      <x:c r="V27" s="6" t="str">
        <x:v>Task-specific coded evidence</x:v>
      </x:c>
      <x:c r="W27" s="6" t="str">
        <x:v>p. 19; Section 5.4.3</x:v>
      </x:c>
      <x:c r="X27" s="6" t="str">
        <x:v>combines both approaches, i.e., we use ExArch to extract the component names from the SAD, then use ArTEMiS to recover the trace links between SAD and SAM, and finally use TransArC to recover the trace links between SAD and</x:v>
      </x:c>
      <x:c r="Y27" s="6" t="str">
        <x:v>See task-step evidence references in the RQ2 supplement.</x:v>
      </x:c>
      <x:c r="Z27" s="2" t="str">
        <x:v>Accepted</x:v>
      </x:c>
      <x:c r="AA27" s="6" t="str">
        <x:v>NR</x:v>
      </x:c>
    </x:row>
    <x:row r="28" ht="76" customHeight="1">
      <x:c r="A28" s="2" t="str">
        <x:v>S02-T03-P2</x:v>
      </x:c>
      <x:c r="B28" s="2" t="str">
        <x:v>S02</x:v>
      </x:c>
      <x:c r="C28" s="2" t="str">
        <x:v>merged_0007</x:v>
      </x:c>
      <x:c r="D28" s="2" t="str">
        <x:v>Final coding</x:v>
      </x:c>
      <x:c r="E28" s="2" t="str">
        <x:v>R1/R2</x:v>
      </x:c>
      <x:c r="F28" s="2" t="str">
        <x:v>S02-T03-PROC</x:v>
      </x:c>
      <x:c r="G28" s="2" t="str">
        <x:v>S02-T03</x:v>
      </x:c>
      <x:c r="H28" s="2" t="str">
        <x:v>2 Semantic contextualization</x:v>
      </x:c>
      <x:c r="I28" s="2" t="n">
        <x:v>2</x:v>
      </x:c>
      <x:c r="J28" s="2" t="str">
        <x:v>Common core</x:v>
      </x:c>
      <x:c r="K28" s="2" t="str">
        <x:v>Completed</x:v>
      </x:c>
      <x:c r="L28" s="2" t="str">
        <x:v>Explicitly evidenced</x:v>
      </x:c>
      <x:c r="M28" s="2" t="str">
        <x:v>NR</x:v>
      </x:c>
      <x:c r="N28" s="2" t="str">
        <x:v>NR</x:v>
      </x:c>
      <x:c r="O28" s="2" t="str">
        <x:v>NR</x:v>
      </x:c>
      <x:c r="P28" s="6" t="str">
        <x:v>NR</x:v>
      </x:c>
      <x:c r="Q28" s="2" t="str">
        <x:v>2 Semantic contextualization</x:v>
      </x:c>
      <x:c r="R28" s="6" t="str">
        <x:v>NR</x:v>
      </x:c>
      <x:c r="S28" s="2" t="str">
        <x:v>NR</x:v>
      </x:c>
      <x:c r="T28" s="2" t="str">
        <x:v>NR</x:v>
      </x:c>
      <x:c r="U28" s="2" t="str">
        <x:v>NR</x:v>
      </x:c>
      <x:c r="V28" s="6" t="str">
        <x:v>Task-specific coded evidence</x:v>
      </x:c>
      <x:c r="W28" s="6" t="str">
        <x:v>p. 19; Section 5.4.3</x:v>
      </x:c>
      <x:c r="X28" s="6" t="str">
        <x:v>combines both approaches, i.e., we use ExArch to extract the component names from the SAD, then use ArTEMiS to recover the trace links between SAD and SAM, and finally use TransArC to recover the trace links between SAD and</x:v>
      </x:c>
      <x:c r="Y28" s="6" t="str">
        <x:v>See task-step evidence references in the RQ2 supplement.</x:v>
      </x:c>
      <x:c r="Z28" s="2" t="str">
        <x:v>Accepted</x:v>
      </x:c>
      <x:c r="AA28" s="6" t="str">
        <x:v>NR</x:v>
      </x:c>
    </x:row>
    <x:row r="29" ht="76" customHeight="1">
      <x:c r="A29" s="2" t="str">
        <x:v>S02-T03-P3</x:v>
      </x:c>
      <x:c r="B29" s="2" t="str">
        <x:v>S02</x:v>
      </x:c>
      <x:c r="C29" s="2" t="str">
        <x:v>merged_0007</x:v>
      </x:c>
      <x:c r="D29" s="2" t="str">
        <x:v>Final coding</x:v>
      </x:c>
      <x:c r="E29" s="2" t="str">
        <x:v>R1/R2</x:v>
      </x:c>
      <x:c r="F29" s="2" t="str">
        <x:v>S02-T03-PROC</x:v>
      </x:c>
      <x:c r="G29" s="2" t="str">
        <x:v>S02-T03</x:v>
      </x:c>
      <x:c r="H29" s="2" t="str">
        <x:v>3 Traceability inference</x:v>
      </x:c>
      <x:c r="I29" s="2" t="n">
        <x:v>3</x:v>
      </x:c>
      <x:c r="J29" s="2" t="str">
        <x:v>Common core</x:v>
      </x:c>
      <x:c r="K29" s="2" t="str">
        <x:v>Completed</x:v>
      </x:c>
      <x:c r="L29" s="2" t="str">
        <x:v>Explicitly evidenced</x:v>
      </x:c>
      <x:c r="M29" s="2" t="str">
        <x:v>NR</x:v>
      </x:c>
      <x:c r="N29" s="2" t="str">
        <x:v>NR</x:v>
      </x:c>
      <x:c r="O29" s="2" t="str">
        <x:v>NR</x:v>
      </x:c>
      <x:c r="P29" s="6" t="str">
        <x:v>NR</x:v>
      </x:c>
      <x:c r="Q29" s="2" t="str">
        <x:v>3 Traceability inference</x:v>
      </x:c>
      <x:c r="R29" s="6" t="str">
        <x:v>可验证的SAD与源代码之间的追踪链接集合。</x:v>
      </x:c>
      <x:c r="S29" s="2" t="str">
        <x:v>NR</x:v>
      </x:c>
      <x:c r="T29" s="2" t="str">
        <x:v>NR</x:v>
      </x:c>
      <x:c r="U29" s="2" t="str">
        <x:v>NR</x:v>
      </x:c>
      <x:c r="V29" s="6" t="str">
        <x:v>Task-specific coded evidence</x:v>
      </x:c>
      <x:c r="W29" s="6" t="str">
        <x:v>p. 19; Section 5.4.3</x:v>
      </x:c>
      <x:c r="X29" s="6" t="str">
        <x:v>combines both approaches, i.e., we use ExArch to extract the component names from the SAD, then use ArTEMiS to recover the trace links between SAD and SAM, and finally use TransArC to recover the trace links between SAD and</x:v>
      </x:c>
      <x:c r="Y29" s="6" t="str">
        <x:v>See task-step evidence references in the RQ2 supplement.</x:v>
      </x:c>
      <x:c r="Z29" s="2" t="str">
        <x:v>Accepted</x:v>
      </x:c>
      <x:c r="AA29" s="6" t="str">
        <x:v>NR</x:v>
      </x:c>
    </x:row>
    <x:row r="30" ht="76" customHeight="1">
      <x:c r="A30" s="2" t="str">
        <x:v>S02-T03-P4</x:v>
      </x:c>
      <x:c r="B30" s="2" t="str">
        <x:v>S02</x:v>
      </x:c>
      <x:c r="C30" s="2" t="str">
        <x:v>merged_0007</x:v>
      </x:c>
      <x:c r="D30" s="2" t="str">
        <x:v>Final coding</x:v>
      </x:c>
      <x:c r="E30" s="2" t="str">
        <x:v>R1/R2</x:v>
      </x:c>
      <x:c r="F30" s="2" t="str">
        <x:v>S02-T03-PROC</x:v>
      </x:c>
      <x:c r="G30" s="2" t="str">
        <x:v>S02-T03</x:v>
      </x:c>
      <x:c r="H30" s="2" t="str">
        <x:v>4 Validation and explanation</x:v>
      </x:c>
      <x:c r="I30" s="2" t="n">
        <x:v>4</x:v>
      </x:c>
      <x:c r="J30" s="2" t="str">
        <x:v>Common core</x:v>
      </x:c>
      <x:c r="K30" s="2" t="str">
        <x:v>Completed</x:v>
      </x:c>
      <x:c r="L30" s="2" t="str">
        <x:v>Not separately reported</x:v>
      </x:c>
      <x:c r="M30" s="2" t="str">
        <x:v>NR</x:v>
      </x:c>
      <x:c r="N30" s="2" t="str">
        <x:v>NR</x:v>
      </x:c>
      <x:c r="O30" s="2" t="str">
        <x:v>NR</x:v>
      </x:c>
      <x:c r="P30" s="6" t="str">
        <x:v>NR</x:v>
      </x:c>
      <x:c r="Q30" s="2" t="str">
        <x:v>NR</x:v>
      </x:c>
      <x:c r="R30" s="6" t="str">
        <x:v>NR</x:v>
      </x:c>
      <x:c r="S30" s="2" t="str">
        <x:v>NR</x:v>
      </x:c>
      <x:c r="T30" s="2" t="str">
        <x:v>NR</x:v>
      </x:c>
      <x:c r="U30" s="2" t="str">
        <x:v>NR</x:v>
      </x:c>
      <x:c r="V30" s="6" t="str">
        <x:v>Task-specific coded evidence</x:v>
      </x:c>
      <x:c r="W30" s="6" t="str">
        <x:v>p. 19; Section 5.4.3</x:v>
      </x:c>
      <x:c r="X30" s="6" t="str">
        <x:v>combines both approaches, i.e., we use ExArch to extract the component names from the SAD, then use ArTEMiS to recover the trace links between SAD and SAM, and finally use TransArC to recover the trace links between SAD and</x:v>
      </x:c>
      <x:c r="Y30" s="6" t="str">
        <x:v>See task-step evidence references in the RQ2 supplement.</x:v>
      </x:c>
      <x:c r="Z30" s="2" t="str">
        <x:v>Accepted</x:v>
      </x:c>
      <x:c r="AA30" s="6" t="str">
        <x:v>NR</x:v>
      </x:c>
    </x:row>
    <x:row r="31" ht="76" customHeight="1">
      <x:c r="A31" s="2" t="str">
        <x:v>S02-T03-P5</x:v>
      </x:c>
      <x:c r="B31" s="2" t="str">
        <x:v>S02</x:v>
      </x:c>
      <x:c r="C31" s="2" t="str">
        <x:v>merged_0007</x:v>
      </x:c>
      <x:c r="D31" s="2" t="str">
        <x:v>Final coding</x:v>
      </x:c>
      <x:c r="E31" s="2" t="str">
        <x:v>R1/R2</x:v>
      </x:c>
      <x:c r="F31" s="2" t="str">
        <x:v>S02-T03-PROC</x:v>
      </x:c>
      <x:c r="G31" s="2" t="str">
        <x:v>S02-T03</x:v>
      </x:c>
      <x:c r="H31" s="2" t="str">
        <x:v>5 Evolution and embedding</x:v>
      </x:c>
      <x:c r="I31" s="2" t="n">
        <x:v>5</x:v>
      </x:c>
      <x:c r="J31" s="2" t="str">
        <x:v>Common core</x:v>
      </x:c>
      <x:c r="K31" s="2" t="str">
        <x:v>Completed</x:v>
      </x:c>
      <x:c r="L31" s="2" t="str">
        <x:v>Not separately reported</x:v>
      </x:c>
      <x:c r="M31" s="2" t="str">
        <x:v>NR</x:v>
      </x:c>
      <x:c r="N31" s="2" t="str">
        <x:v>NR</x:v>
      </x:c>
      <x:c r="O31" s="2" t="str">
        <x:v>NR</x:v>
      </x:c>
      <x:c r="P31" s="6" t="str">
        <x:v>NR</x:v>
      </x:c>
      <x:c r="Q31" s="2" t="str">
        <x:v>NR</x:v>
      </x:c>
      <x:c r="R31" s="6" t="str">
        <x:v>NR</x:v>
      </x:c>
      <x:c r="S31" s="2" t="str">
        <x:v>NR</x:v>
      </x:c>
      <x:c r="T31" s="2" t="str">
        <x:v>NR</x:v>
      </x:c>
      <x:c r="U31" s="2" t="str">
        <x:v>NR</x:v>
      </x:c>
      <x:c r="V31" s="6" t="str">
        <x:v>Task-specific coded evidence</x:v>
      </x:c>
      <x:c r="W31" s="6" t="str">
        <x:v>p. 19; Section 5.4.3</x:v>
      </x:c>
      <x:c r="X31" s="6" t="str">
        <x:v>combines both approaches, i.e., we use ExArch to extract the component names from the SAD, then use ArTEMiS to recover the trace links between SAD and SAM, and finally use TransArC to recover the trace links between SAD and</x:v>
      </x:c>
      <x:c r="Y31" s="6" t="str">
        <x:v>See task-step evidence references in the RQ2 supplement.</x:v>
      </x:c>
      <x:c r="Z31" s="2" t="str">
        <x:v>Accepted</x:v>
      </x:c>
      <x:c r="AA31" s="6" t="str">
        <x:v>NR</x:v>
      </x:c>
    </x:row>
    <x:row r="32" ht="76" customHeight="1">
      <x:c r="A32" s="2" t="str">
        <x:v>S03-T01-P1</x:v>
      </x:c>
      <x:c r="B32" s="2" t="str">
        <x:v>S03</x:v>
      </x:c>
      <x:c r="C32" s="2" t="str">
        <x:v>merged_0014</x:v>
      </x:c>
      <x:c r="D32" s="2" t="str">
        <x:v>Final coding</x:v>
      </x:c>
      <x:c r="E32" s="2" t="str">
        <x:v>R1/R2</x:v>
      </x:c>
      <x:c r="F32" s="2" t="str">
        <x:v>S03-T01-PROC</x:v>
      </x:c>
      <x:c r="G32" s="2" t="str">
        <x:v>S03-T01</x:v>
      </x:c>
      <x:c r="H32" s="2" t="str">
        <x:v>1 Artifact acquisition and scoping</x:v>
      </x:c>
      <x:c r="I32" s="2" t="n">
        <x:v>1</x:v>
      </x:c>
      <x:c r="J32" s="2" t="str">
        <x:v>Common core</x:v>
      </x:c>
      <x:c r="K32" s="2" t="str">
        <x:v>Completed</x:v>
      </x:c>
      <x:c r="L32" s="2" t="str">
        <x:v>Explicitly evidenced</x:v>
      </x:c>
      <x:c r="M32" s="2" t="str">
        <x:v>NR</x:v>
      </x:c>
      <x:c r="N32" s="2" t="str">
        <x:v>NR</x:v>
      </x:c>
      <x:c r="O32" s="2" t="str">
        <x:v>NR</x:v>
      </x:c>
      <x:c r="P32" s="6" t="str">
        <x:v>NR</x:v>
      </x:c>
      <x:c r="Q32" s="2" t="str">
        <x:v>1 Artifact acquisition and scoping</x:v>
      </x:c>
      <x:c r="R32" s="6" t="str">
        <x:v>NR</x:v>
      </x:c>
      <x:c r="S32" s="2" t="str">
        <x:v>NR</x:v>
      </x:c>
      <x:c r="T32" s="2" t="str">
        <x:v>NR</x:v>
      </x:c>
      <x:c r="U32" s="2" t="str">
        <x:v>NR</x:v>
      </x:c>
      <x:c r="V32" s="6" t="str">
        <x:v>Task-specific coded evidence</x:v>
      </x:c>
      <x:c r="W32" s="6" t="str">
        <x:v>p. 2; Section 3</x:v>
      </x:c>
      <x:c r="X32" s="6" t="str">
        <x:v>Our objective is to match application classes with a given service descriptions from an enterprise-specific domain models.</x:v>
      </x:c>
      <x:c r="Y32" s="6" t="str">
        <x:v>See task-step evidence references in the RQ2 supplement.</x:v>
      </x:c>
      <x:c r="Z32" s="2" t="str">
        <x:v>Accepted</x:v>
      </x:c>
      <x:c r="AA32" s="6" t="str">
        <x:v>NR</x:v>
      </x:c>
    </x:row>
    <x:row r="33" ht="76" customHeight="1">
      <x:c r="A33" s="2" t="str">
        <x:v>S03-T01-P2</x:v>
      </x:c>
      <x:c r="B33" s="2" t="str">
        <x:v>S03</x:v>
      </x:c>
      <x:c r="C33" s="2" t="str">
        <x:v>merged_0014</x:v>
      </x:c>
      <x:c r="D33" s="2" t="str">
        <x:v>Final coding</x:v>
      </x:c>
      <x:c r="E33" s="2" t="str">
        <x:v>R1/R2</x:v>
      </x:c>
      <x:c r="F33" s="2" t="str">
        <x:v>S03-T01-PROC</x:v>
      </x:c>
      <x:c r="G33" s="2" t="str">
        <x:v>S03-T01</x:v>
      </x:c>
      <x:c r="H33" s="2" t="str">
        <x:v>2 Semantic contextualization</x:v>
      </x:c>
      <x:c r="I33" s="2" t="n">
        <x:v>2</x:v>
      </x:c>
      <x:c r="J33" s="2" t="str">
        <x:v>Common core</x:v>
      </x:c>
      <x:c r="K33" s="2" t="str">
        <x:v>Completed</x:v>
      </x:c>
      <x:c r="L33" s="2" t="str">
        <x:v>Explicitly evidenced</x:v>
      </x:c>
      <x:c r="M33" s="2" t="str">
        <x:v>NR</x:v>
      </x:c>
      <x:c r="N33" s="2" t="str">
        <x:v>NR</x:v>
      </x:c>
      <x:c r="O33" s="2" t="str">
        <x:v>NR</x:v>
      </x:c>
      <x:c r="P33" s="6" t="str">
        <x:v>NR</x:v>
      </x:c>
      <x:c r="Q33" s="2" t="str">
        <x:v>2 Semantic contextualization</x:v>
      </x:c>
      <x:c r="R33" s="6" t="str">
        <x:v>NR</x:v>
      </x:c>
      <x:c r="S33" s="2" t="str">
        <x:v>NR</x:v>
      </x:c>
      <x:c r="T33" s="2" t="str">
        <x:v>NR</x:v>
      </x:c>
      <x:c r="U33" s="2" t="str">
        <x:v>NR</x:v>
      </x:c>
      <x:c r="V33" s="6" t="str">
        <x:v>Task-specific coded evidence</x:v>
      </x:c>
      <x:c r="W33" s="6" t="str">
        <x:v>p. 2; Section 3</x:v>
      </x:c>
      <x:c r="X33" s="6" t="str">
        <x:v>Our objective is to match application classes with a given service descriptions from an enterprise-specific domain models.</x:v>
      </x:c>
      <x:c r="Y33" s="6" t="str">
        <x:v>See task-step evidence references in the RQ2 supplement.</x:v>
      </x:c>
      <x:c r="Z33" s="2" t="str">
        <x:v>Accepted</x:v>
      </x:c>
      <x:c r="AA33" s="6" t="str">
        <x:v>NR</x:v>
      </x:c>
    </x:row>
    <x:row r="34" ht="76" customHeight="1">
      <x:c r="A34" s="2" t="str">
        <x:v>S03-T01-P3</x:v>
      </x:c>
      <x:c r="B34" s="2" t="str">
        <x:v>S03</x:v>
      </x:c>
      <x:c r="C34" s="2" t="str">
        <x:v>merged_0014</x:v>
      </x:c>
      <x:c r="D34" s="2" t="str">
        <x:v>Final coding</x:v>
      </x:c>
      <x:c r="E34" s="2" t="str">
        <x:v>R1/R2</x:v>
      </x:c>
      <x:c r="F34" s="2" t="str">
        <x:v>S03-T01-PROC</x:v>
      </x:c>
      <x:c r="G34" s="2" t="str">
        <x:v>S03-T01</x:v>
      </x:c>
      <x:c r="H34" s="2" t="str">
        <x:v>3 Traceability inference</x:v>
      </x:c>
      <x:c r="I34" s="2" t="n">
        <x:v>3</x:v>
      </x:c>
      <x:c r="J34" s="2" t="str">
        <x:v>Common core</x:v>
      </x:c>
      <x:c r="K34" s="2" t="str">
        <x:v>Completed</x:v>
      </x:c>
      <x:c r="L34" s="2" t="str">
        <x:v>Explicitly evidenced</x:v>
      </x:c>
      <x:c r="M34" s="2" t="str">
        <x:v>NR</x:v>
      </x:c>
      <x:c r="N34" s="2" t="str">
        <x:v>NR</x:v>
      </x:c>
      <x:c r="O34" s="2" t="str">
        <x:v>NR</x:v>
      </x:c>
      <x:c r="P34" s="6" t="str">
        <x:v>NR</x:v>
      </x:c>
      <x:c r="Q34" s="2" t="str">
        <x:v>3 Traceability inference</x:v>
      </x:c>
      <x:c r="R34" s="6" t="str">
        <x:v>匹配列表（领域服务到应用类的top-k映射）</x:v>
      </x:c>
      <x:c r="S34" s="2" t="str">
        <x:v>NR</x:v>
      </x:c>
      <x:c r="T34" s="2" t="str">
        <x:v>NR</x:v>
      </x:c>
      <x:c r="U34" s="2" t="str">
        <x:v>NR</x:v>
      </x:c>
      <x:c r="V34" s="6" t="str">
        <x:v>Task-specific coded evidence</x:v>
      </x:c>
      <x:c r="W34" s="6" t="str">
        <x:v>p. 2; Section 3</x:v>
      </x:c>
      <x:c r="X34" s="6" t="str">
        <x:v>Our objective is to match application classes with a given service descriptions from an enterprise-specific domain models.</x:v>
      </x:c>
      <x:c r="Y34" s="6" t="str">
        <x:v>See task-step evidence references in the RQ2 supplement.</x:v>
      </x:c>
      <x:c r="Z34" s="2" t="str">
        <x:v>Accepted</x:v>
      </x:c>
      <x:c r="AA34" s="6" t="str">
        <x:v>NR</x:v>
      </x:c>
    </x:row>
    <x:row r="35" ht="76" customHeight="1">
      <x:c r="A35" s="2" t="str">
        <x:v>S03-T01-P4</x:v>
      </x:c>
      <x:c r="B35" s="2" t="str">
        <x:v>S03</x:v>
      </x:c>
      <x:c r="C35" s="2" t="str">
        <x:v>merged_0014</x:v>
      </x:c>
      <x:c r="D35" s="2" t="str">
        <x:v>Final coding</x:v>
      </x:c>
      <x:c r="E35" s="2" t="str">
        <x:v>R1/R2</x:v>
      </x:c>
      <x:c r="F35" s="2" t="str">
        <x:v>S03-T01-PROC</x:v>
      </x:c>
      <x:c r="G35" s="2" t="str">
        <x:v>S03-T01</x:v>
      </x:c>
      <x:c r="H35" s="2" t="str">
        <x:v>4 Validation and explanation</x:v>
      </x:c>
      <x:c r="I35" s="2" t="n">
        <x:v>4</x:v>
      </x:c>
      <x:c r="J35" s="2" t="str">
        <x:v>Common core</x:v>
      </x:c>
      <x:c r="K35" s="2" t="str">
        <x:v>Completed</x:v>
      </x:c>
      <x:c r="L35" s="2" t="str">
        <x:v>Explicitly evidenced</x:v>
      </x:c>
      <x:c r="M35" s="2" t="str">
        <x:v>NR</x:v>
      </x:c>
      <x:c r="N35" s="2" t="str">
        <x:v>NR</x:v>
      </x:c>
      <x:c r="O35" s="2" t="str">
        <x:v>NR</x:v>
      </x:c>
      <x:c r="P35" s="6" t="str">
        <x:v>NR</x:v>
      </x:c>
      <x:c r="Q35" s="2" t="str">
        <x:v>4 Validation and explanation</x:v>
      </x:c>
      <x:c r="R35" s="6" t="str">
        <x:v>NR</x:v>
      </x:c>
      <x:c r="S35" s="2" t="str">
        <x:v>NR</x:v>
      </x:c>
      <x:c r="T35" s="2" t="str">
        <x:v>NR</x:v>
      </x:c>
      <x:c r="U35" s="2" t="str">
        <x:v>NR</x:v>
      </x:c>
      <x:c r="V35" s="6" t="str">
        <x:v>Task-specific coded evidence</x:v>
      </x:c>
      <x:c r="W35" s="6" t="str">
        <x:v>p. 2; Section 3</x:v>
      </x:c>
      <x:c r="X35" s="6" t="str">
        <x:v>Our objective is to match application classes with a given service descriptions from an enterprise-specific domain models.</x:v>
      </x:c>
      <x:c r="Y35" s="6" t="str">
        <x:v>See task-step evidence references in the RQ2 supplement.</x:v>
      </x:c>
      <x:c r="Z35" s="2" t="str">
        <x:v>Accepted</x:v>
      </x:c>
      <x:c r="AA35" s="6" t="str">
        <x:v>NR</x:v>
      </x:c>
    </x:row>
    <x:row r="36" ht="76" customHeight="1">
      <x:c r="A36" s="2" t="str">
        <x:v>S03-T01-P5</x:v>
      </x:c>
      <x:c r="B36" s="2" t="str">
        <x:v>S03</x:v>
      </x:c>
      <x:c r="C36" s="2" t="str">
        <x:v>merged_0014</x:v>
      </x:c>
      <x:c r="D36" s="2" t="str">
        <x:v>Final coding</x:v>
      </x:c>
      <x:c r="E36" s="2" t="str">
        <x:v>R1/R2</x:v>
      </x:c>
      <x:c r="F36" s="2" t="str">
        <x:v>S03-T01-PROC</x:v>
      </x:c>
      <x:c r="G36" s="2" t="str">
        <x:v>S03-T01</x:v>
      </x:c>
      <x:c r="H36" s="2" t="str">
        <x:v>5 Evolution and embedding</x:v>
      </x:c>
      <x:c r="I36" s="2" t="n">
        <x:v>5</x:v>
      </x:c>
      <x:c r="J36" s="2" t="str">
        <x:v>Common core</x:v>
      </x:c>
      <x:c r="K36" s="2" t="str">
        <x:v>Completed</x:v>
      </x:c>
      <x:c r="L36" s="2" t="str">
        <x:v>Not separately reported</x:v>
      </x:c>
      <x:c r="M36" s="2" t="str">
        <x:v>NR</x:v>
      </x:c>
      <x:c r="N36" s="2" t="str">
        <x:v>NR</x:v>
      </x:c>
      <x:c r="O36" s="2" t="str">
        <x:v>NR</x:v>
      </x:c>
      <x:c r="P36" s="6" t="str">
        <x:v>NR</x:v>
      </x:c>
      <x:c r="Q36" s="2" t="str">
        <x:v>NR</x:v>
      </x:c>
      <x:c r="R36" s="6" t="str">
        <x:v>NR</x:v>
      </x:c>
      <x:c r="S36" s="2" t="str">
        <x:v>NR</x:v>
      </x:c>
      <x:c r="T36" s="2" t="str">
        <x:v>NR</x:v>
      </x:c>
      <x:c r="U36" s="2" t="str">
        <x:v>NR</x:v>
      </x:c>
      <x:c r="V36" s="6" t="str">
        <x:v>Task-specific coded evidence</x:v>
      </x:c>
      <x:c r="W36" s="6" t="str">
        <x:v>p. 2; Section 3</x:v>
      </x:c>
      <x:c r="X36" s="6" t="str">
        <x:v>Our objective is to match application classes with a given service descriptions from an enterprise-specific domain models.</x:v>
      </x:c>
      <x:c r="Y36" s="6" t="str">
        <x:v>See task-step evidence references in the RQ2 supplement.</x:v>
      </x:c>
      <x:c r="Z36" s="2" t="str">
        <x:v>Accepted</x:v>
      </x:c>
      <x:c r="AA36" s="6" t="str">
        <x:v>NR</x:v>
      </x:c>
    </x:row>
    <x:row r="37" ht="76" customHeight="1">
      <x:c r="A37" s="2" t="str">
        <x:v>S04-T01-P1</x:v>
      </x:c>
      <x:c r="B37" s="2" t="str">
        <x:v>S04</x:v>
      </x:c>
      <x:c r="C37" s="2" t="str">
        <x:v>merged_0075</x:v>
      </x:c>
      <x:c r="D37" s="2" t="str">
        <x:v>Final coding</x:v>
      </x:c>
      <x:c r="E37" s="2" t="str">
        <x:v>R1/R2</x:v>
      </x:c>
      <x:c r="F37" s="2" t="str">
        <x:v>S04-T01-PROC</x:v>
      </x:c>
      <x:c r="G37" s="2" t="str">
        <x:v>S04-T01</x:v>
      </x:c>
      <x:c r="H37" s="2" t="str">
        <x:v>1 Artifact acquisition and scoping</x:v>
      </x:c>
      <x:c r="I37" s="2" t="n">
        <x:v>1</x:v>
      </x:c>
      <x:c r="J37" s="2" t="str">
        <x:v>Common core</x:v>
      </x:c>
      <x:c r="K37" s="2" t="str">
        <x:v>Completed</x:v>
      </x:c>
      <x:c r="L37" s="2" t="str">
        <x:v>Not separately reported</x:v>
      </x:c>
      <x:c r="M37" s="2" t="str">
        <x:v>NR</x:v>
      </x:c>
      <x:c r="N37" s="2" t="str">
        <x:v>NR</x:v>
      </x:c>
      <x:c r="O37" s="2" t="str">
        <x:v>NR</x:v>
      </x:c>
      <x:c r="P37" s="6" t="str">
        <x:v>NR</x:v>
      </x:c>
      <x:c r="Q37" s="2" t="str">
        <x:v>NR</x:v>
      </x:c>
      <x:c r="R37" s="6" t="str">
        <x:v>NR</x:v>
      </x:c>
      <x:c r="S37" s="2" t="str">
        <x:v>NR</x:v>
      </x:c>
      <x:c r="T37" s="2" t="str">
        <x:v>NR</x:v>
      </x:c>
      <x:c r="U37" s="2" t="str">
        <x:v>NR</x:v>
      </x:c>
      <x:c r="V37" s="6" t="str">
        <x:v>Task-specific coded evidence</x:v>
      </x:c>
      <x:c r="W37" s="6" t="str">
        <x:v>p. 1; Abstract</x:v>
      </x:c>
      <x:c r="X37" s="6" t="str">
        <x:v>paper, we propose an LLM-based approach to generate securityrelated traceability links between requirements (expressed in natural language) and goals (described as part of GRL models). We</x:v>
      </x:c>
      <x:c r="Y37" s="6" t="str">
        <x:v>See task-step evidence references in the RQ2 supplement.</x:v>
      </x:c>
      <x:c r="Z37" s="2" t="str">
        <x:v>Accepted</x:v>
      </x:c>
      <x:c r="AA37" s="6" t="str">
        <x:v>NR</x:v>
      </x:c>
    </x:row>
    <x:row r="38" ht="76" customHeight="1">
      <x:c r="A38" s="2" t="str">
        <x:v>S04-T01-P2</x:v>
      </x:c>
      <x:c r="B38" s="2" t="str">
        <x:v>S04</x:v>
      </x:c>
      <x:c r="C38" s="2" t="str">
        <x:v>merged_0075</x:v>
      </x:c>
      <x:c r="D38" s="2" t="str">
        <x:v>Final coding</x:v>
      </x:c>
      <x:c r="E38" s="2" t="str">
        <x:v>R1/R2</x:v>
      </x:c>
      <x:c r="F38" s="2" t="str">
        <x:v>S04-T01-PROC</x:v>
      </x:c>
      <x:c r="G38" s="2" t="str">
        <x:v>S04-T01</x:v>
      </x:c>
      <x:c r="H38" s="2" t="str">
        <x:v>2 Semantic contextualization</x:v>
      </x:c>
      <x:c r="I38" s="2" t="n">
        <x:v>2</x:v>
      </x:c>
      <x:c r="J38" s="2" t="str">
        <x:v>Common core</x:v>
      </x:c>
      <x:c r="K38" s="2" t="str">
        <x:v>Completed</x:v>
      </x:c>
      <x:c r="L38" s="2" t="str">
        <x:v>Not separately reported</x:v>
      </x:c>
      <x:c r="M38" s="2" t="str">
        <x:v>NR</x:v>
      </x:c>
      <x:c r="N38" s="2" t="str">
        <x:v>NR</x:v>
      </x:c>
      <x:c r="O38" s="2" t="str">
        <x:v>NR</x:v>
      </x:c>
      <x:c r="P38" s="6" t="str">
        <x:v>NR</x:v>
      </x:c>
      <x:c r="Q38" s="2" t="str">
        <x:v>NR</x:v>
      </x:c>
      <x:c r="R38" s="6" t="str">
        <x:v>NR</x:v>
      </x:c>
      <x:c r="S38" s="2" t="str">
        <x:v>NR</x:v>
      </x:c>
      <x:c r="T38" s="2" t="str">
        <x:v>NR</x:v>
      </x:c>
      <x:c r="U38" s="2" t="str">
        <x:v>NR</x:v>
      </x:c>
      <x:c r="V38" s="6" t="str">
        <x:v>Task-specific coded evidence</x:v>
      </x:c>
      <x:c r="W38" s="6" t="str">
        <x:v>p. 1; Abstract</x:v>
      </x:c>
      <x:c r="X38" s="6" t="str">
        <x:v>paper, we propose an LLM-based approach to generate securityrelated traceability links between requirements (expressed in natural language) and goals (described as part of GRL models). We</x:v>
      </x:c>
      <x:c r="Y38" s="6" t="str">
        <x:v>See task-step evidence references in the RQ2 supplement.</x:v>
      </x:c>
      <x:c r="Z38" s="2" t="str">
        <x:v>Accepted</x:v>
      </x:c>
      <x:c r="AA38" s="6" t="str">
        <x:v>NR</x:v>
      </x:c>
    </x:row>
    <x:row r="39" ht="76" customHeight="1">
      <x:c r="A39" s="2" t="str">
        <x:v>S04-T01-P3</x:v>
      </x:c>
      <x:c r="B39" s="2" t="str">
        <x:v>S04</x:v>
      </x:c>
      <x:c r="C39" s="2" t="str">
        <x:v>merged_0075</x:v>
      </x:c>
      <x:c r="D39" s="2" t="str">
        <x:v>Final coding</x:v>
      </x:c>
      <x:c r="E39" s="2" t="str">
        <x:v>R1/R2</x:v>
      </x:c>
      <x:c r="F39" s="2" t="str">
        <x:v>S04-T01-PROC</x:v>
      </x:c>
      <x:c r="G39" s="2" t="str">
        <x:v>S04-T01</x:v>
      </x:c>
      <x:c r="H39" s="2" t="str">
        <x:v>3 Traceability inference</x:v>
      </x:c>
      <x:c r="I39" s="2" t="n">
        <x:v>3</x:v>
      </x:c>
      <x:c r="J39" s="2" t="str">
        <x:v>Common core</x:v>
      </x:c>
      <x:c r="K39" s="2" t="str">
        <x:v>Completed</x:v>
      </x:c>
      <x:c r="L39" s="2" t="str">
        <x:v>Explicitly evidenced</x:v>
      </x:c>
      <x:c r="M39" s="2" t="str">
        <x:v>NR</x:v>
      </x:c>
      <x:c r="N39" s="2" t="str">
        <x:v>NR</x:v>
      </x:c>
      <x:c r="O39" s="2" t="str">
        <x:v>NR</x:v>
      </x:c>
      <x:c r="P39" s="6" t="str">
        <x:v>NR</x:v>
      </x:c>
      <x:c r="Q39" s="2" t="str">
        <x:v>3 Traceability inference</x:v>
      </x:c>
      <x:c r="R39" s="6" t="str">
        <x:v>生成的追溯链接列表及其理由，并可对照人工标注答案计算精确率、召回率和F1分数。</x:v>
      </x:c>
      <x:c r="S39" s="2" t="str">
        <x:v>NR</x:v>
      </x:c>
      <x:c r="T39" s="2" t="str">
        <x:v>NR</x:v>
      </x:c>
      <x:c r="U39" s="2" t="str">
        <x:v>NR</x:v>
      </x:c>
      <x:c r="V39" s="6" t="str">
        <x:v>Task-specific coded evidence</x:v>
      </x:c>
      <x:c r="W39" s="6" t="str">
        <x:v>p. 1; Abstract</x:v>
      </x:c>
      <x:c r="X39" s="6" t="str">
        <x:v>paper, we propose an LLM-based approach to generate securityrelated traceability links between requirements (expressed in natural language) and goals (described as part of GRL models). We</x:v>
      </x:c>
      <x:c r="Y39" s="6" t="str">
        <x:v>See task-step evidence references in the RQ2 supplement.</x:v>
      </x:c>
      <x:c r="Z39" s="2" t="str">
        <x:v>Accepted</x:v>
      </x:c>
      <x:c r="AA39" s="6" t="str">
        <x:v>NR</x:v>
      </x:c>
    </x:row>
    <x:row r="40" ht="76" customHeight="1">
      <x:c r="A40" s="2" t="str">
        <x:v>S04-T01-P4</x:v>
      </x:c>
      <x:c r="B40" s="2" t="str">
        <x:v>S04</x:v>
      </x:c>
      <x:c r="C40" s="2" t="str">
        <x:v>merged_0075</x:v>
      </x:c>
      <x:c r="D40" s="2" t="str">
        <x:v>Final coding</x:v>
      </x:c>
      <x:c r="E40" s="2" t="str">
        <x:v>R1/R2</x:v>
      </x:c>
      <x:c r="F40" s="2" t="str">
        <x:v>S04-T01-PROC</x:v>
      </x:c>
      <x:c r="G40" s="2" t="str">
        <x:v>S04-T01</x:v>
      </x:c>
      <x:c r="H40" s="2" t="str">
        <x:v>4 Validation and explanation</x:v>
      </x:c>
      <x:c r="I40" s="2" t="n">
        <x:v>4</x:v>
      </x:c>
      <x:c r="J40" s="2" t="str">
        <x:v>Common core</x:v>
      </x:c>
      <x:c r="K40" s="2" t="str">
        <x:v>Completed</x:v>
      </x:c>
      <x:c r="L40" s="2" t="str">
        <x:v>Not separately reported</x:v>
      </x:c>
      <x:c r="M40" s="2" t="str">
        <x:v>NR</x:v>
      </x:c>
      <x:c r="N40" s="2" t="str">
        <x:v>NR</x:v>
      </x:c>
      <x:c r="O40" s="2" t="str">
        <x:v>NR</x:v>
      </x:c>
      <x:c r="P40" s="6" t="str">
        <x:v>NR</x:v>
      </x:c>
      <x:c r="Q40" s="2" t="str">
        <x:v>NR</x:v>
      </x:c>
      <x:c r="R40" s="6" t="str">
        <x:v>NR</x:v>
      </x:c>
      <x:c r="S40" s="2" t="str">
        <x:v>NR</x:v>
      </x:c>
      <x:c r="T40" s="2" t="str">
        <x:v>NR</x:v>
      </x:c>
      <x:c r="U40" s="2" t="str">
        <x:v>NR</x:v>
      </x:c>
      <x:c r="V40" s="6" t="str">
        <x:v>Task-specific coded evidence</x:v>
      </x:c>
      <x:c r="W40" s="6" t="str">
        <x:v>p. 1; Abstract</x:v>
      </x:c>
      <x:c r="X40" s="6" t="str">
        <x:v>paper, we propose an LLM-based approach to generate securityrelated traceability links between requirements (expressed in natural language) and goals (described as part of GRL models). We</x:v>
      </x:c>
      <x:c r="Y40" s="6" t="str">
        <x:v>See task-step evidence references in the RQ2 supplement.</x:v>
      </x:c>
      <x:c r="Z40" s="2" t="str">
        <x:v>Accepted</x:v>
      </x:c>
      <x:c r="AA40" s="6" t="str">
        <x:v>NR</x:v>
      </x:c>
    </x:row>
    <x:row r="41" ht="76" customHeight="1">
      <x:c r="A41" s="2" t="str">
        <x:v>S04-T01-P5</x:v>
      </x:c>
      <x:c r="B41" s="2" t="str">
        <x:v>S04</x:v>
      </x:c>
      <x:c r="C41" s="2" t="str">
        <x:v>merged_0075</x:v>
      </x:c>
      <x:c r="D41" s="2" t="str">
        <x:v>Final coding</x:v>
      </x:c>
      <x:c r="E41" s="2" t="str">
        <x:v>R1/R2</x:v>
      </x:c>
      <x:c r="F41" s="2" t="str">
        <x:v>S04-T01-PROC</x:v>
      </x:c>
      <x:c r="G41" s="2" t="str">
        <x:v>S04-T01</x:v>
      </x:c>
      <x:c r="H41" s="2" t="str">
        <x:v>5 Evolution and embedding</x:v>
      </x:c>
      <x:c r="I41" s="2" t="n">
        <x:v>5</x:v>
      </x:c>
      <x:c r="J41" s="2" t="str">
        <x:v>Common core</x:v>
      </x:c>
      <x:c r="K41" s="2" t="str">
        <x:v>Completed</x:v>
      </x:c>
      <x:c r="L41" s="2" t="str">
        <x:v>Not separately reported</x:v>
      </x:c>
      <x:c r="M41" s="2" t="str">
        <x:v>NR</x:v>
      </x:c>
      <x:c r="N41" s="2" t="str">
        <x:v>NR</x:v>
      </x:c>
      <x:c r="O41" s="2" t="str">
        <x:v>NR</x:v>
      </x:c>
      <x:c r="P41" s="6" t="str">
        <x:v>NR</x:v>
      </x:c>
      <x:c r="Q41" s="2" t="str">
        <x:v>NR</x:v>
      </x:c>
      <x:c r="R41" s="6" t="str">
        <x:v>NR</x:v>
      </x:c>
      <x:c r="S41" s="2" t="str">
        <x:v>NR</x:v>
      </x:c>
      <x:c r="T41" s="2" t="str">
        <x:v>NR</x:v>
      </x:c>
      <x:c r="U41" s="2" t="str">
        <x:v>NR</x:v>
      </x:c>
      <x:c r="V41" s="6" t="str">
        <x:v>Task-specific coded evidence</x:v>
      </x:c>
      <x:c r="W41" s="6" t="str">
        <x:v>p. 1; Abstract</x:v>
      </x:c>
      <x:c r="X41" s="6" t="str">
        <x:v>paper, we propose an LLM-based approach to generate securityrelated traceability links between requirements (expressed in natural language) and goals (described as part of GRL models). We</x:v>
      </x:c>
      <x:c r="Y41" s="6" t="str">
        <x:v>See task-step evidence references in the RQ2 supplement.</x:v>
      </x:c>
      <x:c r="Z41" s="2" t="str">
        <x:v>Accepted</x:v>
      </x:c>
      <x:c r="AA41" s="6" t="str">
        <x:v>NR</x:v>
      </x:c>
    </x:row>
    <x:row r="42" ht="76" customHeight="1">
      <x:c r="A42" s="2" t="str">
        <x:v>S05-T01-P1</x:v>
      </x:c>
      <x:c r="B42" s="2" t="str">
        <x:v>S05</x:v>
      </x:c>
      <x:c r="C42" s="2" t="str">
        <x:v>merged_0077</x:v>
      </x:c>
      <x:c r="D42" s="2" t="str">
        <x:v>Final coding</x:v>
      </x:c>
      <x:c r="E42" s="2" t="str">
        <x:v>R1/R2</x:v>
      </x:c>
      <x:c r="F42" s="2" t="str">
        <x:v>S05-T01-PROC</x:v>
      </x:c>
      <x:c r="G42" s="2" t="str">
        <x:v>S05-T01</x:v>
      </x:c>
      <x:c r="H42" s="2" t="str">
        <x:v>1 Artifact acquisition and scoping</x:v>
      </x:c>
      <x:c r="I42" s="2" t="n">
        <x:v>1</x:v>
      </x:c>
      <x:c r="J42" s="2" t="str">
        <x:v>Common core</x:v>
      </x:c>
      <x:c r="K42" s="2" t="str">
        <x:v>Completed</x:v>
      </x:c>
      <x:c r="L42" s="2" t="str">
        <x:v>Not separately reported</x:v>
      </x:c>
      <x:c r="M42" s="2" t="str">
        <x:v>NR</x:v>
      </x:c>
      <x:c r="N42" s="2" t="str">
        <x:v>NR</x:v>
      </x:c>
      <x:c r="O42" s="2" t="str">
        <x:v>NR</x:v>
      </x:c>
      <x:c r="P42" s="6" t="str">
        <x:v>NR</x:v>
      </x:c>
      <x:c r="Q42" s="2" t="str">
        <x:v>NR</x:v>
      </x:c>
      <x:c r="R42" s="6" t="str">
        <x:v>NR</x:v>
      </x:c>
      <x:c r="S42" s="2" t="str">
        <x:v>NR</x:v>
      </x:c>
      <x:c r="T42" s="2" t="str">
        <x:v>NR</x:v>
      </x:c>
      <x:c r="U42" s="2" t="str">
        <x:v>NR</x:v>
      </x:c>
      <x:c r="V42" s="6" t="str">
        <x:v>Task-specific coded evidence</x:v>
      </x:c>
      <x:c r="W42" s="6" t="str">
        <x:v>p. 2; Section 1</x:v>
      </x:c>
      <x:c r="X42" s="6" t="str">
        <x:v>RQ1: How accurately can LLMs identify trace links between documentation segments and their corresponding code elements?</x:v>
      </x:c>
      <x:c r="Y42" s="6" t="str">
        <x:v>See task-step evidence references in the RQ2 supplement.</x:v>
      </x:c>
      <x:c r="Z42" s="2" t="str">
        <x:v>Accepted</x:v>
      </x:c>
      <x:c r="AA42" s="6" t="str">
        <x:v>NR</x:v>
      </x:c>
    </x:row>
    <x:row r="43" ht="76" customHeight="1">
      <x:c r="A43" s="2" t="str">
        <x:v>S05-T01-P2</x:v>
      </x:c>
      <x:c r="B43" s="2" t="str">
        <x:v>S05</x:v>
      </x:c>
      <x:c r="C43" s="2" t="str">
        <x:v>merged_0077</x:v>
      </x:c>
      <x:c r="D43" s="2" t="str">
        <x:v>Final coding</x:v>
      </x:c>
      <x:c r="E43" s="2" t="str">
        <x:v>R1/R2</x:v>
      </x:c>
      <x:c r="F43" s="2" t="str">
        <x:v>S05-T01-PROC</x:v>
      </x:c>
      <x:c r="G43" s="2" t="str">
        <x:v>S05-T01</x:v>
      </x:c>
      <x:c r="H43" s="2" t="str">
        <x:v>2 Semantic contextualization</x:v>
      </x:c>
      <x:c r="I43" s="2" t="n">
        <x:v>2</x:v>
      </x:c>
      <x:c r="J43" s="2" t="str">
        <x:v>Common core</x:v>
      </x:c>
      <x:c r="K43" s="2" t="str">
        <x:v>Completed</x:v>
      </x:c>
      <x:c r="L43" s="2" t="str">
        <x:v>Not separately reported</x:v>
      </x:c>
      <x:c r="M43" s="2" t="str">
        <x:v>NR</x:v>
      </x:c>
      <x:c r="N43" s="2" t="str">
        <x:v>NR</x:v>
      </x:c>
      <x:c r="O43" s="2" t="str">
        <x:v>NR</x:v>
      </x:c>
      <x:c r="P43" s="6" t="str">
        <x:v>NR</x:v>
      </x:c>
      <x:c r="Q43" s="2" t="str">
        <x:v>NR</x:v>
      </x:c>
      <x:c r="R43" s="6" t="str">
        <x:v>NR</x:v>
      </x:c>
      <x:c r="S43" s="2" t="str">
        <x:v>NR</x:v>
      </x:c>
      <x:c r="T43" s="2" t="str">
        <x:v>NR</x:v>
      </x:c>
      <x:c r="U43" s="2" t="str">
        <x:v>NR</x:v>
      </x:c>
      <x:c r="V43" s="6" t="str">
        <x:v>Task-specific coded evidence</x:v>
      </x:c>
      <x:c r="W43" s="6" t="str">
        <x:v>p. 2; Section 1</x:v>
      </x:c>
      <x:c r="X43" s="6" t="str">
        <x:v>RQ1: How accurately can LLMs identify trace links between documentation segments and their corresponding code elements?</x:v>
      </x:c>
      <x:c r="Y43" s="6" t="str">
        <x:v>See task-step evidence references in the RQ2 supplement.</x:v>
      </x:c>
      <x:c r="Z43" s="2" t="str">
        <x:v>Accepted</x:v>
      </x:c>
      <x:c r="AA43" s="6" t="str">
        <x:v>NR</x:v>
      </x:c>
    </x:row>
    <x:row r="44" ht="76" customHeight="1">
      <x:c r="A44" s="2" t="str">
        <x:v>S05-T01-P3</x:v>
      </x:c>
      <x:c r="B44" s="2" t="str">
        <x:v>S05</x:v>
      </x:c>
      <x:c r="C44" s="2" t="str">
        <x:v>merged_0077</x:v>
      </x:c>
      <x:c r="D44" s="2" t="str">
        <x:v>Final coding</x:v>
      </x:c>
      <x:c r="E44" s="2" t="str">
        <x:v>R1/R2</x:v>
      </x:c>
      <x:c r="F44" s="2" t="str">
        <x:v>S05-T01-PROC</x:v>
      </x:c>
      <x:c r="G44" s="2" t="str">
        <x:v>S05-T01</x:v>
      </x:c>
      <x:c r="H44" s="2" t="str">
        <x:v>3 Traceability inference</x:v>
      </x:c>
      <x:c r="I44" s="2" t="n">
        <x:v>3</x:v>
      </x:c>
      <x:c r="J44" s="2" t="str">
        <x:v>Common core</x:v>
      </x:c>
      <x:c r="K44" s="2" t="str">
        <x:v>Completed</x:v>
      </x:c>
      <x:c r="L44" s="2" t="str">
        <x:v>Explicitly evidenced</x:v>
      </x:c>
      <x:c r="M44" s="2" t="str">
        <x:v>NR</x:v>
      </x:c>
      <x:c r="N44" s="2" t="str">
        <x:v>NR</x:v>
      </x:c>
      <x:c r="O44" s="2" t="str">
        <x:v>NR</x:v>
      </x:c>
      <x:c r="P44" s="6" t="str">
        <x:v>NR</x:v>
      </x:c>
      <x:c r="Q44" s="2" t="str">
        <x:v>3 Traceability inference</x:v>
      </x:c>
      <x:c r="R44" s="6" t="str">
        <x:v>每个文档片段对应的代码构件列表（即追溯链接）。</x:v>
      </x:c>
      <x:c r="S44" s="2" t="str">
        <x:v>NR</x:v>
      </x:c>
      <x:c r="T44" s="2" t="str">
        <x:v>NR</x:v>
      </x:c>
      <x:c r="U44" s="2" t="str">
        <x:v>NR</x:v>
      </x:c>
      <x:c r="V44" s="6" t="str">
        <x:v>Task-specific coded evidence</x:v>
      </x:c>
      <x:c r="W44" s="6" t="str">
        <x:v>p. 2; Section 1</x:v>
      </x:c>
      <x:c r="X44" s="6" t="str">
        <x:v>RQ1: How accurately can LLMs identify trace links between documentation segments and their corresponding code elements?</x:v>
      </x:c>
      <x:c r="Y44" s="6" t="str">
        <x:v>See task-step evidence references in the RQ2 supplement.</x:v>
      </x:c>
      <x:c r="Z44" s="2" t="str">
        <x:v>Accepted</x:v>
      </x:c>
      <x:c r="AA44" s="6" t="str">
        <x:v>NR</x:v>
      </x:c>
    </x:row>
    <x:row r="45" ht="76" customHeight="1">
      <x:c r="A45" s="2" t="str">
        <x:v>S05-T01-P4</x:v>
      </x:c>
      <x:c r="B45" s="2" t="str">
        <x:v>S05</x:v>
      </x:c>
      <x:c r="C45" s="2" t="str">
        <x:v>merged_0077</x:v>
      </x:c>
      <x:c r="D45" s="2" t="str">
        <x:v>Final coding</x:v>
      </x:c>
      <x:c r="E45" s="2" t="str">
        <x:v>R1/R2</x:v>
      </x:c>
      <x:c r="F45" s="2" t="str">
        <x:v>S05-T01-PROC</x:v>
      </x:c>
      <x:c r="G45" s="2" t="str">
        <x:v>S05-T01</x:v>
      </x:c>
      <x:c r="H45" s="2" t="str">
        <x:v>4 Validation and explanation</x:v>
      </x:c>
      <x:c r="I45" s="2" t="n">
        <x:v>4</x:v>
      </x:c>
      <x:c r="J45" s="2" t="str">
        <x:v>Common core</x:v>
      </x:c>
      <x:c r="K45" s="2" t="str">
        <x:v>Completed</x:v>
      </x:c>
      <x:c r="L45" s="2" t="str">
        <x:v>Not separately reported</x:v>
      </x:c>
      <x:c r="M45" s="2" t="str">
        <x:v>NR</x:v>
      </x:c>
      <x:c r="N45" s="2" t="str">
        <x:v>NR</x:v>
      </x:c>
      <x:c r="O45" s="2" t="str">
        <x:v>NR</x:v>
      </x:c>
      <x:c r="P45" s="6" t="str">
        <x:v>NR</x:v>
      </x:c>
      <x:c r="Q45" s="2" t="str">
        <x:v>NR</x:v>
      </x:c>
      <x:c r="R45" s="6" t="str">
        <x:v>NR</x:v>
      </x:c>
      <x:c r="S45" s="2" t="str">
        <x:v>NR</x:v>
      </x:c>
      <x:c r="T45" s="2" t="str">
        <x:v>NR</x:v>
      </x:c>
      <x:c r="U45" s="2" t="str">
        <x:v>NR</x:v>
      </x:c>
      <x:c r="V45" s="6" t="str">
        <x:v>Task-specific coded evidence</x:v>
      </x:c>
      <x:c r="W45" s="6" t="str">
        <x:v>p. 2; Section 1</x:v>
      </x:c>
      <x:c r="X45" s="6" t="str">
        <x:v>RQ1: How accurately can LLMs identify trace links between documentation segments and their corresponding code elements?</x:v>
      </x:c>
      <x:c r="Y45" s="6" t="str">
        <x:v>See task-step evidence references in the RQ2 supplement.</x:v>
      </x:c>
      <x:c r="Z45" s="2" t="str">
        <x:v>Accepted</x:v>
      </x:c>
      <x:c r="AA45" s="6" t="str">
        <x:v>NR</x:v>
      </x:c>
    </x:row>
    <x:row r="46" ht="76" customHeight="1">
      <x:c r="A46" s="2" t="str">
        <x:v>S05-T01-P5</x:v>
      </x:c>
      <x:c r="B46" s="2" t="str">
        <x:v>S05</x:v>
      </x:c>
      <x:c r="C46" s="2" t="str">
        <x:v>merged_0077</x:v>
      </x:c>
      <x:c r="D46" s="2" t="str">
        <x:v>Final coding</x:v>
      </x:c>
      <x:c r="E46" s="2" t="str">
        <x:v>R1/R2</x:v>
      </x:c>
      <x:c r="F46" s="2" t="str">
        <x:v>S05-T01-PROC</x:v>
      </x:c>
      <x:c r="G46" s="2" t="str">
        <x:v>S05-T01</x:v>
      </x:c>
      <x:c r="H46" s="2" t="str">
        <x:v>5 Evolution and embedding</x:v>
      </x:c>
      <x:c r="I46" s="2" t="n">
        <x:v>5</x:v>
      </x:c>
      <x:c r="J46" s="2" t="str">
        <x:v>Common core</x:v>
      </x:c>
      <x:c r="K46" s="2" t="str">
        <x:v>Completed</x:v>
      </x:c>
      <x:c r="L46" s="2" t="str">
        <x:v>Not separately reported</x:v>
      </x:c>
      <x:c r="M46" s="2" t="str">
        <x:v>NR</x:v>
      </x:c>
      <x:c r="N46" s="2" t="str">
        <x:v>NR</x:v>
      </x:c>
      <x:c r="O46" s="2" t="str">
        <x:v>NR</x:v>
      </x:c>
      <x:c r="P46" s="6" t="str">
        <x:v>NR</x:v>
      </x:c>
      <x:c r="Q46" s="2" t="str">
        <x:v>NR</x:v>
      </x:c>
      <x:c r="R46" s="6" t="str">
        <x:v>NR</x:v>
      </x:c>
      <x:c r="S46" s="2" t="str">
        <x:v>NR</x:v>
      </x:c>
      <x:c r="T46" s="2" t="str">
        <x:v>NR</x:v>
      </x:c>
      <x:c r="U46" s="2" t="str">
        <x:v>NR</x:v>
      </x:c>
      <x:c r="V46" s="6" t="str">
        <x:v>Task-specific coded evidence</x:v>
      </x:c>
      <x:c r="W46" s="6" t="str">
        <x:v>p. 2; Section 1</x:v>
      </x:c>
      <x:c r="X46" s="6" t="str">
        <x:v>RQ1: How accurately can LLMs identify trace links between documentation segments and their corresponding code elements?</x:v>
      </x:c>
      <x:c r="Y46" s="6" t="str">
        <x:v>See task-step evidence references in the RQ2 supplement.</x:v>
      </x:c>
      <x:c r="Z46" s="2" t="str">
        <x:v>Accepted</x:v>
      </x:c>
      <x:c r="AA46" s="6" t="str">
        <x:v>NR</x:v>
      </x:c>
    </x:row>
    <x:row r="47" ht="76" customHeight="1">
      <x:c r="A47" s="2" t="str">
        <x:v>S05-T02-P1</x:v>
      </x:c>
      <x:c r="B47" s="2" t="str">
        <x:v>S05</x:v>
      </x:c>
      <x:c r="C47" s="2" t="str">
        <x:v>merged_0077</x:v>
      </x:c>
      <x:c r="D47" s="2" t="str">
        <x:v>Final coding</x:v>
      </x:c>
      <x:c r="E47" s="2" t="str">
        <x:v>R1/R2</x:v>
      </x:c>
      <x:c r="F47" s="2" t="str">
        <x:v>S05-T02-PROC</x:v>
      </x:c>
      <x:c r="G47" s="2" t="str">
        <x:v>S05-T02</x:v>
      </x:c>
      <x:c r="H47" s="2" t="str">
        <x:v>1 Artifact acquisition and scoping</x:v>
      </x:c>
      <x:c r="I47" s="2" t="n">
        <x:v>1</x:v>
      </x:c>
      <x:c r="J47" s="2" t="str">
        <x:v>Common core</x:v>
      </x:c>
      <x:c r="K47" s="2" t="str">
        <x:v>Completed</x:v>
      </x:c>
      <x:c r="L47" s="2" t="str">
        <x:v>Not separately reported</x:v>
      </x:c>
      <x:c r="M47" s="2" t="str">
        <x:v>NR</x:v>
      </x:c>
      <x:c r="N47" s="2" t="str">
        <x:v>NR</x:v>
      </x:c>
      <x:c r="O47" s="2" t="str">
        <x:v>NR</x:v>
      </x:c>
      <x:c r="P47" s="6" t="str">
        <x:v>NR</x:v>
      </x:c>
      <x:c r="Q47" s="2" t="str">
        <x:v>NR</x:v>
      </x:c>
      <x:c r="R47" s="6" t="str">
        <x:v>NR</x:v>
      </x:c>
      <x:c r="S47" s="2" t="str">
        <x:v>NR</x:v>
      </x:c>
      <x:c r="T47" s="2" t="str">
        <x:v>NR</x:v>
      </x:c>
      <x:c r="U47" s="2" t="str">
        <x:v>NR</x:v>
      </x:c>
      <x:c r="V47" s="6" t="str">
        <x:v>Task-specific coded evidence</x:v>
      </x:c>
      <x:c r="W47" s="6" t="str">
        <x:v>p. 3; Section 1</x:v>
      </x:c>
      <x:c r="X47" s="6" t="str">
        <x:v>RQ2: How effectively can LLMs explain the nature of relationships between documentation and code elements?</x:v>
      </x:c>
      <x:c r="Y47" s="6" t="str">
        <x:v>See task-step evidence references in the RQ2 supplement.</x:v>
      </x:c>
      <x:c r="Z47" s="2" t="str">
        <x:v>Accepted</x:v>
      </x:c>
      <x:c r="AA47" s="6" t="str">
        <x:v>NR</x:v>
      </x:c>
    </x:row>
    <x:row r="48" ht="76" customHeight="1">
      <x:c r="A48" s="2" t="str">
        <x:v>S05-T02-P2</x:v>
      </x:c>
      <x:c r="B48" s="2" t="str">
        <x:v>S05</x:v>
      </x:c>
      <x:c r="C48" s="2" t="str">
        <x:v>merged_0077</x:v>
      </x:c>
      <x:c r="D48" s="2" t="str">
        <x:v>Final coding</x:v>
      </x:c>
      <x:c r="E48" s="2" t="str">
        <x:v>R1/R2</x:v>
      </x:c>
      <x:c r="F48" s="2" t="str">
        <x:v>S05-T02-PROC</x:v>
      </x:c>
      <x:c r="G48" s="2" t="str">
        <x:v>S05-T02</x:v>
      </x:c>
      <x:c r="H48" s="2" t="str">
        <x:v>2 Semantic contextualization</x:v>
      </x:c>
      <x:c r="I48" s="2" t="n">
        <x:v>2</x:v>
      </x:c>
      <x:c r="J48" s="2" t="str">
        <x:v>Common core</x:v>
      </x:c>
      <x:c r="K48" s="2" t="str">
        <x:v>Completed</x:v>
      </x:c>
      <x:c r="L48" s="2" t="str">
        <x:v>Not separately reported</x:v>
      </x:c>
      <x:c r="M48" s="2" t="str">
        <x:v>NR</x:v>
      </x:c>
      <x:c r="N48" s="2" t="str">
        <x:v>NR</x:v>
      </x:c>
      <x:c r="O48" s="2" t="str">
        <x:v>NR</x:v>
      </x:c>
      <x:c r="P48" s="6" t="str">
        <x:v>NR</x:v>
      </x:c>
      <x:c r="Q48" s="2" t="str">
        <x:v>NR</x:v>
      </x:c>
      <x:c r="R48" s="6" t="str">
        <x:v>NR</x:v>
      </x:c>
      <x:c r="S48" s="2" t="str">
        <x:v>NR</x:v>
      </x:c>
      <x:c r="T48" s="2" t="str">
        <x:v>NR</x:v>
      </x:c>
      <x:c r="U48" s="2" t="str">
        <x:v>NR</x:v>
      </x:c>
      <x:c r="V48" s="6" t="str">
        <x:v>Task-specific coded evidence</x:v>
      </x:c>
      <x:c r="W48" s="6" t="str">
        <x:v>p. 3; Section 1</x:v>
      </x:c>
      <x:c r="X48" s="6" t="str">
        <x:v>RQ2: How effectively can LLMs explain the nature of relationships between documentation and code elements?</x:v>
      </x:c>
      <x:c r="Y48" s="6" t="str">
        <x:v>See task-step evidence references in the RQ2 supplement.</x:v>
      </x:c>
      <x:c r="Z48" s="2" t="str">
        <x:v>Accepted</x:v>
      </x:c>
      <x:c r="AA48" s="6" t="str">
        <x:v>NR</x:v>
      </x:c>
    </x:row>
    <x:row r="49" ht="76" customHeight="1">
      <x:c r="A49" s="2" t="str">
        <x:v>S05-T02-P3</x:v>
      </x:c>
      <x:c r="B49" s="2" t="str">
        <x:v>S05</x:v>
      </x:c>
      <x:c r="C49" s="2" t="str">
        <x:v>merged_0077</x:v>
      </x:c>
      <x:c r="D49" s="2" t="str">
        <x:v>Final coding</x:v>
      </x:c>
      <x:c r="E49" s="2" t="str">
        <x:v>R1/R2</x:v>
      </x:c>
      <x:c r="F49" s="2" t="str">
        <x:v>S05-T02-PROC</x:v>
      </x:c>
      <x:c r="G49" s="2" t="str">
        <x:v>S05-T02</x:v>
      </x:c>
      <x:c r="H49" s="2" t="str">
        <x:v>3 Traceability inference</x:v>
      </x:c>
      <x:c r="I49" s="2" t="n">
        <x:v>3</x:v>
      </x:c>
      <x:c r="J49" s="2" t="str">
        <x:v>Common core</x:v>
      </x:c>
      <x:c r="K49" s="2" t="str">
        <x:v>Completed</x:v>
      </x:c>
      <x:c r="L49" s="2" t="str">
        <x:v>Inferred from relation output</x:v>
      </x:c>
      <x:c r="M49" s="2" t="str">
        <x:v>NR</x:v>
      </x:c>
      <x:c r="N49" s="2" t="str">
        <x:v>NR</x:v>
      </x:c>
      <x:c r="O49" s="2" t="str">
        <x:v>NR</x:v>
      </x:c>
      <x:c r="P49" s="6" t="str">
        <x:v>NR</x:v>
      </x:c>
      <x:c r="Q49" s="2" t="str">
        <x:v>NR</x:v>
      </x:c>
      <x:c r="R49" s="6" t="str">
        <x:v>为每个正确追溯链接生成的自然语言关系描述。</x:v>
      </x:c>
      <x:c r="S49" s="2" t="str">
        <x:v>NR</x:v>
      </x:c>
      <x:c r="T49" s="2" t="str">
        <x:v>NR</x:v>
      </x:c>
      <x:c r="U49" s="2" t="str">
        <x:v>NR</x:v>
      </x:c>
      <x:c r="V49" s="6" t="str">
        <x:v>Task-specific coded evidence</x:v>
      </x:c>
      <x:c r="W49" s="6" t="str">
        <x:v>p. 3; Section 1</x:v>
      </x:c>
      <x:c r="X49" s="6" t="str">
        <x:v>RQ2: How effectively can LLMs explain the nature of relationships between documentation and code elements?</x:v>
      </x:c>
      <x:c r="Y49" s="6" t="str">
        <x:v>See task-step evidence references in the RQ2 supplement.</x:v>
      </x:c>
      <x:c r="Z49" s="2" t="str">
        <x:v>Accepted</x:v>
      </x:c>
      <x:c r="AA49" s="6" t="str">
        <x:v>NR</x:v>
      </x:c>
    </x:row>
    <x:row r="50" ht="76" customHeight="1">
      <x:c r="A50" s="2" t="str">
        <x:v>S05-T02-P4</x:v>
      </x:c>
      <x:c r="B50" s="2" t="str">
        <x:v>S05</x:v>
      </x:c>
      <x:c r="C50" s="2" t="str">
        <x:v>merged_0077</x:v>
      </x:c>
      <x:c r="D50" s="2" t="str">
        <x:v>Final coding</x:v>
      </x:c>
      <x:c r="E50" s="2" t="str">
        <x:v>R1/R2</x:v>
      </x:c>
      <x:c r="F50" s="2" t="str">
        <x:v>S05-T02-PROC</x:v>
      </x:c>
      <x:c r="G50" s="2" t="str">
        <x:v>S05-T02</x:v>
      </x:c>
      <x:c r="H50" s="2" t="str">
        <x:v>4 Validation and explanation</x:v>
      </x:c>
      <x:c r="I50" s="2" t="n">
        <x:v>4</x:v>
      </x:c>
      <x:c r="J50" s="2" t="str">
        <x:v>Common core</x:v>
      </x:c>
      <x:c r="K50" s="2" t="str">
        <x:v>Completed</x:v>
      </x:c>
      <x:c r="L50" s="2" t="str">
        <x:v>Explicitly evidenced</x:v>
      </x:c>
      <x:c r="M50" s="2" t="str">
        <x:v>NR</x:v>
      </x:c>
      <x:c r="N50" s="2" t="str">
        <x:v>NR</x:v>
      </x:c>
      <x:c r="O50" s="2" t="str">
        <x:v>NR</x:v>
      </x:c>
      <x:c r="P50" s="6" t="str">
        <x:v>NR</x:v>
      </x:c>
      <x:c r="Q50" s="2" t="str">
        <x:v>4 Validation and explanation</x:v>
      </x:c>
      <x:c r="R50" s="6" t="str">
        <x:v>NR</x:v>
      </x:c>
      <x:c r="S50" s="2" t="str">
        <x:v>NR</x:v>
      </x:c>
      <x:c r="T50" s="2" t="str">
        <x:v>NR</x:v>
      </x:c>
      <x:c r="U50" s="2" t="str">
        <x:v>NR</x:v>
      </x:c>
      <x:c r="V50" s="6" t="str">
        <x:v>Task-specific coded evidence</x:v>
      </x:c>
      <x:c r="W50" s="6" t="str">
        <x:v>p. 3; Section 1</x:v>
      </x:c>
      <x:c r="X50" s="6" t="str">
        <x:v>RQ2: How effectively can LLMs explain the nature of relationships between documentation and code elements?</x:v>
      </x:c>
      <x:c r="Y50" s="6" t="str">
        <x:v>See task-step evidence references in the RQ2 supplement.</x:v>
      </x:c>
      <x:c r="Z50" s="2" t="str">
        <x:v>Accepted</x:v>
      </x:c>
      <x:c r="AA50" s="6" t="str">
        <x:v>NR</x:v>
      </x:c>
    </x:row>
    <x:row r="51" ht="76" customHeight="1">
      <x:c r="A51" s="2" t="str">
        <x:v>S05-T02-P5</x:v>
      </x:c>
      <x:c r="B51" s="2" t="str">
        <x:v>S05</x:v>
      </x:c>
      <x:c r="C51" s="2" t="str">
        <x:v>merged_0077</x:v>
      </x:c>
      <x:c r="D51" s="2" t="str">
        <x:v>Final coding</x:v>
      </x:c>
      <x:c r="E51" s="2" t="str">
        <x:v>R1/R2</x:v>
      </x:c>
      <x:c r="F51" s="2" t="str">
        <x:v>S05-T02-PROC</x:v>
      </x:c>
      <x:c r="G51" s="2" t="str">
        <x:v>S05-T02</x:v>
      </x:c>
      <x:c r="H51" s="2" t="str">
        <x:v>5 Evolution and embedding</x:v>
      </x:c>
      <x:c r="I51" s="2" t="n">
        <x:v>5</x:v>
      </x:c>
      <x:c r="J51" s="2" t="str">
        <x:v>Common core</x:v>
      </x:c>
      <x:c r="K51" s="2" t="str">
        <x:v>Completed</x:v>
      </x:c>
      <x:c r="L51" s="2" t="str">
        <x:v>Not separately reported</x:v>
      </x:c>
      <x:c r="M51" s="2" t="str">
        <x:v>NR</x:v>
      </x:c>
      <x:c r="N51" s="2" t="str">
        <x:v>NR</x:v>
      </x:c>
      <x:c r="O51" s="2" t="str">
        <x:v>NR</x:v>
      </x:c>
      <x:c r="P51" s="6" t="str">
        <x:v>NR</x:v>
      </x:c>
      <x:c r="Q51" s="2" t="str">
        <x:v>NR</x:v>
      </x:c>
      <x:c r="R51" s="6" t="str">
        <x:v>NR</x:v>
      </x:c>
      <x:c r="S51" s="2" t="str">
        <x:v>NR</x:v>
      </x:c>
      <x:c r="T51" s="2" t="str">
        <x:v>NR</x:v>
      </x:c>
      <x:c r="U51" s="2" t="str">
        <x:v>NR</x:v>
      </x:c>
      <x:c r="V51" s="6" t="str">
        <x:v>Task-specific coded evidence</x:v>
      </x:c>
      <x:c r="W51" s="6" t="str">
        <x:v>p. 3; Section 1</x:v>
      </x:c>
      <x:c r="X51" s="6" t="str">
        <x:v>RQ2: How effectively can LLMs explain the nature of relationships between documentation and code elements?</x:v>
      </x:c>
      <x:c r="Y51" s="6" t="str">
        <x:v>See task-step evidence references in the RQ2 supplement.</x:v>
      </x:c>
      <x:c r="Z51" s="2" t="str">
        <x:v>Accepted</x:v>
      </x:c>
      <x:c r="AA51" s="6" t="str">
        <x:v>NR</x:v>
      </x:c>
    </x:row>
    <x:row r="52" ht="76" customHeight="1">
      <x:c r="A52" s="2" t="str">
        <x:v>S05-T03-P1</x:v>
      </x:c>
      <x:c r="B52" s="2" t="str">
        <x:v>S05</x:v>
      </x:c>
      <x:c r="C52" s="2" t="str">
        <x:v>merged_0077</x:v>
      </x:c>
      <x:c r="D52" s="2" t="str">
        <x:v>Final coding</x:v>
      </x:c>
      <x:c r="E52" s="2" t="str">
        <x:v>R1/R2</x:v>
      </x:c>
      <x:c r="F52" s="2" t="str">
        <x:v>S05-T03-PROC</x:v>
      </x:c>
      <x:c r="G52" s="2" t="str">
        <x:v>S05-T03</x:v>
      </x:c>
      <x:c r="H52" s="2" t="str">
        <x:v>1 Artifact acquisition and scoping</x:v>
      </x:c>
      <x:c r="I52" s="2" t="n">
        <x:v>1</x:v>
      </x:c>
      <x:c r="J52" s="2" t="str">
        <x:v>Common core</x:v>
      </x:c>
      <x:c r="K52" s="2" t="str">
        <x:v>Completed</x:v>
      </x:c>
      <x:c r="L52" s="2" t="str">
        <x:v>Not separately reported</x:v>
      </x:c>
      <x:c r="M52" s="2" t="str">
        <x:v>NR</x:v>
      </x:c>
      <x:c r="N52" s="2" t="str">
        <x:v>NR</x:v>
      </x:c>
      <x:c r="O52" s="2" t="str">
        <x:v>NR</x:v>
      </x:c>
      <x:c r="P52" s="6" t="str">
        <x:v>NR</x:v>
      </x:c>
      <x:c r="Q52" s="2" t="str">
        <x:v>NR</x:v>
      </x:c>
      <x:c r="R52" s="6" t="str">
        <x:v>NR</x:v>
      </x:c>
      <x:c r="S52" s="2" t="str">
        <x:v>NR</x:v>
      </x:c>
      <x:c r="T52" s="2" t="str">
        <x:v>NR</x:v>
      </x:c>
      <x:c r="U52" s="2" t="str">
        <x:v>NR</x:v>
      </x:c>
      <x:c r="V52" s="6" t="str">
        <x:v>Task-specific coded evidence</x:v>
      </x:c>
      <x:c r="W52" s="6" t="str">
        <x:v>p. 3; Section 1</x:v>
      </x:c>
      <x:c r="X52" s="6" t="str">
        <x:v>RQ3: How completely can LLMs identify intermediate elements in documentation-to-code trace chains?</x:v>
      </x:c>
      <x:c r="Y52" s="6" t="str">
        <x:v>See task-step evidence references in the RQ2 supplement.</x:v>
      </x:c>
      <x:c r="Z52" s="2" t="str">
        <x:v>Accepted</x:v>
      </x:c>
      <x:c r="AA52" s="6" t="str">
        <x:v>NR</x:v>
      </x:c>
    </x:row>
    <x:row r="53" ht="76" customHeight="1">
      <x:c r="A53" s="2" t="str">
        <x:v>S05-T03-P2</x:v>
      </x:c>
      <x:c r="B53" s="2" t="str">
        <x:v>S05</x:v>
      </x:c>
      <x:c r="C53" s="2" t="str">
        <x:v>merged_0077</x:v>
      </x:c>
      <x:c r="D53" s="2" t="str">
        <x:v>Final coding</x:v>
      </x:c>
      <x:c r="E53" s="2" t="str">
        <x:v>R1/R2</x:v>
      </x:c>
      <x:c r="F53" s="2" t="str">
        <x:v>S05-T03-PROC</x:v>
      </x:c>
      <x:c r="G53" s="2" t="str">
        <x:v>S05-T03</x:v>
      </x:c>
      <x:c r="H53" s="2" t="str">
        <x:v>2 Semantic contextualization</x:v>
      </x:c>
      <x:c r="I53" s="2" t="n">
        <x:v>2</x:v>
      </x:c>
      <x:c r="J53" s="2" t="str">
        <x:v>Common core</x:v>
      </x:c>
      <x:c r="K53" s="2" t="str">
        <x:v>Completed</x:v>
      </x:c>
      <x:c r="L53" s="2" t="str">
        <x:v>Not separately reported</x:v>
      </x:c>
      <x:c r="M53" s="2" t="str">
        <x:v>NR</x:v>
      </x:c>
      <x:c r="N53" s="2" t="str">
        <x:v>NR</x:v>
      </x:c>
      <x:c r="O53" s="2" t="str">
        <x:v>NR</x:v>
      </x:c>
      <x:c r="P53" s="6" t="str">
        <x:v>NR</x:v>
      </x:c>
      <x:c r="Q53" s="2" t="str">
        <x:v>NR</x:v>
      </x:c>
      <x:c r="R53" s="6" t="str">
        <x:v>NR</x:v>
      </x:c>
      <x:c r="S53" s="2" t="str">
        <x:v>NR</x:v>
      </x:c>
      <x:c r="T53" s="2" t="str">
        <x:v>NR</x:v>
      </x:c>
      <x:c r="U53" s="2" t="str">
        <x:v>NR</x:v>
      </x:c>
      <x:c r="V53" s="6" t="str">
        <x:v>Task-specific coded evidence</x:v>
      </x:c>
      <x:c r="W53" s="6" t="str">
        <x:v>p. 3; Section 1</x:v>
      </x:c>
      <x:c r="X53" s="6" t="str">
        <x:v>RQ3: How completely can LLMs identify intermediate elements in documentation-to-code trace chains?</x:v>
      </x:c>
      <x:c r="Y53" s="6" t="str">
        <x:v>See task-step evidence references in the RQ2 supplement.</x:v>
      </x:c>
      <x:c r="Z53" s="2" t="str">
        <x:v>Accepted</x:v>
      </x:c>
      <x:c r="AA53" s="6" t="str">
        <x:v>NR</x:v>
      </x:c>
    </x:row>
    <x:row r="54" ht="76" customHeight="1">
      <x:c r="A54" s="2" t="str">
        <x:v>S05-T03-P3</x:v>
      </x:c>
      <x:c r="B54" s="2" t="str">
        <x:v>S05</x:v>
      </x:c>
      <x:c r="C54" s="2" t="str">
        <x:v>merged_0077</x:v>
      </x:c>
      <x:c r="D54" s="2" t="str">
        <x:v>Final coding</x:v>
      </x:c>
      <x:c r="E54" s="2" t="str">
        <x:v>R1/R2</x:v>
      </x:c>
      <x:c r="F54" s="2" t="str">
        <x:v>S05-T03-PROC</x:v>
      </x:c>
      <x:c r="G54" s="2" t="str">
        <x:v>S05-T03</x:v>
      </x:c>
      <x:c r="H54" s="2" t="str">
        <x:v>3 Traceability inference</x:v>
      </x:c>
      <x:c r="I54" s="2" t="n">
        <x:v>3</x:v>
      </x:c>
      <x:c r="J54" s="2" t="str">
        <x:v>Common core</x:v>
      </x:c>
      <x:c r="K54" s="2" t="str">
        <x:v>Completed</x:v>
      </x:c>
      <x:c r="L54" s="2" t="str">
        <x:v>Explicitly evidenced</x:v>
      </x:c>
      <x:c r="M54" s="2" t="str">
        <x:v>NR</x:v>
      </x:c>
      <x:c r="N54" s="2" t="str">
        <x:v>NR</x:v>
      </x:c>
      <x:c r="O54" s="2" t="str">
        <x:v>NR</x:v>
      </x:c>
      <x:c r="P54" s="6" t="str">
        <x:v>NR</x:v>
      </x:c>
      <x:c r="Q54" s="2" t="str">
        <x:v>3 Traceability inference</x:v>
      </x:c>
      <x:c r="R54" s="6" t="str">
        <x:v>从文档片段到最终代码构件的节点序列（如 docs → ClassA → methodB）。</x:v>
      </x:c>
      <x:c r="S54" s="2" t="str">
        <x:v>NR</x:v>
      </x:c>
      <x:c r="T54" s="2" t="str">
        <x:v>NR</x:v>
      </x:c>
      <x:c r="U54" s="2" t="str">
        <x:v>NR</x:v>
      </x:c>
      <x:c r="V54" s="6" t="str">
        <x:v>Task-specific coded evidence</x:v>
      </x:c>
      <x:c r="W54" s="6" t="str">
        <x:v>p. 3; Section 1</x:v>
      </x:c>
      <x:c r="X54" s="6" t="str">
        <x:v>RQ3: How completely can LLMs identify intermediate elements in documentation-to-code trace chains?</x:v>
      </x:c>
      <x:c r="Y54" s="6" t="str">
        <x:v>See task-step evidence references in the RQ2 supplement.</x:v>
      </x:c>
      <x:c r="Z54" s="2" t="str">
        <x:v>Accepted</x:v>
      </x:c>
      <x:c r="AA54" s="6" t="str">
        <x:v>NR</x:v>
      </x:c>
    </x:row>
    <x:row r="55" ht="76" customHeight="1">
      <x:c r="A55" s="2" t="str">
        <x:v>S05-T03-P4</x:v>
      </x:c>
      <x:c r="B55" s="2" t="str">
        <x:v>S05</x:v>
      </x:c>
      <x:c r="C55" s="2" t="str">
        <x:v>merged_0077</x:v>
      </x:c>
      <x:c r="D55" s="2" t="str">
        <x:v>Final coding</x:v>
      </x:c>
      <x:c r="E55" s="2" t="str">
        <x:v>R1/R2</x:v>
      </x:c>
      <x:c r="F55" s="2" t="str">
        <x:v>S05-T03-PROC</x:v>
      </x:c>
      <x:c r="G55" s="2" t="str">
        <x:v>S05-T03</x:v>
      </x:c>
      <x:c r="H55" s="2" t="str">
        <x:v>4 Validation and explanation</x:v>
      </x:c>
      <x:c r="I55" s="2" t="n">
        <x:v>4</x:v>
      </x:c>
      <x:c r="J55" s="2" t="str">
        <x:v>Common core</x:v>
      </x:c>
      <x:c r="K55" s="2" t="str">
        <x:v>Completed</x:v>
      </x:c>
      <x:c r="L55" s="2" t="str">
        <x:v>Not separately reported</x:v>
      </x:c>
      <x:c r="M55" s="2" t="str">
        <x:v>NR</x:v>
      </x:c>
      <x:c r="N55" s="2" t="str">
        <x:v>NR</x:v>
      </x:c>
      <x:c r="O55" s="2" t="str">
        <x:v>NR</x:v>
      </x:c>
      <x:c r="P55" s="6" t="str">
        <x:v>NR</x:v>
      </x:c>
      <x:c r="Q55" s="2" t="str">
        <x:v>NR</x:v>
      </x:c>
      <x:c r="R55" s="6" t="str">
        <x:v>NR</x:v>
      </x:c>
      <x:c r="S55" s="2" t="str">
        <x:v>NR</x:v>
      </x:c>
      <x:c r="T55" s="2" t="str">
        <x:v>NR</x:v>
      </x:c>
      <x:c r="U55" s="2" t="str">
        <x:v>NR</x:v>
      </x:c>
      <x:c r="V55" s="6" t="str">
        <x:v>Task-specific coded evidence</x:v>
      </x:c>
      <x:c r="W55" s="6" t="str">
        <x:v>p. 3; Section 1</x:v>
      </x:c>
      <x:c r="X55" s="6" t="str">
        <x:v>RQ3: How completely can LLMs identify intermediate elements in documentation-to-code trace chains?</x:v>
      </x:c>
      <x:c r="Y55" s="6" t="str">
        <x:v>See task-step evidence references in the RQ2 supplement.</x:v>
      </x:c>
      <x:c r="Z55" s="2" t="str">
        <x:v>Accepted</x:v>
      </x:c>
      <x:c r="AA55" s="6" t="str">
        <x:v>NR</x:v>
      </x:c>
    </x:row>
    <x:row r="56" ht="76" customHeight="1">
      <x:c r="A56" s="2" t="str">
        <x:v>S05-T03-P5</x:v>
      </x:c>
      <x:c r="B56" s="2" t="str">
        <x:v>S05</x:v>
      </x:c>
      <x:c r="C56" s="2" t="str">
        <x:v>merged_0077</x:v>
      </x:c>
      <x:c r="D56" s="2" t="str">
        <x:v>Final coding</x:v>
      </x:c>
      <x:c r="E56" s="2" t="str">
        <x:v>R1/R2</x:v>
      </x:c>
      <x:c r="F56" s="2" t="str">
        <x:v>S05-T03-PROC</x:v>
      </x:c>
      <x:c r="G56" s="2" t="str">
        <x:v>S05-T03</x:v>
      </x:c>
      <x:c r="H56" s="2" t="str">
        <x:v>5 Evolution and embedding</x:v>
      </x:c>
      <x:c r="I56" s="2" t="n">
        <x:v>5</x:v>
      </x:c>
      <x:c r="J56" s="2" t="str">
        <x:v>Common core</x:v>
      </x:c>
      <x:c r="K56" s="2" t="str">
        <x:v>Completed</x:v>
      </x:c>
      <x:c r="L56" s="2" t="str">
        <x:v>Not separately reported</x:v>
      </x:c>
      <x:c r="M56" s="2" t="str">
        <x:v>NR</x:v>
      </x:c>
      <x:c r="N56" s="2" t="str">
        <x:v>NR</x:v>
      </x:c>
      <x:c r="O56" s="2" t="str">
        <x:v>NR</x:v>
      </x:c>
      <x:c r="P56" s="6" t="str">
        <x:v>NR</x:v>
      </x:c>
      <x:c r="Q56" s="2" t="str">
        <x:v>NR</x:v>
      </x:c>
      <x:c r="R56" s="6" t="str">
        <x:v>NR</x:v>
      </x:c>
      <x:c r="S56" s="2" t="str">
        <x:v>NR</x:v>
      </x:c>
      <x:c r="T56" s="2" t="str">
        <x:v>NR</x:v>
      </x:c>
      <x:c r="U56" s="2" t="str">
        <x:v>NR</x:v>
      </x:c>
      <x:c r="V56" s="6" t="str">
        <x:v>Task-specific coded evidence</x:v>
      </x:c>
      <x:c r="W56" s="6" t="str">
        <x:v>p. 3; Section 1</x:v>
      </x:c>
      <x:c r="X56" s="6" t="str">
        <x:v>RQ3: How completely can LLMs identify intermediate elements in documentation-to-code trace chains?</x:v>
      </x:c>
      <x:c r="Y56" s="6" t="str">
        <x:v>See task-step evidence references in the RQ2 supplement.</x:v>
      </x:c>
      <x:c r="Z56" s="2" t="str">
        <x:v>Accepted</x:v>
      </x:c>
      <x:c r="AA56" s="6" t="str">
        <x:v>NR</x:v>
      </x:c>
    </x:row>
    <x:row r="57" ht="76" customHeight="1">
      <x:c r="A57" s="2" t="str">
        <x:v>S06-T01-P1</x:v>
      </x:c>
      <x:c r="B57" s="2" t="str">
        <x:v>S06</x:v>
      </x:c>
      <x:c r="C57" s="2" t="str">
        <x:v>merged_0079</x:v>
      </x:c>
      <x:c r="D57" s="2" t="str">
        <x:v>Final coding</x:v>
      </x:c>
      <x:c r="E57" s="2" t="str">
        <x:v>R1/R2</x:v>
      </x:c>
      <x:c r="F57" s="2" t="str">
        <x:v>S06-T01-PROC</x:v>
      </x:c>
      <x:c r="G57" s="2" t="str">
        <x:v>S06-T01</x:v>
      </x:c>
      <x:c r="H57" s="2" t="str">
        <x:v>1 Artifact acquisition and scoping</x:v>
      </x:c>
      <x:c r="I57" s="2" t="n">
        <x:v>1</x:v>
      </x:c>
      <x:c r="J57" s="2" t="str">
        <x:v>Common core</x:v>
      </x:c>
      <x:c r="K57" s="2" t="str">
        <x:v>Completed</x:v>
      </x:c>
      <x:c r="L57" s="2" t="str">
        <x:v>Explicitly evidenced</x:v>
      </x:c>
      <x:c r="M57" s="2" t="str">
        <x:v>NR</x:v>
      </x:c>
      <x:c r="N57" s="2" t="str">
        <x:v>NR</x:v>
      </x:c>
      <x:c r="O57" s="2" t="str">
        <x:v>NR</x:v>
      </x:c>
      <x:c r="P57" s="6" t="str">
        <x:v>NR</x:v>
      </x:c>
      <x:c r="Q57" s="2" t="str">
        <x:v>1 Artifact acquisition and scoping</x:v>
      </x:c>
      <x:c r="R57" s="6" t="str">
        <x:v>NR</x:v>
      </x:c>
      <x:c r="S57" s="2" t="str">
        <x:v>NR</x:v>
      </x:c>
      <x:c r="T57" s="2" t="str">
        <x:v>NR</x:v>
      </x:c>
      <x:c r="U57" s="2" t="str">
        <x:v>NR</x:v>
      </x:c>
      <x:c r="V57" s="6" t="str">
        <x:v>Task-specific coded evidence</x:v>
      </x:c>
      <x:c r="W57" s="6" t="str">
        <x:v>p. 2; Section I</x:v>
      </x:c>
      <x:c r="X57" s="6" t="str">
        <x:v>Given the issue URL and a link to the G IT repository, LinkAnchor grants the LLM (e.g., chatgpt-4o-nano in this work) on-demand access to various project data sources, such as the commit history, issue threads, and codebase, via specialized function calls, without exceeding its token window. Through iterative communication with the LLM, LinkAnchor can identify the commit that resolves the issue and return its commit hash.</x:v>
      </x:c>
      <x:c r="Y57" s="6" t="str">
        <x:v>See task-step evidence references in the RQ2 supplement.</x:v>
      </x:c>
      <x:c r="Z57" s="2" t="str">
        <x:v>Accepted</x:v>
      </x:c>
      <x:c r="AA57" s="6" t="str">
        <x:v>NR</x:v>
      </x:c>
    </x:row>
    <x:row r="58" ht="76" customHeight="1">
      <x:c r="A58" s="2" t="str">
        <x:v>S06-T01-P2</x:v>
      </x:c>
      <x:c r="B58" s="2" t="str">
        <x:v>S06</x:v>
      </x:c>
      <x:c r="C58" s="2" t="str">
        <x:v>merged_0079</x:v>
      </x:c>
      <x:c r="D58" s="2" t="str">
        <x:v>Final coding</x:v>
      </x:c>
      <x:c r="E58" s="2" t="str">
        <x:v>R1/R2</x:v>
      </x:c>
      <x:c r="F58" s="2" t="str">
        <x:v>S06-T01-PROC</x:v>
      </x:c>
      <x:c r="G58" s="2" t="str">
        <x:v>S06-T01</x:v>
      </x:c>
      <x:c r="H58" s="2" t="str">
        <x:v>2 Semantic contextualization</x:v>
      </x:c>
      <x:c r="I58" s="2" t="n">
        <x:v>2</x:v>
      </x:c>
      <x:c r="J58" s="2" t="str">
        <x:v>Common core</x:v>
      </x:c>
      <x:c r="K58" s="2" t="str">
        <x:v>Completed</x:v>
      </x:c>
      <x:c r="L58" s="2" t="str">
        <x:v>Explicitly evidenced</x:v>
      </x:c>
      <x:c r="M58" s="2" t="str">
        <x:v>NR</x:v>
      </x:c>
      <x:c r="N58" s="2" t="str">
        <x:v>NR</x:v>
      </x:c>
      <x:c r="O58" s="2" t="str">
        <x:v>NR</x:v>
      </x:c>
      <x:c r="P58" s="6" t="str">
        <x:v>NR</x:v>
      </x:c>
      <x:c r="Q58" s="2" t="str">
        <x:v>2 Semantic contextualization</x:v>
      </x:c>
      <x:c r="R58" s="6" t="str">
        <x:v>NR</x:v>
      </x:c>
      <x:c r="S58" s="2" t="str">
        <x:v>NR</x:v>
      </x:c>
      <x:c r="T58" s="2" t="str">
        <x:v>NR</x:v>
      </x:c>
      <x:c r="U58" s="2" t="str">
        <x:v>NR</x:v>
      </x:c>
      <x:c r="V58" s="6" t="str">
        <x:v>Task-specific coded evidence</x:v>
      </x:c>
      <x:c r="W58" s="6" t="str">
        <x:v>p. 2; Section I</x:v>
      </x:c>
      <x:c r="X58" s="6" t="str">
        <x:v>Given the issue URL and a link to the G IT repository, LinkAnchor grants the LLM (e.g., chatgpt-4o-nano in this work) on-demand access to various project data sources, such as the commit history, issue threads, and codebase, via specialized function calls, without exceeding its token window. Through iterative communication with the LLM, LinkAnchor can identify the commit that resolves the issue and return its commit hash.</x:v>
      </x:c>
      <x:c r="Y58" s="6" t="str">
        <x:v>See task-step evidence references in the RQ2 supplement.</x:v>
      </x:c>
      <x:c r="Z58" s="2" t="str">
        <x:v>Accepted</x:v>
      </x:c>
      <x:c r="AA58" s="6" t="str">
        <x:v>NR</x:v>
      </x:c>
    </x:row>
    <x:row r="59" ht="76" customHeight="1">
      <x:c r="A59" s="2" t="str">
        <x:v>S06-T01-P3</x:v>
      </x:c>
      <x:c r="B59" s="2" t="str">
        <x:v>S06</x:v>
      </x:c>
      <x:c r="C59" s="2" t="str">
        <x:v>merged_0079</x:v>
      </x:c>
      <x:c r="D59" s="2" t="str">
        <x:v>Final coding</x:v>
      </x:c>
      <x:c r="E59" s="2" t="str">
        <x:v>R1/R2</x:v>
      </x:c>
      <x:c r="F59" s="2" t="str">
        <x:v>S06-T01-PROC</x:v>
      </x:c>
      <x:c r="G59" s="2" t="str">
        <x:v>S06-T01</x:v>
      </x:c>
      <x:c r="H59" s="2" t="str">
        <x:v>3 Traceability inference</x:v>
      </x:c>
      <x:c r="I59" s="2" t="n">
        <x:v>3</x:v>
      </x:c>
      <x:c r="J59" s="2" t="str">
        <x:v>Common core</x:v>
      </x:c>
      <x:c r="K59" s="2" t="str">
        <x:v>Completed</x:v>
      </x:c>
      <x:c r="L59" s="2" t="str">
        <x:v>Inferred from relation output</x:v>
      </x:c>
      <x:c r="M59" s="2" t="str">
        <x:v>NR</x:v>
      </x:c>
      <x:c r="N59" s="2" t="str">
        <x:v>NR</x:v>
      </x:c>
      <x:c r="O59" s="2" t="str">
        <x:v>NR</x:v>
      </x:c>
      <x:c r="P59" s="6" t="str">
        <x:v>NR</x:v>
      </x:c>
      <x:c r="Q59" s="2" t="str">
        <x:v>NR</x:v>
      </x:c>
      <x:c r="R59" s="6" t="str">
        <x:v>返回一个提交哈希值，该值被视为解决问题的最终提交。</x:v>
      </x:c>
      <x:c r="S59" s="2" t="str">
        <x:v>NR</x:v>
      </x:c>
      <x:c r="T59" s="2" t="str">
        <x:v>NR</x:v>
      </x:c>
      <x:c r="U59" s="2" t="str">
        <x:v>NR</x:v>
      </x:c>
      <x:c r="V59" s="6" t="str">
        <x:v>Task-specific coded evidence</x:v>
      </x:c>
      <x:c r="W59" s="6" t="str">
        <x:v>p. 2; Section I</x:v>
      </x:c>
      <x:c r="X59" s="6" t="str">
        <x:v>Given the issue URL and a link to the G IT repository, LinkAnchor grants the LLM (e.g., chatgpt-4o-nano in this work) on-demand access to various project data sources, such as the commit history, issue threads, and codebase, via specialized function calls, without exceeding its token window. Through iterative communication with the LLM, LinkAnchor can identify the commit that resolves the issue and return its commit hash.</x:v>
      </x:c>
      <x:c r="Y59" s="6" t="str">
        <x:v>See task-step evidence references in the RQ2 supplement.</x:v>
      </x:c>
      <x:c r="Z59" s="2" t="str">
        <x:v>Accepted</x:v>
      </x:c>
      <x:c r="AA59" s="6" t="str">
        <x:v>NR</x:v>
      </x:c>
    </x:row>
    <x:row r="60" ht="76" customHeight="1">
      <x:c r="A60" s="2" t="str">
        <x:v>S06-T01-P4</x:v>
      </x:c>
      <x:c r="B60" s="2" t="str">
        <x:v>S06</x:v>
      </x:c>
      <x:c r="C60" s="2" t="str">
        <x:v>merged_0079</x:v>
      </x:c>
      <x:c r="D60" s="2" t="str">
        <x:v>Final coding</x:v>
      </x:c>
      <x:c r="E60" s="2" t="str">
        <x:v>R1/R2</x:v>
      </x:c>
      <x:c r="F60" s="2" t="str">
        <x:v>S06-T01-PROC</x:v>
      </x:c>
      <x:c r="G60" s="2" t="str">
        <x:v>S06-T01</x:v>
      </x:c>
      <x:c r="H60" s="2" t="str">
        <x:v>4 Validation and explanation</x:v>
      </x:c>
      <x:c r="I60" s="2" t="n">
        <x:v>4</x:v>
      </x:c>
      <x:c r="J60" s="2" t="str">
        <x:v>Common core</x:v>
      </x:c>
      <x:c r="K60" s="2" t="str">
        <x:v>Completed</x:v>
      </x:c>
      <x:c r="L60" s="2" t="str">
        <x:v>Not separately reported</x:v>
      </x:c>
      <x:c r="M60" s="2" t="str">
        <x:v>NR</x:v>
      </x:c>
      <x:c r="N60" s="2" t="str">
        <x:v>NR</x:v>
      </x:c>
      <x:c r="O60" s="2" t="str">
        <x:v>NR</x:v>
      </x:c>
      <x:c r="P60" s="6" t="str">
        <x:v>NR</x:v>
      </x:c>
      <x:c r="Q60" s="2" t="str">
        <x:v>NR</x:v>
      </x:c>
      <x:c r="R60" s="6" t="str">
        <x:v>NR</x:v>
      </x:c>
      <x:c r="S60" s="2" t="str">
        <x:v>NR</x:v>
      </x:c>
      <x:c r="T60" s="2" t="str">
        <x:v>NR</x:v>
      </x:c>
      <x:c r="U60" s="2" t="str">
        <x:v>NR</x:v>
      </x:c>
      <x:c r="V60" s="6" t="str">
        <x:v>Task-specific coded evidence</x:v>
      </x:c>
      <x:c r="W60" s="6" t="str">
        <x:v>p. 2; Section I</x:v>
      </x:c>
      <x:c r="X60" s="6" t="str">
        <x:v>Given the issue URL and a link to the G IT repository, LinkAnchor grants the LLM (e.g., chatgpt-4o-nano in this work) on-demand access to various project data sources, such as the commit history, issue threads, and codebase, via specialized function calls, without exceeding its token window. Through iterative communication with the LLM, LinkAnchor can identify the commit that resolves the issue and return its commit hash.</x:v>
      </x:c>
      <x:c r="Y60" s="6" t="str">
        <x:v>See task-step evidence references in the RQ2 supplement.</x:v>
      </x:c>
      <x:c r="Z60" s="2" t="str">
        <x:v>Accepted</x:v>
      </x:c>
      <x:c r="AA60" s="6" t="str">
        <x:v>NR</x:v>
      </x:c>
    </x:row>
    <x:row r="61" ht="76" customHeight="1">
      <x:c r="A61" s="2" t="str">
        <x:v>S06-T01-P5</x:v>
      </x:c>
      <x:c r="B61" s="2" t="str">
        <x:v>S06</x:v>
      </x:c>
      <x:c r="C61" s="2" t="str">
        <x:v>merged_0079</x:v>
      </x:c>
      <x:c r="D61" s="2" t="str">
        <x:v>Final coding</x:v>
      </x:c>
      <x:c r="E61" s="2" t="str">
        <x:v>R1/R2</x:v>
      </x:c>
      <x:c r="F61" s="2" t="str">
        <x:v>S06-T01-PROC</x:v>
      </x:c>
      <x:c r="G61" s="2" t="str">
        <x:v>S06-T01</x:v>
      </x:c>
      <x:c r="H61" s="2" t="str">
        <x:v>5 Evolution and embedding</x:v>
      </x:c>
      <x:c r="I61" s="2" t="n">
        <x:v>5</x:v>
      </x:c>
      <x:c r="J61" s="2" t="str">
        <x:v>Common core</x:v>
      </x:c>
      <x:c r="K61" s="2" t="str">
        <x:v>Completed</x:v>
      </x:c>
      <x:c r="L61" s="2" t="str">
        <x:v>Not separately reported</x:v>
      </x:c>
      <x:c r="M61" s="2" t="str">
        <x:v>NR</x:v>
      </x:c>
      <x:c r="N61" s="2" t="str">
        <x:v>NR</x:v>
      </x:c>
      <x:c r="O61" s="2" t="str">
        <x:v>NR</x:v>
      </x:c>
      <x:c r="P61" s="6" t="str">
        <x:v>NR</x:v>
      </x:c>
      <x:c r="Q61" s="2" t="str">
        <x:v>NR</x:v>
      </x:c>
      <x:c r="R61" s="6" t="str">
        <x:v>NR</x:v>
      </x:c>
      <x:c r="S61" s="2" t="str">
        <x:v>NR</x:v>
      </x:c>
      <x:c r="T61" s="2" t="str">
        <x:v>NR</x:v>
      </x:c>
      <x:c r="U61" s="2" t="str">
        <x:v>NR</x:v>
      </x:c>
      <x:c r="V61" s="6" t="str">
        <x:v>Task-specific coded evidence</x:v>
      </x:c>
      <x:c r="W61" s="6" t="str">
        <x:v>p. 2; Section I</x:v>
      </x:c>
      <x:c r="X61" s="6" t="str">
        <x:v>Given the issue URL and a link to the G IT repository, LinkAnchor grants the LLM (e.g., chatgpt-4o-nano in this work) on-demand access to various project data sources, such as the commit history, issue threads, and codebase, via specialized function calls, without exceeding its token window. Through iterative communication with the LLM, LinkAnchor can identify the commit that resolves the issue and return its commit hash.</x:v>
      </x:c>
      <x:c r="Y61" s="6" t="str">
        <x:v>See task-step evidence references in the RQ2 supplement.</x:v>
      </x:c>
      <x:c r="Z61" s="2" t="str">
        <x:v>Accepted</x:v>
      </x:c>
      <x:c r="AA61" s="6" t="str">
        <x:v>NR</x:v>
      </x:c>
    </x:row>
    <x:row r="62" ht="76" customHeight="1">
      <x:c r="A62" s="2" t="str">
        <x:v>S07-T01-P1</x:v>
      </x:c>
      <x:c r="B62" s="2" t="str">
        <x:v>S07</x:v>
      </x:c>
      <x:c r="C62" s="2" t="str">
        <x:v>merged_0110</x:v>
      </x:c>
      <x:c r="D62" s="2" t="str">
        <x:v>Final coding</x:v>
      </x:c>
      <x:c r="E62" s="2" t="str">
        <x:v>R1/R2</x:v>
      </x:c>
      <x:c r="F62" s="2" t="str">
        <x:v>S07-T01-PROC</x:v>
      </x:c>
      <x:c r="G62" s="2" t="str">
        <x:v>S07-T01</x:v>
      </x:c>
      <x:c r="H62" s="2" t="str">
        <x:v>1 Artifact acquisition and scoping</x:v>
      </x:c>
      <x:c r="I62" s="2" t="n">
        <x:v>1</x:v>
      </x:c>
      <x:c r="J62" s="2" t="str">
        <x:v>Common core</x:v>
      </x:c>
      <x:c r="K62" s="2" t="str">
        <x:v>Completed</x:v>
      </x:c>
      <x:c r="L62" s="2" t="str">
        <x:v>Not separately reported</x:v>
      </x:c>
      <x:c r="M62" s="2" t="str">
        <x:v>NR</x:v>
      </x:c>
      <x:c r="N62" s="2" t="str">
        <x:v>NR</x:v>
      </x:c>
      <x:c r="O62" s="2" t="str">
        <x:v>NR</x:v>
      </x:c>
      <x:c r="P62" s="6" t="str">
        <x:v>NR</x:v>
      </x:c>
      <x:c r="Q62" s="2" t="str">
        <x:v>NR</x:v>
      </x:c>
      <x:c r="R62" s="6" t="str">
        <x:v>NR</x:v>
      </x:c>
      <x:c r="S62" s="2" t="str">
        <x:v>NR</x:v>
      </x:c>
      <x:c r="T62" s="2" t="str">
        <x:v>NR</x:v>
      </x:c>
      <x:c r="U62" s="2" t="str">
        <x:v>NR</x:v>
      </x:c>
      <x:c r="V62" s="6" t="str">
        <x:v>Task-specific coded evidence</x:v>
      </x:c>
      <x:c r="W62" s="6" t="str">
        <x:v>p. 1; Abstract</x:v>
      </x:c>
      <x:c r="X62" s="6" t="str">
        <x:v>automatically generating trace links between requirements and manual system-level tests</x:v>
      </x:c>
      <x:c r="Y62" s="6" t="str">
        <x:v>See task-step evidence references in the RQ2 supplement.</x:v>
      </x:c>
      <x:c r="Z62" s="2" t="str">
        <x:v>Accepted</x:v>
      </x:c>
      <x:c r="AA62" s="6" t="str">
        <x:v>NR</x:v>
      </x:c>
    </x:row>
    <x:row r="63" ht="76" customHeight="1">
      <x:c r="A63" s="2" t="str">
        <x:v>S07-T01-P2</x:v>
      </x:c>
      <x:c r="B63" s="2" t="str">
        <x:v>S07</x:v>
      </x:c>
      <x:c r="C63" s="2" t="str">
        <x:v>merged_0110</x:v>
      </x:c>
      <x:c r="D63" s="2" t="str">
        <x:v>Final coding</x:v>
      </x:c>
      <x:c r="E63" s="2" t="str">
        <x:v>R1/R2</x:v>
      </x:c>
      <x:c r="F63" s="2" t="str">
        <x:v>S07-T01-PROC</x:v>
      </x:c>
      <x:c r="G63" s="2" t="str">
        <x:v>S07-T01</x:v>
      </x:c>
      <x:c r="H63" s="2" t="str">
        <x:v>2 Semantic contextualization</x:v>
      </x:c>
      <x:c r="I63" s="2" t="n">
        <x:v>2</x:v>
      </x:c>
      <x:c r="J63" s="2" t="str">
        <x:v>Common core</x:v>
      </x:c>
      <x:c r="K63" s="2" t="str">
        <x:v>Completed</x:v>
      </x:c>
      <x:c r="L63" s="2" t="str">
        <x:v>Not separately reported</x:v>
      </x:c>
      <x:c r="M63" s="2" t="str">
        <x:v>NR</x:v>
      </x:c>
      <x:c r="N63" s="2" t="str">
        <x:v>NR</x:v>
      </x:c>
      <x:c r="O63" s="2" t="str">
        <x:v>NR</x:v>
      </x:c>
      <x:c r="P63" s="6" t="str">
        <x:v>NR</x:v>
      </x:c>
      <x:c r="Q63" s="2" t="str">
        <x:v>NR</x:v>
      </x:c>
      <x:c r="R63" s="6" t="str">
        <x:v>NR</x:v>
      </x:c>
      <x:c r="S63" s="2" t="str">
        <x:v>NR</x:v>
      </x:c>
      <x:c r="T63" s="2" t="str">
        <x:v>NR</x:v>
      </x:c>
      <x:c r="U63" s="2" t="str">
        <x:v>NR</x:v>
      </x:c>
      <x:c r="V63" s="6" t="str">
        <x:v>Task-specific coded evidence</x:v>
      </x:c>
      <x:c r="W63" s="6" t="str">
        <x:v>p. 1; Abstract</x:v>
      </x:c>
      <x:c r="X63" s="6" t="str">
        <x:v>automatically generating trace links between requirements and manual system-level tests</x:v>
      </x:c>
      <x:c r="Y63" s="6" t="str">
        <x:v>See task-step evidence references in the RQ2 supplement.</x:v>
      </x:c>
      <x:c r="Z63" s="2" t="str">
        <x:v>Accepted</x:v>
      </x:c>
      <x:c r="AA63" s="6" t="str">
        <x:v>NR</x:v>
      </x:c>
    </x:row>
    <x:row r="64" ht="76" customHeight="1">
      <x:c r="A64" s="2" t="str">
        <x:v>S07-T01-P3</x:v>
      </x:c>
      <x:c r="B64" s="2" t="str">
        <x:v>S07</x:v>
      </x:c>
      <x:c r="C64" s="2" t="str">
        <x:v>merged_0110</x:v>
      </x:c>
      <x:c r="D64" s="2" t="str">
        <x:v>Final coding</x:v>
      </x:c>
      <x:c r="E64" s="2" t="str">
        <x:v>R1/R2</x:v>
      </x:c>
      <x:c r="F64" s="2" t="str">
        <x:v>S07-T01-PROC</x:v>
      </x:c>
      <x:c r="G64" s="2" t="str">
        <x:v>S07-T01</x:v>
      </x:c>
      <x:c r="H64" s="2" t="str">
        <x:v>3 Traceability inference</x:v>
      </x:c>
      <x:c r="I64" s="2" t="n">
        <x:v>3</x:v>
      </x:c>
      <x:c r="J64" s="2" t="str">
        <x:v>Common core</x:v>
      </x:c>
      <x:c r="K64" s="2" t="str">
        <x:v>Completed</x:v>
      </x:c>
      <x:c r="L64" s="2" t="str">
        <x:v>Explicitly evidenced</x:v>
      </x:c>
      <x:c r="M64" s="2" t="str">
        <x:v>NR</x:v>
      </x:c>
      <x:c r="N64" s="2" t="str">
        <x:v>NR</x:v>
      </x:c>
      <x:c r="O64" s="2" t="str">
        <x:v>NR</x:v>
      </x:c>
      <x:c r="P64" s="6" t="str">
        <x:v>NR</x:v>
      </x:c>
      <x:c r="Q64" s="2" t="str">
        <x:v>3 Traceability inference</x:v>
      </x:c>
      <x:c r="R64" s="6" t="str">
        <x:v>一个包含需求ID与对应测试ID的追溯报告</x:v>
      </x:c>
      <x:c r="S64" s="2" t="str">
        <x:v>NR</x:v>
      </x:c>
      <x:c r="T64" s="2" t="str">
        <x:v>NR</x:v>
      </x:c>
      <x:c r="U64" s="2" t="str">
        <x:v>NR</x:v>
      </x:c>
      <x:c r="V64" s="6" t="str">
        <x:v>Task-specific coded evidence</x:v>
      </x:c>
      <x:c r="W64" s="6" t="str">
        <x:v>p. 1; Abstract</x:v>
      </x:c>
      <x:c r="X64" s="6" t="str">
        <x:v>automatically generating trace links between requirements and manual system-level tests</x:v>
      </x:c>
      <x:c r="Y64" s="6" t="str">
        <x:v>See task-step evidence references in the RQ2 supplement.</x:v>
      </x:c>
      <x:c r="Z64" s="2" t="str">
        <x:v>Accepted</x:v>
      </x:c>
      <x:c r="AA64" s="6" t="str">
        <x:v>NR</x:v>
      </x:c>
    </x:row>
    <x:row r="65" ht="76" customHeight="1">
      <x:c r="A65" s="2" t="str">
        <x:v>S07-T01-P4</x:v>
      </x:c>
      <x:c r="B65" s="2" t="str">
        <x:v>S07</x:v>
      </x:c>
      <x:c r="C65" s="2" t="str">
        <x:v>merged_0110</x:v>
      </x:c>
      <x:c r="D65" s="2" t="str">
        <x:v>Final coding</x:v>
      </x:c>
      <x:c r="E65" s="2" t="str">
        <x:v>R1/R2</x:v>
      </x:c>
      <x:c r="F65" s="2" t="str">
        <x:v>S07-T01-PROC</x:v>
      </x:c>
      <x:c r="G65" s="2" t="str">
        <x:v>S07-T01</x:v>
      </x:c>
      <x:c r="H65" s="2" t="str">
        <x:v>4 Validation and explanation</x:v>
      </x:c>
      <x:c r="I65" s="2" t="n">
        <x:v>4</x:v>
      </x:c>
      <x:c r="J65" s="2" t="str">
        <x:v>Common core</x:v>
      </x:c>
      <x:c r="K65" s="2" t="str">
        <x:v>Completed</x:v>
      </x:c>
      <x:c r="L65" s="2" t="str">
        <x:v>Not separately reported</x:v>
      </x:c>
      <x:c r="M65" s="2" t="str">
        <x:v>NR</x:v>
      </x:c>
      <x:c r="N65" s="2" t="str">
        <x:v>NR</x:v>
      </x:c>
      <x:c r="O65" s="2" t="str">
        <x:v>NR</x:v>
      </x:c>
      <x:c r="P65" s="6" t="str">
        <x:v>NR</x:v>
      </x:c>
      <x:c r="Q65" s="2" t="str">
        <x:v>NR</x:v>
      </x:c>
      <x:c r="R65" s="6" t="str">
        <x:v>NR</x:v>
      </x:c>
      <x:c r="S65" s="2" t="str">
        <x:v>NR</x:v>
      </x:c>
      <x:c r="T65" s="2" t="str">
        <x:v>NR</x:v>
      </x:c>
      <x:c r="U65" s="2" t="str">
        <x:v>NR</x:v>
      </x:c>
      <x:c r="V65" s="6" t="str">
        <x:v>Task-specific coded evidence</x:v>
      </x:c>
      <x:c r="W65" s="6" t="str">
        <x:v>p. 1; Abstract</x:v>
      </x:c>
      <x:c r="X65" s="6" t="str">
        <x:v>automatically generating trace links between requirements and manual system-level tests</x:v>
      </x:c>
      <x:c r="Y65" s="6" t="str">
        <x:v>See task-step evidence references in the RQ2 supplement.</x:v>
      </x:c>
      <x:c r="Z65" s="2" t="str">
        <x:v>Accepted</x:v>
      </x:c>
      <x:c r="AA65" s="6" t="str">
        <x:v>NR</x:v>
      </x:c>
    </x:row>
    <x:row r="66" ht="76" customHeight="1">
      <x:c r="A66" s="2" t="str">
        <x:v>S07-T01-P5</x:v>
      </x:c>
      <x:c r="B66" s="2" t="str">
        <x:v>S07</x:v>
      </x:c>
      <x:c r="C66" s="2" t="str">
        <x:v>merged_0110</x:v>
      </x:c>
      <x:c r="D66" s="2" t="str">
        <x:v>Final coding</x:v>
      </x:c>
      <x:c r="E66" s="2" t="str">
        <x:v>R1/R2</x:v>
      </x:c>
      <x:c r="F66" s="2" t="str">
        <x:v>S07-T01-PROC</x:v>
      </x:c>
      <x:c r="G66" s="2" t="str">
        <x:v>S07-T01</x:v>
      </x:c>
      <x:c r="H66" s="2" t="str">
        <x:v>5 Evolution and embedding</x:v>
      </x:c>
      <x:c r="I66" s="2" t="n">
        <x:v>5</x:v>
      </x:c>
      <x:c r="J66" s="2" t="str">
        <x:v>Common core</x:v>
      </x:c>
      <x:c r="K66" s="2" t="str">
        <x:v>Completed</x:v>
      </x:c>
      <x:c r="L66" s="2" t="str">
        <x:v>Not separately reported</x:v>
      </x:c>
      <x:c r="M66" s="2" t="str">
        <x:v>NR</x:v>
      </x:c>
      <x:c r="N66" s="2" t="str">
        <x:v>NR</x:v>
      </x:c>
      <x:c r="O66" s="2" t="str">
        <x:v>NR</x:v>
      </x:c>
      <x:c r="P66" s="6" t="str">
        <x:v>NR</x:v>
      </x:c>
      <x:c r="Q66" s="2" t="str">
        <x:v>NR</x:v>
      </x:c>
      <x:c r="R66" s="6" t="str">
        <x:v>NR</x:v>
      </x:c>
      <x:c r="S66" s="2" t="str">
        <x:v>NR</x:v>
      </x:c>
      <x:c r="T66" s="2" t="str">
        <x:v>NR</x:v>
      </x:c>
      <x:c r="U66" s="2" t="str">
        <x:v>NR</x:v>
      </x:c>
      <x:c r="V66" s="6" t="str">
        <x:v>Task-specific coded evidence</x:v>
      </x:c>
      <x:c r="W66" s="6" t="str">
        <x:v>p. 1; Abstract</x:v>
      </x:c>
      <x:c r="X66" s="6" t="str">
        <x:v>automatically generating trace links between requirements and manual system-level tests</x:v>
      </x:c>
      <x:c r="Y66" s="6" t="str">
        <x:v>See task-step evidence references in the RQ2 supplement.</x:v>
      </x:c>
      <x:c r="Z66" s="2" t="str">
        <x:v>Accepted</x:v>
      </x:c>
      <x:c r="AA66" s="6" t="str">
        <x:v>NR</x:v>
      </x:c>
    </x:row>
    <x:row r="67" ht="76" customHeight="1">
      <x:c r="A67" s="2" t="str">
        <x:v>S08-T01-P1</x:v>
      </x:c>
      <x:c r="B67" s="2" t="str">
        <x:v>S08</x:v>
      </x:c>
      <x:c r="C67" s="2" t="str">
        <x:v>merged_0256</x:v>
      </x:c>
      <x:c r="D67" s="2" t="str">
        <x:v>Final coding</x:v>
      </x:c>
      <x:c r="E67" s="2" t="str">
        <x:v>R1/R2</x:v>
      </x:c>
      <x:c r="F67" s="2" t="str">
        <x:v>S08-T01-PROC</x:v>
      </x:c>
      <x:c r="G67" s="2" t="str">
        <x:v>S08-T01</x:v>
      </x:c>
      <x:c r="H67" s="2" t="str">
        <x:v>1 Artifact acquisition and scoping</x:v>
      </x:c>
      <x:c r="I67" s="2" t="n">
        <x:v>1</x:v>
      </x:c>
      <x:c r="J67" s="2" t="str">
        <x:v>Common core</x:v>
      </x:c>
      <x:c r="K67" s="2" t="str">
        <x:v>Completed</x:v>
      </x:c>
      <x:c r="L67" s="2" t="str">
        <x:v>Not separately reported</x:v>
      </x:c>
      <x:c r="M67" s="2" t="str">
        <x:v>NR</x:v>
      </x:c>
      <x:c r="N67" s="2" t="str">
        <x:v>NR</x:v>
      </x:c>
      <x:c r="O67" s="2" t="str">
        <x:v>NR</x:v>
      </x:c>
      <x:c r="P67" s="6" t="str">
        <x:v>NR</x:v>
      </x:c>
      <x:c r="Q67" s="2" t="str">
        <x:v>NR</x:v>
      </x:c>
      <x:c r="R67" s="6" t="str">
        <x:v>NR</x:v>
      </x:c>
      <x:c r="S67" s="2" t="str">
        <x:v>NR</x:v>
      </x:c>
      <x:c r="T67" s="2" t="str">
        <x:v>NR</x:v>
      </x:c>
      <x:c r="U67" s="2" t="str">
        <x:v>NR</x:v>
      </x:c>
      <x:c r="V67" s="6" t="str">
        <x:v>Task-specific coded evidence</x:v>
      </x:c>
      <x:c r="W67" s="6" t="str">
        <x:v>p. 1; abstract</x:v>
      </x:c>
      <x:c r="X67" s="6" t="str">
        <x:v>we employed GPT-3.5 and GPT-4 to analyze requirements from five publicly accessible data sets, determining their ability to detect if low-level requirements sufficiently address the corresponding high-level requirement.</x:v>
      </x:c>
      <x:c r="Y67" s="6" t="str">
        <x:v>See task-step evidence references in the RQ2 supplement.</x:v>
      </x:c>
      <x:c r="Z67" s="2" t="str">
        <x:v>Accepted</x:v>
      </x:c>
      <x:c r="AA67" s="6" t="str">
        <x:v>NR</x:v>
      </x:c>
    </x:row>
    <x:row r="68" ht="76" customHeight="1">
      <x:c r="A68" s="2" t="str">
        <x:v>S08-T01-P2</x:v>
      </x:c>
      <x:c r="B68" s="2" t="str">
        <x:v>S08</x:v>
      </x:c>
      <x:c r="C68" s="2" t="str">
        <x:v>merged_0256</x:v>
      </x:c>
      <x:c r="D68" s="2" t="str">
        <x:v>Final coding</x:v>
      </x:c>
      <x:c r="E68" s="2" t="str">
        <x:v>R1/R2</x:v>
      </x:c>
      <x:c r="F68" s="2" t="str">
        <x:v>S08-T01-PROC</x:v>
      </x:c>
      <x:c r="G68" s="2" t="str">
        <x:v>S08-T01</x:v>
      </x:c>
      <x:c r="H68" s="2" t="str">
        <x:v>2 Semantic contextualization</x:v>
      </x:c>
      <x:c r="I68" s="2" t="n">
        <x:v>2</x:v>
      </x:c>
      <x:c r="J68" s="2" t="str">
        <x:v>Common core</x:v>
      </x:c>
      <x:c r="K68" s="2" t="str">
        <x:v>Completed</x:v>
      </x:c>
      <x:c r="L68" s="2" t="str">
        <x:v>Not separately reported</x:v>
      </x:c>
      <x:c r="M68" s="2" t="str">
        <x:v>NR</x:v>
      </x:c>
      <x:c r="N68" s="2" t="str">
        <x:v>NR</x:v>
      </x:c>
      <x:c r="O68" s="2" t="str">
        <x:v>NR</x:v>
      </x:c>
      <x:c r="P68" s="6" t="str">
        <x:v>NR</x:v>
      </x:c>
      <x:c r="Q68" s="2" t="str">
        <x:v>NR</x:v>
      </x:c>
      <x:c r="R68" s="6" t="str">
        <x:v>NR</x:v>
      </x:c>
      <x:c r="S68" s="2" t="str">
        <x:v>NR</x:v>
      </x:c>
      <x:c r="T68" s="2" t="str">
        <x:v>NR</x:v>
      </x:c>
      <x:c r="U68" s="2" t="str">
        <x:v>NR</x:v>
      </x:c>
      <x:c r="V68" s="6" t="str">
        <x:v>Task-specific coded evidence</x:v>
      </x:c>
      <x:c r="W68" s="6" t="str">
        <x:v>p. 1; abstract</x:v>
      </x:c>
      <x:c r="X68" s="6" t="str">
        <x:v>we employed GPT-3.5 and GPT-4 to analyze requirements from five publicly accessible data sets, determining their ability to detect if low-level requirements sufficiently address the corresponding high-level requirement.</x:v>
      </x:c>
      <x:c r="Y68" s="6" t="str">
        <x:v>See task-step evidence references in the RQ2 supplement.</x:v>
      </x:c>
      <x:c r="Z68" s="2" t="str">
        <x:v>Accepted</x:v>
      </x:c>
      <x:c r="AA68" s="6" t="str">
        <x:v>NR</x:v>
      </x:c>
    </x:row>
    <x:row r="69" ht="76" customHeight="1">
      <x:c r="A69" s="2" t="str">
        <x:v>S08-T01-P3</x:v>
      </x:c>
      <x:c r="B69" s="2" t="str">
        <x:v>S08</x:v>
      </x:c>
      <x:c r="C69" s="2" t="str">
        <x:v>merged_0256</x:v>
      </x:c>
      <x:c r="D69" s="2" t="str">
        <x:v>Final coding</x:v>
      </x:c>
      <x:c r="E69" s="2" t="str">
        <x:v>R1/R2</x:v>
      </x:c>
      <x:c r="F69" s="2" t="str">
        <x:v>S08-T01-PROC</x:v>
      </x:c>
      <x:c r="G69" s="2" t="str">
        <x:v>S08-T01</x:v>
      </x:c>
      <x:c r="H69" s="2" t="str">
        <x:v>3 Traceability inference</x:v>
      </x:c>
      <x:c r="I69" s="2" t="n">
        <x:v>3</x:v>
      </x:c>
      <x:c r="J69" s="2" t="str">
        <x:v>Common core</x:v>
      </x:c>
      <x:c r="K69" s="2" t="str">
        <x:v>Completed</x:v>
      </x:c>
      <x:c r="L69" s="2" t="str">
        <x:v>Explicitly evidenced</x:v>
      </x:c>
      <x:c r="M69" s="2" t="str">
        <x:v>NR</x:v>
      </x:c>
      <x:c r="N69" s="2" t="str">
        <x:v>NR</x:v>
      </x:c>
      <x:c r="O69" s="2" t="str">
        <x:v>NR</x:v>
      </x:c>
      <x:c r="P69" s="6" t="str">
        <x:v>NR</x:v>
      </x:c>
      <x:c r="Q69" s="2" t="str">
        <x:v>3 Traceability inference</x:v>
      </x:c>
      <x:c r="R69" s="6" t="str">
        <x:v>Yes/No判断及可选解释</x:v>
      </x:c>
      <x:c r="S69" s="2" t="str">
        <x:v>NR</x:v>
      </x:c>
      <x:c r="T69" s="2" t="str">
        <x:v>NR</x:v>
      </x:c>
      <x:c r="U69" s="2" t="str">
        <x:v>NR</x:v>
      </x:c>
      <x:c r="V69" s="6" t="str">
        <x:v>Task-specific coded evidence</x:v>
      </x:c>
      <x:c r="W69" s="6" t="str">
        <x:v>p. 1; abstract</x:v>
      </x:c>
      <x:c r="X69" s="6" t="str">
        <x:v>we employed GPT-3.5 and GPT-4 to analyze requirements from five publicly accessible data sets, determining their ability to detect if low-level requirements sufficiently address the corresponding high-level requirement.</x:v>
      </x:c>
      <x:c r="Y69" s="6" t="str">
        <x:v>See task-step evidence references in the RQ2 supplement.</x:v>
      </x:c>
      <x:c r="Z69" s="2" t="str">
        <x:v>Accepted</x:v>
      </x:c>
      <x:c r="AA69" s="6" t="str">
        <x:v>NR</x:v>
      </x:c>
    </x:row>
    <x:row r="70" ht="76" customHeight="1">
      <x:c r="A70" s="2" t="str">
        <x:v>S08-T01-P4</x:v>
      </x:c>
      <x:c r="B70" s="2" t="str">
        <x:v>S08</x:v>
      </x:c>
      <x:c r="C70" s="2" t="str">
        <x:v>merged_0256</x:v>
      </x:c>
      <x:c r="D70" s="2" t="str">
        <x:v>Final coding</x:v>
      </x:c>
      <x:c r="E70" s="2" t="str">
        <x:v>R1/R2</x:v>
      </x:c>
      <x:c r="F70" s="2" t="str">
        <x:v>S08-T01-PROC</x:v>
      </x:c>
      <x:c r="G70" s="2" t="str">
        <x:v>S08-T01</x:v>
      </x:c>
      <x:c r="H70" s="2" t="str">
        <x:v>4 Validation and explanation</x:v>
      </x:c>
      <x:c r="I70" s="2" t="n">
        <x:v>4</x:v>
      </x:c>
      <x:c r="J70" s="2" t="str">
        <x:v>Common core</x:v>
      </x:c>
      <x:c r="K70" s="2" t="str">
        <x:v>Completed</x:v>
      </x:c>
      <x:c r="L70" s="2" t="str">
        <x:v>Not separately reported</x:v>
      </x:c>
      <x:c r="M70" s="2" t="str">
        <x:v>NR</x:v>
      </x:c>
      <x:c r="N70" s="2" t="str">
        <x:v>NR</x:v>
      </x:c>
      <x:c r="O70" s="2" t="str">
        <x:v>NR</x:v>
      </x:c>
      <x:c r="P70" s="6" t="str">
        <x:v>NR</x:v>
      </x:c>
      <x:c r="Q70" s="2" t="str">
        <x:v>NR</x:v>
      </x:c>
      <x:c r="R70" s="6" t="str">
        <x:v>NR</x:v>
      </x:c>
      <x:c r="S70" s="2" t="str">
        <x:v>NR</x:v>
      </x:c>
      <x:c r="T70" s="2" t="str">
        <x:v>NR</x:v>
      </x:c>
      <x:c r="U70" s="2" t="str">
        <x:v>NR</x:v>
      </x:c>
      <x:c r="V70" s="6" t="str">
        <x:v>Task-specific coded evidence</x:v>
      </x:c>
      <x:c r="W70" s="6" t="str">
        <x:v>p. 1; abstract</x:v>
      </x:c>
      <x:c r="X70" s="6" t="str">
        <x:v>we employed GPT-3.5 and GPT-4 to analyze requirements from five publicly accessible data sets, determining their ability to detect if low-level requirements sufficiently address the corresponding high-level requirement.</x:v>
      </x:c>
      <x:c r="Y70" s="6" t="str">
        <x:v>See task-step evidence references in the RQ2 supplement.</x:v>
      </x:c>
      <x:c r="Z70" s="2" t="str">
        <x:v>Accepted</x:v>
      </x:c>
      <x:c r="AA70" s="6" t="str">
        <x:v>NR</x:v>
      </x:c>
    </x:row>
    <x:row r="71" ht="76" customHeight="1">
      <x:c r="A71" s="2" t="str">
        <x:v>S08-T01-P5</x:v>
      </x:c>
      <x:c r="B71" s="2" t="str">
        <x:v>S08</x:v>
      </x:c>
      <x:c r="C71" s="2" t="str">
        <x:v>merged_0256</x:v>
      </x:c>
      <x:c r="D71" s="2" t="str">
        <x:v>Final coding</x:v>
      </x:c>
      <x:c r="E71" s="2" t="str">
        <x:v>R1/R2</x:v>
      </x:c>
      <x:c r="F71" s="2" t="str">
        <x:v>S08-T01-PROC</x:v>
      </x:c>
      <x:c r="G71" s="2" t="str">
        <x:v>S08-T01</x:v>
      </x:c>
      <x:c r="H71" s="2" t="str">
        <x:v>5 Evolution and embedding</x:v>
      </x:c>
      <x:c r="I71" s="2" t="n">
        <x:v>5</x:v>
      </x:c>
      <x:c r="J71" s="2" t="str">
        <x:v>Common core</x:v>
      </x:c>
      <x:c r="K71" s="2" t="str">
        <x:v>Completed</x:v>
      </x:c>
      <x:c r="L71" s="2" t="str">
        <x:v>Not separately reported</x:v>
      </x:c>
      <x:c r="M71" s="2" t="str">
        <x:v>NR</x:v>
      </x:c>
      <x:c r="N71" s="2" t="str">
        <x:v>NR</x:v>
      </x:c>
      <x:c r="O71" s="2" t="str">
        <x:v>NR</x:v>
      </x:c>
      <x:c r="P71" s="6" t="str">
        <x:v>NR</x:v>
      </x:c>
      <x:c r="Q71" s="2" t="str">
        <x:v>NR</x:v>
      </x:c>
      <x:c r="R71" s="6" t="str">
        <x:v>NR</x:v>
      </x:c>
      <x:c r="S71" s="2" t="str">
        <x:v>NR</x:v>
      </x:c>
      <x:c r="T71" s="2" t="str">
        <x:v>NR</x:v>
      </x:c>
      <x:c r="U71" s="2" t="str">
        <x:v>NR</x:v>
      </x:c>
      <x:c r="V71" s="6" t="str">
        <x:v>Task-specific coded evidence</x:v>
      </x:c>
      <x:c r="W71" s="6" t="str">
        <x:v>p. 1; abstract</x:v>
      </x:c>
      <x:c r="X71" s="6" t="str">
        <x:v>we employed GPT-3.5 and GPT-4 to analyze requirements from five publicly accessible data sets, determining their ability to detect if low-level requirements sufficiently address the corresponding high-level requirement.</x:v>
      </x:c>
      <x:c r="Y71" s="6" t="str">
        <x:v>See task-step evidence references in the RQ2 supplement.</x:v>
      </x:c>
      <x:c r="Z71" s="2" t="str">
        <x:v>Accepted</x:v>
      </x:c>
      <x:c r="AA71" s="6" t="str">
        <x:v>NR</x:v>
      </x:c>
    </x:row>
    <x:row r="72" ht="76" customHeight="1">
      <x:c r="A72" s="2" t="str">
        <x:v>S09-T01-P1</x:v>
      </x:c>
      <x:c r="B72" s="2" t="str">
        <x:v>S09</x:v>
      </x:c>
      <x:c r="C72" s="2" t="str">
        <x:v>merged_1114-v1</x:v>
      </x:c>
      <x:c r="D72" s="2" t="str">
        <x:v>Final coding</x:v>
      </x:c>
      <x:c r="E72" s="2" t="str">
        <x:v>R1/R2</x:v>
      </x:c>
      <x:c r="F72" s="2" t="str">
        <x:v>S09-T01-PROC</x:v>
      </x:c>
      <x:c r="G72" s="2" t="str">
        <x:v>S09-T01</x:v>
      </x:c>
      <x:c r="H72" s="2" t="str">
        <x:v>1 Artifact acquisition and scoping</x:v>
      </x:c>
      <x:c r="I72" s="2" t="n">
        <x:v>1</x:v>
      </x:c>
      <x:c r="J72" s="2" t="str">
        <x:v>Common core</x:v>
      </x:c>
      <x:c r="K72" s="2" t="str">
        <x:v>Completed</x:v>
      </x:c>
      <x:c r="L72" s="2" t="str">
        <x:v>Not separately reported</x:v>
      </x:c>
      <x:c r="M72" s="2" t="str">
        <x:v>NR</x:v>
      </x:c>
      <x:c r="N72" s="2" t="str">
        <x:v>NR</x:v>
      </x:c>
      <x:c r="O72" s="2" t="str">
        <x:v>NR</x:v>
      </x:c>
      <x:c r="P72" s="6" t="str">
        <x:v>NR</x:v>
      </x:c>
      <x:c r="Q72" s="2" t="str">
        <x:v>NR</x:v>
      </x:c>
      <x:c r="R72" s="6" t="str">
        <x:v>NR</x:v>
      </x:c>
      <x:c r="S72" s="2" t="str">
        <x:v>NR</x:v>
      </x:c>
      <x:c r="T72" s="2" t="str">
        <x:v>NR</x:v>
      </x:c>
      <x:c r="U72" s="2" t="str">
        <x:v>NR</x:v>
      </x:c>
      <x:c r="V72" s="6" t="str">
        <x:v>Task-specific coded evidence</x:v>
      </x:c>
      <x:c r="W72" s="6" t="str">
        <x:v>p. 3; Section III-D</x:v>
      </x:c>
      <x:c r="X72" s="6" t="str">
        <x:v>Traceability links are generated through a two-stage process combining semantic retrieval with LLM-based multi-criteria reasoning.</x:v>
      </x:c>
      <x:c r="Y72" s="6" t="str">
        <x:v>See task-step evidence references in the RQ2 supplement.</x:v>
      </x:c>
      <x:c r="Z72" s="2" t="str">
        <x:v>Accepted</x:v>
      </x:c>
      <x:c r="AA72" s="6" t="str">
        <x:v>NR</x:v>
      </x:c>
    </x:row>
    <x:row r="73" ht="76" customHeight="1">
      <x:c r="A73" s="2" t="str">
        <x:v>S09-T01-P2</x:v>
      </x:c>
      <x:c r="B73" s="2" t="str">
        <x:v>S09</x:v>
      </x:c>
      <x:c r="C73" s="2" t="str">
        <x:v>merged_1114-v1</x:v>
      </x:c>
      <x:c r="D73" s="2" t="str">
        <x:v>Final coding</x:v>
      </x:c>
      <x:c r="E73" s="2" t="str">
        <x:v>R1/R2</x:v>
      </x:c>
      <x:c r="F73" s="2" t="str">
        <x:v>S09-T01-PROC</x:v>
      </x:c>
      <x:c r="G73" s="2" t="str">
        <x:v>S09-T01</x:v>
      </x:c>
      <x:c r="H73" s="2" t="str">
        <x:v>2 Semantic contextualization</x:v>
      </x:c>
      <x:c r="I73" s="2" t="n">
        <x:v>2</x:v>
      </x:c>
      <x:c r="J73" s="2" t="str">
        <x:v>Common core</x:v>
      </x:c>
      <x:c r="K73" s="2" t="str">
        <x:v>Completed</x:v>
      </x:c>
      <x:c r="L73" s="2" t="str">
        <x:v>Explicitly evidenced</x:v>
      </x:c>
      <x:c r="M73" s="2" t="str">
        <x:v>NR</x:v>
      </x:c>
      <x:c r="N73" s="2" t="str">
        <x:v>NR</x:v>
      </x:c>
      <x:c r="O73" s="2" t="str">
        <x:v>NR</x:v>
      </x:c>
      <x:c r="P73" s="6" t="str">
        <x:v>NR</x:v>
      </x:c>
      <x:c r="Q73" s="2" t="str">
        <x:v>2 Semantic contextualization</x:v>
      </x:c>
      <x:c r="R73" s="6" t="str">
        <x:v>NR</x:v>
      </x:c>
      <x:c r="S73" s="2" t="str">
        <x:v>NR</x:v>
      </x:c>
      <x:c r="T73" s="2" t="str">
        <x:v>NR</x:v>
      </x:c>
      <x:c r="U73" s="2" t="str">
        <x:v>NR</x:v>
      </x:c>
      <x:c r="V73" s="6" t="str">
        <x:v>Task-specific coded evidence</x:v>
      </x:c>
      <x:c r="W73" s="6" t="str">
        <x:v>p. 3; Section III-D</x:v>
      </x:c>
      <x:c r="X73" s="6" t="str">
        <x:v>Traceability links are generated through a two-stage process combining semantic retrieval with LLM-based multi-criteria reasoning.</x:v>
      </x:c>
      <x:c r="Y73" s="6" t="str">
        <x:v>See task-step evidence references in the RQ2 supplement.</x:v>
      </x:c>
      <x:c r="Z73" s="2" t="str">
        <x:v>Accepted</x:v>
      </x:c>
      <x:c r="AA73" s="6" t="str">
        <x:v>NR</x:v>
      </x:c>
    </x:row>
    <x:row r="74" ht="76" customHeight="1">
      <x:c r="A74" s="2" t="str">
        <x:v>S09-T01-P3</x:v>
      </x:c>
      <x:c r="B74" s="2" t="str">
        <x:v>S09</x:v>
      </x:c>
      <x:c r="C74" s="2" t="str">
        <x:v>merged_1114-v1</x:v>
      </x:c>
      <x:c r="D74" s="2" t="str">
        <x:v>Final coding</x:v>
      </x:c>
      <x:c r="E74" s="2" t="str">
        <x:v>R1/R2</x:v>
      </x:c>
      <x:c r="F74" s="2" t="str">
        <x:v>S09-T01-PROC</x:v>
      </x:c>
      <x:c r="G74" s="2" t="str">
        <x:v>S09-T01</x:v>
      </x:c>
      <x:c r="H74" s="2" t="str">
        <x:v>3 Traceability inference</x:v>
      </x:c>
      <x:c r="I74" s="2" t="n">
        <x:v>3</x:v>
      </x:c>
      <x:c r="J74" s="2" t="str">
        <x:v>Common core</x:v>
      </x:c>
      <x:c r="K74" s="2" t="str">
        <x:v>Completed</x:v>
      </x:c>
      <x:c r="L74" s="2" t="str">
        <x:v>Explicitly evidenced</x:v>
      </x:c>
      <x:c r="M74" s="2" t="str">
        <x:v>NR</x:v>
      </x:c>
      <x:c r="N74" s="2" t="str">
        <x:v>NR</x:v>
      </x:c>
      <x:c r="O74" s="2" t="str">
        <x:v>NR</x:v>
      </x:c>
      <x:c r="P74" s="6" t="str">
        <x:v>NR</x:v>
      </x:c>
      <x:c r="Q74" s="2" t="str">
        <x:v>3 Traceability inference</x:v>
      </x:c>
      <x:c r="R74" s="6" t="str">
        <x:v>带有置信度评分和自然语言理由的可追溯链接边，存储于知识图谱中。</x:v>
      </x:c>
      <x:c r="S74" s="2" t="str">
        <x:v>NR</x:v>
      </x:c>
      <x:c r="T74" s="2" t="str">
        <x:v>NR</x:v>
      </x:c>
      <x:c r="U74" s="2" t="str">
        <x:v>NR</x:v>
      </x:c>
      <x:c r="V74" s="6" t="str">
        <x:v>Task-specific coded evidence</x:v>
      </x:c>
      <x:c r="W74" s="6" t="str">
        <x:v>p. 3; Section III-D</x:v>
      </x:c>
      <x:c r="X74" s="6" t="str">
        <x:v>Traceability links are generated through a two-stage process combining semantic retrieval with LLM-based multi-criteria reasoning.</x:v>
      </x:c>
      <x:c r="Y74" s="6" t="str">
        <x:v>See task-step evidence references in the RQ2 supplement.</x:v>
      </x:c>
      <x:c r="Z74" s="2" t="str">
        <x:v>Accepted</x:v>
      </x:c>
      <x:c r="AA74" s="6" t="str">
        <x:v>NR</x:v>
      </x:c>
    </x:row>
    <x:row r="75" ht="76" customHeight="1">
      <x:c r="A75" s="2" t="str">
        <x:v>S09-T01-P4</x:v>
      </x:c>
      <x:c r="B75" s="2" t="str">
        <x:v>S09</x:v>
      </x:c>
      <x:c r="C75" s="2" t="str">
        <x:v>merged_1114-v1</x:v>
      </x:c>
      <x:c r="D75" s="2" t="str">
        <x:v>Final coding</x:v>
      </x:c>
      <x:c r="E75" s="2" t="str">
        <x:v>R1/R2</x:v>
      </x:c>
      <x:c r="F75" s="2" t="str">
        <x:v>S09-T01-PROC</x:v>
      </x:c>
      <x:c r="G75" s="2" t="str">
        <x:v>S09-T01</x:v>
      </x:c>
      <x:c r="H75" s="2" t="str">
        <x:v>4 Validation and explanation</x:v>
      </x:c>
      <x:c r="I75" s="2" t="n">
        <x:v>4</x:v>
      </x:c>
      <x:c r="J75" s="2" t="str">
        <x:v>Common core</x:v>
      </x:c>
      <x:c r="K75" s="2" t="str">
        <x:v>Completed</x:v>
      </x:c>
      <x:c r="L75" s="2" t="str">
        <x:v>Not separately reported</x:v>
      </x:c>
      <x:c r="M75" s="2" t="str">
        <x:v>NR</x:v>
      </x:c>
      <x:c r="N75" s="2" t="str">
        <x:v>NR</x:v>
      </x:c>
      <x:c r="O75" s="2" t="str">
        <x:v>NR</x:v>
      </x:c>
      <x:c r="P75" s="6" t="str">
        <x:v>NR</x:v>
      </x:c>
      <x:c r="Q75" s="2" t="str">
        <x:v>NR</x:v>
      </x:c>
      <x:c r="R75" s="6" t="str">
        <x:v>NR</x:v>
      </x:c>
      <x:c r="S75" s="2" t="str">
        <x:v>NR</x:v>
      </x:c>
      <x:c r="T75" s="2" t="str">
        <x:v>NR</x:v>
      </x:c>
      <x:c r="U75" s="2" t="str">
        <x:v>NR</x:v>
      </x:c>
      <x:c r="V75" s="6" t="str">
        <x:v>Task-specific coded evidence</x:v>
      </x:c>
      <x:c r="W75" s="6" t="str">
        <x:v>p. 3; Section III-D</x:v>
      </x:c>
      <x:c r="X75" s="6" t="str">
        <x:v>Traceability links are generated through a two-stage process combining semantic retrieval with LLM-based multi-criteria reasoning.</x:v>
      </x:c>
      <x:c r="Y75" s="6" t="str">
        <x:v>See task-step evidence references in the RQ2 supplement.</x:v>
      </x:c>
      <x:c r="Z75" s="2" t="str">
        <x:v>Accepted</x:v>
      </x:c>
      <x:c r="AA75" s="6" t="str">
        <x:v>NR</x:v>
      </x:c>
    </x:row>
    <x:row r="76" ht="76" customHeight="1">
      <x:c r="A76" s="2" t="str">
        <x:v>S09-T01-P5</x:v>
      </x:c>
      <x:c r="B76" s="2" t="str">
        <x:v>S09</x:v>
      </x:c>
      <x:c r="C76" s="2" t="str">
        <x:v>merged_1114-v1</x:v>
      </x:c>
      <x:c r="D76" s="2" t="str">
        <x:v>Final coding</x:v>
      </x:c>
      <x:c r="E76" s="2" t="str">
        <x:v>R1/R2</x:v>
      </x:c>
      <x:c r="F76" s="2" t="str">
        <x:v>S09-T01-PROC</x:v>
      </x:c>
      <x:c r="G76" s="2" t="str">
        <x:v>S09-T01</x:v>
      </x:c>
      <x:c r="H76" s="2" t="str">
        <x:v>5 Evolution and embedding</x:v>
      </x:c>
      <x:c r="I76" s="2" t="n">
        <x:v>5</x:v>
      </x:c>
      <x:c r="J76" s="2" t="str">
        <x:v>Common core</x:v>
      </x:c>
      <x:c r="K76" s="2" t="str">
        <x:v>Completed</x:v>
      </x:c>
      <x:c r="L76" s="2" t="str">
        <x:v>Not separately reported</x:v>
      </x:c>
      <x:c r="M76" s="2" t="str">
        <x:v>NR</x:v>
      </x:c>
      <x:c r="N76" s="2" t="str">
        <x:v>NR</x:v>
      </x:c>
      <x:c r="O76" s="2" t="str">
        <x:v>NR</x:v>
      </x:c>
      <x:c r="P76" s="6" t="str">
        <x:v>NR</x:v>
      </x:c>
      <x:c r="Q76" s="2" t="str">
        <x:v>NR</x:v>
      </x:c>
      <x:c r="R76" s="6" t="str">
        <x:v>NR</x:v>
      </x:c>
      <x:c r="S76" s="2" t="str">
        <x:v>NR</x:v>
      </x:c>
      <x:c r="T76" s="2" t="str">
        <x:v>NR</x:v>
      </x:c>
      <x:c r="U76" s="2" t="str">
        <x:v>NR</x:v>
      </x:c>
      <x:c r="V76" s="6" t="str">
        <x:v>Task-specific coded evidence</x:v>
      </x:c>
      <x:c r="W76" s="6" t="str">
        <x:v>p. 3; Section III-D</x:v>
      </x:c>
      <x:c r="X76" s="6" t="str">
        <x:v>Traceability links are generated through a two-stage process combining semantic retrieval with LLM-based multi-criteria reasoning.</x:v>
      </x:c>
      <x:c r="Y76" s="6" t="str">
        <x:v>See task-step evidence references in the RQ2 supplement.</x:v>
      </x:c>
      <x:c r="Z76" s="2" t="str">
        <x:v>Accepted</x:v>
      </x:c>
      <x:c r="AA76" s="6" t="str">
        <x:v>NR</x:v>
      </x:c>
    </x:row>
    <x:row r="77" ht="76" customHeight="1">
      <x:c r="A77" s="2" t="str">
        <x:v>S09-T02-P1</x:v>
      </x:c>
      <x:c r="B77" s="2" t="str">
        <x:v>S09</x:v>
      </x:c>
      <x:c r="C77" s="2" t="str">
        <x:v>merged_1114-v1</x:v>
      </x:c>
      <x:c r="D77" s="2" t="str">
        <x:v>Final coding</x:v>
      </x:c>
      <x:c r="E77" s="2" t="str">
        <x:v>R1/R2</x:v>
      </x:c>
      <x:c r="F77" s="2" t="str">
        <x:v>S09-T02-PROC</x:v>
      </x:c>
      <x:c r="G77" s="2" t="str">
        <x:v>S09-T02</x:v>
      </x:c>
      <x:c r="H77" s="2" t="str">
        <x:v>1 Artifact acquisition and scoping</x:v>
      </x:c>
      <x:c r="I77" s="2" t="n">
        <x:v>1</x:v>
      </x:c>
      <x:c r="J77" s="2" t="str">
        <x:v>Common core</x:v>
      </x:c>
      <x:c r="K77" s="2" t="str">
        <x:v>Completed</x:v>
      </x:c>
      <x:c r="L77" s="2" t="str">
        <x:v>Not separately reported</x:v>
      </x:c>
      <x:c r="M77" s="2" t="str">
        <x:v>NR</x:v>
      </x:c>
      <x:c r="N77" s="2" t="str">
        <x:v>NR</x:v>
      </x:c>
      <x:c r="O77" s="2" t="str">
        <x:v>NR</x:v>
      </x:c>
      <x:c r="P77" s="6" t="str">
        <x:v>NR</x:v>
      </x:c>
      <x:c r="Q77" s="2" t="str">
        <x:v>NR</x:v>
      </x:c>
      <x:c r="R77" s="6" t="str">
        <x:v>NR</x:v>
      </x:c>
      <x:c r="S77" s="2" t="str">
        <x:v>NR</x:v>
      </x:c>
      <x:c r="T77" s="2" t="str">
        <x:v>NR</x:v>
      </x:c>
      <x:c r="U77" s="2" t="str">
        <x:v>NR</x:v>
      </x:c>
      <x:c r="V77" s="6" t="str">
        <x:v>Task-specific coded evidence</x:v>
      </x:c>
      <x:c r="W77" s="6" t="str">
        <x:v>p. 4; Section III-F</x:v>
      </x:c>
      <x:c r="X77" s="6" t="str">
        <x:v>The co-existence of derivation-time and validation-time assessments enables structured conflict detection. Two categories of conflict are identified.</x:v>
      </x:c>
      <x:c r="Y77" s="6" t="str">
        <x:v>See task-step evidence references in the RQ2 supplement.</x:v>
      </x:c>
      <x:c r="Z77" s="2" t="str">
        <x:v>Accepted</x:v>
      </x:c>
      <x:c r="AA77" s="6" t="str">
        <x:v>NR</x:v>
      </x:c>
    </x:row>
    <x:row r="78" ht="76" customHeight="1">
      <x:c r="A78" s="2" t="str">
        <x:v>S09-T02-P2</x:v>
      </x:c>
      <x:c r="B78" s="2" t="str">
        <x:v>S09</x:v>
      </x:c>
      <x:c r="C78" s="2" t="str">
        <x:v>merged_1114-v1</x:v>
      </x:c>
      <x:c r="D78" s="2" t="str">
        <x:v>Final coding</x:v>
      </x:c>
      <x:c r="E78" s="2" t="str">
        <x:v>R1/R2</x:v>
      </x:c>
      <x:c r="F78" s="2" t="str">
        <x:v>S09-T02-PROC</x:v>
      </x:c>
      <x:c r="G78" s="2" t="str">
        <x:v>S09-T02</x:v>
      </x:c>
      <x:c r="H78" s="2" t="str">
        <x:v>2 Semantic contextualization</x:v>
      </x:c>
      <x:c r="I78" s="2" t="n">
        <x:v>2</x:v>
      </x:c>
      <x:c r="J78" s="2" t="str">
        <x:v>Common core</x:v>
      </x:c>
      <x:c r="K78" s="2" t="str">
        <x:v>Completed</x:v>
      </x:c>
      <x:c r="L78" s="2" t="str">
        <x:v>Not separately reported</x:v>
      </x:c>
      <x:c r="M78" s="2" t="str">
        <x:v>NR</x:v>
      </x:c>
      <x:c r="N78" s="2" t="str">
        <x:v>NR</x:v>
      </x:c>
      <x:c r="O78" s="2" t="str">
        <x:v>NR</x:v>
      </x:c>
      <x:c r="P78" s="6" t="str">
        <x:v>NR</x:v>
      </x:c>
      <x:c r="Q78" s="2" t="str">
        <x:v>NR</x:v>
      </x:c>
      <x:c r="R78" s="6" t="str">
        <x:v>NR</x:v>
      </x:c>
      <x:c r="S78" s="2" t="str">
        <x:v>NR</x:v>
      </x:c>
      <x:c r="T78" s="2" t="str">
        <x:v>NR</x:v>
      </x:c>
      <x:c r="U78" s="2" t="str">
        <x:v>NR</x:v>
      </x:c>
      <x:c r="V78" s="6" t="str">
        <x:v>Task-specific coded evidence</x:v>
      </x:c>
      <x:c r="W78" s="6" t="str">
        <x:v>p. 4; Section III-F</x:v>
      </x:c>
      <x:c r="X78" s="6" t="str">
        <x:v>The co-existence of derivation-time and validation-time assessments enables structured conflict detection. Two categories of conflict are identified.</x:v>
      </x:c>
      <x:c r="Y78" s="6" t="str">
        <x:v>See task-step evidence references in the RQ2 supplement.</x:v>
      </x:c>
      <x:c r="Z78" s="2" t="str">
        <x:v>Accepted</x:v>
      </x:c>
      <x:c r="AA78" s="6" t="str">
        <x:v>NR</x:v>
      </x:c>
    </x:row>
    <x:row r="79" ht="76" customHeight="1">
      <x:c r="A79" s="2" t="str">
        <x:v>S09-T02-P3</x:v>
      </x:c>
      <x:c r="B79" s="2" t="str">
        <x:v>S09</x:v>
      </x:c>
      <x:c r="C79" s="2" t="str">
        <x:v>merged_1114-v1</x:v>
      </x:c>
      <x:c r="D79" s="2" t="str">
        <x:v>Final coding</x:v>
      </x:c>
      <x:c r="E79" s="2" t="str">
        <x:v>R1/R2</x:v>
      </x:c>
      <x:c r="F79" s="2" t="str">
        <x:v>S09-T02-PROC</x:v>
      </x:c>
      <x:c r="G79" s="2" t="str">
        <x:v>S09-T02</x:v>
      </x:c>
      <x:c r="H79" s="2" t="str">
        <x:v>3 Traceability inference</x:v>
      </x:c>
      <x:c r="I79" s="2" t="n">
        <x:v>3</x:v>
      </x:c>
      <x:c r="J79" s="2" t="str">
        <x:v>Common core</x:v>
      </x:c>
      <x:c r="K79" s="2" t="str">
        <x:v>Completed</x:v>
      </x:c>
      <x:c r="L79" s="2" t="str">
        <x:v>Inferred from relation output</x:v>
      </x:c>
      <x:c r="M79" s="2" t="str">
        <x:v>NR</x:v>
      </x:c>
      <x:c r="N79" s="2" t="str">
        <x:v>NR</x:v>
      </x:c>
      <x:c r="O79" s="2" t="str">
        <x:v>NR</x:v>
      </x:c>
      <x:c r="P79" s="6" t="str">
        <x:v>NR</x:v>
      </x:c>
      <x:c r="Q79" s="2" t="str">
        <x:v>NR</x:v>
      </x:c>
      <x:c r="R79" s="6" t="str">
        <x:v>冲突节点和AFFECTS边，记录冲突类型、严重程度和解决状态。</x:v>
      </x:c>
      <x:c r="S79" s="2" t="str">
        <x:v>NR</x:v>
      </x:c>
      <x:c r="T79" s="2" t="str">
        <x:v>NR</x:v>
      </x:c>
      <x:c r="U79" s="2" t="str">
        <x:v>NR</x:v>
      </x:c>
      <x:c r="V79" s="6" t="str">
        <x:v>Task-specific coded evidence</x:v>
      </x:c>
      <x:c r="W79" s="6" t="str">
        <x:v>p. 4; Section III-F</x:v>
      </x:c>
      <x:c r="X79" s="6" t="str">
        <x:v>The co-existence of derivation-time and validation-time assessments enables structured conflict detection. Two categories of conflict are identified.</x:v>
      </x:c>
      <x:c r="Y79" s="6" t="str">
        <x:v>See task-step evidence references in the RQ2 supplement.</x:v>
      </x:c>
      <x:c r="Z79" s="2" t="str">
        <x:v>Accepted</x:v>
      </x:c>
      <x:c r="AA79" s="6" t="str">
        <x:v>NR</x:v>
      </x:c>
    </x:row>
    <x:row r="80" ht="76" customHeight="1">
      <x:c r="A80" s="2" t="str">
        <x:v>S09-T02-P4</x:v>
      </x:c>
      <x:c r="B80" s="2" t="str">
        <x:v>S09</x:v>
      </x:c>
      <x:c r="C80" s="2" t="str">
        <x:v>merged_1114-v1</x:v>
      </x:c>
      <x:c r="D80" s="2" t="str">
        <x:v>Final coding</x:v>
      </x:c>
      <x:c r="E80" s="2" t="str">
        <x:v>R1/R2</x:v>
      </x:c>
      <x:c r="F80" s="2" t="str">
        <x:v>S09-T02-PROC</x:v>
      </x:c>
      <x:c r="G80" s="2" t="str">
        <x:v>S09-T02</x:v>
      </x:c>
      <x:c r="H80" s="2" t="str">
        <x:v>4 Validation and explanation</x:v>
      </x:c>
      <x:c r="I80" s="2" t="n">
        <x:v>4</x:v>
      </x:c>
      <x:c r="J80" s="2" t="str">
        <x:v>Common core</x:v>
      </x:c>
      <x:c r="K80" s="2" t="str">
        <x:v>Completed</x:v>
      </x:c>
      <x:c r="L80" s="2" t="str">
        <x:v>Not separately reported</x:v>
      </x:c>
      <x:c r="M80" s="2" t="str">
        <x:v>NR</x:v>
      </x:c>
      <x:c r="N80" s="2" t="str">
        <x:v>NR</x:v>
      </x:c>
      <x:c r="O80" s="2" t="str">
        <x:v>NR</x:v>
      </x:c>
      <x:c r="P80" s="6" t="str">
        <x:v>NR</x:v>
      </x:c>
      <x:c r="Q80" s="2" t="str">
        <x:v>NR</x:v>
      </x:c>
      <x:c r="R80" s="6" t="str">
        <x:v>NR</x:v>
      </x:c>
      <x:c r="S80" s="2" t="str">
        <x:v>NR</x:v>
      </x:c>
      <x:c r="T80" s="2" t="str">
        <x:v>NR</x:v>
      </x:c>
      <x:c r="U80" s="2" t="str">
        <x:v>NR</x:v>
      </x:c>
      <x:c r="V80" s="6" t="str">
        <x:v>Task-specific coded evidence</x:v>
      </x:c>
      <x:c r="W80" s="6" t="str">
        <x:v>p. 4; Section III-F</x:v>
      </x:c>
      <x:c r="X80" s="6" t="str">
        <x:v>The co-existence of derivation-time and validation-time assessments enables structured conflict detection. Two categories of conflict are identified.</x:v>
      </x:c>
      <x:c r="Y80" s="6" t="str">
        <x:v>See task-step evidence references in the RQ2 supplement.</x:v>
      </x:c>
      <x:c r="Z80" s="2" t="str">
        <x:v>Accepted</x:v>
      </x:c>
      <x:c r="AA80" s="6" t="str">
        <x:v>NR</x:v>
      </x:c>
    </x:row>
    <x:row r="81" ht="76" customHeight="1">
      <x:c r="A81" s="2" t="str">
        <x:v>S09-T02-P5</x:v>
      </x:c>
      <x:c r="B81" s="2" t="str">
        <x:v>S09</x:v>
      </x:c>
      <x:c r="C81" s="2" t="str">
        <x:v>merged_1114-v1</x:v>
      </x:c>
      <x:c r="D81" s="2" t="str">
        <x:v>Final coding</x:v>
      </x:c>
      <x:c r="E81" s="2" t="str">
        <x:v>R1/R2</x:v>
      </x:c>
      <x:c r="F81" s="2" t="str">
        <x:v>S09-T02-PROC</x:v>
      </x:c>
      <x:c r="G81" s="2" t="str">
        <x:v>S09-T02</x:v>
      </x:c>
      <x:c r="H81" s="2" t="str">
        <x:v>5 Evolution and embedding</x:v>
      </x:c>
      <x:c r="I81" s="2" t="n">
        <x:v>5</x:v>
      </x:c>
      <x:c r="J81" s="2" t="str">
        <x:v>Common core</x:v>
      </x:c>
      <x:c r="K81" s="2" t="str">
        <x:v>Completed</x:v>
      </x:c>
      <x:c r="L81" s="2" t="str">
        <x:v>Not separately reported</x:v>
      </x:c>
      <x:c r="M81" s="2" t="str">
        <x:v>NR</x:v>
      </x:c>
      <x:c r="N81" s="2" t="str">
        <x:v>NR</x:v>
      </x:c>
      <x:c r="O81" s="2" t="str">
        <x:v>NR</x:v>
      </x:c>
      <x:c r="P81" s="6" t="str">
        <x:v>NR</x:v>
      </x:c>
      <x:c r="Q81" s="2" t="str">
        <x:v>NR</x:v>
      </x:c>
      <x:c r="R81" s="6" t="str">
        <x:v>NR</x:v>
      </x:c>
      <x:c r="S81" s="2" t="str">
        <x:v>NR</x:v>
      </x:c>
      <x:c r="T81" s="2" t="str">
        <x:v>NR</x:v>
      </x:c>
      <x:c r="U81" s="2" t="str">
        <x:v>NR</x:v>
      </x:c>
      <x:c r="V81" s="6" t="str">
        <x:v>Task-specific coded evidence</x:v>
      </x:c>
      <x:c r="W81" s="6" t="str">
        <x:v>p. 4; Section III-F</x:v>
      </x:c>
      <x:c r="X81" s="6" t="str">
        <x:v>The co-existence of derivation-time and validation-time assessments enables structured conflict detection. Two categories of conflict are identified.</x:v>
      </x:c>
      <x:c r="Y81" s="6" t="str">
        <x:v>See task-step evidence references in the RQ2 supplement.</x:v>
      </x:c>
      <x:c r="Z81" s="2" t="str">
        <x:v>Accepted</x:v>
      </x:c>
      <x:c r="AA81" s="6" t="str">
        <x:v>NR</x:v>
      </x:c>
    </x:row>
    <x:row r="82" ht="76" customHeight="1">
      <x:c r="A82" s="2" t="str">
        <x:v>S09-T03-P1</x:v>
      </x:c>
      <x:c r="B82" s="2" t="str">
        <x:v>S09</x:v>
      </x:c>
      <x:c r="C82" s="2" t="str">
        <x:v>merged_1114-v1</x:v>
      </x:c>
      <x:c r="D82" s="2" t="str">
        <x:v>Final coding</x:v>
      </x:c>
      <x:c r="E82" s="2" t="str">
        <x:v>R1/R2</x:v>
      </x:c>
      <x:c r="F82" s="2" t="str">
        <x:v>S09-T03-PROC</x:v>
      </x:c>
      <x:c r="G82" s="2" t="str">
        <x:v>S09-T03</x:v>
      </x:c>
      <x:c r="H82" s="2" t="str">
        <x:v>1 Artifact acquisition and scoping</x:v>
      </x:c>
      <x:c r="I82" s="2" t="n">
        <x:v>1</x:v>
      </x:c>
      <x:c r="J82" s="2" t="str">
        <x:v>Common core</x:v>
      </x:c>
      <x:c r="K82" s="2" t="str">
        <x:v>Completed</x:v>
      </x:c>
      <x:c r="L82" s="2" t="str">
        <x:v>Not separately reported</x:v>
      </x:c>
      <x:c r="M82" s="2" t="str">
        <x:v>NR</x:v>
      </x:c>
      <x:c r="N82" s="2" t="str">
        <x:v>NR</x:v>
      </x:c>
      <x:c r="O82" s="2" t="str">
        <x:v>NR</x:v>
      </x:c>
      <x:c r="P82" s="6" t="str">
        <x:v>NR</x:v>
      </x:c>
      <x:c r="Q82" s="2" t="str">
        <x:v>NR</x:v>
      </x:c>
      <x:c r="R82" s="6" t="str">
        <x:v>NR</x:v>
      </x:c>
      <x:c r="S82" s="2" t="str">
        <x:v>NR</x:v>
      </x:c>
      <x:c r="T82" s="2" t="str">
        <x:v>NR</x:v>
      </x:c>
      <x:c r="U82" s="2" t="str">
        <x:v>NR</x:v>
      </x:c>
      <x:c r="V82" s="6" t="str">
        <x:v>Task-specific coded evidence</x:v>
      </x:c>
      <x:c r="W82" s="6" t="str">
        <x:v>p. 4; Fig. 1 caption</x:v>
      </x:c>
      <x:c r="X82" s="6" t="str">
        <x:v>The consistency protocol applies confidence threshold gating, divergence detection between cseed and cval, and conflict materialization.</x:v>
      </x:c>
      <x:c r="Y82" s="6" t="str">
        <x:v>See task-step evidence references in the RQ2 supplement.</x:v>
      </x:c>
      <x:c r="Z82" s="2" t="str">
        <x:v>Accepted</x:v>
      </x:c>
      <x:c r="AA82" s="6" t="str">
        <x:v>NR</x:v>
      </x:c>
    </x:row>
    <x:row r="83" ht="76" customHeight="1">
      <x:c r="A83" s="2" t="str">
        <x:v>S09-T03-P2</x:v>
      </x:c>
      <x:c r="B83" s="2" t="str">
        <x:v>S09</x:v>
      </x:c>
      <x:c r="C83" s="2" t="str">
        <x:v>merged_1114-v1</x:v>
      </x:c>
      <x:c r="D83" s="2" t="str">
        <x:v>Final coding</x:v>
      </x:c>
      <x:c r="E83" s="2" t="str">
        <x:v>R1/R2</x:v>
      </x:c>
      <x:c r="F83" s="2" t="str">
        <x:v>S09-T03-PROC</x:v>
      </x:c>
      <x:c r="G83" s="2" t="str">
        <x:v>S09-T03</x:v>
      </x:c>
      <x:c r="H83" s="2" t="str">
        <x:v>2 Semantic contextualization</x:v>
      </x:c>
      <x:c r="I83" s="2" t="n">
        <x:v>2</x:v>
      </x:c>
      <x:c r="J83" s="2" t="str">
        <x:v>Common core</x:v>
      </x:c>
      <x:c r="K83" s="2" t="str">
        <x:v>Completed</x:v>
      </x:c>
      <x:c r="L83" s="2" t="str">
        <x:v>Not separately reported</x:v>
      </x:c>
      <x:c r="M83" s="2" t="str">
        <x:v>NR</x:v>
      </x:c>
      <x:c r="N83" s="2" t="str">
        <x:v>NR</x:v>
      </x:c>
      <x:c r="O83" s="2" t="str">
        <x:v>NR</x:v>
      </x:c>
      <x:c r="P83" s="6" t="str">
        <x:v>NR</x:v>
      </x:c>
      <x:c r="Q83" s="2" t="str">
        <x:v>NR</x:v>
      </x:c>
      <x:c r="R83" s="6" t="str">
        <x:v>NR</x:v>
      </x:c>
      <x:c r="S83" s="2" t="str">
        <x:v>NR</x:v>
      </x:c>
      <x:c r="T83" s="2" t="str">
        <x:v>NR</x:v>
      </x:c>
      <x:c r="U83" s="2" t="str">
        <x:v>NR</x:v>
      </x:c>
      <x:c r="V83" s="6" t="str">
        <x:v>Task-specific coded evidence</x:v>
      </x:c>
      <x:c r="W83" s="6" t="str">
        <x:v>p. 4; Fig. 1 caption</x:v>
      </x:c>
      <x:c r="X83" s="6" t="str">
        <x:v>The consistency protocol applies confidence threshold gating, divergence detection between cseed and cval, and conflict materialization.</x:v>
      </x:c>
      <x:c r="Y83" s="6" t="str">
        <x:v>See task-step evidence references in the RQ2 supplement.</x:v>
      </x:c>
      <x:c r="Z83" s="2" t="str">
        <x:v>Accepted</x:v>
      </x:c>
      <x:c r="AA83" s="6" t="str">
        <x:v>NR</x:v>
      </x:c>
    </x:row>
    <x:row r="84" ht="76" customHeight="1">
      <x:c r="A84" s="2" t="str">
        <x:v>S09-T03-P3</x:v>
      </x:c>
      <x:c r="B84" s="2" t="str">
        <x:v>S09</x:v>
      </x:c>
      <x:c r="C84" s="2" t="str">
        <x:v>merged_1114-v1</x:v>
      </x:c>
      <x:c r="D84" s="2" t="str">
        <x:v>Final coding</x:v>
      </x:c>
      <x:c r="E84" s="2" t="str">
        <x:v>R1/R2</x:v>
      </x:c>
      <x:c r="F84" s="2" t="str">
        <x:v>S09-T03-PROC</x:v>
      </x:c>
      <x:c r="G84" s="2" t="str">
        <x:v>S09-T03</x:v>
      </x:c>
      <x:c r="H84" s="2" t="str">
        <x:v>3 Traceability inference</x:v>
      </x:c>
      <x:c r="I84" s="2" t="n">
        <x:v>3</x:v>
      </x:c>
      <x:c r="J84" s="2" t="str">
        <x:v>Common core</x:v>
      </x:c>
      <x:c r="K84" s="2" t="str">
        <x:v>Completed</x:v>
      </x:c>
      <x:c r="L84" s="2" t="str">
        <x:v>Inferred from relation output</x:v>
      </x:c>
      <x:c r="M84" s="2" t="str">
        <x:v>NR</x:v>
      </x:c>
      <x:c r="N84" s="2" t="str">
        <x:v>NR</x:v>
      </x:c>
      <x:c r="O84" s="2" t="str">
        <x:v>NR</x:v>
      </x:c>
      <x:c r="P84" s="6" t="str">
        <x:v>NR</x:v>
      </x:c>
      <x:c r="Q84" s="2" t="str">
        <x:v>NR</x:v>
      </x:c>
      <x:c r="R84" s="6" t="str">
        <x:v>经滤波和冲突消解后的知识图谱，以及冲突分析报告。</x:v>
      </x:c>
      <x:c r="S84" s="2" t="str">
        <x:v>NR</x:v>
      </x:c>
      <x:c r="T84" s="2" t="str">
        <x:v>NR</x:v>
      </x:c>
      <x:c r="U84" s="2" t="str">
        <x:v>NR</x:v>
      </x:c>
      <x:c r="V84" s="6" t="str">
        <x:v>Task-specific coded evidence</x:v>
      </x:c>
      <x:c r="W84" s="6" t="str">
        <x:v>p. 4; Fig. 1 caption</x:v>
      </x:c>
      <x:c r="X84" s="6" t="str">
        <x:v>The consistency protocol applies confidence threshold gating, divergence detection between cseed and cval, and conflict materialization.</x:v>
      </x:c>
      <x:c r="Y84" s="6" t="str">
        <x:v>See task-step evidence references in the RQ2 supplement.</x:v>
      </x:c>
      <x:c r="Z84" s="2" t="str">
        <x:v>Accepted</x:v>
      </x:c>
      <x:c r="AA84" s="6" t="str">
        <x:v>NR</x:v>
      </x:c>
    </x:row>
    <x:row r="85" ht="76" customHeight="1">
      <x:c r="A85" s="2" t="str">
        <x:v>S09-T03-P4</x:v>
      </x:c>
      <x:c r="B85" s="2" t="str">
        <x:v>S09</x:v>
      </x:c>
      <x:c r="C85" s="2" t="str">
        <x:v>merged_1114-v1</x:v>
      </x:c>
      <x:c r="D85" s="2" t="str">
        <x:v>Final coding</x:v>
      </x:c>
      <x:c r="E85" s="2" t="str">
        <x:v>R1/R2</x:v>
      </x:c>
      <x:c r="F85" s="2" t="str">
        <x:v>S09-T03-PROC</x:v>
      </x:c>
      <x:c r="G85" s="2" t="str">
        <x:v>S09-T03</x:v>
      </x:c>
      <x:c r="H85" s="2" t="str">
        <x:v>4 Validation and explanation</x:v>
      </x:c>
      <x:c r="I85" s="2" t="n">
        <x:v>4</x:v>
      </x:c>
      <x:c r="J85" s="2" t="str">
        <x:v>Common core</x:v>
      </x:c>
      <x:c r="K85" s="2" t="str">
        <x:v>Completed</x:v>
      </x:c>
      <x:c r="L85" s="2" t="str">
        <x:v>Not separately reported</x:v>
      </x:c>
      <x:c r="M85" s="2" t="str">
        <x:v>NR</x:v>
      </x:c>
      <x:c r="N85" s="2" t="str">
        <x:v>NR</x:v>
      </x:c>
      <x:c r="O85" s="2" t="str">
        <x:v>NR</x:v>
      </x:c>
      <x:c r="P85" s="6" t="str">
        <x:v>NR</x:v>
      </x:c>
      <x:c r="Q85" s="2" t="str">
        <x:v>NR</x:v>
      </x:c>
      <x:c r="R85" s="6" t="str">
        <x:v>NR</x:v>
      </x:c>
      <x:c r="S85" s="2" t="str">
        <x:v>NR</x:v>
      </x:c>
      <x:c r="T85" s="2" t="str">
        <x:v>NR</x:v>
      </x:c>
      <x:c r="U85" s="2" t="str">
        <x:v>NR</x:v>
      </x:c>
      <x:c r="V85" s="6" t="str">
        <x:v>Task-specific coded evidence</x:v>
      </x:c>
      <x:c r="W85" s="6" t="str">
        <x:v>p. 4; Fig. 1 caption</x:v>
      </x:c>
      <x:c r="X85" s="6" t="str">
        <x:v>The consistency protocol applies confidence threshold gating, divergence detection between cseed and cval, and conflict materialization.</x:v>
      </x:c>
      <x:c r="Y85" s="6" t="str">
        <x:v>See task-step evidence references in the RQ2 supplement.</x:v>
      </x:c>
      <x:c r="Z85" s="2" t="str">
        <x:v>Accepted</x:v>
      </x:c>
      <x:c r="AA85" s="6" t="str">
        <x:v>NR</x:v>
      </x:c>
    </x:row>
    <x:row r="86" ht="76" customHeight="1">
      <x:c r="A86" s="2" t="str">
        <x:v>S09-T03-P5</x:v>
      </x:c>
      <x:c r="B86" s="2" t="str">
        <x:v>S09</x:v>
      </x:c>
      <x:c r="C86" s="2" t="str">
        <x:v>merged_1114-v1</x:v>
      </x:c>
      <x:c r="D86" s="2" t="str">
        <x:v>Final coding</x:v>
      </x:c>
      <x:c r="E86" s="2" t="str">
        <x:v>R1/R2</x:v>
      </x:c>
      <x:c r="F86" s="2" t="str">
        <x:v>S09-T03-PROC</x:v>
      </x:c>
      <x:c r="G86" s="2" t="str">
        <x:v>S09-T03</x:v>
      </x:c>
      <x:c r="H86" s="2" t="str">
        <x:v>5 Evolution and embedding</x:v>
      </x:c>
      <x:c r="I86" s="2" t="n">
        <x:v>5</x:v>
      </x:c>
      <x:c r="J86" s="2" t="str">
        <x:v>Common core</x:v>
      </x:c>
      <x:c r="K86" s="2" t="str">
        <x:v>Completed</x:v>
      </x:c>
      <x:c r="L86" s="2" t="str">
        <x:v>Not separately reported</x:v>
      </x:c>
      <x:c r="M86" s="2" t="str">
        <x:v>NR</x:v>
      </x:c>
      <x:c r="N86" s="2" t="str">
        <x:v>NR</x:v>
      </x:c>
      <x:c r="O86" s="2" t="str">
        <x:v>NR</x:v>
      </x:c>
      <x:c r="P86" s="6" t="str">
        <x:v>NR</x:v>
      </x:c>
      <x:c r="Q86" s="2" t="str">
        <x:v>NR</x:v>
      </x:c>
      <x:c r="R86" s="6" t="str">
        <x:v>NR</x:v>
      </x:c>
      <x:c r="S86" s="2" t="str">
        <x:v>NR</x:v>
      </x:c>
      <x:c r="T86" s="2" t="str">
        <x:v>NR</x:v>
      </x:c>
      <x:c r="U86" s="2" t="str">
        <x:v>NR</x:v>
      </x:c>
      <x:c r="V86" s="6" t="str">
        <x:v>Task-specific coded evidence</x:v>
      </x:c>
      <x:c r="W86" s="6" t="str">
        <x:v>p. 4; Fig. 1 caption</x:v>
      </x:c>
      <x:c r="X86" s="6" t="str">
        <x:v>The consistency protocol applies confidence threshold gating, divergence detection between cseed and cval, and conflict materialization.</x:v>
      </x:c>
      <x:c r="Y86" s="6" t="str">
        <x:v>See task-step evidence references in the RQ2 supplement.</x:v>
      </x:c>
      <x:c r="Z86" s="2" t="str">
        <x:v>Accepted</x:v>
      </x:c>
      <x:c r="AA86" s="6" t="str">
        <x:v>NR</x:v>
      </x:c>
    </x:row>
    <x:row r="87" ht="76" customHeight="1">
      <x:c r="A87" s="2" t="str">
        <x:v>S10-T01-P1</x:v>
      </x:c>
      <x:c r="B87" s="2" t="str">
        <x:v>S10</x:v>
      </x:c>
      <x:c r="C87" s="2" t="str">
        <x:v>merged_1119-v2</x:v>
      </x:c>
      <x:c r="D87" s="2" t="str">
        <x:v>Final coding</x:v>
      </x:c>
      <x:c r="E87" s="2" t="str">
        <x:v>R1/R2</x:v>
      </x:c>
      <x:c r="F87" s="2" t="str">
        <x:v>S10-T01-PROC</x:v>
      </x:c>
      <x:c r="G87" s="2" t="str">
        <x:v>S10-T01</x:v>
      </x:c>
      <x:c r="H87" s="2" t="str">
        <x:v>1 Artifact acquisition and scoping</x:v>
      </x:c>
      <x:c r="I87" s="2" t="n">
        <x:v>1</x:v>
      </x:c>
      <x:c r="J87" s="2" t="str">
        <x:v>Common core</x:v>
      </x:c>
      <x:c r="K87" s="2" t="str">
        <x:v>Completed</x:v>
      </x:c>
      <x:c r="L87" s="2" t="str">
        <x:v>Not separately reported</x:v>
      </x:c>
      <x:c r="M87" s="2" t="str">
        <x:v>NR</x:v>
      </x:c>
      <x:c r="N87" s="2" t="str">
        <x:v>NR</x:v>
      </x:c>
      <x:c r="O87" s="2" t="str">
        <x:v>NR</x:v>
      </x:c>
      <x:c r="P87" s="6" t="str">
        <x:v>NR</x:v>
      </x:c>
      <x:c r="Q87" s="2" t="str">
        <x:v>NR</x:v>
      </x:c>
      <x:c r="R87" s="6" t="str">
        <x:v>NR</x:v>
      </x:c>
      <x:c r="S87" s="2" t="str">
        <x:v>NR</x:v>
      </x:c>
      <x:c r="T87" s="2" t="str">
        <x:v>NR</x:v>
      </x:c>
      <x:c r="U87" s="2" t="str">
        <x:v>NR</x:v>
      </x:c>
      <x:c r="V87" s="6" t="str">
        <x:v>Task-specific coded evidence</x:v>
      </x:c>
      <x:c r="W87" s="6" t="str">
        <x:v>p. 1; Abstract</x:v>
      </x:c>
      <x:c r="X87" s="6" t="str">
        <x:v>Linking issue reports to the commits that resolve them is essential for software traceability, maintenance, and evolution.</x:v>
      </x:c>
      <x:c r="Y87" s="6" t="str">
        <x:v>See task-step evidence references in the RQ2 supplement.</x:v>
      </x:c>
      <x:c r="Z87" s="2" t="str">
        <x:v>Accepted</x:v>
      </x:c>
      <x:c r="AA87" s="6" t="str">
        <x:v>NR</x:v>
      </x:c>
    </x:row>
    <x:row r="88" ht="76" customHeight="1">
      <x:c r="A88" s="2" t="str">
        <x:v>S10-T01-P2</x:v>
      </x:c>
      <x:c r="B88" s="2" t="str">
        <x:v>S10</x:v>
      </x:c>
      <x:c r="C88" s="2" t="str">
        <x:v>merged_1119-v2</x:v>
      </x:c>
      <x:c r="D88" s="2" t="str">
        <x:v>Final coding</x:v>
      </x:c>
      <x:c r="E88" s="2" t="str">
        <x:v>R1/R2</x:v>
      </x:c>
      <x:c r="F88" s="2" t="str">
        <x:v>S10-T01-PROC</x:v>
      </x:c>
      <x:c r="G88" s="2" t="str">
        <x:v>S10-T01</x:v>
      </x:c>
      <x:c r="H88" s="2" t="str">
        <x:v>2 Semantic contextualization</x:v>
      </x:c>
      <x:c r="I88" s="2" t="n">
        <x:v>2</x:v>
      </x:c>
      <x:c r="J88" s="2" t="str">
        <x:v>Common core</x:v>
      </x:c>
      <x:c r="K88" s="2" t="str">
        <x:v>Completed</x:v>
      </x:c>
      <x:c r="L88" s="2" t="str">
        <x:v>Explicitly evidenced</x:v>
      </x:c>
      <x:c r="M88" s="2" t="str">
        <x:v>NR</x:v>
      </x:c>
      <x:c r="N88" s="2" t="str">
        <x:v>NR</x:v>
      </x:c>
      <x:c r="O88" s="2" t="str">
        <x:v>NR</x:v>
      </x:c>
      <x:c r="P88" s="6" t="str">
        <x:v>NR</x:v>
      </x:c>
      <x:c r="Q88" s="2" t="str">
        <x:v>2 Semantic contextualization</x:v>
      </x:c>
      <x:c r="R88" s="6" t="str">
        <x:v>NR</x:v>
      </x:c>
      <x:c r="S88" s="2" t="str">
        <x:v>NR</x:v>
      </x:c>
      <x:c r="T88" s="2" t="str">
        <x:v>NR</x:v>
      </x:c>
      <x:c r="U88" s="2" t="str">
        <x:v>NR</x:v>
      </x:c>
      <x:c r="V88" s="6" t="str">
        <x:v>Task-specific coded evidence</x:v>
      </x:c>
      <x:c r="W88" s="6" t="str">
        <x:v>p. 1; Abstract</x:v>
      </x:c>
      <x:c r="X88" s="6" t="str">
        <x:v>Linking issue reports to the commits that resolve them is essential for software traceability, maintenance, and evolution.</x:v>
      </x:c>
      <x:c r="Y88" s="6" t="str">
        <x:v>See task-step evidence references in the RQ2 supplement.</x:v>
      </x:c>
      <x:c r="Z88" s="2" t="str">
        <x:v>Accepted</x:v>
      </x:c>
      <x:c r="AA88" s="6" t="str">
        <x:v>NR</x:v>
      </x:c>
    </x:row>
    <x:row r="89" ht="76" customHeight="1">
      <x:c r="A89" s="2" t="str">
        <x:v>S10-T01-P3</x:v>
      </x:c>
      <x:c r="B89" s="2" t="str">
        <x:v>S10</x:v>
      </x:c>
      <x:c r="C89" s="2" t="str">
        <x:v>merged_1119-v2</x:v>
      </x:c>
      <x:c r="D89" s="2" t="str">
        <x:v>Final coding</x:v>
      </x:c>
      <x:c r="E89" s="2" t="str">
        <x:v>R1/R2</x:v>
      </x:c>
      <x:c r="F89" s="2" t="str">
        <x:v>S10-T01-PROC</x:v>
      </x:c>
      <x:c r="G89" s="2" t="str">
        <x:v>S10-T01</x:v>
      </x:c>
      <x:c r="H89" s="2" t="str">
        <x:v>3 Traceability inference</x:v>
      </x:c>
      <x:c r="I89" s="2" t="n">
        <x:v>3</x:v>
      </x:c>
      <x:c r="J89" s="2" t="str">
        <x:v>Common core</x:v>
      </x:c>
      <x:c r="K89" s="2" t="str">
        <x:v>Completed</x:v>
      </x:c>
      <x:c r="L89" s="2" t="str">
        <x:v>Explicitly evidenced</x:v>
      </x:c>
      <x:c r="M89" s="2" t="str">
        <x:v>NR</x:v>
      </x:c>
      <x:c r="N89" s="2" t="str">
        <x:v>NR</x:v>
      </x:c>
      <x:c r="O89" s="2" t="str">
        <x:v>NR</x:v>
      </x:c>
      <x:c r="P89" s="6" t="str">
        <x:v>NR</x:v>
      </x:c>
      <x:c r="Q89" s="2" t="str">
        <x:v>3 Traceability inference</x:v>
      </x:c>
      <x:c r="R89" s="6" t="str">
        <x:v>按相关性排序的候选提交列表（Top-K），或二元分类链接结果。</x:v>
      </x:c>
      <x:c r="S89" s="2" t="str">
        <x:v>NR</x:v>
      </x:c>
      <x:c r="T89" s="2" t="str">
        <x:v>NR</x:v>
      </x:c>
      <x:c r="U89" s="2" t="str">
        <x:v>NR</x:v>
      </x:c>
      <x:c r="V89" s="6" t="str">
        <x:v>Task-specific coded evidence</x:v>
      </x:c>
      <x:c r="W89" s="6" t="str">
        <x:v>p. 1; Abstract</x:v>
      </x:c>
      <x:c r="X89" s="6" t="str">
        <x:v>Linking issue reports to the commits that resolve them is essential for software traceability, maintenance, and evolution.</x:v>
      </x:c>
      <x:c r="Y89" s="6" t="str">
        <x:v>See task-step evidence references in the RQ2 supplement.</x:v>
      </x:c>
      <x:c r="Z89" s="2" t="str">
        <x:v>Accepted</x:v>
      </x:c>
      <x:c r="AA89" s="6" t="str">
        <x:v>NR</x:v>
      </x:c>
    </x:row>
    <x:row r="90" ht="76" customHeight="1">
      <x:c r="A90" s="2" t="str">
        <x:v>S10-T01-P4</x:v>
      </x:c>
      <x:c r="B90" s="2" t="str">
        <x:v>S10</x:v>
      </x:c>
      <x:c r="C90" s="2" t="str">
        <x:v>merged_1119-v2</x:v>
      </x:c>
      <x:c r="D90" s="2" t="str">
        <x:v>Final coding</x:v>
      </x:c>
      <x:c r="E90" s="2" t="str">
        <x:v>R1/R2</x:v>
      </x:c>
      <x:c r="F90" s="2" t="str">
        <x:v>S10-T01-PROC</x:v>
      </x:c>
      <x:c r="G90" s="2" t="str">
        <x:v>S10-T01</x:v>
      </x:c>
      <x:c r="H90" s="2" t="str">
        <x:v>4 Validation and explanation</x:v>
      </x:c>
      <x:c r="I90" s="2" t="n">
        <x:v>4</x:v>
      </x:c>
      <x:c r="J90" s="2" t="str">
        <x:v>Common core</x:v>
      </x:c>
      <x:c r="K90" s="2" t="str">
        <x:v>Completed</x:v>
      </x:c>
      <x:c r="L90" s="2" t="str">
        <x:v>Not separately reported</x:v>
      </x:c>
      <x:c r="M90" s="2" t="str">
        <x:v>NR</x:v>
      </x:c>
      <x:c r="N90" s="2" t="str">
        <x:v>NR</x:v>
      </x:c>
      <x:c r="O90" s="2" t="str">
        <x:v>NR</x:v>
      </x:c>
      <x:c r="P90" s="6" t="str">
        <x:v>NR</x:v>
      </x:c>
      <x:c r="Q90" s="2" t="str">
        <x:v>NR</x:v>
      </x:c>
      <x:c r="R90" s="6" t="str">
        <x:v>NR</x:v>
      </x:c>
      <x:c r="S90" s="2" t="str">
        <x:v>NR</x:v>
      </x:c>
      <x:c r="T90" s="2" t="str">
        <x:v>NR</x:v>
      </x:c>
      <x:c r="U90" s="2" t="str">
        <x:v>NR</x:v>
      </x:c>
      <x:c r="V90" s="6" t="str">
        <x:v>Task-specific coded evidence</x:v>
      </x:c>
      <x:c r="W90" s="6" t="str">
        <x:v>p. 1; Abstract</x:v>
      </x:c>
      <x:c r="X90" s="6" t="str">
        <x:v>Linking issue reports to the commits that resolve them is essential for software traceability, maintenance, and evolution.</x:v>
      </x:c>
      <x:c r="Y90" s="6" t="str">
        <x:v>See task-step evidence references in the RQ2 supplement.</x:v>
      </x:c>
      <x:c r="Z90" s="2" t="str">
        <x:v>Accepted</x:v>
      </x:c>
      <x:c r="AA90" s="6" t="str">
        <x:v>NR</x:v>
      </x:c>
    </x:row>
    <x:row r="91" ht="76" customHeight="1">
      <x:c r="A91" s="2" t="str">
        <x:v>S10-T01-P5</x:v>
      </x:c>
      <x:c r="B91" s="2" t="str">
        <x:v>S10</x:v>
      </x:c>
      <x:c r="C91" s="2" t="str">
        <x:v>merged_1119-v2</x:v>
      </x:c>
      <x:c r="D91" s="2" t="str">
        <x:v>Final coding</x:v>
      </x:c>
      <x:c r="E91" s="2" t="str">
        <x:v>R1/R2</x:v>
      </x:c>
      <x:c r="F91" s="2" t="str">
        <x:v>S10-T01-PROC</x:v>
      </x:c>
      <x:c r="G91" s="2" t="str">
        <x:v>S10-T01</x:v>
      </x:c>
      <x:c r="H91" s="2" t="str">
        <x:v>5 Evolution and embedding</x:v>
      </x:c>
      <x:c r="I91" s="2" t="n">
        <x:v>5</x:v>
      </x:c>
      <x:c r="J91" s="2" t="str">
        <x:v>Common core</x:v>
      </x:c>
      <x:c r="K91" s="2" t="str">
        <x:v>Completed</x:v>
      </x:c>
      <x:c r="L91" s="2" t="str">
        <x:v>Not separately reported</x:v>
      </x:c>
      <x:c r="M91" s="2" t="str">
        <x:v>NR</x:v>
      </x:c>
      <x:c r="N91" s="2" t="str">
        <x:v>NR</x:v>
      </x:c>
      <x:c r="O91" s="2" t="str">
        <x:v>NR</x:v>
      </x:c>
      <x:c r="P91" s="6" t="str">
        <x:v>NR</x:v>
      </x:c>
      <x:c r="Q91" s="2" t="str">
        <x:v>NR</x:v>
      </x:c>
      <x:c r="R91" s="6" t="str">
        <x:v>NR</x:v>
      </x:c>
      <x:c r="S91" s="2" t="str">
        <x:v>NR</x:v>
      </x:c>
      <x:c r="T91" s="2" t="str">
        <x:v>NR</x:v>
      </x:c>
      <x:c r="U91" s="2" t="str">
        <x:v>NR</x:v>
      </x:c>
      <x:c r="V91" s="6" t="str">
        <x:v>Task-specific coded evidence</x:v>
      </x:c>
      <x:c r="W91" s="6" t="str">
        <x:v>p. 1; Abstract</x:v>
      </x:c>
      <x:c r="X91" s="6" t="str">
        <x:v>Linking issue reports to the commits that resolve them is essential for software traceability, maintenance, and evolution.</x:v>
      </x:c>
      <x:c r="Y91" s="6" t="str">
        <x:v>See task-step evidence references in the RQ2 supplement.</x:v>
      </x:c>
      <x:c r="Z91" s="2" t="str">
        <x:v>Accepted</x:v>
      </x:c>
      <x:c r="AA91" s="6" t="str">
        <x:v>NR</x:v>
      </x:c>
    </x:row>
    <x:row r="92" ht="76" customHeight="1">
      <x:c r="A92" s="2" t="str">
        <x:v>S11-T01-P1</x:v>
      </x:c>
      <x:c r="B92" s="2" t="str">
        <x:v>S11</x:v>
      </x:c>
      <x:c r="C92" s="2" t="str">
        <x:v>merged_1121-v1</x:v>
      </x:c>
      <x:c r="D92" s="2" t="str">
        <x:v>Final coding</x:v>
      </x:c>
      <x:c r="E92" s="2" t="str">
        <x:v>R1/R2</x:v>
      </x:c>
      <x:c r="F92" s="2" t="str">
        <x:v>S11-T01-PROC</x:v>
      </x:c>
      <x:c r="G92" s="2" t="str">
        <x:v>S11-T01</x:v>
      </x:c>
      <x:c r="H92" s="2" t="str">
        <x:v>1 Artifact acquisition and scoping</x:v>
      </x:c>
      <x:c r="I92" s="2" t="n">
        <x:v>1</x:v>
      </x:c>
      <x:c r="J92" s="2" t="str">
        <x:v>Common core</x:v>
      </x:c>
      <x:c r="K92" s="2" t="str">
        <x:v>Completed</x:v>
      </x:c>
      <x:c r="L92" s="2" t="str">
        <x:v>Not separately reported</x:v>
      </x:c>
      <x:c r="M92" s="2" t="str">
        <x:v>NR</x:v>
      </x:c>
      <x:c r="N92" s="2" t="str">
        <x:v>NR</x:v>
      </x:c>
      <x:c r="O92" s="2" t="str">
        <x:v>NR</x:v>
      </x:c>
      <x:c r="P92" s="6" t="str">
        <x:v>NR</x:v>
      </x:c>
      <x:c r="Q92" s="2" t="str">
        <x:v>NR</x:v>
      </x:c>
      <x:c r="R92" s="6" t="str">
        <x:v>NR</x:v>
      </x:c>
      <x:c r="S92" s="2" t="str">
        <x:v>NR</x:v>
      </x:c>
      <x:c r="T92" s="2" t="str">
        <x:v>NR</x:v>
      </x:c>
      <x:c r="U92" s="2" t="str">
        <x:v>NR</x:v>
      </x:c>
      <x:c r="V92" s="6" t="str">
        <x:v>Task-specific coded evidence</x:v>
      </x:c>
      <x:c r="W92" s="6" t="str">
        <x:v>p. 2; Section II-A</x:v>
      </x:c>
      <x:c r="X92" s="6" t="str">
        <x:v>and a set of code entities C = c1,...,cn, the goal is to recover a trace link set L ⊆ R × C that approximates a</x:v>
      </x:c>
      <x:c r="Y92" s="6" t="str">
        <x:v>See task-step evidence references in the RQ2 supplement.</x:v>
      </x:c>
      <x:c r="Z92" s="2" t="str">
        <x:v>Accepted</x:v>
      </x:c>
      <x:c r="AA92" s="6" t="str">
        <x:v>NR</x:v>
      </x:c>
    </x:row>
    <x:row r="93" ht="76" customHeight="1">
      <x:c r="A93" s="2" t="str">
        <x:v>S11-T01-P2</x:v>
      </x:c>
      <x:c r="B93" s="2" t="str">
        <x:v>S11</x:v>
      </x:c>
      <x:c r="C93" s="2" t="str">
        <x:v>merged_1121-v1</x:v>
      </x:c>
      <x:c r="D93" s="2" t="str">
        <x:v>Final coding</x:v>
      </x:c>
      <x:c r="E93" s="2" t="str">
        <x:v>R1/R2</x:v>
      </x:c>
      <x:c r="F93" s="2" t="str">
        <x:v>S11-T01-PROC</x:v>
      </x:c>
      <x:c r="G93" s="2" t="str">
        <x:v>S11-T01</x:v>
      </x:c>
      <x:c r="H93" s="2" t="str">
        <x:v>2 Semantic contextualization</x:v>
      </x:c>
      <x:c r="I93" s="2" t="n">
        <x:v>2</x:v>
      </x:c>
      <x:c r="J93" s="2" t="str">
        <x:v>Common core</x:v>
      </x:c>
      <x:c r="K93" s="2" t="str">
        <x:v>Completed</x:v>
      </x:c>
      <x:c r="L93" s="2" t="str">
        <x:v>Explicitly evidenced</x:v>
      </x:c>
      <x:c r="M93" s="2" t="str">
        <x:v>NR</x:v>
      </x:c>
      <x:c r="N93" s="2" t="str">
        <x:v>NR</x:v>
      </x:c>
      <x:c r="O93" s="2" t="str">
        <x:v>NR</x:v>
      </x:c>
      <x:c r="P93" s="6" t="str">
        <x:v>NR</x:v>
      </x:c>
      <x:c r="Q93" s="2" t="str">
        <x:v>2 Semantic contextualization</x:v>
      </x:c>
      <x:c r="R93" s="6" t="str">
        <x:v>NR</x:v>
      </x:c>
      <x:c r="S93" s="2" t="str">
        <x:v>NR</x:v>
      </x:c>
      <x:c r="T93" s="2" t="str">
        <x:v>NR</x:v>
      </x:c>
      <x:c r="U93" s="2" t="str">
        <x:v>NR</x:v>
      </x:c>
      <x:c r="V93" s="6" t="str">
        <x:v>Task-specific coded evidence</x:v>
      </x:c>
      <x:c r="W93" s="6" t="str">
        <x:v>p. 2; Section II-A</x:v>
      </x:c>
      <x:c r="X93" s="6" t="str">
        <x:v>and a set of code entities C = c1,...,cn, the goal is to recover a trace link set L ⊆ R × C that approximates a</x:v>
      </x:c>
      <x:c r="Y93" s="6" t="str">
        <x:v>See task-step evidence references in the RQ2 supplement.</x:v>
      </x:c>
      <x:c r="Z93" s="2" t="str">
        <x:v>Accepted</x:v>
      </x:c>
      <x:c r="AA93" s="6" t="str">
        <x:v>NR</x:v>
      </x:c>
    </x:row>
    <x:row r="94" ht="76" customHeight="1">
      <x:c r="A94" s="2" t="str">
        <x:v>S11-T01-P3</x:v>
      </x:c>
      <x:c r="B94" s="2" t="str">
        <x:v>S11</x:v>
      </x:c>
      <x:c r="C94" s="2" t="str">
        <x:v>merged_1121-v1</x:v>
      </x:c>
      <x:c r="D94" s="2" t="str">
        <x:v>Final coding</x:v>
      </x:c>
      <x:c r="E94" s="2" t="str">
        <x:v>R1/R2</x:v>
      </x:c>
      <x:c r="F94" s="2" t="str">
        <x:v>S11-T01-PROC</x:v>
      </x:c>
      <x:c r="G94" s="2" t="str">
        <x:v>S11-T01</x:v>
      </x:c>
      <x:c r="H94" s="2" t="str">
        <x:v>3 Traceability inference</x:v>
      </x:c>
      <x:c r="I94" s="2" t="n">
        <x:v>3</x:v>
      </x:c>
      <x:c r="J94" s="2" t="str">
        <x:v>Common core</x:v>
      </x:c>
      <x:c r="K94" s="2" t="str">
        <x:v>Completed</x:v>
      </x:c>
      <x:c r="L94" s="2" t="str">
        <x:v>Explicitly evidenced</x:v>
      </x:c>
      <x:c r="M94" s="2" t="str">
        <x:v>NR</x:v>
      </x:c>
      <x:c r="N94" s="2" t="str">
        <x:v>NR</x:v>
      </x:c>
      <x:c r="O94" s="2" t="str">
        <x:v>NR</x:v>
      </x:c>
      <x:c r="P94" s="6" t="str">
        <x:v>NR</x:v>
      </x:c>
      <x:c r="Q94" s="2" t="str">
        <x:v>3 Traceability inference</x:v>
      </x:c>
      <x:c r="R94" s="6" t="str">
        <x:v>带置信度的预测链接集合L̂ = {(r,c) | s(r,c) ≥ θ}。</x:v>
      </x:c>
      <x:c r="S94" s="2" t="str">
        <x:v>NR</x:v>
      </x:c>
      <x:c r="T94" s="2" t="str">
        <x:v>NR</x:v>
      </x:c>
      <x:c r="U94" s="2" t="str">
        <x:v>NR</x:v>
      </x:c>
      <x:c r="V94" s="6" t="str">
        <x:v>Task-specific coded evidence</x:v>
      </x:c>
      <x:c r="W94" s="6" t="str">
        <x:v>p. 2; Section II-A</x:v>
      </x:c>
      <x:c r="X94" s="6" t="str">
        <x:v>and a set of code entities C = c1,...,cn, the goal is to recover a trace link set L ⊆ R × C that approximates a</x:v>
      </x:c>
      <x:c r="Y94" s="6" t="str">
        <x:v>See task-step evidence references in the RQ2 supplement.</x:v>
      </x:c>
      <x:c r="Z94" s="2" t="str">
        <x:v>Accepted</x:v>
      </x:c>
      <x:c r="AA94" s="6" t="str">
        <x:v>NR</x:v>
      </x:c>
    </x:row>
    <x:row r="95" ht="76" customHeight="1">
      <x:c r="A95" s="2" t="str">
        <x:v>S11-T01-P4</x:v>
      </x:c>
      <x:c r="B95" s="2" t="str">
        <x:v>S11</x:v>
      </x:c>
      <x:c r="C95" s="2" t="str">
        <x:v>merged_1121-v1</x:v>
      </x:c>
      <x:c r="D95" s="2" t="str">
        <x:v>Final coding</x:v>
      </x:c>
      <x:c r="E95" s="2" t="str">
        <x:v>R1/R2</x:v>
      </x:c>
      <x:c r="F95" s="2" t="str">
        <x:v>S11-T01-PROC</x:v>
      </x:c>
      <x:c r="G95" s="2" t="str">
        <x:v>S11-T01</x:v>
      </x:c>
      <x:c r="H95" s="2" t="str">
        <x:v>4 Validation and explanation</x:v>
      </x:c>
      <x:c r="I95" s="2" t="n">
        <x:v>4</x:v>
      </x:c>
      <x:c r="J95" s="2" t="str">
        <x:v>Common core</x:v>
      </x:c>
      <x:c r="K95" s="2" t="str">
        <x:v>Completed</x:v>
      </x:c>
      <x:c r="L95" s="2" t="str">
        <x:v>Explicitly evidenced</x:v>
      </x:c>
      <x:c r="M95" s="2" t="str">
        <x:v>NR</x:v>
      </x:c>
      <x:c r="N95" s="2" t="str">
        <x:v>NR</x:v>
      </x:c>
      <x:c r="O95" s="2" t="str">
        <x:v>NR</x:v>
      </x:c>
      <x:c r="P95" s="6" t="str">
        <x:v>NR</x:v>
      </x:c>
      <x:c r="Q95" s="2" t="str">
        <x:v>4 Validation and explanation</x:v>
      </x:c>
      <x:c r="R95" s="6" t="str">
        <x:v>NR</x:v>
      </x:c>
      <x:c r="S95" s="2" t="str">
        <x:v>NR</x:v>
      </x:c>
      <x:c r="T95" s="2" t="str">
        <x:v>NR</x:v>
      </x:c>
      <x:c r="U95" s="2" t="str">
        <x:v>NR</x:v>
      </x:c>
      <x:c r="V95" s="6" t="str">
        <x:v>Task-specific coded evidence</x:v>
      </x:c>
      <x:c r="W95" s="6" t="str">
        <x:v>p. 2; Section II-A</x:v>
      </x:c>
      <x:c r="X95" s="6" t="str">
        <x:v>and a set of code entities C = c1,...,cn, the goal is to recover a trace link set L ⊆ R × C that approximates a</x:v>
      </x:c>
      <x:c r="Y95" s="6" t="str">
        <x:v>See task-step evidence references in the RQ2 supplement.</x:v>
      </x:c>
      <x:c r="Z95" s="2" t="str">
        <x:v>Accepted</x:v>
      </x:c>
      <x:c r="AA95" s="6" t="str">
        <x:v>NR</x:v>
      </x:c>
    </x:row>
    <x:row r="96" ht="76" customHeight="1">
      <x:c r="A96" s="2" t="str">
        <x:v>S11-T01-P5</x:v>
      </x:c>
      <x:c r="B96" s="2" t="str">
        <x:v>S11</x:v>
      </x:c>
      <x:c r="C96" s="2" t="str">
        <x:v>merged_1121-v1</x:v>
      </x:c>
      <x:c r="D96" s="2" t="str">
        <x:v>Final coding</x:v>
      </x:c>
      <x:c r="E96" s="2" t="str">
        <x:v>R1/R2</x:v>
      </x:c>
      <x:c r="F96" s="2" t="str">
        <x:v>S11-T01-PROC</x:v>
      </x:c>
      <x:c r="G96" s="2" t="str">
        <x:v>S11-T01</x:v>
      </x:c>
      <x:c r="H96" s="2" t="str">
        <x:v>5 Evolution and embedding</x:v>
      </x:c>
      <x:c r="I96" s="2" t="n">
        <x:v>5</x:v>
      </x:c>
      <x:c r="J96" s="2" t="str">
        <x:v>Common core</x:v>
      </x:c>
      <x:c r="K96" s="2" t="str">
        <x:v>Completed</x:v>
      </x:c>
      <x:c r="L96" s="2" t="str">
        <x:v>Not separately reported</x:v>
      </x:c>
      <x:c r="M96" s="2" t="str">
        <x:v>NR</x:v>
      </x:c>
      <x:c r="N96" s="2" t="str">
        <x:v>NR</x:v>
      </x:c>
      <x:c r="O96" s="2" t="str">
        <x:v>NR</x:v>
      </x:c>
      <x:c r="P96" s="6" t="str">
        <x:v>NR</x:v>
      </x:c>
      <x:c r="Q96" s="2" t="str">
        <x:v>NR</x:v>
      </x:c>
      <x:c r="R96" s="6" t="str">
        <x:v>NR</x:v>
      </x:c>
      <x:c r="S96" s="2" t="str">
        <x:v>NR</x:v>
      </x:c>
      <x:c r="T96" s="2" t="str">
        <x:v>NR</x:v>
      </x:c>
      <x:c r="U96" s="2" t="str">
        <x:v>NR</x:v>
      </x:c>
      <x:c r="V96" s="6" t="str">
        <x:v>Task-specific coded evidence</x:v>
      </x:c>
      <x:c r="W96" s="6" t="str">
        <x:v>p. 2; Section II-A</x:v>
      </x:c>
      <x:c r="X96" s="6" t="str">
        <x:v>and a set of code entities C = c1,...,cn, the goal is to recover a trace link set L ⊆ R × C that approximates a</x:v>
      </x:c>
      <x:c r="Y96" s="6" t="str">
        <x:v>See task-step evidence references in the RQ2 supplement.</x:v>
      </x:c>
      <x:c r="Z96" s="2" t="str">
        <x:v>Accepted</x:v>
      </x:c>
      <x:c r="AA96" s="6" t="str">
        <x:v>NR</x:v>
      </x:c>
    </x:row>
    <x:row r="97" ht="76" customHeight="1">
      <x:c r="A97" s="2" t="str">
        <x:v>S12-T01-P1</x:v>
      </x:c>
      <x:c r="B97" s="2" t="str">
        <x:v>S12</x:v>
      </x:c>
      <x:c r="C97" s="2" t="str">
        <x:v>merged_1133</x:v>
      </x:c>
      <x:c r="D97" s="2" t="str">
        <x:v>Final coding</x:v>
      </x:c>
      <x:c r="E97" s="2" t="str">
        <x:v>R1/R2</x:v>
      </x:c>
      <x:c r="F97" s="2" t="str">
        <x:v>S12-T01-PROC</x:v>
      </x:c>
      <x:c r="G97" s="2" t="str">
        <x:v>S12-T01</x:v>
      </x:c>
      <x:c r="H97" s="2" t="str">
        <x:v>1 Artifact acquisition and scoping</x:v>
      </x:c>
      <x:c r="I97" s="2" t="n">
        <x:v>1</x:v>
      </x:c>
      <x:c r="J97" s="2" t="str">
        <x:v>Common core</x:v>
      </x:c>
      <x:c r="K97" s="2" t="str">
        <x:v>Completed</x:v>
      </x:c>
      <x:c r="L97" s="2" t="str">
        <x:v>Not separately reported</x:v>
      </x:c>
      <x:c r="M97" s="2" t="str">
        <x:v>NR</x:v>
      </x:c>
      <x:c r="N97" s="2" t="str">
        <x:v>NR</x:v>
      </x:c>
      <x:c r="O97" s="2" t="str">
        <x:v>NR</x:v>
      </x:c>
      <x:c r="P97" s="6" t="str">
        <x:v>NR</x:v>
      </x:c>
      <x:c r="Q97" s="2" t="str">
        <x:v>NR</x:v>
      </x:c>
      <x:c r="R97" s="6" t="str">
        <x:v>NR</x:v>
      </x:c>
      <x:c r="S97" s="2" t="str">
        <x:v>NR</x:v>
      </x:c>
      <x:c r="T97" s="2" t="str">
        <x:v>NR</x:v>
      </x:c>
      <x:c r="U97" s="2" t="str">
        <x:v>NR</x:v>
      </x:c>
      <x:c r="V97" s="6" t="str">
        <x:v>Task-specific coded evidence</x:v>
      </x:c>
      <x:c r="W97" s="6" t="str">
        <x:v>p. 17; Section 5.1</x:v>
      </x:c>
      <x:c r="X97" s="6" t="str">
        <x:v>It includes 22 high-level requirements and 53 design elements from a NASA scientific instrument, with a traceability matrix containing 45 true links out of 1,166 possible links.</x:v>
      </x:c>
      <x:c r="Y97" s="6" t="str">
        <x:v>See task-step evidence references in the RQ2 supplement.</x:v>
      </x:c>
      <x:c r="Z97" s="2" t="str">
        <x:v>Accepted</x:v>
      </x:c>
      <x:c r="AA97" s="6" t="str">
        <x:v>NR</x:v>
      </x:c>
    </x:row>
    <x:row r="98" ht="76" customHeight="1">
      <x:c r="A98" s="2" t="str">
        <x:v>S12-T01-P2</x:v>
      </x:c>
      <x:c r="B98" s="2" t="str">
        <x:v>S12</x:v>
      </x:c>
      <x:c r="C98" s="2" t="str">
        <x:v>merged_1133</x:v>
      </x:c>
      <x:c r="D98" s="2" t="str">
        <x:v>Final coding</x:v>
      </x:c>
      <x:c r="E98" s="2" t="str">
        <x:v>R1/R2</x:v>
      </x:c>
      <x:c r="F98" s="2" t="str">
        <x:v>S12-T01-PROC</x:v>
      </x:c>
      <x:c r="G98" s="2" t="str">
        <x:v>S12-T01</x:v>
      </x:c>
      <x:c r="H98" s="2" t="str">
        <x:v>2 Semantic contextualization</x:v>
      </x:c>
      <x:c r="I98" s="2" t="n">
        <x:v>2</x:v>
      </x:c>
      <x:c r="J98" s="2" t="str">
        <x:v>Common core</x:v>
      </x:c>
      <x:c r="K98" s="2" t="str">
        <x:v>Completed</x:v>
      </x:c>
      <x:c r="L98" s="2" t="str">
        <x:v>Explicitly evidenced</x:v>
      </x:c>
      <x:c r="M98" s="2" t="str">
        <x:v>NR</x:v>
      </x:c>
      <x:c r="N98" s="2" t="str">
        <x:v>NR</x:v>
      </x:c>
      <x:c r="O98" s="2" t="str">
        <x:v>NR</x:v>
      </x:c>
      <x:c r="P98" s="6" t="str">
        <x:v>NR</x:v>
      </x:c>
      <x:c r="Q98" s="2" t="str">
        <x:v>2 Semantic contextualization</x:v>
      </x:c>
      <x:c r="R98" s="6" t="str">
        <x:v>NR</x:v>
      </x:c>
      <x:c r="S98" s="2" t="str">
        <x:v>NR</x:v>
      </x:c>
      <x:c r="T98" s="2" t="str">
        <x:v>NR</x:v>
      </x:c>
      <x:c r="U98" s="2" t="str">
        <x:v>NR</x:v>
      </x:c>
      <x:c r="V98" s="6" t="str">
        <x:v>Task-specific coded evidence</x:v>
      </x:c>
      <x:c r="W98" s="6" t="str">
        <x:v>p. 17; Section 5.1</x:v>
      </x:c>
      <x:c r="X98" s="6" t="str">
        <x:v>It includes 22 high-level requirements and 53 design elements from a NASA scientific instrument, with a traceability matrix containing 45 true links out of 1,166 possible links.</x:v>
      </x:c>
      <x:c r="Y98" s="6" t="str">
        <x:v>See task-step evidence references in the RQ2 supplement.</x:v>
      </x:c>
      <x:c r="Z98" s="2" t="str">
        <x:v>Accepted</x:v>
      </x:c>
      <x:c r="AA98" s="6" t="str">
        <x:v>NR</x:v>
      </x:c>
    </x:row>
    <x:row r="99" ht="76" customHeight="1">
      <x:c r="A99" s="2" t="str">
        <x:v>S12-T01-P3</x:v>
      </x:c>
      <x:c r="B99" s="2" t="str">
        <x:v>S12</x:v>
      </x:c>
      <x:c r="C99" s="2" t="str">
        <x:v>merged_1133</x:v>
      </x:c>
      <x:c r="D99" s="2" t="str">
        <x:v>Final coding</x:v>
      </x:c>
      <x:c r="E99" s="2" t="str">
        <x:v>R1/R2</x:v>
      </x:c>
      <x:c r="F99" s="2" t="str">
        <x:v>S12-T01-PROC</x:v>
      </x:c>
      <x:c r="G99" s="2" t="str">
        <x:v>S12-T01</x:v>
      </x:c>
      <x:c r="H99" s="2" t="str">
        <x:v>3 Traceability inference</x:v>
      </x:c>
      <x:c r="I99" s="2" t="n">
        <x:v>3</x:v>
      </x:c>
      <x:c r="J99" s="2" t="str">
        <x:v>Common core</x:v>
      </x:c>
      <x:c r="K99" s="2" t="str">
        <x:v>Completed</x:v>
      </x:c>
      <x:c r="L99" s="2" t="str">
        <x:v>Explicitly evidenced</x:v>
      </x:c>
      <x:c r="M99" s="2" t="str">
        <x:v>NR</x:v>
      </x:c>
      <x:c r="N99" s="2" t="str">
        <x:v>NR</x:v>
      </x:c>
      <x:c r="O99" s="2" t="str">
        <x:v>NR</x:v>
      </x:c>
      <x:c r="P99" s="6" t="str">
        <x:v>NR</x:v>
      </x:c>
      <x:c r="Q99" s="2" t="str">
        <x:v>3 Traceability inference</x:v>
      </x:c>
      <x:c r="R99" s="6" t="str">
        <x:v>LLM输出Yes/No指示是否存在直接满足关系。</x:v>
      </x:c>
      <x:c r="S99" s="2" t="str">
        <x:v>NR</x:v>
      </x:c>
      <x:c r="T99" s="2" t="str">
        <x:v>NR</x:v>
      </x:c>
      <x:c r="U99" s="2" t="str">
        <x:v>NR</x:v>
      </x:c>
      <x:c r="V99" s="6" t="str">
        <x:v>Task-specific coded evidence</x:v>
      </x:c>
      <x:c r="W99" s="6" t="str">
        <x:v>p. 17; Section 5.1</x:v>
      </x:c>
      <x:c r="X99" s="6" t="str">
        <x:v>It includes 22 high-level requirements and 53 design elements from a NASA scientific instrument, with a traceability matrix containing 45 true links out of 1,166 possible links.</x:v>
      </x:c>
      <x:c r="Y99" s="6" t="str">
        <x:v>See task-step evidence references in the RQ2 supplement.</x:v>
      </x:c>
      <x:c r="Z99" s="2" t="str">
        <x:v>Accepted</x:v>
      </x:c>
      <x:c r="AA99" s="6" t="str">
        <x:v>NR</x:v>
      </x:c>
    </x:row>
    <x:row r="100" ht="76" customHeight="1">
      <x:c r="A100" s="2" t="str">
        <x:v>S12-T01-P4</x:v>
      </x:c>
      <x:c r="B100" s="2" t="str">
        <x:v>S12</x:v>
      </x:c>
      <x:c r="C100" s="2" t="str">
        <x:v>merged_1133</x:v>
      </x:c>
      <x:c r="D100" s="2" t="str">
        <x:v>Final coding</x:v>
      </x:c>
      <x:c r="E100" s="2" t="str">
        <x:v>R1/R2</x:v>
      </x:c>
      <x:c r="F100" s="2" t="str">
        <x:v>S12-T01-PROC</x:v>
      </x:c>
      <x:c r="G100" s="2" t="str">
        <x:v>S12-T01</x:v>
      </x:c>
      <x:c r="H100" s="2" t="str">
        <x:v>4 Validation and explanation</x:v>
      </x:c>
      <x:c r="I100" s="2" t="n">
        <x:v>4</x:v>
      </x:c>
      <x:c r="J100" s="2" t="str">
        <x:v>Common core</x:v>
      </x:c>
      <x:c r="K100" s="2" t="str">
        <x:v>Completed</x:v>
      </x:c>
      <x:c r="L100" s="2" t="str">
        <x:v>Not separately reported</x:v>
      </x:c>
      <x:c r="M100" s="2" t="str">
        <x:v>NR</x:v>
      </x:c>
      <x:c r="N100" s="2" t="str">
        <x:v>NR</x:v>
      </x:c>
      <x:c r="O100" s="2" t="str">
        <x:v>NR</x:v>
      </x:c>
      <x:c r="P100" s="6" t="str">
        <x:v>NR</x:v>
      </x:c>
      <x:c r="Q100" s="2" t="str">
        <x:v>NR</x:v>
      </x:c>
      <x:c r="R100" s="6" t="str">
        <x:v>NR</x:v>
      </x:c>
      <x:c r="S100" s="2" t="str">
        <x:v>NR</x:v>
      </x:c>
      <x:c r="T100" s="2" t="str">
        <x:v>NR</x:v>
      </x:c>
      <x:c r="U100" s="2" t="str">
        <x:v>NR</x:v>
      </x:c>
      <x:c r="V100" s="6" t="str">
        <x:v>Task-specific coded evidence</x:v>
      </x:c>
      <x:c r="W100" s="6" t="str">
        <x:v>p. 17; Section 5.1</x:v>
      </x:c>
      <x:c r="X100" s="6" t="str">
        <x:v>It includes 22 high-level requirements and 53 design elements from a NASA scientific instrument, with a traceability matrix containing 45 true links out of 1,166 possible links.</x:v>
      </x:c>
      <x:c r="Y100" s="6" t="str">
        <x:v>See task-step evidence references in the RQ2 supplement.</x:v>
      </x:c>
      <x:c r="Z100" s="2" t="str">
        <x:v>Accepted</x:v>
      </x:c>
      <x:c r="AA100" s="6" t="str">
        <x:v>NR</x:v>
      </x:c>
    </x:row>
    <x:row r="101" ht="76" customHeight="1">
      <x:c r="A101" s="2" t="str">
        <x:v>S12-T01-P5</x:v>
      </x:c>
      <x:c r="B101" s="2" t="str">
        <x:v>S12</x:v>
      </x:c>
      <x:c r="C101" s="2" t="str">
        <x:v>merged_1133</x:v>
      </x:c>
      <x:c r="D101" s="2" t="str">
        <x:v>Final coding</x:v>
      </x:c>
      <x:c r="E101" s="2" t="str">
        <x:v>R1/R2</x:v>
      </x:c>
      <x:c r="F101" s="2" t="str">
        <x:v>S12-T01-PROC</x:v>
      </x:c>
      <x:c r="G101" s="2" t="str">
        <x:v>S12-T01</x:v>
      </x:c>
      <x:c r="H101" s="2" t="str">
        <x:v>5 Evolution and embedding</x:v>
      </x:c>
      <x:c r="I101" s="2" t="n">
        <x:v>5</x:v>
      </x:c>
      <x:c r="J101" s="2" t="str">
        <x:v>Common core</x:v>
      </x:c>
      <x:c r="K101" s="2" t="str">
        <x:v>Completed</x:v>
      </x:c>
      <x:c r="L101" s="2" t="str">
        <x:v>Not separately reported</x:v>
      </x:c>
      <x:c r="M101" s="2" t="str">
        <x:v>NR</x:v>
      </x:c>
      <x:c r="N101" s="2" t="str">
        <x:v>NR</x:v>
      </x:c>
      <x:c r="O101" s="2" t="str">
        <x:v>NR</x:v>
      </x:c>
      <x:c r="P101" s="6" t="str">
        <x:v>NR</x:v>
      </x:c>
      <x:c r="Q101" s="2" t="str">
        <x:v>NR</x:v>
      </x:c>
      <x:c r="R101" s="6" t="str">
        <x:v>NR</x:v>
      </x:c>
      <x:c r="S101" s="2" t="str">
        <x:v>NR</x:v>
      </x:c>
      <x:c r="T101" s="2" t="str">
        <x:v>NR</x:v>
      </x:c>
      <x:c r="U101" s="2" t="str">
        <x:v>NR</x:v>
      </x:c>
      <x:c r="V101" s="6" t="str">
        <x:v>Task-specific coded evidence</x:v>
      </x:c>
      <x:c r="W101" s="6" t="str">
        <x:v>p. 17; Section 5.1</x:v>
      </x:c>
      <x:c r="X101" s="6" t="str">
        <x:v>It includes 22 high-level requirements and 53 design elements from a NASA scientific instrument, with a traceability matrix containing 45 true links out of 1,166 possible links.</x:v>
      </x:c>
      <x:c r="Y101" s="6" t="str">
        <x:v>See task-step evidence references in the RQ2 supplement.</x:v>
      </x:c>
      <x:c r="Z101" s="2" t="str">
        <x:v>Accepted</x:v>
      </x:c>
      <x:c r="AA101" s="6" t="str">
        <x:v>NR</x:v>
      </x:c>
    </x:row>
    <x:row r="102" ht="76" customHeight="1">
      <x:c r="A102" s="2" t="str">
        <x:v>S12-T02-P1</x:v>
      </x:c>
      <x:c r="B102" s="2" t="str">
        <x:v>S12</x:v>
      </x:c>
      <x:c r="C102" s="2" t="str">
        <x:v>merged_1133</x:v>
      </x:c>
      <x:c r="D102" s="2" t="str">
        <x:v>Final coding</x:v>
      </x:c>
      <x:c r="E102" s="2" t="str">
        <x:v>R1/R2</x:v>
      </x:c>
      <x:c r="F102" s="2" t="str">
        <x:v>S12-T02-PROC</x:v>
      </x:c>
      <x:c r="G102" s="2" t="str">
        <x:v>S12-T02</x:v>
      </x:c>
      <x:c r="H102" s="2" t="str">
        <x:v>1 Artifact acquisition and scoping</x:v>
      </x:c>
      <x:c r="I102" s="2" t="n">
        <x:v>1</x:v>
      </x:c>
      <x:c r="J102" s="2" t="str">
        <x:v>Common core</x:v>
      </x:c>
      <x:c r="K102" s="2" t="str">
        <x:v>Completed</x:v>
      </x:c>
      <x:c r="L102" s="2" t="str">
        <x:v>Not separately reported</x:v>
      </x:c>
      <x:c r="M102" s="2" t="str">
        <x:v>NR</x:v>
      </x:c>
      <x:c r="N102" s="2" t="str">
        <x:v>NR</x:v>
      </x:c>
      <x:c r="O102" s="2" t="str">
        <x:v>NR</x:v>
      </x:c>
      <x:c r="P102" s="6" t="str">
        <x:v>NR</x:v>
      </x:c>
      <x:c r="Q102" s="2" t="str">
        <x:v>NR</x:v>
      </x:c>
      <x:c r="R102" s="6" t="str">
        <x:v>NR</x:v>
      </x:c>
      <x:c r="S102" s="2" t="str">
        <x:v>NR</x:v>
      </x:c>
      <x:c r="T102" s="2" t="str">
        <x:v>NR</x:v>
      </x:c>
      <x:c r="U102" s="2" t="str">
        <x:v>NR</x:v>
      </x:c>
      <x:c r="V102" s="6" t="str">
        <x:v>Task-specific coded evidence</x:v>
      </x:c>
      <x:c r="W102" s="6" t="str">
        <x:v>p. 17; Section 5.1</x:v>
      </x:c>
      <x:c r="X102" s="6" t="str">
        <x:v>EasyClinic: Use Cases to Test Cases (UC–TC) and Use Cases to Interaction Diagrams (UC–ID) tasks</x:v>
      </x:c>
      <x:c r="Y102" s="6" t="str">
        <x:v>See task-step evidence references in the RQ2 supplement.</x:v>
      </x:c>
      <x:c r="Z102" s="2" t="str">
        <x:v>Accepted</x:v>
      </x:c>
      <x:c r="AA102" s="6" t="str">
        <x:v>NR</x:v>
      </x:c>
    </x:row>
    <x:row r="103" ht="76" customHeight="1">
      <x:c r="A103" s="2" t="str">
        <x:v>S12-T02-P2</x:v>
      </x:c>
      <x:c r="B103" s="2" t="str">
        <x:v>S12</x:v>
      </x:c>
      <x:c r="C103" s="2" t="str">
        <x:v>merged_1133</x:v>
      </x:c>
      <x:c r="D103" s="2" t="str">
        <x:v>Final coding</x:v>
      </x:c>
      <x:c r="E103" s="2" t="str">
        <x:v>R1/R2</x:v>
      </x:c>
      <x:c r="F103" s="2" t="str">
        <x:v>S12-T02-PROC</x:v>
      </x:c>
      <x:c r="G103" s="2" t="str">
        <x:v>S12-T02</x:v>
      </x:c>
      <x:c r="H103" s="2" t="str">
        <x:v>2 Semantic contextualization</x:v>
      </x:c>
      <x:c r="I103" s="2" t="n">
        <x:v>2</x:v>
      </x:c>
      <x:c r="J103" s="2" t="str">
        <x:v>Common core</x:v>
      </x:c>
      <x:c r="K103" s="2" t="str">
        <x:v>Completed</x:v>
      </x:c>
      <x:c r="L103" s="2" t="str">
        <x:v>Not separately reported</x:v>
      </x:c>
      <x:c r="M103" s="2" t="str">
        <x:v>NR</x:v>
      </x:c>
      <x:c r="N103" s="2" t="str">
        <x:v>NR</x:v>
      </x:c>
      <x:c r="O103" s="2" t="str">
        <x:v>NR</x:v>
      </x:c>
      <x:c r="P103" s="6" t="str">
        <x:v>NR</x:v>
      </x:c>
      <x:c r="Q103" s="2" t="str">
        <x:v>NR</x:v>
      </x:c>
      <x:c r="R103" s="6" t="str">
        <x:v>NR</x:v>
      </x:c>
      <x:c r="S103" s="2" t="str">
        <x:v>NR</x:v>
      </x:c>
      <x:c r="T103" s="2" t="str">
        <x:v>NR</x:v>
      </x:c>
      <x:c r="U103" s="2" t="str">
        <x:v>NR</x:v>
      </x:c>
      <x:c r="V103" s="6" t="str">
        <x:v>Task-specific coded evidence</x:v>
      </x:c>
      <x:c r="W103" s="6" t="str">
        <x:v>p. 17; Section 5.1</x:v>
      </x:c>
      <x:c r="X103" s="6" t="str">
        <x:v>EasyClinic: Use Cases to Test Cases (UC–TC) and Use Cases to Interaction Diagrams (UC–ID) tasks</x:v>
      </x:c>
      <x:c r="Y103" s="6" t="str">
        <x:v>See task-step evidence references in the RQ2 supplement.</x:v>
      </x:c>
      <x:c r="Z103" s="2" t="str">
        <x:v>Accepted</x:v>
      </x:c>
      <x:c r="AA103" s="6" t="str">
        <x:v>NR</x:v>
      </x:c>
    </x:row>
    <x:row r="104" ht="76" customHeight="1">
      <x:c r="A104" s="2" t="str">
        <x:v>S12-T02-P3</x:v>
      </x:c>
      <x:c r="B104" s="2" t="str">
        <x:v>S12</x:v>
      </x:c>
      <x:c r="C104" s="2" t="str">
        <x:v>merged_1133</x:v>
      </x:c>
      <x:c r="D104" s="2" t="str">
        <x:v>Final coding</x:v>
      </x:c>
      <x:c r="E104" s="2" t="str">
        <x:v>R1/R2</x:v>
      </x:c>
      <x:c r="F104" s="2" t="str">
        <x:v>S12-T02-PROC</x:v>
      </x:c>
      <x:c r="G104" s="2" t="str">
        <x:v>S12-T02</x:v>
      </x:c>
      <x:c r="H104" s="2" t="str">
        <x:v>3 Traceability inference</x:v>
      </x:c>
      <x:c r="I104" s="2" t="n">
        <x:v>3</x:v>
      </x:c>
      <x:c r="J104" s="2" t="str">
        <x:v>Common core</x:v>
      </x:c>
      <x:c r="K104" s="2" t="str">
        <x:v>Completed</x:v>
      </x:c>
      <x:c r="L104" s="2" t="str">
        <x:v>Inferred from relation output</x:v>
      </x:c>
      <x:c r="M104" s="2" t="str">
        <x:v>NR</x:v>
      </x:c>
      <x:c r="N104" s="2" t="str">
        <x:v>NR</x:v>
      </x:c>
      <x:c r="O104" s="2" t="str">
        <x:v>NR</x:v>
      </x:c>
      <x:c r="P104" s="6" t="str">
        <x:v>NR</x:v>
      </x:c>
      <x:c r="Q104" s="2" t="str">
        <x:v>NR</x:v>
      </x:c>
      <x:c r="R104" s="6" t="str">
        <x:v>LLM输出Yes/No指示测试用例是否测试了该用例。</x:v>
      </x:c>
      <x:c r="S104" s="2" t="str">
        <x:v>NR</x:v>
      </x:c>
      <x:c r="T104" s="2" t="str">
        <x:v>NR</x:v>
      </x:c>
      <x:c r="U104" s="2" t="str">
        <x:v>NR</x:v>
      </x:c>
      <x:c r="V104" s="6" t="str">
        <x:v>Task-specific coded evidence</x:v>
      </x:c>
      <x:c r="W104" s="6" t="str">
        <x:v>p. 17; Section 5.1</x:v>
      </x:c>
      <x:c r="X104" s="6" t="str">
        <x:v>EasyClinic: Use Cases to Test Cases (UC–TC) and Use Cases to Interaction Diagrams (UC–ID) tasks</x:v>
      </x:c>
      <x:c r="Y104" s="6" t="str">
        <x:v>See task-step evidence references in the RQ2 supplement.</x:v>
      </x:c>
      <x:c r="Z104" s="2" t="str">
        <x:v>Accepted</x:v>
      </x:c>
      <x:c r="AA104" s="6" t="str">
        <x:v>NR</x:v>
      </x:c>
    </x:row>
    <x:row r="105" ht="76" customHeight="1">
      <x:c r="A105" s="2" t="str">
        <x:v>S12-T02-P4</x:v>
      </x:c>
      <x:c r="B105" s="2" t="str">
        <x:v>S12</x:v>
      </x:c>
      <x:c r="C105" s="2" t="str">
        <x:v>merged_1133</x:v>
      </x:c>
      <x:c r="D105" s="2" t="str">
        <x:v>Final coding</x:v>
      </x:c>
      <x:c r="E105" s="2" t="str">
        <x:v>R1/R2</x:v>
      </x:c>
      <x:c r="F105" s="2" t="str">
        <x:v>S12-T02-PROC</x:v>
      </x:c>
      <x:c r="G105" s="2" t="str">
        <x:v>S12-T02</x:v>
      </x:c>
      <x:c r="H105" s="2" t="str">
        <x:v>4 Validation and explanation</x:v>
      </x:c>
      <x:c r="I105" s="2" t="n">
        <x:v>4</x:v>
      </x:c>
      <x:c r="J105" s="2" t="str">
        <x:v>Common core</x:v>
      </x:c>
      <x:c r="K105" s="2" t="str">
        <x:v>Completed</x:v>
      </x:c>
      <x:c r="L105" s="2" t="str">
        <x:v>Not separately reported</x:v>
      </x:c>
      <x:c r="M105" s="2" t="str">
        <x:v>NR</x:v>
      </x:c>
      <x:c r="N105" s="2" t="str">
        <x:v>NR</x:v>
      </x:c>
      <x:c r="O105" s="2" t="str">
        <x:v>NR</x:v>
      </x:c>
      <x:c r="P105" s="6" t="str">
        <x:v>NR</x:v>
      </x:c>
      <x:c r="Q105" s="2" t="str">
        <x:v>NR</x:v>
      </x:c>
      <x:c r="R105" s="6" t="str">
        <x:v>NR</x:v>
      </x:c>
      <x:c r="S105" s="2" t="str">
        <x:v>NR</x:v>
      </x:c>
      <x:c r="T105" s="2" t="str">
        <x:v>NR</x:v>
      </x:c>
      <x:c r="U105" s="2" t="str">
        <x:v>NR</x:v>
      </x:c>
      <x:c r="V105" s="6" t="str">
        <x:v>Task-specific coded evidence</x:v>
      </x:c>
      <x:c r="W105" s="6" t="str">
        <x:v>p. 17; Section 5.1</x:v>
      </x:c>
      <x:c r="X105" s="6" t="str">
        <x:v>EasyClinic: Use Cases to Test Cases (UC–TC) and Use Cases to Interaction Diagrams (UC–ID) tasks</x:v>
      </x:c>
      <x:c r="Y105" s="6" t="str">
        <x:v>See task-step evidence references in the RQ2 supplement.</x:v>
      </x:c>
      <x:c r="Z105" s="2" t="str">
        <x:v>Accepted</x:v>
      </x:c>
      <x:c r="AA105" s="6" t="str">
        <x:v>NR</x:v>
      </x:c>
    </x:row>
    <x:row r="106" ht="76" customHeight="1">
      <x:c r="A106" s="2" t="str">
        <x:v>S12-T02-P5</x:v>
      </x:c>
      <x:c r="B106" s="2" t="str">
        <x:v>S12</x:v>
      </x:c>
      <x:c r="C106" s="2" t="str">
        <x:v>merged_1133</x:v>
      </x:c>
      <x:c r="D106" s="2" t="str">
        <x:v>Final coding</x:v>
      </x:c>
      <x:c r="E106" s="2" t="str">
        <x:v>R1/R2</x:v>
      </x:c>
      <x:c r="F106" s="2" t="str">
        <x:v>S12-T02-PROC</x:v>
      </x:c>
      <x:c r="G106" s="2" t="str">
        <x:v>S12-T02</x:v>
      </x:c>
      <x:c r="H106" s="2" t="str">
        <x:v>5 Evolution and embedding</x:v>
      </x:c>
      <x:c r="I106" s="2" t="n">
        <x:v>5</x:v>
      </x:c>
      <x:c r="J106" s="2" t="str">
        <x:v>Common core</x:v>
      </x:c>
      <x:c r="K106" s="2" t="str">
        <x:v>Completed</x:v>
      </x:c>
      <x:c r="L106" s="2" t="str">
        <x:v>Not separately reported</x:v>
      </x:c>
      <x:c r="M106" s="2" t="str">
        <x:v>NR</x:v>
      </x:c>
      <x:c r="N106" s="2" t="str">
        <x:v>NR</x:v>
      </x:c>
      <x:c r="O106" s="2" t="str">
        <x:v>NR</x:v>
      </x:c>
      <x:c r="P106" s="6" t="str">
        <x:v>NR</x:v>
      </x:c>
      <x:c r="Q106" s="2" t="str">
        <x:v>NR</x:v>
      </x:c>
      <x:c r="R106" s="6" t="str">
        <x:v>NR</x:v>
      </x:c>
      <x:c r="S106" s="2" t="str">
        <x:v>NR</x:v>
      </x:c>
      <x:c r="T106" s="2" t="str">
        <x:v>NR</x:v>
      </x:c>
      <x:c r="U106" s="2" t="str">
        <x:v>NR</x:v>
      </x:c>
      <x:c r="V106" s="6" t="str">
        <x:v>Task-specific coded evidence</x:v>
      </x:c>
      <x:c r="W106" s="6" t="str">
        <x:v>p. 17; Section 5.1</x:v>
      </x:c>
      <x:c r="X106" s="6" t="str">
        <x:v>EasyClinic: Use Cases to Test Cases (UC–TC) and Use Cases to Interaction Diagrams (UC–ID) tasks</x:v>
      </x:c>
      <x:c r="Y106" s="6" t="str">
        <x:v>See task-step evidence references in the RQ2 supplement.</x:v>
      </x:c>
      <x:c r="Z106" s="2" t="str">
        <x:v>Accepted</x:v>
      </x:c>
      <x:c r="AA106" s="6" t="str">
        <x:v>NR</x:v>
      </x:c>
    </x:row>
    <x:row r="107" ht="76" customHeight="1">
      <x:c r="A107" s="2" t="str">
        <x:v>S12-T03-P1</x:v>
      </x:c>
      <x:c r="B107" s="2" t="str">
        <x:v>S12</x:v>
      </x:c>
      <x:c r="C107" s="2" t="str">
        <x:v>merged_1133</x:v>
      </x:c>
      <x:c r="D107" s="2" t="str">
        <x:v>Final coding</x:v>
      </x:c>
      <x:c r="E107" s="2" t="str">
        <x:v>R1/R2</x:v>
      </x:c>
      <x:c r="F107" s="2" t="str">
        <x:v>S12-T03-PROC</x:v>
      </x:c>
      <x:c r="G107" s="2" t="str">
        <x:v>S12-T03</x:v>
      </x:c>
      <x:c r="H107" s="2" t="str">
        <x:v>1 Artifact acquisition and scoping</x:v>
      </x:c>
      <x:c r="I107" s="2" t="n">
        <x:v>1</x:v>
      </x:c>
      <x:c r="J107" s="2" t="str">
        <x:v>Common core</x:v>
      </x:c>
      <x:c r="K107" s="2" t="str">
        <x:v>Completed</x:v>
      </x:c>
      <x:c r="L107" s="2" t="str">
        <x:v>Not separately reported</x:v>
      </x:c>
      <x:c r="M107" s="2" t="str">
        <x:v>NR</x:v>
      </x:c>
      <x:c r="N107" s="2" t="str">
        <x:v>NR</x:v>
      </x:c>
      <x:c r="O107" s="2" t="str">
        <x:v>NR</x:v>
      </x:c>
      <x:c r="P107" s="6" t="str">
        <x:v>NR</x:v>
      </x:c>
      <x:c r="Q107" s="2" t="str">
        <x:v>NR</x:v>
      </x:c>
      <x:c r="R107" s="6" t="str">
        <x:v>NR</x:v>
      </x:c>
      <x:c r="S107" s="2" t="str">
        <x:v>NR</x:v>
      </x:c>
      <x:c r="T107" s="2" t="str">
        <x:v>NR</x:v>
      </x:c>
      <x:c r="U107" s="2" t="str">
        <x:v>NR</x:v>
      </x:c>
      <x:c r="V107" s="6" t="str">
        <x:v>Task-specific coded evidence</x:v>
      </x:c>
      <x:c r="W107" s="6" t="str">
        <x:v>p. 17; Section 5.1</x:v>
      </x:c>
      <x:c r="X107" s="6" t="str">
        <x:v>EasyClinic: Use Cases to Test Cases (UC–TC) and Use Cases to Interaction Diagrams (UC–ID) tasks</x:v>
      </x:c>
      <x:c r="Y107" s="6" t="str">
        <x:v>See task-step evidence references in the RQ2 supplement.</x:v>
      </x:c>
      <x:c r="Z107" s="2" t="str">
        <x:v>Accepted</x:v>
      </x:c>
      <x:c r="AA107" s="6" t="str">
        <x:v>NR</x:v>
      </x:c>
    </x:row>
    <x:row r="108" ht="76" customHeight="1">
      <x:c r="A108" s="2" t="str">
        <x:v>S12-T03-P2</x:v>
      </x:c>
      <x:c r="B108" s="2" t="str">
        <x:v>S12</x:v>
      </x:c>
      <x:c r="C108" s="2" t="str">
        <x:v>merged_1133</x:v>
      </x:c>
      <x:c r="D108" s="2" t="str">
        <x:v>Final coding</x:v>
      </x:c>
      <x:c r="E108" s="2" t="str">
        <x:v>R1/R2</x:v>
      </x:c>
      <x:c r="F108" s="2" t="str">
        <x:v>S12-T03-PROC</x:v>
      </x:c>
      <x:c r="G108" s="2" t="str">
        <x:v>S12-T03</x:v>
      </x:c>
      <x:c r="H108" s="2" t="str">
        <x:v>2 Semantic contextualization</x:v>
      </x:c>
      <x:c r="I108" s="2" t="n">
        <x:v>2</x:v>
      </x:c>
      <x:c r="J108" s="2" t="str">
        <x:v>Common core</x:v>
      </x:c>
      <x:c r="K108" s="2" t="str">
        <x:v>Completed</x:v>
      </x:c>
      <x:c r="L108" s="2" t="str">
        <x:v>Not separately reported</x:v>
      </x:c>
      <x:c r="M108" s="2" t="str">
        <x:v>NR</x:v>
      </x:c>
      <x:c r="N108" s="2" t="str">
        <x:v>NR</x:v>
      </x:c>
      <x:c r="O108" s="2" t="str">
        <x:v>NR</x:v>
      </x:c>
      <x:c r="P108" s="6" t="str">
        <x:v>NR</x:v>
      </x:c>
      <x:c r="Q108" s="2" t="str">
        <x:v>NR</x:v>
      </x:c>
      <x:c r="R108" s="6" t="str">
        <x:v>NR</x:v>
      </x:c>
      <x:c r="S108" s="2" t="str">
        <x:v>NR</x:v>
      </x:c>
      <x:c r="T108" s="2" t="str">
        <x:v>NR</x:v>
      </x:c>
      <x:c r="U108" s="2" t="str">
        <x:v>NR</x:v>
      </x:c>
      <x:c r="V108" s="6" t="str">
        <x:v>Task-specific coded evidence</x:v>
      </x:c>
      <x:c r="W108" s="6" t="str">
        <x:v>p. 17; Section 5.1</x:v>
      </x:c>
      <x:c r="X108" s="6" t="str">
        <x:v>EasyClinic: Use Cases to Test Cases (UC–TC) and Use Cases to Interaction Diagrams (UC–ID) tasks</x:v>
      </x:c>
      <x:c r="Y108" s="6" t="str">
        <x:v>See task-step evidence references in the RQ2 supplement.</x:v>
      </x:c>
      <x:c r="Z108" s="2" t="str">
        <x:v>Accepted</x:v>
      </x:c>
      <x:c r="AA108" s="6" t="str">
        <x:v>NR</x:v>
      </x:c>
    </x:row>
    <x:row r="109" ht="76" customHeight="1">
      <x:c r="A109" s="2" t="str">
        <x:v>S12-T03-P3</x:v>
      </x:c>
      <x:c r="B109" s="2" t="str">
        <x:v>S12</x:v>
      </x:c>
      <x:c r="C109" s="2" t="str">
        <x:v>merged_1133</x:v>
      </x:c>
      <x:c r="D109" s="2" t="str">
        <x:v>Final coding</x:v>
      </x:c>
      <x:c r="E109" s="2" t="str">
        <x:v>R1/R2</x:v>
      </x:c>
      <x:c r="F109" s="2" t="str">
        <x:v>S12-T03-PROC</x:v>
      </x:c>
      <x:c r="G109" s="2" t="str">
        <x:v>S12-T03</x:v>
      </x:c>
      <x:c r="H109" s="2" t="str">
        <x:v>3 Traceability inference</x:v>
      </x:c>
      <x:c r="I109" s="2" t="n">
        <x:v>3</x:v>
      </x:c>
      <x:c r="J109" s="2" t="str">
        <x:v>Common core</x:v>
      </x:c>
      <x:c r="K109" s="2" t="str">
        <x:v>Completed</x:v>
      </x:c>
      <x:c r="L109" s="2" t="str">
        <x:v>Inferred from relation output</x:v>
      </x:c>
      <x:c r="M109" s="2" t="str">
        <x:v>NR</x:v>
      </x:c>
      <x:c r="N109" s="2" t="str">
        <x:v>NR</x:v>
      </x:c>
      <x:c r="O109" s="2" t="str">
        <x:v>NR</x:v>
      </x:c>
      <x:c r="P109" s="6" t="str">
        <x:v>NR</x:v>
      </x:c>
      <x:c r="Q109" s="2" t="str">
        <x:v>NR</x:v>
      </x:c>
      <x:c r="R109" s="6" t="str">
        <x:v>LLM输出Yes/No指示交互图是否实现了用例。</x:v>
      </x:c>
      <x:c r="S109" s="2" t="str">
        <x:v>NR</x:v>
      </x:c>
      <x:c r="T109" s="2" t="str">
        <x:v>NR</x:v>
      </x:c>
      <x:c r="U109" s="2" t="str">
        <x:v>NR</x:v>
      </x:c>
      <x:c r="V109" s="6" t="str">
        <x:v>Task-specific coded evidence</x:v>
      </x:c>
      <x:c r="W109" s="6" t="str">
        <x:v>p. 17; Section 5.1</x:v>
      </x:c>
      <x:c r="X109" s="6" t="str">
        <x:v>EasyClinic: Use Cases to Test Cases (UC–TC) and Use Cases to Interaction Diagrams (UC–ID) tasks</x:v>
      </x:c>
      <x:c r="Y109" s="6" t="str">
        <x:v>See task-step evidence references in the RQ2 supplement.</x:v>
      </x:c>
      <x:c r="Z109" s="2" t="str">
        <x:v>Accepted</x:v>
      </x:c>
      <x:c r="AA109" s="6" t="str">
        <x:v>NR</x:v>
      </x:c>
    </x:row>
    <x:row r="110" ht="76" customHeight="1">
      <x:c r="A110" s="2" t="str">
        <x:v>S12-T03-P4</x:v>
      </x:c>
      <x:c r="B110" s="2" t="str">
        <x:v>S12</x:v>
      </x:c>
      <x:c r="C110" s="2" t="str">
        <x:v>merged_1133</x:v>
      </x:c>
      <x:c r="D110" s="2" t="str">
        <x:v>Final coding</x:v>
      </x:c>
      <x:c r="E110" s="2" t="str">
        <x:v>R1/R2</x:v>
      </x:c>
      <x:c r="F110" s="2" t="str">
        <x:v>S12-T03-PROC</x:v>
      </x:c>
      <x:c r="G110" s="2" t="str">
        <x:v>S12-T03</x:v>
      </x:c>
      <x:c r="H110" s="2" t="str">
        <x:v>4 Validation and explanation</x:v>
      </x:c>
      <x:c r="I110" s="2" t="n">
        <x:v>4</x:v>
      </x:c>
      <x:c r="J110" s="2" t="str">
        <x:v>Common core</x:v>
      </x:c>
      <x:c r="K110" s="2" t="str">
        <x:v>Completed</x:v>
      </x:c>
      <x:c r="L110" s="2" t="str">
        <x:v>Not separately reported</x:v>
      </x:c>
      <x:c r="M110" s="2" t="str">
        <x:v>NR</x:v>
      </x:c>
      <x:c r="N110" s="2" t="str">
        <x:v>NR</x:v>
      </x:c>
      <x:c r="O110" s="2" t="str">
        <x:v>NR</x:v>
      </x:c>
      <x:c r="P110" s="6" t="str">
        <x:v>NR</x:v>
      </x:c>
      <x:c r="Q110" s="2" t="str">
        <x:v>NR</x:v>
      </x:c>
      <x:c r="R110" s="6" t="str">
        <x:v>NR</x:v>
      </x:c>
      <x:c r="S110" s="2" t="str">
        <x:v>NR</x:v>
      </x:c>
      <x:c r="T110" s="2" t="str">
        <x:v>NR</x:v>
      </x:c>
      <x:c r="U110" s="2" t="str">
        <x:v>NR</x:v>
      </x:c>
      <x:c r="V110" s="6" t="str">
        <x:v>Task-specific coded evidence</x:v>
      </x:c>
      <x:c r="W110" s="6" t="str">
        <x:v>p. 17; Section 5.1</x:v>
      </x:c>
      <x:c r="X110" s="6" t="str">
        <x:v>EasyClinic: Use Cases to Test Cases (UC–TC) and Use Cases to Interaction Diagrams (UC–ID) tasks</x:v>
      </x:c>
      <x:c r="Y110" s="6" t="str">
        <x:v>See task-step evidence references in the RQ2 supplement.</x:v>
      </x:c>
      <x:c r="Z110" s="2" t="str">
        <x:v>Accepted</x:v>
      </x:c>
      <x:c r="AA110" s="6" t="str">
        <x:v>NR</x:v>
      </x:c>
    </x:row>
    <x:row r="111" ht="76" customHeight="1">
      <x:c r="A111" s="2" t="str">
        <x:v>S12-T03-P5</x:v>
      </x:c>
      <x:c r="B111" s="2" t="str">
        <x:v>S12</x:v>
      </x:c>
      <x:c r="C111" s="2" t="str">
        <x:v>merged_1133</x:v>
      </x:c>
      <x:c r="D111" s="2" t="str">
        <x:v>Final coding</x:v>
      </x:c>
      <x:c r="E111" s="2" t="str">
        <x:v>R1/R2</x:v>
      </x:c>
      <x:c r="F111" s="2" t="str">
        <x:v>S12-T03-PROC</x:v>
      </x:c>
      <x:c r="G111" s="2" t="str">
        <x:v>S12-T03</x:v>
      </x:c>
      <x:c r="H111" s="2" t="str">
        <x:v>5 Evolution and embedding</x:v>
      </x:c>
      <x:c r="I111" s="2" t="n">
        <x:v>5</x:v>
      </x:c>
      <x:c r="J111" s="2" t="str">
        <x:v>Common core</x:v>
      </x:c>
      <x:c r="K111" s="2" t="str">
        <x:v>Completed</x:v>
      </x:c>
      <x:c r="L111" s="2" t="str">
        <x:v>Not separately reported</x:v>
      </x:c>
      <x:c r="M111" s="2" t="str">
        <x:v>NR</x:v>
      </x:c>
      <x:c r="N111" s="2" t="str">
        <x:v>NR</x:v>
      </x:c>
      <x:c r="O111" s="2" t="str">
        <x:v>NR</x:v>
      </x:c>
      <x:c r="P111" s="6" t="str">
        <x:v>NR</x:v>
      </x:c>
      <x:c r="Q111" s="2" t="str">
        <x:v>NR</x:v>
      </x:c>
      <x:c r="R111" s="6" t="str">
        <x:v>NR</x:v>
      </x:c>
      <x:c r="S111" s="2" t="str">
        <x:v>NR</x:v>
      </x:c>
      <x:c r="T111" s="2" t="str">
        <x:v>NR</x:v>
      </x:c>
      <x:c r="U111" s="2" t="str">
        <x:v>NR</x:v>
      </x:c>
      <x:c r="V111" s="6" t="str">
        <x:v>Task-specific coded evidence</x:v>
      </x:c>
      <x:c r="W111" s="6" t="str">
        <x:v>p. 17; Section 5.1</x:v>
      </x:c>
      <x:c r="X111" s="6" t="str">
        <x:v>EasyClinic: Use Cases to Test Cases (UC–TC) and Use Cases to Interaction Diagrams (UC–ID) tasks</x:v>
      </x:c>
      <x:c r="Y111" s="6" t="str">
        <x:v>See task-step evidence references in the RQ2 supplement.</x:v>
      </x:c>
      <x:c r="Z111" s="2" t="str">
        <x:v>Accepted</x:v>
      </x:c>
      <x:c r="AA111" s="6" t="str">
        <x:v>NR</x:v>
      </x:c>
    </x:row>
    <x:row r="112" ht="76" customHeight="1">
      <x:c r="A112" s="2" t="str">
        <x:v>S12-T04-P1</x:v>
      </x:c>
      <x:c r="B112" s="2" t="str">
        <x:v>S12</x:v>
      </x:c>
      <x:c r="C112" s="2" t="str">
        <x:v>merged_1133</x:v>
      </x:c>
      <x:c r="D112" s="2" t="str">
        <x:v>Final coding</x:v>
      </x:c>
      <x:c r="E112" s="2" t="str">
        <x:v>R1/R2</x:v>
      </x:c>
      <x:c r="F112" s="2" t="str">
        <x:v>S12-T04-PROC</x:v>
      </x:c>
      <x:c r="G112" s="2" t="str">
        <x:v>S12-T04</x:v>
      </x:c>
      <x:c r="H112" s="2" t="str">
        <x:v>1 Artifact acquisition and scoping</x:v>
      </x:c>
      <x:c r="I112" s="2" t="n">
        <x:v>1</x:v>
      </x:c>
      <x:c r="J112" s="2" t="str">
        <x:v>Common core</x:v>
      </x:c>
      <x:c r="K112" s="2" t="str">
        <x:v>Completed</x:v>
      </x:c>
      <x:c r="L112" s="2" t="str">
        <x:v>Not separately reported</x:v>
      </x:c>
      <x:c r="M112" s="2" t="str">
        <x:v>NR</x:v>
      </x:c>
      <x:c r="N112" s="2" t="str">
        <x:v>NR</x:v>
      </x:c>
      <x:c r="O112" s="2" t="str">
        <x:v>NR</x:v>
      </x:c>
      <x:c r="P112" s="6" t="str">
        <x:v>NR</x:v>
      </x:c>
      <x:c r="Q112" s="2" t="str">
        <x:v>NR</x:v>
      </x:c>
      <x:c r="R112" s="6" t="str">
        <x:v>NR</x:v>
      </x:c>
      <x:c r="S112" s="2" t="str">
        <x:v>NR</x:v>
      </x:c>
      <x:c r="T112" s="2" t="str">
        <x:v>NR</x:v>
      </x:c>
      <x:c r="U112" s="2" t="str">
        <x:v>NR</x:v>
      </x:c>
      <x:c r="V112" s="6" t="str">
        <x:v>Task-specific coded evidence</x:v>
      </x:c>
      <x:c r="W112" s="6" t="str">
        <x:v>p. 18; Section 5.1</x:v>
      </x:c>
      <x:c r="X112" s="6" t="str">
        <x:v>other hand, maps software requirements to HIPAA (Health Insurance Portability and Accountability Act) regulations, which are mandated for all healthcare-related systems</x:v>
      </x:c>
      <x:c r="Y112" s="6" t="str">
        <x:v>See task-step evidence references in the RQ2 supplement.</x:v>
      </x:c>
      <x:c r="Z112" s="2" t="str">
        <x:v>Accepted</x:v>
      </x:c>
      <x:c r="AA112" s="6" t="str">
        <x:v>NR</x:v>
      </x:c>
    </x:row>
    <x:row r="113" ht="76" customHeight="1">
      <x:c r="A113" s="2" t="str">
        <x:v>S12-T04-P2</x:v>
      </x:c>
      <x:c r="B113" s="2" t="str">
        <x:v>S12</x:v>
      </x:c>
      <x:c r="C113" s="2" t="str">
        <x:v>merged_1133</x:v>
      </x:c>
      <x:c r="D113" s="2" t="str">
        <x:v>Final coding</x:v>
      </x:c>
      <x:c r="E113" s="2" t="str">
        <x:v>R1/R2</x:v>
      </x:c>
      <x:c r="F113" s="2" t="str">
        <x:v>S12-T04-PROC</x:v>
      </x:c>
      <x:c r="G113" s="2" t="str">
        <x:v>S12-T04</x:v>
      </x:c>
      <x:c r="H113" s="2" t="str">
        <x:v>2 Semantic contextualization</x:v>
      </x:c>
      <x:c r="I113" s="2" t="n">
        <x:v>2</x:v>
      </x:c>
      <x:c r="J113" s="2" t="str">
        <x:v>Common core</x:v>
      </x:c>
      <x:c r="K113" s="2" t="str">
        <x:v>Completed</x:v>
      </x:c>
      <x:c r="L113" s="2" t="str">
        <x:v>Not separately reported</x:v>
      </x:c>
      <x:c r="M113" s="2" t="str">
        <x:v>NR</x:v>
      </x:c>
      <x:c r="N113" s="2" t="str">
        <x:v>NR</x:v>
      </x:c>
      <x:c r="O113" s="2" t="str">
        <x:v>NR</x:v>
      </x:c>
      <x:c r="P113" s="6" t="str">
        <x:v>NR</x:v>
      </x:c>
      <x:c r="Q113" s="2" t="str">
        <x:v>NR</x:v>
      </x:c>
      <x:c r="R113" s="6" t="str">
        <x:v>NR</x:v>
      </x:c>
      <x:c r="S113" s="2" t="str">
        <x:v>NR</x:v>
      </x:c>
      <x:c r="T113" s="2" t="str">
        <x:v>NR</x:v>
      </x:c>
      <x:c r="U113" s="2" t="str">
        <x:v>NR</x:v>
      </x:c>
      <x:c r="V113" s="6" t="str">
        <x:v>Task-specific coded evidence</x:v>
      </x:c>
      <x:c r="W113" s="6" t="str">
        <x:v>p. 18; Section 5.1</x:v>
      </x:c>
      <x:c r="X113" s="6" t="str">
        <x:v>other hand, maps software requirements to HIPAA (Health Insurance Portability and Accountability Act) regulations, which are mandated for all healthcare-related systems</x:v>
      </x:c>
      <x:c r="Y113" s="6" t="str">
        <x:v>See task-step evidence references in the RQ2 supplement.</x:v>
      </x:c>
      <x:c r="Z113" s="2" t="str">
        <x:v>Accepted</x:v>
      </x:c>
      <x:c r="AA113" s="6" t="str">
        <x:v>NR</x:v>
      </x:c>
    </x:row>
    <x:row r="114" ht="76" customHeight="1">
      <x:c r="A114" s="2" t="str">
        <x:v>S12-T04-P3</x:v>
      </x:c>
      <x:c r="B114" s="2" t="str">
        <x:v>S12</x:v>
      </x:c>
      <x:c r="C114" s="2" t="str">
        <x:v>merged_1133</x:v>
      </x:c>
      <x:c r="D114" s="2" t="str">
        <x:v>Final coding</x:v>
      </x:c>
      <x:c r="E114" s="2" t="str">
        <x:v>R1/R2</x:v>
      </x:c>
      <x:c r="F114" s="2" t="str">
        <x:v>S12-T04-PROC</x:v>
      </x:c>
      <x:c r="G114" s="2" t="str">
        <x:v>S12-T04</x:v>
      </x:c>
      <x:c r="H114" s="2" t="str">
        <x:v>3 Traceability inference</x:v>
      </x:c>
      <x:c r="I114" s="2" t="n">
        <x:v>3</x:v>
      </x:c>
      <x:c r="J114" s="2" t="str">
        <x:v>Common core</x:v>
      </x:c>
      <x:c r="K114" s="2" t="str">
        <x:v>Completed</x:v>
      </x:c>
      <x:c r="L114" s="2" t="str">
        <x:v>Inferred from relation output</x:v>
      </x:c>
      <x:c r="M114" s="2" t="str">
        <x:v>NR</x:v>
      </x:c>
      <x:c r="N114" s="2" t="str">
        <x:v>NR</x:v>
      </x:c>
      <x:c r="O114" s="2" t="str">
        <x:v>NR</x:v>
      </x:c>
      <x:c r="P114" s="6" t="str">
        <x:v>NR</x:v>
      </x:c>
      <x:c r="Q114" s="2" t="str">
        <x:v>NR</x:v>
      </x:c>
      <x:c r="R114" s="6" t="str">
        <x:v>LLM输出Yes/No指示需求是否满足法规。</x:v>
      </x:c>
      <x:c r="S114" s="2" t="str">
        <x:v>NR</x:v>
      </x:c>
      <x:c r="T114" s="2" t="str">
        <x:v>NR</x:v>
      </x:c>
      <x:c r="U114" s="2" t="str">
        <x:v>NR</x:v>
      </x:c>
      <x:c r="V114" s="6" t="str">
        <x:v>Task-specific coded evidence</x:v>
      </x:c>
      <x:c r="W114" s="6" t="str">
        <x:v>p. 18; Section 5.1</x:v>
      </x:c>
      <x:c r="X114" s="6" t="str">
        <x:v>other hand, maps software requirements to HIPAA (Health Insurance Portability and Accountability Act) regulations, which are mandated for all healthcare-related systems</x:v>
      </x:c>
      <x:c r="Y114" s="6" t="str">
        <x:v>See task-step evidence references in the RQ2 supplement.</x:v>
      </x:c>
      <x:c r="Z114" s="2" t="str">
        <x:v>Accepted</x:v>
      </x:c>
      <x:c r="AA114" s="6" t="str">
        <x:v>NR</x:v>
      </x:c>
    </x:row>
    <x:row r="115" ht="76" customHeight="1">
      <x:c r="A115" s="2" t="str">
        <x:v>S12-T04-P4</x:v>
      </x:c>
      <x:c r="B115" s="2" t="str">
        <x:v>S12</x:v>
      </x:c>
      <x:c r="C115" s="2" t="str">
        <x:v>merged_1133</x:v>
      </x:c>
      <x:c r="D115" s="2" t="str">
        <x:v>Final coding</x:v>
      </x:c>
      <x:c r="E115" s="2" t="str">
        <x:v>R1/R2</x:v>
      </x:c>
      <x:c r="F115" s="2" t="str">
        <x:v>S12-T04-PROC</x:v>
      </x:c>
      <x:c r="G115" s="2" t="str">
        <x:v>S12-T04</x:v>
      </x:c>
      <x:c r="H115" s="2" t="str">
        <x:v>4 Validation and explanation</x:v>
      </x:c>
      <x:c r="I115" s="2" t="n">
        <x:v>4</x:v>
      </x:c>
      <x:c r="J115" s="2" t="str">
        <x:v>Common core</x:v>
      </x:c>
      <x:c r="K115" s="2" t="str">
        <x:v>Completed</x:v>
      </x:c>
      <x:c r="L115" s="2" t="str">
        <x:v>Not separately reported</x:v>
      </x:c>
      <x:c r="M115" s="2" t="str">
        <x:v>NR</x:v>
      </x:c>
      <x:c r="N115" s="2" t="str">
        <x:v>NR</x:v>
      </x:c>
      <x:c r="O115" s="2" t="str">
        <x:v>NR</x:v>
      </x:c>
      <x:c r="P115" s="6" t="str">
        <x:v>NR</x:v>
      </x:c>
      <x:c r="Q115" s="2" t="str">
        <x:v>NR</x:v>
      </x:c>
      <x:c r="R115" s="6" t="str">
        <x:v>NR</x:v>
      </x:c>
      <x:c r="S115" s="2" t="str">
        <x:v>NR</x:v>
      </x:c>
      <x:c r="T115" s="2" t="str">
        <x:v>NR</x:v>
      </x:c>
      <x:c r="U115" s="2" t="str">
        <x:v>NR</x:v>
      </x:c>
      <x:c r="V115" s="6" t="str">
        <x:v>Task-specific coded evidence</x:v>
      </x:c>
      <x:c r="W115" s="6" t="str">
        <x:v>p. 18; Section 5.1</x:v>
      </x:c>
      <x:c r="X115" s="6" t="str">
        <x:v>other hand, maps software requirements to HIPAA (Health Insurance Portability and Accountability Act) regulations, which are mandated for all healthcare-related systems</x:v>
      </x:c>
      <x:c r="Y115" s="6" t="str">
        <x:v>See task-step evidence references in the RQ2 supplement.</x:v>
      </x:c>
      <x:c r="Z115" s="2" t="str">
        <x:v>Accepted</x:v>
      </x:c>
      <x:c r="AA115" s="6" t="str">
        <x:v>NR</x:v>
      </x:c>
    </x:row>
    <x:row r="116" ht="76" customHeight="1">
      <x:c r="A116" s="2" t="str">
        <x:v>S12-T04-P5</x:v>
      </x:c>
      <x:c r="B116" s="2" t="str">
        <x:v>S12</x:v>
      </x:c>
      <x:c r="C116" s="2" t="str">
        <x:v>merged_1133</x:v>
      </x:c>
      <x:c r="D116" s="2" t="str">
        <x:v>Final coding</x:v>
      </x:c>
      <x:c r="E116" s="2" t="str">
        <x:v>R1/R2</x:v>
      </x:c>
      <x:c r="F116" s="2" t="str">
        <x:v>S12-T04-PROC</x:v>
      </x:c>
      <x:c r="G116" s="2" t="str">
        <x:v>S12-T04</x:v>
      </x:c>
      <x:c r="H116" s="2" t="str">
        <x:v>5 Evolution and embedding</x:v>
      </x:c>
      <x:c r="I116" s="2" t="n">
        <x:v>5</x:v>
      </x:c>
      <x:c r="J116" s="2" t="str">
        <x:v>Common core</x:v>
      </x:c>
      <x:c r="K116" s="2" t="str">
        <x:v>Completed</x:v>
      </x:c>
      <x:c r="L116" s="2" t="str">
        <x:v>Not separately reported</x:v>
      </x:c>
      <x:c r="M116" s="2" t="str">
        <x:v>NR</x:v>
      </x:c>
      <x:c r="N116" s="2" t="str">
        <x:v>NR</x:v>
      </x:c>
      <x:c r="O116" s="2" t="str">
        <x:v>NR</x:v>
      </x:c>
      <x:c r="P116" s="6" t="str">
        <x:v>NR</x:v>
      </x:c>
      <x:c r="Q116" s="2" t="str">
        <x:v>NR</x:v>
      </x:c>
      <x:c r="R116" s="6" t="str">
        <x:v>NR</x:v>
      </x:c>
      <x:c r="S116" s="2" t="str">
        <x:v>NR</x:v>
      </x:c>
      <x:c r="T116" s="2" t="str">
        <x:v>NR</x:v>
      </x:c>
      <x:c r="U116" s="2" t="str">
        <x:v>NR</x:v>
      </x:c>
      <x:c r="V116" s="6" t="str">
        <x:v>Task-specific coded evidence</x:v>
      </x:c>
      <x:c r="W116" s="6" t="str">
        <x:v>p. 18; Section 5.1</x:v>
      </x:c>
      <x:c r="X116" s="6" t="str">
        <x:v>other hand, maps software requirements to HIPAA (Health Insurance Portability and Accountability Act) regulations, which are mandated for all healthcare-related systems</x:v>
      </x:c>
      <x:c r="Y116" s="6" t="str">
        <x:v>See task-step evidence references in the RQ2 supplement.</x:v>
      </x:c>
      <x:c r="Z116" s="2" t="str">
        <x:v>Accepted</x:v>
      </x:c>
      <x:c r="AA116" s="6" t="str">
        <x:v>NR</x:v>
      </x:c>
    </x:row>
    <x:row r="117" ht="76" customHeight="1">
      <x:c r="A117" s="2" t="str">
        <x:v>S13-T01-P1</x:v>
      </x:c>
      <x:c r="B117" s="2" t="str">
        <x:v>S13</x:v>
      </x:c>
      <x:c r="C117" s="2" t="str">
        <x:v>merged_1140</x:v>
      </x:c>
      <x:c r="D117" s="2" t="str">
        <x:v>Final coding</x:v>
      </x:c>
      <x:c r="E117" s="2" t="str">
        <x:v>R1/R2</x:v>
      </x:c>
      <x:c r="F117" s="2" t="str">
        <x:v>S13-T01-PROC</x:v>
      </x:c>
      <x:c r="G117" s="2" t="str">
        <x:v>S13-T01</x:v>
      </x:c>
      <x:c r="H117" s="2" t="str">
        <x:v>1 Artifact acquisition and scoping</x:v>
      </x:c>
      <x:c r="I117" s="2" t="n">
        <x:v>1</x:v>
      </x:c>
      <x:c r="J117" s="2" t="str">
        <x:v>Common core</x:v>
      </x:c>
      <x:c r="K117" s="2" t="str">
        <x:v>Completed</x:v>
      </x:c>
      <x:c r="L117" s="2" t="str">
        <x:v>Explicitly evidenced</x:v>
      </x:c>
      <x:c r="M117" s="2" t="str">
        <x:v>NR</x:v>
      </x:c>
      <x:c r="N117" s="2" t="str">
        <x:v>NR</x:v>
      </x:c>
      <x:c r="O117" s="2" t="str">
        <x:v>NR</x:v>
      </x:c>
      <x:c r="P117" s="6" t="str">
        <x:v>NR</x:v>
      </x:c>
      <x:c r="Q117" s="2" t="str">
        <x:v>1 Artifact acquisition and scoping</x:v>
      </x:c>
      <x:c r="R117" s="6" t="str">
        <x:v>NR</x:v>
      </x:c>
      <x:c r="S117" s="2" t="str">
        <x:v>NR</x:v>
      </x:c>
      <x:c r="T117" s="2" t="str">
        <x:v>NR</x:v>
      </x:c>
      <x:c r="U117" s="2" t="str">
        <x:v>NR</x:v>
      </x:c>
      <x:c r="V117" s="6" t="str">
        <x:v>Task-specific coded evidence</x:v>
      </x:c>
      <x:c r="W117" s="6" t="str">
        <x:v>p. 3; Section 1 Introduction</x:v>
      </x:c>
      <x:c r="X117" s="6" t="str">
        <x:v>this study focuses specifically on advancing RTLR techniques for requirement-to-code traceability.</x:v>
      </x:c>
      <x:c r="Y117" s="6" t="str">
        <x:v>See task-step evidence references in the RQ2 supplement.</x:v>
      </x:c>
      <x:c r="Z117" s="2" t="str">
        <x:v>Accepted</x:v>
      </x:c>
      <x:c r="AA117" s="6" t="str">
        <x:v>NR</x:v>
      </x:c>
    </x:row>
    <x:row r="118" ht="76" customHeight="1">
      <x:c r="A118" s="2" t="str">
        <x:v>S13-T01-P2</x:v>
      </x:c>
      <x:c r="B118" s="2" t="str">
        <x:v>S13</x:v>
      </x:c>
      <x:c r="C118" s="2" t="str">
        <x:v>merged_1140</x:v>
      </x:c>
      <x:c r="D118" s="2" t="str">
        <x:v>Final coding</x:v>
      </x:c>
      <x:c r="E118" s="2" t="str">
        <x:v>R1/R2</x:v>
      </x:c>
      <x:c r="F118" s="2" t="str">
        <x:v>S13-T01-PROC</x:v>
      </x:c>
      <x:c r="G118" s="2" t="str">
        <x:v>S13-T01</x:v>
      </x:c>
      <x:c r="H118" s="2" t="str">
        <x:v>2 Semantic contextualization</x:v>
      </x:c>
      <x:c r="I118" s="2" t="n">
        <x:v>2</x:v>
      </x:c>
      <x:c r="J118" s="2" t="str">
        <x:v>Common core</x:v>
      </x:c>
      <x:c r="K118" s="2" t="str">
        <x:v>Completed</x:v>
      </x:c>
      <x:c r="L118" s="2" t="str">
        <x:v>Not separately reported</x:v>
      </x:c>
      <x:c r="M118" s="2" t="str">
        <x:v>NR</x:v>
      </x:c>
      <x:c r="N118" s="2" t="str">
        <x:v>NR</x:v>
      </x:c>
      <x:c r="O118" s="2" t="str">
        <x:v>NR</x:v>
      </x:c>
      <x:c r="P118" s="6" t="str">
        <x:v>NR</x:v>
      </x:c>
      <x:c r="Q118" s="2" t="str">
        <x:v>NR</x:v>
      </x:c>
      <x:c r="R118" s="6" t="str">
        <x:v>NR</x:v>
      </x:c>
      <x:c r="S118" s="2" t="str">
        <x:v>NR</x:v>
      </x:c>
      <x:c r="T118" s="2" t="str">
        <x:v>NR</x:v>
      </x:c>
      <x:c r="U118" s="2" t="str">
        <x:v>NR</x:v>
      </x:c>
      <x:c r="V118" s="6" t="str">
        <x:v>Task-specific coded evidence</x:v>
      </x:c>
      <x:c r="W118" s="6" t="str">
        <x:v>p. 3; Section 1 Introduction</x:v>
      </x:c>
      <x:c r="X118" s="6" t="str">
        <x:v>this study focuses specifically on advancing RTLR techniques for requirement-to-code traceability.</x:v>
      </x:c>
      <x:c r="Y118" s="6" t="str">
        <x:v>See task-step evidence references in the RQ2 supplement.</x:v>
      </x:c>
      <x:c r="Z118" s="2" t="str">
        <x:v>Accepted</x:v>
      </x:c>
      <x:c r="AA118" s="6" t="str">
        <x:v>NR</x:v>
      </x:c>
    </x:row>
    <x:row r="119" ht="76" customHeight="1">
      <x:c r="A119" s="2" t="str">
        <x:v>S13-T01-P3</x:v>
      </x:c>
      <x:c r="B119" s="2" t="str">
        <x:v>S13</x:v>
      </x:c>
      <x:c r="C119" s="2" t="str">
        <x:v>merged_1140</x:v>
      </x:c>
      <x:c r="D119" s="2" t="str">
        <x:v>Final coding</x:v>
      </x:c>
      <x:c r="E119" s="2" t="str">
        <x:v>R1/R2</x:v>
      </x:c>
      <x:c r="F119" s="2" t="str">
        <x:v>S13-T01-PROC</x:v>
      </x:c>
      <x:c r="G119" s="2" t="str">
        <x:v>S13-T01</x:v>
      </x:c>
      <x:c r="H119" s="2" t="str">
        <x:v>3 Traceability inference</x:v>
      </x:c>
      <x:c r="I119" s="2" t="n">
        <x:v>3</x:v>
      </x:c>
      <x:c r="J119" s="2" t="str">
        <x:v>Common core</x:v>
      </x:c>
      <x:c r="K119" s="2" t="str">
        <x:v>Completed</x:v>
      </x:c>
      <x:c r="L119" s="2" t="str">
        <x:v>Inferred from relation output</x:v>
      </x:c>
      <x:c r="M119" s="2" t="str">
        <x:v>NR</x:v>
      </x:c>
      <x:c r="N119" s="2" t="str">
        <x:v>NR</x:v>
      </x:c>
      <x:c r="O119" s="2" t="str">
        <x:v>NR</x:v>
      </x:c>
      <x:c r="P119" s="6" t="str">
        <x:v>NR</x:v>
      </x:c>
      <x:c r="Q119" s="2" t="str">
        <x:v>NR</x:v>
      </x:c>
      <x:c r="R119" s="6" t="str">
        <x:v>二进制分类标签（Related/Unrelated）</x:v>
      </x:c>
      <x:c r="S119" s="2" t="str">
        <x:v>NR</x:v>
      </x:c>
      <x:c r="T119" s="2" t="str">
        <x:v>NR</x:v>
      </x:c>
      <x:c r="U119" s="2" t="str">
        <x:v>NR</x:v>
      </x:c>
      <x:c r="V119" s="6" t="str">
        <x:v>Task-specific coded evidence</x:v>
      </x:c>
      <x:c r="W119" s="6" t="str">
        <x:v>p. 3; Section 1 Introduction</x:v>
      </x:c>
      <x:c r="X119" s="6" t="str">
        <x:v>this study focuses specifically on advancing RTLR techniques for requirement-to-code traceability.</x:v>
      </x:c>
      <x:c r="Y119" s="6" t="str">
        <x:v>See task-step evidence references in the RQ2 supplement.</x:v>
      </x:c>
      <x:c r="Z119" s="2" t="str">
        <x:v>Accepted</x:v>
      </x:c>
      <x:c r="AA119" s="6" t="str">
        <x:v>NR</x:v>
      </x:c>
    </x:row>
    <x:row r="120" ht="76" customHeight="1">
      <x:c r="A120" s="2" t="str">
        <x:v>S13-T01-P4</x:v>
      </x:c>
      <x:c r="B120" s="2" t="str">
        <x:v>S13</x:v>
      </x:c>
      <x:c r="C120" s="2" t="str">
        <x:v>merged_1140</x:v>
      </x:c>
      <x:c r="D120" s="2" t="str">
        <x:v>Final coding</x:v>
      </x:c>
      <x:c r="E120" s="2" t="str">
        <x:v>R1/R2</x:v>
      </x:c>
      <x:c r="F120" s="2" t="str">
        <x:v>S13-T01-PROC</x:v>
      </x:c>
      <x:c r="G120" s="2" t="str">
        <x:v>S13-T01</x:v>
      </x:c>
      <x:c r="H120" s="2" t="str">
        <x:v>4 Validation and explanation</x:v>
      </x:c>
      <x:c r="I120" s="2" t="n">
        <x:v>4</x:v>
      </x:c>
      <x:c r="J120" s="2" t="str">
        <x:v>Common core</x:v>
      </x:c>
      <x:c r="K120" s="2" t="str">
        <x:v>Completed</x:v>
      </x:c>
      <x:c r="L120" s="2" t="str">
        <x:v>Not separately reported</x:v>
      </x:c>
      <x:c r="M120" s="2" t="str">
        <x:v>NR</x:v>
      </x:c>
      <x:c r="N120" s="2" t="str">
        <x:v>NR</x:v>
      </x:c>
      <x:c r="O120" s="2" t="str">
        <x:v>NR</x:v>
      </x:c>
      <x:c r="P120" s="6" t="str">
        <x:v>NR</x:v>
      </x:c>
      <x:c r="Q120" s="2" t="str">
        <x:v>NR</x:v>
      </x:c>
      <x:c r="R120" s="6" t="str">
        <x:v>NR</x:v>
      </x:c>
      <x:c r="S120" s="2" t="str">
        <x:v>NR</x:v>
      </x:c>
      <x:c r="T120" s="2" t="str">
        <x:v>NR</x:v>
      </x:c>
      <x:c r="U120" s="2" t="str">
        <x:v>NR</x:v>
      </x:c>
      <x:c r="V120" s="6" t="str">
        <x:v>Task-specific coded evidence</x:v>
      </x:c>
      <x:c r="W120" s="6" t="str">
        <x:v>p. 3; Section 1 Introduction</x:v>
      </x:c>
      <x:c r="X120" s="6" t="str">
        <x:v>this study focuses specifically on advancing RTLR techniques for requirement-to-code traceability.</x:v>
      </x:c>
      <x:c r="Y120" s="6" t="str">
        <x:v>See task-step evidence references in the RQ2 supplement.</x:v>
      </x:c>
      <x:c r="Z120" s="2" t="str">
        <x:v>Accepted</x:v>
      </x:c>
      <x:c r="AA120" s="6" t="str">
        <x:v>NR</x:v>
      </x:c>
    </x:row>
    <x:row r="121" ht="76" customHeight="1">
      <x:c r="A121" s="2" t="str">
        <x:v>S13-T01-P5</x:v>
      </x:c>
      <x:c r="B121" s="2" t="str">
        <x:v>S13</x:v>
      </x:c>
      <x:c r="C121" s="2" t="str">
        <x:v>merged_1140</x:v>
      </x:c>
      <x:c r="D121" s="2" t="str">
        <x:v>Final coding</x:v>
      </x:c>
      <x:c r="E121" s="2" t="str">
        <x:v>R1/R2</x:v>
      </x:c>
      <x:c r="F121" s="2" t="str">
        <x:v>S13-T01-PROC</x:v>
      </x:c>
      <x:c r="G121" s="2" t="str">
        <x:v>S13-T01</x:v>
      </x:c>
      <x:c r="H121" s="2" t="str">
        <x:v>5 Evolution and embedding</x:v>
      </x:c>
      <x:c r="I121" s="2" t="n">
        <x:v>5</x:v>
      </x:c>
      <x:c r="J121" s="2" t="str">
        <x:v>Common core</x:v>
      </x:c>
      <x:c r="K121" s="2" t="str">
        <x:v>Completed</x:v>
      </x:c>
      <x:c r="L121" s="2" t="str">
        <x:v>Not separately reported</x:v>
      </x:c>
      <x:c r="M121" s="2" t="str">
        <x:v>NR</x:v>
      </x:c>
      <x:c r="N121" s="2" t="str">
        <x:v>NR</x:v>
      </x:c>
      <x:c r="O121" s="2" t="str">
        <x:v>NR</x:v>
      </x:c>
      <x:c r="P121" s="6" t="str">
        <x:v>NR</x:v>
      </x:c>
      <x:c r="Q121" s="2" t="str">
        <x:v>NR</x:v>
      </x:c>
      <x:c r="R121" s="6" t="str">
        <x:v>NR</x:v>
      </x:c>
      <x:c r="S121" s="2" t="str">
        <x:v>NR</x:v>
      </x:c>
      <x:c r="T121" s="2" t="str">
        <x:v>NR</x:v>
      </x:c>
      <x:c r="U121" s="2" t="str">
        <x:v>NR</x:v>
      </x:c>
      <x:c r="V121" s="6" t="str">
        <x:v>Task-specific coded evidence</x:v>
      </x:c>
      <x:c r="W121" s="6" t="str">
        <x:v>p. 3; Section 1 Introduction</x:v>
      </x:c>
      <x:c r="X121" s="6" t="str">
        <x:v>this study focuses specifically on advancing RTLR techniques for requirement-to-code traceability.</x:v>
      </x:c>
      <x:c r="Y121" s="6" t="str">
        <x:v>See task-step evidence references in the RQ2 supplement.</x:v>
      </x:c>
      <x:c r="Z121" s="2" t="str">
        <x:v>Accepted</x:v>
      </x:c>
      <x:c r="AA121" s="6" t="str">
        <x:v>NR</x:v>
      </x:c>
    </x:row>
    <x:row r="122" ht="76" customHeight="1">
      <x:c r="A122" s="2" t="str">
        <x:v>S14-T01-P1</x:v>
      </x:c>
      <x:c r="B122" s="2" t="str">
        <x:v>S14</x:v>
      </x:c>
      <x:c r="C122" s="2" t="str">
        <x:v>merged_1142-v1</x:v>
      </x:c>
      <x:c r="D122" s="2" t="str">
        <x:v>Final coding</x:v>
      </x:c>
      <x:c r="E122" s="2" t="str">
        <x:v>R1/R2</x:v>
      </x:c>
      <x:c r="F122" s="2" t="str">
        <x:v>S14-T01-PROC</x:v>
      </x:c>
      <x:c r="G122" s="2" t="str">
        <x:v>S14-T01</x:v>
      </x:c>
      <x:c r="H122" s="2" t="str">
        <x:v>1 Artifact acquisition and scoping</x:v>
      </x:c>
      <x:c r="I122" s="2" t="n">
        <x:v>1</x:v>
      </x:c>
      <x:c r="J122" s="2" t="str">
        <x:v>Common core</x:v>
      </x:c>
      <x:c r="K122" s="2" t="str">
        <x:v>Completed</x:v>
      </x:c>
      <x:c r="L122" s="2" t="str">
        <x:v>Not separately reported</x:v>
      </x:c>
      <x:c r="M122" s="2" t="str">
        <x:v>NR</x:v>
      </x:c>
      <x:c r="N122" s="2" t="str">
        <x:v>NR</x:v>
      </x:c>
      <x:c r="O122" s="2" t="str">
        <x:v>NR</x:v>
      </x:c>
      <x:c r="P122" s="6" t="str">
        <x:v>NR</x:v>
      </x:c>
      <x:c r="Q122" s="2" t="str">
        <x:v>NR</x:v>
      </x:c>
      <x:c r="R122" s="6" t="str">
        <x:v>NR</x:v>
      </x:c>
      <x:c r="S122" s="2" t="str">
        <x:v>NR</x:v>
      </x:c>
      <x:c r="T122" s="2" t="str">
        <x:v>NR</x:v>
      </x:c>
      <x:c r="U122" s="2" t="str">
        <x:v>NR</x:v>
      </x:c>
      <x:c r="V122" s="6" t="str">
        <x:v>Task-specific coded evidence</x:v>
      </x:c>
      <x:c r="W122" s="6" t="str">
        <x:v>p. 1; abstract</x:v>
      </x:c>
      <x:c r="X122" s="6" t="str">
        <x:v>We then evaluated our approach using the widely studied requirements-to-code TLR task, a representative case of NL-PL TLR.</x:v>
      </x:c>
      <x:c r="Y122" s="6" t="str">
        <x:v>See task-step evidence references in the RQ2 supplement.</x:v>
      </x:c>
      <x:c r="Z122" s="2" t="str">
        <x:v>Accepted</x:v>
      </x:c>
      <x:c r="AA122" s="6" t="str">
        <x:v>NR</x:v>
      </x:c>
    </x:row>
    <x:row r="123" ht="76" customHeight="1">
      <x:c r="A123" s="2" t="str">
        <x:v>S14-T01-P2</x:v>
      </x:c>
      <x:c r="B123" s="2" t="str">
        <x:v>S14</x:v>
      </x:c>
      <x:c r="C123" s="2" t="str">
        <x:v>merged_1142-v1</x:v>
      </x:c>
      <x:c r="D123" s="2" t="str">
        <x:v>Final coding</x:v>
      </x:c>
      <x:c r="E123" s="2" t="str">
        <x:v>R1/R2</x:v>
      </x:c>
      <x:c r="F123" s="2" t="str">
        <x:v>S14-T01-PROC</x:v>
      </x:c>
      <x:c r="G123" s="2" t="str">
        <x:v>S14-T01</x:v>
      </x:c>
      <x:c r="H123" s="2" t="str">
        <x:v>2 Semantic contextualization</x:v>
      </x:c>
      <x:c r="I123" s="2" t="n">
        <x:v>2</x:v>
      </x:c>
      <x:c r="J123" s="2" t="str">
        <x:v>Common core</x:v>
      </x:c>
      <x:c r="K123" s="2" t="str">
        <x:v>Completed</x:v>
      </x:c>
      <x:c r="L123" s="2" t="str">
        <x:v>Explicitly evidenced</x:v>
      </x:c>
      <x:c r="M123" s="2" t="str">
        <x:v>NR</x:v>
      </x:c>
      <x:c r="N123" s="2" t="str">
        <x:v>NR</x:v>
      </x:c>
      <x:c r="O123" s="2" t="str">
        <x:v>NR</x:v>
      </x:c>
      <x:c r="P123" s="6" t="str">
        <x:v>NR</x:v>
      </x:c>
      <x:c r="Q123" s="2" t="str">
        <x:v>2 Semantic contextualization</x:v>
      </x:c>
      <x:c r="R123" s="6" t="str">
        <x:v>NR</x:v>
      </x:c>
      <x:c r="S123" s="2" t="str">
        <x:v>NR</x:v>
      </x:c>
      <x:c r="T123" s="2" t="str">
        <x:v>NR</x:v>
      </x:c>
      <x:c r="U123" s="2" t="str">
        <x:v>NR</x:v>
      </x:c>
      <x:c r="V123" s="6" t="str">
        <x:v>Task-specific coded evidence</x:v>
      </x:c>
      <x:c r="W123" s="6" t="str">
        <x:v>p. 1; abstract</x:v>
      </x:c>
      <x:c r="X123" s="6" t="str">
        <x:v>We then evaluated our approach using the widely studied requirements-to-code TLR task, a representative case of NL-PL TLR.</x:v>
      </x:c>
      <x:c r="Y123" s="6" t="str">
        <x:v>See task-step evidence references in the RQ2 supplement.</x:v>
      </x:c>
      <x:c r="Z123" s="2" t="str">
        <x:v>Accepted</x:v>
      </x:c>
      <x:c r="AA123" s="6" t="str">
        <x:v>NR</x:v>
      </x:c>
    </x:row>
    <x:row r="124" ht="76" customHeight="1">
      <x:c r="A124" s="2" t="str">
        <x:v>S14-T01-P3</x:v>
      </x:c>
      <x:c r="B124" s="2" t="str">
        <x:v>S14</x:v>
      </x:c>
      <x:c r="C124" s="2" t="str">
        <x:v>merged_1142-v1</x:v>
      </x:c>
      <x:c r="D124" s="2" t="str">
        <x:v>Final coding</x:v>
      </x:c>
      <x:c r="E124" s="2" t="str">
        <x:v>R1/R2</x:v>
      </x:c>
      <x:c r="F124" s="2" t="str">
        <x:v>S14-T01-PROC</x:v>
      </x:c>
      <x:c r="G124" s="2" t="str">
        <x:v>S14-T01</x:v>
      </x:c>
      <x:c r="H124" s="2" t="str">
        <x:v>3 Traceability inference</x:v>
      </x:c>
      <x:c r="I124" s="2" t="n">
        <x:v>3</x:v>
      </x:c>
      <x:c r="J124" s="2" t="str">
        <x:v>Common core</x:v>
      </x:c>
      <x:c r="K124" s="2" t="str">
        <x:v>Completed</x:v>
      </x:c>
      <x:c r="L124" s="2" t="str">
        <x:v>Explicitly evidenced</x:v>
      </x:c>
      <x:c r="M124" s="2" t="str">
        <x:v>NR</x:v>
      </x:c>
      <x:c r="N124" s="2" t="str">
        <x:v>NR</x:v>
      </x:c>
      <x:c r="O124" s="2" t="str">
        <x:v>NR</x:v>
      </x:c>
      <x:c r="P124" s="6" t="str">
        <x:v>NR</x:v>
      </x:c>
      <x:c r="Q124" s="2" t="str">
        <x:v>3 Traceability inference</x:v>
      </x:c>
      <x:c r="R124" s="6" t="str">
        <x:v>二元预测（是/否）</x:v>
      </x:c>
      <x:c r="S124" s="2" t="str">
        <x:v>NR</x:v>
      </x:c>
      <x:c r="T124" s="2" t="str">
        <x:v>NR</x:v>
      </x:c>
      <x:c r="U124" s="2" t="str">
        <x:v>NR</x:v>
      </x:c>
      <x:c r="V124" s="6" t="str">
        <x:v>Task-specific coded evidence</x:v>
      </x:c>
      <x:c r="W124" s="6" t="str">
        <x:v>p. 1; abstract</x:v>
      </x:c>
      <x:c r="X124" s="6" t="str">
        <x:v>We then evaluated our approach using the widely studied requirements-to-code TLR task, a representative case of NL-PL TLR.</x:v>
      </x:c>
      <x:c r="Y124" s="6" t="str">
        <x:v>See task-step evidence references in the RQ2 supplement.</x:v>
      </x:c>
      <x:c r="Z124" s="2" t="str">
        <x:v>Accepted</x:v>
      </x:c>
      <x:c r="AA124" s="6" t="str">
        <x:v>NR</x:v>
      </x:c>
    </x:row>
    <x:row r="125" ht="76" customHeight="1">
      <x:c r="A125" s="2" t="str">
        <x:v>S14-T01-P4</x:v>
      </x:c>
      <x:c r="B125" s="2" t="str">
        <x:v>S14</x:v>
      </x:c>
      <x:c r="C125" s="2" t="str">
        <x:v>merged_1142-v1</x:v>
      </x:c>
      <x:c r="D125" s="2" t="str">
        <x:v>Final coding</x:v>
      </x:c>
      <x:c r="E125" s="2" t="str">
        <x:v>R1/R2</x:v>
      </x:c>
      <x:c r="F125" s="2" t="str">
        <x:v>S14-T01-PROC</x:v>
      </x:c>
      <x:c r="G125" s="2" t="str">
        <x:v>S14-T01</x:v>
      </x:c>
      <x:c r="H125" s="2" t="str">
        <x:v>4 Validation and explanation</x:v>
      </x:c>
      <x:c r="I125" s="2" t="n">
        <x:v>4</x:v>
      </x:c>
      <x:c r="J125" s="2" t="str">
        <x:v>Common core</x:v>
      </x:c>
      <x:c r="K125" s="2" t="str">
        <x:v>Completed</x:v>
      </x:c>
      <x:c r="L125" s="2" t="str">
        <x:v>Not separately reported</x:v>
      </x:c>
      <x:c r="M125" s="2" t="str">
        <x:v>NR</x:v>
      </x:c>
      <x:c r="N125" s="2" t="str">
        <x:v>NR</x:v>
      </x:c>
      <x:c r="O125" s="2" t="str">
        <x:v>NR</x:v>
      </x:c>
      <x:c r="P125" s="6" t="str">
        <x:v>NR</x:v>
      </x:c>
      <x:c r="Q125" s="2" t="str">
        <x:v>NR</x:v>
      </x:c>
      <x:c r="R125" s="6" t="str">
        <x:v>NR</x:v>
      </x:c>
      <x:c r="S125" s="2" t="str">
        <x:v>NR</x:v>
      </x:c>
      <x:c r="T125" s="2" t="str">
        <x:v>NR</x:v>
      </x:c>
      <x:c r="U125" s="2" t="str">
        <x:v>NR</x:v>
      </x:c>
      <x:c r="V125" s="6" t="str">
        <x:v>Task-specific coded evidence</x:v>
      </x:c>
      <x:c r="W125" s="6" t="str">
        <x:v>p. 1; abstract</x:v>
      </x:c>
      <x:c r="X125" s="6" t="str">
        <x:v>We then evaluated our approach using the widely studied requirements-to-code TLR task, a representative case of NL-PL TLR.</x:v>
      </x:c>
      <x:c r="Y125" s="6" t="str">
        <x:v>See task-step evidence references in the RQ2 supplement.</x:v>
      </x:c>
      <x:c r="Z125" s="2" t="str">
        <x:v>Accepted</x:v>
      </x:c>
      <x:c r="AA125" s="6" t="str">
        <x:v>NR</x:v>
      </x:c>
    </x:row>
    <x:row r="126" ht="76" customHeight="1">
      <x:c r="A126" s="2" t="str">
        <x:v>S14-T01-P5</x:v>
      </x:c>
      <x:c r="B126" s="2" t="str">
        <x:v>S14</x:v>
      </x:c>
      <x:c r="C126" s="2" t="str">
        <x:v>merged_1142-v1</x:v>
      </x:c>
      <x:c r="D126" s="2" t="str">
        <x:v>Final coding</x:v>
      </x:c>
      <x:c r="E126" s="2" t="str">
        <x:v>R1/R2</x:v>
      </x:c>
      <x:c r="F126" s="2" t="str">
        <x:v>S14-T01-PROC</x:v>
      </x:c>
      <x:c r="G126" s="2" t="str">
        <x:v>S14-T01</x:v>
      </x:c>
      <x:c r="H126" s="2" t="str">
        <x:v>5 Evolution and embedding</x:v>
      </x:c>
      <x:c r="I126" s="2" t="n">
        <x:v>5</x:v>
      </x:c>
      <x:c r="J126" s="2" t="str">
        <x:v>Common core</x:v>
      </x:c>
      <x:c r="K126" s="2" t="str">
        <x:v>Completed</x:v>
      </x:c>
      <x:c r="L126" s="2" t="str">
        <x:v>Not separately reported</x:v>
      </x:c>
      <x:c r="M126" s="2" t="str">
        <x:v>NR</x:v>
      </x:c>
      <x:c r="N126" s="2" t="str">
        <x:v>NR</x:v>
      </x:c>
      <x:c r="O126" s="2" t="str">
        <x:v>NR</x:v>
      </x:c>
      <x:c r="P126" s="6" t="str">
        <x:v>NR</x:v>
      </x:c>
      <x:c r="Q126" s="2" t="str">
        <x:v>NR</x:v>
      </x:c>
      <x:c r="R126" s="6" t="str">
        <x:v>NR</x:v>
      </x:c>
      <x:c r="S126" s="2" t="str">
        <x:v>NR</x:v>
      </x:c>
      <x:c r="T126" s="2" t="str">
        <x:v>NR</x:v>
      </x:c>
      <x:c r="U126" s="2" t="str">
        <x:v>NR</x:v>
      </x:c>
      <x:c r="V126" s="6" t="str">
        <x:v>Task-specific coded evidence</x:v>
      </x:c>
      <x:c r="W126" s="6" t="str">
        <x:v>p. 1; abstract</x:v>
      </x:c>
      <x:c r="X126" s="6" t="str">
        <x:v>We then evaluated our approach using the widely studied requirements-to-code TLR task, a representative case of NL-PL TLR.</x:v>
      </x:c>
      <x:c r="Y126" s="6" t="str">
        <x:v>See task-step evidence references in the RQ2 supplement.</x:v>
      </x:c>
      <x:c r="Z126" s="2" t="str">
        <x:v>Accepted</x:v>
      </x:c>
      <x:c r="AA126" s="6" t="str">
        <x:v>NR</x:v>
      </x:c>
    </x:row>
    <x:row r="127" ht="76" customHeight="1">
      <x:c r="A127" s="2" t="str">
        <x:v>S15-T01-P1</x:v>
      </x:c>
      <x:c r="B127" s="2" t="str">
        <x:v>S15</x:v>
      </x:c>
      <x:c r="C127" s="2" t="str">
        <x:v>merged_1143</x:v>
      </x:c>
      <x:c r="D127" s="2" t="str">
        <x:v>Final coding</x:v>
      </x:c>
      <x:c r="E127" s="2" t="str">
        <x:v>R1/R2</x:v>
      </x:c>
      <x:c r="F127" s="2" t="str">
        <x:v>S15-T01-PROC</x:v>
      </x:c>
      <x:c r="G127" s="2" t="str">
        <x:v>S15-T01</x:v>
      </x:c>
      <x:c r="H127" s="2" t="str">
        <x:v>1 Artifact acquisition and scoping</x:v>
      </x:c>
      <x:c r="I127" s="2" t="n">
        <x:v>1</x:v>
      </x:c>
      <x:c r="J127" s="2" t="str">
        <x:v>Common core</x:v>
      </x:c>
      <x:c r="K127" s="2" t="str">
        <x:v>Completed</x:v>
      </x:c>
      <x:c r="L127" s="2" t="str">
        <x:v>Explicitly evidenced</x:v>
      </x:c>
      <x:c r="M127" s="2" t="str">
        <x:v>NR</x:v>
      </x:c>
      <x:c r="N127" s="2" t="str">
        <x:v>NR</x:v>
      </x:c>
      <x:c r="O127" s="2" t="str">
        <x:v>NR</x:v>
      </x:c>
      <x:c r="P127" s="6" t="str">
        <x:v>NR</x:v>
      </x:c>
      <x:c r="Q127" s="2" t="str">
        <x:v>1 Artifact acquisition and scoping</x:v>
      </x:c>
      <x:c r="R127" s="6" t="str">
        <x:v>NR</x:v>
      </x:c>
      <x:c r="S127" s="2" t="str">
        <x:v>NR</x:v>
      </x:c>
      <x:c r="T127" s="2" t="str">
        <x:v>NR</x:v>
      </x:c>
      <x:c r="U127" s="2" t="str">
        <x:v>NR</x:v>
      </x:c>
      <x:c r="V127" s="6" t="str">
        <x:v>Task-specific coded evidence</x:v>
      </x:c>
      <x:c r="W127" s="6" t="str">
        <x:v>p. 1; Section I, method overview (after Fig.1)</x:v>
      </x:c>
      <x:c r="X127" s="6" t="str">
        <x:v>extract goals from interviewer and stakeholder speech while maintaining traceability to the originating phrases in the speech turns.</x:v>
      </x:c>
      <x:c r="Y127" s="6" t="str">
        <x:v>See task-step evidence references in the RQ2 supplement.</x:v>
      </x:c>
      <x:c r="Z127" s="2" t="str">
        <x:v>Accepted</x:v>
      </x:c>
      <x:c r="AA127" s="6" t="str">
        <x:v>NR</x:v>
      </x:c>
    </x:row>
    <x:row r="128" ht="76" customHeight="1">
      <x:c r="A128" s="2" t="str">
        <x:v>S15-T01-P2</x:v>
      </x:c>
      <x:c r="B128" s="2" t="str">
        <x:v>S15</x:v>
      </x:c>
      <x:c r="C128" s="2" t="str">
        <x:v>merged_1143</x:v>
      </x:c>
      <x:c r="D128" s="2" t="str">
        <x:v>Final coding</x:v>
      </x:c>
      <x:c r="E128" s="2" t="str">
        <x:v>R1/R2</x:v>
      </x:c>
      <x:c r="F128" s="2" t="str">
        <x:v>S15-T01-PROC</x:v>
      </x:c>
      <x:c r="G128" s="2" t="str">
        <x:v>S15-T01</x:v>
      </x:c>
      <x:c r="H128" s="2" t="str">
        <x:v>2 Semantic contextualization</x:v>
      </x:c>
      <x:c r="I128" s="2" t="n">
        <x:v>2</x:v>
      </x:c>
      <x:c r="J128" s="2" t="str">
        <x:v>Common core</x:v>
      </x:c>
      <x:c r="K128" s="2" t="str">
        <x:v>Completed</x:v>
      </x:c>
      <x:c r="L128" s="2" t="str">
        <x:v>Explicitly evidenced</x:v>
      </x:c>
      <x:c r="M128" s="2" t="str">
        <x:v>NR</x:v>
      </x:c>
      <x:c r="N128" s="2" t="str">
        <x:v>NR</x:v>
      </x:c>
      <x:c r="O128" s="2" t="str">
        <x:v>NR</x:v>
      </x:c>
      <x:c r="P128" s="6" t="str">
        <x:v>NR</x:v>
      </x:c>
      <x:c r="Q128" s="2" t="str">
        <x:v>2 Semantic contextualization</x:v>
      </x:c>
      <x:c r="R128" s="6" t="str">
        <x:v>NR</x:v>
      </x:c>
      <x:c r="S128" s="2" t="str">
        <x:v>NR</x:v>
      </x:c>
      <x:c r="T128" s="2" t="str">
        <x:v>NR</x:v>
      </x:c>
      <x:c r="U128" s="2" t="str">
        <x:v>NR</x:v>
      </x:c>
      <x:c r="V128" s="6" t="str">
        <x:v>Task-specific coded evidence</x:v>
      </x:c>
      <x:c r="W128" s="6" t="str">
        <x:v>p. 1; Section I, method overview (after Fig.1)</x:v>
      </x:c>
      <x:c r="X128" s="6" t="str">
        <x:v>extract goals from interviewer and stakeholder speech while maintaining traceability to the originating phrases in the speech turns.</x:v>
      </x:c>
      <x:c r="Y128" s="6" t="str">
        <x:v>See task-step evidence references in the RQ2 supplement.</x:v>
      </x:c>
      <x:c r="Z128" s="2" t="str">
        <x:v>Accepted</x:v>
      </x:c>
      <x:c r="AA128" s="6" t="str">
        <x:v>NR</x:v>
      </x:c>
    </x:row>
    <x:row r="129" ht="76" customHeight="1">
      <x:c r="A129" s="2" t="str">
        <x:v>S15-T01-P3</x:v>
      </x:c>
      <x:c r="B129" s="2" t="str">
        <x:v>S15</x:v>
      </x:c>
      <x:c r="C129" s="2" t="str">
        <x:v>merged_1143</x:v>
      </x:c>
      <x:c r="D129" s="2" t="str">
        <x:v>Final coding</x:v>
      </x:c>
      <x:c r="E129" s="2" t="str">
        <x:v>R1/R2</x:v>
      </x:c>
      <x:c r="F129" s="2" t="str">
        <x:v>S15-T01-PROC</x:v>
      </x:c>
      <x:c r="G129" s="2" t="str">
        <x:v>S15-T01</x:v>
      </x:c>
      <x:c r="H129" s="2" t="str">
        <x:v>3 Traceability inference</x:v>
      </x:c>
      <x:c r="I129" s="2" t="n">
        <x:v>3</x:v>
      </x:c>
      <x:c r="J129" s="2" t="str">
        <x:v>Common core</x:v>
      </x:c>
      <x:c r="K129" s="2" t="str">
        <x:v>Completed</x:v>
      </x:c>
      <x:c r="L129" s="2" t="str">
        <x:v>Explicitly evidenced</x:v>
      </x:c>
      <x:c r="M129" s="2" t="str">
        <x:v>NR</x:v>
      </x:c>
      <x:c r="N129" s="2" t="str">
        <x:v>NR</x:v>
      </x:c>
      <x:c r="O129" s="2" t="str">
        <x:v>NR</x:v>
      </x:c>
      <x:c r="P129" s="6" t="str">
        <x:v>NR</x:v>
      </x:c>
      <x:c r="Q129" s="2" t="str">
        <x:v>3 Traceability inference</x:v>
      </x:c>
      <x:c r="R129" s="6" t="str">
        <x:v>一个目标列表，每个目标带有其在记录中对应的一个或多个短语。</x:v>
      </x:c>
      <x:c r="S129" s="2" t="str">
        <x:v>NR</x:v>
      </x:c>
      <x:c r="T129" s="2" t="str">
        <x:v>NR</x:v>
      </x:c>
      <x:c r="U129" s="2" t="str">
        <x:v>NR</x:v>
      </x:c>
      <x:c r="V129" s="6" t="str">
        <x:v>Task-specific coded evidence</x:v>
      </x:c>
      <x:c r="W129" s="6" t="str">
        <x:v>p. 1; Section I, method overview (after Fig.1)</x:v>
      </x:c>
      <x:c r="X129" s="6" t="str">
        <x:v>extract goals from interviewer and stakeholder speech while maintaining traceability to the originating phrases in the speech turns.</x:v>
      </x:c>
      <x:c r="Y129" s="6" t="str">
        <x:v>See task-step evidence references in the RQ2 supplement.</x:v>
      </x:c>
      <x:c r="Z129" s="2" t="str">
        <x:v>Accepted</x:v>
      </x:c>
      <x:c r="AA129" s="6" t="str">
        <x:v>NR</x:v>
      </x:c>
    </x:row>
    <x:row r="130" ht="76" customHeight="1">
      <x:c r="A130" s="2" t="str">
        <x:v>S15-T01-P4</x:v>
      </x:c>
      <x:c r="B130" s="2" t="str">
        <x:v>S15</x:v>
      </x:c>
      <x:c r="C130" s="2" t="str">
        <x:v>merged_1143</x:v>
      </x:c>
      <x:c r="D130" s="2" t="str">
        <x:v>Final coding</x:v>
      </x:c>
      <x:c r="E130" s="2" t="str">
        <x:v>R1/R2</x:v>
      </x:c>
      <x:c r="F130" s="2" t="str">
        <x:v>S15-T01-PROC</x:v>
      </x:c>
      <x:c r="G130" s="2" t="str">
        <x:v>S15-T01</x:v>
      </x:c>
      <x:c r="H130" s="2" t="str">
        <x:v>4 Validation and explanation</x:v>
      </x:c>
      <x:c r="I130" s="2" t="n">
        <x:v>4</x:v>
      </x:c>
      <x:c r="J130" s="2" t="str">
        <x:v>Common core</x:v>
      </x:c>
      <x:c r="K130" s="2" t="str">
        <x:v>Completed</x:v>
      </x:c>
      <x:c r="L130" s="2" t="str">
        <x:v>Not separately reported</x:v>
      </x:c>
      <x:c r="M130" s="2" t="str">
        <x:v>NR</x:v>
      </x:c>
      <x:c r="N130" s="2" t="str">
        <x:v>NR</x:v>
      </x:c>
      <x:c r="O130" s="2" t="str">
        <x:v>NR</x:v>
      </x:c>
      <x:c r="P130" s="6" t="str">
        <x:v>NR</x:v>
      </x:c>
      <x:c r="Q130" s="2" t="str">
        <x:v>NR</x:v>
      </x:c>
      <x:c r="R130" s="6" t="str">
        <x:v>NR</x:v>
      </x:c>
      <x:c r="S130" s="2" t="str">
        <x:v>NR</x:v>
      </x:c>
      <x:c r="T130" s="2" t="str">
        <x:v>NR</x:v>
      </x:c>
      <x:c r="U130" s="2" t="str">
        <x:v>NR</x:v>
      </x:c>
      <x:c r="V130" s="6" t="str">
        <x:v>Task-specific coded evidence</x:v>
      </x:c>
      <x:c r="W130" s="6" t="str">
        <x:v>p. 1; Section I, method overview (after Fig.1)</x:v>
      </x:c>
      <x:c r="X130" s="6" t="str">
        <x:v>extract goals from interviewer and stakeholder speech while maintaining traceability to the originating phrases in the speech turns.</x:v>
      </x:c>
      <x:c r="Y130" s="6" t="str">
        <x:v>See task-step evidence references in the RQ2 supplement.</x:v>
      </x:c>
      <x:c r="Z130" s="2" t="str">
        <x:v>Accepted</x:v>
      </x:c>
      <x:c r="AA130" s="6" t="str">
        <x:v>NR</x:v>
      </x:c>
    </x:row>
    <x:row r="131" ht="76" customHeight="1">
      <x:c r="A131" s="2" t="str">
        <x:v>S15-T01-P5</x:v>
      </x:c>
      <x:c r="B131" s="2" t="str">
        <x:v>S15</x:v>
      </x:c>
      <x:c r="C131" s="2" t="str">
        <x:v>merged_1143</x:v>
      </x:c>
      <x:c r="D131" s="2" t="str">
        <x:v>Final coding</x:v>
      </x:c>
      <x:c r="E131" s="2" t="str">
        <x:v>R1/R2</x:v>
      </x:c>
      <x:c r="F131" s="2" t="str">
        <x:v>S15-T01-PROC</x:v>
      </x:c>
      <x:c r="G131" s="2" t="str">
        <x:v>S15-T01</x:v>
      </x:c>
      <x:c r="H131" s="2" t="str">
        <x:v>5 Evolution and embedding</x:v>
      </x:c>
      <x:c r="I131" s="2" t="n">
        <x:v>5</x:v>
      </x:c>
      <x:c r="J131" s="2" t="str">
        <x:v>Common core</x:v>
      </x:c>
      <x:c r="K131" s="2" t="str">
        <x:v>Completed</x:v>
      </x:c>
      <x:c r="L131" s="2" t="str">
        <x:v>Not separately reported</x:v>
      </x:c>
      <x:c r="M131" s="2" t="str">
        <x:v>NR</x:v>
      </x:c>
      <x:c r="N131" s="2" t="str">
        <x:v>NR</x:v>
      </x:c>
      <x:c r="O131" s="2" t="str">
        <x:v>NR</x:v>
      </x:c>
      <x:c r="P131" s="6" t="str">
        <x:v>NR</x:v>
      </x:c>
      <x:c r="Q131" s="2" t="str">
        <x:v>NR</x:v>
      </x:c>
      <x:c r="R131" s="6" t="str">
        <x:v>NR</x:v>
      </x:c>
      <x:c r="S131" s="2" t="str">
        <x:v>NR</x:v>
      </x:c>
      <x:c r="T131" s="2" t="str">
        <x:v>NR</x:v>
      </x:c>
      <x:c r="U131" s="2" t="str">
        <x:v>NR</x:v>
      </x:c>
      <x:c r="V131" s="6" t="str">
        <x:v>Task-specific coded evidence</x:v>
      </x:c>
      <x:c r="W131" s="6" t="str">
        <x:v>p. 1; Section I, method overview (after Fig.1)</x:v>
      </x:c>
      <x:c r="X131" s="6" t="str">
        <x:v>extract goals from interviewer and stakeholder speech while maintaining traceability to the originating phrases in the speech turns.</x:v>
      </x:c>
      <x:c r="Y131" s="6" t="str">
        <x:v>See task-step evidence references in the RQ2 supplement.</x:v>
      </x:c>
      <x:c r="Z131" s="2" t="str">
        <x:v>Accepted</x:v>
      </x:c>
      <x:c r="AA131" s="6" t="str">
        <x:v>NR</x:v>
      </x:c>
    </x:row>
    <x:row r="132" ht="76" customHeight="1">
      <x:c r="A132" s="2" t="str">
        <x:v>S15-T02-P1</x:v>
      </x:c>
      <x:c r="B132" s="2" t="str">
        <x:v>S15</x:v>
      </x:c>
      <x:c r="C132" s="2" t="str">
        <x:v>merged_1143</x:v>
      </x:c>
      <x:c r="D132" s="2" t="str">
        <x:v>Final coding</x:v>
      </x:c>
      <x:c r="E132" s="2" t="str">
        <x:v>R1/R2</x:v>
      </x:c>
      <x:c r="F132" s="2" t="str">
        <x:v>S15-T02-PROC</x:v>
      </x:c>
      <x:c r="G132" s="2" t="str">
        <x:v>S15-T02</x:v>
      </x:c>
      <x:c r="H132" s="2" t="str">
        <x:v>1 Artifact acquisition and scoping</x:v>
      </x:c>
      <x:c r="I132" s="2" t="n">
        <x:v>1</x:v>
      </x:c>
      <x:c r="J132" s="2" t="str">
        <x:v>Common core</x:v>
      </x:c>
      <x:c r="K132" s="2" t="str">
        <x:v>Completed</x:v>
      </x:c>
      <x:c r="L132" s="2" t="str">
        <x:v>Not separately reported</x:v>
      </x:c>
      <x:c r="M132" s="2" t="str">
        <x:v>NR</x:v>
      </x:c>
      <x:c r="N132" s="2" t="str">
        <x:v>NR</x:v>
      </x:c>
      <x:c r="O132" s="2" t="str">
        <x:v>NR</x:v>
      </x:c>
      <x:c r="P132" s="6" t="str">
        <x:v>NR</x:v>
      </x:c>
      <x:c r="Q132" s="2" t="str">
        <x:v>NR</x:v>
      </x:c>
      <x:c r="R132" s="6" t="str">
        <x:v>NR</x:v>
      </x:c>
      <x:c r="S132" s="2" t="str">
        <x:v>NR</x:v>
      </x:c>
      <x:c r="T132" s="2" t="str">
        <x:v>NR</x:v>
      </x:c>
      <x:c r="U132" s="2" t="str">
        <x:v>NR</x:v>
      </x:c>
      <x:c r="V132" s="6" t="str">
        <x:v>Task-specific coded evidence</x:v>
      </x:c>
      <x:c r="W132" s="6" t="str">
        <x:v>p. 1; Section I, method overview (step 3)</x:v>
      </x:c>
      <x:c r="X132" s="6" t="str">
        <x:v>the goal model, including refinement relationships, is inferred over the extracted goals</x:v>
      </x:c>
      <x:c r="Y132" s="6" t="str">
        <x:v>See task-step evidence references in the RQ2 supplement.</x:v>
      </x:c>
      <x:c r="Z132" s="2" t="str">
        <x:v>Accepted</x:v>
      </x:c>
      <x:c r="AA132" s="6" t="str">
        <x:v>NR</x:v>
      </x:c>
    </x:row>
    <x:row r="133" ht="76" customHeight="1">
      <x:c r="A133" s="2" t="str">
        <x:v>S15-T02-P2</x:v>
      </x:c>
      <x:c r="B133" s="2" t="str">
        <x:v>S15</x:v>
      </x:c>
      <x:c r="C133" s="2" t="str">
        <x:v>merged_1143</x:v>
      </x:c>
      <x:c r="D133" s="2" t="str">
        <x:v>Final coding</x:v>
      </x:c>
      <x:c r="E133" s="2" t="str">
        <x:v>R1/R2</x:v>
      </x:c>
      <x:c r="F133" s="2" t="str">
        <x:v>S15-T02-PROC</x:v>
      </x:c>
      <x:c r="G133" s="2" t="str">
        <x:v>S15-T02</x:v>
      </x:c>
      <x:c r="H133" s="2" t="str">
        <x:v>2 Semantic contextualization</x:v>
      </x:c>
      <x:c r="I133" s="2" t="n">
        <x:v>2</x:v>
      </x:c>
      <x:c r="J133" s="2" t="str">
        <x:v>Common core</x:v>
      </x:c>
      <x:c r="K133" s="2" t="str">
        <x:v>Completed</x:v>
      </x:c>
      <x:c r="L133" s="2" t="str">
        <x:v>Not separately reported</x:v>
      </x:c>
      <x:c r="M133" s="2" t="str">
        <x:v>NR</x:v>
      </x:c>
      <x:c r="N133" s="2" t="str">
        <x:v>NR</x:v>
      </x:c>
      <x:c r="O133" s="2" t="str">
        <x:v>NR</x:v>
      </x:c>
      <x:c r="P133" s="6" t="str">
        <x:v>NR</x:v>
      </x:c>
      <x:c r="Q133" s="2" t="str">
        <x:v>NR</x:v>
      </x:c>
      <x:c r="R133" s="6" t="str">
        <x:v>NR</x:v>
      </x:c>
      <x:c r="S133" s="2" t="str">
        <x:v>NR</x:v>
      </x:c>
      <x:c r="T133" s="2" t="str">
        <x:v>NR</x:v>
      </x:c>
      <x:c r="U133" s="2" t="str">
        <x:v>NR</x:v>
      </x:c>
      <x:c r="V133" s="6" t="str">
        <x:v>Task-specific coded evidence</x:v>
      </x:c>
      <x:c r="W133" s="6" t="str">
        <x:v>p. 1; Section I, method overview (step 3)</x:v>
      </x:c>
      <x:c r="X133" s="6" t="str">
        <x:v>the goal model, including refinement relationships, is inferred over the extracted goals</x:v>
      </x:c>
      <x:c r="Y133" s="6" t="str">
        <x:v>See task-step evidence references in the RQ2 supplement.</x:v>
      </x:c>
      <x:c r="Z133" s="2" t="str">
        <x:v>Accepted</x:v>
      </x:c>
      <x:c r="AA133" s="6" t="str">
        <x:v>NR</x:v>
      </x:c>
    </x:row>
    <x:row r="134" ht="76" customHeight="1">
      <x:c r="A134" s="2" t="str">
        <x:v>S15-T02-P3</x:v>
      </x:c>
      <x:c r="B134" s="2" t="str">
        <x:v>S15</x:v>
      </x:c>
      <x:c r="C134" s="2" t="str">
        <x:v>merged_1143</x:v>
      </x:c>
      <x:c r="D134" s="2" t="str">
        <x:v>Final coding</x:v>
      </x:c>
      <x:c r="E134" s="2" t="str">
        <x:v>R1/R2</x:v>
      </x:c>
      <x:c r="F134" s="2" t="str">
        <x:v>S15-T02-PROC</x:v>
      </x:c>
      <x:c r="G134" s="2" t="str">
        <x:v>S15-T02</x:v>
      </x:c>
      <x:c r="H134" s="2" t="str">
        <x:v>3 Traceability inference</x:v>
      </x:c>
      <x:c r="I134" s="2" t="n">
        <x:v>3</x:v>
      </x:c>
      <x:c r="J134" s="2" t="str">
        <x:v>Common core</x:v>
      </x:c>
      <x:c r="K134" s="2" t="str">
        <x:v>Completed</x:v>
      </x:c>
      <x:c r="L134" s="2" t="str">
        <x:v>Explicitly evidenced</x:v>
      </x:c>
      <x:c r="M134" s="2" t="str">
        <x:v>NR</x:v>
      </x:c>
      <x:c r="N134" s="2" t="str">
        <x:v>NR</x:v>
      </x:c>
      <x:c r="O134" s="2" t="str">
        <x:v>NR</x:v>
      </x:c>
      <x:c r="P134" s="6" t="str">
        <x:v>NR</x:v>
      </x:c>
      <x:c r="Q134" s="2" t="str">
        <x:v>3 Traceability inference</x:v>
      </x:c>
      <x:c r="R134" s="6" t="str">
        <x:v>一个有向无环目标图，其中边表示精化关系。</x:v>
      </x:c>
      <x:c r="S134" s="2" t="str">
        <x:v>NR</x:v>
      </x:c>
      <x:c r="T134" s="2" t="str">
        <x:v>NR</x:v>
      </x:c>
      <x:c r="U134" s="2" t="str">
        <x:v>NR</x:v>
      </x:c>
      <x:c r="V134" s="6" t="str">
        <x:v>Task-specific coded evidence</x:v>
      </x:c>
      <x:c r="W134" s="6" t="str">
        <x:v>p. 1; Section I, method overview (step 3)</x:v>
      </x:c>
      <x:c r="X134" s="6" t="str">
        <x:v>the goal model, including refinement relationships, is inferred over the extracted goals</x:v>
      </x:c>
      <x:c r="Y134" s="6" t="str">
        <x:v>See task-step evidence references in the RQ2 supplement.</x:v>
      </x:c>
      <x:c r="Z134" s="2" t="str">
        <x:v>Accepted</x:v>
      </x:c>
      <x:c r="AA134" s="6" t="str">
        <x:v>NR</x:v>
      </x:c>
    </x:row>
    <x:row r="135" ht="76" customHeight="1">
      <x:c r="A135" s="2" t="str">
        <x:v>S15-T02-P4</x:v>
      </x:c>
      <x:c r="B135" s="2" t="str">
        <x:v>S15</x:v>
      </x:c>
      <x:c r="C135" s="2" t="str">
        <x:v>merged_1143</x:v>
      </x:c>
      <x:c r="D135" s="2" t="str">
        <x:v>Final coding</x:v>
      </x:c>
      <x:c r="E135" s="2" t="str">
        <x:v>R1/R2</x:v>
      </x:c>
      <x:c r="F135" s="2" t="str">
        <x:v>S15-T02-PROC</x:v>
      </x:c>
      <x:c r="G135" s="2" t="str">
        <x:v>S15-T02</x:v>
      </x:c>
      <x:c r="H135" s="2" t="str">
        <x:v>4 Validation and explanation</x:v>
      </x:c>
      <x:c r="I135" s="2" t="n">
        <x:v>4</x:v>
      </x:c>
      <x:c r="J135" s="2" t="str">
        <x:v>Common core</x:v>
      </x:c>
      <x:c r="K135" s="2" t="str">
        <x:v>Completed</x:v>
      </x:c>
      <x:c r="L135" s="2" t="str">
        <x:v>Explicitly evidenced</x:v>
      </x:c>
      <x:c r="M135" s="2" t="str">
        <x:v>NR</x:v>
      </x:c>
      <x:c r="N135" s="2" t="str">
        <x:v>NR</x:v>
      </x:c>
      <x:c r="O135" s="2" t="str">
        <x:v>NR</x:v>
      </x:c>
      <x:c r="P135" s="6" t="str">
        <x:v>NR</x:v>
      </x:c>
      <x:c r="Q135" s="2" t="str">
        <x:v>4 Validation and explanation</x:v>
      </x:c>
      <x:c r="R135" s="6" t="str">
        <x:v>NR</x:v>
      </x:c>
      <x:c r="S135" s="2" t="str">
        <x:v>NR</x:v>
      </x:c>
      <x:c r="T135" s="2" t="str">
        <x:v>NR</x:v>
      </x:c>
      <x:c r="U135" s="2" t="str">
        <x:v>NR</x:v>
      </x:c>
      <x:c r="V135" s="6" t="str">
        <x:v>Task-specific coded evidence</x:v>
      </x:c>
      <x:c r="W135" s="6" t="str">
        <x:v>p. 1; Section I, method overview (step 3)</x:v>
      </x:c>
      <x:c r="X135" s="6" t="str">
        <x:v>the goal model, including refinement relationships, is inferred over the extracted goals</x:v>
      </x:c>
      <x:c r="Y135" s="6" t="str">
        <x:v>See task-step evidence references in the RQ2 supplement.</x:v>
      </x:c>
      <x:c r="Z135" s="2" t="str">
        <x:v>Accepted</x:v>
      </x:c>
      <x:c r="AA135" s="6" t="str">
        <x:v>NR</x:v>
      </x:c>
    </x:row>
    <x:row r="136" ht="76" customHeight="1">
      <x:c r="A136" s="2" t="str">
        <x:v>S15-T02-P5</x:v>
      </x:c>
      <x:c r="B136" s="2" t="str">
        <x:v>S15</x:v>
      </x:c>
      <x:c r="C136" s="2" t="str">
        <x:v>merged_1143</x:v>
      </x:c>
      <x:c r="D136" s="2" t="str">
        <x:v>Final coding</x:v>
      </x:c>
      <x:c r="E136" s="2" t="str">
        <x:v>R1/R2</x:v>
      </x:c>
      <x:c r="F136" s="2" t="str">
        <x:v>S15-T02-PROC</x:v>
      </x:c>
      <x:c r="G136" s="2" t="str">
        <x:v>S15-T02</x:v>
      </x:c>
      <x:c r="H136" s="2" t="str">
        <x:v>5 Evolution and embedding</x:v>
      </x:c>
      <x:c r="I136" s="2" t="n">
        <x:v>5</x:v>
      </x:c>
      <x:c r="J136" s="2" t="str">
        <x:v>Common core</x:v>
      </x:c>
      <x:c r="K136" s="2" t="str">
        <x:v>Completed</x:v>
      </x:c>
      <x:c r="L136" s="2" t="str">
        <x:v>Not separately reported</x:v>
      </x:c>
      <x:c r="M136" s="2" t="str">
        <x:v>NR</x:v>
      </x:c>
      <x:c r="N136" s="2" t="str">
        <x:v>NR</x:v>
      </x:c>
      <x:c r="O136" s="2" t="str">
        <x:v>NR</x:v>
      </x:c>
      <x:c r="P136" s="6" t="str">
        <x:v>NR</x:v>
      </x:c>
      <x:c r="Q136" s="2" t="str">
        <x:v>NR</x:v>
      </x:c>
      <x:c r="R136" s="6" t="str">
        <x:v>NR</x:v>
      </x:c>
      <x:c r="S136" s="2" t="str">
        <x:v>NR</x:v>
      </x:c>
      <x:c r="T136" s="2" t="str">
        <x:v>NR</x:v>
      </x:c>
      <x:c r="U136" s="2" t="str">
        <x:v>NR</x:v>
      </x:c>
      <x:c r="V136" s="6" t="str">
        <x:v>Task-specific coded evidence</x:v>
      </x:c>
      <x:c r="W136" s="6" t="str">
        <x:v>p. 1; Section I, method overview (step 3)</x:v>
      </x:c>
      <x:c r="X136" s="6" t="str">
        <x:v>the goal model, including refinement relationships, is inferred over the extracted goals</x:v>
      </x:c>
      <x:c r="Y136" s="6" t="str">
        <x:v>See task-step evidence references in the RQ2 supplement.</x:v>
      </x:c>
      <x:c r="Z136" s="2" t="str">
        <x:v>Accepted</x:v>
      </x:c>
      <x:c r="AA136" s="6" t="str">
        <x:v>NR</x:v>
      </x:c>
    </x:row>
    <x:row r="137" ht="76" customHeight="1">
      <x:c r="A137" s="2" t="str">
        <x:v>S16-T01-P1</x:v>
      </x:c>
      <x:c r="B137" s="2" t="str">
        <x:v>S16</x:v>
      </x:c>
      <x:c r="C137" s="2" t="str">
        <x:v>merged_1144</x:v>
      </x:c>
      <x:c r="D137" s="2" t="str">
        <x:v>Final coding</x:v>
      </x:c>
      <x:c r="E137" s="2" t="str">
        <x:v>R1/R2</x:v>
      </x:c>
      <x:c r="F137" s="2" t="str">
        <x:v>S16-T01-PROC</x:v>
      </x:c>
      <x:c r="G137" s="2" t="str">
        <x:v>S16-T01</x:v>
      </x:c>
      <x:c r="H137" s="2" t="str">
        <x:v>1 Artifact acquisition and scoping</x:v>
      </x:c>
      <x:c r="I137" s="2" t="n">
        <x:v>1</x:v>
      </x:c>
      <x:c r="J137" s="2" t="str">
        <x:v>Common core</x:v>
      </x:c>
      <x:c r="K137" s="2" t="str">
        <x:v>Completed</x:v>
      </x:c>
      <x:c r="L137" s="2" t="str">
        <x:v>Not separately reported</x:v>
      </x:c>
      <x:c r="M137" s="2" t="str">
        <x:v>NR</x:v>
      </x:c>
      <x:c r="N137" s="2" t="str">
        <x:v>NR</x:v>
      </x:c>
      <x:c r="O137" s="2" t="str">
        <x:v>NR</x:v>
      </x:c>
      <x:c r="P137" s="6" t="str">
        <x:v>NR</x:v>
      </x:c>
      <x:c r="Q137" s="2" t="str">
        <x:v>NR</x:v>
      </x:c>
      <x:c r="R137" s="6" t="str">
        <x:v>NR</x:v>
      </x:c>
      <x:c r="S137" s="2" t="str">
        <x:v>NR</x:v>
      </x:c>
      <x:c r="T137" s="2" t="str">
        <x:v>NR</x:v>
      </x:c>
      <x:c r="U137" s="2" t="str">
        <x:v>NR</x:v>
      </x:c>
      <x:c r="V137" s="6" t="str">
        <x:v>Task-specific coded evidence</x:v>
      </x:c>
      <x:c r="W137" s="6" t="str">
        <x:v>p. 1; abstract</x:v>
      </x:c>
      <x:c r="X137" s="6" t="str">
        <x:v>Issue-commit linking, which connects issues with commits that fix them, is crucial for software maintenance.</x:v>
      </x:c>
      <x:c r="Y137" s="6" t="str">
        <x:v>See task-step evidence references in the RQ2 supplement.</x:v>
      </x:c>
      <x:c r="Z137" s="2" t="str">
        <x:v>Accepted</x:v>
      </x:c>
      <x:c r="AA137" s="6" t="str">
        <x:v>NR</x:v>
      </x:c>
    </x:row>
    <x:row r="138" ht="76" customHeight="1">
      <x:c r="A138" s="2" t="str">
        <x:v>S16-T01-P2</x:v>
      </x:c>
      <x:c r="B138" s="2" t="str">
        <x:v>S16</x:v>
      </x:c>
      <x:c r="C138" s="2" t="str">
        <x:v>merged_1144</x:v>
      </x:c>
      <x:c r="D138" s="2" t="str">
        <x:v>Final coding</x:v>
      </x:c>
      <x:c r="E138" s="2" t="str">
        <x:v>R1/R2</x:v>
      </x:c>
      <x:c r="F138" s="2" t="str">
        <x:v>S16-T01-PROC</x:v>
      </x:c>
      <x:c r="G138" s="2" t="str">
        <x:v>S16-T01</x:v>
      </x:c>
      <x:c r="H138" s="2" t="str">
        <x:v>2 Semantic contextualization</x:v>
      </x:c>
      <x:c r="I138" s="2" t="n">
        <x:v>2</x:v>
      </x:c>
      <x:c r="J138" s="2" t="str">
        <x:v>Common core</x:v>
      </x:c>
      <x:c r="K138" s="2" t="str">
        <x:v>Completed</x:v>
      </x:c>
      <x:c r="L138" s="2" t="str">
        <x:v>Explicitly evidenced</x:v>
      </x:c>
      <x:c r="M138" s="2" t="str">
        <x:v>NR</x:v>
      </x:c>
      <x:c r="N138" s="2" t="str">
        <x:v>NR</x:v>
      </x:c>
      <x:c r="O138" s="2" t="str">
        <x:v>NR</x:v>
      </x:c>
      <x:c r="P138" s="6" t="str">
        <x:v>NR</x:v>
      </x:c>
      <x:c r="Q138" s="2" t="str">
        <x:v>2 Semantic contextualization</x:v>
      </x:c>
      <x:c r="R138" s="6" t="str">
        <x:v>NR</x:v>
      </x:c>
      <x:c r="S138" s="2" t="str">
        <x:v>NR</x:v>
      </x:c>
      <x:c r="T138" s="2" t="str">
        <x:v>NR</x:v>
      </x:c>
      <x:c r="U138" s="2" t="str">
        <x:v>NR</x:v>
      </x:c>
      <x:c r="V138" s="6" t="str">
        <x:v>Task-specific coded evidence</x:v>
      </x:c>
      <x:c r="W138" s="6" t="str">
        <x:v>p. 1; abstract</x:v>
      </x:c>
      <x:c r="X138" s="6" t="str">
        <x:v>Issue-commit linking, which connects issues with commits that fix them, is crucial for software maintenance.</x:v>
      </x:c>
      <x:c r="Y138" s="6" t="str">
        <x:v>See task-step evidence references in the RQ2 supplement.</x:v>
      </x:c>
      <x:c r="Z138" s="2" t="str">
        <x:v>Accepted</x:v>
      </x:c>
      <x:c r="AA138" s="6" t="str">
        <x:v>NR</x:v>
      </x:c>
    </x:row>
    <x:row r="139" ht="76" customHeight="1">
      <x:c r="A139" s="2" t="str">
        <x:v>S16-T01-P3</x:v>
      </x:c>
      <x:c r="B139" s="2" t="str">
        <x:v>S16</x:v>
      </x:c>
      <x:c r="C139" s="2" t="str">
        <x:v>merged_1144</x:v>
      </x:c>
      <x:c r="D139" s="2" t="str">
        <x:v>Final coding</x:v>
      </x:c>
      <x:c r="E139" s="2" t="str">
        <x:v>R1/R2</x:v>
      </x:c>
      <x:c r="F139" s="2" t="str">
        <x:v>S16-T01-PROC</x:v>
      </x:c>
      <x:c r="G139" s="2" t="str">
        <x:v>S16-T01</x:v>
      </x:c>
      <x:c r="H139" s="2" t="str">
        <x:v>3 Traceability inference</x:v>
      </x:c>
      <x:c r="I139" s="2" t="n">
        <x:v>3</x:v>
      </x:c>
      <x:c r="J139" s="2" t="str">
        <x:v>Common core</x:v>
      </x:c>
      <x:c r="K139" s="2" t="str">
        <x:v>Completed</x:v>
      </x:c>
      <x:c r="L139" s="2" t="str">
        <x:v>Explicitly evidenced</x:v>
      </x:c>
      <x:c r="M139" s="2" t="str">
        <x:v>NR</x:v>
      </x:c>
      <x:c r="N139" s="2" t="str">
        <x:v>NR</x:v>
      </x:c>
      <x:c r="O139" s="2" t="str">
        <x:v>NR</x:v>
      </x:c>
      <x:c r="P139" s="6" t="str">
        <x:v>NR</x:v>
      </x:c>
      <x:c r="Q139" s="2" t="str">
        <x:v>3 Traceability inference</x:v>
      </x:c>
      <x:c r="R139" s="6" t="str">
        <x:v>一个排序的commit列表，真正的fix commit应排在前面。</x:v>
      </x:c>
      <x:c r="S139" s="2" t="str">
        <x:v>NR</x:v>
      </x:c>
      <x:c r="T139" s="2" t="str">
        <x:v>NR</x:v>
      </x:c>
      <x:c r="U139" s="2" t="str">
        <x:v>NR</x:v>
      </x:c>
      <x:c r="V139" s="6" t="str">
        <x:v>Task-specific coded evidence</x:v>
      </x:c>
      <x:c r="W139" s="6" t="str">
        <x:v>p. 1; abstract</x:v>
      </x:c>
      <x:c r="X139" s="6" t="str">
        <x:v>Issue-commit linking, which connects issues with commits that fix them, is crucial for software maintenance.</x:v>
      </x:c>
      <x:c r="Y139" s="6" t="str">
        <x:v>See task-step evidence references in the RQ2 supplement.</x:v>
      </x:c>
      <x:c r="Z139" s="2" t="str">
        <x:v>Accepted</x:v>
      </x:c>
      <x:c r="AA139" s="6" t="str">
        <x:v>NR</x:v>
      </x:c>
    </x:row>
    <x:row r="140" ht="76" customHeight="1">
      <x:c r="A140" s="2" t="str">
        <x:v>S16-T01-P4</x:v>
      </x:c>
      <x:c r="B140" s="2" t="str">
        <x:v>S16</x:v>
      </x:c>
      <x:c r="C140" s="2" t="str">
        <x:v>merged_1144</x:v>
      </x:c>
      <x:c r="D140" s="2" t="str">
        <x:v>Final coding</x:v>
      </x:c>
      <x:c r="E140" s="2" t="str">
        <x:v>R1/R2</x:v>
      </x:c>
      <x:c r="F140" s="2" t="str">
        <x:v>S16-T01-PROC</x:v>
      </x:c>
      <x:c r="G140" s="2" t="str">
        <x:v>S16-T01</x:v>
      </x:c>
      <x:c r="H140" s="2" t="str">
        <x:v>4 Validation and explanation</x:v>
      </x:c>
      <x:c r="I140" s="2" t="n">
        <x:v>4</x:v>
      </x:c>
      <x:c r="J140" s="2" t="str">
        <x:v>Common core</x:v>
      </x:c>
      <x:c r="K140" s="2" t="str">
        <x:v>Completed</x:v>
      </x:c>
      <x:c r="L140" s="2" t="str">
        <x:v>Not separately reported</x:v>
      </x:c>
      <x:c r="M140" s="2" t="str">
        <x:v>NR</x:v>
      </x:c>
      <x:c r="N140" s="2" t="str">
        <x:v>NR</x:v>
      </x:c>
      <x:c r="O140" s="2" t="str">
        <x:v>NR</x:v>
      </x:c>
      <x:c r="P140" s="6" t="str">
        <x:v>NR</x:v>
      </x:c>
      <x:c r="Q140" s="2" t="str">
        <x:v>NR</x:v>
      </x:c>
      <x:c r="R140" s="6" t="str">
        <x:v>NR</x:v>
      </x:c>
      <x:c r="S140" s="2" t="str">
        <x:v>NR</x:v>
      </x:c>
      <x:c r="T140" s="2" t="str">
        <x:v>NR</x:v>
      </x:c>
      <x:c r="U140" s="2" t="str">
        <x:v>NR</x:v>
      </x:c>
      <x:c r="V140" s="6" t="str">
        <x:v>Task-specific coded evidence</x:v>
      </x:c>
      <x:c r="W140" s="6" t="str">
        <x:v>p. 1; abstract</x:v>
      </x:c>
      <x:c r="X140" s="6" t="str">
        <x:v>Issue-commit linking, which connects issues with commits that fix them, is crucial for software maintenance.</x:v>
      </x:c>
      <x:c r="Y140" s="6" t="str">
        <x:v>See task-step evidence references in the RQ2 supplement.</x:v>
      </x:c>
      <x:c r="Z140" s="2" t="str">
        <x:v>Accepted</x:v>
      </x:c>
      <x:c r="AA140" s="6" t="str">
        <x:v>NR</x:v>
      </x:c>
    </x:row>
    <x:row r="141" ht="76" customHeight="1">
      <x:c r="A141" s="2" t="str">
        <x:v>S16-T01-P5</x:v>
      </x:c>
      <x:c r="B141" s="2" t="str">
        <x:v>S16</x:v>
      </x:c>
      <x:c r="C141" s="2" t="str">
        <x:v>merged_1144</x:v>
      </x:c>
      <x:c r="D141" s="2" t="str">
        <x:v>Final coding</x:v>
      </x:c>
      <x:c r="E141" s="2" t="str">
        <x:v>R1/R2</x:v>
      </x:c>
      <x:c r="F141" s="2" t="str">
        <x:v>S16-T01-PROC</x:v>
      </x:c>
      <x:c r="G141" s="2" t="str">
        <x:v>S16-T01</x:v>
      </x:c>
      <x:c r="H141" s="2" t="str">
        <x:v>5 Evolution and embedding</x:v>
      </x:c>
      <x:c r="I141" s="2" t="n">
        <x:v>5</x:v>
      </x:c>
      <x:c r="J141" s="2" t="str">
        <x:v>Common core</x:v>
      </x:c>
      <x:c r="K141" s="2" t="str">
        <x:v>Completed</x:v>
      </x:c>
      <x:c r="L141" s="2" t="str">
        <x:v>Not separately reported</x:v>
      </x:c>
      <x:c r="M141" s="2" t="str">
        <x:v>NR</x:v>
      </x:c>
      <x:c r="N141" s="2" t="str">
        <x:v>NR</x:v>
      </x:c>
      <x:c r="O141" s="2" t="str">
        <x:v>NR</x:v>
      </x:c>
      <x:c r="P141" s="6" t="str">
        <x:v>NR</x:v>
      </x:c>
      <x:c r="Q141" s="2" t="str">
        <x:v>NR</x:v>
      </x:c>
      <x:c r="R141" s="6" t="str">
        <x:v>NR</x:v>
      </x:c>
      <x:c r="S141" s="2" t="str">
        <x:v>NR</x:v>
      </x:c>
      <x:c r="T141" s="2" t="str">
        <x:v>NR</x:v>
      </x:c>
      <x:c r="U141" s="2" t="str">
        <x:v>NR</x:v>
      </x:c>
      <x:c r="V141" s="6" t="str">
        <x:v>Task-specific coded evidence</x:v>
      </x:c>
      <x:c r="W141" s="6" t="str">
        <x:v>p. 1; abstract</x:v>
      </x:c>
      <x:c r="X141" s="6" t="str">
        <x:v>Issue-commit linking, which connects issues with commits that fix them, is crucial for software maintenance.</x:v>
      </x:c>
      <x:c r="Y141" s="6" t="str">
        <x:v>See task-step evidence references in the RQ2 supplement.</x:v>
      </x:c>
      <x:c r="Z141" s="2" t="str">
        <x:v>Accepted</x:v>
      </x:c>
      <x:c r="AA141" s="6" t="str">
        <x:v>NR</x:v>
      </x:c>
    </x:row>
    <x:row r="142" ht="76" customHeight="1">
      <x:c r="A142" s="2" t="str">
        <x:v>S17-T01-P1</x:v>
      </x:c>
      <x:c r="B142" s="2" t="str">
        <x:v>S17</x:v>
      </x:c>
      <x:c r="C142" s="2" t="str">
        <x:v>merged_1148-v1</x:v>
      </x:c>
      <x:c r="D142" s="2" t="str">
        <x:v>Final coding</x:v>
      </x:c>
      <x:c r="E142" s="2" t="str">
        <x:v>R1/R2</x:v>
      </x:c>
      <x:c r="F142" s="2" t="str">
        <x:v>S17-T01-PROC</x:v>
      </x:c>
      <x:c r="G142" s="2" t="str">
        <x:v>S17-T01</x:v>
      </x:c>
      <x:c r="H142" s="2" t="str">
        <x:v>1 Artifact acquisition and scoping</x:v>
      </x:c>
      <x:c r="I142" s="2" t="n">
        <x:v>1</x:v>
      </x:c>
      <x:c r="J142" s="2" t="str">
        <x:v>Common core</x:v>
      </x:c>
      <x:c r="K142" s="2" t="str">
        <x:v>Completed</x:v>
      </x:c>
      <x:c r="L142" s="2" t="str">
        <x:v>Not separately reported</x:v>
      </x:c>
      <x:c r="M142" s="2" t="str">
        <x:v>NR</x:v>
      </x:c>
      <x:c r="N142" s="2" t="str">
        <x:v>NR</x:v>
      </x:c>
      <x:c r="O142" s="2" t="str">
        <x:v>NR</x:v>
      </x:c>
      <x:c r="P142" s="6" t="str">
        <x:v>NR</x:v>
      </x:c>
      <x:c r="Q142" s="2" t="str">
        <x:v>NR</x:v>
      </x:c>
      <x:c r="R142" s="6" t="str">
        <x:v>NR</x:v>
      </x:c>
      <x:c r="S142" s="2" t="str">
        <x:v>NR</x:v>
      </x:c>
      <x:c r="T142" s="2" t="str">
        <x:v>NR</x:v>
      </x:c>
      <x:c r="U142" s="2" t="str">
        <x:v>NR</x:v>
      </x:c>
      <x:c r="V142" s="6" t="str">
        <x:v>Task-specific coded evidence</x:v>
      </x:c>
      <x:c r="W142" s="6" t="str">
        <x:v>p. 9; Figure 9</x:v>
      </x:c>
      <x:c r="X142" s="6" t="str">
        <x:v>,→ the control structure diagram. ,→ shown in the control structure diagram. 3 An unsafe control action is linked to a A scenario must link to a single hazard. It 3</x:v>
      </x:c>
      <x:c r="Y142" s="6" t="str">
        <x:v>See task-step evidence references in the RQ2 supplement.</x:v>
      </x:c>
      <x:c r="Z142" s="2" t="str">
        <x:v>Accepted</x:v>
      </x:c>
      <x:c r="AA142" s="6" t="str">
        <x:v>NR</x:v>
      </x:c>
    </x:row>
    <x:row r="143" ht="76" customHeight="1">
      <x:c r="A143" s="2" t="str">
        <x:v>S17-T01-P2</x:v>
      </x:c>
      <x:c r="B143" s="2" t="str">
        <x:v>S17</x:v>
      </x:c>
      <x:c r="C143" s="2" t="str">
        <x:v>merged_1148-v1</x:v>
      </x:c>
      <x:c r="D143" s="2" t="str">
        <x:v>Final coding</x:v>
      </x:c>
      <x:c r="E143" s="2" t="str">
        <x:v>R1/R2</x:v>
      </x:c>
      <x:c r="F143" s="2" t="str">
        <x:v>S17-T01-PROC</x:v>
      </x:c>
      <x:c r="G143" s="2" t="str">
        <x:v>S17-T01</x:v>
      </x:c>
      <x:c r="H143" s="2" t="str">
        <x:v>2 Semantic contextualization</x:v>
      </x:c>
      <x:c r="I143" s="2" t="n">
        <x:v>2</x:v>
      </x:c>
      <x:c r="J143" s="2" t="str">
        <x:v>Common core</x:v>
      </x:c>
      <x:c r="K143" s="2" t="str">
        <x:v>Completed</x:v>
      </x:c>
      <x:c r="L143" s="2" t="str">
        <x:v>Explicitly evidenced</x:v>
      </x:c>
      <x:c r="M143" s="2" t="str">
        <x:v>NR</x:v>
      </x:c>
      <x:c r="N143" s="2" t="str">
        <x:v>NR</x:v>
      </x:c>
      <x:c r="O143" s="2" t="str">
        <x:v>NR</x:v>
      </x:c>
      <x:c r="P143" s="6" t="str">
        <x:v>NR</x:v>
      </x:c>
      <x:c r="Q143" s="2" t="str">
        <x:v>2 Semantic contextualization</x:v>
      </x:c>
      <x:c r="R143" s="6" t="str">
        <x:v>NR</x:v>
      </x:c>
      <x:c r="S143" s="2" t="str">
        <x:v>NR</x:v>
      </x:c>
      <x:c r="T143" s="2" t="str">
        <x:v>NR</x:v>
      </x:c>
      <x:c r="U143" s="2" t="str">
        <x:v>NR</x:v>
      </x:c>
      <x:c r="V143" s="6" t="str">
        <x:v>Task-specific coded evidence</x:v>
      </x:c>
      <x:c r="W143" s="6" t="str">
        <x:v>p. 9; Figure 9</x:v>
      </x:c>
      <x:c r="X143" s="6" t="str">
        <x:v>,→ the control structure diagram. ,→ shown in the control structure diagram. 3 An unsafe control action is linked to a A scenario must link to a single hazard. It 3</x:v>
      </x:c>
      <x:c r="Y143" s="6" t="str">
        <x:v>See task-step evidence references in the RQ2 supplement.</x:v>
      </x:c>
      <x:c r="Z143" s="2" t="str">
        <x:v>Accepted</x:v>
      </x:c>
      <x:c r="AA143" s="6" t="str">
        <x:v>NR</x:v>
      </x:c>
    </x:row>
    <x:row r="144" ht="76" customHeight="1">
      <x:c r="A144" s="2" t="str">
        <x:v>S17-T01-P3</x:v>
      </x:c>
      <x:c r="B144" s="2" t="str">
        <x:v>S17</x:v>
      </x:c>
      <x:c r="C144" s="2" t="str">
        <x:v>merged_1148-v1</x:v>
      </x:c>
      <x:c r="D144" s="2" t="str">
        <x:v>Final coding</x:v>
      </x:c>
      <x:c r="E144" s="2" t="str">
        <x:v>R1/R2</x:v>
      </x:c>
      <x:c r="F144" s="2" t="str">
        <x:v>S17-T01-PROC</x:v>
      </x:c>
      <x:c r="G144" s="2" t="str">
        <x:v>S17-T01</x:v>
      </x:c>
      <x:c r="H144" s="2" t="str">
        <x:v>3 Traceability inference</x:v>
      </x:c>
      <x:c r="I144" s="2" t="n">
        <x:v>3</x:v>
      </x:c>
      <x:c r="J144" s="2" t="str">
        <x:v>Common core</x:v>
      </x:c>
      <x:c r="K144" s="2" t="str">
        <x:v>Completed</x:v>
      </x:c>
      <x:c r="L144" s="2" t="str">
        <x:v>Explicitly evidenced</x:v>
      </x:c>
      <x:c r="M144" s="2" t="str">
        <x:v>NR</x:v>
      </x:c>
      <x:c r="N144" s="2" t="str">
        <x:v>NR</x:v>
      </x:c>
      <x:c r="O144" s="2" t="str">
        <x:v>NR</x:v>
      </x:c>
      <x:c r="P144" s="6" t="str">
        <x:v>NR</x:v>
      </x:c>
      <x:c r="Q144" s="2" t="str">
        <x:v>3 Traceability inference</x:v>
      </x:c>
      <x:c r="R144" s="6" t="str">
        <x:v>生成的UCA文本，每条UCA包含明确的危害链接。</x:v>
      </x:c>
      <x:c r="S144" s="2" t="str">
        <x:v>NR</x:v>
      </x:c>
      <x:c r="T144" s="2" t="str">
        <x:v>NR</x:v>
      </x:c>
      <x:c r="U144" s="2" t="str">
        <x:v>NR</x:v>
      </x:c>
      <x:c r="V144" s="6" t="str">
        <x:v>Task-specific coded evidence</x:v>
      </x:c>
      <x:c r="W144" s="6" t="str">
        <x:v>p. 9; Figure 9</x:v>
      </x:c>
      <x:c r="X144" s="6" t="str">
        <x:v>,→ the control structure diagram. ,→ shown in the control structure diagram. 3 An unsafe control action is linked to a A scenario must link to a single hazard. It 3</x:v>
      </x:c>
      <x:c r="Y144" s="6" t="str">
        <x:v>See task-step evidence references in the RQ2 supplement.</x:v>
      </x:c>
      <x:c r="Z144" s="2" t="str">
        <x:v>Accepted</x:v>
      </x:c>
      <x:c r="AA144" s="6" t="str">
        <x:v>NR</x:v>
      </x:c>
    </x:row>
    <x:row r="145" ht="76" customHeight="1">
      <x:c r="A145" s="2" t="str">
        <x:v>S17-T01-P4</x:v>
      </x:c>
      <x:c r="B145" s="2" t="str">
        <x:v>S17</x:v>
      </x:c>
      <x:c r="C145" s="2" t="str">
        <x:v>merged_1148-v1</x:v>
      </x:c>
      <x:c r="D145" s="2" t="str">
        <x:v>Final coding</x:v>
      </x:c>
      <x:c r="E145" s="2" t="str">
        <x:v>R1/R2</x:v>
      </x:c>
      <x:c r="F145" s="2" t="str">
        <x:v>S17-T01-PROC</x:v>
      </x:c>
      <x:c r="G145" s="2" t="str">
        <x:v>S17-T01</x:v>
      </x:c>
      <x:c r="H145" s="2" t="str">
        <x:v>4 Validation and explanation</x:v>
      </x:c>
      <x:c r="I145" s="2" t="n">
        <x:v>4</x:v>
      </x:c>
      <x:c r="J145" s="2" t="str">
        <x:v>Common core</x:v>
      </x:c>
      <x:c r="K145" s="2" t="str">
        <x:v>Completed</x:v>
      </x:c>
      <x:c r="L145" s="2" t="str">
        <x:v>Explicitly evidenced</x:v>
      </x:c>
      <x:c r="M145" s="2" t="str">
        <x:v>NR</x:v>
      </x:c>
      <x:c r="N145" s="2" t="str">
        <x:v>NR</x:v>
      </x:c>
      <x:c r="O145" s="2" t="str">
        <x:v>NR</x:v>
      </x:c>
      <x:c r="P145" s="6" t="str">
        <x:v>NR</x:v>
      </x:c>
      <x:c r="Q145" s="2" t="str">
        <x:v>4 Validation and explanation</x:v>
      </x:c>
      <x:c r="R145" s="6" t="str">
        <x:v>NR</x:v>
      </x:c>
      <x:c r="S145" s="2" t="str">
        <x:v>NR</x:v>
      </x:c>
      <x:c r="T145" s="2" t="str">
        <x:v>NR</x:v>
      </x:c>
      <x:c r="U145" s="2" t="str">
        <x:v>NR</x:v>
      </x:c>
      <x:c r="V145" s="6" t="str">
        <x:v>Task-specific coded evidence</x:v>
      </x:c>
      <x:c r="W145" s="6" t="str">
        <x:v>p. 9; Figure 9</x:v>
      </x:c>
      <x:c r="X145" s="6" t="str">
        <x:v>,→ the control structure diagram. ,→ shown in the control structure diagram. 3 An unsafe control action is linked to a A scenario must link to a single hazard. It 3</x:v>
      </x:c>
      <x:c r="Y145" s="6" t="str">
        <x:v>See task-step evidence references in the RQ2 supplement.</x:v>
      </x:c>
      <x:c r="Z145" s="2" t="str">
        <x:v>Accepted</x:v>
      </x:c>
      <x:c r="AA145" s="6" t="str">
        <x:v>NR</x:v>
      </x:c>
    </x:row>
    <x:row r="146" ht="76" customHeight="1">
      <x:c r="A146" s="2" t="str">
        <x:v>S17-T01-P5</x:v>
      </x:c>
      <x:c r="B146" s="2" t="str">
        <x:v>S17</x:v>
      </x:c>
      <x:c r="C146" s="2" t="str">
        <x:v>merged_1148-v1</x:v>
      </x:c>
      <x:c r="D146" s="2" t="str">
        <x:v>Final coding</x:v>
      </x:c>
      <x:c r="E146" s="2" t="str">
        <x:v>R1/R2</x:v>
      </x:c>
      <x:c r="F146" s="2" t="str">
        <x:v>S17-T01-PROC</x:v>
      </x:c>
      <x:c r="G146" s="2" t="str">
        <x:v>S17-T01</x:v>
      </x:c>
      <x:c r="H146" s="2" t="str">
        <x:v>5 Evolution and embedding</x:v>
      </x:c>
      <x:c r="I146" s="2" t="n">
        <x:v>5</x:v>
      </x:c>
      <x:c r="J146" s="2" t="str">
        <x:v>Common core</x:v>
      </x:c>
      <x:c r="K146" s="2" t="str">
        <x:v>Completed</x:v>
      </x:c>
      <x:c r="L146" s="2" t="str">
        <x:v>Not separately reported</x:v>
      </x:c>
      <x:c r="M146" s="2" t="str">
        <x:v>NR</x:v>
      </x:c>
      <x:c r="N146" s="2" t="str">
        <x:v>NR</x:v>
      </x:c>
      <x:c r="O146" s="2" t="str">
        <x:v>NR</x:v>
      </x:c>
      <x:c r="P146" s="6" t="str">
        <x:v>NR</x:v>
      </x:c>
      <x:c r="Q146" s="2" t="str">
        <x:v>NR</x:v>
      </x:c>
      <x:c r="R146" s="6" t="str">
        <x:v>NR</x:v>
      </x:c>
      <x:c r="S146" s="2" t="str">
        <x:v>NR</x:v>
      </x:c>
      <x:c r="T146" s="2" t="str">
        <x:v>NR</x:v>
      </x:c>
      <x:c r="U146" s="2" t="str">
        <x:v>NR</x:v>
      </x:c>
      <x:c r="V146" s="6" t="str">
        <x:v>Task-specific coded evidence</x:v>
      </x:c>
      <x:c r="W146" s="6" t="str">
        <x:v>p. 9; Figure 9</x:v>
      </x:c>
      <x:c r="X146" s="6" t="str">
        <x:v>,→ the control structure diagram. ,→ shown in the control structure diagram. 3 An unsafe control action is linked to a A scenario must link to a single hazard. It 3</x:v>
      </x:c>
      <x:c r="Y146" s="6" t="str">
        <x:v>See task-step evidence references in the RQ2 supplement.</x:v>
      </x:c>
      <x:c r="Z146" s="2" t="str">
        <x:v>Accepted</x:v>
      </x:c>
      <x:c r="AA146" s="6" t="str">
        <x:v>NR</x:v>
      </x:c>
    </x:row>
    <x:row r="147" ht="76" customHeight="1">
      <x:c r="A147" s="2" t="str">
        <x:v>S17-T02-P1</x:v>
      </x:c>
      <x:c r="B147" s="2" t="str">
        <x:v>S17</x:v>
      </x:c>
      <x:c r="C147" s="2" t="str">
        <x:v>merged_1148-v1</x:v>
      </x:c>
      <x:c r="D147" s="2" t="str">
        <x:v>Final coding</x:v>
      </x:c>
      <x:c r="E147" s="2" t="str">
        <x:v>R1/R2</x:v>
      </x:c>
      <x:c r="F147" s="2" t="str">
        <x:v>S17-T02-PROC</x:v>
      </x:c>
      <x:c r="G147" s="2" t="str">
        <x:v>S17-T02</x:v>
      </x:c>
      <x:c r="H147" s="2" t="str">
        <x:v>1 Artifact acquisition and scoping</x:v>
      </x:c>
      <x:c r="I147" s="2" t="n">
        <x:v>1</x:v>
      </x:c>
      <x:c r="J147" s="2" t="str">
        <x:v>Common core</x:v>
      </x:c>
      <x:c r="K147" s="2" t="str">
        <x:v>Completed</x:v>
      </x:c>
      <x:c r="L147" s="2" t="str">
        <x:v>Not separately reported</x:v>
      </x:c>
      <x:c r="M147" s="2" t="str">
        <x:v>NR</x:v>
      </x:c>
      <x:c r="N147" s="2" t="str">
        <x:v>NR</x:v>
      </x:c>
      <x:c r="O147" s="2" t="str">
        <x:v>NR</x:v>
      </x:c>
      <x:c r="P147" s="6" t="str">
        <x:v>NR</x:v>
      </x:c>
      <x:c r="Q147" s="2" t="str">
        <x:v>NR</x:v>
      </x:c>
      <x:c r="R147" s="6" t="str">
        <x:v>NR</x:v>
      </x:c>
      <x:c r="S147" s="2" t="str">
        <x:v>NR</x:v>
      </x:c>
      <x:c r="T147" s="2" t="str">
        <x:v>NR</x:v>
      </x:c>
      <x:c r="U147" s="2" t="str">
        <x:v>NR</x:v>
      </x:c>
      <x:c r="V147" s="6" t="str">
        <x:v>Task-specific coded evidence</x:v>
      </x:c>
      <x:c r="W147" s="6" t="str">
        <x:v>p. 9; Figure 10</x:v>
      </x:c>
      <x:c r="X147" s="6" t="str">
        <x:v>,→ shown in the control structure diagram. 3 A scenario must link to a single hazard. It</x:v>
      </x:c>
      <x:c r="Y147" s="6" t="str">
        <x:v>See task-step evidence references in the RQ2 supplement.</x:v>
      </x:c>
      <x:c r="Z147" s="2" t="str">
        <x:v>Accepted</x:v>
      </x:c>
      <x:c r="AA147" s="6" t="str">
        <x:v>NR</x:v>
      </x:c>
    </x:row>
    <x:row r="148" ht="76" customHeight="1">
      <x:c r="A148" s="2" t="str">
        <x:v>S17-T02-P2</x:v>
      </x:c>
      <x:c r="B148" s="2" t="str">
        <x:v>S17</x:v>
      </x:c>
      <x:c r="C148" s="2" t="str">
        <x:v>merged_1148-v1</x:v>
      </x:c>
      <x:c r="D148" s="2" t="str">
        <x:v>Final coding</x:v>
      </x:c>
      <x:c r="E148" s="2" t="str">
        <x:v>R1/R2</x:v>
      </x:c>
      <x:c r="F148" s="2" t="str">
        <x:v>S17-T02-PROC</x:v>
      </x:c>
      <x:c r="G148" s="2" t="str">
        <x:v>S17-T02</x:v>
      </x:c>
      <x:c r="H148" s="2" t="str">
        <x:v>2 Semantic contextualization</x:v>
      </x:c>
      <x:c r="I148" s="2" t="n">
        <x:v>2</x:v>
      </x:c>
      <x:c r="J148" s="2" t="str">
        <x:v>Common core</x:v>
      </x:c>
      <x:c r="K148" s="2" t="str">
        <x:v>Completed</x:v>
      </x:c>
      <x:c r="L148" s="2" t="str">
        <x:v>Not separately reported</x:v>
      </x:c>
      <x:c r="M148" s="2" t="str">
        <x:v>NR</x:v>
      </x:c>
      <x:c r="N148" s="2" t="str">
        <x:v>NR</x:v>
      </x:c>
      <x:c r="O148" s="2" t="str">
        <x:v>NR</x:v>
      </x:c>
      <x:c r="P148" s="6" t="str">
        <x:v>NR</x:v>
      </x:c>
      <x:c r="Q148" s="2" t="str">
        <x:v>NR</x:v>
      </x:c>
      <x:c r="R148" s="6" t="str">
        <x:v>NR</x:v>
      </x:c>
      <x:c r="S148" s="2" t="str">
        <x:v>NR</x:v>
      </x:c>
      <x:c r="T148" s="2" t="str">
        <x:v>NR</x:v>
      </x:c>
      <x:c r="U148" s="2" t="str">
        <x:v>NR</x:v>
      </x:c>
      <x:c r="V148" s="6" t="str">
        <x:v>Task-specific coded evidence</x:v>
      </x:c>
      <x:c r="W148" s="6" t="str">
        <x:v>p. 9; Figure 10</x:v>
      </x:c>
      <x:c r="X148" s="6" t="str">
        <x:v>,→ shown in the control structure diagram. 3 A scenario must link to a single hazard. It</x:v>
      </x:c>
      <x:c r="Y148" s="6" t="str">
        <x:v>See task-step evidence references in the RQ2 supplement.</x:v>
      </x:c>
      <x:c r="Z148" s="2" t="str">
        <x:v>Accepted</x:v>
      </x:c>
      <x:c r="AA148" s="6" t="str">
        <x:v>NR</x:v>
      </x:c>
    </x:row>
    <x:row r="149" ht="76" customHeight="1">
      <x:c r="A149" s="2" t="str">
        <x:v>S17-T02-P3</x:v>
      </x:c>
      <x:c r="B149" s="2" t="str">
        <x:v>S17</x:v>
      </x:c>
      <x:c r="C149" s="2" t="str">
        <x:v>merged_1148-v1</x:v>
      </x:c>
      <x:c r="D149" s="2" t="str">
        <x:v>Final coding</x:v>
      </x:c>
      <x:c r="E149" s="2" t="str">
        <x:v>R1/R2</x:v>
      </x:c>
      <x:c r="F149" s="2" t="str">
        <x:v>S17-T02-PROC</x:v>
      </x:c>
      <x:c r="G149" s="2" t="str">
        <x:v>S17-T02</x:v>
      </x:c>
      <x:c r="H149" s="2" t="str">
        <x:v>3 Traceability inference</x:v>
      </x:c>
      <x:c r="I149" s="2" t="n">
        <x:v>3</x:v>
      </x:c>
      <x:c r="J149" s="2" t="str">
        <x:v>Common core</x:v>
      </x:c>
      <x:c r="K149" s="2" t="str">
        <x:v>Completed</x:v>
      </x:c>
      <x:c r="L149" s="2" t="str">
        <x:v>Explicitly evidenced</x:v>
      </x:c>
      <x:c r="M149" s="2" t="str">
        <x:v>NR</x:v>
      </x:c>
      <x:c r="N149" s="2" t="str">
        <x:v>NR</x:v>
      </x:c>
      <x:c r="O149" s="2" t="str">
        <x:v>NR</x:v>
      </x:c>
      <x:c r="P149" s="6" t="str">
        <x:v>NR</x:v>
      </x:c>
      <x:c r="Q149" s="2" t="str">
        <x:v>3 Traceability inference</x:v>
      </x:c>
      <x:c r="R149" s="6" t="str">
        <x:v>生成的损失场景文本，包含危害链接，部分含UCA链接。</x:v>
      </x:c>
      <x:c r="S149" s="2" t="str">
        <x:v>NR</x:v>
      </x:c>
      <x:c r="T149" s="2" t="str">
        <x:v>NR</x:v>
      </x:c>
      <x:c r="U149" s="2" t="str">
        <x:v>NR</x:v>
      </x:c>
      <x:c r="V149" s="6" t="str">
        <x:v>Task-specific coded evidence</x:v>
      </x:c>
      <x:c r="W149" s="6" t="str">
        <x:v>p. 9; Figure 10</x:v>
      </x:c>
      <x:c r="X149" s="6" t="str">
        <x:v>,→ shown in the control structure diagram. 3 A scenario must link to a single hazard. It</x:v>
      </x:c>
      <x:c r="Y149" s="6" t="str">
        <x:v>See task-step evidence references in the RQ2 supplement.</x:v>
      </x:c>
      <x:c r="Z149" s="2" t="str">
        <x:v>Accepted</x:v>
      </x:c>
      <x:c r="AA149" s="6" t="str">
        <x:v>NR</x:v>
      </x:c>
    </x:row>
    <x:row r="150" ht="76" customHeight="1">
      <x:c r="A150" s="2" t="str">
        <x:v>S17-T02-P4</x:v>
      </x:c>
      <x:c r="B150" s="2" t="str">
        <x:v>S17</x:v>
      </x:c>
      <x:c r="C150" s="2" t="str">
        <x:v>merged_1148-v1</x:v>
      </x:c>
      <x:c r="D150" s="2" t="str">
        <x:v>Final coding</x:v>
      </x:c>
      <x:c r="E150" s="2" t="str">
        <x:v>R1/R2</x:v>
      </x:c>
      <x:c r="F150" s="2" t="str">
        <x:v>S17-T02-PROC</x:v>
      </x:c>
      <x:c r="G150" s="2" t="str">
        <x:v>S17-T02</x:v>
      </x:c>
      <x:c r="H150" s="2" t="str">
        <x:v>4 Validation and explanation</x:v>
      </x:c>
      <x:c r="I150" s="2" t="n">
        <x:v>4</x:v>
      </x:c>
      <x:c r="J150" s="2" t="str">
        <x:v>Common core</x:v>
      </x:c>
      <x:c r="K150" s="2" t="str">
        <x:v>Completed</x:v>
      </x:c>
      <x:c r="L150" s="2" t="str">
        <x:v>Explicitly evidenced</x:v>
      </x:c>
      <x:c r="M150" s="2" t="str">
        <x:v>NR</x:v>
      </x:c>
      <x:c r="N150" s="2" t="str">
        <x:v>NR</x:v>
      </x:c>
      <x:c r="O150" s="2" t="str">
        <x:v>NR</x:v>
      </x:c>
      <x:c r="P150" s="6" t="str">
        <x:v>NR</x:v>
      </x:c>
      <x:c r="Q150" s="2" t="str">
        <x:v>4 Validation and explanation</x:v>
      </x:c>
      <x:c r="R150" s="6" t="str">
        <x:v>NR</x:v>
      </x:c>
      <x:c r="S150" s="2" t="str">
        <x:v>NR</x:v>
      </x:c>
      <x:c r="T150" s="2" t="str">
        <x:v>NR</x:v>
      </x:c>
      <x:c r="U150" s="2" t="str">
        <x:v>NR</x:v>
      </x:c>
      <x:c r="V150" s="6" t="str">
        <x:v>Task-specific coded evidence</x:v>
      </x:c>
      <x:c r="W150" s="6" t="str">
        <x:v>p. 9; Figure 10</x:v>
      </x:c>
      <x:c r="X150" s="6" t="str">
        <x:v>,→ shown in the control structure diagram. 3 A scenario must link to a single hazard. It</x:v>
      </x:c>
      <x:c r="Y150" s="6" t="str">
        <x:v>See task-step evidence references in the RQ2 supplement.</x:v>
      </x:c>
      <x:c r="Z150" s="2" t="str">
        <x:v>Accepted</x:v>
      </x:c>
      <x:c r="AA150" s="6" t="str">
        <x:v>NR</x:v>
      </x:c>
    </x:row>
    <x:row r="151" ht="76" customHeight="1">
      <x:c r="A151" s="2" t="str">
        <x:v>S17-T02-P5</x:v>
      </x:c>
      <x:c r="B151" s="2" t="str">
        <x:v>S17</x:v>
      </x:c>
      <x:c r="C151" s="2" t="str">
        <x:v>merged_1148-v1</x:v>
      </x:c>
      <x:c r="D151" s="2" t="str">
        <x:v>Final coding</x:v>
      </x:c>
      <x:c r="E151" s="2" t="str">
        <x:v>R1/R2</x:v>
      </x:c>
      <x:c r="F151" s="2" t="str">
        <x:v>S17-T02-PROC</x:v>
      </x:c>
      <x:c r="G151" s="2" t="str">
        <x:v>S17-T02</x:v>
      </x:c>
      <x:c r="H151" s="2" t="str">
        <x:v>5 Evolution and embedding</x:v>
      </x:c>
      <x:c r="I151" s="2" t="n">
        <x:v>5</x:v>
      </x:c>
      <x:c r="J151" s="2" t="str">
        <x:v>Common core</x:v>
      </x:c>
      <x:c r="K151" s="2" t="str">
        <x:v>Completed</x:v>
      </x:c>
      <x:c r="L151" s="2" t="str">
        <x:v>Not separately reported</x:v>
      </x:c>
      <x:c r="M151" s="2" t="str">
        <x:v>NR</x:v>
      </x:c>
      <x:c r="N151" s="2" t="str">
        <x:v>NR</x:v>
      </x:c>
      <x:c r="O151" s="2" t="str">
        <x:v>NR</x:v>
      </x:c>
      <x:c r="P151" s="6" t="str">
        <x:v>NR</x:v>
      </x:c>
      <x:c r="Q151" s="2" t="str">
        <x:v>NR</x:v>
      </x:c>
      <x:c r="R151" s="6" t="str">
        <x:v>NR</x:v>
      </x:c>
      <x:c r="S151" s="2" t="str">
        <x:v>NR</x:v>
      </x:c>
      <x:c r="T151" s="2" t="str">
        <x:v>NR</x:v>
      </x:c>
      <x:c r="U151" s="2" t="str">
        <x:v>NR</x:v>
      </x:c>
      <x:c r="V151" s="6" t="str">
        <x:v>Task-specific coded evidence</x:v>
      </x:c>
      <x:c r="W151" s="6" t="str">
        <x:v>p. 9; Figure 10</x:v>
      </x:c>
      <x:c r="X151" s="6" t="str">
        <x:v>,→ shown in the control structure diagram. 3 A scenario must link to a single hazard. It</x:v>
      </x:c>
      <x:c r="Y151" s="6" t="str">
        <x:v>See task-step evidence references in the RQ2 supplement.</x:v>
      </x:c>
      <x:c r="Z151" s="2" t="str">
        <x:v>Accepted</x:v>
      </x:c>
      <x:c r="AA151" s="6" t="str">
        <x:v>NR</x:v>
      </x:c>
    </x:row>
    <x:row r="152" ht="76" customHeight="1">
      <x:c r="A152" s="2" t="str">
        <x:v>S17-T03-P1</x:v>
      </x:c>
      <x:c r="B152" s="2" t="str">
        <x:v>S17</x:v>
      </x:c>
      <x:c r="C152" s="2" t="str">
        <x:v>merged_1148-v1</x:v>
      </x:c>
      <x:c r="D152" s="2" t="str">
        <x:v>Final coding</x:v>
      </x:c>
      <x:c r="E152" s="2" t="str">
        <x:v>R1/R2</x:v>
      </x:c>
      <x:c r="F152" s="2" t="str">
        <x:v>S17-T03-PROC</x:v>
      </x:c>
      <x:c r="G152" s="2" t="str">
        <x:v>S17-T03</x:v>
      </x:c>
      <x:c r="H152" s="2" t="str">
        <x:v>1 Artifact acquisition and scoping</x:v>
      </x:c>
      <x:c r="I152" s="2" t="n">
        <x:v>1</x:v>
      </x:c>
      <x:c r="J152" s="2" t="str">
        <x:v>Common core</x:v>
      </x:c>
      <x:c r="K152" s="2" t="str">
        <x:v>Completed</x:v>
      </x:c>
      <x:c r="L152" s="2" t="str">
        <x:v>Not separately reported</x:v>
      </x:c>
      <x:c r="M152" s="2" t="str">
        <x:v>NR</x:v>
      </x:c>
      <x:c r="N152" s="2" t="str">
        <x:v>NR</x:v>
      </x:c>
      <x:c r="O152" s="2" t="str">
        <x:v>NR</x:v>
      </x:c>
      <x:c r="P152" s="6" t="str">
        <x:v>NR</x:v>
      </x:c>
      <x:c r="Q152" s="2" t="str">
        <x:v>NR</x:v>
      </x:c>
      <x:c r="R152" s="6" t="str">
        <x:v>NR</x:v>
      </x:c>
      <x:c r="S152" s="2" t="str">
        <x:v>NR</x:v>
      </x:c>
      <x:c r="T152" s="2" t="str">
        <x:v>NR</x:v>
      </x:c>
      <x:c r="U152" s="2" t="str">
        <x:v>NR</x:v>
      </x:c>
      <x:c r="V152" s="6" t="str">
        <x:v>Task-specific coded evidence</x:v>
      </x:c>
      <x:c r="W152" s="6" t="str">
        <x:v>p. 6; Section IV-B</x:v>
      </x:c>
      <x:c r="X152" s="6" t="str">
        <x:v>For each pair of possible linkages, we prompt an LLM to check if the two should be recommended for linkages.</x:v>
      </x:c>
      <x:c r="Y152" s="6" t="str">
        <x:v>See task-step evidence references in the RQ2 supplement.</x:v>
      </x:c>
      <x:c r="Z152" s="2" t="str">
        <x:v>Accepted</x:v>
      </x:c>
      <x:c r="AA152" s="6" t="str">
        <x:v>NR</x:v>
      </x:c>
    </x:row>
    <x:row r="153" ht="76" customHeight="1">
      <x:c r="A153" s="2" t="str">
        <x:v>S17-T03-P2</x:v>
      </x:c>
      <x:c r="B153" s="2" t="str">
        <x:v>S17</x:v>
      </x:c>
      <x:c r="C153" s="2" t="str">
        <x:v>merged_1148-v1</x:v>
      </x:c>
      <x:c r="D153" s="2" t="str">
        <x:v>Final coding</x:v>
      </x:c>
      <x:c r="E153" s="2" t="str">
        <x:v>R1/R2</x:v>
      </x:c>
      <x:c r="F153" s="2" t="str">
        <x:v>S17-T03-PROC</x:v>
      </x:c>
      <x:c r="G153" s="2" t="str">
        <x:v>S17-T03</x:v>
      </x:c>
      <x:c r="H153" s="2" t="str">
        <x:v>2 Semantic contextualization</x:v>
      </x:c>
      <x:c r="I153" s="2" t="n">
        <x:v>2</x:v>
      </x:c>
      <x:c r="J153" s="2" t="str">
        <x:v>Common core</x:v>
      </x:c>
      <x:c r="K153" s="2" t="str">
        <x:v>Completed</x:v>
      </x:c>
      <x:c r="L153" s="2" t="str">
        <x:v>Not separately reported</x:v>
      </x:c>
      <x:c r="M153" s="2" t="str">
        <x:v>NR</x:v>
      </x:c>
      <x:c r="N153" s="2" t="str">
        <x:v>NR</x:v>
      </x:c>
      <x:c r="O153" s="2" t="str">
        <x:v>NR</x:v>
      </x:c>
      <x:c r="P153" s="6" t="str">
        <x:v>NR</x:v>
      </x:c>
      <x:c r="Q153" s="2" t="str">
        <x:v>NR</x:v>
      </x:c>
      <x:c r="R153" s="6" t="str">
        <x:v>NR</x:v>
      </x:c>
      <x:c r="S153" s="2" t="str">
        <x:v>NR</x:v>
      </x:c>
      <x:c r="T153" s="2" t="str">
        <x:v>NR</x:v>
      </x:c>
      <x:c r="U153" s="2" t="str">
        <x:v>NR</x:v>
      </x:c>
      <x:c r="V153" s="6" t="str">
        <x:v>Task-specific coded evidence</x:v>
      </x:c>
      <x:c r="W153" s="6" t="str">
        <x:v>p. 6; Section IV-B</x:v>
      </x:c>
      <x:c r="X153" s="6" t="str">
        <x:v>For each pair of possible linkages, we prompt an LLM to check if the two should be recommended for linkages.</x:v>
      </x:c>
      <x:c r="Y153" s="6" t="str">
        <x:v>See task-step evidence references in the RQ2 supplement.</x:v>
      </x:c>
      <x:c r="Z153" s="2" t="str">
        <x:v>Accepted</x:v>
      </x:c>
      <x:c r="AA153" s="6" t="str">
        <x:v>NR</x:v>
      </x:c>
    </x:row>
    <x:row r="154" ht="76" customHeight="1">
      <x:c r="A154" s="2" t="str">
        <x:v>S17-T03-P3</x:v>
      </x:c>
      <x:c r="B154" s="2" t="str">
        <x:v>S17</x:v>
      </x:c>
      <x:c r="C154" s="2" t="str">
        <x:v>merged_1148-v1</x:v>
      </x:c>
      <x:c r="D154" s="2" t="str">
        <x:v>Final coding</x:v>
      </x:c>
      <x:c r="E154" s="2" t="str">
        <x:v>R1/R2</x:v>
      </x:c>
      <x:c r="F154" s="2" t="str">
        <x:v>S17-T03-PROC</x:v>
      </x:c>
      <x:c r="G154" s="2" t="str">
        <x:v>S17-T03</x:v>
      </x:c>
      <x:c r="H154" s="2" t="str">
        <x:v>3 Traceability inference</x:v>
      </x:c>
      <x:c r="I154" s="2" t="n">
        <x:v>3</x:v>
      </x:c>
      <x:c r="J154" s="2" t="str">
        <x:v>Common core</x:v>
      </x:c>
      <x:c r="K154" s="2" t="str">
        <x:v>Completed</x:v>
      </x:c>
      <x:c r="L154" s="2" t="str">
        <x:v>Explicitly evidenced</x:v>
      </x:c>
      <x:c r="M154" s="2" t="str">
        <x:v>NR</x:v>
      </x:c>
      <x:c r="N154" s="2" t="str">
        <x:v>NR</x:v>
      </x:c>
      <x:c r="O154" s="2" t="str">
        <x:v>NR</x:v>
      </x:c>
      <x:c r="P154" s="6" t="str">
        <x:v>NR</x:v>
      </x:c>
      <x:c r="Q154" s="2" t="str">
        <x:v>3 Traceability inference</x:v>
      </x:c>
      <x:c r="R154" s="6" t="str">
        <x:v>链接推荐（应链接/不应链接），与手册标注对比验证。</x:v>
      </x:c>
      <x:c r="S154" s="2" t="str">
        <x:v>NR</x:v>
      </x:c>
      <x:c r="T154" s="2" t="str">
        <x:v>NR</x:v>
      </x:c>
      <x:c r="U154" s="2" t="str">
        <x:v>NR</x:v>
      </x:c>
      <x:c r="V154" s="6" t="str">
        <x:v>Task-specific coded evidence</x:v>
      </x:c>
      <x:c r="W154" s="6" t="str">
        <x:v>p. 6; Section IV-B</x:v>
      </x:c>
      <x:c r="X154" s="6" t="str">
        <x:v>For each pair of possible linkages, we prompt an LLM to check if the two should be recommended for linkages.</x:v>
      </x:c>
      <x:c r="Y154" s="6" t="str">
        <x:v>See task-step evidence references in the RQ2 supplement.</x:v>
      </x:c>
      <x:c r="Z154" s="2" t="str">
        <x:v>Accepted</x:v>
      </x:c>
      <x:c r="AA154" s="6" t="str">
        <x:v>NR</x:v>
      </x:c>
    </x:row>
    <x:row r="155" ht="76" customHeight="1">
      <x:c r="A155" s="2" t="str">
        <x:v>S17-T03-P4</x:v>
      </x:c>
      <x:c r="B155" s="2" t="str">
        <x:v>S17</x:v>
      </x:c>
      <x:c r="C155" s="2" t="str">
        <x:v>merged_1148-v1</x:v>
      </x:c>
      <x:c r="D155" s="2" t="str">
        <x:v>Final coding</x:v>
      </x:c>
      <x:c r="E155" s="2" t="str">
        <x:v>R1/R2</x:v>
      </x:c>
      <x:c r="F155" s="2" t="str">
        <x:v>S17-T03-PROC</x:v>
      </x:c>
      <x:c r="G155" s="2" t="str">
        <x:v>S17-T03</x:v>
      </x:c>
      <x:c r="H155" s="2" t="str">
        <x:v>4 Validation and explanation</x:v>
      </x:c>
      <x:c r="I155" s="2" t="n">
        <x:v>4</x:v>
      </x:c>
      <x:c r="J155" s="2" t="str">
        <x:v>Common core</x:v>
      </x:c>
      <x:c r="K155" s="2" t="str">
        <x:v>Completed</x:v>
      </x:c>
      <x:c r="L155" s="2" t="str">
        <x:v>Not separately reported</x:v>
      </x:c>
      <x:c r="M155" s="2" t="str">
        <x:v>NR</x:v>
      </x:c>
      <x:c r="N155" s="2" t="str">
        <x:v>NR</x:v>
      </x:c>
      <x:c r="O155" s="2" t="str">
        <x:v>NR</x:v>
      </x:c>
      <x:c r="P155" s="6" t="str">
        <x:v>NR</x:v>
      </x:c>
      <x:c r="Q155" s="2" t="str">
        <x:v>NR</x:v>
      </x:c>
      <x:c r="R155" s="6" t="str">
        <x:v>NR</x:v>
      </x:c>
      <x:c r="S155" s="2" t="str">
        <x:v>NR</x:v>
      </x:c>
      <x:c r="T155" s="2" t="str">
        <x:v>NR</x:v>
      </x:c>
      <x:c r="U155" s="2" t="str">
        <x:v>NR</x:v>
      </x:c>
      <x:c r="V155" s="6" t="str">
        <x:v>Task-specific coded evidence</x:v>
      </x:c>
      <x:c r="W155" s="6" t="str">
        <x:v>p. 6; Section IV-B</x:v>
      </x:c>
      <x:c r="X155" s="6" t="str">
        <x:v>For each pair of possible linkages, we prompt an LLM to check if the two should be recommended for linkages.</x:v>
      </x:c>
      <x:c r="Y155" s="6" t="str">
        <x:v>See task-step evidence references in the RQ2 supplement.</x:v>
      </x:c>
      <x:c r="Z155" s="2" t="str">
        <x:v>Accepted</x:v>
      </x:c>
      <x:c r="AA155" s="6" t="str">
        <x:v>NR</x:v>
      </x:c>
    </x:row>
    <x:row r="156" ht="76" customHeight="1">
      <x:c r="A156" s="2" t="str">
        <x:v>S17-T03-P5</x:v>
      </x:c>
      <x:c r="B156" s="2" t="str">
        <x:v>S17</x:v>
      </x:c>
      <x:c r="C156" s="2" t="str">
        <x:v>merged_1148-v1</x:v>
      </x:c>
      <x:c r="D156" s="2" t="str">
        <x:v>Final coding</x:v>
      </x:c>
      <x:c r="E156" s="2" t="str">
        <x:v>R1/R2</x:v>
      </x:c>
      <x:c r="F156" s="2" t="str">
        <x:v>S17-T03-PROC</x:v>
      </x:c>
      <x:c r="G156" s="2" t="str">
        <x:v>S17-T03</x:v>
      </x:c>
      <x:c r="H156" s="2" t="str">
        <x:v>5 Evolution and embedding</x:v>
      </x:c>
      <x:c r="I156" s="2" t="n">
        <x:v>5</x:v>
      </x:c>
      <x:c r="J156" s="2" t="str">
        <x:v>Common core</x:v>
      </x:c>
      <x:c r="K156" s="2" t="str">
        <x:v>Completed</x:v>
      </x:c>
      <x:c r="L156" s="2" t="str">
        <x:v>Not separately reported</x:v>
      </x:c>
      <x:c r="M156" s="2" t="str">
        <x:v>NR</x:v>
      </x:c>
      <x:c r="N156" s="2" t="str">
        <x:v>NR</x:v>
      </x:c>
      <x:c r="O156" s="2" t="str">
        <x:v>NR</x:v>
      </x:c>
      <x:c r="P156" s="6" t="str">
        <x:v>NR</x:v>
      </x:c>
      <x:c r="Q156" s="2" t="str">
        <x:v>NR</x:v>
      </x:c>
      <x:c r="R156" s="6" t="str">
        <x:v>NR</x:v>
      </x:c>
      <x:c r="S156" s="2" t="str">
        <x:v>NR</x:v>
      </x:c>
      <x:c r="T156" s="2" t="str">
        <x:v>NR</x:v>
      </x:c>
      <x:c r="U156" s="2" t="str">
        <x:v>NR</x:v>
      </x:c>
      <x:c r="V156" s="6" t="str">
        <x:v>Task-specific coded evidence</x:v>
      </x:c>
      <x:c r="W156" s="6" t="str">
        <x:v>p. 6; Section IV-B</x:v>
      </x:c>
      <x:c r="X156" s="6" t="str">
        <x:v>For each pair of possible linkages, we prompt an LLM to check if the two should be recommended for linkages.</x:v>
      </x:c>
      <x:c r="Y156" s="6" t="str">
        <x:v>See task-step evidence references in the RQ2 supplement.</x:v>
      </x:c>
      <x:c r="Z156" s="2" t="str">
        <x:v>Accepted</x:v>
      </x:c>
      <x:c r="AA156" s="6" t="str">
        <x:v>NR</x:v>
      </x:c>
    </x:row>
    <x:row r="157" ht="76" customHeight="1">
      <x:c r="A157" s="2" t="str">
        <x:v>S18-T01-P1</x:v>
      </x:c>
      <x:c r="B157" s="2" t="str">
        <x:v>S18</x:v>
      </x:c>
      <x:c r="C157" s="2" t="str">
        <x:v>merged_1149</x:v>
      </x:c>
      <x:c r="D157" s="2" t="str">
        <x:v>Final coding</x:v>
      </x:c>
      <x:c r="E157" s="2" t="str">
        <x:v>R1/R2</x:v>
      </x:c>
      <x:c r="F157" s="2" t="str">
        <x:v>S18-T01-PROC</x:v>
      </x:c>
      <x:c r="G157" s="2" t="str">
        <x:v>S18-T01</x:v>
      </x:c>
      <x:c r="H157" s="2" t="str">
        <x:v>1 Artifact acquisition and scoping</x:v>
      </x:c>
      <x:c r="I157" s="2" t="n">
        <x:v>1</x:v>
      </x:c>
      <x:c r="J157" s="2" t="str">
        <x:v>Common core</x:v>
      </x:c>
      <x:c r="K157" s="2" t="str">
        <x:v>Completed</x:v>
      </x:c>
      <x:c r="L157" s="2" t="str">
        <x:v>Not separately reported</x:v>
      </x:c>
      <x:c r="M157" s="2" t="str">
        <x:v>NR</x:v>
      </x:c>
      <x:c r="N157" s="2" t="str">
        <x:v>NR</x:v>
      </x:c>
      <x:c r="O157" s="2" t="str">
        <x:v>NR</x:v>
      </x:c>
      <x:c r="P157" s="6" t="str">
        <x:v>NR</x:v>
      </x:c>
      <x:c r="Q157" s="2" t="str">
        <x:v>NR</x:v>
      </x:c>
      <x:c r="R157" s="6" t="str">
        <x:v>NR</x:v>
      </x:c>
      <x:c r="S157" s="2" t="str">
        <x:v>NR</x:v>
      </x:c>
      <x:c r="T157" s="2" t="str">
        <x:v>NR</x:v>
      </x:c>
      <x:c r="U157" s="2" t="str">
        <x:v>NR</x:v>
      </x:c>
      <x:c r="V157" s="6" t="str">
        <x:v>Task-specific coded evidence</x:v>
      </x:c>
      <x:c r="W157" s="6" t="str">
        <x:v>p. 3; Section 1 (Contributions)</x:v>
      </x:c>
      <x:c r="X157" s="6" t="str">
        <x:v>predicting trace links between requirements and provisions</x:v>
      </x:c>
      <x:c r="Y157" s="6" t="str">
        <x:v>See task-step evidence references in the RQ2 supplement.</x:v>
      </x:c>
      <x:c r="Z157" s="2" t="str">
        <x:v>Accepted</x:v>
      </x:c>
      <x:c r="AA157" s="6" t="str">
        <x:v>NR</x:v>
      </x:c>
    </x:row>
    <x:row r="158" ht="76" customHeight="1">
      <x:c r="A158" s="2" t="str">
        <x:v>S18-T01-P2</x:v>
      </x:c>
      <x:c r="B158" s="2" t="str">
        <x:v>S18</x:v>
      </x:c>
      <x:c r="C158" s="2" t="str">
        <x:v>merged_1149</x:v>
      </x:c>
      <x:c r="D158" s="2" t="str">
        <x:v>Final coding</x:v>
      </x:c>
      <x:c r="E158" s="2" t="str">
        <x:v>R1/R2</x:v>
      </x:c>
      <x:c r="F158" s="2" t="str">
        <x:v>S18-T01-PROC</x:v>
      </x:c>
      <x:c r="G158" s="2" t="str">
        <x:v>S18-T01</x:v>
      </x:c>
      <x:c r="H158" s="2" t="str">
        <x:v>2 Semantic contextualization</x:v>
      </x:c>
      <x:c r="I158" s="2" t="n">
        <x:v>2</x:v>
      </x:c>
      <x:c r="J158" s="2" t="str">
        <x:v>Common core</x:v>
      </x:c>
      <x:c r="K158" s="2" t="str">
        <x:v>Completed</x:v>
      </x:c>
      <x:c r="L158" s="2" t="str">
        <x:v>Not separately reported</x:v>
      </x:c>
      <x:c r="M158" s="2" t="str">
        <x:v>NR</x:v>
      </x:c>
      <x:c r="N158" s="2" t="str">
        <x:v>NR</x:v>
      </x:c>
      <x:c r="O158" s="2" t="str">
        <x:v>NR</x:v>
      </x:c>
      <x:c r="P158" s="6" t="str">
        <x:v>NR</x:v>
      </x:c>
      <x:c r="Q158" s="2" t="str">
        <x:v>NR</x:v>
      </x:c>
      <x:c r="R158" s="6" t="str">
        <x:v>NR</x:v>
      </x:c>
      <x:c r="S158" s="2" t="str">
        <x:v>NR</x:v>
      </x:c>
      <x:c r="T158" s="2" t="str">
        <x:v>NR</x:v>
      </x:c>
      <x:c r="U158" s="2" t="str">
        <x:v>NR</x:v>
      </x:c>
      <x:c r="V158" s="6" t="str">
        <x:v>Task-specific coded evidence</x:v>
      </x:c>
      <x:c r="W158" s="6" t="str">
        <x:v>p. 3; Section 1 (Contributions)</x:v>
      </x:c>
      <x:c r="X158" s="6" t="str">
        <x:v>predicting trace links between requirements and provisions</x:v>
      </x:c>
      <x:c r="Y158" s="6" t="str">
        <x:v>See task-step evidence references in the RQ2 supplement.</x:v>
      </x:c>
      <x:c r="Z158" s="2" t="str">
        <x:v>Accepted</x:v>
      </x:c>
      <x:c r="AA158" s="6" t="str">
        <x:v>NR</x:v>
      </x:c>
    </x:row>
    <x:row r="159" ht="76" customHeight="1">
      <x:c r="A159" s="2" t="str">
        <x:v>S18-T01-P3</x:v>
      </x:c>
      <x:c r="B159" s="2" t="str">
        <x:v>S18</x:v>
      </x:c>
      <x:c r="C159" s="2" t="str">
        <x:v>merged_1149</x:v>
      </x:c>
      <x:c r="D159" s="2" t="str">
        <x:v>Final coding</x:v>
      </x:c>
      <x:c r="E159" s="2" t="str">
        <x:v>R1/R2</x:v>
      </x:c>
      <x:c r="F159" s="2" t="str">
        <x:v>S18-T01-PROC</x:v>
      </x:c>
      <x:c r="G159" s="2" t="str">
        <x:v>S18-T01</x:v>
      </x:c>
      <x:c r="H159" s="2" t="str">
        <x:v>3 Traceability inference</x:v>
      </x:c>
      <x:c r="I159" s="2" t="n">
        <x:v>3</x:v>
      </x:c>
      <x:c r="J159" s="2" t="str">
        <x:v>Common core</x:v>
      </x:c>
      <x:c r="K159" s="2" t="str">
        <x:v>Completed</x:v>
      </x:c>
      <x:c r="L159" s="2" t="str">
        <x:v>Explicitly evidenced</x:v>
      </x:c>
      <x:c r="M159" s="2" t="str">
        <x:v>NR</x:v>
      </x:c>
      <x:c r="N159" s="2" t="str">
        <x:v>NR</x:v>
      </x:c>
      <x:c r="O159" s="2" t="str">
        <x:v>NR</x:v>
      </x:c>
      <x:c r="P159" s="6" t="str">
        <x:v>NR</x:v>
      </x:c>
      <x:c r="Q159" s="2" t="str">
        <x:v>3 Traceability inference</x:v>
      </x:c>
      <x:c r="R159" s="6" t="str">
        <x:v>二元分类：追溯链接（→）或非追溯链接（̸→）。</x:v>
      </x:c>
      <x:c r="S159" s="2" t="str">
        <x:v>NR</x:v>
      </x:c>
      <x:c r="T159" s="2" t="str">
        <x:v>NR</x:v>
      </x:c>
      <x:c r="U159" s="2" t="str">
        <x:v>NR</x:v>
      </x:c>
      <x:c r="V159" s="6" t="str">
        <x:v>Task-specific coded evidence</x:v>
      </x:c>
      <x:c r="W159" s="6" t="str">
        <x:v>p. 3; Section 1 (Contributions)</x:v>
      </x:c>
      <x:c r="X159" s="6" t="str">
        <x:v>predicting trace links between requirements and provisions</x:v>
      </x:c>
      <x:c r="Y159" s="6" t="str">
        <x:v>See task-step evidence references in the RQ2 supplement.</x:v>
      </x:c>
      <x:c r="Z159" s="2" t="str">
        <x:v>Accepted</x:v>
      </x:c>
      <x:c r="AA159" s="6" t="str">
        <x:v>NR</x:v>
      </x:c>
    </x:row>
    <x:row r="160" ht="76" customHeight="1">
      <x:c r="A160" s="2" t="str">
        <x:v>S18-T01-P4</x:v>
      </x:c>
      <x:c r="B160" s="2" t="str">
        <x:v>S18</x:v>
      </x:c>
      <x:c r="C160" s="2" t="str">
        <x:v>merged_1149</x:v>
      </x:c>
      <x:c r="D160" s="2" t="str">
        <x:v>Final coding</x:v>
      </x:c>
      <x:c r="E160" s="2" t="str">
        <x:v>R1/R2</x:v>
      </x:c>
      <x:c r="F160" s="2" t="str">
        <x:v>S18-T01-PROC</x:v>
      </x:c>
      <x:c r="G160" s="2" t="str">
        <x:v>S18-T01</x:v>
      </x:c>
      <x:c r="H160" s="2" t="str">
        <x:v>4 Validation and explanation</x:v>
      </x:c>
      <x:c r="I160" s="2" t="n">
        <x:v>4</x:v>
      </x:c>
      <x:c r="J160" s="2" t="str">
        <x:v>Common core</x:v>
      </x:c>
      <x:c r="K160" s="2" t="str">
        <x:v>Completed</x:v>
      </x:c>
      <x:c r="L160" s="2" t="str">
        <x:v>Not separately reported</x:v>
      </x:c>
      <x:c r="M160" s="2" t="str">
        <x:v>NR</x:v>
      </x:c>
      <x:c r="N160" s="2" t="str">
        <x:v>NR</x:v>
      </x:c>
      <x:c r="O160" s="2" t="str">
        <x:v>NR</x:v>
      </x:c>
      <x:c r="P160" s="6" t="str">
        <x:v>NR</x:v>
      </x:c>
      <x:c r="Q160" s="2" t="str">
        <x:v>NR</x:v>
      </x:c>
      <x:c r="R160" s="6" t="str">
        <x:v>NR</x:v>
      </x:c>
      <x:c r="S160" s="2" t="str">
        <x:v>NR</x:v>
      </x:c>
      <x:c r="T160" s="2" t="str">
        <x:v>NR</x:v>
      </x:c>
      <x:c r="U160" s="2" t="str">
        <x:v>NR</x:v>
      </x:c>
      <x:c r="V160" s="6" t="str">
        <x:v>Task-specific coded evidence</x:v>
      </x:c>
      <x:c r="W160" s="6" t="str">
        <x:v>p. 3; Section 1 (Contributions)</x:v>
      </x:c>
      <x:c r="X160" s="6" t="str">
        <x:v>predicting trace links between requirements and provisions</x:v>
      </x:c>
      <x:c r="Y160" s="6" t="str">
        <x:v>See task-step evidence references in the RQ2 supplement.</x:v>
      </x:c>
      <x:c r="Z160" s="2" t="str">
        <x:v>Accepted</x:v>
      </x:c>
      <x:c r="AA160" s="6" t="str">
        <x:v>NR</x:v>
      </x:c>
    </x:row>
    <x:row r="161" ht="76" customHeight="1">
      <x:c r="A161" s="2" t="str">
        <x:v>S18-T01-P5</x:v>
      </x:c>
      <x:c r="B161" s="2" t="str">
        <x:v>S18</x:v>
      </x:c>
      <x:c r="C161" s="2" t="str">
        <x:v>merged_1149</x:v>
      </x:c>
      <x:c r="D161" s="2" t="str">
        <x:v>Final coding</x:v>
      </x:c>
      <x:c r="E161" s="2" t="str">
        <x:v>R1/R2</x:v>
      </x:c>
      <x:c r="F161" s="2" t="str">
        <x:v>S18-T01-PROC</x:v>
      </x:c>
      <x:c r="G161" s="2" t="str">
        <x:v>S18-T01</x:v>
      </x:c>
      <x:c r="H161" s="2" t="str">
        <x:v>5 Evolution and embedding</x:v>
      </x:c>
      <x:c r="I161" s="2" t="n">
        <x:v>5</x:v>
      </x:c>
      <x:c r="J161" s="2" t="str">
        <x:v>Common core</x:v>
      </x:c>
      <x:c r="K161" s="2" t="str">
        <x:v>Completed</x:v>
      </x:c>
      <x:c r="L161" s="2" t="str">
        <x:v>Not separately reported</x:v>
      </x:c>
      <x:c r="M161" s="2" t="str">
        <x:v>NR</x:v>
      </x:c>
      <x:c r="N161" s="2" t="str">
        <x:v>NR</x:v>
      </x:c>
      <x:c r="O161" s="2" t="str">
        <x:v>NR</x:v>
      </x:c>
      <x:c r="P161" s="6" t="str">
        <x:v>NR</x:v>
      </x:c>
      <x:c r="Q161" s="2" t="str">
        <x:v>NR</x:v>
      </x:c>
      <x:c r="R161" s="6" t="str">
        <x:v>NR</x:v>
      </x:c>
      <x:c r="S161" s="2" t="str">
        <x:v>NR</x:v>
      </x:c>
      <x:c r="T161" s="2" t="str">
        <x:v>NR</x:v>
      </x:c>
      <x:c r="U161" s="2" t="str">
        <x:v>NR</x:v>
      </x:c>
      <x:c r="V161" s="6" t="str">
        <x:v>Task-specific coded evidence</x:v>
      </x:c>
      <x:c r="W161" s="6" t="str">
        <x:v>p. 3; Section 1 (Contributions)</x:v>
      </x:c>
      <x:c r="X161" s="6" t="str">
        <x:v>predicting trace links between requirements and provisions</x:v>
      </x:c>
      <x:c r="Y161" s="6" t="str">
        <x:v>See task-step evidence references in the RQ2 supplement.</x:v>
      </x:c>
      <x:c r="Z161" s="2" t="str">
        <x:v>Accepted</x:v>
      </x:c>
      <x:c r="AA161" s="6" t="str">
        <x:v>NR</x:v>
      </x:c>
    </x:row>
    <x:row r="162" ht="76" customHeight="1">
      <x:c r="A162" s="2" t="str">
        <x:v>S19-T01-P1</x:v>
      </x:c>
      <x:c r="B162" s="2" t="str">
        <x:v>S19</x:v>
      </x:c>
      <x:c r="C162" s="2" t="str">
        <x:v>merged_1150</x:v>
      </x:c>
      <x:c r="D162" s="2" t="str">
        <x:v>Final coding</x:v>
      </x:c>
      <x:c r="E162" s="2" t="str">
        <x:v>R1/R2</x:v>
      </x:c>
      <x:c r="F162" s="2" t="str">
        <x:v>S19-T01-PROC</x:v>
      </x:c>
      <x:c r="G162" s="2" t="str">
        <x:v>S19-T01</x:v>
      </x:c>
      <x:c r="H162" s="2" t="str">
        <x:v>1 Artifact acquisition and scoping</x:v>
      </x:c>
      <x:c r="I162" s="2" t="n">
        <x:v>1</x:v>
      </x:c>
      <x:c r="J162" s="2" t="str">
        <x:v>Common core</x:v>
      </x:c>
      <x:c r="K162" s="2" t="str">
        <x:v>Completed</x:v>
      </x:c>
      <x:c r="L162" s="2" t="str">
        <x:v>Not separately reported</x:v>
      </x:c>
      <x:c r="M162" s="2" t="str">
        <x:v>NR</x:v>
      </x:c>
      <x:c r="N162" s="2" t="str">
        <x:v>NR</x:v>
      </x:c>
      <x:c r="O162" s="2" t="str">
        <x:v>NR</x:v>
      </x:c>
      <x:c r="P162" s="6" t="str">
        <x:v>NR</x:v>
      </x:c>
      <x:c r="Q162" s="2" t="str">
        <x:v>NR</x:v>
      </x:c>
      <x:c r="R162" s="6" t="str">
        <x:v>NR</x:v>
      </x:c>
      <x:c r="S162" s="2" t="str">
        <x:v>NR</x:v>
      </x:c>
      <x:c r="T162" s="2" t="str">
        <x:v>NR</x:v>
      </x:c>
      <x:c r="U162" s="2" t="str">
        <x:v>NR</x:v>
      </x:c>
      <x:c r="V162" s="6" t="str">
        <x:v>Task-specific coded evidence</x:v>
      </x:c>
      <x:c r="W162" s="6" t="str">
        <x:v>p. 1; Abstract</x:v>
      </x:c>
      <x:c r="X162" s="6" t="str">
        <x:v>We conducted experiments using two LLMs focusing on automated trace link generation between requirements and code.</x:v>
      </x:c>
      <x:c r="Y162" s="6" t="str">
        <x:v>See task-step evidence references in the RQ2 supplement.</x:v>
      </x:c>
      <x:c r="Z162" s="2" t="str">
        <x:v>Accepted</x:v>
      </x:c>
      <x:c r="AA162" s="6" t="str">
        <x:v>NR</x:v>
      </x:c>
    </x:row>
    <x:row r="163" ht="76" customHeight="1">
      <x:c r="A163" s="2" t="str">
        <x:v>S19-T01-P2</x:v>
      </x:c>
      <x:c r="B163" s="2" t="str">
        <x:v>S19</x:v>
      </x:c>
      <x:c r="C163" s="2" t="str">
        <x:v>merged_1150</x:v>
      </x:c>
      <x:c r="D163" s="2" t="str">
        <x:v>Final coding</x:v>
      </x:c>
      <x:c r="E163" s="2" t="str">
        <x:v>R1/R2</x:v>
      </x:c>
      <x:c r="F163" s="2" t="str">
        <x:v>S19-T01-PROC</x:v>
      </x:c>
      <x:c r="G163" s="2" t="str">
        <x:v>S19-T01</x:v>
      </x:c>
      <x:c r="H163" s="2" t="str">
        <x:v>2 Semantic contextualization</x:v>
      </x:c>
      <x:c r="I163" s="2" t="n">
        <x:v>2</x:v>
      </x:c>
      <x:c r="J163" s="2" t="str">
        <x:v>Common core</x:v>
      </x:c>
      <x:c r="K163" s="2" t="str">
        <x:v>Completed</x:v>
      </x:c>
      <x:c r="L163" s="2" t="str">
        <x:v>Not separately reported</x:v>
      </x:c>
      <x:c r="M163" s="2" t="str">
        <x:v>NR</x:v>
      </x:c>
      <x:c r="N163" s="2" t="str">
        <x:v>NR</x:v>
      </x:c>
      <x:c r="O163" s="2" t="str">
        <x:v>NR</x:v>
      </x:c>
      <x:c r="P163" s="6" t="str">
        <x:v>NR</x:v>
      </x:c>
      <x:c r="Q163" s="2" t="str">
        <x:v>NR</x:v>
      </x:c>
      <x:c r="R163" s="6" t="str">
        <x:v>NR</x:v>
      </x:c>
      <x:c r="S163" s="2" t="str">
        <x:v>NR</x:v>
      </x:c>
      <x:c r="T163" s="2" t="str">
        <x:v>NR</x:v>
      </x:c>
      <x:c r="U163" s="2" t="str">
        <x:v>NR</x:v>
      </x:c>
      <x:c r="V163" s="6" t="str">
        <x:v>Task-specific coded evidence</x:v>
      </x:c>
      <x:c r="W163" s="6" t="str">
        <x:v>p. 1; Abstract</x:v>
      </x:c>
      <x:c r="X163" s="6" t="str">
        <x:v>We conducted experiments using two LLMs focusing on automated trace link generation between requirements and code.</x:v>
      </x:c>
      <x:c r="Y163" s="6" t="str">
        <x:v>See task-step evidence references in the RQ2 supplement.</x:v>
      </x:c>
      <x:c r="Z163" s="2" t="str">
        <x:v>Accepted</x:v>
      </x:c>
      <x:c r="AA163" s="6" t="str">
        <x:v>NR</x:v>
      </x:c>
    </x:row>
    <x:row r="164" ht="76" customHeight="1">
      <x:c r="A164" s="2" t="str">
        <x:v>S19-T01-P3</x:v>
      </x:c>
      <x:c r="B164" s="2" t="str">
        <x:v>S19</x:v>
      </x:c>
      <x:c r="C164" s="2" t="str">
        <x:v>merged_1150</x:v>
      </x:c>
      <x:c r="D164" s="2" t="str">
        <x:v>Final coding</x:v>
      </x:c>
      <x:c r="E164" s="2" t="str">
        <x:v>R1/R2</x:v>
      </x:c>
      <x:c r="F164" s="2" t="str">
        <x:v>S19-T01-PROC</x:v>
      </x:c>
      <x:c r="G164" s="2" t="str">
        <x:v>S19-T01</x:v>
      </x:c>
      <x:c r="H164" s="2" t="str">
        <x:v>3 Traceability inference</x:v>
      </x:c>
      <x:c r="I164" s="2" t="n">
        <x:v>3</x:v>
      </x:c>
      <x:c r="J164" s="2" t="str">
        <x:v>Common core</x:v>
      </x:c>
      <x:c r="K164" s="2" t="str">
        <x:v>Completed</x:v>
      </x:c>
      <x:c r="L164" s="2" t="str">
        <x:v>Explicitly evidenced</x:v>
      </x:c>
      <x:c r="M164" s="2" t="str">
        <x:v>NR</x:v>
      </x:c>
      <x:c r="N164" s="2" t="str">
        <x:v>NR</x:v>
      </x:c>
      <x:c r="O164" s="2" t="str">
        <x:v>NR</x:v>
      </x:c>
      <x:c r="P164" s="6" t="str">
        <x:v>NR</x:v>
      </x:c>
      <x:c r="Q164" s="2" t="str">
        <x:v>3 Traceability inference</x:v>
      </x:c>
      <x:c r="R164" s="6" t="str">
        <x:v>JSON包含需求ID、是否实现（布尔值）和实现行号列表。</x:v>
      </x:c>
      <x:c r="S164" s="2" t="str">
        <x:v>NR</x:v>
      </x:c>
      <x:c r="T164" s="2" t="str">
        <x:v>NR</x:v>
      </x:c>
      <x:c r="U164" s="2" t="str">
        <x:v>NR</x:v>
      </x:c>
      <x:c r="V164" s="6" t="str">
        <x:v>Task-specific coded evidence</x:v>
      </x:c>
      <x:c r="W164" s="6" t="str">
        <x:v>p. 1; Abstract</x:v>
      </x:c>
      <x:c r="X164" s="6" t="str">
        <x:v>We conducted experiments using two LLMs focusing on automated trace link generation between requirements and code.</x:v>
      </x:c>
      <x:c r="Y164" s="6" t="str">
        <x:v>See task-step evidence references in the RQ2 supplement.</x:v>
      </x:c>
      <x:c r="Z164" s="2" t="str">
        <x:v>Accepted</x:v>
      </x:c>
      <x:c r="AA164" s="6" t="str">
        <x:v>NR</x:v>
      </x:c>
    </x:row>
    <x:row r="165" ht="76" customHeight="1">
      <x:c r="A165" s="2" t="str">
        <x:v>S19-T01-P4</x:v>
      </x:c>
      <x:c r="B165" s="2" t="str">
        <x:v>S19</x:v>
      </x:c>
      <x:c r="C165" s="2" t="str">
        <x:v>merged_1150</x:v>
      </x:c>
      <x:c r="D165" s="2" t="str">
        <x:v>Final coding</x:v>
      </x:c>
      <x:c r="E165" s="2" t="str">
        <x:v>R1/R2</x:v>
      </x:c>
      <x:c r="F165" s="2" t="str">
        <x:v>S19-T01-PROC</x:v>
      </x:c>
      <x:c r="G165" s="2" t="str">
        <x:v>S19-T01</x:v>
      </x:c>
      <x:c r="H165" s="2" t="str">
        <x:v>4 Validation and explanation</x:v>
      </x:c>
      <x:c r="I165" s="2" t="n">
        <x:v>4</x:v>
      </x:c>
      <x:c r="J165" s="2" t="str">
        <x:v>Common core</x:v>
      </x:c>
      <x:c r="K165" s="2" t="str">
        <x:v>Completed</x:v>
      </x:c>
      <x:c r="L165" s="2" t="str">
        <x:v>Not separately reported</x:v>
      </x:c>
      <x:c r="M165" s="2" t="str">
        <x:v>NR</x:v>
      </x:c>
      <x:c r="N165" s="2" t="str">
        <x:v>NR</x:v>
      </x:c>
      <x:c r="O165" s="2" t="str">
        <x:v>NR</x:v>
      </x:c>
      <x:c r="P165" s="6" t="str">
        <x:v>NR</x:v>
      </x:c>
      <x:c r="Q165" s="2" t="str">
        <x:v>NR</x:v>
      </x:c>
      <x:c r="R165" s="6" t="str">
        <x:v>NR</x:v>
      </x:c>
      <x:c r="S165" s="2" t="str">
        <x:v>NR</x:v>
      </x:c>
      <x:c r="T165" s="2" t="str">
        <x:v>NR</x:v>
      </x:c>
      <x:c r="U165" s="2" t="str">
        <x:v>NR</x:v>
      </x:c>
      <x:c r="V165" s="6" t="str">
        <x:v>Task-specific coded evidence</x:v>
      </x:c>
      <x:c r="W165" s="6" t="str">
        <x:v>p. 1; Abstract</x:v>
      </x:c>
      <x:c r="X165" s="6" t="str">
        <x:v>We conducted experiments using two LLMs focusing on automated trace link generation between requirements and code.</x:v>
      </x:c>
      <x:c r="Y165" s="6" t="str">
        <x:v>See task-step evidence references in the RQ2 supplement.</x:v>
      </x:c>
      <x:c r="Z165" s="2" t="str">
        <x:v>Accepted</x:v>
      </x:c>
      <x:c r="AA165" s="6" t="str">
        <x:v>NR</x:v>
      </x:c>
    </x:row>
    <x:row r="166" ht="76" customHeight="1">
      <x:c r="A166" s="2" t="str">
        <x:v>S19-T01-P5</x:v>
      </x:c>
      <x:c r="B166" s="2" t="str">
        <x:v>S19</x:v>
      </x:c>
      <x:c r="C166" s="2" t="str">
        <x:v>merged_1150</x:v>
      </x:c>
      <x:c r="D166" s="2" t="str">
        <x:v>Final coding</x:v>
      </x:c>
      <x:c r="E166" s="2" t="str">
        <x:v>R1/R2</x:v>
      </x:c>
      <x:c r="F166" s="2" t="str">
        <x:v>S19-T01-PROC</x:v>
      </x:c>
      <x:c r="G166" s="2" t="str">
        <x:v>S19-T01</x:v>
      </x:c>
      <x:c r="H166" s="2" t="str">
        <x:v>5 Evolution and embedding</x:v>
      </x:c>
      <x:c r="I166" s="2" t="n">
        <x:v>5</x:v>
      </x:c>
      <x:c r="J166" s="2" t="str">
        <x:v>Common core</x:v>
      </x:c>
      <x:c r="K166" s="2" t="str">
        <x:v>Completed</x:v>
      </x:c>
      <x:c r="L166" s="2" t="str">
        <x:v>Not separately reported</x:v>
      </x:c>
      <x:c r="M166" s="2" t="str">
        <x:v>NR</x:v>
      </x:c>
      <x:c r="N166" s="2" t="str">
        <x:v>NR</x:v>
      </x:c>
      <x:c r="O166" s="2" t="str">
        <x:v>NR</x:v>
      </x:c>
      <x:c r="P166" s="6" t="str">
        <x:v>NR</x:v>
      </x:c>
      <x:c r="Q166" s="2" t="str">
        <x:v>NR</x:v>
      </x:c>
      <x:c r="R166" s="6" t="str">
        <x:v>NR</x:v>
      </x:c>
      <x:c r="S166" s="2" t="str">
        <x:v>NR</x:v>
      </x:c>
      <x:c r="T166" s="2" t="str">
        <x:v>NR</x:v>
      </x:c>
      <x:c r="U166" s="2" t="str">
        <x:v>NR</x:v>
      </x:c>
      <x:c r="V166" s="6" t="str">
        <x:v>Task-specific coded evidence</x:v>
      </x:c>
      <x:c r="W166" s="6" t="str">
        <x:v>p. 1; Abstract</x:v>
      </x:c>
      <x:c r="X166" s="6" t="str">
        <x:v>We conducted experiments using two LLMs focusing on automated trace link generation between requirements and code.</x:v>
      </x:c>
      <x:c r="Y166" s="6" t="str">
        <x:v>See task-step evidence references in the RQ2 supplement.</x:v>
      </x:c>
      <x:c r="Z166" s="2" t="str">
        <x:v>Accepted</x:v>
      </x:c>
      <x:c r="AA166" s="6" t="str">
        <x:v>NR</x:v>
      </x:c>
    </x:row>
    <x:row r="167" ht="76" customHeight="1">
      <x:c r="A167" s="2" t="str">
        <x:v>S20-T01-P1</x:v>
      </x:c>
      <x:c r="B167" s="2" t="str">
        <x:v>S20</x:v>
      </x:c>
      <x:c r="C167" s="2" t="str">
        <x:v>merged_1151-v1</x:v>
      </x:c>
      <x:c r="D167" s="2" t="str">
        <x:v>Final coding</x:v>
      </x:c>
      <x:c r="E167" s="2" t="str">
        <x:v>R1/R2</x:v>
      </x:c>
      <x:c r="F167" s="2" t="str">
        <x:v>S20-T01-PROC</x:v>
      </x:c>
      <x:c r="G167" s="2" t="str">
        <x:v>S20-T01</x:v>
      </x:c>
      <x:c r="H167" s="2" t="str">
        <x:v>1 Artifact acquisition and scoping</x:v>
      </x:c>
      <x:c r="I167" s="2" t="n">
        <x:v>1</x:v>
      </x:c>
      <x:c r="J167" s="2" t="str">
        <x:v>Common core</x:v>
      </x:c>
      <x:c r="K167" s="2" t="str">
        <x:v>Completed</x:v>
      </x:c>
      <x:c r="L167" s="2" t="str">
        <x:v>Not separately reported</x:v>
      </x:c>
      <x:c r="M167" s="2" t="str">
        <x:v>NR</x:v>
      </x:c>
      <x:c r="N167" s="2" t="str">
        <x:v>NR</x:v>
      </x:c>
      <x:c r="O167" s="2" t="str">
        <x:v>NR</x:v>
      </x:c>
      <x:c r="P167" s="6" t="str">
        <x:v>NR</x:v>
      </x:c>
      <x:c r="Q167" s="2" t="str">
        <x:v>NR</x:v>
      </x:c>
      <x:c r="R167" s="6" t="str">
        <x:v>NR</x:v>
      </x:c>
      <x:c r="S167" s="2" t="str">
        <x:v>NR</x:v>
      </x:c>
      <x:c r="T167" s="2" t="str">
        <x:v>NR</x:v>
      </x:c>
      <x:c r="U167" s="2" t="str">
        <x:v>NR</x:v>
      </x:c>
      <x:c r="V167" s="6" t="str">
        <x:v>Task-specific coded evidence</x:v>
      </x:c>
      <x:c r="W167" s="6" t="str">
        <x:v>p. 17; Section 5.1</x:v>
      </x:c>
      <x:c r="X167" s="6" t="str">
        <x:v>The first step in our process involves querying the graph by providing a requirement and retrieving relevant content from the reference text.</x:v>
      </x:c>
      <x:c r="Y167" s="6" t="str">
        <x:v>See task-step evidence references in the RQ2 supplement.</x:v>
      </x:c>
      <x:c r="Z167" s="2" t="str">
        <x:v>Accepted</x:v>
      </x:c>
      <x:c r="AA167" s="6" t="str">
        <x:v>NR</x:v>
      </x:c>
    </x:row>
    <x:row r="168" ht="76" customHeight="1">
      <x:c r="A168" s="2" t="str">
        <x:v>S20-T01-P2</x:v>
      </x:c>
      <x:c r="B168" s="2" t="str">
        <x:v>S20</x:v>
      </x:c>
      <x:c r="C168" s="2" t="str">
        <x:v>merged_1151-v1</x:v>
      </x:c>
      <x:c r="D168" s="2" t="str">
        <x:v>Final coding</x:v>
      </x:c>
      <x:c r="E168" s="2" t="str">
        <x:v>R1/R2</x:v>
      </x:c>
      <x:c r="F168" s="2" t="str">
        <x:v>S20-T01-PROC</x:v>
      </x:c>
      <x:c r="G168" s="2" t="str">
        <x:v>S20-T01</x:v>
      </x:c>
      <x:c r="H168" s="2" t="str">
        <x:v>2 Semantic contextualization</x:v>
      </x:c>
      <x:c r="I168" s="2" t="n">
        <x:v>2</x:v>
      </x:c>
      <x:c r="J168" s="2" t="str">
        <x:v>Common core</x:v>
      </x:c>
      <x:c r="K168" s="2" t="str">
        <x:v>Completed</x:v>
      </x:c>
      <x:c r="L168" s="2" t="str">
        <x:v>Explicitly evidenced</x:v>
      </x:c>
      <x:c r="M168" s="2" t="str">
        <x:v>NR</x:v>
      </x:c>
      <x:c r="N168" s="2" t="str">
        <x:v>NR</x:v>
      </x:c>
      <x:c r="O168" s="2" t="str">
        <x:v>NR</x:v>
      </x:c>
      <x:c r="P168" s="6" t="str">
        <x:v>NR</x:v>
      </x:c>
      <x:c r="Q168" s="2" t="str">
        <x:v>2 Semantic contextualization</x:v>
      </x:c>
      <x:c r="R168" s="6" t="str">
        <x:v>NR</x:v>
      </x:c>
      <x:c r="S168" s="2" t="str">
        <x:v>NR</x:v>
      </x:c>
      <x:c r="T168" s="2" t="str">
        <x:v>NR</x:v>
      </x:c>
      <x:c r="U168" s="2" t="str">
        <x:v>NR</x:v>
      </x:c>
      <x:c r="V168" s="6" t="str">
        <x:v>Task-specific coded evidence</x:v>
      </x:c>
      <x:c r="W168" s="6" t="str">
        <x:v>p. 17; Section 5.1</x:v>
      </x:c>
      <x:c r="X168" s="6" t="str">
        <x:v>The first step in our process involves querying the graph by providing a requirement and retrieving relevant content from the reference text.</x:v>
      </x:c>
      <x:c r="Y168" s="6" t="str">
        <x:v>See task-step evidence references in the RQ2 supplement.</x:v>
      </x:c>
      <x:c r="Z168" s="2" t="str">
        <x:v>Accepted</x:v>
      </x:c>
      <x:c r="AA168" s="6" t="str">
        <x:v>NR</x:v>
      </x:c>
    </x:row>
    <x:row r="169" ht="76" customHeight="1">
      <x:c r="A169" s="2" t="str">
        <x:v>S20-T01-P3</x:v>
      </x:c>
      <x:c r="B169" s="2" t="str">
        <x:v>S20</x:v>
      </x:c>
      <x:c r="C169" s="2" t="str">
        <x:v>merged_1151-v1</x:v>
      </x:c>
      <x:c r="D169" s="2" t="str">
        <x:v>Final coding</x:v>
      </x:c>
      <x:c r="E169" s="2" t="str">
        <x:v>R1/R2</x:v>
      </x:c>
      <x:c r="F169" s="2" t="str">
        <x:v>S20-T01-PROC</x:v>
      </x:c>
      <x:c r="G169" s="2" t="str">
        <x:v>S20-T01</x:v>
      </x:c>
      <x:c r="H169" s="2" t="str">
        <x:v>3 Traceability inference</x:v>
      </x:c>
      <x:c r="I169" s="2" t="n">
        <x:v>3</x:v>
      </x:c>
      <x:c r="J169" s="2" t="str">
        <x:v>Common core</x:v>
      </x:c>
      <x:c r="K169" s="2" t="str">
        <x:v>Completed</x:v>
      </x:c>
      <x:c r="L169" s="2" t="str">
        <x:v>Inferred from relation output</x:v>
      </x:c>
      <x:c r="M169" s="2" t="str">
        <x:v>NR</x:v>
      </x:c>
      <x:c r="N169" s="2" t="str">
        <x:v>NR</x:v>
      </x:c>
      <x:c r="O169" s="2" t="str">
        <x:v>NR</x:v>
      </x:c>
      <x:c r="P169" s="6" t="str">
        <x:v>NR</x:v>
      </x:c>
      <x:c r="Q169" s="2" t="str">
        <x:v>NR</x:v>
      </x:c>
      <x:c r="R169" s="6" t="str">
        <x:v>检索到的参考文本内容及相似度得分。</x:v>
      </x:c>
      <x:c r="S169" s="2" t="str">
        <x:v>NR</x:v>
      </x:c>
      <x:c r="T169" s="2" t="str">
        <x:v>NR</x:v>
      </x:c>
      <x:c r="U169" s="2" t="str">
        <x:v>NR</x:v>
      </x:c>
      <x:c r="V169" s="6" t="str">
        <x:v>Task-specific coded evidence</x:v>
      </x:c>
      <x:c r="W169" s="6" t="str">
        <x:v>p. 17; Section 5.1</x:v>
      </x:c>
      <x:c r="X169" s="6" t="str">
        <x:v>The first step in our process involves querying the graph by providing a requirement and retrieving relevant content from the reference text.</x:v>
      </x:c>
      <x:c r="Y169" s="6" t="str">
        <x:v>See task-step evidence references in the RQ2 supplement.</x:v>
      </x:c>
      <x:c r="Z169" s="2" t="str">
        <x:v>Accepted</x:v>
      </x:c>
      <x:c r="AA169" s="6" t="str">
        <x:v>NR</x:v>
      </x:c>
    </x:row>
    <x:row r="170" ht="76" customHeight="1">
      <x:c r="A170" s="2" t="str">
        <x:v>S20-T01-P4</x:v>
      </x:c>
      <x:c r="B170" s="2" t="str">
        <x:v>S20</x:v>
      </x:c>
      <x:c r="C170" s="2" t="str">
        <x:v>merged_1151-v1</x:v>
      </x:c>
      <x:c r="D170" s="2" t="str">
        <x:v>Final coding</x:v>
      </x:c>
      <x:c r="E170" s="2" t="str">
        <x:v>R1/R2</x:v>
      </x:c>
      <x:c r="F170" s="2" t="str">
        <x:v>S20-T01-PROC</x:v>
      </x:c>
      <x:c r="G170" s="2" t="str">
        <x:v>S20-T01</x:v>
      </x:c>
      <x:c r="H170" s="2" t="str">
        <x:v>4 Validation and explanation</x:v>
      </x:c>
      <x:c r="I170" s="2" t="n">
        <x:v>4</x:v>
      </x:c>
      <x:c r="J170" s="2" t="str">
        <x:v>Common core</x:v>
      </x:c>
      <x:c r="K170" s="2" t="str">
        <x:v>Completed</x:v>
      </x:c>
      <x:c r="L170" s="2" t="str">
        <x:v>Not separately reported</x:v>
      </x:c>
      <x:c r="M170" s="2" t="str">
        <x:v>NR</x:v>
      </x:c>
      <x:c r="N170" s="2" t="str">
        <x:v>NR</x:v>
      </x:c>
      <x:c r="O170" s="2" t="str">
        <x:v>NR</x:v>
      </x:c>
      <x:c r="P170" s="6" t="str">
        <x:v>NR</x:v>
      </x:c>
      <x:c r="Q170" s="2" t="str">
        <x:v>NR</x:v>
      </x:c>
      <x:c r="R170" s="6" t="str">
        <x:v>NR</x:v>
      </x:c>
      <x:c r="S170" s="2" t="str">
        <x:v>NR</x:v>
      </x:c>
      <x:c r="T170" s="2" t="str">
        <x:v>NR</x:v>
      </x:c>
      <x:c r="U170" s="2" t="str">
        <x:v>NR</x:v>
      </x:c>
      <x:c r="V170" s="6" t="str">
        <x:v>Task-specific coded evidence</x:v>
      </x:c>
      <x:c r="W170" s="6" t="str">
        <x:v>p. 17; Section 5.1</x:v>
      </x:c>
      <x:c r="X170" s="6" t="str">
        <x:v>The first step in our process involves querying the graph by providing a requirement and retrieving relevant content from the reference text.</x:v>
      </x:c>
      <x:c r="Y170" s="6" t="str">
        <x:v>See task-step evidence references in the RQ2 supplement.</x:v>
      </x:c>
      <x:c r="Z170" s="2" t="str">
        <x:v>Accepted</x:v>
      </x:c>
      <x:c r="AA170" s="6" t="str">
        <x:v>NR</x:v>
      </x:c>
    </x:row>
    <x:row r="171" ht="76" customHeight="1">
      <x:c r="A171" s="2" t="str">
        <x:v>S20-T01-P5</x:v>
      </x:c>
      <x:c r="B171" s="2" t="str">
        <x:v>S20</x:v>
      </x:c>
      <x:c r="C171" s="2" t="str">
        <x:v>merged_1151-v1</x:v>
      </x:c>
      <x:c r="D171" s="2" t="str">
        <x:v>Final coding</x:v>
      </x:c>
      <x:c r="E171" s="2" t="str">
        <x:v>R1/R2</x:v>
      </x:c>
      <x:c r="F171" s="2" t="str">
        <x:v>S20-T01-PROC</x:v>
      </x:c>
      <x:c r="G171" s="2" t="str">
        <x:v>S20-T01</x:v>
      </x:c>
      <x:c r="H171" s="2" t="str">
        <x:v>5 Evolution and embedding</x:v>
      </x:c>
      <x:c r="I171" s="2" t="n">
        <x:v>5</x:v>
      </x:c>
      <x:c r="J171" s="2" t="str">
        <x:v>Common core</x:v>
      </x:c>
      <x:c r="K171" s="2" t="str">
        <x:v>Completed</x:v>
      </x:c>
      <x:c r="L171" s="2" t="str">
        <x:v>Not separately reported</x:v>
      </x:c>
      <x:c r="M171" s="2" t="str">
        <x:v>NR</x:v>
      </x:c>
      <x:c r="N171" s="2" t="str">
        <x:v>NR</x:v>
      </x:c>
      <x:c r="O171" s="2" t="str">
        <x:v>NR</x:v>
      </x:c>
      <x:c r="P171" s="6" t="str">
        <x:v>NR</x:v>
      </x:c>
      <x:c r="Q171" s="2" t="str">
        <x:v>NR</x:v>
      </x:c>
      <x:c r="R171" s="6" t="str">
        <x:v>NR</x:v>
      </x:c>
      <x:c r="S171" s="2" t="str">
        <x:v>NR</x:v>
      </x:c>
      <x:c r="T171" s="2" t="str">
        <x:v>NR</x:v>
      </x:c>
      <x:c r="U171" s="2" t="str">
        <x:v>NR</x:v>
      </x:c>
      <x:c r="V171" s="6" t="str">
        <x:v>Task-specific coded evidence</x:v>
      </x:c>
      <x:c r="W171" s="6" t="str">
        <x:v>p. 17; Section 5.1</x:v>
      </x:c>
      <x:c r="X171" s="6" t="str">
        <x:v>The first step in our process involves querying the graph by providing a requirement and retrieving relevant content from the reference text.</x:v>
      </x:c>
      <x:c r="Y171" s="6" t="str">
        <x:v>See task-step evidence references in the RQ2 supplement.</x:v>
      </x:c>
      <x:c r="Z171" s="2" t="str">
        <x:v>Accepted</x:v>
      </x:c>
      <x:c r="AA171" s="6" t="str">
        <x:v>NR</x:v>
      </x:c>
    </x:row>
    <x:row r="172" ht="76" customHeight="1">
      <x:c r="A172" s="2" t="str">
        <x:v>S20-T02-P1</x:v>
      </x:c>
      <x:c r="B172" s="2" t="str">
        <x:v>S20</x:v>
      </x:c>
      <x:c r="C172" s="2" t="str">
        <x:v>merged_1151-v1</x:v>
      </x:c>
      <x:c r="D172" s="2" t="str">
        <x:v>Final coding</x:v>
      </x:c>
      <x:c r="E172" s="2" t="str">
        <x:v>R1/R2</x:v>
      </x:c>
      <x:c r="F172" s="2" t="str">
        <x:v>S20-T02-PROC</x:v>
      </x:c>
      <x:c r="G172" s="2" t="str">
        <x:v>S20-T02</x:v>
      </x:c>
      <x:c r="H172" s="2" t="str">
        <x:v>1 Artifact acquisition and scoping</x:v>
      </x:c>
      <x:c r="I172" s="2" t="n">
        <x:v>1</x:v>
      </x:c>
      <x:c r="J172" s="2" t="str">
        <x:v>Common core</x:v>
      </x:c>
      <x:c r="K172" s="2" t="str">
        <x:v>Completed</x:v>
      </x:c>
      <x:c r="L172" s="2" t="str">
        <x:v>Not separately reported</x:v>
      </x:c>
      <x:c r="M172" s="2" t="str">
        <x:v>NR</x:v>
      </x:c>
      <x:c r="N172" s="2" t="str">
        <x:v>NR</x:v>
      </x:c>
      <x:c r="O172" s="2" t="str">
        <x:v>NR</x:v>
      </x:c>
      <x:c r="P172" s="6" t="str">
        <x:v>NR</x:v>
      </x:c>
      <x:c r="Q172" s="2" t="str">
        <x:v>NR</x:v>
      </x:c>
      <x:c r="R172" s="6" t="str">
        <x:v>NR</x:v>
      </x:c>
      <x:c r="S172" s="2" t="str">
        <x:v>NR</x:v>
      </x:c>
      <x:c r="T172" s="2" t="str">
        <x:v>NR</x:v>
      </x:c>
      <x:c r="U172" s="2" t="str">
        <x:v>NR</x:v>
      </x:c>
      <x:c r="V172" s="6" t="str">
        <x:v>Task-specific coded evidence</x:v>
      </x:c>
      <x:c r="W172" s="6" t="str">
        <x:v>p. 3; Section 1</x:v>
      </x:c>
      <x:c r="X172" s="6" t="str">
        <x:v>the framework verifies whether the requirements adhere to these references using advanced prompting techniques.</x:v>
      </x:c>
      <x:c r="Y172" s="6" t="str">
        <x:v>See task-step evidence references in the RQ2 supplement.</x:v>
      </x:c>
      <x:c r="Z172" s="2" t="str">
        <x:v>Accepted</x:v>
      </x:c>
      <x:c r="AA172" s="6" t="str">
        <x:v>NR</x:v>
      </x:c>
    </x:row>
    <x:row r="173" ht="76" customHeight="1">
      <x:c r="A173" s="2" t="str">
        <x:v>S20-T02-P2</x:v>
      </x:c>
      <x:c r="B173" s="2" t="str">
        <x:v>S20</x:v>
      </x:c>
      <x:c r="C173" s="2" t="str">
        <x:v>merged_1151-v1</x:v>
      </x:c>
      <x:c r="D173" s="2" t="str">
        <x:v>Final coding</x:v>
      </x:c>
      <x:c r="E173" s="2" t="str">
        <x:v>R1/R2</x:v>
      </x:c>
      <x:c r="F173" s="2" t="str">
        <x:v>S20-T02-PROC</x:v>
      </x:c>
      <x:c r="G173" s="2" t="str">
        <x:v>S20-T02</x:v>
      </x:c>
      <x:c r="H173" s="2" t="str">
        <x:v>2 Semantic contextualization</x:v>
      </x:c>
      <x:c r="I173" s="2" t="n">
        <x:v>2</x:v>
      </x:c>
      <x:c r="J173" s="2" t="str">
        <x:v>Common core</x:v>
      </x:c>
      <x:c r="K173" s="2" t="str">
        <x:v>Completed</x:v>
      </x:c>
      <x:c r="L173" s="2" t="str">
        <x:v>Not separately reported</x:v>
      </x:c>
      <x:c r="M173" s="2" t="str">
        <x:v>NR</x:v>
      </x:c>
      <x:c r="N173" s="2" t="str">
        <x:v>NR</x:v>
      </x:c>
      <x:c r="O173" s="2" t="str">
        <x:v>NR</x:v>
      </x:c>
      <x:c r="P173" s="6" t="str">
        <x:v>NR</x:v>
      </x:c>
      <x:c r="Q173" s="2" t="str">
        <x:v>NR</x:v>
      </x:c>
      <x:c r="R173" s="6" t="str">
        <x:v>NR</x:v>
      </x:c>
      <x:c r="S173" s="2" t="str">
        <x:v>NR</x:v>
      </x:c>
      <x:c r="T173" s="2" t="str">
        <x:v>NR</x:v>
      </x:c>
      <x:c r="U173" s="2" t="str">
        <x:v>NR</x:v>
      </x:c>
      <x:c r="V173" s="6" t="str">
        <x:v>Task-specific coded evidence</x:v>
      </x:c>
      <x:c r="W173" s="6" t="str">
        <x:v>p. 3; Section 1</x:v>
      </x:c>
      <x:c r="X173" s="6" t="str">
        <x:v>the framework verifies whether the requirements adhere to these references using advanced prompting techniques.</x:v>
      </x:c>
      <x:c r="Y173" s="6" t="str">
        <x:v>See task-step evidence references in the RQ2 supplement.</x:v>
      </x:c>
      <x:c r="Z173" s="2" t="str">
        <x:v>Accepted</x:v>
      </x:c>
      <x:c r="AA173" s="6" t="str">
        <x:v>NR</x:v>
      </x:c>
    </x:row>
    <x:row r="174" ht="76" customHeight="1">
      <x:c r="A174" s="2" t="str">
        <x:v>S20-T02-P3</x:v>
      </x:c>
      <x:c r="B174" s="2" t="str">
        <x:v>S20</x:v>
      </x:c>
      <x:c r="C174" s="2" t="str">
        <x:v>merged_1151-v1</x:v>
      </x:c>
      <x:c r="D174" s="2" t="str">
        <x:v>Final coding</x:v>
      </x:c>
      <x:c r="E174" s="2" t="str">
        <x:v>R1/R2</x:v>
      </x:c>
      <x:c r="F174" s="2" t="str">
        <x:v>S20-T02-PROC</x:v>
      </x:c>
      <x:c r="G174" s="2" t="str">
        <x:v>S20-T02</x:v>
      </x:c>
      <x:c r="H174" s="2" t="str">
        <x:v>3 Traceability inference</x:v>
      </x:c>
      <x:c r="I174" s="2" t="n">
        <x:v>3</x:v>
      </x:c>
      <x:c r="J174" s="2" t="str">
        <x:v>Common core</x:v>
      </x:c>
      <x:c r="K174" s="2" t="str">
        <x:v>Completed</x:v>
      </x:c>
      <x:c r="L174" s="2" t="str">
        <x:v>Explicitly evidenced</x:v>
      </x:c>
      <x:c r="M174" s="2" t="str">
        <x:v>NR</x:v>
      </x:c>
      <x:c r="N174" s="2" t="str">
        <x:v>NR</x:v>
      </x:c>
      <x:c r="O174" s="2" t="str">
        <x:v>NR</x:v>
      </x:c>
      <x:c r="P174" s="6" t="str">
        <x:v>NR</x:v>
      </x:c>
      <x:c r="Q174" s="2" t="str">
        <x:v>3 Traceability inference</x:v>
      </x:c>
      <x:c r="R174" s="6" t="str">
        <x:v>合规性判定（Conforms/Violates）及推理过程。</x:v>
      </x:c>
      <x:c r="S174" s="2" t="str">
        <x:v>NR</x:v>
      </x:c>
      <x:c r="T174" s="2" t="str">
        <x:v>NR</x:v>
      </x:c>
      <x:c r="U174" s="2" t="str">
        <x:v>NR</x:v>
      </x:c>
      <x:c r="V174" s="6" t="str">
        <x:v>Task-specific coded evidence</x:v>
      </x:c>
      <x:c r="W174" s="6" t="str">
        <x:v>p. 3; Section 1</x:v>
      </x:c>
      <x:c r="X174" s="6" t="str">
        <x:v>the framework verifies whether the requirements adhere to these references using advanced prompting techniques.</x:v>
      </x:c>
      <x:c r="Y174" s="6" t="str">
        <x:v>See task-step evidence references in the RQ2 supplement.</x:v>
      </x:c>
      <x:c r="Z174" s="2" t="str">
        <x:v>Accepted</x:v>
      </x:c>
      <x:c r="AA174" s="6" t="str">
        <x:v>NR</x:v>
      </x:c>
    </x:row>
    <x:row r="175" ht="76" customHeight="1">
      <x:c r="A175" s="2" t="str">
        <x:v>S20-T02-P4</x:v>
      </x:c>
      <x:c r="B175" s="2" t="str">
        <x:v>S20</x:v>
      </x:c>
      <x:c r="C175" s="2" t="str">
        <x:v>merged_1151-v1</x:v>
      </x:c>
      <x:c r="D175" s="2" t="str">
        <x:v>Final coding</x:v>
      </x:c>
      <x:c r="E175" s="2" t="str">
        <x:v>R1/R2</x:v>
      </x:c>
      <x:c r="F175" s="2" t="str">
        <x:v>S20-T02-PROC</x:v>
      </x:c>
      <x:c r="G175" s="2" t="str">
        <x:v>S20-T02</x:v>
      </x:c>
      <x:c r="H175" s="2" t="str">
        <x:v>4 Validation and explanation</x:v>
      </x:c>
      <x:c r="I175" s="2" t="n">
        <x:v>4</x:v>
      </x:c>
      <x:c r="J175" s="2" t="str">
        <x:v>Common core</x:v>
      </x:c>
      <x:c r="K175" s="2" t="str">
        <x:v>Completed</x:v>
      </x:c>
      <x:c r="L175" s="2" t="str">
        <x:v>Not separately reported</x:v>
      </x:c>
      <x:c r="M175" s="2" t="str">
        <x:v>NR</x:v>
      </x:c>
      <x:c r="N175" s="2" t="str">
        <x:v>NR</x:v>
      </x:c>
      <x:c r="O175" s="2" t="str">
        <x:v>NR</x:v>
      </x:c>
      <x:c r="P175" s="6" t="str">
        <x:v>NR</x:v>
      </x:c>
      <x:c r="Q175" s="2" t="str">
        <x:v>NR</x:v>
      </x:c>
      <x:c r="R175" s="6" t="str">
        <x:v>NR</x:v>
      </x:c>
      <x:c r="S175" s="2" t="str">
        <x:v>NR</x:v>
      </x:c>
      <x:c r="T175" s="2" t="str">
        <x:v>NR</x:v>
      </x:c>
      <x:c r="U175" s="2" t="str">
        <x:v>NR</x:v>
      </x:c>
      <x:c r="V175" s="6" t="str">
        <x:v>Task-specific coded evidence</x:v>
      </x:c>
      <x:c r="W175" s="6" t="str">
        <x:v>p. 3; Section 1</x:v>
      </x:c>
      <x:c r="X175" s="6" t="str">
        <x:v>the framework verifies whether the requirements adhere to these references using advanced prompting techniques.</x:v>
      </x:c>
      <x:c r="Y175" s="6" t="str">
        <x:v>See task-step evidence references in the RQ2 supplement.</x:v>
      </x:c>
      <x:c r="Z175" s="2" t="str">
        <x:v>Accepted</x:v>
      </x:c>
      <x:c r="AA175" s="6" t="str">
        <x:v>NR</x:v>
      </x:c>
    </x:row>
    <x:row r="176" ht="76" customHeight="1">
      <x:c r="A176" s="2" t="str">
        <x:v>S20-T02-P5</x:v>
      </x:c>
      <x:c r="B176" s="2" t="str">
        <x:v>S20</x:v>
      </x:c>
      <x:c r="C176" s="2" t="str">
        <x:v>merged_1151-v1</x:v>
      </x:c>
      <x:c r="D176" s="2" t="str">
        <x:v>Final coding</x:v>
      </x:c>
      <x:c r="E176" s="2" t="str">
        <x:v>R1/R2</x:v>
      </x:c>
      <x:c r="F176" s="2" t="str">
        <x:v>S20-T02-PROC</x:v>
      </x:c>
      <x:c r="G176" s="2" t="str">
        <x:v>S20-T02</x:v>
      </x:c>
      <x:c r="H176" s="2" t="str">
        <x:v>5 Evolution and embedding</x:v>
      </x:c>
      <x:c r="I176" s="2" t="n">
        <x:v>5</x:v>
      </x:c>
      <x:c r="J176" s="2" t="str">
        <x:v>Common core</x:v>
      </x:c>
      <x:c r="K176" s="2" t="str">
        <x:v>Completed</x:v>
      </x:c>
      <x:c r="L176" s="2" t="str">
        <x:v>Not separately reported</x:v>
      </x:c>
      <x:c r="M176" s="2" t="str">
        <x:v>NR</x:v>
      </x:c>
      <x:c r="N176" s="2" t="str">
        <x:v>NR</x:v>
      </x:c>
      <x:c r="O176" s="2" t="str">
        <x:v>NR</x:v>
      </x:c>
      <x:c r="P176" s="6" t="str">
        <x:v>NR</x:v>
      </x:c>
      <x:c r="Q176" s="2" t="str">
        <x:v>NR</x:v>
      </x:c>
      <x:c r="R176" s="6" t="str">
        <x:v>NR</x:v>
      </x:c>
      <x:c r="S176" s="2" t="str">
        <x:v>NR</x:v>
      </x:c>
      <x:c r="T176" s="2" t="str">
        <x:v>NR</x:v>
      </x:c>
      <x:c r="U176" s="2" t="str">
        <x:v>NR</x:v>
      </x:c>
      <x:c r="V176" s="6" t="str">
        <x:v>Task-specific coded evidence</x:v>
      </x:c>
      <x:c r="W176" s="6" t="str">
        <x:v>p. 3; Section 1</x:v>
      </x:c>
      <x:c r="X176" s="6" t="str">
        <x:v>the framework verifies whether the requirements adhere to these references using advanced prompting techniques.</x:v>
      </x:c>
      <x:c r="Y176" s="6" t="str">
        <x:v>See task-step evidence references in the RQ2 supplement.</x:v>
      </x:c>
      <x:c r="Z176" s="2" t="str">
        <x:v>Accepted</x:v>
      </x:c>
      <x:c r="AA176" s="6" t="str">
        <x:v>NR</x:v>
      </x:c>
    </x:row>
    <x:row r="177" ht="76" customHeight="1">
      <x:c r="A177" s="2" t="str">
        <x:v>S21-T01-P1</x:v>
      </x:c>
      <x:c r="B177" s="2" t="str">
        <x:v>S21</x:v>
      </x:c>
      <x:c r="C177" s="2" t="str">
        <x:v>merged_1152</x:v>
      </x:c>
      <x:c r="D177" s="2" t="str">
        <x:v>Final coding</x:v>
      </x:c>
      <x:c r="E177" s="2" t="str">
        <x:v>R1/R2</x:v>
      </x:c>
      <x:c r="F177" s="2" t="str">
        <x:v>S21-T01-PROC</x:v>
      </x:c>
      <x:c r="G177" s="2" t="str">
        <x:v>S21-T01</x:v>
      </x:c>
      <x:c r="H177" s="2" t="str">
        <x:v>1 Artifact acquisition and scoping</x:v>
      </x:c>
      <x:c r="I177" s="2" t="n">
        <x:v>1</x:v>
      </x:c>
      <x:c r="J177" s="2" t="str">
        <x:v>Common core</x:v>
      </x:c>
      <x:c r="K177" s="2" t="str">
        <x:v>Completed</x:v>
      </x:c>
      <x:c r="L177" s="2" t="str">
        <x:v>Not separately reported</x:v>
      </x:c>
      <x:c r="M177" s="2" t="str">
        <x:v>NR</x:v>
      </x:c>
      <x:c r="N177" s="2" t="str">
        <x:v>NR</x:v>
      </x:c>
      <x:c r="O177" s="2" t="str">
        <x:v>NR</x:v>
      </x:c>
      <x:c r="P177" s="6" t="str">
        <x:v>NR</x:v>
      </x:c>
      <x:c r="Q177" s="2" t="str">
        <x:v>NR</x:v>
      </x:c>
      <x:c r="R177" s="6" t="str">
        <x:v>NR</x:v>
      </x:c>
      <x:c r="S177" s="2" t="str">
        <x:v>NR</x:v>
      </x:c>
      <x:c r="T177" s="2" t="str">
        <x:v>NR</x:v>
      </x:c>
      <x:c r="U177" s="2" t="str">
        <x:v>NR</x:v>
      </x:c>
      <x:c r="V177" s="6" t="str">
        <x:v>Task-specific coded evidence</x:v>
      </x:c>
      <x:c r="W177" s="6" t="str">
        <x:v>p. 3; Section III Experimental Setup</x:v>
      </x:c>
      <x:c r="X177" s="6" t="str">
        <x:v>For our first approach, we prompted the model to classify every source and target artifact pair.</x:v>
      </x:c>
      <x:c r="Y177" s="6" t="str">
        <x:v>See task-step evidence references in the RQ2 supplement.</x:v>
      </x:c>
      <x:c r="Z177" s="2" t="str">
        <x:v>Accepted</x:v>
      </x:c>
      <x:c r="AA177" s="6" t="str">
        <x:v>NR</x:v>
      </x:c>
    </x:row>
    <x:row r="178" ht="76" customHeight="1">
      <x:c r="A178" s="2" t="str">
        <x:v>S21-T01-P2</x:v>
      </x:c>
      <x:c r="B178" s="2" t="str">
        <x:v>S21</x:v>
      </x:c>
      <x:c r="C178" s="2" t="str">
        <x:v>merged_1152</x:v>
      </x:c>
      <x:c r="D178" s="2" t="str">
        <x:v>Final coding</x:v>
      </x:c>
      <x:c r="E178" s="2" t="str">
        <x:v>R1/R2</x:v>
      </x:c>
      <x:c r="F178" s="2" t="str">
        <x:v>S21-T01-PROC</x:v>
      </x:c>
      <x:c r="G178" s="2" t="str">
        <x:v>S21-T01</x:v>
      </x:c>
      <x:c r="H178" s="2" t="str">
        <x:v>2 Semantic contextualization</x:v>
      </x:c>
      <x:c r="I178" s="2" t="n">
        <x:v>2</x:v>
      </x:c>
      <x:c r="J178" s="2" t="str">
        <x:v>Common core</x:v>
      </x:c>
      <x:c r="K178" s="2" t="str">
        <x:v>Completed</x:v>
      </x:c>
      <x:c r="L178" s="2" t="str">
        <x:v>Explicitly evidenced</x:v>
      </x:c>
      <x:c r="M178" s="2" t="str">
        <x:v>NR</x:v>
      </x:c>
      <x:c r="N178" s="2" t="str">
        <x:v>NR</x:v>
      </x:c>
      <x:c r="O178" s="2" t="str">
        <x:v>NR</x:v>
      </x:c>
      <x:c r="P178" s="6" t="str">
        <x:v>NR</x:v>
      </x:c>
      <x:c r="Q178" s="2" t="str">
        <x:v>2 Semantic contextualization</x:v>
      </x:c>
      <x:c r="R178" s="6" t="str">
        <x:v>NR</x:v>
      </x:c>
      <x:c r="S178" s="2" t="str">
        <x:v>NR</x:v>
      </x:c>
      <x:c r="T178" s="2" t="str">
        <x:v>NR</x:v>
      </x:c>
      <x:c r="U178" s="2" t="str">
        <x:v>NR</x:v>
      </x:c>
      <x:c r="V178" s="6" t="str">
        <x:v>Task-specific coded evidence</x:v>
      </x:c>
      <x:c r="W178" s="6" t="str">
        <x:v>p. 3; Section III Experimental Setup</x:v>
      </x:c>
      <x:c r="X178" s="6" t="str">
        <x:v>For our first approach, we prompted the model to classify every source and target artifact pair.</x:v>
      </x:c>
      <x:c r="Y178" s="6" t="str">
        <x:v>See task-step evidence references in the RQ2 supplement.</x:v>
      </x:c>
      <x:c r="Z178" s="2" t="str">
        <x:v>Accepted</x:v>
      </x:c>
      <x:c r="AA178" s="6" t="str">
        <x:v>NR</x:v>
      </x:c>
    </x:row>
    <x:row r="179" ht="76" customHeight="1">
      <x:c r="A179" s="2" t="str">
        <x:v>S21-T01-P3</x:v>
      </x:c>
      <x:c r="B179" s="2" t="str">
        <x:v>S21</x:v>
      </x:c>
      <x:c r="C179" s="2" t="str">
        <x:v>merged_1152</x:v>
      </x:c>
      <x:c r="D179" s="2" t="str">
        <x:v>Final coding</x:v>
      </x:c>
      <x:c r="E179" s="2" t="str">
        <x:v>R1/R2</x:v>
      </x:c>
      <x:c r="F179" s="2" t="str">
        <x:v>S21-T01-PROC</x:v>
      </x:c>
      <x:c r="G179" s="2" t="str">
        <x:v>S21-T01</x:v>
      </x:c>
      <x:c r="H179" s="2" t="str">
        <x:v>3 Traceability inference</x:v>
      </x:c>
      <x:c r="I179" s="2" t="n">
        <x:v>3</x:v>
      </x:c>
      <x:c r="J179" s="2" t="str">
        <x:v>Common core</x:v>
      </x:c>
      <x:c r="K179" s="2" t="str">
        <x:v>Completed</x:v>
      </x:c>
      <x:c r="L179" s="2" t="str">
        <x:v>Explicitly evidenced</x:v>
      </x:c>
      <x:c r="M179" s="2" t="str">
        <x:v>NR</x:v>
      </x:c>
      <x:c r="N179" s="2" t="str">
        <x:v>NR</x:v>
      </x:c>
      <x:c r="O179" s="2" t="str">
        <x:v>NR</x:v>
      </x:c>
      <x:c r="P179" s="6" t="str">
        <x:v>NR</x:v>
      </x:c>
      <x:c r="Q179" s="2" t="str">
        <x:v>3 Traceability inference</x:v>
      </x:c>
      <x:c r="R179" s="6" t="str">
        <x:v>每对工件的'是'或'否'预测，与真实链接比较计算精确率和召回率。</x:v>
      </x:c>
      <x:c r="S179" s="2" t="str">
        <x:v>NR</x:v>
      </x:c>
      <x:c r="T179" s="2" t="str">
        <x:v>NR</x:v>
      </x:c>
      <x:c r="U179" s="2" t="str">
        <x:v>NR</x:v>
      </x:c>
      <x:c r="V179" s="6" t="str">
        <x:v>Task-specific coded evidence</x:v>
      </x:c>
      <x:c r="W179" s="6" t="str">
        <x:v>p. 3; Section III Experimental Setup</x:v>
      </x:c>
      <x:c r="X179" s="6" t="str">
        <x:v>For our first approach, we prompted the model to classify every source and target artifact pair.</x:v>
      </x:c>
      <x:c r="Y179" s="6" t="str">
        <x:v>See task-step evidence references in the RQ2 supplement.</x:v>
      </x:c>
      <x:c r="Z179" s="2" t="str">
        <x:v>Accepted</x:v>
      </x:c>
      <x:c r="AA179" s="6" t="str">
        <x:v>NR</x:v>
      </x:c>
    </x:row>
    <x:row r="180" ht="76" customHeight="1">
      <x:c r="A180" s="2" t="str">
        <x:v>S21-T01-P4</x:v>
      </x:c>
      <x:c r="B180" s="2" t="str">
        <x:v>S21</x:v>
      </x:c>
      <x:c r="C180" s="2" t="str">
        <x:v>merged_1152</x:v>
      </x:c>
      <x:c r="D180" s="2" t="str">
        <x:v>Final coding</x:v>
      </x:c>
      <x:c r="E180" s="2" t="str">
        <x:v>R1/R2</x:v>
      </x:c>
      <x:c r="F180" s="2" t="str">
        <x:v>S21-T01-PROC</x:v>
      </x:c>
      <x:c r="G180" s="2" t="str">
        <x:v>S21-T01</x:v>
      </x:c>
      <x:c r="H180" s="2" t="str">
        <x:v>4 Validation and explanation</x:v>
      </x:c>
      <x:c r="I180" s="2" t="n">
        <x:v>4</x:v>
      </x:c>
      <x:c r="J180" s="2" t="str">
        <x:v>Common core</x:v>
      </x:c>
      <x:c r="K180" s="2" t="str">
        <x:v>Completed</x:v>
      </x:c>
      <x:c r="L180" s="2" t="str">
        <x:v>Not separately reported</x:v>
      </x:c>
      <x:c r="M180" s="2" t="str">
        <x:v>NR</x:v>
      </x:c>
      <x:c r="N180" s="2" t="str">
        <x:v>NR</x:v>
      </x:c>
      <x:c r="O180" s="2" t="str">
        <x:v>NR</x:v>
      </x:c>
      <x:c r="P180" s="6" t="str">
        <x:v>NR</x:v>
      </x:c>
      <x:c r="Q180" s="2" t="str">
        <x:v>NR</x:v>
      </x:c>
      <x:c r="R180" s="6" t="str">
        <x:v>NR</x:v>
      </x:c>
      <x:c r="S180" s="2" t="str">
        <x:v>NR</x:v>
      </x:c>
      <x:c r="T180" s="2" t="str">
        <x:v>NR</x:v>
      </x:c>
      <x:c r="U180" s="2" t="str">
        <x:v>NR</x:v>
      </x:c>
      <x:c r="V180" s="6" t="str">
        <x:v>Task-specific coded evidence</x:v>
      </x:c>
      <x:c r="W180" s="6" t="str">
        <x:v>p. 3; Section III Experimental Setup</x:v>
      </x:c>
      <x:c r="X180" s="6" t="str">
        <x:v>For our first approach, we prompted the model to classify every source and target artifact pair.</x:v>
      </x:c>
      <x:c r="Y180" s="6" t="str">
        <x:v>See task-step evidence references in the RQ2 supplement.</x:v>
      </x:c>
      <x:c r="Z180" s="2" t="str">
        <x:v>Accepted</x:v>
      </x:c>
      <x:c r="AA180" s="6" t="str">
        <x:v>NR</x:v>
      </x:c>
    </x:row>
    <x:row r="181" ht="76" customHeight="1">
      <x:c r="A181" s="2" t="str">
        <x:v>S21-T01-P5</x:v>
      </x:c>
      <x:c r="B181" s="2" t="str">
        <x:v>S21</x:v>
      </x:c>
      <x:c r="C181" s="2" t="str">
        <x:v>merged_1152</x:v>
      </x:c>
      <x:c r="D181" s="2" t="str">
        <x:v>Final coding</x:v>
      </x:c>
      <x:c r="E181" s="2" t="str">
        <x:v>R1/R2</x:v>
      </x:c>
      <x:c r="F181" s="2" t="str">
        <x:v>S21-T01-PROC</x:v>
      </x:c>
      <x:c r="G181" s="2" t="str">
        <x:v>S21-T01</x:v>
      </x:c>
      <x:c r="H181" s="2" t="str">
        <x:v>5 Evolution and embedding</x:v>
      </x:c>
      <x:c r="I181" s="2" t="n">
        <x:v>5</x:v>
      </x:c>
      <x:c r="J181" s="2" t="str">
        <x:v>Common core</x:v>
      </x:c>
      <x:c r="K181" s="2" t="str">
        <x:v>Completed</x:v>
      </x:c>
      <x:c r="L181" s="2" t="str">
        <x:v>Not separately reported</x:v>
      </x:c>
      <x:c r="M181" s="2" t="str">
        <x:v>NR</x:v>
      </x:c>
      <x:c r="N181" s="2" t="str">
        <x:v>NR</x:v>
      </x:c>
      <x:c r="O181" s="2" t="str">
        <x:v>NR</x:v>
      </x:c>
      <x:c r="P181" s="6" t="str">
        <x:v>NR</x:v>
      </x:c>
      <x:c r="Q181" s="2" t="str">
        <x:v>NR</x:v>
      </x:c>
      <x:c r="R181" s="6" t="str">
        <x:v>NR</x:v>
      </x:c>
      <x:c r="S181" s="2" t="str">
        <x:v>NR</x:v>
      </x:c>
      <x:c r="T181" s="2" t="str">
        <x:v>NR</x:v>
      </x:c>
      <x:c r="U181" s="2" t="str">
        <x:v>NR</x:v>
      </x:c>
      <x:c r="V181" s="6" t="str">
        <x:v>Task-specific coded evidence</x:v>
      </x:c>
      <x:c r="W181" s="6" t="str">
        <x:v>p. 3; Section III Experimental Setup</x:v>
      </x:c>
      <x:c r="X181" s="6" t="str">
        <x:v>For our first approach, we prompted the model to classify every source and target artifact pair.</x:v>
      </x:c>
      <x:c r="Y181" s="6" t="str">
        <x:v>See task-step evidence references in the RQ2 supplement.</x:v>
      </x:c>
      <x:c r="Z181" s="2" t="str">
        <x:v>Accepted</x:v>
      </x:c>
      <x:c r="AA181" s="6" t="str">
        <x:v>NR</x:v>
      </x:c>
    </x:row>
    <x:row r="182" ht="76" customHeight="1">
      <x:c r="A182" s="2" t="str">
        <x:v>S21-T02-P1</x:v>
      </x:c>
      <x:c r="B182" s="2" t="str">
        <x:v>S21</x:v>
      </x:c>
      <x:c r="C182" s="2" t="str">
        <x:v>merged_1152</x:v>
      </x:c>
      <x:c r="D182" s="2" t="str">
        <x:v>Final coding</x:v>
      </x:c>
      <x:c r="E182" s="2" t="str">
        <x:v>R1/R2</x:v>
      </x:c>
      <x:c r="F182" s="2" t="str">
        <x:v>S21-T02-PROC</x:v>
      </x:c>
      <x:c r="G182" s="2" t="str">
        <x:v>S21-T02</x:v>
      </x:c>
      <x:c r="H182" s="2" t="str">
        <x:v>1 Artifact acquisition and scoping</x:v>
      </x:c>
      <x:c r="I182" s="2" t="n">
        <x:v>1</x:v>
      </x:c>
      <x:c r="J182" s="2" t="str">
        <x:v>Common core</x:v>
      </x:c>
      <x:c r="K182" s="2" t="str">
        <x:v>Completed</x:v>
      </x:c>
      <x:c r="L182" s="2" t="str">
        <x:v>Not separately reported</x:v>
      </x:c>
      <x:c r="M182" s="2" t="str">
        <x:v>NR</x:v>
      </x:c>
      <x:c r="N182" s="2" t="str">
        <x:v>NR</x:v>
      </x:c>
      <x:c r="O182" s="2" t="str">
        <x:v>NR</x:v>
      </x:c>
      <x:c r="P182" s="6" t="str">
        <x:v>NR</x:v>
      </x:c>
      <x:c r="Q182" s="2" t="str">
        <x:v>NR</x:v>
      </x:c>
      <x:c r="R182" s="6" t="str">
        <x:v>NR</x:v>
      </x:c>
      <x:c r="S182" s="2" t="str">
        <x:v>NR</x:v>
      </x:c>
      <x:c r="T182" s="2" t="str">
        <x:v>NR</x:v>
      </x:c>
      <x:c r="U182" s="2" t="str">
        <x:v>NR</x:v>
      </x:c>
      <x:c r="V182" s="6" t="str">
        <x:v>Task-specific coded evidence</x:v>
      </x:c>
      <x:c r="W182" s="6" t="str">
        <x:v>p. 3; Section III Experimental Setup</x:v>
      </x:c>
      <x:c r="X182" s="6" t="str">
        <x:v>For our ranking approach, we prompted the model to rank all targets for each source artifact.</x:v>
      </x:c>
      <x:c r="Y182" s="6" t="str">
        <x:v>See task-step evidence references in the RQ2 supplement.</x:v>
      </x:c>
      <x:c r="Z182" s="2" t="str">
        <x:v>Accepted</x:v>
      </x:c>
      <x:c r="AA182" s="6" t="str">
        <x:v>NR</x:v>
      </x:c>
    </x:row>
    <x:row r="183" ht="76" customHeight="1">
      <x:c r="A183" s="2" t="str">
        <x:v>S21-T02-P2</x:v>
      </x:c>
      <x:c r="B183" s="2" t="str">
        <x:v>S21</x:v>
      </x:c>
      <x:c r="C183" s="2" t="str">
        <x:v>merged_1152</x:v>
      </x:c>
      <x:c r="D183" s="2" t="str">
        <x:v>Final coding</x:v>
      </x:c>
      <x:c r="E183" s="2" t="str">
        <x:v>R1/R2</x:v>
      </x:c>
      <x:c r="F183" s="2" t="str">
        <x:v>S21-T02-PROC</x:v>
      </x:c>
      <x:c r="G183" s="2" t="str">
        <x:v>S21-T02</x:v>
      </x:c>
      <x:c r="H183" s="2" t="str">
        <x:v>2 Semantic contextualization</x:v>
      </x:c>
      <x:c r="I183" s="2" t="n">
        <x:v>2</x:v>
      </x:c>
      <x:c r="J183" s="2" t="str">
        <x:v>Common core</x:v>
      </x:c>
      <x:c r="K183" s="2" t="str">
        <x:v>Completed</x:v>
      </x:c>
      <x:c r="L183" s="2" t="str">
        <x:v>Explicitly evidenced</x:v>
      </x:c>
      <x:c r="M183" s="2" t="str">
        <x:v>NR</x:v>
      </x:c>
      <x:c r="N183" s="2" t="str">
        <x:v>NR</x:v>
      </x:c>
      <x:c r="O183" s="2" t="str">
        <x:v>NR</x:v>
      </x:c>
      <x:c r="P183" s="6" t="str">
        <x:v>NR</x:v>
      </x:c>
      <x:c r="Q183" s="2" t="str">
        <x:v>2 Semantic contextualization</x:v>
      </x:c>
      <x:c r="R183" s="6" t="str">
        <x:v>NR</x:v>
      </x:c>
      <x:c r="S183" s="2" t="str">
        <x:v>NR</x:v>
      </x:c>
      <x:c r="T183" s="2" t="str">
        <x:v>NR</x:v>
      </x:c>
      <x:c r="U183" s="2" t="str">
        <x:v>NR</x:v>
      </x:c>
      <x:c r="V183" s="6" t="str">
        <x:v>Task-specific coded evidence</x:v>
      </x:c>
      <x:c r="W183" s="6" t="str">
        <x:v>p. 3; Section III Experimental Setup</x:v>
      </x:c>
      <x:c r="X183" s="6" t="str">
        <x:v>For our ranking approach, we prompted the model to rank all targets for each source artifact.</x:v>
      </x:c>
      <x:c r="Y183" s="6" t="str">
        <x:v>See task-step evidence references in the RQ2 supplement.</x:v>
      </x:c>
      <x:c r="Z183" s="2" t="str">
        <x:v>Accepted</x:v>
      </x:c>
      <x:c r="AA183" s="6" t="str">
        <x:v>NR</x:v>
      </x:c>
    </x:row>
    <x:row r="184" ht="76" customHeight="1">
      <x:c r="A184" s="2" t="str">
        <x:v>S21-T02-P3</x:v>
      </x:c>
      <x:c r="B184" s="2" t="str">
        <x:v>S21</x:v>
      </x:c>
      <x:c r="C184" s="2" t="str">
        <x:v>merged_1152</x:v>
      </x:c>
      <x:c r="D184" s="2" t="str">
        <x:v>Final coding</x:v>
      </x:c>
      <x:c r="E184" s="2" t="str">
        <x:v>R1/R2</x:v>
      </x:c>
      <x:c r="F184" s="2" t="str">
        <x:v>S21-T02-PROC</x:v>
      </x:c>
      <x:c r="G184" s="2" t="str">
        <x:v>S21-T02</x:v>
      </x:c>
      <x:c r="H184" s="2" t="str">
        <x:v>3 Traceability inference</x:v>
      </x:c>
      <x:c r="I184" s="2" t="n">
        <x:v>3</x:v>
      </x:c>
      <x:c r="J184" s="2" t="str">
        <x:v>Common core</x:v>
      </x:c>
      <x:c r="K184" s="2" t="str">
        <x:v>Completed</x:v>
      </x:c>
      <x:c r="L184" s="2" t="str">
        <x:v>Explicitly evidenced</x:v>
      </x:c>
      <x:c r="M184" s="2" t="str">
        <x:v>NR</x:v>
      </x:c>
      <x:c r="N184" s="2" t="str">
        <x:v>NR</x:v>
      </x:c>
      <x:c r="O184" s="2" t="str">
        <x:v>NR</x:v>
      </x:c>
      <x:c r="P184" s="6" t="str">
        <x:v>NR</x:v>
      </x:c>
      <x:c r="Q184" s="2" t="str">
        <x:v>3 Traceability inference</x:v>
      </x:c>
      <x:c r="R184" s="6" t="str">
        <x:v>每个源工件的目标工件排序列表，与真实链接对比计算MAP。</x:v>
      </x:c>
      <x:c r="S184" s="2" t="str">
        <x:v>NR</x:v>
      </x:c>
      <x:c r="T184" s="2" t="str">
        <x:v>NR</x:v>
      </x:c>
      <x:c r="U184" s="2" t="str">
        <x:v>NR</x:v>
      </x:c>
      <x:c r="V184" s="6" t="str">
        <x:v>Task-specific coded evidence</x:v>
      </x:c>
      <x:c r="W184" s="6" t="str">
        <x:v>p. 3; Section III Experimental Setup</x:v>
      </x:c>
      <x:c r="X184" s="6" t="str">
        <x:v>For our ranking approach, we prompted the model to rank all targets for each source artifact.</x:v>
      </x:c>
      <x:c r="Y184" s="6" t="str">
        <x:v>See task-step evidence references in the RQ2 supplement.</x:v>
      </x:c>
      <x:c r="Z184" s="2" t="str">
        <x:v>Accepted</x:v>
      </x:c>
      <x:c r="AA184" s="6" t="str">
        <x:v>NR</x:v>
      </x:c>
    </x:row>
    <x:row r="185" ht="76" customHeight="1">
      <x:c r="A185" s="2" t="str">
        <x:v>S21-T02-P4</x:v>
      </x:c>
      <x:c r="B185" s="2" t="str">
        <x:v>S21</x:v>
      </x:c>
      <x:c r="C185" s="2" t="str">
        <x:v>merged_1152</x:v>
      </x:c>
      <x:c r="D185" s="2" t="str">
        <x:v>Final coding</x:v>
      </x:c>
      <x:c r="E185" s="2" t="str">
        <x:v>R1/R2</x:v>
      </x:c>
      <x:c r="F185" s="2" t="str">
        <x:v>S21-T02-PROC</x:v>
      </x:c>
      <x:c r="G185" s="2" t="str">
        <x:v>S21-T02</x:v>
      </x:c>
      <x:c r="H185" s="2" t="str">
        <x:v>4 Validation and explanation</x:v>
      </x:c>
      <x:c r="I185" s="2" t="n">
        <x:v>4</x:v>
      </x:c>
      <x:c r="J185" s="2" t="str">
        <x:v>Common core</x:v>
      </x:c>
      <x:c r="K185" s="2" t="str">
        <x:v>Completed</x:v>
      </x:c>
      <x:c r="L185" s="2" t="str">
        <x:v>Not separately reported</x:v>
      </x:c>
      <x:c r="M185" s="2" t="str">
        <x:v>NR</x:v>
      </x:c>
      <x:c r="N185" s="2" t="str">
        <x:v>NR</x:v>
      </x:c>
      <x:c r="O185" s="2" t="str">
        <x:v>NR</x:v>
      </x:c>
      <x:c r="P185" s="6" t="str">
        <x:v>NR</x:v>
      </x:c>
      <x:c r="Q185" s="2" t="str">
        <x:v>NR</x:v>
      </x:c>
      <x:c r="R185" s="6" t="str">
        <x:v>NR</x:v>
      </x:c>
      <x:c r="S185" s="2" t="str">
        <x:v>NR</x:v>
      </x:c>
      <x:c r="T185" s="2" t="str">
        <x:v>NR</x:v>
      </x:c>
      <x:c r="U185" s="2" t="str">
        <x:v>NR</x:v>
      </x:c>
      <x:c r="V185" s="6" t="str">
        <x:v>Task-specific coded evidence</x:v>
      </x:c>
      <x:c r="W185" s="6" t="str">
        <x:v>p. 3; Section III Experimental Setup</x:v>
      </x:c>
      <x:c r="X185" s="6" t="str">
        <x:v>For our ranking approach, we prompted the model to rank all targets for each source artifact.</x:v>
      </x:c>
      <x:c r="Y185" s="6" t="str">
        <x:v>See task-step evidence references in the RQ2 supplement.</x:v>
      </x:c>
      <x:c r="Z185" s="2" t="str">
        <x:v>Accepted</x:v>
      </x:c>
      <x:c r="AA185" s="6" t="str">
        <x:v>NR</x:v>
      </x:c>
    </x:row>
    <x:row r="186" ht="76" customHeight="1">
      <x:c r="A186" s="2" t="str">
        <x:v>S21-T02-P5</x:v>
      </x:c>
      <x:c r="B186" s="2" t="str">
        <x:v>S21</x:v>
      </x:c>
      <x:c r="C186" s="2" t="str">
        <x:v>merged_1152</x:v>
      </x:c>
      <x:c r="D186" s="2" t="str">
        <x:v>Final coding</x:v>
      </x:c>
      <x:c r="E186" s="2" t="str">
        <x:v>R1/R2</x:v>
      </x:c>
      <x:c r="F186" s="2" t="str">
        <x:v>S21-T02-PROC</x:v>
      </x:c>
      <x:c r="G186" s="2" t="str">
        <x:v>S21-T02</x:v>
      </x:c>
      <x:c r="H186" s="2" t="str">
        <x:v>5 Evolution and embedding</x:v>
      </x:c>
      <x:c r="I186" s="2" t="n">
        <x:v>5</x:v>
      </x:c>
      <x:c r="J186" s="2" t="str">
        <x:v>Common core</x:v>
      </x:c>
      <x:c r="K186" s="2" t="str">
        <x:v>Completed</x:v>
      </x:c>
      <x:c r="L186" s="2" t="str">
        <x:v>Not separately reported</x:v>
      </x:c>
      <x:c r="M186" s="2" t="str">
        <x:v>NR</x:v>
      </x:c>
      <x:c r="N186" s="2" t="str">
        <x:v>NR</x:v>
      </x:c>
      <x:c r="O186" s="2" t="str">
        <x:v>NR</x:v>
      </x:c>
      <x:c r="P186" s="6" t="str">
        <x:v>NR</x:v>
      </x:c>
      <x:c r="Q186" s="2" t="str">
        <x:v>NR</x:v>
      </x:c>
      <x:c r="R186" s="6" t="str">
        <x:v>NR</x:v>
      </x:c>
      <x:c r="S186" s="2" t="str">
        <x:v>NR</x:v>
      </x:c>
      <x:c r="T186" s="2" t="str">
        <x:v>NR</x:v>
      </x:c>
      <x:c r="U186" s="2" t="str">
        <x:v>NR</x:v>
      </x:c>
      <x:c r="V186" s="6" t="str">
        <x:v>Task-specific coded evidence</x:v>
      </x:c>
      <x:c r="W186" s="6" t="str">
        <x:v>p. 3; Section III Experimental Setup</x:v>
      </x:c>
      <x:c r="X186" s="6" t="str">
        <x:v>For our ranking approach, we prompted the model to rank all targets for each source artifact.</x:v>
      </x:c>
      <x:c r="Y186" s="6" t="str">
        <x:v>See task-step evidence references in the RQ2 supplement.</x:v>
      </x:c>
      <x:c r="Z186" s="2" t="str">
        <x:v>Accepted</x:v>
      </x:c>
      <x:c r="AA186" s="6" t="str">
        <x:v>NR</x:v>
      </x:c>
    </x:row>
    <x:row r="187" ht="76" customHeight="1">
      <x:c r="A187" s="2" t="str">
        <x:v>S22-T01-P1</x:v>
      </x:c>
      <x:c r="B187" s="2" t="str">
        <x:v>S22</x:v>
      </x:c>
      <x:c r="C187" s="2" t="str">
        <x:v>merged_1154-v1</x:v>
      </x:c>
      <x:c r="D187" s="2" t="str">
        <x:v>Final coding</x:v>
      </x:c>
      <x:c r="E187" s="2" t="str">
        <x:v>R1/R2</x:v>
      </x:c>
      <x:c r="F187" s="2" t="str">
        <x:v>S22-T01-PROC</x:v>
      </x:c>
      <x:c r="G187" s="2" t="str">
        <x:v>S22-T01</x:v>
      </x:c>
      <x:c r="H187" s="2" t="str">
        <x:v>1 Artifact acquisition and scoping</x:v>
      </x:c>
      <x:c r="I187" s="2" t="n">
        <x:v>1</x:v>
      </x:c>
      <x:c r="J187" s="2" t="str">
        <x:v>Common core</x:v>
      </x:c>
      <x:c r="K187" s="2" t="str">
        <x:v>Completed</x:v>
      </x:c>
      <x:c r="L187" s="2" t="str">
        <x:v>Not separately reported</x:v>
      </x:c>
      <x:c r="M187" s="2" t="str">
        <x:v>NR</x:v>
      </x:c>
      <x:c r="N187" s="2" t="str">
        <x:v>NR</x:v>
      </x:c>
      <x:c r="O187" s="2" t="str">
        <x:v>NR</x:v>
      </x:c>
      <x:c r="P187" s="6" t="str">
        <x:v>NR</x:v>
      </x:c>
      <x:c r="Q187" s="2" t="str">
        <x:v>NR</x:v>
      </x:c>
      <x:c r="R187" s="6" t="str">
        <x:v>NR</x:v>
      </x:c>
      <x:c r="S187" s="2" t="str">
        <x:v>NR</x:v>
      </x:c>
      <x:c r="T187" s="2" t="str">
        <x:v>NR</x:v>
      </x:c>
      <x:c r="U187" s="2" t="str">
        <x:v>NR</x:v>
      </x:c>
      <x:c r="V187" s="6" t="str">
        <x:v>Task-specific coded evidence</x:v>
      </x:c>
      <x:c r="W187" s="6" t="str">
        <x:v>p. 6; Section VII Experimental Setup</x:v>
      </x:c>
      <x:c r="X187" s="6" t="str">
        <x:v>structured Multilayer Specification Security Model from system context when the original threat and risk model is</x:v>
      </x:c>
      <x:c r="Y187" s="6" t="str">
        <x:v>See task-step evidence references in the RQ2 supplement.</x:v>
      </x:c>
      <x:c r="Z187" s="2" t="str">
        <x:v>Accepted</x:v>
      </x:c>
      <x:c r="AA187" s="6" t="str">
        <x:v>NR</x:v>
      </x:c>
    </x:row>
    <x:row r="188" ht="76" customHeight="1">
      <x:c r="A188" s="2" t="str">
        <x:v>S22-T01-P2</x:v>
      </x:c>
      <x:c r="B188" s="2" t="str">
        <x:v>S22</x:v>
      </x:c>
      <x:c r="C188" s="2" t="str">
        <x:v>merged_1154-v1</x:v>
      </x:c>
      <x:c r="D188" s="2" t="str">
        <x:v>Final coding</x:v>
      </x:c>
      <x:c r="E188" s="2" t="str">
        <x:v>R1/R2</x:v>
      </x:c>
      <x:c r="F188" s="2" t="str">
        <x:v>S22-T01-PROC</x:v>
      </x:c>
      <x:c r="G188" s="2" t="str">
        <x:v>S22-T01</x:v>
      </x:c>
      <x:c r="H188" s="2" t="str">
        <x:v>2 Semantic contextualization</x:v>
      </x:c>
      <x:c r="I188" s="2" t="n">
        <x:v>2</x:v>
      </x:c>
      <x:c r="J188" s="2" t="str">
        <x:v>Common core</x:v>
      </x:c>
      <x:c r="K188" s="2" t="str">
        <x:v>Completed</x:v>
      </x:c>
      <x:c r="L188" s="2" t="str">
        <x:v>Explicitly evidenced</x:v>
      </x:c>
      <x:c r="M188" s="2" t="str">
        <x:v>NR</x:v>
      </x:c>
      <x:c r="N188" s="2" t="str">
        <x:v>NR</x:v>
      </x:c>
      <x:c r="O188" s="2" t="str">
        <x:v>NR</x:v>
      </x:c>
      <x:c r="P188" s="6" t="str">
        <x:v>NR</x:v>
      </x:c>
      <x:c r="Q188" s="2" t="str">
        <x:v>2 Semantic contextualization</x:v>
      </x:c>
      <x:c r="R188" s="6" t="str">
        <x:v>NR</x:v>
      </x:c>
      <x:c r="S188" s="2" t="str">
        <x:v>NR</x:v>
      </x:c>
      <x:c r="T188" s="2" t="str">
        <x:v>NR</x:v>
      </x:c>
      <x:c r="U188" s="2" t="str">
        <x:v>NR</x:v>
      </x:c>
      <x:c r="V188" s="6" t="str">
        <x:v>Task-specific coded evidence</x:v>
      </x:c>
      <x:c r="W188" s="6" t="str">
        <x:v>p. 6; Section VII Experimental Setup</x:v>
      </x:c>
      <x:c r="X188" s="6" t="str">
        <x:v>structured Multilayer Specification Security Model from system context when the original threat and risk model is</x:v>
      </x:c>
      <x:c r="Y188" s="6" t="str">
        <x:v>See task-step evidence references in the RQ2 supplement.</x:v>
      </x:c>
      <x:c r="Z188" s="2" t="str">
        <x:v>Accepted</x:v>
      </x:c>
      <x:c r="AA188" s="6" t="str">
        <x:v>NR</x:v>
      </x:c>
    </x:row>
    <x:row r="189" ht="76" customHeight="1">
      <x:c r="A189" s="2" t="str">
        <x:v>S22-T01-P3</x:v>
      </x:c>
      <x:c r="B189" s="2" t="str">
        <x:v>S22</x:v>
      </x:c>
      <x:c r="C189" s="2" t="str">
        <x:v>merged_1154-v1</x:v>
      </x:c>
      <x:c r="D189" s="2" t="str">
        <x:v>Final coding</x:v>
      </x:c>
      <x:c r="E189" s="2" t="str">
        <x:v>R1/R2</x:v>
      </x:c>
      <x:c r="F189" s="2" t="str">
        <x:v>S22-T01-PROC</x:v>
      </x:c>
      <x:c r="G189" s="2" t="str">
        <x:v>S22-T01</x:v>
      </x:c>
      <x:c r="H189" s="2" t="str">
        <x:v>3 Traceability inference</x:v>
      </x:c>
      <x:c r="I189" s="2" t="n">
        <x:v>3</x:v>
      </x:c>
      <x:c r="J189" s="2" t="str">
        <x:v>Common core</x:v>
      </x:c>
      <x:c r="K189" s="2" t="str">
        <x:v>Completed</x:v>
      </x:c>
      <x:c r="L189" s="2" t="str">
        <x:v>Explicitly evidenced</x:v>
      </x:c>
      <x:c r="M189" s="2" t="str">
        <x:v>NR</x:v>
      </x:c>
      <x:c r="N189" s="2" t="str">
        <x:v>NR</x:v>
      </x:c>
      <x:c r="O189" s="2" t="str">
        <x:v>NR</x:v>
      </x:c>
      <x:c r="P189" s="6" t="str">
        <x:v>NR</x:v>
      </x:c>
      <x:c r="Q189" s="2" t="str">
        <x:v>3 Traceability inference</x:v>
      </x:c>
      <x:c r="R189" s="6" t="str">
        <x:v>生成的安全模型包含了从系统实体到证据的可追溯性链。</x:v>
      </x:c>
      <x:c r="S189" s="2" t="str">
        <x:v>NR</x:v>
      </x:c>
      <x:c r="T189" s="2" t="str">
        <x:v>NR</x:v>
      </x:c>
      <x:c r="U189" s="2" t="str">
        <x:v>NR</x:v>
      </x:c>
      <x:c r="V189" s="6" t="str">
        <x:v>Task-specific coded evidence</x:v>
      </x:c>
      <x:c r="W189" s="6" t="str">
        <x:v>p. 6; Section VII Experimental Setup</x:v>
      </x:c>
      <x:c r="X189" s="6" t="str">
        <x:v>structured Multilayer Specification Security Model from system context when the original threat and risk model is</x:v>
      </x:c>
      <x:c r="Y189" s="6" t="str">
        <x:v>See task-step evidence references in the RQ2 supplement.</x:v>
      </x:c>
      <x:c r="Z189" s="2" t="str">
        <x:v>Accepted</x:v>
      </x:c>
      <x:c r="AA189" s="6" t="str">
        <x:v>NR</x:v>
      </x:c>
    </x:row>
    <x:row r="190" ht="76" customHeight="1">
      <x:c r="A190" s="2" t="str">
        <x:v>S22-T01-P4</x:v>
      </x:c>
      <x:c r="B190" s="2" t="str">
        <x:v>S22</x:v>
      </x:c>
      <x:c r="C190" s="2" t="str">
        <x:v>merged_1154-v1</x:v>
      </x:c>
      <x:c r="D190" s="2" t="str">
        <x:v>Final coding</x:v>
      </x:c>
      <x:c r="E190" s="2" t="str">
        <x:v>R1/R2</x:v>
      </x:c>
      <x:c r="F190" s="2" t="str">
        <x:v>S22-T01-PROC</x:v>
      </x:c>
      <x:c r="G190" s="2" t="str">
        <x:v>S22-T01</x:v>
      </x:c>
      <x:c r="H190" s="2" t="str">
        <x:v>4 Validation and explanation</x:v>
      </x:c>
      <x:c r="I190" s="2" t="n">
        <x:v>4</x:v>
      </x:c>
      <x:c r="J190" s="2" t="str">
        <x:v>Common core</x:v>
      </x:c>
      <x:c r="K190" s="2" t="str">
        <x:v>Completed</x:v>
      </x:c>
      <x:c r="L190" s="2" t="str">
        <x:v>Not separately reported</x:v>
      </x:c>
      <x:c r="M190" s="2" t="str">
        <x:v>NR</x:v>
      </x:c>
      <x:c r="N190" s="2" t="str">
        <x:v>NR</x:v>
      </x:c>
      <x:c r="O190" s="2" t="str">
        <x:v>NR</x:v>
      </x:c>
      <x:c r="P190" s="6" t="str">
        <x:v>NR</x:v>
      </x:c>
      <x:c r="Q190" s="2" t="str">
        <x:v>NR</x:v>
      </x:c>
      <x:c r="R190" s="6" t="str">
        <x:v>NR</x:v>
      </x:c>
      <x:c r="S190" s="2" t="str">
        <x:v>NR</x:v>
      </x:c>
      <x:c r="T190" s="2" t="str">
        <x:v>NR</x:v>
      </x:c>
      <x:c r="U190" s="2" t="str">
        <x:v>NR</x:v>
      </x:c>
      <x:c r="V190" s="6" t="str">
        <x:v>Task-specific coded evidence</x:v>
      </x:c>
      <x:c r="W190" s="6" t="str">
        <x:v>p. 6; Section VII Experimental Setup</x:v>
      </x:c>
      <x:c r="X190" s="6" t="str">
        <x:v>structured Multilayer Specification Security Model from system context when the original threat and risk model is</x:v>
      </x:c>
      <x:c r="Y190" s="6" t="str">
        <x:v>See task-step evidence references in the RQ2 supplement.</x:v>
      </x:c>
      <x:c r="Z190" s="2" t="str">
        <x:v>Accepted</x:v>
      </x:c>
      <x:c r="AA190" s="6" t="str">
        <x:v>NR</x:v>
      </x:c>
    </x:row>
    <x:row r="191" ht="76" customHeight="1">
      <x:c r="A191" s="2" t="str">
        <x:v>S22-T01-P5</x:v>
      </x:c>
      <x:c r="B191" s="2" t="str">
        <x:v>S22</x:v>
      </x:c>
      <x:c r="C191" s="2" t="str">
        <x:v>merged_1154-v1</x:v>
      </x:c>
      <x:c r="D191" s="2" t="str">
        <x:v>Final coding</x:v>
      </x:c>
      <x:c r="E191" s="2" t="str">
        <x:v>R1/R2</x:v>
      </x:c>
      <x:c r="F191" s="2" t="str">
        <x:v>S22-T01-PROC</x:v>
      </x:c>
      <x:c r="G191" s="2" t="str">
        <x:v>S22-T01</x:v>
      </x:c>
      <x:c r="H191" s="2" t="str">
        <x:v>5 Evolution and embedding</x:v>
      </x:c>
      <x:c r="I191" s="2" t="n">
        <x:v>5</x:v>
      </x:c>
      <x:c r="J191" s="2" t="str">
        <x:v>Common core</x:v>
      </x:c>
      <x:c r="K191" s="2" t="str">
        <x:v>Completed</x:v>
      </x:c>
      <x:c r="L191" s="2" t="str">
        <x:v>Not separately reported</x:v>
      </x:c>
      <x:c r="M191" s="2" t="str">
        <x:v>NR</x:v>
      </x:c>
      <x:c r="N191" s="2" t="str">
        <x:v>NR</x:v>
      </x:c>
      <x:c r="O191" s="2" t="str">
        <x:v>NR</x:v>
      </x:c>
      <x:c r="P191" s="6" t="str">
        <x:v>NR</x:v>
      </x:c>
      <x:c r="Q191" s="2" t="str">
        <x:v>NR</x:v>
      </x:c>
      <x:c r="R191" s="6" t="str">
        <x:v>NR</x:v>
      </x:c>
      <x:c r="S191" s="2" t="str">
        <x:v>NR</x:v>
      </x:c>
      <x:c r="T191" s="2" t="str">
        <x:v>NR</x:v>
      </x:c>
      <x:c r="U191" s="2" t="str">
        <x:v>NR</x:v>
      </x:c>
      <x:c r="V191" s="6" t="str">
        <x:v>Task-specific coded evidence</x:v>
      </x:c>
      <x:c r="W191" s="6" t="str">
        <x:v>p. 6; Section VII Experimental Setup</x:v>
      </x:c>
      <x:c r="X191" s="6" t="str">
        <x:v>structured Multilayer Specification Security Model from system context when the original threat and risk model is</x:v>
      </x:c>
      <x:c r="Y191" s="6" t="str">
        <x:v>See task-step evidence references in the RQ2 supplement.</x:v>
      </x:c>
      <x:c r="Z191" s="2" t="str">
        <x:v>Accepted</x:v>
      </x:c>
      <x:c r="AA191" s="6" t="str">
        <x:v>NR</x:v>
      </x:c>
    </x:row>
    <x:row r="192" ht="76" customHeight="1">
      <x:c r="A192" s="2" t="str">
        <x:v>S23-T01-P1</x:v>
      </x:c>
      <x:c r="B192" s="2" t="str">
        <x:v>S23</x:v>
      </x:c>
      <x:c r="C192" s="2" t="str">
        <x:v>merged_1156</x:v>
      </x:c>
      <x:c r="D192" s="2" t="str">
        <x:v>Final coding</x:v>
      </x:c>
      <x:c r="E192" s="2" t="str">
        <x:v>R1/R2</x:v>
      </x:c>
      <x:c r="F192" s="2" t="str">
        <x:v>S23-T01-PROC</x:v>
      </x:c>
      <x:c r="G192" s="2" t="str">
        <x:v>S23-T01</x:v>
      </x:c>
      <x:c r="H192" s="2" t="str">
        <x:v>1 Artifact acquisition and scoping</x:v>
      </x:c>
      <x:c r="I192" s="2" t="n">
        <x:v>1</x:v>
      </x:c>
      <x:c r="J192" s="2" t="str">
        <x:v>Common core</x:v>
      </x:c>
      <x:c r="K192" s="2" t="str">
        <x:v>Completed</x:v>
      </x:c>
      <x:c r="L192" s="2" t="str">
        <x:v>Not separately reported</x:v>
      </x:c>
      <x:c r="M192" s="2" t="str">
        <x:v>NR</x:v>
      </x:c>
      <x:c r="N192" s="2" t="str">
        <x:v>NR</x:v>
      </x:c>
      <x:c r="O192" s="2" t="str">
        <x:v>NR</x:v>
      </x:c>
      <x:c r="P192" s="6" t="str">
        <x:v>NR</x:v>
      </x:c>
      <x:c r="Q192" s="2" t="str">
        <x:v>NR</x:v>
      </x:c>
      <x:c r="R192" s="6" t="str">
        <x:v>NR</x:v>
      </x:c>
      <x:c r="S192" s="2" t="str">
        <x:v>NR</x:v>
      </x:c>
      <x:c r="T192" s="2" t="str">
        <x:v>NR</x:v>
      </x:c>
      <x:c r="U192" s="2" t="str">
        <x:v>NR</x:v>
      </x:c>
      <x:c r="V192" s="6" t="str">
        <x:v>Task-specific coded evidence</x:v>
      </x:c>
      <x:c r="W192" s="6" t="str">
        <x:v>p. 1; Abstract</x:v>
      </x:c>
      <x:c r="X192" s="6" t="str">
        <x:v>By inspecting the gradients of LLM output, we develop a first attempt at tracing LLM inputs through to its generated code. We use this to estimate which low-level requirements have been met.</x:v>
      </x:c>
      <x:c r="Y192" s="6" t="str">
        <x:v>See task-step evidence references in the RQ2 supplement.</x:v>
      </x:c>
      <x:c r="Z192" s="2" t="str">
        <x:v>Accepted</x:v>
      </x:c>
      <x:c r="AA192" s="6" t="str">
        <x:v>NR</x:v>
      </x:c>
    </x:row>
    <x:row r="193" ht="76" customHeight="1">
      <x:c r="A193" s="2" t="str">
        <x:v>S23-T01-P2</x:v>
      </x:c>
      <x:c r="B193" s="2" t="str">
        <x:v>S23</x:v>
      </x:c>
      <x:c r="C193" s="2" t="str">
        <x:v>merged_1156</x:v>
      </x:c>
      <x:c r="D193" s="2" t="str">
        <x:v>Final coding</x:v>
      </x:c>
      <x:c r="E193" s="2" t="str">
        <x:v>R1/R2</x:v>
      </x:c>
      <x:c r="F193" s="2" t="str">
        <x:v>S23-T01-PROC</x:v>
      </x:c>
      <x:c r="G193" s="2" t="str">
        <x:v>S23-T01</x:v>
      </x:c>
      <x:c r="H193" s="2" t="str">
        <x:v>2 Semantic contextualization</x:v>
      </x:c>
      <x:c r="I193" s="2" t="n">
        <x:v>2</x:v>
      </x:c>
      <x:c r="J193" s="2" t="str">
        <x:v>Common core</x:v>
      </x:c>
      <x:c r="K193" s="2" t="str">
        <x:v>Completed</x:v>
      </x:c>
      <x:c r="L193" s="2" t="str">
        <x:v>Not separately reported</x:v>
      </x:c>
      <x:c r="M193" s="2" t="str">
        <x:v>NR</x:v>
      </x:c>
      <x:c r="N193" s="2" t="str">
        <x:v>NR</x:v>
      </x:c>
      <x:c r="O193" s="2" t="str">
        <x:v>NR</x:v>
      </x:c>
      <x:c r="P193" s="6" t="str">
        <x:v>NR</x:v>
      </x:c>
      <x:c r="Q193" s="2" t="str">
        <x:v>NR</x:v>
      </x:c>
      <x:c r="R193" s="6" t="str">
        <x:v>NR</x:v>
      </x:c>
      <x:c r="S193" s="2" t="str">
        <x:v>NR</x:v>
      </x:c>
      <x:c r="T193" s="2" t="str">
        <x:v>NR</x:v>
      </x:c>
      <x:c r="U193" s="2" t="str">
        <x:v>NR</x:v>
      </x:c>
      <x:c r="V193" s="6" t="str">
        <x:v>Task-specific coded evidence</x:v>
      </x:c>
      <x:c r="W193" s="6" t="str">
        <x:v>p. 1; Abstract</x:v>
      </x:c>
      <x:c r="X193" s="6" t="str">
        <x:v>By inspecting the gradients of LLM output, we develop a first attempt at tracing LLM inputs through to its generated code. We use this to estimate which low-level requirements have been met.</x:v>
      </x:c>
      <x:c r="Y193" s="6" t="str">
        <x:v>See task-step evidence references in the RQ2 supplement.</x:v>
      </x:c>
      <x:c r="Z193" s="2" t="str">
        <x:v>Accepted</x:v>
      </x:c>
      <x:c r="AA193" s="6" t="str">
        <x:v>NR</x:v>
      </x:c>
    </x:row>
    <x:row r="194" ht="76" customHeight="1">
      <x:c r="A194" s="2" t="str">
        <x:v>S23-T01-P3</x:v>
      </x:c>
      <x:c r="B194" s="2" t="str">
        <x:v>S23</x:v>
      </x:c>
      <x:c r="C194" s="2" t="str">
        <x:v>merged_1156</x:v>
      </x:c>
      <x:c r="D194" s="2" t="str">
        <x:v>Final coding</x:v>
      </x:c>
      <x:c r="E194" s="2" t="str">
        <x:v>R1/R2</x:v>
      </x:c>
      <x:c r="F194" s="2" t="str">
        <x:v>S23-T01-PROC</x:v>
      </x:c>
      <x:c r="G194" s="2" t="str">
        <x:v>S23-T01</x:v>
      </x:c>
      <x:c r="H194" s="2" t="str">
        <x:v>3 Traceability inference</x:v>
      </x:c>
      <x:c r="I194" s="2" t="n">
        <x:v>3</x:v>
      </x:c>
      <x:c r="J194" s="2" t="str">
        <x:v>Common core</x:v>
      </x:c>
      <x:c r="K194" s="2" t="str">
        <x:v>Completed</x:v>
      </x:c>
      <x:c r="L194" s="2" t="str">
        <x:v>Explicitly evidenced</x:v>
      </x:c>
      <x:c r="M194" s="2" t="str">
        <x:v>NR</x:v>
      </x:c>
      <x:c r="N194" s="2" t="str">
        <x:v>NR</x:v>
      </x:c>
      <x:c r="O194" s="2" t="str">
        <x:v>NR</x:v>
      </x:c>
      <x:c r="P194" s="6" t="str">
        <x:v>NR</x:v>
      </x:c>
      <x:c r="Q194" s="2" t="str">
        <x:v>3 Traceability inference</x:v>
      </x:c>
      <x:c r="R194" s="6" t="str">
        <x:v>识别出的被忽略的需求段。</x:v>
      </x:c>
      <x:c r="S194" s="2" t="str">
        <x:v>NR</x:v>
      </x:c>
      <x:c r="T194" s="2" t="str">
        <x:v>NR</x:v>
      </x:c>
      <x:c r="U194" s="2" t="str">
        <x:v>NR</x:v>
      </x:c>
      <x:c r="V194" s="6" t="str">
        <x:v>Task-specific coded evidence</x:v>
      </x:c>
      <x:c r="W194" s="6" t="str">
        <x:v>p. 1; Abstract</x:v>
      </x:c>
      <x:c r="X194" s="6" t="str">
        <x:v>By inspecting the gradients of LLM output, we develop a first attempt at tracing LLM inputs through to its generated code. We use this to estimate which low-level requirements have been met.</x:v>
      </x:c>
      <x:c r="Y194" s="6" t="str">
        <x:v>See task-step evidence references in the RQ2 supplement.</x:v>
      </x:c>
      <x:c r="Z194" s="2" t="str">
        <x:v>Accepted</x:v>
      </x:c>
      <x:c r="AA194" s="6" t="str">
        <x:v>NR</x:v>
      </x:c>
    </x:row>
    <x:row r="195" ht="76" customHeight="1">
      <x:c r="A195" s="2" t="str">
        <x:v>S23-T01-P4</x:v>
      </x:c>
      <x:c r="B195" s="2" t="str">
        <x:v>S23</x:v>
      </x:c>
      <x:c r="C195" s="2" t="str">
        <x:v>merged_1156</x:v>
      </x:c>
      <x:c r="D195" s="2" t="str">
        <x:v>Final coding</x:v>
      </x:c>
      <x:c r="E195" s="2" t="str">
        <x:v>R1/R2</x:v>
      </x:c>
      <x:c r="F195" s="2" t="str">
        <x:v>S23-T01-PROC</x:v>
      </x:c>
      <x:c r="G195" s="2" t="str">
        <x:v>S23-T01</x:v>
      </x:c>
      <x:c r="H195" s="2" t="str">
        <x:v>4 Validation and explanation</x:v>
      </x:c>
      <x:c r="I195" s="2" t="n">
        <x:v>4</x:v>
      </x:c>
      <x:c r="J195" s="2" t="str">
        <x:v>Common core</x:v>
      </x:c>
      <x:c r="K195" s="2" t="str">
        <x:v>Completed</x:v>
      </x:c>
      <x:c r="L195" s="2" t="str">
        <x:v>Not separately reported</x:v>
      </x:c>
      <x:c r="M195" s="2" t="str">
        <x:v>NR</x:v>
      </x:c>
      <x:c r="N195" s="2" t="str">
        <x:v>NR</x:v>
      </x:c>
      <x:c r="O195" s="2" t="str">
        <x:v>NR</x:v>
      </x:c>
      <x:c r="P195" s="6" t="str">
        <x:v>NR</x:v>
      </x:c>
      <x:c r="Q195" s="2" t="str">
        <x:v>NR</x:v>
      </x:c>
      <x:c r="R195" s="6" t="str">
        <x:v>NR</x:v>
      </x:c>
      <x:c r="S195" s="2" t="str">
        <x:v>NR</x:v>
      </x:c>
      <x:c r="T195" s="2" t="str">
        <x:v>NR</x:v>
      </x:c>
      <x:c r="U195" s="2" t="str">
        <x:v>NR</x:v>
      </x:c>
      <x:c r="V195" s="6" t="str">
        <x:v>Task-specific coded evidence</x:v>
      </x:c>
      <x:c r="W195" s="6" t="str">
        <x:v>p. 1; Abstract</x:v>
      </x:c>
      <x:c r="X195" s="6" t="str">
        <x:v>By inspecting the gradients of LLM output, we develop a first attempt at tracing LLM inputs through to its generated code. We use this to estimate which low-level requirements have been met.</x:v>
      </x:c>
      <x:c r="Y195" s="6" t="str">
        <x:v>See task-step evidence references in the RQ2 supplement.</x:v>
      </x:c>
      <x:c r="Z195" s="2" t="str">
        <x:v>Accepted</x:v>
      </x:c>
      <x:c r="AA195" s="6" t="str">
        <x:v>NR</x:v>
      </x:c>
    </x:row>
    <x:row r="196" ht="76" customHeight="1">
      <x:c r="A196" s="2" t="str">
        <x:v>S23-T01-P5</x:v>
      </x:c>
      <x:c r="B196" s="2" t="str">
        <x:v>S23</x:v>
      </x:c>
      <x:c r="C196" s="2" t="str">
        <x:v>merged_1156</x:v>
      </x:c>
      <x:c r="D196" s="2" t="str">
        <x:v>Final coding</x:v>
      </x:c>
      <x:c r="E196" s="2" t="str">
        <x:v>R1/R2</x:v>
      </x:c>
      <x:c r="F196" s="2" t="str">
        <x:v>S23-T01-PROC</x:v>
      </x:c>
      <x:c r="G196" s="2" t="str">
        <x:v>S23-T01</x:v>
      </x:c>
      <x:c r="H196" s="2" t="str">
        <x:v>5 Evolution and embedding</x:v>
      </x:c>
      <x:c r="I196" s="2" t="n">
        <x:v>5</x:v>
      </x:c>
      <x:c r="J196" s="2" t="str">
        <x:v>Common core</x:v>
      </x:c>
      <x:c r="K196" s="2" t="str">
        <x:v>Completed</x:v>
      </x:c>
      <x:c r="L196" s="2" t="str">
        <x:v>Not separately reported</x:v>
      </x:c>
      <x:c r="M196" s="2" t="str">
        <x:v>NR</x:v>
      </x:c>
      <x:c r="N196" s="2" t="str">
        <x:v>NR</x:v>
      </x:c>
      <x:c r="O196" s="2" t="str">
        <x:v>NR</x:v>
      </x:c>
      <x:c r="P196" s="6" t="str">
        <x:v>NR</x:v>
      </x:c>
      <x:c r="Q196" s="2" t="str">
        <x:v>NR</x:v>
      </x:c>
      <x:c r="R196" s="6" t="str">
        <x:v>NR</x:v>
      </x:c>
      <x:c r="S196" s="2" t="str">
        <x:v>NR</x:v>
      </x:c>
      <x:c r="T196" s="2" t="str">
        <x:v>NR</x:v>
      </x:c>
      <x:c r="U196" s="2" t="str">
        <x:v>NR</x:v>
      </x:c>
      <x:c r="V196" s="6" t="str">
        <x:v>Task-specific coded evidence</x:v>
      </x:c>
      <x:c r="W196" s="6" t="str">
        <x:v>p. 1; Abstract</x:v>
      </x:c>
      <x:c r="X196" s="6" t="str">
        <x:v>By inspecting the gradients of LLM output, we develop a first attempt at tracing LLM inputs through to its generated code. We use this to estimate which low-level requirements have been met.</x:v>
      </x:c>
      <x:c r="Y196" s="6" t="str">
        <x:v>See task-step evidence references in the RQ2 supplement.</x:v>
      </x:c>
      <x:c r="Z196" s="2" t="str">
        <x:v>Accepted</x:v>
      </x:c>
      <x:c r="AA196" s="6" t="str">
        <x:v>NR</x:v>
      </x:c>
    </x:row>
    <x:row r="197" ht="76" customHeight="1">
      <x:c r="A197" s="2" t="str">
        <x:v>S23-T02-P1</x:v>
      </x:c>
      <x:c r="B197" s="2" t="str">
        <x:v>S23</x:v>
      </x:c>
      <x:c r="C197" s="2" t="str">
        <x:v>merged_1156</x:v>
      </x:c>
      <x:c r="D197" s="2" t="str">
        <x:v>Final coding</x:v>
      </x:c>
      <x:c r="E197" s="2" t="str">
        <x:v>R1/R2</x:v>
      </x:c>
      <x:c r="F197" s="2" t="str">
        <x:v>S23-T02-PROC</x:v>
      </x:c>
      <x:c r="G197" s="2" t="str">
        <x:v>S23-T02</x:v>
      </x:c>
      <x:c r="H197" s="2" t="str">
        <x:v>1 Artifact acquisition and scoping</x:v>
      </x:c>
      <x:c r="I197" s="2" t="n">
        <x:v>1</x:v>
      </x:c>
      <x:c r="J197" s="2" t="str">
        <x:v>Common core</x:v>
      </x:c>
      <x:c r="K197" s="2" t="str">
        <x:v>Completed</x:v>
      </x:c>
      <x:c r="L197" s="2" t="str">
        <x:v>Not separately reported</x:v>
      </x:c>
      <x:c r="M197" s="2" t="str">
        <x:v>NR</x:v>
      </x:c>
      <x:c r="N197" s="2" t="str">
        <x:v>NR</x:v>
      </x:c>
      <x:c r="O197" s="2" t="str">
        <x:v>NR</x:v>
      </x:c>
      <x:c r="P197" s="6" t="str">
        <x:v>NR</x:v>
      </x:c>
      <x:c r="Q197" s="2" t="str">
        <x:v>NR</x:v>
      </x:c>
      <x:c r="R197" s="6" t="str">
        <x:v>NR</x:v>
      </x:c>
      <x:c r="S197" s="2" t="str">
        <x:v>NR</x:v>
      </x:c>
      <x:c r="T197" s="2" t="str">
        <x:v>NR</x:v>
      </x:c>
      <x:c r="U197" s="2" t="str">
        <x:v>NR</x:v>
      </x:c>
      <x:c r="V197" s="6" t="str">
        <x:v>Task-specific coded evidence</x:v>
      </x:c>
      <x:c r="W197" s="6" t="str">
        <x:v>p. 2; Section I-A</x:v>
      </x:c>
      <x:c r="X197" s="6" t="str">
        <x:v>We use the ignored requirement — as determined by the calculated pooled gradients — to ask the LLM to rewrite its code.</x:v>
      </x:c>
      <x:c r="Y197" s="6" t="str">
        <x:v>See task-step evidence references in the RQ2 supplement.</x:v>
      </x:c>
      <x:c r="Z197" s="2" t="str">
        <x:v>Accepted</x:v>
      </x:c>
      <x:c r="AA197" s="6" t="str">
        <x:v>NR</x:v>
      </x:c>
    </x:row>
    <x:row r="198" ht="76" customHeight="1">
      <x:c r="A198" s="2" t="str">
        <x:v>S23-T02-P2</x:v>
      </x:c>
      <x:c r="B198" s="2" t="str">
        <x:v>S23</x:v>
      </x:c>
      <x:c r="C198" s="2" t="str">
        <x:v>merged_1156</x:v>
      </x:c>
      <x:c r="D198" s="2" t="str">
        <x:v>Final coding</x:v>
      </x:c>
      <x:c r="E198" s="2" t="str">
        <x:v>R1/R2</x:v>
      </x:c>
      <x:c r="F198" s="2" t="str">
        <x:v>S23-T02-PROC</x:v>
      </x:c>
      <x:c r="G198" s="2" t="str">
        <x:v>S23-T02</x:v>
      </x:c>
      <x:c r="H198" s="2" t="str">
        <x:v>2 Semantic contextualization</x:v>
      </x:c>
      <x:c r="I198" s="2" t="n">
        <x:v>2</x:v>
      </x:c>
      <x:c r="J198" s="2" t="str">
        <x:v>Common core</x:v>
      </x:c>
      <x:c r="K198" s="2" t="str">
        <x:v>Completed</x:v>
      </x:c>
      <x:c r="L198" s="2" t="str">
        <x:v>Not separately reported</x:v>
      </x:c>
      <x:c r="M198" s="2" t="str">
        <x:v>NR</x:v>
      </x:c>
      <x:c r="N198" s="2" t="str">
        <x:v>NR</x:v>
      </x:c>
      <x:c r="O198" s="2" t="str">
        <x:v>NR</x:v>
      </x:c>
      <x:c r="P198" s="6" t="str">
        <x:v>NR</x:v>
      </x:c>
      <x:c r="Q198" s="2" t="str">
        <x:v>NR</x:v>
      </x:c>
      <x:c r="R198" s="6" t="str">
        <x:v>NR</x:v>
      </x:c>
      <x:c r="S198" s="2" t="str">
        <x:v>NR</x:v>
      </x:c>
      <x:c r="T198" s="2" t="str">
        <x:v>NR</x:v>
      </x:c>
      <x:c r="U198" s="2" t="str">
        <x:v>NR</x:v>
      </x:c>
      <x:c r="V198" s="6" t="str">
        <x:v>Task-specific coded evidence</x:v>
      </x:c>
      <x:c r="W198" s="6" t="str">
        <x:v>p. 2; Section I-A</x:v>
      </x:c>
      <x:c r="X198" s="6" t="str">
        <x:v>We use the ignored requirement — as determined by the calculated pooled gradients — to ask the LLM to rewrite its code.</x:v>
      </x:c>
      <x:c r="Y198" s="6" t="str">
        <x:v>See task-step evidence references in the RQ2 supplement.</x:v>
      </x:c>
      <x:c r="Z198" s="2" t="str">
        <x:v>Accepted</x:v>
      </x:c>
      <x:c r="AA198" s="6" t="str">
        <x:v>NR</x:v>
      </x:c>
    </x:row>
    <x:row r="199" ht="76" customHeight="1">
      <x:c r="A199" s="2" t="str">
        <x:v>S23-T02-P3</x:v>
      </x:c>
      <x:c r="B199" s="2" t="str">
        <x:v>S23</x:v>
      </x:c>
      <x:c r="C199" s="2" t="str">
        <x:v>merged_1156</x:v>
      </x:c>
      <x:c r="D199" s="2" t="str">
        <x:v>Final coding</x:v>
      </x:c>
      <x:c r="E199" s="2" t="str">
        <x:v>R1/R2</x:v>
      </x:c>
      <x:c r="F199" s="2" t="str">
        <x:v>S23-T02-PROC</x:v>
      </x:c>
      <x:c r="G199" s="2" t="str">
        <x:v>S23-T02</x:v>
      </x:c>
      <x:c r="H199" s="2" t="str">
        <x:v>3 Traceability inference</x:v>
      </x:c>
      <x:c r="I199" s="2" t="n">
        <x:v>3</x:v>
      </x:c>
      <x:c r="J199" s="2" t="str">
        <x:v>Common core</x:v>
      </x:c>
      <x:c r="K199" s="2" t="str">
        <x:v>Completed</x:v>
      </x:c>
      <x:c r="L199" s="2" t="str">
        <x:v>Inferred from relation output</x:v>
      </x:c>
      <x:c r="M199" s="2" t="str">
        <x:v>NR</x:v>
      </x:c>
      <x:c r="N199" s="2" t="str">
        <x:v>NR</x:v>
      </x:c>
      <x:c r="O199" s="2" t="str">
        <x:v>NR</x:v>
      </x:c>
      <x:c r="P199" s="6" t="str">
        <x:v>NR</x:v>
      </x:c>
      <x:c r="Q199" s="2" t="str">
        <x:v>NR</x:v>
      </x:c>
      <x:c r="R199" s="6" t="str">
        <x:v>重写后的代码及其单元测试通过情况。</x:v>
      </x:c>
      <x:c r="S199" s="2" t="str">
        <x:v>NR</x:v>
      </x:c>
      <x:c r="T199" s="2" t="str">
        <x:v>NR</x:v>
      </x:c>
      <x:c r="U199" s="2" t="str">
        <x:v>NR</x:v>
      </x:c>
      <x:c r="V199" s="6" t="str">
        <x:v>Task-specific coded evidence</x:v>
      </x:c>
      <x:c r="W199" s="6" t="str">
        <x:v>p. 2; Section I-A</x:v>
      </x:c>
      <x:c r="X199" s="6" t="str">
        <x:v>We use the ignored requirement — as determined by the calculated pooled gradients — to ask the LLM to rewrite its code.</x:v>
      </x:c>
      <x:c r="Y199" s="6" t="str">
        <x:v>See task-step evidence references in the RQ2 supplement.</x:v>
      </x:c>
      <x:c r="Z199" s="2" t="str">
        <x:v>Accepted</x:v>
      </x:c>
      <x:c r="AA199" s="6" t="str">
        <x:v>NR</x:v>
      </x:c>
    </x:row>
    <x:row r="200" ht="76" customHeight="1">
      <x:c r="A200" s="2" t="str">
        <x:v>S23-T02-P4</x:v>
      </x:c>
      <x:c r="B200" s="2" t="str">
        <x:v>S23</x:v>
      </x:c>
      <x:c r="C200" s="2" t="str">
        <x:v>merged_1156</x:v>
      </x:c>
      <x:c r="D200" s="2" t="str">
        <x:v>Final coding</x:v>
      </x:c>
      <x:c r="E200" s="2" t="str">
        <x:v>R1/R2</x:v>
      </x:c>
      <x:c r="F200" s="2" t="str">
        <x:v>S23-T02-PROC</x:v>
      </x:c>
      <x:c r="G200" s="2" t="str">
        <x:v>S23-T02</x:v>
      </x:c>
      <x:c r="H200" s="2" t="str">
        <x:v>4 Validation and explanation</x:v>
      </x:c>
      <x:c r="I200" s="2" t="n">
        <x:v>4</x:v>
      </x:c>
      <x:c r="J200" s="2" t="str">
        <x:v>Common core</x:v>
      </x:c>
      <x:c r="K200" s="2" t="str">
        <x:v>Completed</x:v>
      </x:c>
      <x:c r="L200" s="2" t="str">
        <x:v>Not separately reported</x:v>
      </x:c>
      <x:c r="M200" s="2" t="str">
        <x:v>NR</x:v>
      </x:c>
      <x:c r="N200" s="2" t="str">
        <x:v>NR</x:v>
      </x:c>
      <x:c r="O200" s="2" t="str">
        <x:v>NR</x:v>
      </x:c>
      <x:c r="P200" s="6" t="str">
        <x:v>NR</x:v>
      </x:c>
      <x:c r="Q200" s="2" t="str">
        <x:v>NR</x:v>
      </x:c>
      <x:c r="R200" s="6" t="str">
        <x:v>NR</x:v>
      </x:c>
      <x:c r="S200" s="2" t="str">
        <x:v>NR</x:v>
      </x:c>
      <x:c r="T200" s="2" t="str">
        <x:v>NR</x:v>
      </x:c>
      <x:c r="U200" s="2" t="str">
        <x:v>NR</x:v>
      </x:c>
      <x:c r="V200" s="6" t="str">
        <x:v>Task-specific coded evidence</x:v>
      </x:c>
      <x:c r="W200" s="6" t="str">
        <x:v>p. 2; Section I-A</x:v>
      </x:c>
      <x:c r="X200" s="6" t="str">
        <x:v>We use the ignored requirement — as determined by the calculated pooled gradients — to ask the LLM to rewrite its code.</x:v>
      </x:c>
      <x:c r="Y200" s="6" t="str">
        <x:v>See task-step evidence references in the RQ2 supplement.</x:v>
      </x:c>
      <x:c r="Z200" s="2" t="str">
        <x:v>Accepted</x:v>
      </x:c>
      <x:c r="AA200" s="6" t="str">
        <x:v>NR</x:v>
      </x:c>
    </x:row>
    <x:row r="201" ht="76" customHeight="1">
      <x:c r="A201" s="2" t="str">
        <x:v>S23-T02-P5</x:v>
      </x:c>
      <x:c r="B201" s="2" t="str">
        <x:v>S23</x:v>
      </x:c>
      <x:c r="C201" s="2" t="str">
        <x:v>merged_1156</x:v>
      </x:c>
      <x:c r="D201" s="2" t="str">
        <x:v>Final coding</x:v>
      </x:c>
      <x:c r="E201" s="2" t="str">
        <x:v>R1/R2</x:v>
      </x:c>
      <x:c r="F201" s="2" t="str">
        <x:v>S23-T02-PROC</x:v>
      </x:c>
      <x:c r="G201" s="2" t="str">
        <x:v>S23-T02</x:v>
      </x:c>
      <x:c r="H201" s="2" t="str">
        <x:v>5 Evolution and embedding</x:v>
      </x:c>
      <x:c r="I201" s="2" t="n">
        <x:v>5</x:v>
      </x:c>
      <x:c r="J201" s="2" t="str">
        <x:v>Common core</x:v>
      </x:c>
      <x:c r="K201" s="2" t="str">
        <x:v>Completed</x:v>
      </x:c>
      <x:c r="L201" s="2" t="str">
        <x:v>Explicitly evidenced</x:v>
      </x:c>
      <x:c r="M201" s="2" t="str">
        <x:v>NR</x:v>
      </x:c>
      <x:c r="N201" s="2" t="str">
        <x:v>NR</x:v>
      </x:c>
      <x:c r="O201" s="2" t="str">
        <x:v>NR</x:v>
      </x:c>
      <x:c r="P201" s="6" t="str">
        <x:v>NR</x:v>
      </x:c>
      <x:c r="Q201" s="2" t="str">
        <x:v>5 Evolution and embedding</x:v>
      </x:c>
      <x:c r="R201" s="6" t="str">
        <x:v>NR</x:v>
      </x:c>
      <x:c r="S201" s="2" t="str">
        <x:v>NR</x:v>
      </x:c>
      <x:c r="T201" s="2" t="str">
        <x:v>NR</x:v>
      </x:c>
      <x:c r="U201" s="2" t="str">
        <x:v>NR</x:v>
      </x:c>
      <x:c r="V201" s="6" t="str">
        <x:v>Task-specific coded evidence</x:v>
      </x:c>
      <x:c r="W201" s="6" t="str">
        <x:v>p. 2; Section I-A</x:v>
      </x:c>
      <x:c r="X201" s="6" t="str">
        <x:v>We use the ignored requirement — as determined by the calculated pooled gradients — to ask the LLM to rewrite its code.</x:v>
      </x:c>
      <x:c r="Y201" s="6" t="str">
        <x:v>See task-step evidence references in the RQ2 supplement.</x:v>
      </x:c>
      <x:c r="Z201" s="2" t="str">
        <x:v>Accepted</x:v>
      </x:c>
      <x:c r="AA201" s="6" t="str">
        <x:v>NR</x:v>
      </x:c>
    </x:row>
    <x:row r="202" ht="76" customHeight="1">
      <x:c r="A202" s="2" t="str">
        <x:v>S24-T01-P1</x:v>
      </x:c>
      <x:c r="B202" s="2" t="str">
        <x:v>S24</x:v>
      </x:c>
      <x:c r="C202" s="2" t="str">
        <x:v>merged_1172</x:v>
      </x:c>
      <x:c r="D202" s="2" t="str">
        <x:v>Final coding</x:v>
      </x:c>
      <x:c r="E202" s="2" t="str">
        <x:v>R1/R2</x:v>
      </x:c>
      <x:c r="F202" s="2" t="str">
        <x:v>S24-T01-PROC</x:v>
      </x:c>
      <x:c r="G202" s="2" t="str">
        <x:v>S24-T01</x:v>
      </x:c>
      <x:c r="H202" s="2" t="str">
        <x:v>1 Artifact acquisition and scoping</x:v>
      </x:c>
      <x:c r="I202" s="2" t="n">
        <x:v>1</x:v>
      </x:c>
      <x:c r="J202" s="2" t="str">
        <x:v>Common core</x:v>
      </x:c>
      <x:c r="K202" s="2" t="str">
        <x:v>Completed</x:v>
      </x:c>
      <x:c r="L202" s="2" t="str">
        <x:v>Explicitly evidenced</x:v>
      </x:c>
      <x:c r="M202" s="2" t="str">
        <x:v>NR</x:v>
      </x:c>
      <x:c r="N202" s="2" t="str">
        <x:v>NR</x:v>
      </x:c>
      <x:c r="O202" s="2" t="str">
        <x:v>NR</x:v>
      </x:c>
      <x:c r="P202" s="6" t="str">
        <x:v>NR</x:v>
      </x:c>
      <x:c r="Q202" s="2" t="str">
        <x:v>1 Artifact acquisition and scoping</x:v>
      </x:c>
      <x:c r="R202" s="6" t="str">
        <x:v>NR</x:v>
      </x:c>
      <x:c r="S202" s="2" t="str">
        <x:v>NR</x:v>
      </x:c>
      <x:c r="T202" s="2" t="str">
        <x:v>NR</x:v>
      </x:c>
      <x:c r="U202" s="2" t="str">
        <x:v>NR</x:v>
      </x:c>
      <x:c r="V202" s="6" t="str">
        <x:v>Task-specific coded evidence</x:v>
      </x:c>
      <x:c r="W202" s="6" t="str">
        <x:v>p. 3; Section 2, Traceability builder</x:v>
      </x:c>
      <x:c r="X202" s="6" t="str">
        <x:v>For each subsystem requirement, the pipeline looks for a cited parent—typically the “Mother REQ” or equivalent reference to a system requirement. When the cited parent exists in the repository, a link is created from the TRD-Req to the SRD-Req and if a non existant parent is cited, the TRD-Req is flagged as a dangling reference.</x:v>
      </x:c>
      <x:c r="Y202" s="6" t="str">
        <x:v>See task-step evidence references in the RQ2 supplement.</x:v>
      </x:c>
      <x:c r="Z202" s="2" t="str">
        <x:v>Accepted</x:v>
      </x:c>
      <x:c r="AA202" s="6" t="str">
        <x:v>NR</x:v>
      </x:c>
    </x:row>
    <x:row r="203" ht="76" customHeight="1">
      <x:c r="A203" s="2" t="str">
        <x:v>S24-T01-P2</x:v>
      </x:c>
      <x:c r="B203" s="2" t="str">
        <x:v>S24</x:v>
      </x:c>
      <x:c r="C203" s="2" t="str">
        <x:v>merged_1172</x:v>
      </x:c>
      <x:c r="D203" s="2" t="str">
        <x:v>Final coding</x:v>
      </x:c>
      <x:c r="E203" s="2" t="str">
        <x:v>R1/R2</x:v>
      </x:c>
      <x:c r="F203" s="2" t="str">
        <x:v>S24-T01-PROC</x:v>
      </x:c>
      <x:c r="G203" s="2" t="str">
        <x:v>S24-T01</x:v>
      </x:c>
      <x:c r="H203" s="2" t="str">
        <x:v>2 Semantic contextualization</x:v>
      </x:c>
      <x:c r="I203" s="2" t="n">
        <x:v>2</x:v>
      </x:c>
      <x:c r="J203" s="2" t="str">
        <x:v>Common core</x:v>
      </x:c>
      <x:c r="K203" s="2" t="str">
        <x:v>Completed</x:v>
      </x:c>
      <x:c r="L203" s="2" t="str">
        <x:v>Explicitly evidenced</x:v>
      </x:c>
      <x:c r="M203" s="2" t="str">
        <x:v>NR</x:v>
      </x:c>
      <x:c r="N203" s="2" t="str">
        <x:v>NR</x:v>
      </x:c>
      <x:c r="O203" s="2" t="str">
        <x:v>NR</x:v>
      </x:c>
      <x:c r="P203" s="6" t="str">
        <x:v>NR</x:v>
      </x:c>
      <x:c r="Q203" s="2" t="str">
        <x:v>2 Semantic contextualization</x:v>
      </x:c>
      <x:c r="R203" s="6" t="str">
        <x:v>NR</x:v>
      </x:c>
      <x:c r="S203" s="2" t="str">
        <x:v>NR</x:v>
      </x:c>
      <x:c r="T203" s="2" t="str">
        <x:v>NR</x:v>
      </x:c>
      <x:c r="U203" s="2" t="str">
        <x:v>NR</x:v>
      </x:c>
      <x:c r="V203" s="6" t="str">
        <x:v>Task-specific coded evidence</x:v>
      </x:c>
      <x:c r="W203" s="6" t="str">
        <x:v>p. 3; Section 2, Traceability builder</x:v>
      </x:c>
      <x:c r="X203" s="6" t="str">
        <x:v>For each subsystem requirement, the pipeline looks for a cited parent—typically the “Mother REQ” or equivalent reference to a system requirement. When the cited parent exists in the repository, a link is created from the TRD-Req to the SRD-Req and if a non existant parent is cited, the TRD-Req is flagged as a dangling reference.</x:v>
      </x:c>
      <x:c r="Y203" s="6" t="str">
        <x:v>See task-step evidence references in the RQ2 supplement.</x:v>
      </x:c>
      <x:c r="Z203" s="2" t="str">
        <x:v>Accepted</x:v>
      </x:c>
      <x:c r="AA203" s="6" t="str">
        <x:v>NR</x:v>
      </x:c>
    </x:row>
    <x:row r="204" ht="76" customHeight="1">
      <x:c r="A204" s="2" t="str">
        <x:v>S24-T01-P3</x:v>
      </x:c>
      <x:c r="B204" s="2" t="str">
        <x:v>S24</x:v>
      </x:c>
      <x:c r="C204" s="2" t="str">
        <x:v>merged_1172</x:v>
      </x:c>
      <x:c r="D204" s="2" t="str">
        <x:v>Final coding</x:v>
      </x:c>
      <x:c r="E204" s="2" t="str">
        <x:v>R1/R2</x:v>
      </x:c>
      <x:c r="F204" s="2" t="str">
        <x:v>S24-T01-PROC</x:v>
      </x:c>
      <x:c r="G204" s="2" t="str">
        <x:v>S24-T01</x:v>
      </x:c>
      <x:c r="H204" s="2" t="str">
        <x:v>3 Traceability inference</x:v>
      </x:c>
      <x:c r="I204" s="2" t="n">
        <x:v>3</x:v>
      </x:c>
      <x:c r="J204" s="2" t="str">
        <x:v>Common core</x:v>
      </x:c>
      <x:c r="K204" s="2" t="str">
        <x:v>Completed</x:v>
      </x:c>
      <x:c r="L204" s="2" t="str">
        <x:v>Explicitly evidenced</x:v>
      </x:c>
      <x:c r="M204" s="2" t="str">
        <x:v>NR</x:v>
      </x:c>
      <x:c r="N204" s="2" t="str">
        <x:v>NR</x:v>
      </x:c>
      <x:c r="O204" s="2" t="str">
        <x:v>NR</x:v>
      </x:c>
      <x:c r="P204" s="6" t="str">
        <x:v>NR</x:v>
      </x:c>
      <x:c r="Q204" s="2" t="str">
        <x:v>3 Traceability inference</x:v>
      </x:c>
      <x:c r="R204" s="6" t="str">
        <x:v>TRD-SRD追溯链接列表；悬空引用和缺失追溯的标记。</x:v>
      </x:c>
      <x:c r="S204" s="2" t="str">
        <x:v>NR</x:v>
      </x:c>
      <x:c r="T204" s="2" t="str">
        <x:v>NR</x:v>
      </x:c>
      <x:c r="U204" s="2" t="str">
        <x:v>NR</x:v>
      </x:c>
      <x:c r="V204" s="6" t="str">
        <x:v>Task-specific coded evidence</x:v>
      </x:c>
      <x:c r="W204" s="6" t="str">
        <x:v>p. 3; Section 2, Traceability builder</x:v>
      </x:c>
      <x:c r="X204" s="6" t="str">
        <x:v>For each subsystem requirement, the pipeline looks for a cited parent—typically the “Mother REQ” or equivalent reference to a system requirement. When the cited parent exists in the repository, a link is created from the TRD-Req to the SRD-Req and if a non existant parent is cited, the TRD-Req is flagged as a dangling reference.</x:v>
      </x:c>
      <x:c r="Y204" s="6" t="str">
        <x:v>See task-step evidence references in the RQ2 supplement.</x:v>
      </x:c>
      <x:c r="Z204" s="2" t="str">
        <x:v>Accepted</x:v>
      </x:c>
      <x:c r="AA204" s="6" t="str">
        <x:v>NR</x:v>
      </x:c>
    </x:row>
    <x:row r="205" ht="76" customHeight="1">
      <x:c r="A205" s="2" t="str">
        <x:v>S24-T01-P4</x:v>
      </x:c>
      <x:c r="B205" s="2" t="str">
        <x:v>S24</x:v>
      </x:c>
      <x:c r="C205" s="2" t="str">
        <x:v>merged_1172</x:v>
      </x:c>
      <x:c r="D205" s="2" t="str">
        <x:v>Final coding</x:v>
      </x:c>
      <x:c r="E205" s="2" t="str">
        <x:v>R1/R2</x:v>
      </x:c>
      <x:c r="F205" s="2" t="str">
        <x:v>S24-T01-PROC</x:v>
      </x:c>
      <x:c r="G205" s="2" t="str">
        <x:v>S24-T01</x:v>
      </x:c>
      <x:c r="H205" s="2" t="str">
        <x:v>4 Validation and explanation</x:v>
      </x:c>
      <x:c r="I205" s="2" t="n">
        <x:v>4</x:v>
      </x:c>
      <x:c r="J205" s="2" t="str">
        <x:v>Common core</x:v>
      </x:c>
      <x:c r="K205" s="2" t="str">
        <x:v>Completed</x:v>
      </x:c>
      <x:c r="L205" s="2" t="str">
        <x:v>Explicitly evidenced</x:v>
      </x:c>
      <x:c r="M205" s="2" t="str">
        <x:v>NR</x:v>
      </x:c>
      <x:c r="N205" s="2" t="str">
        <x:v>NR</x:v>
      </x:c>
      <x:c r="O205" s="2" t="str">
        <x:v>NR</x:v>
      </x:c>
      <x:c r="P205" s="6" t="str">
        <x:v>NR</x:v>
      </x:c>
      <x:c r="Q205" s="2" t="str">
        <x:v>4 Validation and explanation</x:v>
      </x:c>
      <x:c r="R205" s="6" t="str">
        <x:v>NR</x:v>
      </x:c>
      <x:c r="S205" s="2" t="str">
        <x:v>NR</x:v>
      </x:c>
      <x:c r="T205" s="2" t="str">
        <x:v>NR</x:v>
      </x:c>
      <x:c r="U205" s="2" t="str">
        <x:v>NR</x:v>
      </x:c>
      <x:c r="V205" s="6" t="str">
        <x:v>Task-specific coded evidence</x:v>
      </x:c>
      <x:c r="W205" s="6" t="str">
        <x:v>p. 3; Section 2, Traceability builder</x:v>
      </x:c>
      <x:c r="X205" s="6" t="str">
        <x:v>For each subsystem requirement, the pipeline looks for a cited parent—typically the “Mother REQ” or equivalent reference to a system requirement. When the cited parent exists in the repository, a link is created from the TRD-Req to the SRD-Req and if a non existant parent is cited, the TRD-Req is flagged as a dangling reference.</x:v>
      </x:c>
      <x:c r="Y205" s="6" t="str">
        <x:v>See task-step evidence references in the RQ2 supplement.</x:v>
      </x:c>
      <x:c r="Z205" s="2" t="str">
        <x:v>Accepted</x:v>
      </x:c>
      <x:c r="AA205" s="6" t="str">
        <x:v>NR</x:v>
      </x:c>
    </x:row>
    <x:row r="206" ht="76" customHeight="1">
      <x:c r="A206" s="2" t="str">
        <x:v>S24-T01-P5</x:v>
      </x:c>
      <x:c r="B206" s="2" t="str">
        <x:v>S24</x:v>
      </x:c>
      <x:c r="C206" s="2" t="str">
        <x:v>merged_1172</x:v>
      </x:c>
      <x:c r="D206" s="2" t="str">
        <x:v>Final coding</x:v>
      </x:c>
      <x:c r="E206" s="2" t="str">
        <x:v>R1/R2</x:v>
      </x:c>
      <x:c r="F206" s="2" t="str">
        <x:v>S24-T01-PROC</x:v>
      </x:c>
      <x:c r="G206" s="2" t="str">
        <x:v>S24-T01</x:v>
      </x:c>
      <x:c r="H206" s="2" t="str">
        <x:v>5 Evolution and embedding</x:v>
      </x:c>
      <x:c r="I206" s="2" t="n">
        <x:v>5</x:v>
      </x:c>
      <x:c r="J206" s="2" t="str">
        <x:v>Common core</x:v>
      </x:c>
      <x:c r="K206" s="2" t="str">
        <x:v>Completed</x:v>
      </x:c>
      <x:c r="L206" s="2" t="str">
        <x:v>Not separately reported</x:v>
      </x:c>
      <x:c r="M206" s="2" t="str">
        <x:v>NR</x:v>
      </x:c>
      <x:c r="N206" s="2" t="str">
        <x:v>NR</x:v>
      </x:c>
      <x:c r="O206" s="2" t="str">
        <x:v>NR</x:v>
      </x:c>
      <x:c r="P206" s="6" t="str">
        <x:v>NR</x:v>
      </x:c>
      <x:c r="Q206" s="2" t="str">
        <x:v>NR</x:v>
      </x:c>
      <x:c r="R206" s="6" t="str">
        <x:v>NR</x:v>
      </x:c>
      <x:c r="S206" s="2" t="str">
        <x:v>NR</x:v>
      </x:c>
      <x:c r="T206" s="2" t="str">
        <x:v>NR</x:v>
      </x:c>
      <x:c r="U206" s="2" t="str">
        <x:v>NR</x:v>
      </x:c>
      <x:c r="V206" s="6" t="str">
        <x:v>Task-specific coded evidence</x:v>
      </x:c>
      <x:c r="W206" s="6" t="str">
        <x:v>p. 3; Section 2, Traceability builder</x:v>
      </x:c>
      <x:c r="X206" s="6" t="str">
        <x:v>For each subsystem requirement, the pipeline looks for a cited parent—typically the “Mother REQ” or equivalent reference to a system requirement. When the cited parent exists in the repository, a link is created from the TRD-Req to the SRD-Req and if a non existant parent is cited, the TRD-Req is flagged as a dangling reference.</x:v>
      </x:c>
      <x:c r="Y206" s="6" t="str">
        <x:v>See task-step evidence references in the RQ2 supplement.</x:v>
      </x:c>
      <x:c r="Z206" s="2" t="str">
        <x:v>Accepted</x:v>
      </x:c>
      <x:c r="AA206" s="6" t="str">
        <x:v>NR</x:v>
      </x:c>
    </x:row>
    <x:row r="207" ht="76" customHeight="1">
      <x:c r="A207" s="2" t="str">
        <x:v>S25-T01-P1</x:v>
      </x:c>
      <x:c r="B207" s="2" t="str">
        <x:v>S25</x:v>
      </x:c>
      <x:c r="C207" s="2" t="str">
        <x:v>merged_1185</x:v>
      </x:c>
      <x:c r="D207" s="2" t="str">
        <x:v>Final coding</x:v>
      </x:c>
      <x:c r="E207" s="2" t="str">
        <x:v>R1/R2</x:v>
      </x:c>
      <x:c r="F207" s="2" t="str">
        <x:v>S25-T01-PROC</x:v>
      </x:c>
      <x:c r="G207" s="2" t="str">
        <x:v>S25-T01</x:v>
      </x:c>
      <x:c r="H207" s="2" t="str">
        <x:v>1 Artifact acquisition and scoping</x:v>
      </x:c>
      <x:c r="I207" s="2" t="n">
        <x:v>1</x:v>
      </x:c>
      <x:c r="J207" s="2" t="str">
        <x:v>Common core</x:v>
      </x:c>
      <x:c r="K207" s="2" t="str">
        <x:v>Completed</x:v>
      </x:c>
      <x:c r="L207" s="2" t="str">
        <x:v>Not separately reported</x:v>
      </x:c>
      <x:c r="M207" s="2" t="str">
        <x:v>NR</x:v>
      </x:c>
      <x:c r="N207" s="2" t="str">
        <x:v>NR</x:v>
      </x:c>
      <x:c r="O207" s="2" t="str">
        <x:v>NR</x:v>
      </x:c>
      <x:c r="P207" s="6" t="str">
        <x:v>NR</x:v>
      </x:c>
      <x:c r="Q207" s="2" t="str">
        <x:v>NR</x:v>
      </x:c>
      <x:c r="R207" s="6" t="str">
        <x:v>NR</x:v>
      </x:c>
      <x:c r="S207" s="2" t="str">
        <x:v>NR</x:v>
      </x:c>
      <x:c r="T207" s="2" t="str">
        <x:v>NR</x:v>
      </x:c>
      <x:c r="U207" s="2" t="str">
        <x:v>NR</x:v>
      </x:c>
      <x:c r="V207" s="6" t="str">
        <x:v>Task-specific coded evidence</x:v>
      </x:c>
      <x:c r="W207" s="6" t="str">
        <x:v>p. 4; Section II.F.1 Traceability Matrix Generation</x:v>
      </x:c>
      <x:c r="X207" s="6" t="str">
        <x:v>The system automatically generates and maintains traceability matrices linking: • Requirements for test cases • Test cases to execution results • Business logic for validation scenarios • Change requests to impact analysis</x:v>
      </x:c>
      <x:c r="Y207" s="6" t="str">
        <x:v>See task-step evidence references in the RQ2 supplement.</x:v>
      </x:c>
      <x:c r="Z207" s="2" t="str">
        <x:v>Accepted</x:v>
      </x:c>
      <x:c r="AA207" s="6" t="str">
        <x:v>NR</x:v>
      </x:c>
    </x:row>
    <x:row r="208" ht="76" customHeight="1">
      <x:c r="A208" s="2" t="str">
        <x:v>S25-T01-P2</x:v>
      </x:c>
      <x:c r="B208" s="2" t="str">
        <x:v>S25</x:v>
      </x:c>
      <x:c r="C208" s="2" t="str">
        <x:v>merged_1185</x:v>
      </x:c>
      <x:c r="D208" s="2" t="str">
        <x:v>Final coding</x:v>
      </x:c>
      <x:c r="E208" s="2" t="str">
        <x:v>R1/R2</x:v>
      </x:c>
      <x:c r="F208" s="2" t="str">
        <x:v>S25-T01-PROC</x:v>
      </x:c>
      <x:c r="G208" s="2" t="str">
        <x:v>S25-T01</x:v>
      </x:c>
      <x:c r="H208" s="2" t="str">
        <x:v>2 Semantic contextualization</x:v>
      </x:c>
      <x:c r="I208" s="2" t="n">
        <x:v>2</x:v>
      </x:c>
      <x:c r="J208" s="2" t="str">
        <x:v>Common core</x:v>
      </x:c>
      <x:c r="K208" s="2" t="str">
        <x:v>Completed</x:v>
      </x:c>
      <x:c r="L208" s="2" t="str">
        <x:v>Explicitly evidenced</x:v>
      </x:c>
      <x:c r="M208" s="2" t="str">
        <x:v>NR</x:v>
      </x:c>
      <x:c r="N208" s="2" t="str">
        <x:v>NR</x:v>
      </x:c>
      <x:c r="O208" s="2" t="str">
        <x:v>NR</x:v>
      </x:c>
      <x:c r="P208" s="6" t="str">
        <x:v>NR</x:v>
      </x:c>
      <x:c r="Q208" s="2" t="str">
        <x:v>2 Semantic contextualization</x:v>
      </x:c>
      <x:c r="R208" s="6" t="str">
        <x:v>NR</x:v>
      </x:c>
      <x:c r="S208" s="2" t="str">
        <x:v>NR</x:v>
      </x:c>
      <x:c r="T208" s="2" t="str">
        <x:v>NR</x:v>
      </x:c>
      <x:c r="U208" s="2" t="str">
        <x:v>NR</x:v>
      </x:c>
      <x:c r="V208" s="6" t="str">
        <x:v>Task-specific coded evidence</x:v>
      </x:c>
      <x:c r="W208" s="6" t="str">
        <x:v>p. 4; Section II.F.1 Traceability Matrix Generation</x:v>
      </x:c>
      <x:c r="X208" s="6" t="str">
        <x:v>The system automatically generates and maintains traceability matrices linking: • Requirements for test cases • Test cases to execution results • Business logic for validation scenarios • Change requests to impact analysis</x:v>
      </x:c>
      <x:c r="Y208" s="6" t="str">
        <x:v>See task-step evidence references in the RQ2 supplement.</x:v>
      </x:c>
      <x:c r="Z208" s="2" t="str">
        <x:v>Accepted</x:v>
      </x:c>
      <x:c r="AA208" s="6" t="str">
        <x:v>NR</x:v>
      </x:c>
    </x:row>
    <x:row r="209" ht="76" customHeight="1">
      <x:c r="A209" s="2" t="str">
        <x:v>S25-T01-P3</x:v>
      </x:c>
      <x:c r="B209" s="2" t="str">
        <x:v>S25</x:v>
      </x:c>
      <x:c r="C209" s="2" t="str">
        <x:v>merged_1185</x:v>
      </x:c>
      <x:c r="D209" s="2" t="str">
        <x:v>Final coding</x:v>
      </x:c>
      <x:c r="E209" s="2" t="str">
        <x:v>R1/R2</x:v>
      </x:c>
      <x:c r="F209" s="2" t="str">
        <x:v>S25-T01-PROC</x:v>
      </x:c>
      <x:c r="G209" s="2" t="str">
        <x:v>S25-T01</x:v>
      </x:c>
      <x:c r="H209" s="2" t="str">
        <x:v>3 Traceability inference</x:v>
      </x:c>
      <x:c r="I209" s="2" t="n">
        <x:v>3</x:v>
      </x:c>
      <x:c r="J209" s="2" t="str">
        <x:v>Common core</x:v>
      </x:c>
      <x:c r="K209" s="2" t="str">
        <x:v>Completed</x:v>
      </x:c>
      <x:c r="L209" s="2" t="str">
        <x:v>Inferred from relation output</x:v>
      </x:c>
      <x:c r="M209" s="2" t="str">
        <x:v>NR</x:v>
      </x:c>
      <x:c r="N209" s="2" t="str">
        <x:v>NR</x:v>
      </x:c>
      <x:c r="O209" s="2" t="str">
        <x:v>NR</x:v>
      </x:c>
      <x:c r="P209" s="6" t="str">
        <x:v>NR</x:v>
      </x:c>
      <x:c r="Q209" s="2" t="str">
        <x:v>NR</x:v>
      </x:c>
      <x:c r="R209" s="6" t="str">
        <x:v>可追溯性矩阵，显示需求到测试用例的链接</x:v>
      </x:c>
      <x:c r="S209" s="2" t="str">
        <x:v>NR</x:v>
      </x:c>
      <x:c r="T209" s="2" t="str">
        <x:v>NR</x:v>
      </x:c>
      <x:c r="U209" s="2" t="str">
        <x:v>NR</x:v>
      </x:c>
      <x:c r="V209" s="6" t="str">
        <x:v>Task-specific coded evidence</x:v>
      </x:c>
      <x:c r="W209" s="6" t="str">
        <x:v>p. 4; Section II.F.1 Traceability Matrix Generation</x:v>
      </x:c>
      <x:c r="X209" s="6" t="str">
        <x:v>The system automatically generates and maintains traceability matrices linking: • Requirements for test cases • Test cases to execution results • Business logic for validation scenarios • Change requests to impact analysis</x:v>
      </x:c>
      <x:c r="Y209" s="6" t="str">
        <x:v>See task-step evidence references in the RQ2 supplement.</x:v>
      </x:c>
      <x:c r="Z209" s="2" t="str">
        <x:v>Accepted</x:v>
      </x:c>
      <x:c r="AA209" s="6" t="str">
        <x:v>NR</x:v>
      </x:c>
    </x:row>
    <x:row r="210" ht="76" customHeight="1">
      <x:c r="A210" s="2" t="str">
        <x:v>S25-T01-P4</x:v>
      </x:c>
      <x:c r="B210" s="2" t="str">
        <x:v>S25</x:v>
      </x:c>
      <x:c r="C210" s="2" t="str">
        <x:v>merged_1185</x:v>
      </x:c>
      <x:c r="D210" s="2" t="str">
        <x:v>Final coding</x:v>
      </x:c>
      <x:c r="E210" s="2" t="str">
        <x:v>R1/R2</x:v>
      </x:c>
      <x:c r="F210" s="2" t="str">
        <x:v>S25-T01-PROC</x:v>
      </x:c>
      <x:c r="G210" s="2" t="str">
        <x:v>S25-T01</x:v>
      </x:c>
      <x:c r="H210" s="2" t="str">
        <x:v>4 Validation and explanation</x:v>
      </x:c>
      <x:c r="I210" s="2" t="n">
        <x:v>4</x:v>
      </x:c>
      <x:c r="J210" s="2" t="str">
        <x:v>Common core</x:v>
      </x:c>
      <x:c r="K210" s="2" t="str">
        <x:v>Completed</x:v>
      </x:c>
      <x:c r="L210" s="2" t="str">
        <x:v>Not separately reported</x:v>
      </x:c>
      <x:c r="M210" s="2" t="str">
        <x:v>NR</x:v>
      </x:c>
      <x:c r="N210" s="2" t="str">
        <x:v>NR</x:v>
      </x:c>
      <x:c r="O210" s="2" t="str">
        <x:v>NR</x:v>
      </x:c>
      <x:c r="P210" s="6" t="str">
        <x:v>NR</x:v>
      </x:c>
      <x:c r="Q210" s="2" t="str">
        <x:v>NR</x:v>
      </x:c>
      <x:c r="R210" s="6" t="str">
        <x:v>NR</x:v>
      </x:c>
      <x:c r="S210" s="2" t="str">
        <x:v>NR</x:v>
      </x:c>
      <x:c r="T210" s="2" t="str">
        <x:v>NR</x:v>
      </x:c>
      <x:c r="U210" s="2" t="str">
        <x:v>NR</x:v>
      </x:c>
      <x:c r="V210" s="6" t="str">
        <x:v>Task-specific coded evidence</x:v>
      </x:c>
      <x:c r="W210" s="6" t="str">
        <x:v>p. 4; Section II.F.1 Traceability Matrix Generation</x:v>
      </x:c>
      <x:c r="X210" s="6" t="str">
        <x:v>The system automatically generates and maintains traceability matrices linking: • Requirements for test cases • Test cases to execution results • Business logic for validation scenarios • Change requests to impact analysis</x:v>
      </x:c>
      <x:c r="Y210" s="6" t="str">
        <x:v>See task-step evidence references in the RQ2 supplement.</x:v>
      </x:c>
      <x:c r="Z210" s="2" t="str">
        <x:v>Accepted</x:v>
      </x:c>
      <x:c r="AA210" s="6" t="str">
        <x:v>NR</x:v>
      </x:c>
    </x:row>
    <x:row r="211" ht="76" customHeight="1">
      <x:c r="A211" s="2" t="str">
        <x:v>S25-T01-P5</x:v>
      </x:c>
      <x:c r="B211" s="2" t="str">
        <x:v>S25</x:v>
      </x:c>
      <x:c r="C211" s="2" t="str">
        <x:v>merged_1185</x:v>
      </x:c>
      <x:c r="D211" s="2" t="str">
        <x:v>Final coding</x:v>
      </x:c>
      <x:c r="E211" s="2" t="str">
        <x:v>R1/R2</x:v>
      </x:c>
      <x:c r="F211" s="2" t="str">
        <x:v>S25-T01-PROC</x:v>
      </x:c>
      <x:c r="G211" s="2" t="str">
        <x:v>S25-T01</x:v>
      </x:c>
      <x:c r="H211" s="2" t="str">
        <x:v>5 Evolution and embedding</x:v>
      </x:c>
      <x:c r="I211" s="2" t="n">
        <x:v>5</x:v>
      </x:c>
      <x:c r="J211" s="2" t="str">
        <x:v>Common core</x:v>
      </x:c>
      <x:c r="K211" s="2" t="str">
        <x:v>Completed</x:v>
      </x:c>
      <x:c r="L211" s="2" t="str">
        <x:v>Not separately reported</x:v>
      </x:c>
      <x:c r="M211" s="2" t="str">
        <x:v>NR</x:v>
      </x:c>
      <x:c r="N211" s="2" t="str">
        <x:v>NR</x:v>
      </x:c>
      <x:c r="O211" s="2" t="str">
        <x:v>NR</x:v>
      </x:c>
      <x:c r="P211" s="6" t="str">
        <x:v>NR</x:v>
      </x:c>
      <x:c r="Q211" s="2" t="str">
        <x:v>NR</x:v>
      </x:c>
      <x:c r="R211" s="6" t="str">
        <x:v>NR</x:v>
      </x:c>
      <x:c r="S211" s="2" t="str">
        <x:v>NR</x:v>
      </x:c>
      <x:c r="T211" s="2" t="str">
        <x:v>NR</x:v>
      </x:c>
      <x:c r="U211" s="2" t="str">
        <x:v>NR</x:v>
      </x:c>
      <x:c r="V211" s="6" t="str">
        <x:v>Task-specific coded evidence</x:v>
      </x:c>
      <x:c r="W211" s="6" t="str">
        <x:v>p. 4; Section II.F.1 Traceability Matrix Generation</x:v>
      </x:c>
      <x:c r="X211" s="6" t="str">
        <x:v>The system automatically generates and maintains traceability matrices linking: • Requirements for test cases • Test cases to execution results • Business logic for validation scenarios • Change requests to impact analysis</x:v>
      </x:c>
      <x:c r="Y211" s="6" t="str">
        <x:v>See task-step evidence references in the RQ2 supplement.</x:v>
      </x:c>
      <x:c r="Z211" s="2" t="str">
        <x:v>Accepted</x:v>
      </x:c>
      <x:c r="AA211" s="6" t="str">
        <x:v>NR</x:v>
      </x:c>
    </x:row>
    <x:row r="212" ht="76" customHeight="1">
      <x:c r="A212" s="2" t="str">
        <x:v>S25-T02-P1</x:v>
      </x:c>
      <x:c r="B212" s="2" t="str">
        <x:v>S25</x:v>
      </x:c>
      <x:c r="C212" s="2" t="str">
        <x:v>merged_1185</x:v>
      </x:c>
      <x:c r="D212" s="2" t="str">
        <x:v>Final coding</x:v>
      </x:c>
      <x:c r="E212" s="2" t="str">
        <x:v>R1/R2</x:v>
      </x:c>
      <x:c r="F212" s="2" t="str">
        <x:v>S25-T02-PROC</x:v>
      </x:c>
      <x:c r="G212" s="2" t="str">
        <x:v>S25-T02</x:v>
      </x:c>
      <x:c r="H212" s="2" t="str">
        <x:v>1 Artifact acquisition and scoping</x:v>
      </x:c>
      <x:c r="I212" s="2" t="n">
        <x:v>1</x:v>
      </x:c>
      <x:c r="J212" s="2" t="str">
        <x:v>Common core</x:v>
      </x:c>
      <x:c r="K212" s="2" t="str">
        <x:v>Completed</x:v>
      </x:c>
      <x:c r="L212" s="2" t="str">
        <x:v>Not separately reported</x:v>
      </x:c>
      <x:c r="M212" s="2" t="str">
        <x:v>NR</x:v>
      </x:c>
      <x:c r="N212" s="2" t="str">
        <x:v>NR</x:v>
      </x:c>
      <x:c r="O212" s="2" t="str">
        <x:v>NR</x:v>
      </x:c>
      <x:c r="P212" s="6" t="str">
        <x:v>NR</x:v>
      </x:c>
      <x:c r="Q212" s="2" t="str">
        <x:v>NR</x:v>
      </x:c>
      <x:c r="R212" s="6" t="str">
        <x:v>NR</x:v>
      </x:c>
      <x:c r="S212" s="2" t="str">
        <x:v>NR</x:v>
      </x:c>
      <x:c r="T212" s="2" t="str">
        <x:v>NR</x:v>
      </x:c>
      <x:c r="U212" s="2" t="str">
        <x:v>NR</x:v>
      </x:c>
      <x:c r="V212" s="6" t="str">
        <x:v>Task-specific coded evidence</x:v>
      </x:c>
      <x:c r="W212" s="6" t="str">
        <x:v>p. 4; Section II.F.2 Change Impact Analysis</x:v>
      </x:c>
      <x:c r="X212" s="6" t="str">
        <x:v>The system analyzes proposed changes and automatically identifies affected test cases, execution scenarios, and validation requirements.</x:v>
      </x:c>
      <x:c r="Y212" s="6" t="str">
        <x:v>See task-step evidence references in the RQ2 supplement.</x:v>
      </x:c>
      <x:c r="Z212" s="2" t="str">
        <x:v>Accepted</x:v>
      </x:c>
      <x:c r="AA212" s="6" t="str">
        <x:v>NR</x:v>
      </x:c>
    </x:row>
    <x:row r="213" ht="76" customHeight="1">
      <x:c r="A213" s="2" t="str">
        <x:v>S25-T02-P2</x:v>
      </x:c>
      <x:c r="B213" s="2" t="str">
        <x:v>S25</x:v>
      </x:c>
      <x:c r="C213" s="2" t="str">
        <x:v>merged_1185</x:v>
      </x:c>
      <x:c r="D213" s="2" t="str">
        <x:v>Final coding</x:v>
      </x:c>
      <x:c r="E213" s="2" t="str">
        <x:v>R1/R2</x:v>
      </x:c>
      <x:c r="F213" s="2" t="str">
        <x:v>S25-T02-PROC</x:v>
      </x:c>
      <x:c r="G213" s="2" t="str">
        <x:v>S25-T02</x:v>
      </x:c>
      <x:c r="H213" s="2" t="str">
        <x:v>2 Semantic contextualization</x:v>
      </x:c>
      <x:c r="I213" s="2" t="n">
        <x:v>2</x:v>
      </x:c>
      <x:c r="J213" s="2" t="str">
        <x:v>Common core</x:v>
      </x:c>
      <x:c r="K213" s="2" t="str">
        <x:v>Completed</x:v>
      </x:c>
      <x:c r="L213" s="2" t="str">
        <x:v>Not separately reported</x:v>
      </x:c>
      <x:c r="M213" s="2" t="str">
        <x:v>NR</x:v>
      </x:c>
      <x:c r="N213" s="2" t="str">
        <x:v>NR</x:v>
      </x:c>
      <x:c r="O213" s="2" t="str">
        <x:v>NR</x:v>
      </x:c>
      <x:c r="P213" s="6" t="str">
        <x:v>NR</x:v>
      </x:c>
      <x:c r="Q213" s="2" t="str">
        <x:v>NR</x:v>
      </x:c>
      <x:c r="R213" s="6" t="str">
        <x:v>NR</x:v>
      </x:c>
      <x:c r="S213" s="2" t="str">
        <x:v>NR</x:v>
      </x:c>
      <x:c r="T213" s="2" t="str">
        <x:v>NR</x:v>
      </x:c>
      <x:c r="U213" s="2" t="str">
        <x:v>NR</x:v>
      </x:c>
      <x:c r="V213" s="6" t="str">
        <x:v>Task-specific coded evidence</x:v>
      </x:c>
      <x:c r="W213" s="6" t="str">
        <x:v>p. 4; Section II.F.2 Change Impact Analysis</x:v>
      </x:c>
      <x:c r="X213" s="6" t="str">
        <x:v>The system analyzes proposed changes and automatically identifies affected test cases, execution scenarios, and validation requirements.</x:v>
      </x:c>
      <x:c r="Y213" s="6" t="str">
        <x:v>See task-step evidence references in the RQ2 supplement.</x:v>
      </x:c>
      <x:c r="Z213" s="2" t="str">
        <x:v>Accepted</x:v>
      </x:c>
      <x:c r="AA213" s="6" t="str">
        <x:v>NR</x:v>
      </x:c>
    </x:row>
    <x:row r="214" ht="76" customHeight="1">
      <x:c r="A214" s="2" t="str">
        <x:v>S25-T02-P3</x:v>
      </x:c>
      <x:c r="B214" s="2" t="str">
        <x:v>S25</x:v>
      </x:c>
      <x:c r="C214" s="2" t="str">
        <x:v>merged_1185</x:v>
      </x:c>
      <x:c r="D214" s="2" t="str">
        <x:v>Final coding</x:v>
      </x:c>
      <x:c r="E214" s="2" t="str">
        <x:v>R1/R2</x:v>
      </x:c>
      <x:c r="F214" s="2" t="str">
        <x:v>S25-T02-PROC</x:v>
      </x:c>
      <x:c r="G214" s="2" t="str">
        <x:v>S25-T02</x:v>
      </x:c>
      <x:c r="H214" s="2" t="str">
        <x:v>3 Traceability inference</x:v>
      </x:c>
      <x:c r="I214" s="2" t="n">
        <x:v>3</x:v>
      </x:c>
      <x:c r="J214" s="2" t="str">
        <x:v>Common core</x:v>
      </x:c>
      <x:c r="K214" s="2" t="str">
        <x:v>Completed</x:v>
      </x:c>
      <x:c r="L214" s="2" t="str">
        <x:v>Inferred from relation output</x:v>
      </x:c>
      <x:c r="M214" s="2" t="str">
        <x:v>NR</x:v>
      </x:c>
      <x:c r="N214" s="2" t="str">
        <x:v>NR</x:v>
      </x:c>
      <x:c r="O214" s="2" t="str">
        <x:v>NR</x:v>
      </x:c>
      <x:c r="P214" s="6" t="str">
        <x:v>NR</x:v>
      </x:c>
      <x:c r="Q214" s="2" t="str">
        <x:v>NR</x:v>
      </x:c>
      <x:c r="R214" s="6" t="str">
        <x:v>受影响的测试用例列表</x:v>
      </x:c>
      <x:c r="S214" s="2" t="str">
        <x:v>NR</x:v>
      </x:c>
      <x:c r="T214" s="2" t="str">
        <x:v>NR</x:v>
      </x:c>
      <x:c r="U214" s="2" t="str">
        <x:v>NR</x:v>
      </x:c>
      <x:c r="V214" s="6" t="str">
        <x:v>Task-specific coded evidence</x:v>
      </x:c>
      <x:c r="W214" s="6" t="str">
        <x:v>p. 4; Section II.F.2 Change Impact Analysis</x:v>
      </x:c>
      <x:c r="X214" s="6" t="str">
        <x:v>The system analyzes proposed changes and automatically identifies affected test cases, execution scenarios, and validation requirements.</x:v>
      </x:c>
      <x:c r="Y214" s="6" t="str">
        <x:v>See task-step evidence references in the RQ2 supplement.</x:v>
      </x:c>
      <x:c r="Z214" s="2" t="str">
        <x:v>Accepted</x:v>
      </x:c>
      <x:c r="AA214" s="6" t="str">
        <x:v>NR</x:v>
      </x:c>
    </x:row>
    <x:row r="215" ht="76" customHeight="1">
      <x:c r="A215" s="2" t="str">
        <x:v>S25-T02-P4</x:v>
      </x:c>
      <x:c r="B215" s="2" t="str">
        <x:v>S25</x:v>
      </x:c>
      <x:c r="C215" s="2" t="str">
        <x:v>merged_1185</x:v>
      </x:c>
      <x:c r="D215" s="2" t="str">
        <x:v>Final coding</x:v>
      </x:c>
      <x:c r="E215" s="2" t="str">
        <x:v>R1/R2</x:v>
      </x:c>
      <x:c r="F215" s="2" t="str">
        <x:v>S25-T02-PROC</x:v>
      </x:c>
      <x:c r="G215" s="2" t="str">
        <x:v>S25-T02</x:v>
      </x:c>
      <x:c r="H215" s="2" t="str">
        <x:v>4 Validation and explanation</x:v>
      </x:c>
      <x:c r="I215" s="2" t="n">
        <x:v>4</x:v>
      </x:c>
      <x:c r="J215" s="2" t="str">
        <x:v>Common core</x:v>
      </x:c>
      <x:c r="K215" s="2" t="str">
        <x:v>Completed</x:v>
      </x:c>
      <x:c r="L215" s="2" t="str">
        <x:v>Not separately reported</x:v>
      </x:c>
      <x:c r="M215" s="2" t="str">
        <x:v>NR</x:v>
      </x:c>
      <x:c r="N215" s="2" t="str">
        <x:v>NR</x:v>
      </x:c>
      <x:c r="O215" s="2" t="str">
        <x:v>NR</x:v>
      </x:c>
      <x:c r="P215" s="6" t="str">
        <x:v>NR</x:v>
      </x:c>
      <x:c r="Q215" s="2" t="str">
        <x:v>NR</x:v>
      </x:c>
      <x:c r="R215" s="6" t="str">
        <x:v>NR</x:v>
      </x:c>
      <x:c r="S215" s="2" t="str">
        <x:v>NR</x:v>
      </x:c>
      <x:c r="T215" s="2" t="str">
        <x:v>NR</x:v>
      </x:c>
      <x:c r="U215" s="2" t="str">
        <x:v>NR</x:v>
      </x:c>
      <x:c r="V215" s="6" t="str">
        <x:v>Task-specific coded evidence</x:v>
      </x:c>
      <x:c r="W215" s="6" t="str">
        <x:v>p. 4; Section II.F.2 Change Impact Analysis</x:v>
      </x:c>
      <x:c r="X215" s="6" t="str">
        <x:v>The system analyzes proposed changes and automatically identifies affected test cases, execution scenarios, and validation requirements.</x:v>
      </x:c>
      <x:c r="Y215" s="6" t="str">
        <x:v>See task-step evidence references in the RQ2 supplement.</x:v>
      </x:c>
      <x:c r="Z215" s="2" t="str">
        <x:v>Accepted</x:v>
      </x:c>
      <x:c r="AA215" s="6" t="str">
        <x:v>NR</x:v>
      </x:c>
    </x:row>
    <x:row r="216" ht="76" customHeight="1">
      <x:c r="A216" s="2" t="str">
        <x:v>S25-T02-P5</x:v>
      </x:c>
      <x:c r="B216" s="2" t="str">
        <x:v>S25</x:v>
      </x:c>
      <x:c r="C216" s="2" t="str">
        <x:v>merged_1185</x:v>
      </x:c>
      <x:c r="D216" s="2" t="str">
        <x:v>Final coding</x:v>
      </x:c>
      <x:c r="E216" s="2" t="str">
        <x:v>R1/R2</x:v>
      </x:c>
      <x:c r="F216" s="2" t="str">
        <x:v>S25-T02-PROC</x:v>
      </x:c>
      <x:c r="G216" s="2" t="str">
        <x:v>S25-T02</x:v>
      </x:c>
      <x:c r="H216" s="2" t="str">
        <x:v>5 Evolution and embedding</x:v>
      </x:c>
      <x:c r="I216" s="2" t="n">
        <x:v>5</x:v>
      </x:c>
      <x:c r="J216" s="2" t="str">
        <x:v>Common core</x:v>
      </x:c>
      <x:c r="K216" s="2" t="str">
        <x:v>Completed</x:v>
      </x:c>
      <x:c r="L216" s="2" t="str">
        <x:v>Not separately reported</x:v>
      </x:c>
      <x:c r="M216" s="2" t="str">
        <x:v>NR</x:v>
      </x:c>
      <x:c r="N216" s="2" t="str">
        <x:v>NR</x:v>
      </x:c>
      <x:c r="O216" s="2" t="str">
        <x:v>NR</x:v>
      </x:c>
      <x:c r="P216" s="6" t="str">
        <x:v>NR</x:v>
      </x:c>
      <x:c r="Q216" s="2" t="str">
        <x:v>NR</x:v>
      </x:c>
      <x:c r="R216" s="6" t="str">
        <x:v>NR</x:v>
      </x:c>
      <x:c r="S216" s="2" t="str">
        <x:v>NR</x:v>
      </x:c>
      <x:c r="T216" s="2" t="str">
        <x:v>NR</x:v>
      </x:c>
      <x:c r="U216" s="2" t="str">
        <x:v>NR</x:v>
      </x:c>
      <x:c r="V216" s="6" t="str">
        <x:v>Task-specific coded evidence</x:v>
      </x:c>
      <x:c r="W216" s="6" t="str">
        <x:v>p. 4; Section II.F.2 Change Impact Analysis</x:v>
      </x:c>
      <x:c r="X216" s="6" t="str">
        <x:v>The system analyzes proposed changes and automatically identifies affected test cases, execution scenarios, and validation requirements.</x:v>
      </x:c>
      <x:c r="Y216" s="6" t="str">
        <x:v>See task-step evidence references in the RQ2 supplement.</x:v>
      </x:c>
      <x:c r="Z216" s="2" t="str">
        <x:v>Accepted</x:v>
      </x:c>
      <x:c r="AA216" s="6" t="str">
        <x:v>NR</x:v>
      </x:c>
    </x:row>
    <x:row r="217" ht="76" customHeight="1">
      <x:c r="A217" s="2" t="str">
        <x:v>S26-T01-P1</x:v>
      </x:c>
      <x:c r="B217" s="2" t="str">
        <x:v>S26</x:v>
      </x:c>
      <x:c r="C217" s="2" t="str">
        <x:v>merged_1212</x:v>
      </x:c>
      <x:c r="D217" s="2" t="str">
        <x:v>Final coding</x:v>
      </x:c>
      <x:c r="E217" s="2" t="str">
        <x:v>R1/R2</x:v>
      </x:c>
      <x:c r="F217" s="2" t="str">
        <x:v>S26-T01-PROC</x:v>
      </x:c>
      <x:c r="G217" s="2" t="str">
        <x:v>S26-T01</x:v>
      </x:c>
      <x:c r="H217" s="2" t="str">
        <x:v>1 Artifact acquisition and scoping</x:v>
      </x:c>
      <x:c r="I217" s="2" t="n">
        <x:v>1</x:v>
      </x:c>
      <x:c r="J217" s="2" t="str">
        <x:v>Common core</x:v>
      </x:c>
      <x:c r="K217" s="2" t="str">
        <x:v>Completed</x:v>
      </x:c>
      <x:c r="L217" s="2" t="str">
        <x:v>Not separately reported</x:v>
      </x:c>
      <x:c r="M217" s="2" t="str">
        <x:v>NR</x:v>
      </x:c>
      <x:c r="N217" s="2" t="str">
        <x:v>NR</x:v>
      </x:c>
      <x:c r="O217" s="2" t="str">
        <x:v>NR</x:v>
      </x:c>
      <x:c r="P217" s="6" t="str">
        <x:v>NR</x:v>
      </x:c>
      <x:c r="Q217" s="2" t="str">
        <x:v>NR</x:v>
      </x:c>
      <x:c r="R217" s="6" t="str">
        <x:v>NR</x:v>
      </x:c>
      <x:c r="S217" s="2" t="str">
        <x:v>NR</x:v>
      </x:c>
      <x:c r="T217" s="2" t="str">
        <x:v>NR</x:v>
      </x:c>
      <x:c r="U217" s="2" t="str">
        <x:v>NR</x:v>
      </x:c>
      <x:c r="V217" s="6" t="str">
        <x:v>Task-specific coded evidence</x:v>
      </x:c>
      <x:c r="W217" s="6" t="str">
        <x:v>p. 1; I. INTRODUCTION</x:v>
      </x:c>
      <x:c r="X217" s="6" t="str">
        <x:v>RQ1 How can large language models and traditional retrieval methods be effectively combined to support accurate traceability with limited labeled data?</x:v>
      </x:c>
      <x:c r="Y217" s="6" t="str">
        <x:v>See task-step evidence references in the RQ2 supplement.</x:v>
      </x:c>
      <x:c r="Z217" s="2" t="str">
        <x:v>Accepted</x:v>
      </x:c>
      <x:c r="AA217" s="6" t="str">
        <x:v>NR</x:v>
      </x:c>
    </x:row>
    <x:row r="218" ht="76" customHeight="1">
      <x:c r="A218" s="2" t="str">
        <x:v>S26-T01-P2</x:v>
      </x:c>
      <x:c r="B218" s="2" t="str">
        <x:v>S26</x:v>
      </x:c>
      <x:c r="C218" s="2" t="str">
        <x:v>merged_1212</x:v>
      </x:c>
      <x:c r="D218" s="2" t="str">
        <x:v>Final coding</x:v>
      </x:c>
      <x:c r="E218" s="2" t="str">
        <x:v>R1/R2</x:v>
      </x:c>
      <x:c r="F218" s="2" t="str">
        <x:v>S26-T01-PROC</x:v>
      </x:c>
      <x:c r="G218" s="2" t="str">
        <x:v>S26-T01</x:v>
      </x:c>
      <x:c r="H218" s="2" t="str">
        <x:v>2 Semantic contextualization</x:v>
      </x:c>
      <x:c r="I218" s="2" t="n">
        <x:v>2</x:v>
      </x:c>
      <x:c r="J218" s="2" t="str">
        <x:v>Common core</x:v>
      </x:c>
      <x:c r="K218" s="2" t="str">
        <x:v>Completed</x:v>
      </x:c>
      <x:c r="L218" s="2" t="str">
        <x:v>Not separately reported</x:v>
      </x:c>
      <x:c r="M218" s="2" t="str">
        <x:v>NR</x:v>
      </x:c>
      <x:c r="N218" s="2" t="str">
        <x:v>NR</x:v>
      </x:c>
      <x:c r="O218" s="2" t="str">
        <x:v>NR</x:v>
      </x:c>
      <x:c r="P218" s="6" t="str">
        <x:v>NR</x:v>
      </x:c>
      <x:c r="Q218" s="2" t="str">
        <x:v>NR</x:v>
      </x:c>
      <x:c r="R218" s="6" t="str">
        <x:v>NR</x:v>
      </x:c>
      <x:c r="S218" s="2" t="str">
        <x:v>NR</x:v>
      </x:c>
      <x:c r="T218" s="2" t="str">
        <x:v>NR</x:v>
      </x:c>
      <x:c r="U218" s="2" t="str">
        <x:v>NR</x:v>
      </x:c>
      <x:c r="V218" s="6" t="str">
        <x:v>Task-specific coded evidence</x:v>
      </x:c>
      <x:c r="W218" s="6" t="str">
        <x:v>p. 1; I. INTRODUCTION</x:v>
      </x:c>
      <x:c r="X218" s="6" t="str">
        <x:v>RQ1 How can large language models and traditional retrieval methods be effectively combined to support accurate traceability with limited labeled data?</x:v>
      </x:c>
      <x:c r="Y218" s="6" t="str">
        <x:v>See task-step evidence references in the RQ2 supplement.</x:v>
      </x:c>
      <x:c r="Z218" s="2" t="str">
        <x:v>Accepted</x:v>
      </x:c>
      <x:c r="AA218" s="6" t="str">
        <x:v>NR</x:v>
      </x:c>
    </x:row>
    <x:row r="219" ht="76" customHeight="1">
      <x:c r="A219" s="2" t="str">
        <x:v>S26-T01-P3</x:v>
      </x:c>
      <x:c r="B219" s="2" t="str">
        <x:v>S26</x:v>
      </x:c>
      <x:c r="C219" s="2" t="str">
        <x:v>merged_1212</x:v>
      </x:c>
      <x:c r="D219" s="2" t="str">
        <x:v>Final coding</x:v>
      </x:c>
      <x:c r="E219" s="2" t="str">
        <x:v>R1/R2</x:v>
      </x:c>
      <x:c r="F219" s="2" t="str">
        <x:v>S26-T01-PROC</x:v>
      </x:c>
      <x:c r="G219" s="2" t="str">
        <x:v>S26-T01</x:v>
      </x:c>
      <x:c r="H219" s="2" t="str">
        <x:v>3 Traceability inference</x:v>
      </x:c>
      <x:c r="I219" s="2" t="n">
        <x:v>3</x:v>
      </x:c>
      <x:c r="J219" s="2" t="str">
        <x:v>Common core</x:v>
      </x:c>
      <x:c r="K219" s="2" t="str">
        <x:v>Completed</x:v>
      </x:c>
      <x:c r="L219" s="2" t="str">
        <x:v>Explicitly evidenced</x:v>
      </x:c>
      <x:c r="M219" s="2" t="str">
        <x:v>NR</x:v>
      </x:c>
      <x:c r="N219" s="2" t="str">
        <x:v>NR</x:v>
      </x:c>
      <x:c r="O219" s="2" t="str">
        <x:v>NR</x:v>
      </x:c>
      <x:c r="P219" s="6" t="str">
        <x:v>NR</x:v>
      </x:c>
      <x:c r="Q219" s="2" t="str">
        <x:v>3 Traceability inference</x:v>
      </x:c>
      <x:c r="R219" s="6" t="str">
        <x:v>预测的追溯链接</x:v>
      </x:c>
      <x:c r="S219" s="2" t="str">
        <x:v>NR</x:v>
      </x:c>
      <x:c r="T219" s="2" t="str">
        <x:v>NR</x:v>
      </x:c>
      <x:c r="U219" s="2" t="str">
        <x:v>NR</x:v>
      </x:c>
      <x:c r="V219" s="6" t="str">
        <x:v>Task-specific coded evidence</x:v>
      </x:c>
      <x:c r="W219" s="6" t="str">
        <x:v>p. 1; I. INTRODUCTION</x:v>
      </x:c>
      <x:c r="X219" s="6" t="str">
        <x:v>RQ1 How can large language models and traditional retrieval methods be effectively combined to support accurate traceability with limited labeled data?</x:v>
      </x:c>
      <x:c r="Y219" s="6" t="str">
        <x:v>See task-step evidence references in the RQ2 supplement.</x:v>
      </x:c>
      <x:c r="Z219" s="2" t="str">
        <x:v>Accepted</x:v>
      </x:c>
      <x:c r="AA219" s="6" t="str">
        <x:v>NR</x:v>
      </x:c>
    </x:row>
    <x:row r="220" ht="76" customHeight="1">
      <x:c r="A220" s="2" t="str">
        <x:v>S26-T01-P4</x:v>
      </x:c>
      <x:c r="B220" s="2" t="str">
        <x:v>S26</x:v>
      </x:c>
      <x:c r="C220" s="2" t="str">
        <x:v>merged_1212</x:v>
      </x:c>
      <x:c r="D220" s="2" t="str">
        <x:v>Final coding</x:v>
      </x:c>
      <x:c r="E220" s="2" t="str">
        <x:v>R1/R2</x:v>
      </x:c>
      <x:c r="F220" s="2" t="str">
        <x:v>S26-T01-PROC</x:v>
      </x:c>
      <x:c r="G220" s="2" t="str">
        <x:v>S26-T01</x:v>
      </x:c>
      <x:c r="H220" s="2" t="str">
        <x:v>4 Validation and explanation</x:v>
      </x:c>
      <x:c r="I220" s="2" t="n">
        <x:v>4</x:v>
      </x:c>
      <x:c r="J220" s="2" t="str">
        <x:v>Common core</x:v>
      </x:c>
      <x:c r="K220" s="2" t="str">
        <x:v>Completed</x:v>
      </x:c>
      <x:c r="L220" s="2" t="str">
        <x:v>Not separately reported</x:v>
      </x:c>
      <x:c r="M220" s="2" t="str">
        <x:v>NR</x:v>
      </x:c>
      <x:c r="N220" s="2" t="str">
        <x:v>NR</x:v>
      </x:c>
      <x:c r="O220" s="2" t="str">
        <x:v>NR</x:v>
      </x:c>
      <x:c r="P220" s="6" t="str">
        <x:v>NR</x:v>
      </x:c>
      <x:c r="Q220" s="2" t="str">
        <x:v>NR</x:v>
      </x:c>
      <x:c r="R220" s="6" t="str">
        <x:v>NR</x:v>
      </x:c>
      <x:c r="S220" s="2" t="str">
        <x:v>NR</x:v>
      </x:c>
      <x:c r="T220" s="2" t="str">
        <x:v>NR</x:v>
      </x:c>
      <x:c r="U220" s="2" t="str">
        <x:v>NR</x:v>
      </x:c>
      <x:c r="V220" s="6" t="str">
        <x:v>Task-specific coded evidence</x:v>
      </x:c>
      <x:c r="W220" s="6" t="str">
        <x:v>p. 1; I. INTRODUCTION</x:v>
      </x:c>
      <x:c r="X220" s="6" t="str">
        <x:v>RQ1 How can large language models and traditional retrieval methods be effectively combined to support accurate traceability with limited labeled data?</x:v>
      </x:c>
      <x:c r="Y220" s="6" t="str">
        <x:v>See task-step evidence references in the RQ2 supplement.</x:v>
      </x:c>
      <x:c r="Z220" s="2" t="str">
        <x:v>Accepted</x:v>
      </x:c>
      <x:c r="AA220" s="6" t="str">
        <x:v>NR</x:v>
      </x:c>
    </x:row>
    <x:row r="221" ht="76" customHeight="1">
      <x:c r="A221" s="2" t="str">
        <x:v>S26-T01-P5</x:v>
      </x:c>
      <x:c r="B221" s="2" t="str">
        <x:v>S26</x:v>
      </x:c>
      <x:c r="C221" s="2" t="str">
        <x:v>merged_1212</x:v>
      </x:c>
      <x:c r="D221" s="2" t="str">
        <x:v>Final coding</x:v>
      </x:c>
      <x:c r="E221" s="2" t="str">
        <x:v>R1/R2</x:v>
      </x:c>
      <x:c r="F221" s="2" t="str">
        <x:v>S26-T01-PROC</x:v>
      </x:c>
      <x:c r="G221" s="2" t="str">
        <x:v>S26-T01</x:v>
      </x:c>
      <x:c r="H221" s="2" t="str">
        <x:v>5 Evolution and embedding</x:v>
      </x:c>
      <x:c r="I221" s="2" t="n">
        <x:v>5</x:v>
      </x:c>
      <x:c r="J221" s="2" t="str">
        <x:v>Common core</x:v>
      </x:c>
      <x:c r="K221" s="2" t="str">
        <x:v>Completed</x:v>
      </x:c>
      <x:c r="L221" s="2" t="str">
        <x:v>Not separately reported</x:v>
      </x:c>
      <x:c r="M221" s="2" t="str">
        <x:v>NR</x:v>
      </x:c>
      <x:c r="N221" s="2" t="str">
        <x:v>NR</x:v>
      </x:c>
      <x:c r="O221" s="2" t="str">
        <x:v>NR</x:v>
      </x:c>
      <x:c r="P221" s="6" t="str">
        <x:v>NR</x:v>
      </x:c>
      <x:c r="Q221" s="2" t="str">
        <x:v>NR</x:v>
      </x:c>
      <x:c r="R221" s="6" t="str">
        <x:v>NR</x:v>
      </x:c>
      <x:c r="S221" s="2" t="str">
        <x:v>NR</x:v>
      </x:c>
      <x:c r="T221" s="2" t="str">
        <x:v>NR</x:v>
      </x:c>
      <x:c r="U221" s="2" t="str">
        <x:v>NR</x:v>
      </x:c>
      <x:c r="V221" s="6" t="str">
        <x:v>Task-specific coded evidence</x:v>
      </x:c>
      <x:c r="W221" s="6" t="str">
        <x:v>p. 1; I. INTRODUCTION</x:v>
      </x:c>
      <x:c r="X221" s="6" t="str">
        <x:v>RQ1 How can large language models and traditional retrieval methods be effectively combined to support accurate traceability with limited labeled data?</x:v>
      </x:c>
      <x:c r="Y221" s="6" t="str">
        <x:v>See task-step evidence references in the RQ2 supplement.</x:v>
      </x:c>
      <x:c r="Z221" s="2" t="str">
        <x:v>Accepted</x:v>
      </x:c>
      <x:c r="AA221" s="6" t="str">
        <x:v>NR</x:v>
      </x:c>
    </x:row>
    <x:row r="222" ht="76" customHeight="1">
      <x:c r="A222" s="2" t="str">
        <x:v>S26-T02-P1</x:v>
      </x:c>
      <x:c r="B222" s="2" t="str">
        <x:v>S26</x:v>
      </x:c>
      <x:c r="C222" s="2" t="str">
        <x:v>merged_1212</x:v>
      </x:c>
      <x:c r="D222" s="2" t="str">
        <x:v>Final coding</x:v>
      </x:c>
      <x:c r="E222" s="2" t="str">
        <x:v>R1/R2</x:v>
      </x:c>
      <x:c r="F222" s="2" t="str">
        <x:v>S26-T02-PROC</x:v>
      </x:c>
      <x:c r="G222" s="2" t="str">
        <x:v>S26-T02</x:v>
      </x:c>
      <x:c r="H222" s="2" t="str">
        <x:v>1 Artifact acquisition and scoping</x:v>
      </x:c>
      <x:c r="I222" s="2" t="n">
        <x:v>1</x:v>
      </x:c>
      <x:c r="J222" s="2" t="str">
        <x:v>Common core</x:v>
      </x:c>
      <x:c r="K222" s="2" t="str">
        <x:v>Completed</x:v>
      </x:c>
      <x:c r="L222" s="2" t="str">
        <x:v>Not separately reported</x:v>
      </x:c>
      <x:c r="M222" s="2" t="str">
        <x:v>NR</x:v>
      </x:c>
      <x:c r="N222" s="2" t="str">
        <x:v>NR</x:v>
      </x:c>
      <x:c r="O222" s="2" t="str">
        <x:v>NR</x:v>
      </x:c>
      <x:c r="P222" s="6" t="str">
        <x:v>NR</x:v>
      </x:c>
      <x:c r="Q222" s="2" t="str">
        <x:v>NR</x:v>
      </x:c>
      <x:c r="R222" s="6" t="str">
        <x:v>NR</x:v>
      </x:c>
      <x:c r="S222" s="2" t="str">
        <x:v>NR</x:v>
      </x:c>
      <x:c r="T222" s="2" t="str">
        <x:v>NR</x:v>
      </x:c>
      <x:c r="U222" s="2" t="str">
        <x:v>NR</x:v>
      </x:c>
      <x:c r="V222" s="6" t="str">
        <x:v>Task-specific coded evidence</x:v>
      </x:c>
      <x:c r="W222" s="6" t="str">
        <x:v>p. 2; I. INTRODUCTION (RQ2)</x:v>
      </x:c>
      <x:c r="X222" s="6" t="str">
        <x:v>to generate software documentation from code to support traceability in under-documented projects?</x:v>
      </x:c>
      <x:c r="Y222" s="6" t="str">
        <x:v>See task-step evidence references in the RQ2 supplement.</x:v>
      </x:c>
      <x:c r="Z222" s="2" t="str">
        <x:v>Accepted</x:v>
      </x:c>
      <x:c r="AA222" s="6" t="str">
        <x:v>NR</x:v>
      </x:c>
    </x:row>
    <x:row r="223" ht="76" customHeight="1">
      <x:c r="A223" s="2" t="str">
        <x:v>S26-T02-P2</x:v>
      </x:c>
      <x:c r="B223" s="2" t="str">
        <x:v>S26</x:v>
      </x:c>
      <x:c r="C223" s="2" t="str">
        <x:v>merged_1212</x:v>
      </x:c>
      <x:c r="D223" s="2" t="str">
        <x:v>Final coding</x:v>
      </x:c>
      <x:c r="E223" s="2" t="str">
        <x:v>R1/R2</x:v>
      </x:c>
      <x:c r="F223" s="2" t="str">
        <x:v>S26-T02-PROC</x:v>
      </x:c>
      <x:c r="G223" s="2" t="str">
        <x:v>S26-T02</x:v>
      </x:c>
      <x:c r="H223" s="2" t="str">
        <x:v>2 Semantic contextualization</x:v>
      </x:c>
      <x:c r="I223" s="2" t="n">
        <x:v>2</x:v>
      </x:c>
      <x:c r="J223" s="2" t="str">
        <x:v>Common core</x:v>
      </x:c>
      <x:c r="K223" s="2" t="str">
        <x:v>Completed</x:v>
      </x:c>
      <x:c r="L223" s="2" t="str">
        <x:v>Explicitly evidenced</x:v>
      </x:c>
      <x:c r="M223" s="2" t="str">
        <x:v>NR</x:v>
      </x:c>
      <x:c r="N223" s="2" t="str">
        <x:v>NR</x:v>
      </x:c>
      <x:c r="O223" s="2" t="str">
        <x:v>NR</x:v>
      </x:c>
      <x:c r="P223" s="6" t="str">
        <x:v>NR</x:v>
      </x:c>
      <x:c r="Q223" s="2" t="str">
        <x:v>2 Semantic contextualization</x:v>
      </x:c>
      <x:c r="R223" s="6" t="str">
        <x:v>NR</x:v>
      </x:c>
      <x:c r="S223" s="2" t="str">
        <x:v>NR</x:v>
      </x:c>
      <x:c r="T223" s="2" t="str">
        <x:v>NR</x:v>
      </x:c>
      <x:c r="U223" s="2" t="str">
        <x:v>NR</x:v>
      </x:c>
      <x:c r="V223" s="6" t="str">
        <x:v>Task-specific coded evidence</x:v>
      </x:c>
      <x:c r="W223" s="6" t="str">
        <x:v>p. 2; I. INTRODUCTION (RQ2)</x:v>
      </x:c>
      <x:c r="X223" s="6" t="str">
        <x:v>to generate software documentation from code to support traceability in under-documented projects?</x:v>
      </x:c>
      <x:c r="Y223" s="6" t="str">
        <x:v>See task-step evidence references in the RQ2 supplement.</x:v>
      </x:c>
      <x:c r="Z223" s="2" t="str">
        <x:v>Accepted</x:v>
      </x:c>
      <x:c r="AA223" s="6" t="str">
        <x:v>NR</x:v>
      </x:c>
    </x:row>
    <x:row r="224" ht="76" customHeight="1">
      <x:c r="A224" s="2" t="str">
        <x:v>S26-T02-P3</x:v>
      </x:c>
      <x:c r="B224" s="2" t="str">
        <x:v>S26</x:v>
      </x:c>
      <x:c r="C224" s="2" t="str">
        <x:v>merged_1212</x:v>
      </x:c>
      <x:c r="D224" s="2" t="str">
        <x:v>Final coding</x:v>
      </x:c>
      <x:c r="E224" s="2" t="str">
        <x:v>R1/R2</x:v>
      </x:c>
      <x:c r="F224" s="2" t="str">
        <x:v>S26-T02-PROC</x:v>
      </x:c>
      <x:c r="G224" s="2" t="str">
        <x:v>S26-T02</x:v>
      </x:c>
      <x:c r="H224" s="2" t="str">
        <x:v>3 Traceability inference</x:v>
      </x:c>
      <x:c r="I224" s="2" t="n">
        <x:v>3</x:v>
      </x:c>
      <x:c r="J224" s="2" t="str">
        <x:v>Common core</x:v>
      </x:c>
      <x:c r="K224" s="2" t="str">
        <x:v>Completed</x:v>
      </x:c>
      <x:c r="L224" s="2" t="str">
        <x:v>Inferred from relation output</x:v>
      </x:c>
      <x:c r="M224" s="2" t="str">
        <x:v>NR</x:v>
      </x:c>
      <x:c r="N224" s="2" t="str">
        <x:v>NR</x:v>
      </x:c>
      <x:c r="O224" s="2" t="str">
        <x:v>NR</x:v>
      </x:c>
      <x:c r="P224" s="6" t="str">
        <x:v>NR</x:v>
      </x:c>
      <x:c r="Q224" s="2" t="str">
        <x:v>NR</x:v>
      </x:c>
      <x:c r="R224" s="6" t="str">
        <x:v>生成的工件层次和追溯链接</x:v>
      </x:c>
      <x:c r="S224" s="2" t="str">
        <x:v>NR</x:v>
      </x:c>
      <x:c r="T224" s="2" t="str">
        <x:v>NR</x:v>
      </x:c>
      <x:c r="U224" s="2" t="str">
        <x:v>NR</x:v>
      </x:c>
      <x:c r="V224" s="6" t="str">
        <x:v>Task-specific coded evidence</x:v>
      </x:c>
      <x:c r="W224" s="6" t="str">
        <x:v>p. 2; I. INTRODUCTION (RQ2)</x:v>
      </x:c>
      <x:c r="X224" s="6" t="str">
        <x:v>to generate software documentation from code to support traceability in under-documented projects?</x:v>
      </x:c>
      <x:c r="Y224" s="6" t="str">
        <x:v>See task-step evidence references in the RQ2 supplement.</x:v>
      </x:c>
      <x:c r="Z224" s="2" t="str">
        <x:v>Accepted</x:v>
      </x:c>
      <x:c r="AA224" s="6" t="str">
        <x:v>NR</x:v>
      </x:c>
    </x:row>
    <x:row r="225" ht="76" customHeight="1">
      <x:c r="A225" s="2" t="str">
        <x:v>S26-T02-P4</x:v>
      </x:c>
      <x:c r="B225" s="2" t="str">
        <x:v>S26</x:v>
      </x:c>
      <x:c r="C225" s="2" t="str">
        <x:v>merged_1212</x:v>
      </x:c>
      <x:c r="D225" s="2" t="str">
        <x:v>Final coding</x:v>
      </x:c>
      <x:c r="E225" s="2" t="str">
        <x:v>R1/R2</x:v>
      </x:c>
      <x:c r="F225" s="2" t="str">
        <x:v>S26-T02-PROC</x:v>
      </x:c>
      <x:c r="G225" s="2" t="str">
        <x:v>S26-T02</x:v>
      </x:c>
      <x:c r="H225" s="2" t="str">
        <x:v>4 Validation and explanation</x:v>
      </x:c>
      <x:c r="I225" s="2" t="n">
        <x:v>4</x:v>
      </x:c>
      <x:c r="J225" s="2" t="str">
        <x:v>Common core</x:v>
      </x:c>
      <x:c r="K225" s="2" t="str">
        <x:v>Completed</x:v>
      </x:c>
      <x:c r="L225" s="2" t="str">
        <x:v>Not separately reported</x:v>
      </x:c>
      <x:c r="M225" s="2" t="str">
        <x:v>NR</x:v>
      </x:c>
      <x:c r="N225" s="2" t="str">
        <x:v>NR</x:v>
      </x:c>
      <x:c r="O225" s="2" t="str">
        <x:v>NR</x:v>
      </x:c>
      <x:c r="P225" s="6" t="str">
        <x:v>NR</x:v>
      </x:c>
      <x:c r="Q225" s="2" t="str">
        <x:v>NR</x:v>
      </x:c>
      <x:c r="R225" s="6" t="str">
        <x:v>NR</x:v>
      </x:c>
      <x:c r="S225" s="2" t="str">
        <x:v>NR</x:v>
      </x:c>
      <x:c r="T225" s="2" t="str">
        <x:v>NR</x:v>
      </x:c>
      <x:c r="U225" s="2" t="str">
        <x:v>NR</x:v>
      </x:c>
      <x:c r="V225" s="6" t="str">
        <x:v>Task-specific coded evidence</x:v>
      </x:c>
      <x:c r="W225" s="6" t="str">
        <x:v>p. 2; I. INTRODUCTION (RQ2)</x:v>
      </x:c>
      <x:c r="X225" s="6" t="str">
        <x:v>to generate software documentation from code to support traceability in under-documented projects?</x:v>
      </x:c>
      <x:c r="Y225" s="6" t="str">
        <x:v>See task-step evidence references in the RQ2 supplement.</x:v>
      </x:c>
      <x:c r="Z225" s="2" t="str">
        <x:v>Accepted</x:v>
      </x:c>
      <x:c r="AA225" s="6" t="str">
        <x:v>NR</x:v>
      </x:c>
    </x:row>
    <x:row r="226" ht="76" customHeight="1">
      <x:c r="A226" s="2" t="str">
        <x:v>S26-T02-P5</x:v>
      </x:c>
      <x:c r="B226" s="2" t="str">
        <x:v>S26</x:v>
      </x:c>
      <x:c r="C226" s="2" t="str">
        <x:v>merged_1212</x:v>
      </x:c>
      <x:c r="D226" s="2" t="str">
        <x:v>Final coding</x:v>
      </x:c>
      <x:c r="E226" s="2" t="str">
        <x:v>R1/R2</x:v>
      </x:c>
      <x:c r="F226" s="2" t="str">
        <x:v>S26-T02-PROC</x:v>
      </x:c>
      <x:c r="G226" s="2" t="str">
        <x:v>S26-T02</x:v>
      </x:c>
      <x:c r="H226" s="2" t="str">
        <x:v>5 Evolution and embedding</x:v>
      </x:c>
      <x:c r="I226" s="2" t="n">
        <x:v>5</x:v>
      </x:c>
      <x:c r="J226" s="2" t="str">
        <x:v>Common core</x:v>
      </x:c>
      <x:c r="K226" s="2" t="str">
        <x:v>Completed</x:v>
      </x:c>
      <x:c r="L226" s="2" t="str">
        <x:v>Not separately reported</x:v>
      </x:c>
      <x:c r="M226" s="2" t="str">
        <x:v>NR</x:v>
      </x:c>
      <x:c r="N226" s="2" t="str">
        <x:v>NR</x:v>
      </x:c>
      <x:c r="O226" s="2" t="str">
        <x:v>NR</x:v>
      </x:c>
      <x:c r="P226" s="6" t="str">
        <x:v>NR</x:v>
      </x:c>
      <x:c r="Q226" s="2" t="str">
        <x:v>NR</x:v>
      </x:c>
      <x:c r="R226" s="6" t="str">
        <x:v>NR</x:v>
      </x:c>
      <x:c r="S226" s="2" t="str">
        <x:v>NR</x:v>
      </x:c>
      <x:c r="T226" s="2" t="str">
        <x:v>NR</x:v>
      </x:c>
      <x:c r="U226" s="2" t="str">
        <x:v>NR</x:v>
      </x:c>
      <x:c r="V226" s="6" t="str">
        <x:v>Task-specific coded evidence</x:v>
      </x:c>
      <x:c r="W226" s="6" t="str">
        <x:v>p. 2; I. INTRODUCTION (RQ2)</x:v>
      </x:c>
      <x:c r="X226" s="6" t="str">
        <x:v>to generate software documentation from code to support traceability in under-documented projects?</x:v>
      </x:c>
      <x:c r="Y226" s="6" t="str">
        <x:v>See task-step evidence references in the RQ2 supplement.</x:v>
      </x:c>
      <x:c r="Z226" s="2" t="str">
        <x:v>Accepted</x:v>
      </x:c>
      <x:c r="AA226" s="6" t="str">
        <x:v>NR</x:v>
      </x:c>
    </x:row>
    <x:row r="227" ht="76" customHeight="1">
      <x:c r="A227" s="2" t="str">
        <x:v>S26-T03-P1</x:v>
      </x:c>
      <x:c r="B227" s="2" t="str">
        <x:v>S26</x:v>
      </x:c>
      <x:c r="C227" s="2" t="str">
        <x:v>merged_1212</x:v>
      </x:c>
      <x:c r="D227" s="2" t="str">
        <x:v>Final coding</x:v>
      </x:c>
      <x:c r="E227" s="2" t="str">
        <x:v>R1/R2</x:v>
      </x:c>
      <x:c r="F227" s="2" t="str">
        <x:v>S26-T03-PROC</x:v>
      </x:c>
      <x:c r="G227" s="2" t="str">
        <x:v>S26-T03</x:v>
      </x:c>
      <x:c r="H227" s="2" t="str">
        <x:v>1 Artifact acquisition and scoping</x:v>
      </x:c>
      <x:c r="I227" s="2" t="n">
        <x:v>1</x:v>
      </x:c>
      <x:c r="J227" s="2" t="str">
        <x:v>Common core</x:v>
      </x:c>
      <x:c r="K227" s="2" t="str">
        <x:v>Completed</x:v>
      </x:c>
      <x:c r="L227" s="2" t="str">
        <x:v>Not separately reported</x:v>
      </x:c>
      <x:c r="M227" s="2" t="str">
        <x:v>NR</x:v>
      </x:c>
      <x:c r="N227" s="2" t="str">
        <x:v>NR</x:v>
      </x:c>
      <x:c r="O227" s="2" t="str">
        <x:v>NR</x:v>
      </x:c>
      <x:c r="P227" s="6" t="str">
        <x:v>NR</x:v>
      </x:c>
      <x:c r="Q227" s="2" t="str">
        <x:v>NR</x:v>
      </x:c>
      <x:c r="R227" s="6" t="str">
        <x:v>NR</x:v>
      </x:c>
      <x:c r="S227" s="2" t="str">
        <x:v>NR</x:v>
      </x:c>
      <x:c r="T227" s="2" t="str">
        <x:v>NR</x:v>
      </x:c>
      <x:c r="U227" s="2" t="str">
        <x:v>NR</x:v>
      </x:c>
      <x:c r="V227" s="6" t="str">
        <x:v>Task-specific coded evidence</x:v>
      </x:c>
      <x:c r="W227" s="6" t="str">
        <x:v>p. 2; I. INTRODUCTION (RQ3)</x:v>
      </x:c>
      <x:c r="X227" s="6" t="str">
        <x:v>How can LLM-driven traceability frameworks be adapted to achieve accountability in regulated domains such as Cyber-Physical Systems (CPS)?</x:v>
      </x:c>
      <x:c r="Y227" s="6" t="str">
        <x:v>See task-step evidence references in the RQ2 supplement.</x:v>
      </x:c>
      <x:c r="Z227" s="2" t="str">
        <x:v>Accepted</x:v>
      </x:c>
      <x:c r="AA227" s="6" t="str">
        <x:v>NR</x:v>
      </x:c>
    </x:row>
    <x:row r="228" ht="76" customHeight="1">
      <x:c r="A228" s="2" t="str">
        <x:v>S26-T03-P2</x:v>
      </x:c>
      <x:c r="B228" s="2" t="str">
        <x:v>S26</x:v>
      </x:c>
      <x:c r="C228" s="2" t="str">
        <x:v>merged_1212</x:v>
      </x:c>
      <x:c r="D228" s="2" t="str">
        <x:v>Final coding</x:v>
      </x:c>
      <x:c r="E228" s="2" t="str">
        <x:v>R1/R2</x:v>
      </x:c>
      <x:c r="F228" s="2" t="str">
        <x:v>S26-T03-PROC</x:v>
      </x:c>
      <x:c r="G228" s="2" t="str">
        <x:v>S26-T03</x:v>
      </x:c>
      <x:c r="H228" s="2" t="str">
        <x:v>2 Semantic contextualization</x:v>
      </x:c>
      <x:c r="I228" s="2" t="n">
        <x:v>2</x:v>
      </x:c>
      <x:c r="J228" s="2" t="str">
        <x:v>Common core</x:v>
      </x:c>
      <x:c r="K228" s="2" t="str">
        <x:v>Completed</x:v>
      </x:c>
      <x:c r="L228" s="2" t="str">
        <x:v>Not separately reported</x:v>
      </x:c>
      <x:c r="M228" s="2" t="str">
        <x:v>NR</x:v>
      </x:c>
      <x:c r="N228" s="2" t="str">
        <x:v>NR</x:v>
      </x:c>
      <x:c r="O228" s="2" t="str">
        <x:v>NR</x:v>
      </x:c>
      <x:c r="P228" s="6" t="str">
        <x:v>NR</x:v>
      </x:c>
      <x:c r="Q228" s="2" t="str">
        <x:v>NR</x:v>
      </x:c>
      <x:c r="R228" s="6" t="str">
        <x:v>NR</x:v>
      </x:c>
      <x:c r="S228" s="2" t="str">
        <x:v>NR</x:v>
      </x:c>
      <x:c r="T228" s="2" t="str">
        <x:v>NR</x:v>
      </x:c>
      <x:c r="U228" s="2" t="str">
        <x:v>NR</x:v>
      </x:c>
      <x:c r="V228" s="6" t="str">
        <x:v>Task-specific coded evidence</x:v>
      </x:c>
      <x:c r="W228" s="6" t="str">
        <x:v>p. 2; I. INTRODUCTION (RQ3)</x:v>
      </x:c>
      <x:c r="X228" s="6" t="str">
        <x:v>How can LLM-driven traceability frameworks be adapted to achieve accountability in regulated domains such as Cyber-Physical Systems (CPS)?</x:v>
      </x:c>
      <x:c r="Y228" s="6" t="str">
        <x:v>See task-step evidence references in the RQ2 supplement.</x:v>
      </x:c>
      <x:c r="Z228" s="2" t="str">
        <x:v>Accepted</x:v>
      </x:c>
      <x:c r="AA228" s="6" t="str">
        <x:v>NR</x:v>
      </x:c>
    </x:row>
    <x:row r="229" ht="76" customHeight="1">
      <x:c r="A229" s="2" t="str">
        <x:v>S26-T03-P3</x:v>
      </x:c>
      <x:c r="B229" s="2" t="str">
        <x:v>S26</x:v>
      </x:c>
      <x:c r="C229" s="2" t="str">
        <x:v>merged_1212</x:v>
      </x:c>
      <x:c r="D229" s="2" t="str">
        <x:v>Final coding</x:v>
      </x:c>
      <x:c r="E229" s="2" t="str">
        <x:v>R1/R2</x:v>
      </x:c>
      <x:c r="F229" s="2" t="str">
        <x:v>S26-T03-PROC</x:v>
      </x:c>
      <x:c r="G229" s="2" t="str">
        <x:v>S26-T03</x:v>
      </x:c>
      <x:c r="H229" s="2" t="str">
        <x:v>3 Traceability inference</x:v>
      </x:c>
      <x:c r="I229" s="2" t="n">
        <x:v>3</x:v>
      </x:c>
      <x:c r="J229" s="2" t="str">
        <x:v>Common core</x:v>
      </x:c>
      <x:c r="K229" s="2" t="str">
        <x:v>Completed</x:v>
      </x:c>
      <x:c r="L229" s="2" t="str">
        <x:v>Inferred from relation output</x:v>
      </x:c>
      <x:c r="M229" s="2" t="str">
        <x:v>NR</x:v>
      </x:c>
      <x:c r="N229" s="2" t="str">
        <x:v>NR</x:v>
      </x:c>
      <x:c r="O229" s="2" t="str">
        <x:v>NR</x:v>
      </x:c>
      <x:c r="P229" s="6" t="str">
        <x:v>NR</x:v>
      </x:c>
      <x:c r="Q229" s="2" t="str">
        <x:v>NR</x:v>
      </x:c>
      <x:c r="R229" s="6" t="str">
        <x:v>生成的安全需求及与标准的追溯链接</x:v>
      </x:c>
      <x:c r="S229" s="2" t="str">
        <x:v>NR</x:v>
      </x:c>
      <x:c r="T229" s="2" t="str">
        <x:v>NR</x:v>
      </x:c>
      <x:c r="U229" s="2" t="str">
        <x:v>NR</x:v>
      </x:c>
      <x:c r="V229" s="6" t="str">
        <x:v>Task-specific coded evidence</x:v>
      </x:c>
      <x:c r="W229" s="6" t="str">
        <x:v>p. 2; I. INTRODUCTION (RQ3)</x:v>
      </x:c>
      <x:c r="X229" s="6" t="str">
        <x:v>How can LLM-driven traceability frameworks be adapted to achieve accountability in regulated domains such as Cyber-Physical Systems (CPS)?</x:v>
      </x:c>
      <x:c r="Y229" s="6" t="str">
        <x:v>See task-step evidence references in the RQ2 supplement.</x:v>
      </x:c>
      <x:c r="Z229" s="2" t="str">
        <x:v>Accepted</x:v>
      </x:c>
      <x:c r="AA229" s="6" t="str">
        <x:v>NR</x:v>
      </x:c>
    </x:row>
    <x:row r="230" ht="76" customHeight="1">
      <x:c r="A230" s="2" t="str">
        <x:v>S26-T03-P4</x:v>
      </x:c>
      <x:c r="B230" s="2" t="str">
        <x:v>S26</x:v>
      </x:c>
      <x:c r="C230" s="2" t="str">
        <x:v>merged_1212</x:v>
      </x:c>
      <x:c r="D230" s="2" t="str">
        <x:v>Final coding</x:v>
      </x:c>
      <x:c r="E230" s="2" t="str">
        <x:v>R1/R2</x:v>
      </x:c>
      <x:c r="F230" s="2" t="str">
        <x:v>S26-T03-PROC</x:v>
      </x:c>
      <x:c r="G230" s="2" t="str">
        <x:v>S26-T03</x:v>
      </x:c>
      <x:c r="H230" s="2" t="str">
        <x:v>4 Validation and explanation</x:v>
      </x:c>
      <x:c r="I230" s="2" t="n">
        <x:v>4</x:v>
      </x:c>
      <x:c r="J230" s="2" t="str">
        <x:v>Common core</x:v>
      </x:c>
      <x:c r="K230" s="2" t="str">
        <x:v>Completed</x:v>
      </x:c>
      <x:c r="L230" s="2" t="str">
        <x:v>Not separately reported</x:v>
      </x:c>
      <x:c r="M230" s="2" t="str">
        <x:v>NR</x:v>
      </x:c>
      <x:c r="N230" s="2" t="str">
        <x:v>NR</x:v>
      </x:c>
      <x:c r="O230" s="2" t="str">
        <x:v>NR</x:v>
      </x:c>
      <x:c r="P230" s="6" t="str">
        <x:v>NR</x:v>
      </x:c>
      <x:c r="Q230" s="2" t="str">
        <x:v>NR</x:v>
      </x:c>
      <x:c r="R230" s="6" t="str">
        <x:v>NR</x:v>
      </x:c>
      <x:c r="S230" s="2" t="str">
        <x:v>NR</x:v>
      </x:c>
      <x:c r="T230" s="2" t="str">
        <x:v>NR</x:v>
      </x:c>
      <x:c r="U230" s="2" t="str">
        <x:v>NR</x:v>
      </x:c>
      <x:c r="V230" s="6" t="str">
        <x:v>Task-specific coded evidence</x:v>
      </x:c>
      <x:c r="W230" s="6" t="str">
        <x:v>p. 2; I. INTRODUCTION (RQ3)</x:v>
      </x:c>
      <x:c r="X230" s="6" t="str">
        <x:v>How can LLM-driven traceability frameworks be adapted to achieve accountability in regulated domains such as Cyber-Physical Systems (CPS)?</x:v>
      </x:c>
      <x:c r="Y230" s="6" t="str">
        <x:v>See task-step evidence references in the RQ2 supplement.</x:v>
      </x:c>
      <x:c r="Z230" s="2" t="str">
        <x:v>Accepted</x:v>
      </x:c>
      <x:c r="AA230" s="6" t="str">
        <x:v>NR</x:v>
      </x:c>
    </x:row>
    <x:row r="231" ht="76" customHeight="1">
      <x:c r="A231" s="2" t="str">
        <x:v>S26-T03-P5</x:v>
      </x:c>
      <x:c r="B231" s="2" t="str">
        <x:v>S26</x:v>
      </x:c>
      <x:c r="C231" s="2" t="str">
        <x:v>merged_1212</x:v>
      </x:c>
      <x:c r="D231" s="2" t="str">
        <x:v>Final coding</x:v>
      </x:c>
      <x:c r="E231" s="2" t="str">
        <x:v>R1/R2</x:v>
      </x:c>
      <x:c r="F231" s="2" t="str">
        <x:v>S26-T03-PROC</x:v>
      </x:c>
      <x:c r="G231" s="2" t="str">
        <x:v>S26-T03</x:v>
      </x:c>
      <x:c r="H231" s="2" t="str">
        <x:v>5 Evolution and embedding</x:v>
      </x:c>
      <x:c r="I231" s="2" t="n">
        <x:v>5</x:v>
      </x:c>
      <x:c r="J231" s="2" t="str">
        <x:v>Common core</x:v>
      </x:c>
      <x:c r="K231" s="2" t="str">
        <x:v>Completed</x:v>
      </x:c>
      <x:c r="L231" s="2" t="str">
        <x:v>Explicitly evidenced</x:v>
      </x:c>
      <x:c r="M231" s="2" t="str">
        <x:v>NR</x:v>
      </x:c>
      <x:c r="N231" s="2" t="str">
        <x:v>NR</x:v>
      </x:c>
      <x:c r="O231" s="2" t="str">
        <x:v>NR</x:v>
      </x:c>
      <x:c r="P231" s="6" t="str">
        <x:v>NR</x:v>
      </x:c>
      <x:c r="Q231" s="2" t="str">
        <x:v>5 Evolution and embedding</x:v>
      </x:c>
      <x:c r="R231" s="6" t="str">
        <x:v>NR</x:v>
      </x:c>
      <x:c r="S231" s="2" t="str">
        <x:v>NR</x:v>
      </x:c>
      <x:c r="T231" s="2" t="str">
        <x:v>NR</x:v>
      </x:c>
      <x:c r="U231" s="2" t="str">
        <x:v>NR</x:v>
      </x:c>
      <x:c r="V231" s="6" t="str">
        <x:v>Task-specific coded evidence</x:v>
      </x:c>
      <x:c r="W231" s="6" t="str">
        <x:v>p. 2; I. INTRODUCTION (RQ3)</x:v>
      </x:c>
      <x:c r="X231" s="6" t="str">
        <x:v>How can LLM-driven traceability frameworks be adapted to achieve accountability in regulated domains such as Cyber-Physical Systems (CPS)?</x:v>
      </x:c>
      <x:c r="Y231" s="6" t="str">
        <x:v>See task-step evidence references in the RQ2 supplement.</x:v>
      </x:c>
      <x:c r="Z231" s="2" t="str">
        <x:v>Accepted</x:v>
      </x:c>
      <x:c r="AA231" s="6" t="str">
        <x:v>NR</x:v>
      </x:c>
    </x:row>
    <x:row r="232" ht="76" customHeight="1">
      <x:c r="A232" s="2" t="str">
        <x:v>S26-T04-P1</x:v>
      </x:c>
      <x:c r="B232" s="2" t="str">
        <x:v>S26</x:v>
      </x:c>
      <x:c r="C232" s="2" t="str">
        <x:v>merged_1212</x:v>
      </x:c>
      <x:c r="D232" s="2" t="str">
        <x:v>Final coding</x:v>
      </x:c>
      <x:c r="E232" s="2" t="str">
        <x:v>R1/R2</x:v>
      </x:c>
      <x:c r="F232" s="2" t="str">
        <x:v>S26-T04-PROC</x:v>
      </x:c>
      <x:c r="G232" s="2" t="str">
        <x:v>S26-T04</x:v>
      </x:c>
      <x:c r="H232" s="2" t="str">
        <x:v>1 Artifact acquisition and scoping</x:v>
      </x:c>
      <x:c r="I232" s="2" t="n">
        <x:v>1</x:v>
      </x:c>
      <x:c r="J232" s="2" t="str">
        <x:v>Common core</x:v>
      </x:c>
      <x:c r="K232" s="2" t="str">
        <x:v>Completed</x:v>
      </x:c>
      <x:c r="L232" s="2" t="str">
        <x:v>Not separately reported</x:v>
      </x:c>
      <x:c r="M232" s="2" t="str">
        <x:v>NR</x:v>
      </x:c>
      <x:c r="N232" s="2" t="str">
        <x:v>NR</x:v>
      </x:c>
      <x:c r="O232" s="2" t="str">
        <x:v>NR</x:v>
      </x:c>
      <x:c r="P232" s="6" t="str">
        <x:v>NR</x:v>
      </x:c>
      <x:c r="Q232" s="2" t="str">
        <x:v>NR</x:v>
      </x:c>
      <x:c r="R232" s="6" t="str">
        <x:v>NR</x:v>
      </x:c>
      <x:c r="S232" s="2" t="str">
        <x:v>NR</x:v>
      </x:c>
      <x:c r="T232" s="2" t="str">
        <x:v>NR</x:v>
      </x:c>
      <x:c r="U232" s="2" t="str">
        <x:v>NR</x:v>
      </x:c>
      <x:c r="V232" s="6" t="str">
        <x:v>Task-specific coded evidence</x:v>
      </x:c>
      <x:c r="W232" s="6" t="str">
        <x:v>p. 4; III.D Trace-Link Generation to Support Software Maintenance</x:v>
      </x:c>
      <x:c r="X232" s="6" t="str">
        <x:v>provide traceability from observed differences in environments to possible root causes in commits, code, and documentation</x:v>
      </x:c>
      <x:c r="Y232" s="6" t="str">
        <x:v>See task-step evidence references in the RQ2 supplement.</x:v>
      </x:c>
      <x:c r="Z232" s="2" t="str">
        <x:v>Accepted</x:v>
      </x:c>
      <x:c r="AA232" s="6" t="str">
        <x:v>NR</x:v>
      </x:c>
    </x:row>
    <x:row r="233" ht="76" customHeight="1">
      <x:c r="A233" s="2" t="str">
        <x:v>S26-T04-P2</x:v>
      </x:c>
      <x:c r="B233" s="2" t="str">
        <x:v>S26</x:v>
      </x:c>
      <x:c r="C233" s="2" t="str">
        <x:v>merged_1212</x:v>
      </x:c>
      <x:c r="D233" s="2" t="str">
        <x:v>Final coding</x:v>
      </x:c>
      <x:c r="E233" s="2" t="str">
        <x:v>R1/R2</x:v>
      </x:c>
      <x:c r="F233" s="2" t="str">
        <x:v>S26-T04-PROC</x:v>
      </x:c>
      <x:c r="G233" s="2" t="str">
        <x:v>S26-T04</x:v>
      </x:c>
      <x:c r="H233" s="2" t="str">
        <x:v>2 Semantic contextualization</x:v>
      </x:c>
      <x:c r="I233" s="2" t="n">
        <x:v>2</x:v>
      </x:c>
      <x:c r="J233" s="2" t="str">
        <x:v>Common core</x:v>
      </x:c>
      <x:c r="K233" s="2" t="str">
        <x:v>Completed</x:v>
      </x:c>
      <x:c r="L233" s="2" t="str">
        <x:v>Explicitly evidenced</x:v>
      </x:c>
      <x:c r="M233" s="2" t="str">
        <x:v>NR</x:v>
      </x:c>
      <x:c r="N233" s="2" t="str">
        <x:v>NR</x:v>
      </x:c>
      <x:c r="O233" s="2" t="str">
        <x:v>NR</x:v>
      </x:c>
      <x:c r="P233" s="6" t="str">
        <x:v>NR</x:v>
      </x:c>
      <x:c r="Q233" s="2" t="str">
        <x:v>2 Semantic contextualization</x:v>
      </x:c>
      <x:c r="R233" s="6" t="str">
        <x:v>NR</x:v>
      </x:c>
      <x:c r="S233" s="2" t="str">
        <x:v>NR</x:v>
      </x:c>
      <x:c r="T233" s="2" t="str">
        <x:v>NR</x:v>
      </x:c>
      <x:c r="U233" s="2" t="str">
        <x:v>NR</x:v>
      </x:c>
      <x:c r="V233" s="6" t="str">
        <x:v>Task-specific coded evidence</x:v>
      </x:c>
      <x:c r="W233" s="6" t="str">
        <x:v>p. 4; III.D Trace-Link Generation to Support Software Maintenance</x:v>
      </x:c>
      <x:c r="X233" s="6" t="str">
        <x:v>provide traceability from observed differences in environments to possible root causes in commits, code, and documentation</x:v>
      </x:c>
      <x:c r="Y233" s="6" t="str">
        <x:v>See task-step evidence references in the RQ2 supplement.</x:v>
      </x:c>
      <x:c r="Z233" s="2" t="str">
        <x:v>Accepted</x:v>
      </x:c>
      <x:c r="AA233" s="6" t="str">
        <x:v>NR</x:v>
      </x:c>
    </x:row>
    <x:row r="234" ht="76" customHeight="1">
      <x:c r="A234" s="2" t="str">
        <x:v>S26-T04-P3</x:v>
      </x:c>
      <x:c r="B234" s="2" t="str">
        <x:v>S26</x:v>
      </x:c>
      <x:c r="C234" s="2" t="str">
        <x:v>merged_1212</x:v>
      </x:c>
      <x:c r="D234" s="2" t="str">
        <x:v>Final coding</x:v>
      </x:c>
      <x:c r="E234" s="2" t="str">
        <x:v>R1/R2</x:v>
      </x:c>
      <x:c r="F234" s="2" t="str">
        <x:v>S26-T04-PROC</x:v>
      </x:c>
      <x:c r="G234" s="2" t="str">
        <x:v>S26-T04</x:v>
      </x:c>
      <x:c r="H234" s="2" t="str">
        <x:v>3 Traceability inference</x:v>
      </x:c>
      <x:c r="I234" s="2" t="n">
        <x:v>3</x:v>
      </x:c>
      <x:c r="J234" s="2" t="str">
        <x:v>Common core</x:v>
      </x:c>
      <x:c r="K234" s="2" t="str">
        <x:v>Completed</x:v>
      </x:c>
      <x:c r="L234" s="2" t="str">
        <x:v>Inferred from relation output</x:v>
      </x:c>
      <x:c r="M234" s="2" t="str">
        <x:v>NR</x:v>
      </x:c>
      <x:c r="N234" s="2" t="str">
        <x:v>NR</x:v>
      </x:c>
      <x:c r="O234" s="2" t="str">
        <x:v>NR</x:v>
      </x:c>
      <x:c r="P234" s="6" t="str">
        <x:v>NR</x:v>
      </x:c>
      <x:c r="Q234" s="2" t="str">
        <x:v>NR</x:v>
      </x:c>
      <x:c r="R234" s="6" t="str">
        <x:v>差异到根本原因的追溯链接</x:v>
      </x:c>
      <x:c r="S234" s="2" t="str">
        <x:v>NR</x:v>
      </x:c>
      <x:c r="T234" s="2" t="str">
        <x:v>NR</x:v>
      </x:c>
      <x:c r="U234" s="2" t="str">
        <x:v>NR</x:v>
      </x:c>
      <x:c r="V234" s="6" t="str">
        <x:v>Task-specific coded evidence</x:v>
      </x:c>
      <x:c r="W234" s="6" t="str">
        <x:v>p. 4; III.D Trace-Link Generation to Support Software Maintenance</x:v>
      </x:c>
      <x:c r="X234" s="6" t="str">
        <x:v>provide traceability from observed differences in environments to possible root causes in commits, code, and documentation</x:v>
      </x:c>
      <x:c r="Y234" s="6" t="str">
        <x:v>See task-step evidence references in the RQ2 supplement.</x:v>
      </x:c>
      <x:c r="Z234" s="2" t="str">
        <x:v>Accepted</x:v>
      </x:c>
      <x:c r="AA234" s="6" t="str">
        <x:v>NR</x:v>
      </x:c>
    </x:row>
    <x:row r="235" ht="76" customHeight="1">
      <x:c r="A235" s="2" t="str">
        <x:v>S26-T04-P4</x:v>
      </x:c>
      <x:c r="B235" s="2" t="str">
        <x:v>S26</x:v>
      </x:c>
      <x:c r="C235" s="2" t="str">
        <x:v>merged_1212</x:v>
      </x:c>
      <x:c r="D235" s="2" t="str">
        <x:v>Final coding</x:v>
      </x:c>
      <x:c r="E235" s="2" t="str">
        <x:v>R1/R2</x:v>
      </x:c>
      <x:c r="F235" s="2" t="str">
        <x:v>S26-T04-PROC</x:v>
      </x:c>
      <x:c r="G235" s="2" t="str">
        <x:v>S26-T04</x:v>
      </x:c>
      <x:c r="H235" s="2" t="str">
        <x:v>4 Validation and explanation</x:v>
      </x:c>
      <x:c r="I235" s="2" t="n">
        <x:v>4</x:v>
      </x:c>
      <x:c r="J235" s="2" t="str">
        <x:v>Common core</x:v>
      </x:c>
      <x:c r="K235" s="2" t="str">
        <x:v>Completed</x:v>
      </x:c>
      <x:c r="L235" s="2" t="str">
        <x:v>Not separately reported</x:v>
      </x:c>
      <x:c r="M235" s="2" t="str">
        <x:v>NR</x:v>
      </x:c>
      <x:c r="N235" s="2" t="str">
        <x:v>NR</x:v>
      </x:c>
      <x:c r="O235" s="2" t="str">
        <x:v>NR</x:v>
      </x:c>
      <x:c r="P235" s="6" t="str">
        <x:v>NR</x:v>
      </x:c>
      <x:c r="Q235" s="2" t="str">
        <x:v>NR</x:v>
      </x:c>
      <x:c r="R235" s="6" t="str">
        <x:v>NR</x:v>
      </x:c>
      <x:c r="S235" s="2" t="str">
        <x:v>NR</x:v>
      </x:c>
      <x:c r="T235" s="2" t="str">
        <x:v>NR</x:v>
      </x:c>
      <x:c r="U235" s="2" t="str">
        <x:v>NR</x:v>
      </x:c>
      <x:c r="V235" s="6" t="str">
        <x:v>Task-specific coded evidence</x:v>
      </x:c>
      <x:c r="W235" s="6" t="str">
        <x:v>p. 4; III.D Trace-Link Generation to Support Software Maintenance</x:v>
      </x:c>
      <x:c r="X235" s="6" t="str">
        <x:v>provide traceability from observed differences in environments to possible root causes in commits, code, and documentation</x:v>
      </x:c>
      <x:c r="Y235" s="6" t="str">
        <x:v>See task-step evidence references in the RQ2 supplement.</x:v>
      </x:c>
      <x:c r="Z235" s="2" t="str">
        <x:v>Accepted</x:v>
      </x:c>
      <x:c r="AA235" s="6" t="str">
        <x:v>NR</x:v>
      </x:c>
    </x:row>
    <x:row r="236" ht="76" customHeight="1">
      <x:c r="A236" s="2" t="str">
        <x:v>S26-T04-P5</x:v>
      </x:c>
      <x:c r="B236" s="2" t="str">
        <x:v>S26</x:v>
      </x:c>
      <x:c r="C236" s="2" t="str">
        <x:v>merged_1212</x:v>
      </x:c>
      <x:c r="D236" s="2" t="str">
        <x:v>Final coding</x:v>
      </x:c>
      <x:c r="E236" s="2" t="str">
        <x:v>R1/R2</x:v>
      </x:c>
      <x:c r="F236" s="2" t="str">
        <x:v>S26-T04-PROC</x:v>
      </x:c>
      <x:c r="G236" s="2" t="str">
        <x:v>S26-T04</x:v>
      </x:c>
      <x:c r="H236" s="2" t="str">
        <x:v>5 Evolution and embedding</x:v>
      </x:c>
      <x:c r="I236" s="2" t="n">
        <x:v>5</x:v>
      </x:c>
      <x:c r="J236" s="2" t="str">
        <x:v>Common core</x:v>
      </x:c>
      <x:c r="K236" s="2" t="str">
        <x:v>Completed</x:v>
      </x:c>
      <x:c r="L236" s="2" t="str">
        <x:v>Not separately reported</x:v>
      </x:c>
      <x:c r="M236" s="2" t="str">
        <x:v>NR</x:v>
      </x:c>
      <x:c r="N236" s="2" t="str">
        <x:v>NR</x:v>
      </x:c>
      <x:c r="O236" s="2" t="str">
        <x:v>NR</x:v>
      </x:c>
      <x:c r="P236" s="6" t="str">
        <x:v>NR</x:v>
      </x:c>
      <x:c r="Q236" s="2" t="str">
        <x:v>NR</x:v>
      </x:c>
      <x:c r="R236" s="6" t="str">
        <x:v>NR</x:v>
      </x:c>
      <x:c r="S236" s="2" t="str">
        <x:v>NR</x:v>
      </x:c>
      <x:c r="T236" s="2" t="str">
        <x:v>NR</x:v>
      </x:c>
      <x:c r="U236" s="2" t="str">
        <x:v>NR</x:v>
      </x:c>
      <x:c r="V236" s="6" t="str">
        <x:v>Task-specific coded evidence</x:v>
      </x:c>
      <x:c r="W236" s="6" t="str">
        <x:v>p. 4; III.D Trace-Link Generation to Support Software Maintenance</x:v>
      </x:c>
      <x:c r="X236" s="6" t="str">
        <x:v>provide traceability from observed differences in environments to possible root causes in commits, code, and documentation</x:v>
      </x:c>
      <x:c r="Y236" s="6" t="str">
        <x:v>See task-step evidence references in the RQ2 supplement.</x:v>
      </x:c>
      <x:c r="Z236" s="2" t="str">
        <x:v>Accepted</x:v>
      </x:c>
      <x:c r="AA236" s="6" t="str">
        <x:v>NR</x:v>
      </x:c>
    </x:row>
    <x:row r="237" ht="76" customHeight="1">
      <x:c r="A237" s="2" t="str">
        <x:v>S27-T01-P1</x:v>
      </x:c>
      <x:c r="B237" s="2" t="str">
        <x:v>S27</x:v>
      </x:c>
      <x:c r="C237" s="2" t="str">
        <x:v>merged_1213</x:v>
      </x:c>
      <x:c r="D237" s="2" t="str">
        <x:v>Final coding</x:v>
      </x:c>
      <x:c r="E237" s="2" t="str">
        <x:v>R1/R2</x:v>
      </x:c>
      <x:c r="F237" s="2" t="str">
        <x:v>S27-T01-PROC</x:v>
      </x:c>
      <x:c r="G237" s="2" t="str">
        <x:v>S27-T01</x:v>
      </x:c>
      <x:c r="H237" s="2" t="str">
        <x:v>1 Artifact acquisition and scoping</x:v>
      </x:c>
      <x:c r="I237" s="2" t="n">
        <x:v>1</x:v>
      </x:c>
      <x:c r="J237" s="2" t="str">
        <x:v>Common core</x:v>
      </x:c>
      <x:c r="K237" s="2" t="str">
        <x:v>Completed</x:v>
      </x:c>
      <x:c r="L237" s="2" t="str">
        <x:v>Not separately reported</x:v>
      </x:c>
      <x:c r="M237" s="2" t="str">
        <x:v>NR</x:v>
      </x:c>
      <x:c r="N237" s="2" t="str">
        <x:v>NR</x:v>
      </x:c>
      <x:c r="O237" s="2" t="str">
        <x:v>NR</x:v>
      </x:c>
      <x:c r="P237" s="6" t="str">
        <x:v>NR</x:v>
      </x:c>
      <x:c r="Q237" s="2" t="str">
        <x:v>NR</x:v>
      </x:c>
      <x:c r="R237" s="6" t="str">
        <x:v>NR</x:v>
      </x:c>
      <x:c r="S237" s="2" t="str">
        <x:v>NR</x:v>
      </x:c>
      <x:c r="T237" s="2" t="str">
        <x:v>NR</x:v>
      </x:c>
      <x:c r="U237" s="2" t="str">
        <x:v>NR</x:v>
      </x:c>
      <x:c r="V237" s="6" t="str">
        <x:v>Task-specific coded evidence</x:v>
      </x:c>
      <x:c r="W237" s="6" t="str">
        <x:v>p. 1; Abstract</x:v>
      </x:c>
      <x:c r="X237" s="6" t="str">
        <x:v>We propose an inter-requirements TLR approach that uses an ensemble of small LLMs</x:v>
      </x:c>
      <x:c r="Y237" s="6" t="str">
        <x:v>See task-step evidence references in the RQ2 supplement.</x:v>
      </x:c>
      <x:c r="Z237" s="2" t="str">
        <x:v>Accepted</x:v>
      </x:c>
      <x:c r="AA237" s="6" t="str">
        <x:v>NR</x:v>
      </x:c>
    </x:row>
    <x:row r="238" ht="76" customHeight="1">
      <x:c r="A238" s="2" t="str">
        <x:v>S27-T01-P2</x:v>
      </x:c>
      <x:c r="B238" s="2" t="str">
        <x:v>S27</x:v>
      </x:c>
      <x:c r="C238" s="2" t="str">
        <x:v>merged_1213</x:v>
      </x:c>
      <x:c r="D238" s="2" t="str">
        <x:v>Final coding</x:v>
      </x:c>
      <x:c r="E238" s="2" t="str">
        <x:v>R1/R2</x:v>
      </x:c>
      <x:c r="F238" s="2" t="str">
        <x:v>S27-T01-PROC</x:v>
      </x:c>
      <x:c r="G238" s="2" t="str">
        <x:v>S27-T01</x:v>
      </x:c>
      <x:c r="H238" s="2" t="str">
        <x:v>2 Semantic contextualization</x:v>
      </x:c>
      <x:c r="I238" s="2" t="n">
        <x:v>2</x:v>
      </x:c>
      <x:c r="J238" s="2" t="str">
        <x:v>Common core</x:v>
      </x:c>
      <x:c r="K238" s="2" t="str">
        <x:v>Completed</x:v>
      </x:c>
      <x:c r="L238" s="2" t="str">
        <x:v>Not separately reported</x:v>
      </x:c>
      <x:c r="M238" s="2" t="str">
        <x:v>NR</x:v>
      </x:c>
      <x:c r="N238" s="2" t="str">
        <x:v>NR</x:v>
      </x:c>
      <x:c r="O238" s="2" t="str">
        <x:v>NR</x:v>
      </x:c>
      <x:c r="P238" s="6" t="str">
        <x:v>NR</x:v>
      </x:c>
      <x:c r="Q238" s="2" t="str">
        <x:v>NR</x:v>
      </x:c>
      <x:c r="R238" s="6" t="str">
        <x:v>NR</x:v>
      </x:c>
      <x:c r="S238" s="2" t="str">
        <x:v>NR</x:v>
      </x:c>
      <x:c r="T238" s="2" t="str">
        <x:v>NR</x:v>
      </x:c>
      <x:c r="U238" s="2" t="str">
        <x:v>NR</x:v>
      </x:c>
      <x:c r="V238" s="6" t="str">
        <x:v>Task-specific coded evidence</x:v>
      </x:c>
      <x:c r="W238" s="6" t="str">
        <x:v>p. 1; Abstract</x:v>
      </x:c>
      <x:c r="X238" s="6" t="str">
        <x:v>We propose an inter-requirements TLR approach that uses an ensemble of small LLMs</x:v>
      </x:c>
      <x:c r="Y238" s="6" t="str">
        <x:v>See task-step evidence references in the RQ2 supplement.</x:v>
      </x:c>
      <x:c r="Z238" s="2" t="str">
        <x:v>Accepted</x:v>
      </x:c>
      <x:c r="AA238" s="6" t="str">
        <x:v>NR</x:v>
      </x:c>
    </x:row>
    <x:row r="239" ht="76" customHeight="1">
      <x:c r="A239" s="2" t="str">
        <x:v>S27-T01-P3</x:v>
      </x:c>
      <x:c r="B239" s="2" t="str">
        <x:v>S27</x:v>
      </x:c>
      <x:c r="C239" s="2" t="str">
        <x:v>merged_1213</x:v>
      </x:c>
      <x:c r="D239" s="2" t="str">
        <x:v>Final coding</x:v>
      </x:c>
      <x:c r="E239" s="2" t="str">
        <x:v>R1/R2</x:v>
      </x:c>
      <x:c r="F239" s="2" t="str">
        <x:v>S27-T01-PROC</x:v>
      </x:c>
      <x:c r="G239" s="2" t="str">
        <x:v>S27-T01</x:v>
      </x:c>
      <x:c r="H239" s="2" t="str">
        <x:v>3 Traceability inference</x:v>
      </x:c>
      <x:c r="I239" s="2" t="n">
        <x:v>3</x:v>
      </x:c>
      <x:c r="J239" s="2" t="str">
        <x:v>Common core</x:v>
      </x:c>
      <x:c r="K239" s="2" t="str">
        <x:v>Completed</x:v>
      </x:c>
      <x:c r="L239" s="2" t="str">
        <x:v>Explicitly evidenced</x:v>
      </x:c>
      <x:c r="M239" s="2" t="str">
        <x:v>NR</x:v>
      </x:c>
      <x:c r="N239" s="2" t="str">
        <x:v>NR</x:v>
      </x:c>
      <x:c r="O239" s="2" t="str">
        <x:v>NR</x:v>
      </x:c>
      <x:c r="P239" s="6" t="str">
        <x:v>NR</x:v>
      </x:c>
      <x:c r="Q239" s="2" t="str">
        <x:v>3 Traceability inference</x:v>
      </x:c>
      <x:c r="R239" s="6" t="str">
        <x:v>预测的相关链接集合（二分类）。</x:v>
      </x:c>
      <x:c r="S239" s="2" t="str">
        <x:v>NR</x:v>
      </x:c>
      <x:c r="T239" s="2" t="str">
        <x:v>NR</x:v>
      </x:c>
      <x:c r="U239" s="2" t="str">
        <x:v>NR</x:v>
      </x:c>
      <x:c r="V239" s="6" t="str">
        <x:v>Task-specific coded evidence</x:v>
      </x:c>
      <x:c r="W239" s="6" t="str">
        <x:v>p. 1; Abstract</x:v>
      </x:c>
      <x:c r="X239" s="6" t="str">
        <x:v>We propose an inter-requirements TLR approach that uses an ensemble of small LLMs</x:v>
      </x:c>
      <x:c r="Y239" s="6" t="str">
        <x:v>See task-step evidence references in the RQ2 supplement.</x:v>
      </x:c>
      <x:c r="Z239" s="2" t="str">
        <x:v>Accepted</x:v>
      </x:c>
      <x:c r="AA239" s="6" t="str">
        <x:v>NR</x:v>
      </x:c>
    </x:row>
    <x:row r="240" ht="76" customHeight="1">
      <x:c r="A240" s="2" t="str">
        <x:v>S27-T01-P4</x:v>
      </x:c>
      <x:c r="B240" s="2" t="str">
        <x:v>S27</x:v>
      </x:c>
      <x:c r="C240" s="2" t="str">
        <x:v>merged_1213</x:v>
      </x:c>
      <x:c r="D240" s="2" t="str">
        <x:v>Final coding</x:v>
      </x:c>
      <x:c r="E240" s="2" t="str">
        <x:v>R1/R2</x:v>
      </x:c>
      <x:c r="F240" s="2" t="str">
        <x:v>S27-T01-PROC</x:v>
      </x:c>
      <x:c r="G240" s="2" t="str">
        <x:v>S27-T01</x:v>
      </x:c>
      <x:c r="H240" s="2" t="str">
        <x:v>4 Validation and explanation</x:v>
      </x:c>
      <x:c r="I240" s="2" t="n">
        <x:v>4</x:v>
      </x:c>
      <x:c r="J240" s="2" t="str">
        <x:v>Common core</x:v>
      </x:c>
      <x:c r="K240" s="2" t="str">
        <x:v>Completed</x:v>
      </x:c>
      <x:c r="L240" s="2" t="str">
        <x:v>Not separately reported</x:v>
      </x:c>
      <x:c r="M240" s="2" t="str">
        <x:v>NR</x:v>
      </x:c>
      <x:c r="N240" s="2" t="str">
        <x:v>NR</x:v>
      </x:c>
      <x:c r="O240" s="2" t="str">
        <x:v>NR</x:v>
      </x:c>
      <x:c r="P240" s="6" t="str">
        <x:v>NR</x:v>
      </x:c>
      <x:c r="Q240" s="2" t="str">
        <x:v>NR</x:v>
      </x:c>
      <x:c r="R240" s="6" t="str">
        <x:v>NR</x:v>
      </x:c>
      <x:c r="S240" s="2" t="str">
        <x:v>NR</x:v>
      </x:c>
      <x:c r="T240" s="2" t="str">
        <x:v>NR</x:v>
      </x:c>
      <x:c r="U240" s="2" t="str">
        <x:v>NR</x:v>
      </x:c>
      <x:c r="V240" s="6" t="str">
        <x:v>Task-specific coded evidence</x:v>
      </x:c>
      <x:c r="W240" s="6" t="str">
        <x:v>p. 1; Abstract</x:v>
      </x:c>
      <x:c r="X240" s="6" t="str">
        <x:v>We propose an inter-requirements TLR approach that uses an ensemble of small LLMs</x:v>
      </x:c>
      <x:c r="Y240" s="6" t="str">
        <x:v>See task-step evidence references in the RQ2 supplement.</x:v>
      </x:c>
      <x:c r="Z240" s="2" t="str">
        <x:v>Accepted</x:v>
      </x:c>
      <x:c r="AA240" s="6" t="str">
        <x:v>NR</x:v>
      </x:c>
    </x:row>
    <x:row r="241" ht="76" customHeight="1">
      <x:c r="A241" s="2" t="str">
        <x:v>S27-T01-P5</x:v>
      </x:c>
      <x:c r="B241" s="2" t="str">
        <x:v>S27</x:v>
      </x:c>
      <x:c r="C241" s="2" t="str">
        <x:v>merged_1213</x:v>
      </x:c>
      <x:c r="D241" s="2" t="str">
        <x:v>Final coding</x:v>
      </x:c>
      <x:c r="E241" s="2" t="str">
        <x:v>R1/R2</x:v>
      </x:c>
      <x:c r="F241" s="2" t="str">
        <x:v>S27-T01-PROC</x:v>
      </x:c>
      <x:c r="G241" s="2" t="str">
        <x:v>S27-T01</x:v>
      </x:c>
      <x:c r="H241" s="2" t="str">
        <x:v>5 Evolution and embedding</x:v>
      </x:c>
      <x:c r="I241" s="2" t="n">
        <x:v>5</x:v>
      </x:c>
      <x:c r="J241" s="2" t="str">
        <x:v>Common core</x:v>
      </x:c>
      <x:c r="K241" s="2" t="str">
        <x:v>Completed</x:v>
      </x:c>
      <x:c r="L241" s="2" t="str">
        <x:v>Not separately reported</x:v>
      </x:c>
      <x:c r="M241" s="2" t="str">
        <x:v>NR</x:v>
      </x:c>
      <x:c r="N241" s="2" t="str">
        <x:v>NR</x:v>
      </x:c>
      <x:c r="O241" s="2" t="str">
        <x:v>NR</x:v>
      </x:c>
      <x:c r="P241" s="6" t="str">
        <x:v>NR</x:v>
      </x:c>
      <x:c r="Q241" s="2" t="str">
        <x:v>NR</x:v>
      </x:c>
      <x:c r="R241" s="6" t="str">
        <x:v>NR</x:v>
      </x:c>
      <x:c r="S241" s="2" t="str">
        <x:v>NR</x:v>
      </x:c>
      <x:c r="T241" s="2" t="str">
        <x:v>NR</x:v>
      </x:c>
      <x:c r="U241" s="2" t="str">
        <x:v>NR</x:v>
      </x:c>
      <x:c r="V241" s="6" t="str">
        <x:v>Task-specific coded evidence</x:v>
      </x:c>
      <x:c r="W241" s="6" t="str">
        <x:v>p. 1; Abstract</x:v>
      </x:c>
      <x:c r="X241" s="6" t="str">
        <x:v>We propose an inter-requirements TLR approach that uses an ensemble of small LLMs</x:v>
      </x:c>
      <x:c r="Y241" s="6" t="str">
        <x:v>See task-step evidence references in the RQ2 supplement.</x:v>
      </x:c>
      <x:c r="Z241" s="2" t="str">
        <x:v>Accepted</x:v>
      </x:c>
      <x:c r="AA241" s="6" t="str">
        <x:v>NR</x:v>
      </x:c>
    </x:row>
    <x:row r="242" ht="76" customHeight="1">
      <x:c r="A242" s="2" t="str">
        <x:v>S28-T01-P1</x:v>
      </x:c>
      <x:c r="B242" s="2" t="str">
        <x:v>S28</x:v>
      </x:c>
      <x:c r="C242" s="2" t="str">
        <x:v>merged_1214</x:v>
      </x:c>
      <x:c r="D242" s="2" t="str">
        <x:v>Final coding</x:v>
      </x:c>
      <x:c r="E242" s="2" t="str">
        <x:v>R1/R2</x:v>
      </x:c>
      <x:c r="F242" s="2" t="str">
        <x:v>S28-T01-PROC</x:v>
      </x:c>
      <x:c r="G242" s="2" t="str">
        <x:v>S28-T01</x:v>
      </x:c>
      <x:c r="H242" s="2" t="str">
        <x:v>1 Artifact acquisition and scoping</x:v>
      </x:c>
      <x:c r="I242" s="2" t="n">
        <x:v>1</x:v>
      </x:c>
      <x:c r="J242" s="2" t="str">
        <x:v>Common core</x:v>
      </x:c>
      <x:c r="K242" s="2" t="str">
        <x:v>Completed</x:v>
      </x:c>
      <x:c r="L242" s="2" t="str">
        <x:v>Not separately reported</x:v>
      </x:c>
      <x:c r="M242" s="2" t="str">
        <x:v>NR</x:v>
      </x:c>
      <x:c r="N242" s="2" t="str">
        <x:v>NR</x:v>
      </x:c>
      <x:c r="O242" s="2" t="str">
        <x:v>NR</x:v>
      </x:c>
      <x:c r="P242" s="6" t="str">
        <x:v>NR</x:v>
      </x:c>
      <x:c r="Q242" s="2" t="str">
        <x:v>NR</x:v>
      </x:c>
      <x:c r="R242" s="6" t="str">
        <x:v>NR</x:v>
      </x:c>
      <x:c r="S242" s="2" t="str">
        <x:v>NR</x:v>
      </x:c>
      <x:c r="T242" s="2" t="str">
        <x:v>NR</x:v>
      </x:c>
      <x:c r="U242" s="2" t="str">
        <x:v>NR</x:v>
      </x:c>
      <x:c r="V242" s="6" t="str">
        <x:v>Task-specific coded evidence</x:v>
      </x:c>
      <x:c r="W242" s="6" t="str">
        <x:v>p. 2; Section 1</x:v>
      </x:c>
      <x:c r="X242" s="6" t="str">
        <x:v>Our approach focuses on improving the state-of-the-art of use case requirements to source code classes traceability</x:v>
      </x:c>
      <x:c r="Y242" s="6" t="str">
        <x:v>See task-step evidence references in the RQ2 supplement.</x:v>
      </x:c>
      <x:c r="Z242" s="2" t="str">
        <x:v>Accepted</x:v>
      </x:c>
      <x:c r="AA242" s="6" t="str">
        <x:v>NR</x:v>
      </x:c>
    </x:row>
    <x:row r="243" ht="76" customHeight="1">
      <x:c r="A243" s="2" t="str">
        <x:v>S28-T01-P2</x:v>
      </x:c>
      <x:c r="B243" s="2" t="str">
        <x:v>S28</x:v>
      </x:c>
      <x:c r="C243" s="2" t="str">
        <x:v>merged_1214</x:v>
      </x:c>
      <x:c r="D243" s="2" t="str">
        <x:v>Final coding</x:v>
      </x:c>
      <x:c r="E243" s="2" t="str">
        <x:v>R1/R2</x:v>
      </x:c>
      <x:c r="F243" s="2" t="str">
        <x:v>S28-T01-PROC</x:v>
      </x:c>
      <x:c r="G243" s="2" t="str">
        <x:v>S28-T01</x:v>
      </x:c>
      <x:c r="H243" s="2" t="str">
        <x:v>2 Semantic contextualization</x:v>
      </x:c>
      <x:c r="I243" s="2" t="n">
        <x:v>2</x:v>
      </x:c>
      <x:c r="J243" s="2" t="str">
        <x:v>Common core</x:v>
      </x:c>
      <x:c r="K243" s="2" t="str">
        <x:v>Completed</x:v>
      </x:c>
      <x:c r="L243" s="2" t="str">
        <x:v>Explicitly evidenced</x:v>
      </x:c>
      <x:c r="M243" s="2" t="str">
        <x:v>NR</x:v>
      </x:c>
      <x:c r="N243" s="2" t="str">
        <x:v>NR</x:v>
      </x:c>
      <x:c r="O243" s="2" t="str">
        <x:v>NR</x:v>
      </x:c>
      <x:c r="P243" s="6" t="str">
        <x:v>NR</x:v>
      </x:c>
      <x:c r="Q243" s="2" t="str">
        <x:v>2 Semantic contextualization</x:v>
      </x:c>
      <x:c r="R243" s="6" t="str">
        <x:v>NR</x:v>
      </x:c>
      <x:c r="S243" s="2" t="str">
        <x:v>NR</x:v>
      </x:c>
      <x:c r="T243" s="2" t="str">
        <x:v>NR</x:v>
      </x:c>
      <x:c r="U243" s="2" t="str">
        <x:v>NR</x:v>
      </x:c>
      <x:c r="V243" s="6" t="str">
        <x:v>Task-specific coded evidence</x:v>
      </x:c>
      <x:c r="W243" s="6" t="str">
        <x:v>p. 2; Section 1</x:v>
      </x:c>
      <x:c r="X243" s="6" t="str">
        <x:v>Our approach focuses on improving the state-of-the-art of use case requirements to source code classes traceability</x:v>
      </x:c>
      <x:c r="Y243" s="6" t="str">
        <x:v>See task-step evidence references in the RQ2 supplement.</x:v>
      </x:c>
      <x:c r="Z243" s="2" t="str">
        <x:v>Accepted</x:v>
      </x:c>
      <x:c r="AA243" s="6" t="str">
        <x:v>NR</x:v>
      </x:c>
    </x:row>
    <x:row r="244" ht="76" customHeight="1">
      <x:c r="A244" s="2" t="str">
        <x:v>S28-T01-P3</x:v>
      </x:c>
      <x:c r="B244" s="2" t="str">
        <x:v>S28</x:v>
      </x:c>
      <x:c r="C244" s="2" t="str">
        <x:v>merged_1214</x:v>
      </x:c>
      <x:c r="D244" s="2" t="str">
        <x:v>Final coding</x:v>
      </x:c>
      <x:c r="E244" s="2" t="str">
        <x:v>R1/R2</x:v>
      </x:c>
      <x:c r="F244" s="2" t="str">
        <x:v>S28-T01-PROC</x:v>
      </x:c>
      <x:c r="G244" s="2" t="str">
        <x:v>S28-T01</x:v>
      </x:c>
      <x:c r="H244" s="2" t="str">
        <x:v>3 Traceability inference</x:v>
      </x:c>
      <x:c r="I244" s="2" t="n">
        <x:v>3</x:v>
      </x:c>
      <x:c r="J244" s="2" t="str">
        <x:v>Common core</x:v>
      </x:c>
      <x:c r="K244" s="2" t="str">
        <x:v>Completed</x:v>
      </x:c>
      <x:c r="L244" s="2" t="str">
        <x:v>Explicitly evidenced</x:v>
      </x:c>
      <x:c r="M244" s="2" t="str">
        <x:v>NR</x:v>
      </x:c>
      <x:c r="N244" s="2" t="str">
        <x:v>NR</x:v>
      </x:c>
      <x:c r="O244" s="2" t="str">
        <x:v>NR</x:v>
      </x:c>
      <x:c r="P244" s="6" t="str">
        <x:v>NR</x:v>
      </x:c>
      <x:c r="Q244" s="2" t="str">
        <x:v>3 Traceability inference</x:v>
      </x:c>
      <x:c r="R244" s="6" t="str">
        <x:v>LLM输出一个JSON列表，包含与需求相关的类名。</x:v>
      </x:c>
      <x:c r="S244" s="2" t="str">
        <x:v>NR</x:v>
      </x:c>
      <x:c r="T244" s="2" t="str">
        <x:v>NR</x:v>
      </x:c>
      <x:c r="U244" s="2" t="str">
        <x:v>NR</x:v>
      </x:c>
      <x:c r="V244" s="6" t="str">
        <x:v>Task-specific coded evidence</x:v>
      </x:c>
      <x:c r="W244" s="6" t="str">
        <x:v>p. 2; Section 1</x:v>
      </x:c>
      <x:c r="X244" s="6" t="str">
        <x:v>Our approach focuses on improving the state-of-the-art of use case requirements to source code classes traceability</x:v>
      </x:c>
      <x:c r="Y244" s="6" t="str">
        <x:v>See task-step evidence references in the RQ2 supplement.</x:v>
      </x:c>
      <x:c r="Z244" s="2" t="str">
        <x:v>Accepted</x:v>
      </x:c>
      <x:c r="AA244" s="6" t="str">
        <x:v>NR</x:v>
      </x:c>
    </x:row>
    <x:row r="245" ht="76" customHeight="1">
      <x:c r="A245" s="2" t="str">
        <x:v>S28-T01-P4</x:v>
      </x:c>
      <x:c r="B245" s="2" t="str">
        <x:v>S28</x:v>
      </x:c>
      <x:c r="C245" s="2" t="str">
        <x:v>merged_1214</x:v>
      </x:c>
      <x:c r="D245" s="2" t="str">
        <x:v>Final coding</x:v>
      </x:c>
      <x:c r="E245" s="2" t="str">
        <x:v>R1/R2</x:v>
      </x:c>
      <x:c r="F245" s="2" t="str">
        <x:v>S28-T01-PROC</x:v>
      </x:c>
      <x:c r="G245" s="2" t="str">
        <x:v>S28-T01</x:v>
      </x:c>
      <x:c r="H245" s="2" t="str">
        <x:v>4 Validation and explanation</x:v>
      </x:c>
      <x:c r="I245" s="2" t="n">
        <x:v>4</x:v>
      </x:c>
      <x:c r="J245" s="2" t="str">
        <x:v>Common core</x:v>
      </x:c>
      <x:c r="K245" s="2" t="str">
        <x:v>Completed</x:v>
      </x:c>
      <x:c r="L245" s="2" t="str">
        <x:v>Not separately reported</x:v>
      </x:c>
      <x:c r="M245" s="2" t="str">
        <x:v>NR</x:v>
      </x:c>
      <x:c r="N245" s="2" t="str">
        <x:v>NR</x:v>
      </x:c>
      <x:c r="O245" s="2" t="str">
        <x:v>NR</x:v>
      </x:c>
      <x:c r="P245" s="6" t="str">
        <x:v>NR</x:v>
      </x:c>
      <x:c r="Q245" s="2" t="str">
        <x:v>NR</x:v>
      </x:c>
      <x:c r="R245" s="6" t="str">
        <x:v>NR</x:v>
      </x:c>
      <x:c r="S245" s="2" t="str">
        <x:v>NR</x:v>
      </x:c>
      <x:c r="T245" s="2" t="str">
        <x:v>NR</x:v>
      </x:c>
      <x:c r="U245" s="2" t="str">
        <x:v>NR</x:v>
      </x:c>
      <x:c r="V245" s="6" t="str">
        <x:v>Task-specific coded evidence</x:v>
      </x:c>
      <x:c r="W245" s="6" t="str">
        <x:v>p. 2; Section 1</x:v>
      </x:c>
      <x:c r="X245" s="6" t="str">
        <x:v>Our approach focuses on improving the state-of-the-art of use case requirements to source code classes traceability</x:v>
      </x:c>
      <x:c r="Y245" s="6" t="str">
        <x:v>See task-step evidence references in the RQ2 supplement.</x:v>
      </x:c>
      <x:c r="Z245" s="2" t="str">
        <x:v>Accepted</x:v>
      </x:c>
      <x:c r="AA245" s="6" t="str">
        <x:v>NR</x:v>
      </x:c>
    </x:row>
    <x:row r="246" ht="76" customHeight="1">
      <x:c r="A246" s="2" t="str">
        <x:v>S28-T01-P5</x:v>
      </x:c>
      <x:c r="B246" s="2" t="str">
        <x:v>S28</x:v>
      </x:c>
      <x:c r="C246" s="2" t="str">
        <x:v>merged_1214</x:v>
      </x:c>
      <x:c r="D246" s="2" t="str">
        <x:v>Final coding</x:v>
      </x:c>
      <x:c r="E246" s="2" t="str">
        <x:v>R1/R2</x:v>
      </x:c>
      <x:c r="F246" s="2" t="str">
        <x:v>S28-T01-PROC</x:v>
      </x:c>
      <x:c r="G246" s="2" t="str">
        <x:v>S28-T01</x:v>
      </x:c>
      <x:c r="H246" s="2" t="str">
        <x:v>5 Evolution and embedding</x:v>
      </x:c>
      <x:c r="I246" s="2" t="n">
        <x:v>5</x:v>
      </x:c>
      <x:c r="J246" s="2" t="str">
        <x:v>Common core</x:v>
      </x:c>
      <x:c r="K246" s="2" t="str">
        <x:v>Completed</x:v>
      </x:c>
      <x:c r="L246" s="2" t="str">
        <x:v>Not separately reported</x:v>
      </x:c>
      <x:c r="M246" s="2" t="str">
        <x:v>NR</x:v>
      </x:c>
      <x:c r="N246" s="2" t="str">
        <x:v>NR</x:v>
      </x:c>
      <x:c r="O246" s="2" t="str">
        <x:v>NR</x:v>
      </x:c>
      <x:c r="P246" s="6" t="str">
        <x:v>NR</x:v>
      </x:c>
      <x:c r="Q246" s="2" t="str">
        <x:v>NR</x:v>
      </x:c>
      <x:c r="R246" s="6" t="str">
        <x:v>NR</x:v>
      </x:c>
      <x:c r="S246" s="2" t="str">
        <x:v>NR</x:v>
      </x:c>
      <x:c r="T246" s="2" t="str">
        <x:v>NR</x:v>
      </x:c>
      <x:c r="U246" s="2" t="str">
        <x:v>NR</x:v>
      </x:c>
      <x:c r="V246" s="6" t="str">
        <x:v>Task-specific coded evidence</x:v>
      </x:c>
      <x:c r="W246" s="6" t="str">
        <x:v>p. 2; Section 1</x:v>
      </x:c>
      <x:c r="X246" s="6" t="str">
        <x:v>Our approach focuses on improving the state-of-the-art of use case requirements to source code classes traceability</x:v>
      </x:c>
      <x:c r="Y246" s="6" t="str">
        <x:v>See task-step evidence references in the RQ2 supplement.</x:v>
      </x:c>
      <x:c r="Z246" s="2" t="str">
        <x:v>Accepted</x:v>
      </x:c>
      <x:c r="AA246" s="6" t="str">
        <x:v>NR</x:v>
      </x:c>
    </x:row>
    <x:row r="247" ht="76" customHeight="1">
      <x:c r="A247" s="2" t="str">
        <x:v>S28-T02-P1</x:v>
      </x:c>
      <x:c r="B247" s="2" t="str">
        <x:v>S28</x:v>
      </x:c>
      <x:c r="C247" s="2" t="str">
        <x:v>merged_1214</x:v>
      </x:c>
      <x:c r="D247" s="2" t="str">
        <x:v>Final coding</x:v>
      </x:c>
      <x:c r="E247" s="2" t="str">
        <x:v>R1/R2</x:v>
      </x:c>
      <x:c r="F247" s="2" t="str">
        <x:v>S28-T02-PROC</x:v>
      </x:c>
      <x:c r="G247" s="2" t="str">
        <x:v>S28-T02</x:v>
      </x:c>
      <x:c r="H247" s="2" t="str">
        <x:v>1 Artifact acquisition and scoping</x:v>
      </x:c>
      <x:c r="I247" s="2" t="n">
        <x:v>1</x:v>
      </x:c>
      <x:c r="J247" s="2" t="str">
        <x:v>Common core</x:v>
      </x:c>
      <x:c r="K247" s="2" t="str">
        <x:v>Completed</x:v>
      </x:c>
      <x:c r="L247" s="2" t="str">
        <x:v>Not separately reported</x:v>
      </x:c>
      <x:c r="M247" s="2" t="str">
        <x:v>NR</x:v>
      </x:c>
      <x:c r="N247" s="2" t="str">
        <x:v>NR</x:v>
      </x:c>
      <x:c r="O247" s="2" t="str">
        <x:v>NR</x:v>
      </x:c>
      <x:c r="P247" s="6" t="str">
        <x:v>NR</x:v>
      </x:c>
      <x:c r="Q247" s="2" t="str">
        <x:v>NR</x:v>
      </x:c>
      <x:c r="R247" s="6" t="str">
        <x:v>NR</x:v>
      </x:c>
      <x:c r="S247" s="2" t="str">
        <x:v>NR</x:v>
      </x:c>
      <x:c r="T247" s="2" t="str">
        <x:v>NR</x:v>
      </x:c>
      <x:c r="U247" s="2" t="str">
        <x:v>NR</x:v>
      </x:c>
      <x:c r="V247" s="6" t="str">
        <x:v>Task-specific coded evidence</x:v>
      </x:c>
      <x:c r="W247" s="6" t="str">
        <x:v>p. 8; Section 4.1</x:v>
      </x:c>
      <x:c r="X247" s="6" t="str">
        <x:v>We use an LLM to generate the class docstring using the source code of the whole class.</x:v>
      </x:c>
      <x:c r="Y247" s="6" t="str">
        <x:v>See task-step evidence references in the RQ2 supplement.</x:v>
      </x:c>
      <x:c r="Z247" s="2" t="str">
        <x:v>Accepted</x:v>
      </x:c>
      <x:c r="AA247" s="6" t="str">
        <x:v>NR</x:v>
      </x:c>
    </x:row>
    <x:row r="248" ht="76" customHeight="1">
      <x:c r="A248" s="2" t="str">
        <x:v>S28-T02-P2</x:v>
      </x:c>
      <x:c r="B248" s="2" t="str">
        <x:v>S28</x:v>
      </x:c>
      <x:c r="C248" s="2" t="str">
        <x:v>merged_1214</x:v>
      </x:c>
      <x:c r="D248" s="2" t="str">
        <x:v>Final coding</x:v>
      </x:c>
      <x:c r="E248" s="2" t="str">
        <x:v>R1/R2</x:v>
      </x:c>
      <x:c r="F248" s="2" t="str">
        <x:v>S28-T02-PROC</x:v>
      </x:c>
      <x:c r="G248" s="2" t="str">
        <x:v>S28-T02</x:v>
      </x:c>
      <x:c r="H248" s="2" t="str">
        <x:v>2 Semantic contextualization</x:v>
      </x:c>
      <x:c r="I248" s="2" t="n">
        <x:v>2</x:v>
      </x:c>
      <x:c r="J248" s="2" t="str">
        <x:v>Common core</x:v>
      </x:c>
      <x:c r="K248" s="2" t="str">
        <x:v>Completed</x:v>
      </x:c>
      <x:c r="L248" s="2" t="str">
        <x:v>Explicitly evidenced</x:v>
      </x:c>
      <x:c r="M248" s="2" t="str">
        <x:v>NR</x:v>
      </x:c>
      <x:c r="N248" s="2" t="str">
        <x:v>NR</x:v>
      </x:c>
      <x:c r="O248" s="2" t="str">
        <x:v>NR</x:v>
      </x:c>
      <x:c r="P248" s="6" t="str">
        <x:v>NR</x:v>
      </x:c>
      <x:c r="Q248" s="2" t="str">
        <x:v>2 Semantic contextualization</x:v>
      </x:c>
      <x:c r="R248" s="6" t="str">
        <x:v>NR</x:v>
      </x:c>
      <x:c r="S248" s="2" t="str">
        <x:v>NR</x:v>
      </x:c>
      <x:c r="T248" s="2" t="str">
        <x:v>NR</x:v>
      </x:c>
      <x:c r="U248" s="2" t="str">
        <x:v>NR</x:v>
      </x:c>
      <x:c r="V248" s="6" t="str">
        <x:v>Task-specific coded evidence</x:v>
      </x:c>
      <x:c r="W248" s="6" t="str">
        <x:v>p. 8; Section 4.1</x:v>
      </x:c>
      <x:c r="X248" s="6" t="str">
        <x:v>We use an LLM to generate the class docstring using the source code of the whole class.</x:v>
      </x:c>
      <x:c r="Y248" s="6" t="str">
        <x:v>See task-step evidence references in the RQ2 supplement.</x:v>
      </x:c>
      <x:c r="Z248" s="2" t="str">
        <x:v>Accepted</x:v>
      </x:c>
      <x:c r="AA248" s="6" t="str">
        <x:v>NR</x:v>
      </x:c>
    </x:row>
    <x:row r="249" ht="76" customHeight="1">
      <x:c r="A249" s="2" t="str">
        <x:v>S28-T02-P3</x:v>
      </x:c>
      <x:c r="B249" s="2" t="str">
        <x:v>S28</x:v>
      </x:c>
      <x:c r="C249" s="2" t="str">
        <x:v>merged_1214</x:v>
      </x:c>
      <x:c r="D249" s="2" t="str">
        <x:v>Final coding</x:v>
      </x:c>
      <x:c r="E249" s="2" t="str">
        <x:v>R1/R2</x:v>
      </x:c>
      <x:c r="F249" s="2" t="str">
        <x:v>S28-T02-PROC</x:v>
      </x:c>
      <x:c r="G249" s="2" t="str">
        <x:v>S28-T02</x:v>
      </x:c>
      <x:c r="H249" s="2" t="str">
        <x:v>3 Traceability inference</x:v>
      </x:c>
      <x:c r="I249" s="2" t="n">
        <x:v>3</x:v>
      </x:c>
      <x:c r="J249" s="2" t="str">
        <x:v>Common core</x:v>
      </x:c>
      <x:c r="K249" s="2" t="str">
        <x:v>Completed</x:v>
      </x:c>
      <x:c r="L249" s="2" t="str">
        <x:v>Inferred from relation output</x:v>
      </x:c>
      <x:c r="M249" s="2" t="str">
        <x:v>NR</x:v>
      </x:c>
      <x:c r="N249" s="2" t="str">
        <x:v>NR</x:v>
      </x:c>
      <x:c r="O249" s="2" t="str">
        <x:v>NR</x:v>
      </x:c>
      <x:c r="P249" s="6" t="str">
        <x:v>NR</x:v>
      </x:c>
      <x:c r="Q249" s="2" t="str">
        <x:v>NR</x:v>
      </x:c>
      <x:c r="R249" s="6" t="str">
        <x:v>生成的类摘要文本，格式为“Class Name: &lt;Class Summary&gt; Method Name: &lt;Method Summary&gt; ...”。</x:v>
      </x:c>
      <x:c r="S249" s="2" t="str">
        <x:v>NR</x:v>
      </x:c>
      <x:c r="T249" s="2" t="str">
        <x:v>NR</x:v>
      </x:c>
      <x:c r="U249" s="2" t="str">
        <x:v>NR</x:v>
      </x:c>
      <x:c r="V249" s="6" t="str">
        <x:v>Task-specific coded evidence</x:v>
      </x:c>
      <x:c r="W249" s="6" t="str">
        <x:v>p. 8; Section 4.1</x:v>
      </x:c>
      <x:c r="X249" s="6" t="str">
        <x:v>We use an LLM to generate the class docstring using the source code of the whole class.</x:v>
      </x:c>
      <x:c r="Y249" s="6" t="str">
        <x:v>See task-step evidence references in the RQ2 supplement.</x:v>
      </x:c>
      <x:c r="Z249" s="2" t="str">
        <x:v>Accepted</x:v>
      </x:c>
      <x:c r="AA249" s="6" t="str">
        <x:v>NR</x:v>
      </x:c>
    </x:row>
    <x:row r="250" ht="76" customHeight="1">
      <x:c r="A250" s="2" t="str">
        <x:v>S28-T02-P4</x:v>
      </x:c>
      <x:c r="B250" s="2" t="str">
        <x:v>S28</x:v>
      </x:c>
      <x:c r="C250" s="2" t="str">
        <x:v>merged_1214</x:v>
      </x:c>
      <x:c r="D250" s="2" t="str">
        <x:v>Final coding</x:v>
      </x:c>
      <x:c r="E250" s="2" t="str">
        <x:v>R1/R2</x:v>
      </x:c>
      <x:c r="F250" s="2" t="str">
        <x:v>S28-T02-PROC</x:v>
      </x:c>
      <x:c r="G250" s="2" t="str">
        <x:v>S28-T02</x:v>
      </x:c>
      <x:c r="H250" s="2" t="str">
        <x:v>4 Validation and explanation</x:v>
      </x:c>
      <x:c r="I250" s="2" t="n">
        <x:v>4</x:v>
      </x:c>
      <x:c r="J250" s="2" t="str">
        <x:v>Common core</x:v>
      </x:c>
      <x:c r="K250" s="2" t="str">
        <x:v>Completed</x:v>
      </x:c>
      <x:c r="L250" s="2" t="str">
        <x:v>Not separately reported</x:v>
      </x:c>
      <x:c r="M250" s="2" t="str">
        <x:v>NR</x:v>
      </x:c>
      <x:c r="N250" s="2" t="str">
        <x:v>NR</x:v>
      </x:c>
      <x:c r="O250" s="2" t="str">
        <x:v>NR</x:v>
      </x:c>
      <x:c r="P250" s="6" t="str">
        <x:v>NR</x:v>
      </x:c>
      <x:c r="Q250" s="2" t="str">
        <x:v>NR</x:v>
      </x:c>
      <x:c r="R250" s="6" t="str">
        <x:v>NR</x:v>
      </x:c>
      <x:c r="S250" s="2" t="str">
        <x:v>NR</x:v>
      </x:c>
      <x:c r="T250" s="2" t="str">
        <x:v>NR</x:v>
      </x:c>
      <x:c r="U250" s="2" t="str">
        <x:v>NR</x:v>
      </x:c>
      <x:c r="V250" s="6" t="str">
        <x:v>Task-specific coded evidence</x:v>
      </x:c>
      <x:c r="W250" s="6" t="str">
        <x:v>p. 8; Section 4.1</x:v>
      </x:c>
      <x:c r="X250" s="6" t="str">
        <x:v>We use an LLM to generate the class docstring using the source code of the whole class.</x:v>
      </x:c>
      <x:c r="Y250" s="6" t="str">
        <x:v>See task-step evidence references in the RQ2 supplement.</x:v>
      </x:c>
      <x:c r="Z250" s="2" t="str">
        <x:v>Accepted</x:v>
      </x:c>
      <x:c r="AA250" s="6" t="str">
        <x:v>NR</x:v>
      </x:c>
    </x:row>
    <x:row r="251" ht="76" customHeight="1">
      <x:c r="A251" s="2" t="str">
        <x:v>S28-T02-P5</x:v>
      </x:c>
      <x:c r="B251" s="2" t="str">
        <x:v>S28</x:v>
      </x:c>
      <x:c r="C251" s="2" t="str">
        <x:v>merged_1214</x:v>
      </x:c>
      <x:c r="D251" s="2" t="str">
        <x:v>Final coding</x:v>
      </x:c>
      <x:c r="E251" s="2" t="str">
        <x:v>R1/R2</x:v>
      </x:c>
      <x:c r="F251" s="2" t="str">
        <x:v>S28-T02-PROC</x:v>
      </x:c>
      <x:c r="G251" s="2" t="str">
        <x:v>S28-T02</x:v>
      </x:c>
      <x:c r="H251" s="2" t="str">
        <x:v>5 Evolution and embedding</x:v>
      </x:c>
      <x:c r="I251" s="2" t="n">
        <x:v>5</x:v>
      </x:c>
      <x:c r="J251" s="2" t="str">
        <x:v>Common core</x:v>
      </x:c>
      <x:c r="K251" s="2" t="str">
        <x:v>Completed</x:v>
      </x:c>
      <x:c r="L251" s="2" t="str">
        <x:v>Not separately reported</x:v>
      </x:c>
      <x:c r="M251" s="2" t="str">
        <x:v>NR</x:v>
      </x:c>
      <x:c r="N251" s="2" t="str">
        <x:v>NR</x:v>
      </x:c>
      <x:c r="O251" s="2" t="str">
        <x:v>NR</x:v>
      </x:c>
      <x:c r="P251" s="6" t="str">
        <x:v>NR</x:v>
      </x:c>
      <x:c r="Q251" s="2" t="str">
        <x:v>NR</x:v>
      </x:c>
      <x:c r="R251" s="6" t="str">
        <x:v>NR</x:v>
      </x:c>
      <x:c r="S251" s="2" t="str">
        <x:v>NR</x:v>
      </x:c>
      <x:c r="T251" s="2" t="str">
        <x:v>NR</x:v>
      </x:c>
      <x:c r="U251" s="2" t="str">
        <x:v>NR</x:v>
      </x:c>
      <x:c r="V251" s="6" t="str">
        <x:v>Task-specific coded evidence</x:v>
      </x:c>
      <x:c r="W251" s="6" t="str">
        <x:v>p. 8; Section 4.1</x:v>
      </x:c>
      <x:c r="X251" s="6" t="str">
        <x:v>We use an LLM to generate the class docstring using the source code of the whole class.</x:v>
      </x:c>
      <x:c r="Y251" s="6" t="str">
        <x:v>See task-step evidence references in the RQ2 supplement.</x:v>
      </x:c>
      <x:c r="Z251" s="2" t="str">
        <x:v>Accepted</x:v>
      </x:c>
      <x:c r="AA251" s="6" t="str">
        <x:v>NR</x:v>
      </x:c>
    </x:row>
    <x:row r="252" ht="76" customHeight="1">
      <x:c r="A252" s="2" t="str">
        <x:v>S29-T01-P1</x:v>
      </x:c>
      <x:c r="B252" s="2" t="str">
        <x:v>S29</x:v>
      </x:c>
      <x:c r="C252" s="2" t="str">
        <x:v>merged_1215-v4</x:v>
      </x:c>
      <x:c r="D252" s="2" t="str">
        <x:v>Final coding</x:v>
      </x:c>
      <x:c r="E252" s="2" t="str">
        <x:v>R1/R2</x:v>
      </x:c>
      <x:c r="F252" s="2" t="str">
        <x:v>S29-T01-PROC</x:v>
      </x:c>
      <x:c r="G252" s="2" t="str">
        <x:v>S29-T01</x:v>
      </x:c>
      <x:c r="H252" s="2" t="str">
        <x:v>1 Artifact acquisition and scoping</x:v>
      </x:c>
      <x:c r="I252" s="2" t="n">
        <x:v>1</x:v>
      </x:c>
      <x:c r="J252" s="2" t="str">
        <x:v>Common core</x:v>
      </x:c>
      <x:c r="K252" s="2" t="str">
        <x:v>Completed</x:v>
      </x:c>
      <x:c r="L252" s="2" t="str">
        <x:v>Not separately reported</x:v>
      </x:c>
      <x:c r="M252" s="2" t="str">
        <x:v>NR</x:v>
      </x:c>
      <x:c r="N252" s="2" t="str">
        <x:v>NR</x:v>
      </x:c>
      <x:c r="O252" s="2" t="str">
        <x:v>NR</x:v>
      </x:c>
      <x:c r="P252" s="6" t="str">
        <x:v>NR</x:v>
      </x:c>
      <x:c r="Q252" s="2" t="str">
        <x:v>NR</x:v>
      </x:c>
      <x:c r="R252" s="6" t="str">
        <x:v>NR</x:v>
      </x:c>
      <x:c r="S252" s="2" t="str">
        <x:v>NR</x:v>
      </x:c>
      <x:c r="T252" s="2" t="str">
        <x:v>NR</x:v>
      </x:c>
      <x:c r="U252" s="2" t="str">
        <x:v>NR</x:v>
      </x:c>
      <x:c r="V252" s="6" t="str">
        <x:v>Task-specific coded evidence</x:v>
      </x:c>
      <x:c r="W252" s="6" t="str">
        <x:v>p. 1; Abstract</x:v>
      </x:c>
      <x:c r="X252" s="6" t="str">
        <x:v>TVR is designed to validate existing traceability links and recover missing ones with high accuracy.</x:v>
      </x:c>
      <x:c r="Y252" s="6" t="str">
        <x:v>See task-step evidence references in the RQ2 supplement.</x:v>
      </x:c>
      <x:c r="Z252" s="2" t="str">
        <x:v>Accepted</x:v>
      </x:c>
      <x:c r="AA252" s="6" t="str">
        <x:v>NR</x:v>
      </x:c>
    </x:row>
    <x:row r="253" ht="76" customHeight="1">
      <x:c r="A253" s="2" t="str">
        <x:v>S29-T01-P2</x:v>
      </x:c>
      <x:c r="B253" s="2" t="str">
        <x:v>S29</x:v>
      </x:c>
      <x:c r="C253" s="2" t="str">
        <x:v>merged_1215-v4</x:v>
      </x:c>
      <x:c r="D253" s="2" t="str">
        <x:v>Final coding</x:v>
      </x:c>
      <x:c r="E253" s="2" t="str">
        <x:v>R1/R2</x:v>
      </x:c>
      <x:c r="F253" s="2" t="str">
        <x:v>S29-T01-PROC</x:v>
      </x:c>
      <x:c r="G253" s="2" t="str">
        <x:v>S29-T01</x:v>
      </x:c>
      <x:c r="H253" s="2" t="str">
        <x:v>2 Semantic contextualization</x:v>
      </x:c>
      <x:c r="I253" s="2" t="n">
        <x:v>2</x:v>
      </x:c>
      <x:c r="J253" s="2" t="str">
        <x:v>Common core</x:v>
      </x:c>
      <x:c r="K253" s="2" t="str">
        <x:v>Completed</x:v>
      </x:c>
      <x:c r="L253" s="2" t="str">
        <x:v>Explicitly evidenced</x:v>
      </x:c>
      <x:c r="M253" s="2" t="str">
        <x:v>NR</x:v>
      </x:c>
      <x:c r="N253" s="2" t="str">
        <x:v>NR</x:v>
      </x:c>
      <x:c r="O253" s="2" t="str">
        <x:v>NR</x:v>
      </x:c>
      <x:c r="P253" s="6" t="str">
        <x:v>NR</x:v>
      </x:c>
      <x:c r="Q253" s="2" t="str">
        <x:v>2 Semantic contextualization</x:v>
      </x:c>
      <x:c r="R253" s="6" t="str">
        <x:v>NR</x:v>
      </x:c>
      <x:c r="S253" s="2" t="str">
        <x:v>NR</x:v>
      </x:c>
      <x:c r="T253" s="2" t="str">
        <x:v>NR</x:v>
      </x:c>
      <x:c r="U253" s="2" t="str">
        <x:v>NR</x:v>
      </x:c>
      <x:c r="V253" s="6" t="str">
        <x:v>Task-specific coded evidence</x:v>
      </x:c>
      <x:c r="W253" s="6" t="str">
        <x:v>p. 1; Abstract</x:v>
      </x:c>
      <x:c r="X253" s="6" t="str">
        <x:v>TVR is designed to validate existing traceability links and recover missing ones with high accuracy.</x:v>
      </x:c>
      <x:c r="Y253" s="6" t="str">
        <x:v>See task-step evidence references in the RQ2 supplement.</x:v>
      </x:c>
      <x:c r="Z253" s="2" t="str">
        <x:v>Accepted</x:v>
      </x:c>
      <x:c r="AA253" s="6" t="str">
        <x:v>NR</x:v>
      </x:c>
    </x:row>
    <x:row r="254" ht="76" customHeight="1">
      <x:c r="A254" s="2" t="str">
        <x:v>S29-T01-P3</x:v>
      </x:c>
      <x:c r="B254" s="2" t="str">
        <x:v>S29</x:v>
      </x:c>
      <x:c r="C254" s="2" t="str">
        <x:v>merged_1215-v4</x:v>
      </x:c>
      <x:c r="D254" s="2" t="str">
        <x:v>Final coding</x:v>
      </x:c>
      <x:c r="E254" s="2" t="str">
        <x:v>R1/R2</x:v>
      </x:c>
      <x:c r="F254" s="2" t="str">
        <x:v>S29-T01-PROC</x:v>
      </x:c>
      <x:c r="G254" s="2" t="str">
        <x:v>S29-T01</x:v>
      </x:c>
      <x:c r="H254" s="2" t="str">
        <x:v>3 Traceability inference</x:v>
      </x:c>
      <x:c r="I254" s="2" t="n">
        <x:v>3</x:v>
      </x:c>
      <x:c r="J254" s="2" t="str">
        <x:v>Common core</x:v>
      </x:c>
      <x:c r="K254" s="2" t="str">
        <x:v>Completed</x:v>
      </x:c>
      <x:c r="L254" s="2" t="str">
        <x:v>Inferred from relation output</x:v>
      </x:c>
      <x:c r="M254" s="2" t="str">
        <x:v>NR</x:v>
      </x:c>
      <x:c r="N254" s="2" t="str">
        <x:v>NR</x:v>
      </x:c>
      <x:c r="O254" s="2" t="str">
        <x:v>NR</x:v>
      </x:c>
      <x:c r="P254" s="6" t="str">
        <x:v>NR</x:v>
      </x:c>
      <x:c r="Q254" s="2" t="str">
        <x:v>NR</x:v>
      </x:c>
      <x:c r="R254" s="6" t="str">
        <x:v>对每条追溯链输出“Yes”或“No”，表示有效或无效。</x:v>
      </x:c>
      <x:c r="S254" s="2" t="str">
        <x:v>NR</x:v>
      </x:c>
      <x:c r="T254" s="2" t="str">
        <x:v>NR</x:v>
      </x:c>
      <x:c r="U254" s="2" t="str">
        <x:v>NR</x:v>
      </x:c>
      <x:c r="V254" s="6" t="str">
        <x:v>Task-specific coded evidence</x:v>
      </x:c>
      <x:c r="W254" s="6" t="str">
        <x:v>p. 1; Abstract</x:v>
      </x:c>
      <x:c r="X254" s="6" t="str">
        <x:v>TVR is designed to validate existing traceability links and recover missing ones with high accuracy.</x:v>
      </x:c>
      <x:c r="Y254" s="6" t="str">
        <x:v>See task-step evidence references in the RQ2 supplement.</x:v>
      </x:c>
      <x:c r="Z254" s="2" t="str">
        <x:v>Accepted</x:v>
      </x:c>
      <x:c r="AA254" s="6" t="str">
        <x:v>NR</x:v>
      </x:c>
    </x:row>
    <x:row r="255" ht="76" customHeight="1">
      <x:c r="A255" s="2" t="str">
        <x:v>S29-T01-P4</x:v>
      </x:c>
      <x:c r="B255" s="2" t="str">
        <x:v>S29</x:v>
      </x:c>
      <x:c r="C255" s="2" t="str">
        <x:v>merged_1215-v4</x:v>
      </x:c>
      <x:c r="D255" s="2" t="str">
        <x:v>Final coding</x:v>
      </x:c>
      <x:c r="E255" s="2" t="str">
        <x:v>R1/R2</x:v>
      </x:c>
      <x:c r="F255" s="2" t="str">
        <x:v>S29-T01-PROC</x:v>
      </x:c>
      <x:c r="G255" s="2" t="str">
        <x:v>S29-T01</x:v>
      </x:c>
      <x:c r="H255" s="2" t="str">
        <x:v>4 Validation and explanation</x:v>
      </x:c>
      <x:c r="I255" s="2" t="n">
        <x:v>4</x:v>
      </x:c>
      <x:c r="J255" s="2" t="str">
        <x:v>Common core</x:v>
      </x:c>
      <x:c r="K255" s="2" t="str">
        <x:v>Completed</x:v>
      </x:c>
      <x:c r="L255" s="2" t="str">
        <x:v>Explicitly evidenced</x:v>
      </x:c>
      <x:c r="M255" s="2" t="str">
        <x:v>NR</x:v>
      </x:c>
      <x:c r="N255" s="2" t="str">
        <x:v>NR</x:v>
      </x:c>
      <x:c r="O255" s="2" t="str">
        <x:v>NR</x:v>
      </x:c>
      <x:c r="P255" s="6" t="str">
        <x:v>NR</x:v>
      </x:c>
      <x:c r="Q255" s="2" t="str">
        <x:v>4 Validation and explanation</x:v>
      </x:c>
      <x:c r="R255" s="6" t="str">
        <x:v>NR</x:v>
      </x:c>
      <x:c r="S255" s="2" t="str">
        <x:v>NR</x:v>
      </x:c>
      <x:c r="T255" s="2" t="str">
        <x:v>NR</x:v>
      </x:c>
      <x:c r="U255" s="2" t="str">
        <x:v>NR</x:v>
      </x:c>
      <x:c r="V255" s="6" t="str">
        <x:v>Task-specific coded evidence</x:v>
      </x:c>
      <x:c r="W255" s="6" t="str">
        <x:v>p. 1; Abstract</x:v>
      </x:c>
      <x:c r="X255" s="6" t="str">
        <x:v>TVR is designed to validate existing traceability links and recover missing ones with high accuracy.</x:v>
      </x:c>
      <x:c r="Y255" s="6" t="str">
        <x:v>See task-step evidence references in the RQ2 supplement.</x:v>
      </x:c>
      <x:c r="Z255" s="2" t="str">
        <x:v>Accepted</x:v>
      </x:c>
      <x:c r="AA255" s="6" t="str">
        <x:v>NR</x:v>
      </x:c>
    </x:row>
    <x:row r="256" ht="76" customHeight="1">
      <x:c r="A256" s="2" t="str">
        <x:v>S29-T01-P5</x:v>
      </x:c>
      <x:c r="B256" s="2" t="str">
        <x:v>S29</x:v>
      </x:c>
      <x:c r="C256" s="2" t="str">
        <x:v>merged_1215-v4</x:v>
      </x:c>
      <x:c r="D256" s="2" t="str">
        <x:v>Final coding</x:v>
      </x:c>
      <x:c r="E256" s="2" t="str">
        <x:v>R1/R2</x:v>
      </x:c>
      <x:c r="F256" s="2" t="str">
        <x:v>S29-T01-PROC</x:v>
      </x:c>
      <x:c r="G256" s="2" t="str">
        <x:v>S29-T01</x:v>
      </x:c>
      <x:c r="H256" s="2" t="str">
        <x:v>5 Evolution and embedding</x:v>
      </x:c>
      <x:c r="I256" s="2" t="n">
        <x:v>5</x:v>
      </x:c>
      <x:c r="J256" s="2" t="str">
        <x:v>Common core</x:v>
      </x:c>
      <x:c r="K256" s="2" t="str">
        <x:v>Completed</x:v>
      </x:c>
      <x:c r="L256" s="2" t="str">
        <x:v>Not separately reported</x:v>
      </x:c>
      <x:c r="M256" s="2" t="str">
        <x:v>NR</x:v>
      </x:c>
      <x:c r="N256" s="2" t="str">
        <x:v>NR</x:v>
      </x:c>
      <x:c r="O256" s="2" t="str">
        <x:v>NR</x:v>
      </x:c>
      <x:c r="P256" s="6" t="str">
        <x:v>NR</x:v>
      </x:c>
      <x:c r="Q256" s="2" t="str">
        <x:v>NR</x:v>
      </x:c>
      <x:c r="R256" s="6" t="str">
        <x:v>NR</x:v>
      </x:c>
      <x:c r="S256" s="2" t="str">
        <x:v>NR</x:v>
      </x:c>
      <x:c r="T256" s="2" t="str">
        <x:v>NR</x:v>
      </x:c>
      <x:c r="U256" s="2" t="str">
        <x:v>NR</x:v>
      </x:c>
      <x:c r="V256" s="6" t="str">
        <x:v>Task-specific coded evidence</x:v>
      </x:c>
      <x:c r="W256" s="6" t="str">
        <x:v>p. 1; Abstract</x:v>
      </x:c>
      <x:c r="X256" s="6" t="str">
        <x:v>TVR is designed to validate existing traceability links and recover missing ones with high accuracy.</x:v>
      </x:c>
      <x:c r="Y256" s="6" t="str">
        <x:v>See task-step evidence references in the RQ2 supplement.</x:v>
      </x:c>
      <x:c r="Z256" s="2" t="str">
        <x:v>Accepted</x:v>
      </x:c>
      <x:c r="AA256" s="6" t="str">
        <x:v>NR</x:v>
      </x:c>
    </x:row>
    <x:row r="257" ht="76" customHeight="1">
      <x:c r="A257" s="2" t="str">
        <x:v>S29-T02-P1</x:v>
      </x:c>
      <x:c r="B257" s="2" t="str">
        <x:v>S29</x:v>
      </x:c>
      <x:c r="C257" s="2" t="str">
        <x:v>merged_1215-v4</x:v>
      </x:c>
      <x:c r="D257" s="2" t="str">
        <x:v>Final coding</x:v>
      </x:c>
      <x:c r="E257" s="2" t="str">
        <x:v>R1/R2</x:v>
      </x:c>
      <x:c r="F257" s="2" t="str">
        <x:v>S29-T02-PROC</x:v>
      </x:c>
      <x:c r="G257" s="2" t="str">
        <x:v>S29-T02</x:v>
      </x:c>
      <x:c r="H257" s="2" t="str">
        <x:v>1 Artifact acquisition and scoping</x:v>
      </x:c>
      <x:c r="I257" s="2" t="n">
        <x:v>1</x:v>
      </x:c>
      <x:c r="J257" s="2" t="str">
        <x:v>Common core</x:v>
      </x:c>
      <x:c r="K257" s="2" t="str">
        <x:v>Completed</x:v>
      </x:c>
      <x:c r="L257" s="2" t="str">
        <x:v>Not separately reported</x:v>
      </x:c>
      <x:c r="M257" s="2" t="str">
        <x:v>NR</x:v>
      </x:c>
      <x:c r="N257" s="2" t="str">
        <x:v>NR</x:v>
      </x:c>
      <x:c r="O257" s="2" t="str">
        <x:v>NR</x:v>
      </x:c>
      <x:c r="P257" s="6" t="str">
        <x:v>NR</x:v>
      </x:c>
      <x:c r="Q257" s="2" t="str">
        <x:v>NR</x:v>
      </x:c>
      <x:c r="R257" s="6" t="str">
        <x:v>NR</x:v>
      </x:c>
      <x:c r="S257" s="2" t="str">
        <x:v>NR</x:v>
      </x:c>
      <x:c r="T257" s="2" t="str">
        <x:v>NR</x:v>
      </x:c>
      <x:c r="U257" s="2" t="str">
        <x:v>NR</x:v>
      </x:c>
      <x:c r="V257" s="6" t="str">
        <x:v>Task-specific coded evidence</x:v>
      </x:c>
      <x:c r="W257" s="6" t="str">
        <x:v>p. 3; Abstract</x:v>
      </x:c>
      <x:c r="X257" s="6" t="str">
        <x:v>Additionally, TVR successfully identified 502 missing traceability links with an accuracy of 85.50% within the dataset.</x:v>
      </x:c>
      <x:c r="Y257" s="6" t="str">
        <x:v>See task-step evidence references in the RQ2 supplement.</x:v>
      </x:c>
      <x:c r="Z257" s="2" t="str">
        <x:v>Accepted</x:v>
      </x:c>
      <x:c r="AA257" s="6" t="str">
        <x:v>NR</x:v>
      </x:c>
    </x:row>
    <x:row r="258" ht="76" customHeight="1">
      <x:c r="A258" s="2" t="str">
        <x:v>S29-T02-P2</x:v>
      </x:c>
      <x:c r="B258" s="2" t="str">
        <x:v>S29</x:v>
      </x:c>
      <x:c r="C258" s="2" t="str">
        <x:v>merged_1215-v4</x:v>
      </x:c>
      <x:c r="D258" s="2" t="str">
        <x:v>Final coding</x:v>
      </x:c>
      <x:c r="E258" s="2" t="str">
        <x:v>R1/R2</x:v>
      </x:c>
      <x:c r="F258" s="2" t="str">
        <x:v>S29-T02-PROC</x:v>
      </x:c>
      <x:c r="G258" s="2" t="str">
        <x:v>S29-T02</x:v>
      </x:c>
      <x:c r="H258" s="2" t="str">
        <x:v>2 Semantic contextualization</x:v>
      </x:c>
      <x:c r="I258" s="2" t="n">
        <x:v>2</x:v>
      </x:c>
      <x:c r="J258" s="2" t="str">
        <x:v>Common core</x:v>
      </x:c>
      <x:c r="K258" s="2" t="str">
        <x:v>Completed</x:v>
      </x:c>
      <x:c r="L258" s="2" t="str">
        <x:v>Explicitly evidenced</x:v>
      </x:c>
      <x:c r="M258" s="2" t="str">
        <x:v>NR</x:v>
      </x:c>
      <x:c r="N258" s="2" t="str">
        <x:v>NR</x:v>
      </x:c>
      <x:c r="O258" s="2" t="str">
        <x:v>NR</x:v>
      </x:c>
      <x:c r="P258" s="6" t="str">
        <x:v>NR</x:v>
      </x:c>
      <x:c r="Q258" s="2" t="str">
        <x:v>2 Semantic contextualization</x:v>
      </x:c>
      <x:c r="R258" s="6" t="str">
        <x:v>NR</x:v>
      </x:c>
      <x:c r="S258" s="2" t="str">
        <x:v>NR</x:v>
      </x:c>
      <x:c r="T258" s="2" t="str">
        <x:v>NR</x:v>
      </x:c>
      <x:c r="U258" s="2" t="str">
        <x:v>NR</x:v>
      </x:c>
      <x:c r="V258" s="6" t="str">
        <x:v>Task-specific coded evidence</x:v>
      </x:c>
      <x:c r="W258" s="6" t="str">
        <x:v>p. 3; Abstract</x:v>
      </x:c>
      <x:c r="X258" s="6" t="str">
        <x:v>Additionally, TVR successfully identified 502 missing traceability links with an accuracy of 85.50% within the dataset.</x:v>
      </x:c>
      <x:c r="Y258" s="6" t="str">
        <x:v>See task-step evidence references in the RQ2 supplement.</x:v>
      </x:c>
      <x:c r="Z258" s="2" t="str">
        <x:v>Accepted</x:v>
      </x:c>
      <x:c r="AA258" s="6" t="str">
        <x:v>NR</x:v>
      </x:c>
    </x:row>
    <x:row r="259" ht="76" customHeight="1">
      <x:c r="A259" s="2" t="str">
        <x:v>S29-T02-P3</x:v>
      </x:c>
      <x:c r="B259" s="2" t="str">
        <x:v>S29</x:v>
      </x:c>
      <x:c r="C259" s="2" t="str">
        <x:v>merged_1215-v4</x:v>
      </x:c>
      <x:c r="D259" s="2" t="str">
        <x:v>Final coding</x:v>
      </x:c>
      <x:c r="E259" s="2" t="str">
        <x:v>R1/R2</x:v>
      </x:c>
      <x:c r="F259" s="2" t="str">
        <x:v>S29-T02-PROC</x:v>
      </x:c>
      <x:c r="G259" s="2" t="str">
        <x:v>S29-T02</x:v>
      </x:c>
      <x:c r="H259" s="2" t="str">
        <x:v>3 Traceability inference</x:v>
      </x:c>
      <x:c r="I259" s="2" t="n">
        <x:v>3</x:v>
      </x:c>
      <x:c r="J259" s="2" t="str">
        <x:v>Common core</x:v>
      </x:c>
      <x:c r="K259" s="2" t="str">
        <x:v>Completed</x:v>
      </x:c>
      <x:c r="L259" s="2" t="str">
        <x:v>Explicitly evidenced</x:v>
      </x:c>
      <x:c r="M259" s="2" t="str">
        <x:v>NR</x:v>
      </x:c>
      <x:c r="N259" s="2" t="str">
        <x:v>NR</x:v>
      </x:c>
      <x:c r="O259" s="2" t="str">
        <x:v>NR</x:v>
      </x:c>
      <x:c r="P259" s="6" t="str">
        <x:v>NR</x:v>
      </x:c>
      <x:c r="Q259" s="2" t="str">
        <x:v>3 Traceability inference</x:v>
      </x:c>
      <x:c r="R259" s="6" t="str">
        <x:v>预测为有效的需求对，经人工验证确认其为正确的缺失追溯链。</x:v>
      </x:c>
      <x:c r="S259" s="2" t="str">
        <x:v>NR</x:v>
      </x:c>
      <x:c r="T259" s="2" t="str">
        <x:v>NR</x:v>
      </x:c>
      <x:c r="U259" s="2" t="str">
        <x:v>NR</x:v>
      </x:c>
      <x:c r="V259" s="6" t="str">
        <x:v>Task-specific coded evidence</x:v>
      </x:c>
      <x:c r="W259" s="6" t="str">
        <x:v>p. 3; Abstract</x:v>
      </x:c>
      <x:c r="X259" s="6" t="str">
        <x:v>Additionally, TVR successfully identified 502 missing traceability links with an accuracy of 85.50% within the dataset.</x:v>
      </x:c>
      <x:c r="Y259" s="6" t="str">
        <x:v>See task-step evidence references in the RQ2 supplement.</x:v>
      </x:c>
      <x:c r="Z259" s="2" t="str">
        <x:v>Accepted</x:v>
      </x:c>
      <x:c r="AA259" s="6" t="str">
        <x:v>NR</x:v>
      </x:c>
    </x:row>
    <x:row r="260" ht="76" customHeight="1">
      <x:c r="A260" s="2" t="str">
        <x:v>S29-T02-P4</x:v>
      </x:c>
      <x:c r="B260" s="2" t="str">
        <x:v>S29</x:v>
      </x:c>
      <x:c r="C260" s="2" t="str">
        <x:v>merged_1215-v4</x:v>
      </x:c>
      <x:c r="D260" s="2" t="str">
        <x:v>Final coding</x:v>
      </x:c>
      <x:c r="E260" s="2" t="str">
        <x:v>R1/R2</x:v>
      </x:c>
      <x:c r="F260" s="2" t="str">
        <x:v>S29-T02-PROC</x:v>
      </x:c>
      <x:c r="G260" s="2" t="str">
        <x:v>S29-T02</x:v>
      </x:c>
      <x:c r="H260" s="2" t="str">
        <x:v>4 Validation and explanation</x:v>
      </x:c>
      <x:c r="I260" s="2" t="n">
        <x:v>4</x:v>
      </x:c>
      <x:c r="J260" s="2" t="str">
        <x:v>Common core</x:v>
      </x:c>
      <x:c r="K260" s="2" t="str">
        <x:v>Completed</x:v>
      </x:c>
      <x:c r="L260" s="2" t="str">
        <x:v>Not separately reported</x:v>
      </x:c>
      <x:c r="M260" s="2" t="str">
        <x:v>NR</x:v>
      </x:c>
      <x:c r="N260" s="2" t="str">
        <x:v>NR</x:v>
      </x:c>
      <x:c r="O260" s="2" t="str">
        <x:v>NR</x:v>
      </x:c>
      <x:c r="P260" s="6" t="str">
        <x:v>NR</x:v>
      </x:c>
      <x:c r="Q260" s="2" t="str">
        <x:v>NR</x:v>
      </x:c>
      <x:c r="R260" s="6" t="str">
        <x:v>NR</x:v>
      </x:c>
      <x:c r="S260" s="2" t="str">
        <x:v>NR</x:v>
      </x:c>
      <x:c r="T260" s="2" t="str">
        <x:v>NR</x:v>
      </x:c>
      <x:c r="U260" s="2" t="str">
        <x:v>NR</x:v>
      </x:c>
      <x:c r="V260" s="6" t="str">
        <x:v>Task-specific coded evidence</x:v>
      </x:c>
      <x:c r="W260" s="6" t="str">
        <x:v>p. 3; Abstract</x:v>
      </x:c>
      <x:c r="X260" s="6" t="str">
        <x:v>Additionally, TVR successfully identified 502 missing traceability links with an accuracy of 85.50% within the dataset.</x:v>
      </x:c>
      <x:c r="Y260" s="6" t="str">
        <x:v>See task-step evidence references in the RQ2 supplement.</x:v>
      </x:c>
      <x:c r="Z260" s="2" t="str">
        <x:v>Accepted</x:v>
      </x:c>
      <x:c r="AA260" s="6" t="str">
        <x:v>NR</x:v>
      </x:c>
    </x:row>
    <x:row r="261" ht="76" customHeight="1">
      <x:c r="A261" s="2" t="str">
        <x:v>S29-T02-P5</x:v>
      </x:c>
      <x:c r="B261" s="2" t="str">
        <x:v>S29</x:v>
      </x:c>
      <x:c r="C261" s="2" t="str">
        <x:v>merged_1215-v4</x:v>
      </x:c>
      <x:c r="D261" s="2" t="str">
        <x:v>Final coding</x:v>
      </x:c>
      <x:c r="E261" s="2" t="str">
        <x:v>R1/R2</x:v>
      </x:c>
      <x:c r="F261" s="2" t="str">
        <x:v>S29-T02-PROC</x:v>
      </x:c>
      <x:c r="G261" s="2" t="str">
        <x:v>S29-T02</x:v>
      </x:c>
      <x:c r="H261" s="2" t="str">
        <x:v>5 Evolution and embedding</x:v>
      </x:c>
      <x:c r="I261" s="2" t="n">
        <x:v>5</x:v>
      </x:c>
      <x:c r="J261" s="2" t="str">
        <x:v>Common core</x:v>
      </x:c>
      <x:c r="K261" s="2" t="str">
        <x:v>Completed</x:v>
      </x:c>
      <x:c r="L261" s="2" t="str">
        <x:v>Not separately reported</x:v>
      </x:c>
      <x:c r="M261" s="2" t="str">
        <x:v>NR</x:v>
      </x:c>
      <x:c r="N261" s="2" t="str">
        <x:v>NR</x:v>
      </x:c>
      <x:c r="O261" s="2" t="str">
        <x:v>NR</x:v>
      </x:c>
      <x:c r="P261" s="6" t="str">
        <x:v>NR</x:v>
      </x:c>
      <x:c r="Q261" s="2" t="str">
        <x:v>NR</x:v>
      </x:c>
      <x:c r="R261" s="6" t="str">
        <x:v>NR</x:v>
      </x:c>
      <x:c r="S261" s="2" t="str">
        <x:v>NR</x:v>
      </x:c>
      <x:c r="T261" s="2" t="str">
        <x:v>NR</x:v>
      </x:c>
      <x:c r="U261" s="2" t="str">
        <x:v>NR</x:v>
      </x:c>
      <x:c r="V261" s="6" t="str">
        <x:v>Task-specific coded evidence</x:v>
      </x:c>
      <x:c r="W261" s="6" t="str">
        <x:v>p. 3; Abstract</x:v>
      </x:c>
      <x:c r="X261" s="6" t="str">
        <x:v>Additionally, TVR successfully identified 502 missing traceability links with an accuracy of 85.50% within the dataset.</x:v>
      </x:c>
      <x:c r="Y261" s="6" t="str">
        <x:v>See task-step evidence references in the RQ2 supplement.</x:v>
      </x:c>
      <x:c r="Z261" s="2" t="str">
        <x:v>Accepted</x:v>
      </x:c>
      <x:c r="AA261" s="6" t="str">
        <x:v>NR</x:v>
      </x:c>
    </x:row>
    <x:row r="262" ht="76" customHeight="1">
      <x:c r="A262" s="2" t="str">
        <x:v>S30-T01-P1</x:v>
      </x:c>
      <x:c r="B262" s="2" t="str">
        <x:v>S30</x:v>
      </x:c>
      <x:c r="C262" s="2" t="str">
        <x:v>merged_1218</x:v>
      </x:c>
      <x:c r="D262" s="2" t="str">
        <x:v>Final coding</x:v>
      </x:c>
      <x:c r="E262" s="2" t="str">
        <x:v>R1/R2</x:v>
      </x:c>
      <x:c r="F262" s="2" t="str">
        <x:v>S30-T01-PROC</x:v>
      </x:c>
      <x:c r="G262" s="2" t="str">
        <x:v>S30-T01</x:v>
      </x:c>
      <x:c r="H262" s="2" t="str">
        <x:v>1 Artifact acquisition and scoping</x:v>
      </x:c>
      <x:c r="I262" s="2" t="n">
        <x:v>1</x:v>
      </x:c>
      <x:c r="J262" s="2" t="str">
        <x:v>Common core</x:v>
      </x:c>
      <x:c r="K262" s="2" t="str">
        <x:v>Completed</x:v>
      </x:c>
      <x:c r="L262" s="2" t="str">
        <x:v>Not separately reported</x:v>
      </x:c>
      <x:c r="M262" s="2" t="str">
        <x:v>NR</x:v>
      </x:c>
      <x:c r="N262" s="2" t="str">
        <x:v>NR</x:v>
      </x:c>
      <x:c r="O262" s="2" t="str">
        <x:v>NR</x:v>
      </x:c>
      <x:c r="P262" s="6" t="str">
        <x:v>NR</x:v>
      </x:c>
      <x:c r="Q262" s="2" t="str">
        <x:v>NR</x:v>
      </x:c>
      <x:c r="R262" s="6" t="str">
        <x:v>NR</x:v>
      </x:c>
      <x:c r="S262" s="2" t="str">
        <x:v>NR</x:v>
      </x:c>
      <x:c r="T262" s="2" t="str">
        <x:v>NR</x:v>
      </x:c>
      <x:c r="U262" s="2" t="str">
        <x:v>NR</x:v>
      </x:c>
      <x:c r="V262" s="6" t="str">
        <x:v>Task-specific coded evidence</x:v>
      </x:c>
      <x:c r="W262" s="6" t="str">
        <x:v>p. 5; Section IV</x:v>
      </x:c>
      <x:c r="X262" s="6" t="str">
        <x:v>The considered user queries were as follows: UQ1 :What are the dependencies of [SERVICE NAME]?</x:v>
      </x:c>
      <x:c r="Y262" s="6" t="str">
        <x:v>See task-step evidence references in the RQ2 supplement.</x:v>
      </x:c>
      <x:c r="Z262" s="2" t="str">
        <x:v>Accepted</x:v>
      </x:c>
      <x:c r="AA262" s="6" t="str">
        <x:v>NR</x:v>
      </x:c>
    </x:row>
    <x:row r="263" ht="76" customHeight="1">
      <x:c r="A263" s="2" t="str">
        <x:v>S30-T01-P2</x:v>
      </x:c>
      <x:c r="B263" s="2" t="str">
        <x:v>S30</x:v>
      </x:c>
      <x:c r="C263" s="2" t="str">
        <x:v>merged_1218</x:v>
      </x:c>
      <x:c r="D263" s="2" t="str">
        <x:v>Final coding</x:v>
      </x:c>
      <x:c r="E263" s="2" t="str">
        <x:v>R1/R2</x:v>
      </x:c>
      <x:c r="F263" s="2" t="str">
        <x:v>S30-T01-PROC</x:v>
      </x:c>
      <x:c r="G263" s="2" t="str">
        <x:v>S30-T01</x:v>
      </x:c>
      <x:c r="H263" s="2" t="str">
        <x:v>2 Semantic contextualization</x:v>
      </x:c>
      <x:c r="I263" s="2" t="n">
        <x:v>2</x:v>
      </x:c>
      <x:c r="J263" s="2" t="str">
        <x:v>Common core</x:v>
      </x:c>
      <x:c r="K263" s="2" t="str">
        <x:v>Completed</x:v>
      </x:c>
      <x:c r="L263" s="2" t="str">
        <x:v>Explicitly evidenced</x:v>
      </x:c>
      <x:c r="M263" s="2" t="str">
        <x:v>NR</x:v>
      </x:c>
      <x:c r="N263" s="2" t="str">
        <x:v>NR</x:v>
      </x:c>
      <x:c r="O263" s="2" t="str">
        <x:v>NR</x:v>
      </x:c>
      <x:c r="P263" s="6" t="str">
        <x:v>NR</x:v>
      </x:c>
      <x:c r="Q263" s="2" t="str">
        <x:v>2 Semantic contextualization</x:v>
      </x:c>
      <x:c r="R263" s="6" t="str">
        <x:v>NR</x:v>
      </x:c>
      <x:c r="S263" s="2" t="str">
        <x:v>NR</x:v>
      </x:c>
      <x:c r="T263" s="2" t="str">
        <x:v>NR</x:v>
      </x:c>
      <x:c r="U263" s="2" t="str">
        <x:v>NR</x:v>
      </x:c>
      <x:c r="V263" s="6" t="str">
        <x:v>Task-specific coded evidence</x:v>
      </x:c>
      <x:c r="W263" s="6" t="str">
        <x:v>p. 5; Section IV</x:v>
      </x:c>
      <x:c r="X263" s="6" t="str">
        <x:v>The considered user queries were as follows: UQ1 :What are the dependencies of [SERVICE NAME]?</x:v>
      </x:c>
      <x:c r="Y263" s="6" t="str">
        <x:v>See task-step evidence references in the RQ2 supplement.</x:v>
      </x:c>
      <x:c r="Z263" s="2" t="str">
        <x:v>Accepted</x:v>
      </x:c>
      <x:c r="AA263" s="6" t="str">
        <x:v>NR</x:v>
      </x:c>
    </x:row>
    <x:row r="264" ht="76" customHeight="1">
      <x:c r="A264" s="2" t="str">
        <x:v>S30-T01-P3</x:v>
      </x:c>
      <x:c r="B264" s="2" t="str">
        <x:v>S30</x:v>
      </x:c>
      <x:c r="C264" s="2" t="str">
        <x:v>merged_1218</x:v>
      </x:c>
      <x:c r="D264" s="2" t="str">
        <x:v>Final coding</x:v>
      </x:c>
      <x:c r="E264" s="2" t="str">
        <x:v>R1/R2</x:v>
      </x:c>
      <x:c r="F264" s="2" t="str">
        <x:v>S30-T01-PROC</x:v>
      </x:c>
      <x:c r="G264" s="2" t="str">
        <x:v>S30-T01</x:v>
      </x:c>
      <x:c r="H264" s="2" t="str">
        <x:v>3 Traceability inference</x:v>
      </x:c>
      <x:c r="I264" s="2" t="n">
        <x:v>3</x:v>
      </x:c>
      <x:c r="J264" s="2" t="str">
        <x:v>Common core</x:v>
      </x:c>
      <x:c r="K264" s="2" t="str">
        <x:v>Completed</x:v>
      </x:c>
      <x:c r="L264" s="2" t="str">
        <x:v>Explicitly evidenced</x:v>
      </x:c>
      <x:c r="M264" s="2" t="str">
        <x:v>NR</x:v>
      </x:c>
      <x:c r="N264" s="2" t="str">
        <x:v>NR</x:v>
      </x:c>
      <x:c r="O264" s="2" t="str">
        <x:v>NR</x:v>
      </x:c>
      <x:c r="P264" s="6" t="str">
        <x:v>NR</x:v>
      </x:c>
      <x:c r="Q264" s="2" t="str">
        <x:v>3 Traceability inference</x:v>
      </x:c>
      <x:c r="R264" s="6" t="str">
        <x:v>自然语言答案、生成的Cypher查询和检索到的图上下文。</x:v>
      </x:c>
      <x:c r="S264" s="2" t="str">
        <x:v>NR</x:v>
      </x:c>
      <x:c r="T264" s="2" t="str">
        <x:v>NR</x:v>
      </x:c>
      <x:c r="U264" s="2" t="str">
        <x:v>NR</x:v>
      </x:c>
      <x:c r="V264" s="6" t="str">
        <x:v>Task-specific coded evidence</x:v>
      </x:c>
      <x:c r="W264" s="6" t="str">
        <x:v>p. 5; Section IV</x:v>
      </x:c>
      <x:c r="X264" s="6" t="str">
        <x:v>The considered user queries were as follows: UQ1 :What are the dependencies of [SERVICE NAME]?</x:v>
      </x:c>
      <x:c r="Y264" s="6" t="str">
        <x:v>See task-step evidence references in the RQ2 supplement.</x:v>
      </x:c>
      <x:c r="Z264" s="2" t="str">
        <x:v>Accepted</x:v>
      </x:c>
      <x:c r="AA264" s="6" t="str">
        <x:v>NR</x:v>
      </x:c>
    </x:row>
    <x:row r="265" ht="76" customHeight="1">
      <x:c r="A265" s="2" t="str">
        <x:v>S30-T01-P4</x:v>
      </x:c>
      <x:c r="B265" s="2" t="str">
        <x:v>S30</x:v>
      </x:c>
      <x:c r="C265" s="2" t="str">
        <x:v>merged_1218</x:v>
      </x:c>
      <x:c r="D265" s="2" t="str">
        <x:v>Final coding</x:v>
      </x:c>
      <x:c r="E265" s="2" t="str">
        <x:v>R1/R2</x:v>
      </x:c>
      <x:c r="F265" s="2" t="str">
        <x:v>S30-T01-PROC</x:v>
      </x:c>
      <x:c r="G265" s="2" t="str">
        <x:v>S30-T01</x:v>
      </x:c>
      <x:c r="H265" s="2" t="str">
        <x:v>4 Validation and explanation</x:v>
      </x:c>
      <x:c r="I265" s="2" t="n">
        <x:v>4</x:v>
      </x:c>
      <x:c r="J265" s="2" t="str">
        <x:v>Common core</x:v>
      </x:c>
      <x:c r="K265" s="2" t="str">
        <x:v>Completed</x:v>
      </x:c>
      <x:c r="L265" s="2" t="str">
        <x:v>Not separately reported</x:v>
      </x:c>
      <x:c r="M265" s="2" t="str">
        <x:v>NR</x:v>
      </x:c>
      <x:c r="N265" s="2" t="str">
        <x:v>NR</x:v>
      </x:c>
      <x:c r="O265" s="2" t="str">
        <x:v>NR</x:v>
      </x:c>
      <x:c r="P265" s="6" t="str">
        <x:v>NR</x:v>
      </x:c>
      <x:c r="Q265" s="2" t="str">
        <x:v>NR</x:v>
      </x:c>
      <x:c r="R265" s="6" t="str">
        <x:v>NR</x:v>
      </x:c>
      <x:c r="S265" s="2" t="str">
        <x:v>NR</x:v>
      </x:c>
      <x:c r="T265" s="2" t="str">
        <x:v>NR</x:v>
      </x:c>
      <x:c r="U265" s="2" t="str">
        <x:v>NR</x:v>
      </x:c>
      <x:c r="V265" s="6" t="str">
        <x:v>Task-specific coded evidence</x:v>
      </x:c>
      <x:c r="W265" s="6" t="str">
        <x:v>p. 5; Section IV</x:v>
      </x:c>
      <x:c r="X265" s="6" t="str">
        <x:v>The considered user queries were as follows: UQ1 :What are the dependencies of [SERVICE NAME]?</x:v>
      </x:c>
      <x:c r="Y265" s="6" t="str">
        <x:v>See task-step evidence references in the RQ2 supplement.</x:v>
      </x:c>
      <x:c r="Z265" s="2" t="str">
        <x:v>Accepted</x:v>
      </x:c>
      <x:c r="AA265" s="6" t="str">
        <x:v>NR</x:v>
      </x:c>
    </x:row>
    <x:row r="266" ht="76" customHeight="1">
      <x:c r="A266" s="2" t="str">
        <x:v>S30-T01-P5</x:v>
      </x:c>
      <x:c r="B266" s="2" t="str">
        <x:v>S30</x:v>
      </x:c>
      <x:c r="C266" s="2" t="str">
        <x:v>merged_1218</x:v>
      </x:c>
      <x:c r="D266" s="2" t="str">
        <x:v>Final coding</x:v>
      </x:c>
      <x:c r="E266" s="2" t="str">
        <x:v>R1/R2</x:v>
      </x:c>
      <x:c r="F266" s="2" t="str">
        <x:v>S30-T01-PROC</x:v>
      </x:c>
      <x:c r="G266" s="2" t="str">
        <x:v>S30-T01</x:v>
      </x:c>
      <x:c r="H266" s="2" t="str">
        <x:v>5 Evolution and embedding</x:v>
      </x:c>
      <x:c r="I266" s="2" t="n">
        <x:v>5</x:v>
      </x:c>
      <x:c r="J266" s="2" t="str">
        <x:v>Common core</x:v>
      </x:c>
      <x:c r="K266" s="2" t="str">
        <x:v>Completed</x:v>
      </x:c>
      <x:c r="L266" s="2" t="str">
        <x:v>Not separately reported</x:v>
      </x:c>
      <x:c r="M266" s="2" t="str">
        <x:v>NR</x:v>
      </x:c>
      <x:c r="N266" s="2" t="str">
        <x:v>NR</x:v>
      </x:c>
      <x:c r="O266" s="2" t="str">
        <x:v>NR</x:v>
      </x:c>
      <x:c r="P266" s="6" t="str">
        <x:v>NR</x:v>
      </x:c>
      <x:c r="Q266" s="2" t="str">
        <x:v>NR</x:v>
      </x:c>
      <x:c r="R266" s="6" t="str">
        <x:v>NR</x:v>
      </x:c>
      <x:c r="S266" s="2" t="str">
        <x:v>NR</x:v>
      </x:c>
      <x:c r="T266" s="2" t="str">
        <x:v>NR</x:v>
      </x:c>
      <x:c r="U266" s="2" t="str">
        <x:v>NR</x:v>
      </x:c>
      <x:c r="V266" s="6" t="str">
        <x:v>Task-specific coded evidence</x:v>
      </x:c>
      <x:c r="W266" s="6" t="str">
        <x:v>p. 5; Section IV</x:v>
      </x:c>
      <x:c r="X266" s="6" t="str">
        <x:v>The considered user queries were as follows: UQ1 :What are the dependencies of [SERVICE NAME]?</x:v>
      </x:c>
      <x:c r="Y266" s="6" t="str">
        <x:v>See task-step evidence references in the RQ2 supplement.</x:v>
      </x:c>
      <x:c r="Z266" s="2" t="str">
        <x:v>Accepted</x:v>
      </x:c>
      <x:c r="AA266" s="6" t="str">
        <x:v>NR</x:v>
      </x:c>
    </x:row>
    <x:row r="267" ht="76" customHeight="1">
      <x:c r="A267" s="2" t="str">
        <x:v>S30-T02-P1</x:v>
      </x:c>
      <x:c r="B267" s="2" t="str">
        <x:v>S30</x:v>
      </x:c>
      <x:c r="C267" s="2" t="str">
        <x:v>merged_1218</x:v>
      </x:c>
      <x:c r="D267" s="2" t="str">
        <x:v>Final coding</x:v>
      </x:c>
      <x:c r="E267" s="2" t="str">
        <x:v>R1/R2</x:v>
      </x:c>
      <x:c r="F267" s="2" t="str">
        <x:v>S30-T02-PROC</x:v>
      </x:c>
      <x:c r="G267" s="2" t="str">
        <x:v>S30-T02</x:v>
      </x:c>
      <x:c r="H267" s="2" t="str">
        <x:v>1 Artifact acquisition and scoping</x:v>
      </x:c>
      <x:c r="I267" s="2" t="n">
        <x:v>1</x:v>
      </x:c>
      <x:c r="J267" s="2" t="str">
        <x:v>Common core</x:v>
      </x:c>
      <x:c r="K267" s="2" t="str">
        <x:v>Completed</x:v>
      </x:c>
      <x:c r="L267" s="2" t="str">
        <x:v>Not separately reported</x:v>
      </x:c>
      <x:c r="M267" s="2" t="str">
        <x:v>NR</x:v>
      </x:c>
      <x:c r="N267" s="2" t="str">
        <x:v>NR</x:v>
      </x:c>
      <x:c r="O267" s="2" t="str">
        <x:v>NR</x:v>
      </x:c>
      <x:c r="P267" s="6" t="str">
        <x:v>NR</x:v>
      </x:c>
      <x:c r="Q267" s="2" t="str">
        <x:v>NR</x:v>
      </x:c>
      <x:c r="R267" s="6" t="str">
        <x:v>NR</x:v>
      </x:c>
      <x:c r="S267" s="2" t="str">
        <x:v>NR</x:v>
      </x:c>
      <x:c r="T267" s="2" t="str">
        <x:v>NR</x:v>
      </x:c>
      <x:c r="U267" s="2" t="str">
        <x:v>NR</x:v>
      </x:c>
      <x:c r="V267" s="6" t="str">
        <x:v>Task-specific coded evidence</x:v>
      </x:c>
      <x:c r="W267" s="6" t="str">
        <x:v>p. 7; Section V</x:v>
      </x:c>
      <x:c r="X267" s="6" t="str">
        <x:v>UQ6 :Is there a relationship between Bug [ID] and User Story [ID]?</x:v>
      </x:c>
      <x:c r="Y267" s="6" t="str">
        <x:v>See task-step evidence references in the RQ2 supplement.</x:v>
      </x:c>
      <x:c r="Z267" s="2" t="str">
        <x:v>Accepted</x:v>
      </x:c>
      <x:c r="AA267" s="6" t="str">
        <x:v>NR</x:v>
      </x:c>
    </x:row>
    <x:row r="268" ht="76" customHeight="1">
      <x:c r="A268" s="2" t="str">
        <x:v>S30-T02-P2</x:v>
      </x:c>
      <x:c r="B268" s="2" t="str">
        <x:v>S30</x:v>
      </x:c>
      <x:c r="C268" s="2" t="str">
        <x:v>merged_1218</x:v>
      </x:c>
      <x:c r="D268" s="2" t="str">
        <x:v>Final coding</x:v>
      </x:c>
      <x:c r="E268" s="2" t="str">
        <x:v>R1/R2</x:v>
      </x:c>
      <x:c r="F268" s="2" t="str">
        <x:v>S30-T02-PROC</x:v>
      </x:c>
      <x:c r="G268" s="2" t="str">
        <x:v>S30-T02</x:v>
      </x:c>
      <x:c r="H268" s="2" t="str">
        <x:v>2 Semantic contextualization</x:v>
      </x:c>
      <x:c r="I268" s="2" t="n">
        <x:v>2</x:v>
      </x:c>
      <x:c r="J268" s="2" t="str">
        <x:v>Common core</x:v>
      </x:c>
      <x:c r="K268" s="2" t="str">
        <x:v>Completed</x:v>
      </x:c>
      <x:c r="L268" s="2" t="str">
        <x:v>Explicitly evidenced</x:v>
      </x:c>
      <x:c r="M268" s="2" t="str">
        <x:v>NR</x:v>
      </x:c>
      <x:c r="N268" s="2" t="str">
        <x:v>NR</x:v>
      </x:c>
      <x:c r="O268" s="2" t="str">
        <x:v>NR</x:v>
      </x:c>
      <x:c r="P268" s="6" t="str">
        <x:v>NR</x:v>
      </x:c>
      <x:c r="Q268" s="2" t="str">
        <x:v>2 Semantic contextualization</x:v>
      </x:c>
      <x:c r="R268" s="6" t="str">
        <x:v>NR</x:v>
      </x:c>
      <x:c r="S268" s="2" t="str">
        <x:v>NR</x:v>
      </x:c>
      <x:c r="T268" s="2" t="str">
        <x:v>NR</x:v>
      </x:c>
      <x:c r="U268" s="2" t="str">
        <x:v>NR</x:v>
      </x:c>
      <x:c r="V268" s="6" t="str">
        <x:v>Task-specific coded evidence</x:v>
      </x:c>
      <x:c r="W268" s="6" t="str">
        <x:v>p. 7; Section V</x:v>
      </x:c>
      <x:c r="X268" s="6" t="str">
        <x:v>UQ6 :Is there a relationship between Bug [ID] and User Story [ID]?</x:v>
      </x:c>
      <x:c r="Y268" s="6" t="str">
        <x:v>See task-step evidence references in the RQ2 supplement.</x:v>
      </x:c>
      <x:c r="Z268" s="2" t="str">
        <x:v>Accepted</x:v>
      </x:c>
      <x:c r="AA268" s="6" t="str">
        <x:v>NR</x:v>
      </x:c>
    </x:row>
    <x:row r="269" ht="76" customHeight="1">
      <x:c r="A269" s="2" t="str">
        <x:v>S30-T02-P3</x:v>
      </x:c>
      <x:c r="B269" s="2" t="str">
        <x:v>S30</x:v>
      </x:c>
      <x:c r="C269" s="2" t="str">
        <x:v>merged_1218</x:v>
      </x:c>
      <x:c r="D269" s="2" t="str">
        <x:v>Final coding</x:v>
      </x:c>
      <x:c r="E269" s="2" t="str">
        <x:v>R1/R2</x:v>
      </x:c>
      <x:c r="F269" s="2" t="str">
        <x:v>S30-T02-PROC</x:v>
      </x:c>
      <x:c r="G269" s="2" t="str">
        <x:v>S30-T02</x:v>
      </x:c>
      <x:c r="H269" s="2" t="str">
        <x:v>3 Traceability inference</x:v>
      </x:c>
      <x:c r="I269" s="2" t="n">
        <x:v>3</x:v>
      </x:c>
      <x:c r="J269" s="2" t="str">
        <x:v>Common core</x:v>
      </x:c>
      <x:c r="K269" s="2" t="str">
        <x:v>Completed</x:v>
      </x:c>
      <x:c r="L269" s="2" t="str">
        <x:v>Explicitly evidenced</x:v>
      </x:c>
      <x:c r="M269" s="2" t="str">
        <x:v>NR</x:v>
      </x:c>
      <x:c r="N269" s="2" t="str">
        <x:v>NR</x:v>
      </x:c>
      <x:c r="O269" s="2" t="str">
        <x:v>NR</x:v>
      </x:c>
      <x:c r="P269" s="6" t="str">
        <x:v>NR</x:v>
      </x:c>
      <x:c r="Q269" s="2" t="str">
        <x:v>3 Traceability inference</x:v>
      </x:c>
      <x:c r="R269" s="6" t="str">
        <x:v>自然语言答案、生成的Cypher查询和检索到的图上下文。</x:v>
      </x:c>
      <x:c r="S269" s="2" t="str">
        <x:v>NR</x:v>
      </x:c>
      <x:c r="T269" s="2" t="str">
        <x:v>NR</x:v>
      </x:c>
      <x:c r="U269" s="2" t="str">
        <x:v>NR</x:v>
      </x:c>
      <x:c r="V269" s="6" t="str">
        <x:v>Task-specific coded evidence</x:v>
      </x:c>
      <x:c r="W269" s="6" t="str">
        <x:v>p. 7; Section V</x:v>
      </x:c>
      <x:c r="X269" s="6" t="str">
        <x:v>UQ6 :Is there a relationship between Bug [ID] and User Story [ID]?</x:v>
      </x:c>
      <x:c r="Y269" s="6" t="str">
        <x:v>See task-step evidence references in the RQ2 supplement.</x:v>
      </x:c>
      <x:c r="Z269" s="2" t="str">
        <x:v>Accepted</x:v>
      </x:c>
      <x:c r="AA269" s="6" t="str">
        <x:v>NR</x:v>
      </x:c>
    </x:row>
    <x:row r="270" ht="76" customHeight="1">
      <x:c r="A270" s="2" t="str">
        <x:v>S30-T02-P4</x:v>
      </x:c>
      <x:c r="B270" s="2" t="str">
        <x:v>S30</x:v>
      </x:c>
      <x:c r="C270" s="2" t="str">
        <x:v>merged_1218</x:v>
      </x:c>
      <x:c r="D270" s="2" t="str">
        <x:v>Final coding</x:v>
      </x:c>
      <x:c r="E270" s="2" t="str">
        <x:v>R1/R2</x:v>
      </x:c>
      <x:c r="F270" s="2" t="str">
        <x:v>S30-T02-PROC</x:v>
      </x:c>
      <x:c r="G270" s="2" t="str">
        <x:v>S30-T02</x:v>
      </x:c>
      <x:c r="H270" s="2" t="str">
        <x:v>4 Validation and explanation</x:v>
      </x:c>
      <x:c r="I270" s="2" t="n">
        <x:v>4</x:v>
      </x:c>
      <x:c r="J270" s="2" t="str">
        <x:v>Common core</x:v>
      </x:c>
      <x:c r="K270" s="2" t="str">
        <x:v>Completed</x:v>
      </x:c>
      <x:c r="L270" s="2" t="str">
        <x:v>Not separately reported</x:v>
      </x:c>
      <x:c r="M270" s="2" t="str">
        <x:v>NR</x:v>
      </x:c>
      <x:c r="N270" s="2" t="str">
        <x:v>NR</x:v>
      </x:c>
      <x:c r="O270" s="2" t="str">
        <x:v>NR</x:v>
      </x:c>
      <x:c r="P270" s="6" t="str">
        <x:v>NR</x:v>
      </x:c>
      <x:c r="Q270" s="2" t="str">
        <x:v>NR</x:v>
      </x:c>
      <x:c r="R270" s="6" t="str">
        <x:v>NR</x:v>
      </x:c>
      <x:c r="S270" s="2" t="str">
        <x:v>NR</x:v>
      </x:c>
      <x:c r="T270" s="2" t="str">
        <x:v>NR</x:v>
      </x:c>
      <x:c r="U270" s="2" t="str">
        <x:v>NR</x:v>
      </x:c>
      <x:c r="V270" s="6" t="str">
        <x:v>Task-specific coded evidence</x:v>
      </x:c>
      <x:c r="W270" s="6" t="str">
        <x:v>p. 7; Section V</x:v>
      </x:c>
      <x:c r="X270" s="6" t="str">
        <x:v>UQ6 :Is there a relationship between Bug [ID] and User Story [ID]?</x:v>
      </x:c>
      <x:c r="Y270" s="6" t="str">
        <x:v>See task-step evidence references in the RQ2 supplement.</x:v>
      </x:c>
      <x:c r="Z270" s="2" t="str">
        <x:v>Accepted</x:v>
      </x:c>
      <x:c r="AA270" s="6" t="str">
        <x:v>NR</x:v>
      </x:c>
    </x:row>
    <x:row r="271" ht="76" customHeight="1">
      <x:c r="A271" s="2" t="str">
        <x:v>S30-T02-P5</x:v>
      </x:c>
      <x:c r="B271" s="2" t="str">
        <x:v>S30</x:v>
      </x:c>
      <x:c r="C271" s="2" t="str">
        <x:v>merged_1218</x:v>
      </x:c>
      <x:c r="D271" s="2" t="str">
        <x:v>Final coding</x:v>
      </x:c>
      <x:c r="E271" s="2" t="str">
        <x:v>R1/R2</x:v>
      </x:c>
      <x:c r="F271" s="2" t="str">
        <x:v>S30-T02-PROC</x:v>
      </x:c>
      <x:c r="G271" s="2" t="str">
        <x:v>S30-T02</x:v>
      </x:c>
      <x:c r="H271" s="2" t="str">
        <x:v>5 Evolution and embedding</x:v>
      </x:c>
      <x:c r="I271" s="2" t="n">
        <x:v>5</x:v>
      </x:c>
      <x:c r="J271" s="2" t="str">
        <x:v>Common core</x:v>
      </x:c>
      <x:c r="K271" s="2" t="str">
        <x:v>Completed</x:v>
      </x:c>
      <x:c r="L271" s="2" t="str">
        <x:v>Not separately reported</x:v>
      </x:c>
      <x:c r="M271" s="2" t="str">
        <x:v>NR</x:v>
      </x:c>
      <x:c r="N271" s="2" t="str">
        <x:v>NR</x:v>
      </x:c>
      <x:c r="O271" s="2" t="str">
        <x:v>NR</x:v>
      </x:c>
      <x:c r="P271" s="6" t="str">
        <x:v>NR</x:v>
      </x:c>
      <x:c r="Q271" s="2" t="str">
        <x:v>NR</x:v>
      </x:c>
      <x:c r="R271" s="6" t="str">
        <x:v>NR</x:v>
      </x:c>
      <x:c r="S271" s="2" t="str">
        <x:v>NR</x:v>
      </x:c>
      <x:c r="T271" s="2" t="str">
        <x:v>NR</x:v>
      </x:c>
      <x:c r="U271" s="2" t="str">
        <x:v>NR</x:v>
      </x:c>
      <x:c r="V271" s="6" t="str">
        <x:v>Task-specific coded evidence</x:v>
      </x:c>
      <x:c r="W271" s="6" t="str">
        <x:v>p. 7; Section V</x:v>
      </x:c>
      <x:c r="X271" s="6" t="str">
        <x:v>UQ6 :Is there a relationship between Bug [ID] and User Story [ID]?</x:v>
      </x:c>
      <x:c r="Y271" s="6" t="str">
        <x:v>See task-step evidence references in the RQ2 supplement.</x:v>
      </x:c>
      <x:c r="Z271" s="2" t="str">
        <x:v>Accepted</x:v>
      </x:c>
      <x:c r="AA271" s="6" t="str">
        <x:v>NR</x:v>
      </x:c>
    </x:row>
    <x:row r="272" ht="76" customHeight="1">
      <x:c r="A272" s="2" t="str">
        <x:v>S31-T01-P1</x:v>
      </x:c>
      <x:c r="B272" s="2" t="str">
        <x:v>S31</x:v>
      </x:c>
      <x:c r="C272" s="2" t="str">
        <x:v>merged_1219</x:v>
      </x:c>
      <x:c r="D272" s="2" t="str">
        <x:v>Final coding</x:v>
      </x:c>
      <x:c r="E272" s="2" t="str">
        <x:v>R1/R2</x:v>
      </x:c>
      <x:c r="F272" s="2" t="str">
        <x:v>S31-T01-PROC</x:v>
      </x:c>
      <x:c r="G272" s="2" t="str">
        <x:v>S31-T01</x:v>
      </x:c>
      <x:c r="H272" s="2" t="str">
        <x:v>1 Artifact acquisition and scoping</x:v>
      </x:c>
      <x:c r="I272" s="2" t="n">
        <x:v>1</x:v>
      </x:c>
      <x:c r="J272" s="2" t="str">
        <x:v>Common core</x:v>
      </x:c>
      <x:c r="K272" s="2" t="str">
        <x:v>Completed</x:v>
      </x:c>
      <x:c r="L272" s="2" t="str">
        <x:v>Not separately reported</x:v>
      </x:c>
      <x:c r="M272" s="2" t="str">
        <x:v>NR</x:v>
      </x:c>
      <x:c r="N272" s="2" t="str">
        <x:v>NR</x:v>
      </x:c>
      <x:c r="O272" s="2" t="str">
        <x:v>NR</x:v>
      </x:c>
      <x:c r="P272" s="6" t="str">
        <x:v>NR</x:v>
      </x:c>
      <x:c r="Q272" s="2" t="str">
        <x:v>NR</x:v>
      </x:c>
      <x:c r="R272" s="6" t="str">
        <x:v>NR</x:v>
      </x:c>
      <x:c r="S272" s="2" t="str">
        <x:v>NR</x:v>
      </x:c>
      <x:c r="T272" s="2" t="str">
        <x:v>NR</x:v>
      </x:c>
      <x:c r="U272" s="2" t="str">
        <x:v>NR</x:v>
      </x:c>
      <x:c r="V272" s="6" t="str">
        <x:v>Task-specific coded evidence</x:v>
      </x:c>
      <x:c r="W272" s="6" t="str">
        <x:v>p. 2; Section I</x:v>
      </x:c>
      <x:c r="X272" s="6" t="str">
        <x:v>This paper presents a prototype that uses real automotive trace links and LLM agents to generate contextualised learning materials, including tutorials and multimedia examples.</x:v>
      </x:c>
      <x:c r="Y272" s="6" t="str">
        <x:v>See task-step evidence references in the RQ2 supplement.</x:v>
      </x:c>
      <x:c r="Z272" s="2" t="str">
        <x:v>Accepted</x:v>
      </x:c>
      <x:c r="AA272" s="6" t="str">
        <x:v>NR</x:v>
      </x:c>
    </x:row>
    <x:row r="273" ht="76" customHeight="1">
      <x:c r="A273" s="2" t="str">
        <x:v>S31-T01-P2</x:v>
      </x:c>
      <x:c r="B273" s="2" t="str">
        <x:v>S31</x:v>
      </x:c>
      <x:c r="C273" s="2" t="str">
        <x:v>merged_1219</x:v>
      </x:c>
      <x:c r="D273" s="2" t="str">
        <x:v>Final coding</x:v>
      </x:c>
      <x:c r="E273" s="2" t="str">
        <x:v>R1/R2</x:v>
      </x:c>
      <x:c r="F273" s="2" t="str">
        <x:v>S31-T01-PROC</x:v>
      </x:c>
      <x:c r="G273" s="2" t="str">
        <x:v>S31-T01</x:v>
      </x:c>
      <x:c r="H273" s="2" t="str">
        <x:v>2 Semantic contextualization</x:v>
      </x:c>
      <x:c r="I273" s="2" t="n">
        <x:v>2</x:v>
      </x:c>
      <x:c r="J273" s="2" t="str">
        <x:v>Common core</x:v>
      </x:c>
      <x:c r="K273" s="2" t="str">
        <x:v>Completed</x:v>
      </x:c>
      <x:c r="L273" s="2" t="str">
        <x:v>Explicitly evidenced</x:v>
      </x:c>
      <x:c r="M273" s="2" t="str">
        <x:v>NR</x:v>
      </x:c>
      <x:c r="N273" s="2" t="str">
        <x:v>NR</x:v>
      </x:c>
      <x:c r="O273" s="2" t="str">
        <x:v>NR</x:v>
      </x:c>
      <x:c r="P273" s="6" t="str">
        <x:v>NR</x:v>
      </x:c>
      <x:c r="Q273" s="2" t="str">
        <x:v>2 Semantic contextualization</x:v>
      </x:c>
      <x:c r="R273" s="6" t="str">
        <x:v>NR</x:v>
      </x:c>
      <x:c r="S273" s="2" t="str">
        <x:v>NR</x:v>
      </x:c>
      <x:c r="T273" s="2" t="str">
        <x:v>NR</x:v>
      </x:c>
      <x:c r="U273" s="2" t="str">
        <x:v>NR</x:v>
      </x:c>
      <x:c r="V273" s="6" t="str">
        <x:v>Task-specific coded evidence</x:v>
      </x:c>
      <x:c r="W273" s="6" t="str">
        <x:v>p. 2; Section I</x:v>
      </x:c>
      <x:c r="X273" s="6" t="str">
        <x:v>This paper presents a prototype that uses real automotive trace links and LLM agents to generate contextualised learning materials, including tutorials and multimedia examples.</x:v>
      </x:c>
      <x:c r="Y273" s="6" t="str">
        <x:v>See task-step evidence references in the RQ2 supplement.</x:v>
      </x:c>
      <x:c r="Z273" s="2" t="str">
        <x:v>Accepted</x:v>
      </x:c>
      <x:c r="AA273" s="6" t="str">
        <x:v>NR</x:v>
      </x:c>
    </x:row>
    <x:row r="274" ht="76" customHeight="1">
      <x:c r="A274" s="2" t="str">
        <x:v>S31-T01-P3</x:v>
      </x:c>
      <x:c r="B274" s="2" t="str">
        <x:v>S31</x:v>
      </x:c>
      <x:c r="C274" s="2" t="str">
        <x:v>merged_1219</x:v>
      </x:c>
      <x:c r="D274" s="2" t="str">
        <x:v>Final coding</x:v>
      </x:c>
      <x:c r="E274" s="2" t="str">
        <x:v>R1/R2</x:v>
      </x:c>
      <x:c r="F274" s="2" t="str">
        <x:v>S31-T01-PROC</x:v>
      </x:c>
      <x:c r="G274" s="2" t="str">
        <x:v>S31-T01</x:v>
      </x:c>
      <x:c r="H274" s="2" t="str">
        <x:v>3 Traceability inference</x:v>
      </x:c>
      <x:c r="I274" s="2" t="n">
        <x:v>3</x:v>
      </x:c>
      <x:c r="J274" s="2" t="str">
        <x:v>Common core</x:v>
      </x:c>
      <x:c r="K274" s="2" t="str">
        <x:v>Completed</x:v>
      </x:c>
      <x:c r="L274" s="2" t="str">
        <x:v>Inferred from relation output</x:v>
      </x:c>
      <x:c r="M274" s="2" t="str">
        <x:v>NR</x:v>
      </x:c>
      <x:c r="N274" s="2" t="str">
        <x:v>NR</x:v>
      </x:c>
      <x:c r="O274" s="2" t="str">
        <x:v>NR</x:v>
      </x:c>
      <x:c r="P274" s="6" t="str">
        <x:v>NR</x:v>
      </x:c>
      <x:c r="Q274" s="2" t="str">
        <x:v>NR</x:v>
      </x:c>
      <x:c r="R274" s="6" t="str">
        <x:v>生成的教学报告可被专家验证准确性和教育效果</x:v>
      </x:c>
      <x:c r="S274" s="2" t="str">
        <x:v>NR</x:v>
      </x:c>
      <x:c r="T274" s="2" t="str">
        <x:v>NR</x:v>
      </x:c>
      <x:c r="U274" s="2" t="str">
        <x:v>NR</x:v>
      </x:c>
      <x:c r="V274" s="6" t="str">
        <x:v>Task-specific coded evidence</x:v>
      </x:c>
      <x:c r="W274" s="6" t="str">
        <x:v>p. 2; Section I</x:v>
      </x:c>
      <x:c r="X274" s="6" t="str">
        <x:v>This paper presents a prototype that uses real automotive trace links and LLM agents to generate contextualised learning materials, including tutorials and multimedia examples.</x:v>
      </x:c>
      <x:c r="Y274" s="6" t="str">
        <x:v>See task-step evidence references in the RQ2 supplement.</x:v>
      </x:c>
      <x:c r="Z274" s="2" t="str">
        <x:v>Accepted</x:v>
      </x:c>
      <x:c r="AA274" s="6" t="str">
        <x:v>NR</x:v>
      </x:c>
    </x:row>
    <x:row r="275" ht="76" customHeight="1">
      <x:c r="A275" s="2" t="str">
        <x:v>S31-T01-P4</x:v>
      </x:c>
      <x:c r="B275" s="2" t="str">
        <x:v>S31</x:v>
      </x:c>
      <x:c r="C275" s="2" t="str">
        <x:v>merged_1219</x:v>
      </x:c>
      <x:c r="D275" s="2" t="str">
        <x:v>Final coding</x:v>
      </x:c>
      <x:c r="E275" s="2" t="str">
        <x:v>R1/R2</x:v>
      </x:c>
      <x:c r="F275" s="2" t="str">
        <x:v>S31-T01-PROC</x:v>
      </x:c>
      <x:c r="G275" s="2" t="str">
        <x:v>S31-T01</x:v>
      </x:c>
      <x:c r="H275" s="2" t="str">
        <x:v>4 Validation and explanation</x:v>
      </x:c>
      <x:c r="I275" s="2" t="n">
        <x:v>4</x:v>
      </x:c>
      <x:c r="J275" s="2" t="str">
        <x:v>Common core</x:v>
      </x:c>
      <x:c r="K275" s="2" t="str">
        <x:v>Completed</x:v>
      </x:c>
      <x:c r="L275" s="2" t="str">
        <x:v>Not separately reported</x:v>
      </x:c>
      <x:c r="M275" s="2" t="str">
        <x:v>NR</x:v>
      </x:c>
      <x:c r="N275" s="2" t="str">
        <x:v>NR</x:v>
      </x:c>
      <x:c r="O275" s="2" t="str">
        <x:v>NR</x:v>
      </x:c>
      <x:c r="P275" s="6" t="str">
        <x:v>NR</x:v>
      </x:c>
      <x:c r="Q275" s="2" t="str">
        <x:v>NR</x:v>
      </x:c>
      <x:c r="R275" s="6" t="str">
        <x:v>NR</x:v>
      </x:c>
      <x:c r="S275" s="2" t="str">
        <x:v>NR</x:v>
      </x:c>
      <x:c r="T275" s="2" t="str">
        <x:v>NR</x:v>
      </x:c>
      <x:c r="U275" s="2" t="str">
        <x:v>NR</x:v>
      </x:c>
      <x:c r="V275" s="6" t="str">
        <x:v>Task-specific coded evidence</x:v>
      </x:c>
      <x:c r="W275" s="6" t="str">
        <x:v>p. 2; Section I</x:v>
      </x:c>
      <x:c r="X275" s="6" t="str">
        <x:v>This paper presents a prototype that uses real automotive trace links and LLM agents to generate contextualised learning materials, including tutorials and multimedia examples.</x:v>
      </x:c>
      <x:c r="Y275" s="6" t="str">
        <x:v>See task-step evidence references in the RQ2 supplement.</x:v>
      </x:c>
      <x:c r="Z275" s="2" t="str">
        <x:v>Accepted</x:v>
      </x:c>
      <x:c r="AA275" s="6" t="str">
        <x:v>NR</x:v>
      </x:c>
    </x:row>
    <x:row r="276" ht="76" customHeight="1">
      <x:c r="A276" s="2" t="str">
        <x:v>S31-T01-P5</x:v>
      </x:c>
      <x:c r="B276" s="2" t="str">
        <x:v>S31</x:v>
      </x:c>
      <x:c r="C276" s="2" t="str">
        <x:v>merged_1219</x:v>
      </x:c>
      <x:c r="D276" s="2" t="str">
        <x:v>Final coding</x:v>
      </x:c>
      <x:c r="E276" s="2" t="str">
        <x:v>R1/R2</x:v>
      </x:c>
      <x:c r="F276" s="2" t="str">
        <x:v>S31-T01-PROC</x:v>
      </x:c>
      <x:c r="G276" s="2" t="str">
        <x:v>S31-T01</x:v>
      </x:c>
      <x:c r="H276" s="2" t="str">
        <x:v>5 Evolution and embedding</x:v>
      </x:c>
      <x:c r="I276" s="2" t="n">
        <x:v>5</x:v>
      </x:c>
      <x:c r="J276" s="2" t="str">
        <x:v>Common core</x:v>
      </x:c>
      <x:c r="K276" s="2" t="str">
        <x:v>Completed</x:v>
      </x:c>
      <x:c r="L276" s="2" t="str">
        <x:v>Not separately reported</x:v>
      </x:c>
      <x:c r="M276" s="2" t="str">
        <x:v>NR</x:v>
      </x:c>
      <x:c r="N276" s="2" t="str">
        <x:v>NR</x:v>
      </x:c>
      <x:c r="O276" s="2" t="str">
        <x:v>NR</x:v>
      </x:c>
      <x:c r="P276" s="6" t="str">
        <x:v>NR</x:v>
      </x:c>
      <x:c r="Q276" s="2" t="str">
        <x:v>NR</x:v>
      </x:c>
      <x:c r="R276" s="6" t="str">
        <x:v>NR</x:v>
      </x:c>
      <x:c r="S276" s="2" t="str">
        <x:v>NR</x:v>
      </x:c>
      <x:c r="T276" s="2" t="str">
        <x:v>NR</x:v>
      </x:c>
      <x:c r="U276" s="2" t="str">
        <x:v>NR</x:v>
      </x:c>
      <x:c r="V276" s="6" t="str">
        <x:v>Task-specific coded evidence</x:v>
      </x:c>
      <x:c r="W276" s="6" t="str">
        <x:v>p. 2; Section I</x:v>
      </x:c>
      <x:c r="X276" s="6" t="str">
        <x:v>This paper presents a prototype that uses real automotive trace links and LLM agents to generate contextualised learning materials, including tutorials and multimedia examples.</x:v>
      </x:c>
      <x:c r="Y276" s="6" t="str">
        <x:v>See task-step evidence references in the RQ2 supplement.</x:v>
      </x:c>
      <x:c r="Z276" s="2" t="str">
        <x:v>Accepted</x:v>
      </x:c>
      <x:c r="AA276" s="6" t="str">
        <x:v>NR</x:v>
      </x:c>
    </x:row>
    <x:row r="277" ht="76" customHeight="1">
      <x:c r="A277" s="2" t="str">
        <x:v>S32-T01-P1</x:v>
      </x:c>
      <x:c r="B277" s="2" t="str">
        <x:v>S32</x:v>
      </x:c>
      <x:c r="C277" s="2" t="str">
        <x:v>merged_1220</x:v>
      </x:c>
      <x:c r="D277" s="2" t="str">
        <x:v>Final coding</x:v>
      </x:c>
      <x:c r="E277" s="2" t="str">
        <x:v>R1/R2</x:v>
      </x:c>
      <x:c r="F277" s="2" t="str">
        <x:v>S32-T01-PROC</x:v>
      </x:c>
      <x:c r="G277" s="2" t="str">
        <x:v>S32-T01</x:v>
      </x:c>
      <x:c r="H277" s="2" t="str">
        <x:v>1 Artifact acquisition and scoping</x:v>
      </x:c>
      <x:c r="I277" s="2" t="n">
        <x:v>1</x:v>
      </x:c>
      <x:c r="J277" s="2" t="str">
        <x:v>Common core</x:v>
      </x:c>
      <x:c r="K277" s="2" t="str">
        <x:v>Completed</x:v>
      </x:c>
      <x:c r="L277" s="2" t="str">
        <x:v>Explicitly evidenced</x:v>
      </x:c>
      <x:c r="M277" s="2" t="str">
        <x:v>NR</x:v>
      </x:c>
      <x:c r="N277" s="2" t="str">
        <x:v>NR</x:v>
      </x:c>
      <x:c r="O277" s="2" t="str">
        <x:v>NR</x:v>
      </x:c>
      <x:c r="P277" s="6" t="str">
        <x:v>NR</x:v>
      </x:c>
      <x:c r="Q277" s="2" t="str">
        <x:v>1 Artifact acquisition and scoping</x:v>
      </x:c>
      <x:c r="R277" s="6" t="str">
        <x:v>NR</x:v>
      </x:c>
      <x:c r="S277" s="2" t="str">
        <x:v>NR</x:v>
      </x:c>
      <x:c r="T277" s="2" t="str">
        <x:v>NR</x:v>
      </x:c>
      <x:c r="U277" s="2" t="str">
        <x:v>NR</x:v>
      </x:c>
      <x:c r="V277" s="6" t="str">
        <x:v>Task-specific coded evidence</x:v>
      </x:c>
      <x:c r="W277" s="6" t="str">
        <x:v>p. 1; Abstract.</x:v>
      </x:c>
      <x:c r="X277" s="6" t="str">
        <x:v>we propose a method for constructing cross-layer traceability links for automotive systems.</x:v>
      </x:c>
      <x:c r="Y277" s="6" t="str">
        <x:v>See task-step evidence references in the RQ2 supplement.</x:v>
      </x:c>
      <x:c r="Z277" s="2" t="str">
        <x:v>Accepted</x:v>
      </x:c>
      <x:c r="AA277" s="6" t="str">
        <x:v>NR</x:v>
      </x:c>
    </x:row>
    <x:row r="278" ht="76" customHeight="1">
      <x:c r="A278" s="2" t="str">
        <x:v>S32-T01-P2</x:v>
      </x:c>
      <x:c r="B278" s="2" t="str">
        <x:v>S32</x:v>
      </x:c>
      <x:c r="C278" s="2" t="str">
        <x:v>merged_1220</x:v>
      </x:c>
      <x:c r="D278" s="2" t="str">
        <x:v>Final coding</x:v>
      </x:c>
      <x:c r="E278" s="2" t="str">
        <x:v>R1/R2</x:v>
      </x:c>
      <x:c r="F278" s="2" t="str">
        <x:v>S32-T01-PROC</x:v>
      </x:c>
      <x:c r="G278" s="2" t="str">
        <x:v>S32-T01</x:v>
      </x:c>
      <x:c r="H278" s="2" t="str">
        <x:v>2 Semantic contextualization</x:v>
      </x:c>
      <x:c r="I278" s="2" t="n">
        <x:v>2</x:v>
      </x:c>
      <x:c r="J278" s="2" t="str">
        <x:v>Common core</x:v>
      </x:c>
      <x:c r="K278" s="2" t="str">
        <x:v>Completed</x:v>
      </x:c>
      <x:c r="L278" s="2" t="str">
        <x:v>Explicitly evidenced</x:v>
      </x:c>
      <x:c r="M278" s="2" t="str">
        <x:v>NR</x:v>
      </x:c>
      <x:c r="N278" s="2" t="str">
        <x:v>NR</x:v>
      </x:c>
      <x:c r="O278" s="2" t="str">
        <x:v>NR</x:v>
      </x:c>
      <x:c r="P278" s="6" t="str">
        <x:v>NR</x:v>
      </x:c>
      <x:c r="Q278" s="2" t="str">
        <x:v>2 Semantic contextualization</x:v>
      </x:c>
      <x:c r="R278" s="6" t="str">
        <x:v>NR</x:v>
      </x:c>
      <x:c r="S278" s="2" t="str">
        <x:v>NR</x:v>
      </x:c>
      <x:c r="T278" s="2" t="str">
        <x:v>NR</x:v>
      </x:c>
      <x:c r="U278" s="2" t="str">
        <x:v>NR</x:v>
      </x:c>
      <x:c r="V278" s="6" t="str">
        <x:v>Task-specific coded evidence</x:v>
      </x:c>
      <x:c r="W278" s="6" t="str">
        <x:v>p. 1; Abstract.</x:v>
      </x:c>
      <x:c r="X278" s="6" t="str">
        <x:v>we propose a method for constructing cross-layer traceability links for automotive systems.</x:v>
      </x:c>
      <x:c r="Y278" s="6" t="str">
        <x:v>See task-step evidence references in the RQ2 supplement.</x:v>
      </x:c>
      <x:c r="Z278" s="2" t="str">
        <x:v>Accepted</x:v>
      </x:c>
      <x:c r="AA278" s="6" t="str">
        <x:v>NR</x:v>
      </x:c>
    </x:row>
    <x:row r="279" ht="76" customHeight="1">
      <x:c r="A279" s="2" t="str">
        <x:v>S32-T01-P3</x:v>
      </x:c>
      <x:c r="B279" s="2" t="str">
        <x:v>S32</x:v>
      </x:c>
      <x:c r="C279" s="2" t="str">
        <x:v>merged_1220</x:v>
      </x:c>
      <x:c r="D279" s="2" t="str">
        <x:v>Final coding</x:v>
      </x:c>
      <x:c r="E279" s="2" t="str">
        <x:v>R1/R2</x:v>
      </x:c>
      <x:c r="F279" s="2" t="str">
        <x:v>S32-T01-PROC</x:v>
      </x:c>
      <x:c r="G279" s="2" t="str">
        <x:v>S32-T01</x:v>
      </x:c>
      <x:c r="H279" s="2" t="str">
        <x:v>3 Traceability inference</x:v>
      </x:c>
      <x:c r="I279" s="2" t="n">
        <x:v>3</x:v>
      </x:c>
      <x:c r="J279" s="2" t="str">
        <x:v>Common core</x:v>
      </x:c>
      <x:c r="K279" s="2" t="str">
        <x:v>Completed</x:v>
      </x:c>
      <x:c r="L279" s="2" t="str">
        <x:v>Inferred from relation output</x:v>
      </x:c>
      <x:c r="M279" s="2" t="str">
        <x:v>NR</x:v>
      </x:c>
      <x:c r="N279" s="2" t="str">
        <x:v>NR</x:v>
      </x:c>
      <x:c r="O279" s="2" t="str">
        <x:v>NR</x:v>
      </x:c>
      <x:c r="P279" s="6" t="str">
        <x:v>NR</x:v>
      </x:c>
      <x:c r="Q279" s="2" t="str">
        <x:v>NR</x:v>
      </x:c>
      <x:c r="R279" s="6" t="str">
        <x:v>通过信号匹配和依赖路径分析生成从系统级到组件级的映射关系集合。</x:v>
      </x:c>
      <x:c r="S279" s="2" t="str">
        <x:v>NR</x:v>
      </x:c>
      <x:c r="T279" s="2" t="str">
        <x:v>NR</x:v>
      </x:c>
      <x:c r="U279" s="2" t="str">
        <x:v>NR</x:v>
      </x:c>
      <x:c r="V279" s="6" t="str">
        <x:v>Task-specific coded evidence</x:v>
      </x:c>
      <x:c r="W279" s="6" t="str">
        <x:v>p. 1; Abstract.</x:v>
      </x:c>
      <x:c r="X279" s="6" t="str">
        <x:v>we propose a method for constructing cross-layer traceability links for automotive systems.</x:v>
      </x:c>
      <x:c r="Y279" s="6" t="str">
        <x:v>See task-step evidence references in the RQ2 supplement.</x:v>
      </x:c>
      <x:c r="Z279" s="2" t="str">
        <x:v>Accepted</x:v>
      </x:c>
      <x:c r="AA279" s="6" t="str">
        <x:v>NR</x:v>
      </x:c>
    </x:row>
    <x:row r="280" ht="76" customHeight="1">
      <x:c r="A280" s="2" t="str">
        <x:v>S32-T01-P4</x:v>
      </x:c>
      <x:c r="B280" s="2" t="str">
        <x:v>S32</x:v>
      </x:c>
      <x:c r="C280" s="2" t="str">
        <x:v>merged_1220</x:v>
      </x:c>
      <x:c r="D280" s="2" t="str">
        <x:v>Final coding</x:v>
      </x:c>
      <x:c r="E280" s="2" t="str">
        <x:v>R1/R2</x:v>
      </x:c>
      <x:c r="F280" s="2" t="str">
        <x:v>S32-T01-PROC</x:v>
      </x:c>
      <x:c r="G280" s="2" t="str">
        <x:v>S32-T01</x:v>
      </x:c>
      <x:c r="H280" s="2" t="str">
        <x:v>4 Validation and explanation</x:v>
      </x:c>
      <x:c r="I280" s="2" t="n">
        <x:v>4</x:v>
      </x:c>
      <x:c r="J280" s="2" t="str">
        <x:v>Common core</x:v>
      </x:c>
      <x:c r="K280" s="2" t="str">
        <x:v>Completed</x:v>
      </x:c>
      <x:c r="L280" s="2" t="str">
        <x:v>Not separately reported</x:v>
      </x:c>
      <x:c r="M280" s="2" t="str">
        <x:v>NR</x:v>
      </x:c>
      <x:c r="N280" s="2" t="str">
        <x:v>NR</x:v>
      </x:c>
      <x:c r="O280" s="2" t="str">
        <x:v>NR</x:v>
      </x:c>
      <x:c r="P280" s="6" t="str">
        <x:v>NR</x:v>
      </x:c>
      <x:c r="Q280" s="2" t="str">
        <x:v>NR</x:v>
      </x:c>
      <x:c r="R280" s="6" t="str">
        <x:v>NR</x:v>
      </x:c>
      <x:c r="S280" s="2" t="str">
        <x:v>NR</x:v>
      </x:c>
      <x:c r="T280" s="2" t="str">
        <x:v>NR</x:v>
      </x:c>
      <x:c r="U280" s="2" t="str">
        <x:v>NR</x:v>
      </x:c>
      <x:c r="V280" s="6" t="str">
        <x:v>Task-specific coded evidence</x:v>
      </x:c>
      <x:c r="W280" s="6" t="str">
        <x:v>p. 1; Abstract.</x:v>
      </x:c>
      <x:c r="X280" s="6" t="str">
        <x:v>we propose a method for constructing cross-layer traceability links for automotive systems.</x:v>
      </x:c>
      <x:c r="Y280" s="6" t="str">
        <x:v>See task-step evidence references in the RQ2 supplement.</x:v>
      </x:c>
      <x:c r="Z280" s="2" t="str">
        <x:v>Accepted</x:v>
      </x:c>
      <x:c r="AA280" s="6" t="str">
        <x:v>NR</x:v>
      </x:c>
    </x:row>
    <x:row r="281" ht="76" customHeight="1">
      <x:c r="A281" s="2" t="str">
        <x:v>S32-T01-P5</x:v>
      </x:c>
      <x:c r="B281" s="2" t="str">
        <x:v>S32</x:v>
      </x:c>
      <x:c r="C281" s="2" t="str">
        <x:v>merged_1220</x:v>
      </x:c>
      <x:c r="D281" s="2" t="str">
        <x:v>Final coding</x:v>
      </x:c>
      <x:c r="E281" s="2" t="str">
        <x:v>R1/R2</x:v>
      </x:c>
      <x:c r="F281" s="2" t="str">
        <x:v>S32-T01-PROC</x:v>
      </x:c>
      <x:c r="G281" s="2" t="str">
        <x:v>S32-T01</x:v>
      </x:c>
      <x:c r="H281" s="2" t="str">
        <x:v>5 Evolution and embedding</x:v>
      </x:c>
      <x:c r="I281" s="2" t="n">
        <x:v>5</x:v>
      </x:c>
      <x:c r="J281" s="2" t="str">
        <x:v>Common core</x:v>
      </x:c>
      <x:c r="K281" s="2" t="str">
        <x:v>Completed</x:v>
      </x:c>
      <x:c r="L281" s="2" t="str">
        <x:v>Not separately reported</x:v>
      </x:c>
      <x:c r="M281" s="2" t="str">
        <x:v>NR</x:v>
      </x:c>
      <x:c r="N281" s="2" t="str">
        <x:v>NR</x:v>
      </x:c>
      <x:c r="O281" s="2" t="str">
        <x:v>NR</x:v>
      </x:c>
      <x:c r="P281" s="6" t="str">
        <x:v>NR</x:v>
      </x:c>
      <x:c r="Q281" s="2" t="str">
        <x:v>NR</x:v>
      </x:c>
      <x:c r="R281" s="6" t="str">
        <x:v>NR</x:v>
      </x:c>
      <x:c r="S281" s="2" t="str">
        <x:v>NR</x:v>
      </x:c>
      <x:c r="T281" s="2" t="str">
        <x:v>NR</x:v>
      </x:c>
      <x:c r="U281" s="2" t="str">
        <x:v>NR</x:v>
      </x:c>
      <x:c r="V281" s="6" t="str">
        <x:v>Task-specific coded evidence</x:v>
      </x:c>
      <x:c r="W281" s="6" t="str">
        <x:v>p. 1; Abstract.</x:v>
      </x:c>
      <x:c r="X281" s="6" t="str">
        <x:v>we propose a method for constructing cross-layer traceability links for automotive systems.</x:v>
      </x:c>
      <x:c r="Y281" s="6" t="str">
        <x:v>See task-step evidence references in the RQ2 supplement.</x:v>
      </x:c>
      <x:c r="Z281" s="2" t="str">
        <x:v>Accepted</x:v>
      </x:c>
      <x:c r="AA281" s="6" t="str">
        <x:v>NR</x:v>
      </x:c>
    </x:row>
    <x:row r="282" ht="76" customHeight="1">
      <x:c r="A282" s="2" t="str">
        <x:v>S33-T01-P1</x:v>
      </x:c>
      <x:c r="B282" s="2" t="str">
        <x:v>S33</x:v>
      </x:c>
      <x:c r="C282" s="2" t="str">
        <x:v>merged_1222</x:v>
      </x:c>
      <x:c r="D282" s="2" t="str">
        <x:v>Final coding</x:v>
      </x:c>
      <x:c r="E282" s="2" t="str">
        <x:v>R1/R2</x:v>
      </x:c>
      <x:c r="F282" s="2" t="str">
        <x:v>S33-T01-PROC</x:v>
      </x:c>
      <x:c r="G282" s="2" t="str">
        <x:v>S33-T01</x:v>
      </x:c>
      <x:c r="H282" s="2" t="str">
        <x:v>1 Artifact acquisition and scoping</x:v>
      </x:c>
      <x:c r="I282" s="2" t="n">
        <x:v>1</x:v>
      </x:c>
      <x:c r="J282" s="2" t="str">
        <x:v>Common core</x:v>
      </x:c>
      <x:c r="K282" s="2" t="str">
        <x:v>Completed</x:v>
      </x:c>
      <x:c r="L282" s="2" t="str">
        <x:v>Explicitly evidenced</x:v>
      </x:c>
      <x:c r="M282" s="2" t="str">
        <x:v>NR</x:v>
      </x:c>
      <x:c r="N282" s="2" t="str">
        <x:v>NR</x:v>
      </x:c>
      <x:c r="O282" s="2" t="str">
        <x:v>NR</x:v>
      </x:c>
      <x:c r="P282" s="6" t="str">
        <x:v>NR</x:v>
      </x:c>
      <x:c r="Q282" s="2" t="str">
        <x:v>1 Artifact acquisition and scoping</x:v>
      </x:c>
      <x:c r="R282" s="6" t="str">
        <x:v>NR</x:v>
      </x:c>
      <x:c r="S282" s="2" t="str">
        <x:v>NR</x:v>
      </x:c>
      <x:c r="T282" s="2" t="str">
        <x:v>NR</x:v>
      </x:c>
      <x:c r="U282" s="2" t="str">
        <x:v>NR</x:v>
      </x:c>
      <x:c r="V282" s="6" t="str">
        <x:v>Task-specific coded evidence</x:v>
      </x:c>
      <x:c r="W282" s="6" t="str">
        <x:v>p. 3; Section III-A</x:v>
      </x:c>
      <x:c r="X282" s="6" t="str">
        <x:v>The LLM's task is to evaluate how well the requirement aligns with the provided code. This evaluation is represented by a score ranging from 0 to 10, where 0 indicates no alignment, and 10 signifies a perfect match.</x:v>
      </x:c>
      <x:c r="Y282" s="6" t="str">
        <x:v>See task-step evidence references in the RQ2 supplement.</x:v>
      </x:c>
      <x:c r="Z282" s="2" t="str">
        <x:v>Accepted</x:v>
      </x:c>
      <x:c r="AA282" s="6" t="str">
        <x:v>NR</x:v>
      </x:c>
    </x:row>
    <x:row r="283" ht="76" customHeight="1">
      <x:c r="A283" s="2" t="str">
        <x:v>S33-T01-P2</x:v>
      </x:c>
      <x:c r="B283" s="2" t="str">
        <x:v>S33</x:v>
      </x:c>
      <x:c r="C283" s="2" t="str">
        <x:v>merged_1222</x:v>
      </x:c>
      <x:c r="D283" s="2" t="str">
        <x:v>Final coding</x:v>
      </x:c>
      <x:c r="E283" s="2" t="str">
        <x:v>R1/R2</x:v>
      </x:c>
      <x:c r="F283" s="2" t="str">
        <x:v>S33-T01-PROC</x:v>
      </x:c>
      <x:c r="G283" s="2" t="str">
        <x:v>S33-T01</x:v>
      </x:c>
      <x:c r="H283" s="2" t="str">
        <x:v>2 Semantic contextualization</x:v>
      </x:c>
      <x:c r="I283" s="2" t="n">
        <x:v>2</x:v>
      </x:c>
      <x:c r="J283" s="2" t="str">
        <x:v>Common core</x:v>
      </x:c>
      <x:c r="K283" s="2" t="str">
        <x:v>Completed</x:v>
      </x:c>
      <x:c r="L283" s="2" t="str">
        <x:v>Not separately reported</x:v>
      </x:c>
      <x:c r="M283" s="2" t="str">
        <x:v>NR</x:v>
      </x:c>
      <x:c r="N283" s="2" t="str">
        <x:v>NR</x:v>
      </x:c>
      <x:c r="O283" s="2" t="str">
        <x:v>NR</x:v>
      </x:c>
      <x:c r="P283" s="6" t="str">
        <x:v>NR</x:v>
      </x:c>
      <x:c r="Q283" s="2" t="str">
        <x:v>NR</x:v>
      </x:c>
      <x:c r="R283" s="6" t="str">
        <x:v>NR</x:v>
      </x:c>
      <x:c r="S283" s="2" t="str">
        <x:v>NR</x:v>
      </x:c>
      <x:c r="T283" s="2" t="str">
        <x:v>NR</x:v>
      </x:c>
      <x:c r="U283" s="2" t="str">
        <x:v>NR</x:v>
      </x:c>
      <x:c r="V283" s="6" t="str">
        <x:v>Task-specific coded evidence</x:v>
      </x:c>
      <x:c r="W283" s="6" t="str">
        <x:v>p. 3; Section III-A</x:v>
      </x:c>
      <x:c r="X283" s="6" t="str">
        <x:v>The LLM's task is to evaluate how well the requirement aligns with the provided code. This evaluation is represented by a score ranging from 0 to 10, where 0 indicates no alignment, and 10 signifies a perfect match.</x:v>
      </x:c>
      <x:c r="Y283" s="6" t="str">
        <x:v>See task-step evidence references in the RQ2 supplement.</x:v>
      </x:c>
      <x:c r="Z283" s="2" t="str">
        <x:v>Accepted</x:v>
      </x:c>
      <x:c r="AA283" s="6" t="str">
        <x:v>NR</x:v>
      </x:c>
    </x:row>
    <x:row r="284" ht="76" customHeight="1">
      <x:c r="A284" s="2" t="str">
        <x:v>S33-T01-P3</x:v>
      </x:c>
      <x:c r="B284" s="2" t="str">
        <x:v>S33</x:v>
      </x:c>
      <x:c r="C284" s="2" t="str">
        <x:v>merged_1222</x:v>
      </x:c>
      <x:c r="D284" s="2" t="str">
        <x:v>Final coding</x:v>
      </x:c>
      <x:c r="E284" s="2" t="str">
        <x:v>R1/R2</x:v>
      </x:c>
      <x:c r="F284" s="2" t="str">
        <x:v>S33-T01-PROC</x:v>
      </x:c>
      <x:c r="G284" s="2" t="str">
        <x:v>S33-T01</x:v>
      </x:c>
      <x:c r="H284" s="2" t="str">
        <x:v>3 Traceability inference</x:v>
      </x:c>
      <x:c r="I284" s="2" t="n">
        <x:v>3</x:v>
      </x:c>
      <x:c r="J284" s="2" t="str">
        <x:v>Common core</x:v>
      </x:c>
      <x:c r="K284" s="2" t="str">
        <x:v>Completed</x:v>
      </x:c>
      <x:c r="L284" s="2" t="str">
        <x:v>Explicitly evidenced</x:v>
      </x:c>
      <x:c r="M284" s="2" t="str">
        <x:v>NR</x:v>
      </x:c>
      <x:c r="N284" s="2" t="str">
        <x:v>NR</x:v>
      </x:c>
      <x:c r="O284" s="2" t="str">
        <x:v>NR</x:v>
      </x:c>
      <x:c r="P284" s="6" t="str">
        <x:v>NR</x:v>
      </x:c>
      <x:c r="Q284" s="2" t="str">
        <x:v>3 Traceability inference</x:v>
      </x:c>
      <x:c r="R284" s="6" t="str">
        <x:v>LLM输出相关性评分和/或二值判断，指示是否存在追踪链接。</x:v>
      </x:c>
      <x:c r="S284" s="2" t="str">
        <x:v>NR</x:v>
      </x:c>
      <x:c r="T284" s="2" t="str">
        <x:v>NR</x:v>
      </x:c>
      <x:c r="U284" s="2" t="str">
        <x:v>NR</x:v>
      </x:c>
      <x:c r="V284" s="6" t="str">
        <x:v>Task-specific coded evidence</x:v>
      </x:c>
      <x:c r="W284" s="6" t="str">
        <x:v>p. 3; Section III-A</x:v>
      </x:c>
      <x:c r="X284" s="6" t="str">
        <x:v>The LLM's task is to evaluate how well the requirement aligns with the provided code. This evaluation is represented by a score ranging from 0 to 10, where 0 indicates no alignment, and 10 signifies a perfect match.</x:v>
      </x:c>
      <x:c r="Y284" s="6" t="str">
        <x:v>See task-step evidence references in the RQ2 supplement.</x:v>
      </x:c>
      <x:c r="Z284" s="2" t="str">
        <x:v>Accepted</x:v>
      </x:c>
      <x:c r="AA284" s="6" t="str">
        <x:v>NR</x:v>
      </x:c>
    </x:row>
    <x:row r="285" ht="76" customHeight="1">
      <x:c r="A285" s="2" t="str">
        <x:v>S33-T01-P4</x:v>
      </x:c>
      <x:c r="B285" s="2" t="str">
        <x:v>S33</x:v>
      </x:c>
      <x:c r="C285" s="2" t="str">
        <x:v>merged_1222</x:v>
      </x:c>
      <x:c r="D285" s="2" t="str">
        <x:v>Final coding</x:v>
      </x:c>
      <x:c r="E285" s="2" t="str">
        <x:v>R1/R2</x:v>
      </x:c>
      <x:c r="F285" s="2" t="str">
        <x:v>S33-T01-PROC</x:v>
      </x:c>
      <x:c r="G285" s="2" t="str">
        <x:v>S33-T01</x:v>
      </x:c>
      <x:c r="H285" s="2" t="str">
        <x:v>4 Validation and explanation</x:v>
      </x:c>
      <x:c r="I285" s="2" t="n">
        <x:v>4</x:v>
      </x:c>
      <x:c r="J285" s="2" t="str">
        <x:v>Common core</x:v>
      </x:c>
      <x:c r="K285" s="2" t="str">
        <x:v>Completed</x:v>
      </x:c>
      <x:c r="L285" s="2" t="str">
        <x:v>Not separately reported</x:v>
      </x:c>
      <x:c r="M285" s="2" t="str">
        <x:v>NR</x:v>
      </x:c>
      <x:c r="N285" s="2" t="str">
        <x:v>NR</x:v>
      </x:c>
      <x:c r="O285" s="2" t="str">
        <x:v>NR</x:v>
      </x:c>
      <x:c r="P285" s="6" t="str">
        <x:v>NR</x:v>
      </x:c>
      <x:c r="Q285" s="2" t="str">
        <x:v>NR</x:v>
      </x:c>
      <x:c r="R285" s="6" t="str">
        <x:v>NR</x:v>
      </x:c>
      <x:c r="S285" s="2" t="str">
        <x:v>NR</x:v>
      </x:c>
      <x:c r="T285" s="2" t="str">
        <x:v>NR</x:v>
      </x:c>
      <x:c r="U285" s="2" t="str">
        <x:v>NR</x:v>
      </x:c>
      <x:c r="V285" s="6" t="str">
        <x:v>Task-specific coded evidence</x:v>
      </x:c>
      <x:c r="W285" s="6" t="str">
        <x:v>p. 3; Section III-A</x:v>
      </x:c>
      <x:c r="X285" s="6" t="str">
        <x:v>The LLM's task is to evaluate how well the requirement aligns with the provided code. This evaluation is represented by a score ranging from 0 to 10, where 0 indicates no alignment, and 10 signifies a perfect match.</x:v>
      </x:c>
      <x:c r="Y285" s="6" t="str">
        <x:v>See task-step evidence references in the RQ2 supplement.</x:v>
      </x:c>
      <x:c r="Z285" s="2" t="str">
        <x:v>Accepted</x:v>
      </x:c>
      <x:c r="AA285" s="6" t="str">
        <x:v>NR</x:v>
      </x:c>
    </x:row>
    <x:row r="286" ht="76" customHeight="1">
      <x:c r="A286" s="2" t="str">
        <x:v>S33-T01-P5</x:v>
      </x:c>
      <x:c r="B286" s="2" t="str">
        <x:v>S33</x:v>
      </x:c>
      <x:c r="C286" s="2" t="str">
        <x:v>merged_1222</x:v>
      </x:c>
      <x:c r="D286" s="2" t="str">
        <x:v>Final coding</x:v>
      </x:c>
      <x:c r="E286" s="2" t="str">
        <x:v>R1/R2</x:v>
      </x:c>
      <x:c r="F286" s="2" t="str">
        <x:v>S33-T01-PROC</x:v>
      </x:c>
      <x:c r="G286" s="2" t="str">
        <x:v>S33-T01</x:v>
      </x:c>
      <x:c r="H286" s="2" t="str">
        <x:v>5 Evolution and embedding</x:v>
      </x:c>
      <x:c r="I286" s="2" t="n">
        <x:v>5</x:v>
      </x:c>
      <x:c r="J286" s="2" t="str">
        <x:v>Common core</x:v>
      </x:c>
      <x:c r="K286" s="2" t="str">
        <x:v>Completed</x:v>
      </x:c>
      <x:c r="L286" s="2" t="str">
        <x:v>Explicitly evidenced</x:v>
      </x:c>
      <x:c r="M286" s="2" t="str">
        <x:v>NR</x:v>
      </x:c>
      <x:c r="N286" s="2" t="str">
        <x:v>NR</x:v>
      </x:c>
      <x:c r="O286" s="2" t="str">
        <x:v>NR</x:v>
      </x:c>
      <x:c r="P286" s="6" t="str">
        <x:v>NR</x:v>
      </x:c>
      <x:c r="Q286" s="2" t="str">
        <x:v>5 Evolution and embedding</x:v>
      </x:c>
      <x:c r="R286" s="6" t="str">
        <x:v>NR</x:v>
      </x:c>
      <x:c r="S286" s="2" t="str">
        <x:v>NR</x:v>
      </x:c>
      <x:c r="T286" s="2" t="str">
        <x:v>NR</x:v>
      </x:c>
      <x:c r="U286" s="2" t="str">
        <x:v>NR</x:v>
      </x:c>
      <x:c r="V286" s="6" t="str">
        <x:v>Task-specific coded evidence</x:v>
      </x:c>
      <x:c r="W286" s="6" t="str">
        <x:v>p. 3; Section III-A</x:v>
      </x:c>
      <x:c r="X286" s="6" t="str">
        <x:v>The LLM's task is to evaluate how well the requirement aligns with the provided code. This evaluation is represented by a score ranging from 0 to 10, where 0 indicates no alignment, and 10 signifies a perfect match.</x:v>
      </x:c>
      <x:c r="Y286" s="6" t="str">
        <x:v>See task-step evidence references in the RQ2 supplement.</x:v>
      </x:c>
      <x:c r="Z286" s="2" t="str">
        <x:v>Accepted</x:v>
      </x:c>
      <x:c r="AA286" s="6" t="str">
        <x:v>NR</x:v>
      </x:c>
    </x:row>
    <x:row r="287" ht="76" customHeight="1">
      <x:c r="A287" s="2" t="str">
        <x:v>S34-T01-P1</x:v>
      </x:c>
      <x:c r="B287" s="2" t="str">
        <x:v>S34</x:v>
      </x:c>
      <x:c r="C287" s="2" t="str">
        <x:v>merged_1224-v1</x:v>
      </x:c>
      <x:c r="D287" s="2" t="str">
        <x:v>Final coding</x:v>
      </x:c>
      <x:c r="E287" s="2" t="str">
        <x:v>R1/R2</x:v>
      </x:c>
      <x:c r="F287" s="2" t="str">
        <x:v>S34-T01-PROC</x:v>
      </x:c>
      <x:c r="G287" s="2" t="str">
        <x:v>S34-T01</x:v>
      </x:c>
      <x:c r="H287" s="2" t="str">
        <x:v>1 Artifact acquisition and scoping</x:v>
      </x:c>
      <x:c r="I287" s="2" t="n">
        <x:v>1</x:v>
      </x:c>
      <x:c r="J287" s="2" t="str">
        <x:v>Common core</x:v>
      </x:c>
      <x:c r="K287" s="2" t="str">
        <x:v>Completed</x:v>
      </x:c>
      <x:c r="L287" s="2" t="str">
        <x:v>Not separately reported</x:v>
      </x:c>
      <x:c r="M287" s="2" t="str">
        <x:v>NR</x:v>
      </x:c>
      <x:c r="N287" s="2" t="str">
        <x:v>NR</x:v>
      </x:c>
      <x:c r="O287" s="2" t="str">
        <x:v>NR</x:v>
      </x:c>
      <x:c r="P287" s="6" t="str">
        <x:v>NR</x:v>
      </x:c>
      <x:c r="Q287" s="2" t="str">
        <x:v>NR</x:v>
      </x:c>
      <x:c r="R287" s="6" t="str">
        <x:v>NR</x:v>
      </x:c>
      <x:c r="S287" s="2" t="str">
        <x:v>NR</x:v>
      </x:c>
      <x:c r="T287" s="2" t="str">
        <x:v>NR</x:v>
      </x:c>
      <x:c r="U287" s="2" t="str">
        <x:v>NR</x:v>
      </x:c>
      <x:c r="V287" s="6" t="str">
        <x:v>Task-specific coded evidence</x:v>
      </x:c>
      <x:c r="W287" s="6" t="str">
        <x:v>p. 7; section 3.2</x:v>
      </x:c>
      <x:c r="X287" s="6" t="str">
        <x:v>The LLM was instructed to produce a complete, syntactically valid PlantUML diagram with inline annotations linking each method to its source use case and specific scenario action.</x:v>
      </x:c>
      <x:c r="Y287" s="6" t="str">
        <x:v>See task-step evidence references in the RQ2 supplement.</x:v>
      </x:c>
      <x:c r="Z287" s="2" t="str">
        <x:v>Accepted</x:v>
      </x:c>
      <x:c r="AA287" s="6" t="str">
        <x:v>NR</x:v>
      </x:c>
    </x:row>
    <x:row r="288" ht="76" customHeight="1">
      <x:c r="A288" s="2" t="str">
        <x:v>S34-T01-P2</x:v>
      </x:c>
      <x:c r="B288" s="2" t="str">
        <x:v>S34</x:v>
      </x:c>
      <x:c r="C288" s="2" t="str">
        <x:v>merged_1224-v1</x:v>
      </x:c>
      <x:c r="D288" s="2" t="str">
        <x:v>Final coding</x:v>
      </x:c>
      <x:c r="E288" s="2" t="str">
        <x:v>R1/R2</x:v>
      </x:c>
      <x:c r="F288" s="2" t="str">
        <x:v>S34-T01-PROC</x:v>
      </x:c>
      <x:c r="G288" s="2" t="str">
        <x:v>S34-T01</x:v>
      </x:c>
      <x:c r="H288" s="2" t="str">
        <x:v>2 Semantic contextualization</x:v>
      </x:c>
      <x:c r="I288" s="2" t="n">
        <x:v>2</x:v>
      </x:c>
      <x:c r="J288" s="2" t="str">
        <x:v>Common core</x:v>
      </x:c>
      <x:c r="K288" s="2" t="str">
        <x:v>Completed</x:v>
      </x:c>
      <x:c r="L288" s="2" t="str">
        <x:v>Not separately reported</x:v>
      </x:c>
      <x:c r="M288" s="2" t="str">
        <x:v>NR</x:v>
      </x:c>
      <x:c r="N288" s="2" t="str">
        <x:v>NR</x:v>
      </x:c>
      <x:c r="O288" s="2" t="str">
        <x:v>NR</x:v>
      </x:c>
      <x:c r="P288" s="6" t="str">
        <x:v>NR</x:v>
      </x:c>
      <x:c r="Q288" s="2" t="str">
        <x:v>NR</x:v>
      </x:c>
      <x:c r="R288" s="6" t="str">
        <x:v>NR</x:v>
      </x:c>
      <x:c r="S288" s="2" t="str">
        <x:v>NR</x:v>
      </x:c>
      <x:c r="T288" s="2" t="str">
        <x:v>NR</x:v>
      </x:c>
      <x:c r="U288" s="2" t="str">
        <x:v>NR</x:v>
      </x:c>
      <x:c r="V288" s="6" t="str">
        <x:v>Task-specific coded evidence</x:v>
      </x:c>
      <x:c r="W288" s="6" t="str">
        <x:v>p. 7; section 3.2</x:v>
      </x:c>
      <x:c r="X288" s="6" t="str">
        <x:v>The LLM was instructed to produce a complete, syntactically valid PlantUML diagram with inline annotations linking each method to its source use case and specific scenario action.</x:v>
      </x:c>
      <x:c r="Y288" s="6" t="str">
        <x:v>See task-step evidence references in the RQ2 supplement.</x:v>
      </x:c>
      <x:c r="Z288" s="2" t="str">
        <x:v>Accepted</x:v>
      </x:c>
      <x:c r="AA288" s="6" t="str">
        <x:v>NR</x:v>
      </x:c>
    </x:row>
    <x:row r="289" ht="76" customHeight="1">
      <x:c r="A289" s="2" t="str">
        <x:v>S34-T01-P3</x:v>
      </x:c>
      <x:c r="B289" s="2" t="str">
        <x:v>S34</x:v>
      </x:c>
      <x:c r="C289" s="2" t="str">
        <x:v>merged_1224-v1</x:v>
      </x:c>
      <x:c r="D289" s="2" t="str">
        <x:v>Final coding</x:v>
      </x:c>
      <x:c r="E289" s="2" t="str">
        <x:v>R1/R2</x:v>
      </x:c>
      <x:c r="F289" s="2" t="str">
        <x:v>S34-T01-PROC</x:v>
      </x:c>
      <x:c r="G289" s="2" t="str">
        <x:v>S34-T01</x:v>
      </x:c>
      <x:c r="H289" s="2" t="str">
        <x:v>3 Traceability inference</x:v>
      </x:c>
      <x:c r="I289" s="2" t="n">
        <x:v>3</x:v>
      </x:c>
      <x:c r="J289" s="2" t="str">
        <x:v>Common core</x:v>
      </x:c>
      <x:c r="K289" s="2" t="str">
        <x:v>Completed</x:v>
      </x:c>
      <x:c r="L289" s="2" t="str">
        <x:v>Explicitly evidenced</x:v>
      </x:c>
      <x:c r="M289" s="2" t="str">
        <x:v>NR</x:v>
      </x:c>
      <x:c r="N289" s="2" t="str">
        <x:v>NR</x:v>
      </x:c>
      <x:c r="O289" s="2" t="str">
        <x:v>NR</x:v>
      </x:c>
      <x:c r="P289" s="6" t="str">
        <x:v>NR</x:v>
      </x:c>
      <x:c r="Q289" s="2" t="str">
        <x:v>3 Traceability inference</x:v>
      </x:c>
      <x:c r="R289" s="6" t="str">
        <x:v>PlantUML代码中的注释包含//UCXX和//action:</x:v>
      </x:c>
      <x:c r="S289" s="2" t="str">
        <x:v>NR</x:v>
      </x:c>
      <x:c r="T289" s="2" t="str">
        <x:v>NR</x:v>
      </x:c>
      <x:c r="U289" s="2" t="str">
        <x:v>NR</x:v>
      </x:c>
      <x:c r="V289" s="6" t="str">
        <x:v>Task-specific coded evidence</x:v>
      </x:c>
      <x:c r="W289" s="6" t="str">
        <x:v>p. 7; section 3.2</x:v>
      </x:c>
      <x:c r="X289" s="6" t="str">
        <x:v>The LLM was instructed to produce a complete, syntactically valid PlantUML diagram with inline annotations linking each method to its source use case and specific scenario action.</x:v>
      </x:c>
      <x:c r="Y289" s="6" t="str">
        <x:v>See task-step evidence references in the RQ2 supplement.</x:v>
      </x:c>
      <x:c r="Z289" s="2" t="str">
        <x:v>Accepted</x:v>
      </x:c>
      <x:c r="AA289" s="6" t="str">
        <x:v>NR</x:v>
      </x:c>
    </x:row>
    <x:row r="290" ht="76" customHeight="1">
      <x:c r="A290" s="2" t="str">
        <x:v>S34-T01-P4</x:v>
      </x:c>
      <x:c r="B290" s="2" t="str">
        <x:v>S34</x:v>
      </x:c>
      <x:c r="C290" s="2" t="str">
        <x:v>merged_1224-v1</x:v>
      </x:c>
      <x:c r="D290" s="2" t="str">
        <x:v>Final coding</x:v>
      </x:c>
      <x:c r="E290" s="2" t="str">
        <x:v>R1/R2</x:v>
      </x:c>
      <x:c r="F290" s="2" t="str">
        <x:v>S34-T01-PROC</x:v>
      </x:c>
      <x:c r="G290" s="2" t="str">
        <x:v>S34-T01</x:v>
      </x:c>
      <x:c r="H290" s="2" t="str">
        <x:v>4 Validation and explanation</x:v>
      </x:c>
      <x:c r="I290" s="2" t="n">
        <x:v>4</x:v>
      </x:c>
      <x:c r="J290" s="2" t="str">
        <x:v>Common core</x:v>
      </x:c>
      <x:c r="K290" s="2" t="str">
        <x:v>Completed</x:v>
      </x:c>
      <x:c r="L290" s="2" t="str">
        <x:v>Not separately reported</x:v>
      </x:c>
      <x:c r="M290" s="2" t="str">
        <x:v>NR</x:v>
      </x:c>
      <x:c r="N290" s="2" t="str">
        <x:v>NR</x:v>
      </x:c>
      <x:c r="O290" s="2" t="str">
        <x:v>NR</x:v>
      </x:c>
      <x:c r="P290" s="6" t="str">
        <x:v>NR</x:v>
      </x:c>
      <x:c r="Q290" s="2" t="str">
        <x:v>NR</x:v>
      </x:c>
      <x:c r="R290" s="6" t="str">
        <x:v>NR</x:v>
      </x:c>
      <x:c r="S290" s="2" t="str">
        <x:v>NR</x:v>
      </x:c>
      <x:c r="T290" s="2" t="str">
        <x:v>NR</x:v>
      </x:c>
      <x:c r="U290" s="2" t="str">
        <x:v>NR</x:v>
      </x:c>
      <x:c r="V290" s="6" t="str">
        <x:v>Task-specific coded evidence</x:v>
      </x:c>
      <x:c r="W290" s="6" t="str">
        <x:v>p. 7; section 3.2</x:v>
      </x:c>
      <x:c r="X290" s="6" t="str">
        <x:v>The LLM was instructed to produce a complete, syntactically valid PlantUML diagram with inline annotations linking each method to its source use case and specific scenario action.</x:v>
      </x:c>
      <x:c r="Y290" s="6" t="str">
        <x:v>See task-step evidence references in the RQ2 supplement.</x:v>
      </x:c>
      <x:c r="Z290" s="2" t="str">
        <x:v>Accepted</x:v>
      </x:c>
      <x:c r="AA290" s="6" t="str">
        <x:v>NR</x:v>
      </x:c>
    </x:row>
    <x:row r="291" ht="76" customHeight="1">
      <x:c r="A291" s="2" t="str">
        <x:v>S34-T01-P5</x:v>
      </x:c>
      <x:c r="B291" s="2" t="str">
        <x:v>S34</x:v>
      </x:c>
      <x:c r="C291" s="2" t="str">
        <x:v>merged_1224-v1</x:v>
      </x:c>
      <x:c r="D291" s="2" t="str">
        <x:v>Final coding</x:v>
      </x:c>
      <x:c r="E291" s="2" t="str">
        <x:v>R1/R2</x:v>
      </x:c>
      <x:c r="F291" s="2" t="str">
        <x:v>S34-T01-PROC</x:v>
      </x:c>
      <x:c r="G291" s="2" t="str">
        <x:v>S34-T01</x:v>
      </x:c>
      <x:c r="H291" s="2" t="str">
        <x:v>5 Evolution and embedding</x:v>
      </x:c>
      <x:c r="I291" s="2" t="n">
        <x:v>5</x:v>
      </x:c>
      <x:c r="J291" s="2" t="str">
        <x:v>Common core</x:v>
      </x:c>
      <x:c r="K291" s="2" t="str">
        <x:v>Completed</x:v>
      </x:c>
      <x:c r="L291" s="2" t="str">
        <x:v>Not separately reported</x:v>
      </x:c>
      <x:c r="M291" s="2" t="str">
        <x:v>NR</x:v>
      </x:c>
      <x:c r="N291" s="2" t="str">
        <x:v>NR</x:v>
      </x:c>
      <x:c r="O291" s="2" t="str">
        <x:v>NR</x:v>
      </x:c>
      <x:c r="P291" s="6" t="str">
        <x:v>NR</x:v>
      </x:c>
      <x:c r="Q291" s="2" t="str">
        <x:v>NR</x:v>
      </x:c>
      <x:c r="R291" s="6" t="str">
        <x:v>NR</x:v>
      </x:c>
      <x:c r="S291" s="2" t="str">
        <x:v>NR</x:v>
      </x:c>
      <x:c r="T291" s="2" t="str">
        <x:v>NR</x:v>
      </x:c>
      <x:c r="U291" s="2" t="str">
        <x:v>NR</x:v>
      </x:c>
      <x:c r="V291" s="6" t="str">
        <x:v>Task-specific coded evidence</x:v>
      </x:c>
      <x:c r="W291" s="6" t="str">
        <x:v>p. 7; section 3.2</x:v>
      </x:c>
      <x:c r="X291" s="6" t="str">
        <x:v>The LLM was instructed to produce a complete, syntactically valid PlantUML diagram with inline annotations linking each method to its source use case and specific scenario action.</x:v>
      </x:c>
      <x:c r="Y291" s="6" t="str">
        <x:v>See task-step evidence references in the RQ2 supplement.</x:v>
      </x:c>
      <x:c r="Z291" s="2" t="str">
        <x:v>Accepted</x:v>
      </x:c>
      <x:c r="AA291" s="6" t="str">
        <x:v>NR</x:v>
      </x:c>
    </x:row>
    <x:row r="292" ht="76" customHeight="1">
      <x:c r="A292" s="2" t="str">
        <x:v>S35-T01-P1</x:v>
      </x:c>
      <x:c r="B292" s="2" t="str">
        <x:v>S35</x:v>
      </x:c>
      <x:c r="C292" s="2" t="str">
        <x:v>merged_1225</x:v>
      </x:c>
      <x:c r="D292" s="2" t="str">
        <x:v>Final coding</x:v>
      </x:c>
      <x:c r="E292" s="2" t="str">
        <x:v>R1/R2</x:v>
      </x:c>
      <x:c r="F292" s="2" t="str">
        <x:v>S35-T01-PROC</x:v>
      </x:c>
      <x:c r="G292" s="2" t="str">
        <x:v>S35-T01</x:v>
      </x:c>
      <x:c r="H292" s="2" t="str">
        <x:v>1 Artifact acquisition and scoping</x:v>
      </x:c>
      <x:c r="I292" s="2" t="n">
        <x:v>1</x:v>
      </x:c>
      <x:c r="J292" s="2" t="str">
        <x:v>Common core</x:v>
      </x:c>
      <x:c r="K292" s="2" t="str">
        <x:v>Completed</x:v>
      </x:c>
      <x:c r="L292" s="2" t="str">
        <x:v>Not separately reported</x:v>
      </x:c>
      <x:c r="M292" s="2" t="str">
        <x:v>NR</x:v>
      </x:c>
      <x:c r="N292" s="2" t="str">
        <x:v>NR</x:v>
      </x:c>
      <x:c r="O292" s="2" t="str">
        <x:v>NR</x:v>
      </x:c>
      <x:c r="P292" s="6" t="str">
        <x:v>NR</x:v>
      </x:c>
      <x:c r="Q292" s="2" t="str">
        <x:v>NR</x:v>
      </x:c>
      <x:c r="R292" s="6" t="str">
        <x:v>NR</x:v>
      </x:c>
      <x:c r="S292" s="2" t="str">
        <x:v>NR</x:v>
      </x:c>
      <x:c r="T292" s="2" t="str">
        <x:v>NR</x:v>
      </x:c>
      <x:c r="U292" s="2" t="str">
        <x:v>NR</x:v>
      </x:c>
      <x:c r="V292" s="6" t="str">
        <x:v>Task-specific coded evidence</x:v>
      </x:c>
      <x:c r="W292" s="6" t="str">
        <x:v>p. 2; Section II</x:v>
      </x:c>
      <x:c r="X292" s="6" t="str">
        <x:v>For each .rb file, we apply two automated trace recovery methods to find the top-matched requirement from the 146 candidates.</x:v>
      </x:c>
      <x:c r="Y292" s="6" t="str">
        <x:v>See task-step evidence references in the RQ2 supplement.</x:v>
      </x:c>
      <x:c r="Z292" s="2" t="str">
        <x:v>Accepted</x:v>
      </x:c>
      <x:c r="AA292" s="6" t="str">
        <x:v>NR</x:v>
      </x:c>
    </x:row>
    <x:row r="293" ht="76" customHeight="1">
      <x:c r="A293" s="2" t="str">
        <x:v>S35-T01-P2</x:v>
      </x:c>
      <x:c r="B293" s="2" t="str">
        <x:v>S35</x:v>
      </x:c>
      <x:c r="C293" s="2" t="str">
        <x:v>merged_1225</x:v>
      </x:c>
      <x:c r="D293" s="2" t="str">
        <x:v>Final coding</x:v>
      </x:c>
      <x:c r="E293" s="2" t="str">
        <x:v>R1/R2</x:v>
      </x:c>
      <x:c r="F293" s="2" t="str">
        <x:v>S35-T01-PROC</x:v>
      </x:c>
      <x:c r="G293" s="2" t="str">
        <x:v>S35-T01</x:v>
      </x:c>
      <x:c r="H293" s="2" t="str">
        <x:v>2 Semantic contextualization</x:v>
      </x:c>
      <x:c r="I293" s="2" t="n">
        <x:v>2</x:v>
      </x:c>
      <x:c r="J293" s="2" t="str">
        <x:v>Common core</x:v>
      </x:c>
      <x:c r="K293" s="2" t="str">
        <x:v>Completed</x:v>
      </x:c>
      <x:c r="L293" s="2" t="str">
        <x:v>Not separately reported</x:v>
      </x:c>
      <x:c r="M293" s="2" t="str">
        <x:v>NR</x:v>
      </x:c>
      <x:c r="N293" s="2" t="str">
        <x:v>NR</x:v>
      </x:c>
      <x:c r="O293" s="2" t="str">
        <x:v>NR</x:v>
      </x:c>
      <x:c r="P293" s="6" t="str">
        <x:v>NR</x:v>
      </x:c>
      <x:c r="Q293" s="2" t="str">
        <x:v>NR</x:v>
      </x:c>
      <x:c r="R293" s="6" t="str">
        <x:v>NR</x:v>
      </x:c>
      <x:c r="S293" s="2" t="str">
        <x:v>NR</x:v>
      </x:c>
      <x:c r="T293" s="2" t="str">
        <x:v>NR</x:v>
      </x:c>
      <x:c r="U293" s="2" t="str">
        <x:v>NR</x:v>
      </x:c>
      <x:c r="V293" s="6" t="str">
        <x:v>Task-specific coded evidence</x:v>
      </x:c>
      <x:c r="W293" s="6" t="str">
        <x:v>p. 2; Section II</x:v>
      </x:c>
      <x:c r="X293" s="6" t="str">
        <x:v>For each .rb file, we apply two automated trace recovery methods to find the top-matched requirement from the 146 candidates.</x:v>
      </x:c>
      <x:c r="Y293" s="6" t="str">
        <x:v>See task-step evidence references in the RQ2 supplement.</x:v>
      </x:c>
      <x:c r="Z293" s="2" t="str">
        <x:v>Accepted</x:v>
      </x:c>
      <x:c r="AA293" s="6" t="str">
        <x:v>NR</x:v>
      </x:c>
    </x:row>
    <x:row r="294" ht="76" customHeight="1">
      <x:c r="A294" s="2" t="str">
        <x:v>S35-T01-P3</x:v>
      </x:c>
      <x:c r="B294" s="2" t="str">
        <x:v>S35</x:v>
      </x:c>
      <x:c r="C294" s="2" t="str">
        <x:v>merged_1225</x:v>
      </x:c>
      <x:c r="D294" s="2" t="str">
        <x:v>Final coding</x:v>
      </x:c>
      <x:c r="E294" s="2" t="str">
        <x:v>R1/R2</x:v>
      </x:c>
      <x:c r="F294" s="2" t="str">
        <x:v>S35-T01-PROC</x:v>
      </x:c>
      <x:c r="G294" s="2" t="str">
        <x:v>S35-T01</x:v>
      </x:c>
      <x:c r="H294" s="2" t="str">
        <x:v>3 Traceability inference</x:v>
      </x:c>
      <x:c r="I294" s="2" t="n">
        <x:v>3</x:v>
      </x:c>
      <x:c r="J294" s="2" t="str">
        <x:v>Common core</x:v>
      </x:c>
      <x:c r="K294" s="2" t="str">
        <x:v>Completed</x:v>
      </x:c>
      <x:c r="L294" s="2" t="str">
        <x:v>Inferred from relation output</x:v>
      </x:c>
      <x:c r="M294" s="2" t="str">
        <x:v>NR</x:v>
      </x:c>
      <x:c r="N294" s="2" t="str">
        <x:v>NR</x:v>
      </x:c>
      <x:c r="O294" s="2" t="str">
        <x:v>NR</x:v>
      </x:c>
      <x:c r="P294" s="6" t="str">
        <x:v>NR</x:v>
      </x:c>
      <x:c r="Q294" s="2" t="str">
        <x:v>NR</x:v>
      </x:c>
      <x:c r="R294" s="6" t="str">
        <x:v>每个.rb文件获得一个最佳匹配的需求ID</x:v>
      </x:c>
      <x:c r="S294" s="2" t="str">
        <x:v>NR</x:v>
      </x:c>
      <x:c r="T294" s="2" t="str">
        <x:v>NR</x:v>
      </x:c>
      <x:c r="U294" s="2" t="str">
        <x:v>NR</x:v>
      </x:c>
      <x:c r="V294" s="6" t="str">
        <x:v>Task-specific coded evidence</x:v>
      </x:c>
      <x:c r="W294" s="6" t="str">
        <x:v>p. 2; Section II</x:v>
      </x:c>
      <x:c r="X294" s="6" t="str">
        <x:v>For each .rb file, we apply two automated trace recovery methods to find the top-matched requirement from the 146 candidates.</x:v>
      </x:c>
      <x:c r="Y294" s="6" t="str">
        <x:v>See task-step evidence references in the RQ2 supplement.</x:v>
      </x:c>
      <x:c r="Z294" s="2" t="str">
        <x:v>Accepted</x:v>
      </x:c>
      <x:c r="AA294" s="6" t="str">
        <x:v>NR</x:v>
      </x:c>
    </x:row>
    <x:row r="295" ht="76" customHeight="1">
      <x:c r="A295" s="2" t="str">
        <x:v>S35-T01-P4</x:v>
      </x:c>
      <x:c r="B295" s="2" t="str">
        <x:v>S35</x:v>
      </x:c>
      <x:c r="C295" s="2" t="str">
        <x:v>merged_1225</x:v>
      </x:c>
      <x:c r="D295" s="2" t="str">
        <x:v>Final coding</x:v>
      </x:c>
      <x:c r="E295" s="2" t="str">
        <x:v>R1/R2</x:v>
      </x:c>
      <x:c r="F295" s="2" t="str">
        <x:v>S35-T01-PROC</x:v>
      </x:c>
      <x:c r="G295" s="2" t="str">
        <x:v>S35-T01</x:v>
      </x:c>
      <x:c r="H295" s="2" t="str">
        <x:v>4 Validation and explanation</x:v>
      </x:c>
      <x:c r="I295" s="2" t="n">
        <x:v>4</x:v>
      </x:c>
      <x:c r="J295" s="2" t="str">
        <x:v>Common core</x:v>
      </x:c>
      <x:c r="K295" s="2" t="str">
        <x:v>Completed</x:v>
      </x:c>
      <x:c r="L295" s="2" t="str">
        <x:v>Not separately reported</x:v>
      </x:c>
      <x:c r="M295" s="2" t="str">
        <x:v>NR</x:v>
      </x:c>
      <x:c r="N295" s="2" t="str">
        <x:v>NR</x:v>
      </x:c>
      <x:c r="O295" s="2" t="str">
        <x:v>NR</x:v>
      </x:c>
      <x:c r="P295" s="6" t="str">
        <x:v>NR</x:v>
      </x:c>
      <x:c r="Q295" s="2" t="str">
        <x:v>NR</x:v>
      </x:c>
      <x:c r="R295" s="6" t="str">
        <x:v>NR</x:v>
      </x:c>
      <x:c r="S295" s="2" t="str">
        <x:v>NR</x:v>
      </x:c>
      <x:c r="T295" s="2" t="str">
        <x:v>NR</x:v>
      </x:c>
      <x:c r="U295" s="2" t="str">
        <x:v>NR</x:v>
      </x:c>
      <x:c r="V295" s="6" t="str">
        <x:v>Task-specific coded evidence</x:v>
      </x:c>
      <x:c r="W295" s="6" t="str">
        <x:v>p. 2; Section II</x:v>
      </x:c>
      <x:c r="X295" s="6" t="str">
        <x:v>For each .rb file, we apply two automated trace recovery methods to find the top-matched requirement from the 146 candidates.</x:v>
      </x:c>
      <x:c r="Y295" s="6" t="str">
        <x:v>See task-step evidence references in the RQ2 supplement.</x:v>
      </x:c>
      <x:c r="Z295" s="2" t="str">
        <x:v>Accepted</x:v>
      </x:c>
      <x:c r="AA295" s="6" t="str">
        <x:v>NR</x:v>
      </x:c>
    </x:row>
    <x:row r="296" ht="76" customHeight="1">
      <x:c r="A296" s="2" t="str">
        <x:v>S35-T01-P5</x:v>
      </x:c>
      <x:c r="B296" s="2" t="str">
        <x:v>S35</x:v>
      </x:c>
      <x:c r="C296" s="2" t="str">
        <x:v>merged_1225</x:v>
      </x:c>
      <x:c r="D296" s="2" t="str">
        <x:v>Final coding</x:v>
      </x:c>
      <x:c r="E296" s="2" t="str">
        <x:v>R1/R2</x:v>
      </x:c>
      <x:c r="F296" s="2" t="str">
        <x:v>S35-T01-PROC</x:v>
      </x:c>
      <x:c r="G296" s="2" t="str">
        <x:v>S35-T01</x:v>
      </x:c>
      <x:c r="H296" s="2" t="str">
        <x:v>5 Evolution and embedding</x:v>
      </x:c>
      <x:c r="I296" s="2" t="n">
        <x:v>5</x:v>
      </x:c>
      <x:c r="J296" s="2" t="str">
        <x:v>Common core</x:v>
      </x:c>
      <x:c r="K296" s="2" t="str">
        <x:v>Completed</x:v>
      </x:c>
      <x:c r="L296" s="2" t="str">
        <x:v>Not separately reported</x:v>
      </x:c>
      <x:c r="M296" s="2" t="str">
        <x:v>NR</x:v>
      </x:c>
      <x:c r="N296" s="2" t="str">
        <x:v>NR</x:v>
      </x:c>
      <x:c r="O296" s="2" t="str">
        <x:v>NR</x:v>
      </x:c>
      <x:c r="P296" s="6" t="str">
        <x:v>NR</x:v>
      </x:c>
      <x:c r="Q296" s="2" t="str">
        <x:v>NR</x:v>
      </x:c>
      <x:c r="R296" s="6" t="str">
        <x:v>NR</x:v>
      </x:c>
      <x:c r="S296" s="2" t="str">
        <x:v>NR</x:v>
      </x:c>
      <x:c r="T296" s="2" t="str">
        <x:v>NR</x:v>
      </x:c>
      <x:c r="U296" s="2" t="str">
        <x:v>NR</x:v>
      </x:c>
      <x:c r="V296" s="6" t="str">
        <x:v>Task-specific coded evidence</x:v>
      </x:c>
      <x:c r="W296" s="6" t="str">
        <x:v>p. 2; Section II</x:v>
      </x:c>
      <x:c r="X296" s="6" t="str">
        <x:v>For each .rb file, we apply two automated trace recovery methods to find the top-matched requirement from the 146 candidates.</x:v>
      </x:c>
      <x:c r="Y296" s="6" t="str">
        <x:v>See task-step evidence references in the RQ2 supplement.</x:v>
      </x:c>
      <x:c r="Z296" s="2" t="str">
        <x:v>Accepted</x:v>
      </x:c>
      <x:c r="AA296" s="6" t="str">
        <x:v>NR</x:v>
      </x:c>
    </x:row>
    <x:row r="297" ht="76" customHeight="1">
      <x:c r="A297" s="2" t="str">
        <x:v>S35-T02-P1</x:v>
      </x:c>
      <x:c r="B297" s="2" t="str">
        <x:v>S35</x:v>
      </x:c>
      <x:c r="C297" s="2" t="str">
        <x:v>merged_1225</x:v>
      </x:c>
      <x:c r="D297" s="2" t="str">
        <x:v>Final coding</x:v>
      </x:c>
      <x:c r="E297" s="2" t="str">
        <x:v>R1/R2</x:v>
      </x:c>
      <x:c r="F297" s="2" t="str">
        <x:v>S35-T02-PROC</x:v>
      </x:c>
      <x:c r="G297" s="2" t="str">
        <x:v>S35-T02</x:v>
      </x:c>
      <x:c r="H297" s="2" t="str">
        <x:v>1 Artifact acquisition and scoping</x:v>
      </x:c>
      <x:c r="I297" s="2" t="n">
        <x:v>1</x:v>
      </x:c>
      <x:c r="J297" s="2" t="str">
        <x:v>Common core</x:v>
      </x:c>
      <x:c r="K297" s="2" t="str">
        <x:v>Completed</x:v>
      </x:c>
      <x:c r="L297" s="2" t="str">
        <x:v>Not separately reported</x:v>
      </x:c>
      <x:c r="M297" s="2" t="str">
        <x:v>NR</x:v>
      </x:c>
      <x:c r="N297" s="2" t="str">
        <x:v>NR</x:v>
      </x:c>
      <x:c r="O297" s="2" t="str">
        <x:v>NR</x:v>
      </x:c>
      <x:c r="P297" s="6" t="str">
        <x:v>NR</x:v>
      </x:c>
      <x:c r="Q297" s="2" t="str">
        <x:v>NR</x:v>
      </x:c>
      <x:c r="R297" s="6" t="str">
        <x:v>NR</x:v>
      </x:c>
      <x:c r="S297" s="2" t="str">
        <x:v>NR</x:v>
      </x:c>
      <x:c r="T297" s="2" t="str">
        <x:v>NR</x:v>
      </x:c>
      <x:c r="U297" s="2" t="str">
        <x:v>NR</x:v>
      </x:c>
      <x:c r="V297" s="6" t="str">
        <x:v>Task-specific coded evidence</x:v>
      </x:c>
      <x:c r="W297" s="6" t="str">
        <x:v>p. 3; Section II</x:v>
      </x:c>
      <x:c r="X297" s="6" t="str">
        <x:v>we investigate the potential of OpenAI’s ChatGPT—a prominent large language model—in generating the textual description of the feature tested by an .rb file. We exploit gpt-3.5-turbo [24] and experiment two prompts.</x:v>
      </x:c>
      <x:c r="Y297" s="6" t="str">
        <x:v>See task-step evidence references in the RQ2 supplement.</x:v>
      </x:c>
      <x:c r="Z297" s="2" t="str">
        <x:v>Accepted</x:v>
      </x:c>
      <x:c r="AA297" s="6" t="str">
        <x:v>NR</x:v>
      </x:c>
    </x:row>
    <x:row r="298" ht="76" customHeight="1">
      <x:c r="A298" s="2" t="str">
        <x:v>S35-T02-P2</x:v>
      </x:c>
      <x:c r="B298" s="2" t="str">
        <x:v>S35</x:v>
      </x:c>
      <x:c r="C298" s="2" t="str">
        <x:v>merged_1225</x:v>
      </x:c>
      <x:c r="D298" s="2" t="str">
        <x:v>Final coding</x:v>
      </x:c>
      <x:c r="E298" s="2" t="str">
        <x:v>R1/R2</x:v>
      </x:c>
      <x:c r="F298" s="2" t="str">
        <x:v>S35-T02-PROC</x:v>
      </x:c>
      <x:c r="G298" s="2" t="str">
        <x:v>S35-T02</x:v>
      </x:c>
      <x:c r="H298" s="2" t="str">
        <x:v>2 Semantic contextualization</x:v>
      </x:c>
      <x:c r="I298" s="2" t="n">
        <x:v>2</x:v>
      </x:c>
      <x:c r="J298" s="2" t="str">
        <x:v>Common core</x:v>
      </x:c>
      <x:c r="K298" s="2" t="str">
        <x:v>Completed</x:v>
      </x:c>
      <x:c r="L298" s="2" t="str">
        <x:v>Explicitly evidenced</x:v>
      </x:c>
      <x:c r="M298" s="2" t="str">
        <x:v>NR</x:v>
      </x:c>
      <x:c r="N298" s="2" t="str">
        <x:v>NR</x:v>
      </x:c>
      <x:c r="O298" s="2" t="str">
        <x:v>NR</x:v>
      </x:c>
      <x:c r="P298" s="6" t="str">
        <x:v>NR</x:v>
      </x:c>
      <x:c r="Q298" s="2" t="str">
        <x:v>2 Semantic contextualization</x:v>
      </x:c>
      <x:c r="R298" s="6" t="str">
        <x:v>NR</x:v>
      </x:c>
      <x:c r="S298" s="2" t="str">
        <x:v>NR</x:v>
      </x:c>
      <x:c r="T298" s="2" t="str">
        <x:v>NR</x:v>
      </x:c>
      <x:c r="U298" s="2" t="str">
        <x:v>NR</x:v>
      </x:c>
      <x:c r="V298" s="6" t="str">
        <x:v>Task-specific coded evidence</x:v>
      </x:c>
      <x:c r="W298" s="6" t="str">
        <x:v>p. 3; Section II</x:v>
      </x:c>
      <x:c r="X298" s="6" t="str">
        <x:v>we investigate the potential of OpenAI’s ChatGPT—a prominent large language model—in generating the textual description of the feature tested by an .rb file. We exploit gpt-3.5-turbo [24] and experiment two prompts.</x:v>
      </x:c>
      <x:c r="Y298" s="6" t="str">
        <x:v>See task-step evidence references in the RQ2 supplement.</x:v>
      </x:c>
      <x:c r="Z298" s="2" t="str">
        <x:v>Accepted</x:v>
      </x:c>
      <x:c r="AA298" s="6" t="str">
        <x:v>NR</x:v>
      </x:c>
    </x:row>
    <x:row r="299" ht="76" customHeight="1">
      <x:c r="A299" s="2" t="str">
        <x:v>S35-T02-P3</x:v>
      </x:c>
      <x:c r="B299" s="2" t="str">
        <x:v>S35</x:v>
      </x:c>
      <x:c r="C299" s="2" t="str">
        <x:v>merged_1225</x:v>
      </x:c>
      <x:c r="D299" s="2" t="str">
        <x:v>Final coding</x:v>
      </x:c>
      <x:c r="E299" s="2" t="str">
        <x:v>R1/R2</x:v>
      </x:c>
      <x:c r="F299" s="2" t="str">
        <x:v>S35-T02-PROC</x:v>
      </x:c>
      <x:c r="G299" s="2" t="str">
        <x:v>S35-T02</x:v>
      </x:c>
      <x:c r="H299" s="2" t="str">
        <x:v>3 Traceability inference</x:v>
      </x:c>
      <x:c r="I299" s="2" t="n">
        <x:v>3</x:v>
      </x:c>
      <x:c r="J299" s="2" t="str">
        <x:v>Common core</x:v>
      </x:c>
      <x:c r="K299" s="2" t="str">
        <x:v>Completed</x:v>
      </x:c>
      <x:c r="L299" s="2" t="str">
        <x:v>Inferred from relation output</x:v>
      </x:c>
      <x:c r="M299" s="2" t="str">
        <x:v>NR</x:v>
      </x:c>
      <x:c r="N299" s="2" t="str">
        <x:v>NR</x:v>
      </x:c>
      <x:c r="O299" s="2" t="str">
        <x:v>NR</x:v>
      </x:c>
      <x:c r="P299" s="6" t="str">
        <x:v>NR</x:v>
      </x:c>
      <x:c r="Q299" s="2" t="str">
        <x:v>NR</x:v>
      </x:c>
      <x:c r="R299" s="6" t="str">
        <x:v>一段描述该测试所验证功能的自然语言文本</x:v>
      </x:c>
      <x:c r="S299" s="2" t="str">
        <x:v>NR</x:v>
      </x:c>
      <x:c r="T299" s="2" t="str">
        <x:v>NR</x:v>
      </x:c>
      <x:c r="U299" s="2" t="str">
        <x:v>NR</x:v>
      </x:c>
      <x:c r="V299" s="6" t="str">
        <x:v>Task-specific coded evidence</x:v>
      </x:c>
      <x:c r="W299" s="6" t="str">
        <x:v>p. 3; Section II</x:v>
      </x:c>
      <x:c r="X299" s="6" t="str">
        <x:v>we investigate the potential of OpenAI’s ChatGPT—a prominent large language model—in generating the textual description of the feature tested by an .rb file. We exploit gpt-3.5-turbo [24] and experiment two prompts.</x:v>
      </x:c>
      <x:c r="Y299" s="6" t="str">
        <x:v>See task-step evidence references in the RQ2 supplement.</x:v>
      </x:c>
      <x:c r="Z299" s="2" t="str">
        <x:v>Accepted</x:v>
      </x:c>
      <x:c r="AA299" s="6" t="str">
        <x:v>NR</x:v>
      </x:c>
    </x:row>
    <x:row r="300" ht="76" customHeight="1">
      <x:c r="A300" s="2" t="str">
        <x:v>S35-T02-P4</x:v>
      </x:c>
      <x:c r="B300" s="2" t="str">
        <x:v>S35</x:v>
      </x:c>
      <x:c r="C300" s="2" t="str">
        <x:v>merged_1225</x:v>
      </x:c>
      <x:c r="D300" s="2" t="str">
        <x:v>Final coding</x:v>
      </x:c>
      <x:c r="E300" s="2" t="str">
        <x:v>R1/R2</x:v>
      </x:c>
      <x:c r="F300" s="2" t="str">
        <x:v>S35-T02-PROC</x:v>
      </x:c>
      <x:c r="G300" s="2" t="str">
        <x:v>S35-T02</x:v>
      </x:c>
      <x:c r="H300" s="2" t="str">
        <x:v>4 Validation and explanation</x:v>
      </x:c>
      <x:c r="I300" s="2" t="n">
        <x:v>4</x:v>
      </x:c>
      <x:c r="J300" s="2" t="str">
        <x:v>Common core</x:v>
      </x:c>
      <x:c r="K300" s="2" t="str">
        <x:v>Completed</x:v>
      </x:c>
      <x:c r="L300" s="2" t="str">
        <x:v>Not separately reported</x:v>
      </x:c>
      <x:c r="M300" s="2" t="str">
        <x:v>NR</x:v>
      </x:c>
      <x:c r="N300" s="2" t="str">
        <x:v>NR</x:v>
      </x:c>
      <x:c r="O300" s="2" t="str">
        <x:v>NR</x:v>
      </x:c>
      <x:c r="P300" s="6" t="str">
        <x:v>NR</x:v>
      </x:c>
      <x:c r="Q300" s="2" t="str">
        <x:v>NR</x:v>
      </x:c>
      <x:c r="R300" s="6" t="str">
        <x:v>NR</x:v>
      </x:c>
      <x:c r="S300" s="2" t="str">
        <x:v>NR</x:v>
      </x:c>
      <x:c r="T300" s="2" t="str">
        <x:v>NR</x:v>
      </x:c>
      <x:c r="U300" s="2" t="str">
        <x:v>NR</x:v>
      </x:c>
      <x:c r="V300" s="6" t="str">
        <x:v>Task-specific coded evidence</x:v>
      </x:c>
      <x:c r="W300" s="6" t="str">
        <x:v>p. 3; Section II</x:v>
      </x:c>
      <x:c r="X300" s="6" t="str">
        <x:v>we investigate the potential of OpenAI’s ChatGPT—a prominent large language model—in generating the textual description of the feature tested by an .rb file. We exploit gpt-3.5-turbo [24] and experiment two prompts.</x:v>
      </x:c>
      <x:c r="Y300" s="6" t="str">
        <x:v>See task-step evidence references in the RQ2 supplement.</x:v>
      </x:c>
      <x:c r="Z300" s="2" t="str">
        <x:v>Accepted</x:v>
      </x:c>
      <x:c r="AA300" s="6" t="str">
        <x:v>NR</x:v>
      </x:c>
    </x:row>
    <x:row r="301" ht="76" customHeight="1">
      <x:c r="A301" s="2" t="str">
        <x:v>S35-T02-P5</x:v>
      </x:c>
      <x:c r="B301" s="2" t="str">
        <x:v>S35</x:v>
      </x:c>
      <x:c r="C301" s="2" t="str">
        <x:v>merged_1225</x:v>
      </x:c>
      <x:c r="D301" s="2" t="str">
        <x:v>Final coding</x:v>
      </x:c>
      <x:c r="E301" s="2" t="str">
        <x:v>R1/R2</x:v>
      </x:c>
      <x:c r="F301" s="2" t="str">
        <x:v>S35-T02-PROC</x:v>
      </x:c>
      <x:c r="G301" s="2" t="str">
        <x:v>S35-T02</x:v>
      </x:c>
      <x:c r="H301" s="2" t="str">
        <x:v>5 Evolution and embedding</x:v>
      </x:c>
      <x:c r="I301" s="2" t="n">
        <x:v>5</x:v>
      </x:c>
      <x:c r="J301" s="2" t="str">
        <x:v>Common core</x:v>
      </x:c>
      <x:c r="K301" s="2" t="str">
        <x:v>Completed</x:v>
      </x:c>
      <x:c r="L301" s="2" t="str">
        <x:v>Not separately reported</x:v>
      </x:c>
      <x:c r="M301" s="2" t="str">
        <x:v>NR</x:v>
      </x:c>
      <x:c r="N301" s="2" t="str">
        <x:v>NR</x:v>
      </x:c>
      <x:c r="O301" s="2" t="str">
        <x:v>NR</x:v>
      </x:c>
      <x:c r="P301" s="6" t="str">
        <x:v>NR</x:v>
      </x:c>
      <x:c r="Q301" s="2" t="str">
        <x:v>NR</x:v>
      </x:c>
      <x:c r="R301" s="6" t="str">
        <x:v>NR</x:v>
      </x:c>
      <x:c r="S301" s="2" t="str">
        <x:v>NR</x:v>
      </x:c>
      <x:c r="T301" s="2" t="str">
        <x:v>NR</x:v>
      </x:c>
      <x:c r="U301" s="2" t="str">
        <x:v>NR</x:v>
      </x:c>
      <x:c r="V301" s="6" t="str">
        <x:v>Task-specific coded evidence</x:v>
      </x:c>
      <x:c r="W301" s="6" t="str">
        <x:v>p. 3; Section II</x:v>
      </x:c>
      <x:c r="X301" s="6" t="str">
        <x:v>we investigate the potential of OpenAI’s ChatGPT—a prominent large language model—in generating the textual description of the feature tested by an .rb file. We exploit gpt-3.5-turbo [24] and experiment two prompts.</x:v>
      </x:c>
      <x:c r="Y301" s="6" t="str">
        <x:v>See task-step evidence references in the RQ2 supplement.</x:v>
      </x:c>
      <x:c r="Z301" s="2" t="str">
        <x:v>Accepted</x:v>
      </x:c>
      <x:c r="AA301" s="6" t="str">
        <x:v>NR</x:v>
      </x:c>
    </x:row>
    <x:row r="302" ht="76" customHeight="1">
      <x:c r="A302" s="2" t="str">
        <x:v>S36-T01-P1</x:v>
      </x:c>
      <x:c r="B302" s="2" t="str">
        <x:v>S36</x:v>
      </x:c>
      <x:c r="C302" s="2" t="str">
        <x:v>merged_1236</x:v>
      </x:c>
      <x:c r="D302" s="2" t="str">
        <x:v>Final coding</x:v>
      </x:c>
      <x:c r="E302" s="2" t="str">
        <x:v>R1/R2</x:v>
      </x:c>
      <x:c r="F302" s="2" t="str">
        <x:v>S36-T01-PROC</x:v>
      </x:c>
      <x:c r="G302" s="2" t="str">
        <x:v>S36-T01</x:v>
      </x:c>
      <x:c r="H302" s="2" t="str">
        <x:v>1 Artifact acquisition and scoping</x:v>
      </x:c>
      <x:c r="I302" s="2" t="n">
        <x:v>1</x:v>
      </x:c>
      <x:c r="J302" s="2" t="str">
        <x:v>Common core</x:v>
      </x:c>
      <x:c r="K302" s="2" t="str">
        <x:v>Completed</x:v>
      </x:c>
      <x:c r="L302" s="2" t="str">
        <x:v>Explicitly evidenced</x:v>
      </x:c>
      <x:c r="M302" s="2" t="str">
        <x:v>NR</x:v>
      </x:c>
      <x:c r="N302" s="2" t="str">
        <x:v>NR</x:v>
      </x:c>
      <x:c r="O302" s="2" t="str">
        <x:v>NR</x:v>
      </x:c>
      <x:c r="P302" s="6" t="str">
        <x:v>NR</x:v>
      </x:c>
      <x:c r="Q302" s="2" t="str">
        <x:v>1 Artifact acquisition and scoping</x:v>
      </x:c>
      <x:c r="R302" s="6" t="str">
        <x:v>NR</x:v>
      </x:c>
      <x:c r="S302" s="2" t="str">
        <x:v>NR</x:v>
      </x:c>
      <x:c r="T302" s="2" t="str">
        <x:v>NR</x:v>
      </x:c>
      <x:c r="U302" s="2" t="str">
        <x:v>NR</x:v>
      </x:c>
      <x:c r="V302" s="6" t="str">
        <x:v>Task-specific coded evidence</x:v>
      </x:c>
      <x:c r="W302" s="6" t="str">
        <x:v>p. 3; Section III.E</x:v>
      </x:c>
      <x:c r="X302" s="6" t="str">
        <x:v>When a violation is detected, the RAG pipeline retrieves the top-3 most relevant source chunks, providing developers with direct links to the requirements that define the violated rule.</x:v>
      </x:c>
      <x:c r="Y302" s="6" t="str">
        <x:v>See task-step evidence references in the RQ2 supplement.</x:v>
      </x:c>
      <x:c r="Z302" s="2" t="str">
        <x:v>Accepted</x:v>
      </x:c>
      <x:c r="AA302" s="6" t="str">
        <x:v>NR</x:v>
      </x:c>
    </x:row>
    <x:row r="303" ht="76" customHeight="1">
      <x:c r="A303" s="2" t="str">
        <x:v>S36-T01-P2</x:v>
      </x:c>
      <x:c r="B303" s="2" t="str">
        <x:v>S36</x:v>
      </x:c>
      <x:c r="C303" s="2" t="str">
        <x:v>merged_1236</x:v>
      </x:c>
      <x:c r="D303" s="2" t="str">
        <x:v>Final coding</x:v>
      </x:c>
      <x:c r="E303" s="2" t="str">
        <x:v>R1/R2</x:v>
      </x:c>
      <x:c r="F303" s="2" t="str">
        <x:v>S36-T01-PROC</x:v>
      </x:c>
      <x:c r="G303" s="2" t="str">
        <x:v>S36-T01</x:v>
      </x:c>
      <x:c r="H303" s="2" t="str">
        <x:v>2 Semantic contextualization</x:v>
      </x:c>
      <x:c r="I303" s="2" t="n">
        <x:v>2</x:v>
      </x:c>
      <x:c r="J303" s="2" t="str">
        <x:v>Common core</x:v>
      </x:c>
      <x:c r="K303" s="2" t="str">
        <x:v>Completed</x:v>
      </x:c>
      <x:c r="L303" s="2" t="str">
        <x:v>Explicitly evidenced</x:v>
      </x:c>
      <x:c r="M303" s="2" t="str">
        <x:v>NR</x:v>
      </x:c>
      <x:c r="N303" s="2" t="str">
        <x:v>NR</x:v>
      </x:c>
      <x:c r="O303" s="2" t="str">
        <x:v>NR</x:v>
      </x:c>
      <x:c r="P303" s="6" t="str">
        <x:v>NR</x:v>
      </x:c>
      <x:c r="Q303" s="2" t="str">
        <x:v>2 Semantic contextualization</x:v>
      </x:c>
      <x:c r="R303" s="6" t="str">
        <x:v>NR</x:v>
      </x:c>
      <x:c r="S303" s="2" t="str">
        <x:v>NR</x:v>
      </x:c>
      <x:c r="T303" s="2" t="str">
        <x:v>NR</x:v>
      </x:c>
      <x:c r="U303" s="2" t="str">
        <x:v>NR</x:v>
      </x:c>
      <x:c r="V303" s="6" t="str">
        <x:v>Task-specific coded evidence</x:v>
      </x:c>
      <x:c r="W303" s="6" t="str">
        <x:v>p. 3; Section III.E</x:v>
      </x:c>
      <x:c r="X303" s="6" t="str">
        <x:v>When a violation is detected, the RAG pipeline retrieves the top-3 most relevant source chunks, providing developers with direct links to the requirements that define the violated rule.</x:v>
      </x:c>
      <x:c r="Y303" s="6" t="str">
        <x:v>See task-step evidence references in the RQ2 supplement.</x:v>
      </x:c>
      <x:c r="Z303" s="2" t="str">
        <x:v>Accepted</x:v>
      </x:c>
      <x:c r="AA303" s="6" t="str">
        <x:v>NR</x:v>
      </x:c>
    </x:row>
    <x:row r="304" ht="76" customHeight="1">
      <x:c r="A304" s="2" t="str">
        <x:v>S36-T01-P3</x:v>
      </x:c>
      <x:c r="B304" s="2" t="str">
        <x:v>S36</x:v>
      </x:c>
      <x:c r="C304" s="2" t="str">
        <x:v>merged_1236</x:v>
      </x:c>
      <x:c r="D304" s="2" t="str">
        <x:v>Final coding</x:v>
      </x:c>
      <x:c r="E304" s="2" t="str">
        <x:v>R1/R2</x:v>
      </x:c>
      <x:c r="F304" s="2" t="str">
        <x:v>S36-T01-PROC</x:v>
      </x:c>
      <x:c r="G304" s="2" t="str">
        <x:v>S36-T01</x:v>
      </x:c>
      <x:c r="H304" s="2" t="str">
        <x:v>3 Traceability inference</x:v>
      </x:c>
      <x:c r="I304" s="2" t="n">
        <x:v>3</x:v>
      </x:c>
      <x:c r="J304" s="2" t="str">
        <x:v>Common core</x:v>
      </x:c>
      <x:c r="K304" s="2" t="str">
        <x:v>Completed</x:v>
      </x:c>
      <x:c r="L304" s="2" t="str">
        <x:v>Inferred from relation output</x:v>
      </x:c>
      <x:c r="M304" s="2" t="str">
        <x:v>NR</x:v>
      </x:c>
      <x:c r="N304" s="2" t="str">
        <x:v>NR</x:v>
      </x:c>
      <x:c r="O304" s="2" t="str">
        <x:v>NR</x:v>
      </x:c>
      <x:c r="P304" s="6" t="str">
        <x:v>NR</x:v>
      </x:c>
      <x:c r="Q304" s="2" t="str">
        <x:v>NR</x:v>
      </x:c>
      <x:c r="R304" s="6" t="str">
        <x:v>前3个最相关的源文档片段及其元数据。</x:v>
      </x:c>
      <x:c r="S304" s="2" t="str">
        <x:v>NR</x:v>
      </x:c>
      <x:c r="T304" s="2" t="str">
        <x:v>NR</x:v>
      </x:c>
      <x:c r="U304" s="2" t="str">
        <x:v>NR</x:v>
      </x:c>
      <x:c r="V304" s="6" t="str">
        <x:v>Task-specific coded evidence</x:v>
      </x:c>
      <x:c r="W304" s="6" t="str">
        <x:v>p. 3; Section III.E</x:v>
      </x:c>
      <x:c r="X304" s="6" t="str">
        <x:v>When a violation is detected, the RAG pipeline retrieves the top-3 most relevant source chunks, providing developers with direct links to the requirements that define the violated rule.</x:v>
      </x:c>
      <x:c r="Y304" s="6" t="str">
        <x:v>See task-step evidence references in the RQ2 supplement.</x:v>
      </x:c>
      <x:c r="Z304" s="2" t="str">
        <x:v>Accepted</x:v>
      </x:c>
      <x:c r="AA304" s="6" t="str">
        <x:v>NR</x:v>
      </x:c>
    </x:row>
    <x:row r="305" ht="76" customHeight="1">
      <x:c r="A305" s="2" t="str">
        <x:v>S36-T01-P4</x:v>
      </x:c>
      <x:c r="B305" s="2" t="str">
        <x:v>S36</x:v>
      </x:c>
      <x:c r="C305" s="2" t="str">
        <x:v>merged_1236</x:v>
      </x:c>
      <x:c r="D305" s="2" t="str">
        <x:v>Final coding</x:v>
      </x:c>
      <x:c r="E305" s="2" t="str">
        <x:v>R1/R2</x:v>
      </x:c>
      <x:c r="F305" s="2" t="str">
        <x:v>S36-T01-PROC</x:v>
      </x:c>
      <x:c r="G305" s="2" t="str">
        <x:v>S36-T01</x:v>
      </x:c>
      <x:c r="H305" s="2" t="str">
        <x:v>4 Validation and explanation</x:v>
      </x:c>
      <x:c r="I305" s="2" t="n">
        <x:v>4</x:v>
      </x:c>
      <x:c r="J305" s="2" t="str">
        <x:v>Common core</x:v>
      </x:c>
      <x:c r="K305" s="2" t="str">
        <x:v>Completed</x:v>
      </x:c>
      <x:c r="L305" s="2" t="str">
        <x:v>Not separately reported</x:v>
      </x:c>
      <x:c r="M305" s="2" t="str">
        <x:v>NR</x:v>
      </x:c>
      <x:c r="N305" s="2" t="str">
        <x:v>NR</x:v>
      </x:c>
      <x:c r="O305" s="2" t="str">
        <x:v>NR</x:v>
      </x:c>
      <x:c r="P305" s="6" t="str">
        <x:v>NR</x:v>
      </x:c>
      <x:c r="Q305" s="2" t="str">
        <x:v>NR</x:v>
      </x:c>
      <x:c r="R305" s="6" t="str">
        <x:v>NR</x:v>
      </x:c>
      <x:c r="S305" s="2" t="str">
        <x:v>NR</x:v>
      </x:c>
      <x:c r="T305" s="2" t="str">
        <x:v>NR</x:v>
      </x:c>
      <x:c r="U305" s="2" t="str">
        <x:v>NR</x:v>
      </x:c>
      <x:c r="V305" s="6" t="str">
        <x:v>Task-specific coded evidence</x:v>
      </x:c>
      <x:c r="W305" s="6" t="str">
        <x:v>p. 3; Section III.E</x:v>
      </x:c>
      <x:c r="X305" s="6" t="str">
        <x:v>When a violation is detected, the RAG pipeline retrieves the top-3 most relevant source chunks, providing developers with direct links to the requirements that define the violated rule.</x:v>
      </x:c>
      <x:c r="Y305" s="6" t="str">
        <x:v>See task-step evidence references in the RQ2 supplement.</x:v>
      </x:c>
      <x:c r="Z305" s="2" t="str">
        <x:v>Accepted</x:v>
      </x:c>
      <x:c r="AA305" s="6" t="str">
        <x:v>NR</x:v>
      </x:c>
    </x:row>
    <x:row r="306" ht="76" customHeight="1">
      <x:c r="A306" s="2" t="str">
        <x:v>S36-T01-P5</x:v>
      </x:c>
      <x:c r="B306" s="2" t="str">
        <x:v>S36</x:v>
      </x:c>
      <x:c r="C306" s="2" t="str">
        <x:v>merged_1236</x:v>
      </x:c>
      <x:c r="D306" s="2" t="str">
        <x:v>Final coding</x:v>
      </x:c>
      <x:c r="E306" s="2" t="str">
        <x:v>R1/R2</x:v>
      </x:c>
      <x:c r="F306" s="2" t="str">
        <x:v>S36-T01-PROC</x:v>
      </x:c>
      <x:c r="G306" s="2" t="str">
        <x:v>S36-T01</x:v>
      </x:c>
      <x:c r="H306" s="2" t="str">
        <x:v>5 Evolution and embedding</x:v>
      </x:c>
      <x:c r="I306" s="2" t="n">
        <x:v>5</x:v>
      </x:c>
      <x:c r="J306" s="2" t="str">
        <x:v>Common core</x:v>
      </x:c>
      <x:c r="K306" s="2" t="str">
        <x:v>Completed</x:v>
      </x:c>
      <x:c r="L306" s="2" t="str">
        <x:v>Not separately reported</x:v>
      </x:c>
      <x:c r="M306" s="2" t="str">
        <x:v>NR</x:v>
      </x:c>
      <x:c r="N306" s="2" t="str">
        <x:v>NR</x:v>
      </x:c>
      <x:c r="O306" s="2" t="str">
        <x:v>NR</x:v>
      </x:c>
      <x:c r="P306" s="6" t="str">
        <x:v>NR</x:v>
      </x:c>
      <x:c r="Q306" s="2" t="str">
        <x:v>NR</x:v>
      </x:c>
      <x:c r="R306" s="6" t="str">
        <x:v>NR</x:v>
      </x:c>
      <x:c r="S306" s="2" t="str">
        <x:v>NR</x:v>
      </x:c>
      <x:c r="T306" s="2" t="str">
        <x:v>NR</x:v>
      </x:c>
      <x:c r="U306" s="2" t="str">
        <x:v>NR</x:v>
      </x:c>
      <x:c r="V306" s="6" t="str">
        <x:v>Task-specific coded evidence</x:v>
      </x:c>
      <x:c r="W306" s="6" t="str">
        <x:v>p. 3; Section III.E</x:v>
      </x:c>
      <x:c r="X306" s="6" t="str">
        <x:v>When a violation is detected, the RAG pipeline retrieves the top-3 most relevant source chunks, providing developers with direct links to the requirements that define the violated rule.</x:v>
      </x:c>
      <x:c r="Y306" s="6" t="str">
        <x:v>See task-step evidence references in the RQ2 supplement.</x:v>
      </x:c>
      <x:c r="Z306" s="2" t="str">
        <x:v>Accepted</x:v>
      </x:c>
      <x:c r="AA306" s="6" t="str">
        <x:v>NR</x:v>
      </x:c>
    </x:row>
    <x:row r="307" ht="76" customHeight="1">
      <x:c r="A307" s="2" t="str">
        <x:v>S37-T01-P1</x:v>
      </x:c>
      <x:c r="B307" s="2" t="str">
        <x:v>S37</x:v>
      </x:c>
      <x:c r="C307" s="2" t="str">
        <x:v>merged_1238</x:v>
      </x:c>
      <x:c r="D307" s="2" t="str">
        <x:v>Final coding</x:v>
      </x:c>
      <x:c r="E307" s="2" t="str">
        <x:v>R1/R2</x:v>
      </x:c>
      <x:c r="F307" s="2" t="str">
        <x:v>S37-T01-PROC</x:v>
      </x:c>
      <x:c r="G307" s="2" t="str">
        <x:v>S37-T01</x:v>
      </x:c>
      <x:c r="H307" s="2" t="str">
        <x:v>1 Artifact acquisition and scoping</x:v>
      </x:c>
      <x:c r="I307" s="2" t="n">
        <x:v>1</x:v>
      </x:c>
      <x:c r="J307" s="2" t="str">
        <x:v>Common core</x:v>
      </x:c>
      <x:c r="K307" s="2" t="str">
        <x:v>Completed</x:v>
      </x:c>
      <x:c r="L307" s="2" t="str">
        <x:v>Explicitly evidenced</x:v>
      </x:c>
      <x:c r="M307" s="2" t="str">
        <x:v>NR</x:v>
      </x:c>
      <x:c r="N307" s="2" t="str">
        <x:v>NR</x:v>
      </x:c>
      <x:c r="O307" s="2" t="str">
        <x:v>NR</x:v>
      </x:c>
      <x:c r="P307" s="6" t="str">
        <x:v>NR</x:v>
      </x:c>
      <x:c r="Q307" s="2" t="str">
        <x:v>1 Artifact acquisition and scoping</x:v>
      </x:c>
      <x:c r="R307" s="6" t="str">
        <x:v>NR</x:v>
      </x:c>
      <x:c r="S307" s="2" t="str">
        <x:v>NR</x:v>
      </x:c>
      <x:c r="T307" s="2" t="str">
        <x:v>NR</x:v>
      </x:c>
      <x:c r="U307" s="2" t="str">
        <x:v>NR</x:v>
      </x:c>
      <x:c r="V307" s="6" t="str">
        <x:v>Task-specific coded evidence</x:v>
      </x:c>
      <x:c r="W307" s="6" t="str">
        <x:v>p. 11; Section 4.1</x:v>
      </x:c>
      <x:c r="X307" s="6" t="str">
        <x:v>The large language models (LLMs) will communicate with the requirement provider to extract the necessary information for modeling and convert the requirement description (RD) into requirement details through the interaction of two external modules</x:v>
      </x:c>
      <x:c r="Y307" s="6" t="str">
        <x:v>See task-step evidence references in the RQ2 supplement.</x:v>
      </x:c>
      <x:c r="Z307" s="2" t="str">
        <x:v>Accepted</x:v>
      </x:c>
      <x:c r="AA307" s="6" t="str">
        <x:v>NR</x:v>
      </x:c>
    </x:row>
    <x:row r="308" ht="76" customHeight="1">
      <x:c r="A308" s="2" t="str">
        <x:v>S37-T01-P2</x:v>
      </x:c>
      <x:c r="B308" s="2" t="str">
        <x:v>S37</x:v>
      </x:c>
      <x:c r="C308" s="2" t="str">
        <x:v>merged_1238</x:v>
      </x:c>
      <x:c r="D308" s="2" t="str">
        <x:v>Final coding</x:v>
      </x:c>
      <x:c r="E308" s="2" t="str">
        <x:v>R1/R2</x:v>
      </x:c>
      <x:c r="F308" s="2" t="str">
        <x:v>S37-T01-PROC</x:v>
      </x:c>
      <x:c r="G308" s="2" t="str">
        <x:v>S37-T01</x:v>
      </x:c>
      <x:c r="H308" s="2" t="str">
        <x:v>2 Semantic contextualization</x:v>
      </x:c>
      <x:c r="I308" s="2" t="n">
        <x:v>2</x:v>
      </x:c>
      <x:c r="J308" s="2" t="str">
        <x:v>Common core</x:v>
      </x:c>
      <x:c r="K308" s="2" t="str">
        <x:v>Completed</x:v>
      </x:c>
      <x:c r="L308" s="2" t="str">
        <x:v>Explicitly evidenced</x:v>
      </x:c>
      <x:c r="M308" s="2" t="str">
        <x:v>NR</x:v>
      </x:c>
      <x:c r="N308" s="2" t="str">
        <x:v>NR</x:v>
      </x:c>
      <x:c r="O308" s="2" t="str">
        <x:v>NR</x:v>
      </x:c>
      <x:c r="P308" s="6" t="str">
        <x:v>NR</x:v>
      </x:c>
      <x:c r="Q308" s="2" t="str">
        <x:v>2 Semantic contextualization</x:v>
      </x:c>
      <x:c r="R308" s="6" t="str">
        <x:v>NR</x:v>
      </x:c>
      <x:c r="S308" s="2" t="str">
        <x:v>NR</x:v>
      </x:c>
      <x:c r="T308" s="2" t="str">
        <x:v>NR</x:v>
      </x:c>
      <x:c r="U308" s="2" t="str">
        <x:v>NR</x:v>
      </x:c>
      <x:c r="V308" s="6" t="str">
        <x:v>Task-specific coded evidence</x:v>
      </x:c>
      <x:c r="W308" s="6" t="str">
        <x:v>p. 11; Section 4.1</x:v>
      </x:c>
      <x:c r="X308" s="6" t="str">
        <x:v>The large language models (LLMs) will communicate with the requirement provider to extract the necessary information for modeling and convert the requirement description (RD) into requirement details through the interaction of two external modules</x:v>
      </x:c>
      <x:c r="Y308" s="6" t="str">
        <x:v>See task-step evidence references in the RQ2 supplement.</x:v>
      </x:c>
      <x:c r="Z308" s="2" t="str">
        <x:v>Accepted</x:v>
      </x:c>
      <x:c r="AA308" s="6" t="str">
        <x:v>NR</x:v>
      </x:c>
    </x:row>
    <x:row r="309" ht="76" customHeight="1">
      <x:c r="A309" s="2" t="str">
        <x:v>S37-T01-P3</x:v>
      </x:c>
      <x:c r="B309" s="2" t="str">
        <x:v>S37</x:v>
      </x:c>
      <x:c r="C309" s="2" t="str">
        <x:v>merged_1238</x:v>
      </x:c>
      <x:c r="D309" s="2" t="str">
        <x:v>Final coding</x:v>
      </x:c>
      <x:c r="E309" s="2" t="str">
        <x:v>R1/R2</x:v>
      </x:c>
      <x:c r="F309" s="2" t="str">
        <x:v>S37-T01-PROC</x:v>
      </x:c>
      <x:c r="G309" s="2" t="str">
        <x:v>S37-T01</x:v>
      </x:c>
      <x:c r="H309" s="2" t="str">
        <x:v>3 Traceability inference</x:v>
      </x:c>
      <x:c r="I309" s="2" t="n">
        <x:v>3</x:v>
      </x:c>
      <x:c r="J309" s="2" t="str">
        <x:v>Common core</x:v>
      </x:c>
      <x:c r="K309" s="2" t="str">
        <x:v>Completed</x:v>
      </x:c>
      <x:c r="L309" s="2" t="str">
        <x:v>Inferred from relation output</x:v>
      </x:c>
      <x:c r="M309" s="2" t="str">
        <x:v>NR</x:v>
      </x:c>
      <x:c r="N309" s="2" t="str">
        <x:v>NR</x:v>
      </x:c>
      <x:c r="O309" s="2" t="str">
        <x:v>NR</x:v>
      </x:c>
      <x:c r="P309" s="6" t="str">
        <x:v>NR</x:v>
      </x:c>
      <x:c r="Q309" s="2" t="str">
        <x:v>NR</x:v>
      </x:c>
      <x:c r="R309" s="6" t="str">
        <x:v>JSON格式的PFM模型，包含Re, PD, RPh, SPh, V等元素及映射关系。</x:v>
      </x:c>
      <x:c r="S309" s="2" t="str">
        <x:v>NR</x:v>
      </x:c>
      <x:c r="T309" s="2" t="str">
        <x:v>NR</x:v>
      </x:c>
      <x:c r="U309" s="2" t="str">
        <x:v>NR</x:v>
      </x:c>
      <x:c r="V309" s="6" t="str">
        <x:v>Task-specific coded evidence</x:v>
      </x:c>
      <x:c r="W309" s="6" t="str">
        <x:v>p. 11; Section 4.1</x:v>
      </x:c>
      <x:c r="X309" s="6" t="str">
        <x:v>The large language models (LLMs) will communicate with the requirement provider to extract the necessary information for modeling and convert the requirement description (RD) into requirement details through the interaction of two external modules</x:v>
      </x:c>
      <x:c r="Y309" s="6" t="str">
        <x:v>See task-step evidence references in the RQ2 supplement.</x:v>
      </x:c>
      <x:c r="Z309" s="2" t="str">
        <x:v>Accepted</x:v>
      </x:c>
      <x:c r="AA309" s="6" t="str">
        <x:v>NR</x:v>
      </x:c>
    </x:row>
    <x:row r="310" ht="76" customHeight="1">
      <x:c r="A310" s="2" t="str">
        <x:v>S37-T01-P4</x:v>
      </x:c>
      <x:c r="B310" s="2" t="str">
        <x:v>S37</x:v>
      </x:c>
      <x:c r="C310" s="2" t="str">
        <x:v>merged_1238</x:v>
      </x:c>
      <x:c r="D310" s="2" t="str">
        <x:v>Final coding</x:v>
      </x:c>
      <x:c r="E310" s="2" t="str">
        <x:v>R1/R2</x:v>
      </x:c>
      <x:c r="F310" s="2" t="str">
        <x:v>S37-T01-PROC</x:v>
      </x:c>
      <x:c r="G310" s="2" t="str">
        <x:v>S37-T01</x:v>
      </x:c>
      <x:c r="H310" s="2" t="str">
        <x:v>4 Validation and explanation</x:v>
      </x:c>
      <x:c r="I310" s="2" t="n">
        <x:v>4</x:v>
      </x:c>
      <x:c r="J310" s="2" t="str">
        <x:v>Common core</x:v>
      </x:c>
      <x:c r="K310" s="2" t="str">
        <x:v>Completed</x:v>
      </x:c>
      <x:c r="L310" s="2" t="str">
        <x:v>Explicitly evidenced</x:v>
      </x:c>
      <x:c r="M310" s="2" t="str">
        <x:v>NR</x:v>
      </x:c>
      <x:c r="N310" s="2" t="str">
        <x:v>NR</x:v>
      </x:c>
      <x:c r="O310" s="2" t="str">
        <x:v>NR</x:v>
      </x:c>
      <x:c r="P310" s="6" t="str">
        <x:v>NR</x:v>
      </x:c>
      <x:c r="Q310" s="2" t="str">
        <x:v>4 Validation and explanation</x:v>
      </x:c>
      <x:c r="R310" s="6" t="str">
        <x:v>NR</x:v>
      </x:c>
      <x:c r="S310" s="2" t="str">
        <x:v>NR</x:v>
      </x:c>
      <x:c r="T310" s="2" t="str">
        <x:v>NR</x:v>
      </x:c>
      <x:c r="U310" s="2" t="str">
        <x:v>NR</x:v>
      </x:c>
      <x:c r="V310" s="6" t="str">
        <x:v>Task-specific coded evidence</x:v>
      </x:c>
      <x:c r="W310" s="6" t="str">
        <x:v>p. 11; Section 4.1</x:v>
      </x:c>
      <x:c r="X310" s="6" t="str">
        <x:v>The large language models (LLMs) will communicate with the requirement provider to extract the necessary information for modeling and convert the requirement description (RD) into requirement details through the interaction of two external modules</x:v>
      </x:c>
      <x:c r="Y310" s="6" t="str">
        <x:v>See task-step evidence references in the RQ2 supplement.</x:v>
      </x:c>
      <x:c r="Z310" s="2" t="str">
        <x:v>Accepted</x:v>
      </x:c>
      <x:c r="AA310" s="6" t="str">
        <x:v>NR</x:v>
      </x:c>
    </x:row>
    <x:row r="311" ht="76" customHeight="1">
      <x:c r="A311" s="2" t="str">
        <x:v>S37-T01-P5</x:v>
      </x:c>
      <x:c r="B311" s="2" t="str">
        <x:v>S37</x:v>
      </x:c>
      <x:c r="C311" s="2" t="str">
        <x:v>merged_1238</x:v>
      </x:c>
      <x:c r="D311" s="2" t="str">
        <x:v>Final coding</x:v>
      </x:c>
      <x:c r="E311" s="2" t="str">
        <x:v>R1/R2</x:v>
      </x:c>
      <x:c r="F311" s="2" t="str">
        <x:v>S37-T01-PROC</x:v>
      </x:c>
      <x:c r="G311" s="2" t="str">
        <x:v>S37-T01</x:v>
      </x:c>
      <x:c r="H311" s="2" t="str">
        <x:v>5 Evolution and embedding</x:v>
      </x:c>
      <x:c r="I311" s="2" t="n">
        <x:v>5</x:v>
      </x:c>
      <x:c r="J311" s="2" t="str">
        <x:v>Common core</x:v>
      </x:c>
      <x:c r="K311" s="2" t="str">
        <x:v>Completed</x:v>
      </x:c>
      <x:c r="L311" s="2" t="str">
        <x:v>Not separately reported</x:v>
      </x:c>
      <x:c r="M311" s="2" t="str">
        <x:v>NR</x:v>
      </x:c>
      <x:c r="N311" s="2" t="str">
        <x:v>NR</x:v>
      </x:c>
      <x:c r="O311" s="2" t="str">
        <x:v>NR</x:v>
      </x:c>
      <x:c r="P311" s="6" t="str">
        <x:v>NR</x:v>
      </x:c>
      <x:c r="Q311" s="2" t="str">
        <x:v>NR</x:v>
      </x:c>
      <x:c r="R311" s="6" t="str">
        <x:v>NR</x:v>
      </x:c>
      <x:c r="S311" s="2" t="str">
        <x:v>NR</x:v>
      </x:c>
      <x:c r="T311" s="2" t="str">
        <x:v>NR</x:v>
      </x:c>
      <x:c r="U311" s="2" t="str">
        <x:v>NR</x:v>
      </x:c>
      <x:c r="V311" s="6" t="str">
        <x:v>Task-specific coded evidence</x:v>
      </x:c>
      <x:c r="W311" s="6" t="str">
        <x:v>p. 11; Section 4.1</x:v>
      </x:c>
      <x:c r="X311" s="6" t="str">
        <x:v>The large language models (LLMs) will communicate with the requirement provider to extract the necessary information for modeling and convert the requirement description (RD) into requirement details through the interaction of two external modules</x:v>
      </x:c>
      <x:c r="Y311" s="6" t="str">
        <x:v>See task-step evidence references in the RQ2 supplement.</x:v>
      </x:c>
      <x:c r="Z311" s="2" t="str">
        <x:v>Accepted</x:v>
      </x:c>
      <x:c r="AA311" s="6" t="str">
        <x:v>NR</x:v>
      </x:c>
    </x:row>
    <x:row r="312" ht="76" customHeight="1">
      <x:c r="A312" s="2" t="str">
        <x:v>S38-T01-P1</x:v>
      </x:c>
      <x:c r="B312" s="2" t="str">
        <x:v>S38</x:v>
      </x:c>
      <x:c r="C312" s="2" t="str">
        <x:v>merged_1241</x:v>
      </x:c>
      <x:c r="D312" s="2" t="str">
        <x:v>Final coding</x:v>
      </x:c>
      <x:c r="E312" s="2" t="str">
        <x:v>R1/R2</x:v>
      </x:c>
      <x:c r="F312" s="2" t="str">
        <x:v>S38-T01-PROC</x:v>
      </x:c>
      <x:c r="G312" s="2" t="str">
        <x:v>S38-T01</x:v>
      </x:c>
      <x:c r="H312" s="2" t="str">
        <x:v>1 Artifact acquisition and scoping</x:v>
      </x:c>
      <x:c r="I312" s="2" t="n">
        <x:v>1</x:v>
      </x:c>
      <x:c r="J312" s="2" t="str">
        <x:v>Common core</x:v>
      </x:c>
      <x:c r="K312" s="2" t="str">
        <x:v>Completed</x:v>
      </x:c>
      <x:c r="L312" s="2" t="str">
        <x:v>Not separately reported</x:v>
      </x:c>
      <x:c r="M312" s="2" t="str">
        <x:v>NR</x:v>
      </x:c>
      <x:c r="N312" s="2" t="str">
        <x:v>NR</x:v>
      </x:c>
      <x:c r="O312" s="2" t="str">
        <x:v>NR</x:v>
      </x:c>
      <x:c r="P312" s="6" t="str">
        <x:v>NR</x:v>
      </x:c>
      <x:c r="Q312" s="2" t="str">
        <x:v>NR</x:v>
      </x:c>
      <x:c r="R312" s="6" t="str">
        <x:v>NR</x:v>
      </x:c>
      <x:c r="S312" s="2" t="str">
        <x:v>NR</x:v>
      </x:c>
      <x:c r="T312" s="2" t="str">
        <x:v>NR</x:v>
      </x:c>
      <x:c r="U312" s="2" t="str">
        <x:v>NR</x:v>
      </x:c>
      <x:c r="V312" s="6" t="str">
        <x:v>Task-specific coded evidence</x:v>
      </x:c>
      <x:c r="W312" s="6" t="str">
        <x:v>p. 11; Section 3.4</x:v>
      </x:c>
      <x:c r="X312" s="6" t="str">
        <x:v>Generated trace matrices are manually reviewed for completeness and correctness.</x:v>
      </x:c>
      <x:c r="Y312" s="6" t="str">
        <x:v>See task-step evidence references in the RQ2 supplement.</x:v>
      </x:c>
      <x:c r="Z312" s="2" t="str">
        <x:v>Accepted</x:v>
      </x:c>
      <x:c r="AA312" s="6" t="str">
        <x:v>NR</x:v>
      </x:c>
    </x:row>
    <x:row r="313" ht="76" customHeight="1">
      <x:c r="A313" s="2" t="str">
        <x:v>S38-T01-P2</x:v>
      </x:c>
      <x:c r="B313" s="2" t="str">
        <x:v>S38</x:v>
      </x:c>
      <x:c r="C313" s="2" t="str">
        <x:v>merged_1241</x:v>
      </x:c>
      <x:c r="D313" s="2" t="str">
        <x:v>Final coding</x:v>
      </x:c>
      <x:c r="E313" s="2" t="str">
        <x:v>R1/R2</x:v>
      </x:c>
      <x:c r="F313" s="2" t="str">
        <x:v>S38-T01-PROC</x:v>
      </x:c>
      <x:c r="G313" s="2" t="str">
        <x:v>S38-T01</x:v>
      </x:c>
      <x:c r="H313" s="2" t="str">
        <x:v>2 Semantic contextualization</x:v>
      </x:c>
      <x:c r="I313" s="2" t="n">
        <x:v>2</x:v>
      </x:c>
      <x:c r="J313" s="2" t="str">
        <x:v>Common core</x:v>
      </x:c>
      <x:c r="K313" s="2" t="str">
        <x:v>Completed</x:v>
      </x:c>
      <x:c r="L313" s="2" t="str">
        <x:v>Not separately reported</x:v>
      </x:c>
      <x:c r="M313" s="2" t="str">
        <x:v>NR</x:v>
      </x:c>
      <x:c r="N313" s="2" t="str">
        <x:v>NR</x:v>
      </x:c>
      <x:c r="O313" s="2" t="str">
        <x:v>NR</x:v>
      </x:c>
      <x:c r="P313" s="6" t="str">
        <x:v>NR</x:v>
      </x:c>
      <x:c r="Q313" s="2" t="str">
        <x:v>NR</x:v>
      </x:c>
      <x:c r="R313" s="6" t="str">
        <x:v>NR</x:v>
      </x:c>
      <x:c r="S313" s="2" t="str">
        <x:v>NR</x:v>
      </x:c>
      <x:c r="T313" s="2" t="str">
        <x:v>NR</x:v>
      </x:c>
      <x:c r="U313" s="2" t="str">
        <x:v>NR</x:v>
      </x:c>
      <x:c r="V313" s="6" t="str">
        <x:v>Task-specific coded evidence</x:v>
      </x:c>
      <x:c r="W313" s="6" t="str">
        <x:v>p. 11; Section 3.4</x:v>
      </x:c>
      <x:c r="X313" s="6" t="str">
        <x:v>Generated trace matrices are manually reviewed for completeness and correctness.</x:v>
      </x:c>
      <x:c r="Y313" s="6" t="str">
        <x:v>See task-step evidence references in the RQ2 supplement.</x:v>
      </x:c>
      <x:c r="Z313" s="2" t="str">
        <x:v>Accepted</x:v>
      </x:c>
      <x:c r="AA313" s="6" t="str">
        <x:v>NR</x:v>
      </x:c>
    </x:row>
    <x:row r="314" ht="76" customHeight="1">
      <x:c r="A314" s="2" t="str">
        <x:v>S38-T01-P3</x:v>
      </x:c>
      <x:c r="B314" s="2" t="str">
        <x:v>S38</x:v>
      </x:c>
      <x:c r="C314" s="2" t="str">
        <x:v>merged_1241</x:v>
      </x:c>
      <x:c r="D314" s="2" t="str">
        <x:v>Final coding</x:v>
      </x:c>
      <x:c r="E314" s="2" t="str">
        <x:v>R1/R2</x:v>
      </x:c>
      <x:c r="F314" s="2" t="str">
        <x:v>S38-T01-PROC</x:v>
      </x:c>
      <x:c r="G314" s="2" t="str">
        <x:v>S38-T01</x:v>
      </x:c>
      <x:c r="H314" s="2" t="str">
        <x:v>3 Traceability inference</x:v>
      </x:c>
      <x:c r="I314" s="2" t="n">
        <x:v>3</x:v>
      </x:c>
      <x:c r="J314" s="2" t="str">
        <x:v>Common core</x:v>
      </x:c>
      <x:c r="K314" s="2" t="str">
        <x:v>Completed</x:v>
      </x:c>
      <x:c r="L314" s="2" t="str">
        <x:v>Explicitly evidenced</x:v>
      </x:c>
      <x:c r="M314" s="2" t="str">
        <x:v>NR</x:v>
      </x:c>
      <x:c r="N314" s="2" t="str">
        <x:v>NR</x:v>
      </x:c>
      <x:c r="O314" s="2" t="str">
        <x:v>NR</x:v>
      </x:c>
      <x:c r="P314" s="6" t="str">
        <x:v>NR</x:v>
      </x:c>
      <x:c r="Q314" s="2" t="str">
        <x:v>3 Traceability inference</x:v>
      </x:c>
      <x:c r="R314" s="6" t="str">
        <x:v>包含需求ID与Lustre代码行号链接的追溯矩阵，可人工审核。</x:v>
      </x:c>
      <x:c r="S314" s="2" t="str">
        <x:v>NR</x:v>
      </x:c>
      <x:c r="T314" s="2" t="str">
        <x:v>NR</x:v>
      </x:c>
      <x:c r="U314" s="2" t="str">
        <x:v>NR</x:v>
      </x:c>
      <x:c r="V314" s="6" t="str">
        <x:v>Task-specific coded evidence</x:v>
      </x:c>
      <x:c r="W314" s="6" t="str">
        <x:v>p. 11; Section 3.4</x:v>
      </x:c>
      <x:c r="X314" s="6" t="str">
        <x:v>Generated trace matrices are manually reviewed for completeness and correctness.</x:v>
      </x:c>
      <x:c r="Y314" s="6" t="str">
        <x:v>See task-step evidence references in the RQ2 supplement.</x:v>
      </x:c>
      <x:c r="Z314" s="2" t="str">
        <x:v>Accepted</x:v>
      </x:c>
      <x:c r="AA314" s="6" t="str">
        <x:v>NR</x:v>
      </x:c>
    </x:row>
    <x:row r="315" ht="76" customHeight="1">
      <x:c r="A315" s="2" t="str">
        <x:v>S38-T01-P4</x:v>
      </x:c>
      <x:c r="B315" s="2" t="str">
        <x:v>S38</x:v>
      </x:c>
      <x:c r="C315" s="2" t="str">
        <x:v>merged_1241</x:v>
      </x:c>
      <x:c r="D315" s="2" t="str">
        <x:v>Final coding</x:v>
      </x:c>
      <x:c r="E315" s="2" t="str">
        <x:v>R1/R2</x:v>
      </x:c>
      <x:c r="F315" s="2" t="str">
        <x:v>S38-T01-PROC</x:v>
      </x:c>
      <x:c r="G315" s="2" t="str">
        <x:v>S38-T01</x:v>
      </x:c>
      <x:c r="H315" s="2" t="str">
        <x:v>4 Validation and explanation</x:v>
      </x:c>
      <x:c r="I315" s="2" t="n">
        <x:v>4</x:v>
      </x:c>
      <x:c r="J315" s="2" t="str">
        <x:v>Common core</x:v>
      </x:c>
      <x:c r="K315" s="2" t="str">
        <x:v>Completed</x:v>
      </x:c>
      <x:c r="L315" s="2" t="str">
        <x:v>Explicitly evidenced</x:v>
      </x:c>
      <x:c r="M315" s="2" t="str">
        <x:v>NR</x:v>
      </x:c>
      <x:c r="N315" s="2" t="str">
        <x:v>NR</x:v>
      </x:c>
      <x:c r="O315" s="2" t="str">
        <x:v>NR</x:v>
      </x:c>
      <x:c r="P315" s="6" t="str">
        <x:v>NR</x:v>
      </x:c>
      <x:c r="Q315" s="2" t="str">
        <x:v>4 Validation and explanation</x:v>
      </x:c>
      <x:c r="R315" s="6" t="str">
        <x:v>NR</x:v>
      </x:c>
      <x:c r="S315" s="2" t="str">
        <x:v>NR</x:v>
      </x:c>
      <x:c r="T315" s="2" t="str">
        <x:v>NR</x:v>
      </x:c>
      <x:c r="U315" s="2" t="str">
        <x:v>NR</x:v>
      </x:c>
      <x:c r="V315" s="6" t="str">
        <x:v>Task-specific coded evidence</x:v>
      </x:c>
      <x:c r="W315" s="6" t="str">
        <x:v>p. 11; Section 3.4</x:v>
      </x:c>
      <x:c r="X315" s="6" t="str">
        <x:v>Generated trace matrices are manually reviewed for completeness and correctness.</x:v>
      </x:c>
      <x:c r="Y315" s="6" t="str">
        <x:v>See task-step evidence references in the RQ2 supplement.</x:v>
      </x:c>
      <x:c r="Z315" s="2" t="str">
        <x:v>Accepted</x:v>
      </x:c>
      <x:c r="AA315" s="6" t="str">
        <x:v>NR</x:v>
      </x:c>
    </x:row>
    <x:row r="316" ht="76" customHeight="1">
      <x:c r="A316" s="2" t="str">
        <x:v>S38-T01-P5</x:v>
      </x:c>
      <x:c r="B316" s="2" t="str">
        <x:v>S38</x:v>
      </x:c>
      <x:c r="C316" s="2" t="str">
        <x:v>merged_1241</x:v>
      </x:c>
      <x:c r="D316" s="2" t="str">
        <x:v>Final coding</x:v>
      </x:c>
      <x:c r="E316" s="2" t="str">
        <x:v>R1/R2</x:v>
      </x:c>
      <x:c r="F316" s="2" t="str">
        <x:v>S38-T01-PROC</x:v>
      </x:c>
      <x:c r="G316" s="2" t="str">
        <x:v>S38-T01</x:v>
      </x:c>
      <x:c r="H316" s="2" t="str">
        <x:v>5 Evolution and embedding</x:v>
      </x:c>
      <x:c r="I316" s="2" t="n">
        <x:v>5</x:v>
      </x:c>
      <x:c r="J316" s="2" t="str">
        <x:v>Common core</x:v>
      </x:c>
      <x:c r="K316" s="2" t="str">
        <x:v>Completed</x:v>
      </x:c>
      <x:c r="L316" s="2" t="str">
        <x:v>Not separately reported</x:v>
      </x:c>
      <x:c r="M316" s="2" t="str">
        <x:v>NR</x:v>
      </x:c>
      <x:c r="N316" s="2" t="str">
        <x:v>NR</x:v>
      </x:c>
      <x:c r="O316" s="2" t="str">
        <x:v>NR</x:v>
      </x:c>
      <x:c r="P316" s="6" t="str">
        <x:v>NR</x:v>
      </x:c>
      <x:c r="Q316" s="2" t="str">
        <x:v>NR</x:v>
      </x:c>
      <x:c r="R316" s="6" t="str">
        <x:v>NR</x:v>
      </x:c>
      <x:c r="S316" s="2" t="str">
        <x:v>NR</x:v>
      </x:c>
      <x:c r="T316" s="2" t="str">
        <x:v>NR</x:v>
      </x:c>
      <x:c r="U316" s="2" t="str">
        <x:v>NR</x:v>
      </x:c>
      <x:c r="V316" s="6" t="str">
        <x:v>Task-specific coded evidence</x:v>
      </x:c>
      <x:c r="W316" s="6" t="str">
        <x:v>p. 11; Section 3.4</x:v>
      </x:c>
      <x:c r="X316" s="6" t="str">
        <x:v>Generated trace matrices are manually reviewed for completeness and correctness.</x:v>
      </x:c>
      <x:c r="Y316" s="6" t="str">
        <x:v>See task-step evidence references in the RQ2 supplement.</x:v>
      </x:c>
      <x:c r="Z316" s="2" t="str">
        <x:v>Accepted</x:v>
      </x:c>
      <x:c r="AA316" s="6" t="str">
        <x:v>NR</x:v>
      </x:c>
    </x:row>
    <x:row r="317" ht="76" customHeight="1">
      <x:c r="A317" s="2" t="str">
        <x:v>S39-T01-P1</x:v>
      </x:c>
      <x:c r="B317" s="2" t="str">
        <x:v>S39</x:v>
      </x:c>
      <x:c r="C317" s="2" t="str">
        <x:v>merged_1245</x:v>
      </x:c>
      <x:c r="D317" s="2" t="str">
        <x:v>Final coding</x:v>
      </x:c>
      <x:c r="E317" s="2" t="str">
        <x:v>R1/R2</x:v>
      </x:c>
      <x:c r="F317" s="2" t="str">
        <x:v>S39-T01-PROC</x:v>
      </x:c>
      <x:c r="G317" s="2" t="str">
        <x:v>S39-T01</x:v>
      </x:c>
      <x:c r="H317" s="2" t="str">
        <x:v>1 Artifact acquisition and scoping</x:v>
      </x:c>
      <x:c r="I317" s="2" t="n">
        <x:v>1</x:v>
      </x:c>
      <x:c r="J317" s="2" t="str">
        <x:v>Common core</x:v>
      </x:c>
      <x:c r="K317" s="2" t="str">
        <x:v>Completed</x:v>
      </x:c>
      <x:c r="L317" s="2" t="str">
        <x:v>Not separately reported</x:v>
      </x:c>
      <x:c r="M317" s="2" t="str">
        <x:v>NR</x:v>
      </x:c>
      <x:c r="N317" s="2" t="str">
        <x:v>NR</x:v>
      </x:c>
      <x:c r="O317" s="2" t="str">
        <x:v>NR</x:v>
      </x:c>
      <x:c r="P317" s="6" t="str">
        <x:v>NR</x:v>
      </x:c>
      <x:c r="Q317" s="2" t="str">
        <x:v>NR</x:v>
      </x:c>
      <x:c r="R317" s="6" t="str">
        <x:v>NR</x:v>
      </x:c>
      <x:c r="S317" s="2" t="str">
        <x:v>NR</x:v>
      </x:c>
      <x:c r="T317" s="2" t="str">
        <x:v>NR</x:v>
      </x:c>
      <x:c r="U317" s="2" t="str">
        <x:v>NR</x:v>
      </x:c>
      <x:c r="V317" s="6" t="str">
        <x:v>Task-specific coded evidence</x:v>
      </x:c>
      <x:c r="W317" s="6" t="str">
        <x:v>p. 3; V. PREVIOUS RESULTS</x:v>
      </x:c>
      <x:c r="X317" s="6" t="str">
        <x:v>the task of tracing requirements to code using large language models</x:v>
      </x:c>
      <x:c r="Y317" s="6" t="str">
        <x:v>See task-step evidence references in the RQ2 supplement.</x:v>
      </x:c>
      <x:c r="Z317" s="2" t="str">
        <x:v>Accepted</x:v>
      </x:c>
      <x:c r="AA317" s="6" t="str">
        <x:v>NR</x:v>
      </x:c>
    </x:row>
    <x:row r="318" ht="76" customHeight="1">
      <x:c r="A318" s="2" t="str">
        <x:v>S39-T01-P2</x:v>
      </x:c>
      <x:c r="B318" s="2" t="str">
        <x:v>S39</x:v>
      </x:c>
      <x:c r="C318" s="2" t="str">
        <x:v>merged_1245</x:v>
      </x:c>
      <x:c r="D318" s="2" t="str">
        <x:v>Final coding</x:v>
      </x:c>
      <x:c r="E318" s="2" t="str">
        <x:v>R1/R2</x:v>
      </x:c>
      <x:c r="F318" s="2" t="str">
        <x:v>S39-T01-PROC</x:v>
      </x:c>
      <x:c r="G318" s="2" t="str">
        <x:v>S39-T01</x:v>
      </x:c>
      <x:c r="H318" s="2" t="str">
        <x:v>2 Semantic contextualization</x:v>
      </x:c>
      <x:c r="I318" s="2" t="n">
        <x:v>2</x:v>
      </x:c>
      <x:c r="J318" s="2" t="str">
        <x:v>Common core</x:v>
      </x:c>
      <x:c r="K318" s="2" t="str">
        <x:v>Completed</x:v>
      </x:c>
      <x:c r="L318" s="2" t="str">
        <x:v>Not separately reported</x:v>
      </x:c>
      <x:c r="M318" s="2" t="str">
        <x:v>NR</x:v>
      </x:c>
      <x:c r="N318" s="2" t="str">
        <x:v>NR</x:v>
      </x:c>
      <x:c r="O318" s="2" t="str">
        <x:v>NR</x:v>
      </x:c>
      <x:c r="P318" s="6" t="str">
        <x:v>NR</x:v>
      </x:c>
      <x:c r="Q318" s="2" t="str">
        <x:v>NR</x:v>
      </x:c>
      <x:c r="R318" s="6" t="str">
        <x:v>NR</x:v>
      </x:c>
      <x:c r="S318" s="2" t="str">
        <x:v>NR</x:v>
      </x:c>
      <x:c r="T318" s="2" t="str">
        <x:v>NR</x:v>
      </x:c>
      <x:c r="U318" s="2" t="str">
        <x:v>NR</x:v>
      </x:c>
      <x:c r="V318" s="6" t="str">
        <x:v>Task-specific coded evidence</x:v>
      </x:c>
      <x:c r="W318" s="6" t="str">
        <x:v>p. 3; V. PREVIOUS RESULTS</x:v>
      </x:c>
      <x:c r="X318" s="6" t="str">
        <x:v>the task of tracing requirements to code using large language models</x:v>
      </x:c>
      <x:c r="Y318" s="6" t="str">
        <x:v>See task-step evidence references in the RQ2 supplement.</x:v>
      </x:c>
      <x:c r="Z318" s="2" t="str">
        <x:v>Accepted</x:v>
      </x:c>
      <x:c r="AA318" s="6" t="str">
        <x:v>NR</x:v>
      </x:c>
    </x:row>
    <x:row r="319" ht="76" customHeight="1">
      <x:c r="A319" s="2" t="str">
        <x:v>S39-T01-P3</x:v>
      </x:c>
      <x:c r="B319" s="2" t="str">
        <x:v>S39</x:v>
      </x:c>
      <x:c r="C319" s="2" t="str">
        <x:v>merged_1245</x:v>
      </x:c>
      <x:c r="D319" s="2" t="str">
        <x:v>Final coding</x:v>
      </x:c>
      <x:c r="E319" s="2" t="str">
        <x:v>R1/R2</x:v>
      </x:c>
      <x:c r="F319" s="2" t="str">
        <x:v>S39-T01-PROC</x:v>
      </x:c>
      <x:c r="G319" s="2" t="str">
        <x:v>S39-T01</x:v>
      </x:c>
      <x:c r="H319" s="2" t="str">
        <x:v>3 Traceability inference</x:v>
      </x:c>
      <x:c r="I319" s="2" t="n">
        <x:v>3</x:v>
      </x:c>
      <x:c r="J319" s="2" t="str">
        <x:v>Common core</x:v>
      </x:c>
      <x:c r="K319" s="2" t="str">
        <x:v>Completed</x:v>
      </x:c>
      <x:c r="L319" s="2" t="str">
        <x:v>Explicitly evidenced</x:v>
      </x:c>
      <x:c r="M319" s="2" t="str">
        <x:v>NR</x:v>
      </x:c>
      <x:c r="N319" s="2" t="str">
        <x:v>NR</x:v>
      </x:c>
      <x:c r="O319" s="2" t="str">
        <x:v>NR</x:v>
      </x:c>
      <x:c r="P319" s="6" t="str">
        <x:v>NR</x:v>
      </x:c>
      <x:c r="Q319" s="2" t="str">
        <x:v>3 Traceability inference</x:v>
      </x:c>
      <x:c r="R319" s="6" t="str">
        <x:v>二元追踪准确率及逐行代码追踪F1分数。</x:v>
      </x:c>
      <x:c r="S319" s="2" t="str">
        <x:v>NR</x:v>
      </x:c>
      <x:c r="T319" s="2" t="str">
        <x:v>NR</x:v>
      </x:c>
      <x:c r="U319" s="2" t="str">
        <x:v>NR</x:v>
      </x:c>
      <x:c r="V319" s="6" t="str">
        <x:v>Task-specific coded evidence</x:v>
      </x:c>
      <x:c r="W319" s="6" t="str">
        <x:v>p. 3; V. PREVIOUS RESULTS</x:v>
      </x:c>
      <x:c r="X319" s="6" t="str">
        <x:v>the task of tracing requirements to code using large language models</x:v>
      </x:c>
      <x:c r="Y319" s="6" t="str">
        <x:v>See task-step evidence references in the RQ2 supplement.</x:v>
      </x:c>
      <x:c r="Z319" s="2" t="str">
        <x:v>Accepted</x:v>
      </x:c>
      <x:c r="AA319" s="6" t="str">
        <x:v>NR</x:v>
      </x:c>
    </x:row>
    <x:row r="320" ht="76" customHeight="1">
      <x:c r="A320" s="2" t="str">
        <x:v>S39-T01-P4</x:v>
      </x:c>
      <x:c r="B320" s="2" t="str">
        <x:v>S39</x:v>
      </x:c>
      <x:c r="C320" s="2" t="str">
        <x:v>merged_1245</x:v>
      </x:c>
      <x:c r="D320" s="2" t="str">
        <x:v>Final coding</x:v>
      </x:c>
      <x:c r="E320" s="2" t="str">
        <x:v>R1/R2</x:v>
      </x:c>
      <x:c r="F320" s="2" t="str">
        <x:v>S39-T01-PROC</x:v>
      </x:c>
      <x:c r="G320" s="2" t="str">
        <x:v>S39-T01</x:v>
      </x:c>
      <x:c r="H320" s="2" t="str">
        <x:v>4 Validation and explanation</x:v>
      </x:c>
      <x:c r="I320" s="2" t="n">
        <x:v>4</x:v>
      </x:c>
      <x:c r="J320" s="2" t="str">
        <x:v>Common core</x:v>
      </x:c>
      <x:c r="K320" s="2" t="str">
        <x:v>Completed</x:v>
      </x:c>
      <x:c r="L320" s="2" t="str">
        <x:v>Not separately reported</x:v>
      </x:c>
      <x:c r="M320" s="2" t="str">
        <x:v>NR</x:v>
      </x:c>
      <x:c r="N320" s="2" t="str">
        <x:v>NR</x:v>
      </x:c>
      <x:c r="O320" s="2" t="str">
        <x:v>NR</x:v>
      </x:c>
      <x:c r="P320" s="6" t="str">
        <x:v>NR</x:v>
      </x:c>
      <x:c r="Q320" s="2" t="str">
        <x:v>NR</x:v>
      </x:c>
      <x:c r="R320" s="6" t="str">
        <x:v>NR</x:v>
      </x:c>
      <x:c r="S320" s="2" t="str">
        <x:v>NR</x:v>
      </x:c>
      <x:c r="T320" s="2" t="str">
        <x:v>NR</x:v>
      </x:c>
      <x:c r="U320" s="2" t="str">
        <x:v>NR</x:v>
      </x:c>
      <x:c r="V320" s="6" t="str">
        <x:v>Task-specific coded evidence</x:v>
      </x:c>
      <x:c r="W320" s="6" t="str">
        <x:v>p. 3; V. PREVIOUS RESULTS</x:v>
      </x:c>
      <x:c r="X320" s="6" t="str">
        <x:v>the task of tracing requirements to code using large language models</x:v>
      </x:c>
      <x:c r="Y320" s="6" t="str">
        <x:v>See task-step evidence references in the RQ2 supplement.</x:v>
      </x:c>
      <x:c r="Z320" s="2" t="str">
        <x:v>Accepted</x:v>
      </x:c>
      <x:c r="AA320" s="6" t="str">
        <x:v>NR</x:v>
      </x:c>
    </x:row>
    <x:row r="321" ht="76" customHeight="1">
      <x:c r="A321" s="2" t="str">
        <x:v>S39-T01-P5</x:v>
      </x:c>
      <x:c r="B321" s="2" t="str">
        <x:v>S39</x:v>
      </x:c>
      <x:c r="C321" s="2" t="str">
        <x:v>merged_1245</x:v>
      </x:c>
      <x:c r="D321" s="2" t="str">
        <x:v>Final coding</x:v>
      </x:c>
      <x:c r="E321" s="2" t="str">
        <x:v>R1/R2</x:v>
      </x:c>
      <x:c r="F321" s="2" t="str">
        <x:v>S39-T01-PROC</x:v>
      </x:c>
      <x:c r="G321" s="2" t="str">
        <x:v>S39-T01</x:v>
      </x:c>
      <x:c r="H321" s="2" t="str">
        <x:v>5 Evolution and embedding</x:v>
      </x:c>
      <x:c r="I321" s="2" t="n">
        <x:v>5</x:v>
      </x:c>
      <x:c r="J321" s="2" t="str">
        <x:v>Common core</x:v>
      </x:c>
      <x:c r="K321" s="2" t="str">
        <x:v>Completed</x:v>
      </x:c>
      <x:c r="L321" s="2" t="str">
        <x:v>Not separately reported</x:v>
      </x:c>
      <x:c r="M321" s="2" t="str">
        <x:v>NR</x:v>
      </x:c>
      <x:c r="N321" s="2" t="str">
        <x:v>NR</x:v>
      </x:c>
      <x:c r="O321" s="2" t="str">
        <x:v>NR</x:v>
      </x:c>
      <x:c r="P321" s="6" t="str">
        <x:v>NR</x:v>
      </x:c>
      <x:c r="Q321" s="2" t="str">
        <x:v>NR</x:v>
      </x:c>
      <x:c r="R321" s="6" t="str">
        <x:v>NR</x:v>
      </x:c>
      <x:c r="S321" s="2" t="str">
        <x:v>NR</x:v>
      </x:c>
      <x:c r="T321" s="2" t="str">
        <x:v>NR</x:v>
      </x:c>
      <x:c r="U321" s="2" t="str">
        <x:v>NR</x:v>
      </x:c>
      <x:c r="V321" s="6" t="str">
        <x:v>Task-specific coded evidence</x:v>
      </x:c>
      <x:c r="W321" s="6" t="str">
        <x:v>p. 3; V. PREVIOUS RESULTS</x:v>
      </x:c>
      <x:c r="X321" s="6" t="str">
        <x:v>the task of tracing requirements to code using large language models</x:v>
      </x:c>
      <x:c r="Y321" s="6" t="str">
        <x:v>See task-step evidence references in the RQ2 supplement.</x:v>
      </x:c>
      <x:c r="Z321" s="2" t="str">
        <x:v>Accepted</x:v>
      </x:c>
      <x:c r="AA321" s="6" t="str">
        <x:v>NR</x:v>
      </x:c>
    </x:row>
    <x:row r="322" ht="76" customHeight="1">
      <x:c r="A322" s="2" t="str">
        <x:v>S40-T01-P1</x:v>
      </x:c>
      <x:c r="B322" s="2" t="str">
        <x:v>S40</x:v>
      </x:c>
      <x:c r="C322" s="2" t="str">
        <x:v>merged_1263</x:v>
      </x:c>
      <x:c r="D322" s="2" t="str">
        <x:v>Final coding</x:v>
      </x:c>
      <x:c r="E322" s="2" t="str">
        <x:v>R1/R2</x:v>
      </x:c>
      <x:c r="F322" s="2" t="str">
        <x:v>S40-T01-PROC</x:v>
      </x:c>
      <x:c r="G322" s="2" t="str">
        <x:v>S40-T01</x:v>
      </x:c>
      <x:c r="H322" s="2" t="str">
        <x:v>1 Artifact acquisition and scoping</x:v>
      </x:c>
      <x:c r="I322" s="2" t="n">
        <x:v>1</x:v>
      </x:c>
      <x:c r="J322" s="2" t="str">
        <x:v>Common core</x:v>
      </x:c>
      <x:c r="K322" s="2" t="str">
        <x:v>Completed</x:v>
      </x:c>
      <x:c r="L322" s="2" t="str">
        <x:v>Not separately reported</x:v>
      </x:c>
      <x:c r="M322" s="2" t="str">
        <x:v>NR</x:v>
      </x:c>
      <x:c r="N322" s="2" t="str">
        <x:v>NR</x:v>
      </x:c>
      <x:c r="O322" s="2" t="str">
        <x:v>NR</x:v>
      </x:c>
      <x:c r="P322" s="6" t="str">
        <x:v>NR</x:v>
      </x:c>
      <x:c r="Q322" s="2" t="str">
        <x:v>NR</x:v>
      </x:c>
      <x:c r="R322" s="6" t="str">
        <x:v>NR</x:v>
      </x:c>
      <x:c r="S322" s="2" t="str">
        <x:v>NR</x:v>
      </x:c>
      <x:c r="T322" s="2" t="str">
        <x:v>NR</x:v>
      </x:c>
      <x:c r="U322" s="2" t="str">
        <x:v>NR</x:v>
      </x:c>
      <x:c r="V322" s="6" t="str">
        <x:v>Task-specific coded evidence</x:v>
      </x:c>
      <x:c r="W322" s="6" t="str">
        <x:v>p. 4; Section 3</x:v>
      </x:c>
      <x:c r="X322" s="6" t="str">
        <x:v>Given the requirements R and code classes C , the task is to recover a trace-link set T ⊆ R × C .</x:v>
      </x:c>
      <x:c r="Y322" s="6" t="str">
        <x:v>See task-step evidence references in the RQ2 supplement.</x:v>
      </x:c>
      <x:c r="Z322" s="2" t="str">
        <x:v>Accepted</x:v>
      </x:c>
      <x:c r="AA322" s="6" t="str">
        <x:v>NR</x:v>
      </x:c>
    </x:row>
    <x:row r="323" ht="76" customHeight="1">
      <x:c r="A323" s="2" t="str">
        <x:v>S40-T01-P2</x:v>
      </x:c>
      <x:c r="B323" s="2" t="str">
        <x:v>S40</x:v>
      </x:c>
      <x:c r="C323" s="2" t="str">
        <x:v>merged_1263</x:v>
      </x:c>
      <x:c r="D323" s="2" t="str">
        <x:v>Final coding</x:v>
      </x:c>
      <x:c r="E323" s="2" t="str">
        <x:v>R1/R2</x:v>
      </x:c>
      <x:c r="F323" s="2" t="str">
        <x:v>S40-T01-PROC</x:v>
      </x:c>
      <x:c r="G323" s="2" t="str">
        <x:v>S40-T01</x:v>
      </x:c>
      <x:c r="H323" s="2" t="str">
        <x:v>2 Semantic contextualization</x:v>
      </x:c>
      <x:c r="I323" s="2" t="n">
        <x:v>2</x:v>
      </x:c>
      <x:c r="J323" s="2" t="str">
        <x:v>Common core</x:v>
      </x:c>
      <x:c r="K323" s="2" t="str">
        <x:v>Completed</x:v>
      </x:c>
      <x:c r="L323" s="2" t="str">
        <x:v>Explicitly evidenced</x:v>
      </x:c>
      <x:c r="M323" s="2" t="str">
        <x:v>NR</x:v>
      </x:c>
      <x:c r="N323" s="2" t="str">
        <x:v>NR</x:v>
      </x:c>
      <x:c r="O323" s="2" t="str">
        <x:v>NR</x:v>
      </x:c>
      <x:c r="P323" s="6" t="str">
        <x:v>NR</x:v>
      </x:c>
      <x:c r="Q323" s="2" t="str">
        <x:v>2 Semantic contextualization</x:v>
      </x:c>
      <x:c r="R323" s="6" t="str">
        <x:v>NR</x:v>
      </x:c>
      <x:c r="S323" s="2" t="str">
        <x:v>NR</x:v>
      </x:c>
      <x:c r="T323" s="2" t="str">
        <x:v>NR</x:v>
      </x:c>
      <x:c r="U323" s="2" t="str">
        <x:v>NR</x:v>
      </x:c>
      <x:c r="V323" s="6" t="str">
        <x:v>Task-specific coded evidence</x:v>
      </x:c>
      <x:c r="W323" s="6" t="str">
        <x:v>p. 4; Section 3</x:v>
      </x:c>
      <x:c r="X323" s="6" t="str">
        <x:v>Given the requirements R and code classes C , the task is to recover a trace-link set T ⊆ R × C .</x:v>
      </x:c>
      <x:c r="Y323" s="6" t="str">
        <x:v>See task-step evidence references in the RQ2 supplement.</x:v>
      </x:c>
      <x:c r="Z323" s="2" t="str">
        <x:v>Accepted</x:v>
      </x:c>
      <x:c r="AA323" s="6" t="str">
        <x:v>NR</x:v>
      </x:c>
    </x:row>
    <x:row r="324" ht="76" customHeight="1">
      <x:c r="A324" s="2" t="str">
        <x:v>S40-T01-P3</x:v>
      </x:c>
      <x:c r="B324" s="2" t="str">
        <x:v>S40</x:v>
      </x:c>
      <x:c r="C324" s="2" t="str">
        <x:v>merged_1263</x:v>
      </x:c>
      <x:c r="D324" s="2" t="str">
        <x:v>Final coding</x:v>
      </x:c>
      <x:c r="E324" s="2" t="str">
        <x:v>R1/R2</x:v>
      </x:c>
      <x:c r="F324" s="2" t="str">
        <x:v>S40-T01-PROC</x:v>
      </x:c>
      <x:c r="G324" s="2" t="str">
        <x:v>S40-T01</x:v>
      </x:c>
      <x:c r="H324" s="2" t="str">
        <x:v>3 Traceability inference</x:v>
      </x:c>
      <x:c r="I324" s="2" t="n">
        <x:v>3</x:v>
      </x:c>
      <x:c r="J324" s="2" t="str">
        <x:v>Common core</x:v>
      </x:c>
      <x:c r="K324" s="2" t="str">
        <x:v>Completed</x:v>
      </x:c>
      <x:c r="L324" s="2" t="str">
        <x:v>Inferred from relation output</x:v>
      </x:c>
      <x:c r="M324" s="2" t="str">
        <x:v>NR</x:v>
      </x:c>
      <x:c r="N324" s="2" t="str">
        <x:v>NR</x:v>
      </x:c>
      <x:c r="O324" s="2" t="str">
        <x:v>NR</x:v>
      </x:c>
      <x:c r="P324" s="6" t="str">
        <x:v>NR</x:v>
      </x:c>
      <x:c r="Q324" s="2" t="str">
        <x:v>NR</x:v>
      </x:c>
      <x:c r="R324" s="6" t="str">
        <x:v>链接集合 T ⊆ R × C，将需求映射到代码类。</x:v>
      </x:c>
      <x:c r="S324" s="2" t="str">
        <x:v>NR</x:v>
      </x:c>
      <x:c r="T324" s="2" t="str">
        <x:v>NR</x:v>
      </x:c>
      <x:c r="U324" s="2" t="str">
        <x:v>NR</x:v>
      </x:c>
      <x:c r="V324" s="6" t="str">
        <x:v>Task-specific coded evidence</x:v>
      </x:c>
      <x:c r="W324" s="6" t="str">
        <x:v>p. 4; Section 3</x:v>
      </x:c>
      <x:c r="X324" s="6" t="str">
        <x:v>Given the requirements R and code classes C , the task is to recover a trace-link set T ⊆ R × C .</x:v>
      </x:c>
      <x:c r="Y324" s="6" t="str">
        <x:v>See task-step evidence references in the RQ2 supplement.</x:v>
      </x:c>
      <x:c r="Z324" s="2" t="str">
        <x:v>Accepted</x:v>
      </x:c>
      <x:c r="AA324" s="6" t="str">
        <x:v>NR</x:v>
      </x:c>
    </x:row>
    <x:row r="325" ht="76" customHeight="1">
      <x:c r="A325" s="2" t="str">
        <x:v>S40-T01-P4</x:v>
      </x:c>
      <x:c r="B325" s="2" t="str">
        <x:v>S40</x:v>
      </x:c>
      <x:c r="C325" s="2" t="str">
        <x:v>merged_1263</x:v>
      </x:c>
      <x:c r="D325" s="2" t="str">
        <x:v>Final coding</x:v>
      </x:c>
      <x:c r="E325" s="2" t="str">
        <x:v>R1/R2</x:v>
      </x:c>
      <x:c r="F325" s="2" t="str">
        <x:v>S40-T01-PROC</x:v>
      </x:c>
      <x:c r="G325" s="2" t="str">
        <x:v>S40-T01</x:v>
      </x:c>
      <x:c r="H325" s="2" t="str">
        <x:v>4 Validation and explanation</x:v>
      </x:c>
      <x:c r="I325" s="2" t="n">
        <x:v>4</x:v>
      </x:c>
      <x:c r="J325" s="2" t="str">
        <x:v>Common core</x:v>
      </x:c>
      <x:c r="K325" s="2" t="str">
        <x:v>Completed</x:v>
      </x:c>
      <x:c r="L325" s="2" t="str">
        <x:v>Explicitly evidenced</x:v>
      </x:c>
      <x:c r="M325" s="2" t="str">
        <x:v>NR</x:v>
      </x:c>
      <x:c r="N325" s="2" t="str">
        <x:v>NR</x:v>
      </x:c>
      <x:c r="O325" s="2" t="str">
        <x:v>NR</x:v>
      </x:c>
      <x:c r="P325" s="6" t="str">
        <x:v>NR</x:v>
      </x:c>
      <x:c r="Q325" s="2" t="str">
        <x:v>4 Validation and explanation</x:v>
      </x:c>
      <x:c r="R325" s="6" t="str">
        <x:v>NR</x:v>
      </x:c>
      <x:c r="S325" s="2" t="str">
        <x:v>NR</x:v>
      </x:c>
      <x:c r="T325" s="2" t="str">
        <x:v>NR</x:v>
      </x:c>
      <x:c r="U325" s="2" t="str">
        <x:v>NR</x:v>
      </x:c>
      <x:c r="V325" s="6" t="str">
        <x:v>Task-specific coded evidence</x:v>
      </x:c>
      <x:c r="W325" s="6" t="str">
        <x:v>p. 4; Section 3</x:v>
      </x:c>
      <x:c r="X325" s="6" t="str">
        <x:v>Given the requirements R and code classes C , the task is to recover a trace-link set T ⊆ R × C .</x:v>
      </x:c>
      <x:c r="Y325" s="6" t="str">
        <x:v>See task-step evidence references in the RQ2 supplement.</x:v>
      </x:c>
      <x:c r="Z325" s="2" t="str">
        <x:v>Accepted</x:v>
      </x:c>
      <x:c r="AA325" s="6" t="str">
        <x:v>NR</x:v>
      </x:c>
    </x:row>
    <x:row r="326" ht="76" customHeight="1">
      <x:c r="A326" s="2" t="str">
        <x:v>S40-T01-P5</x:v>
      </x:c>
      <x:c r="B326" s="2" t="str">
        <x:v>S40</x:v>
      </x:c>
      <x:c r="C326" s="2" t="str">
        <x:v>merged_1263</x:v>
      </x:c>
      <x:c r="D326" s="2" t="str">
        <x:v>Final coding</x:v>
      </x:c>
      <x:c r="E326" s="2" t="str">
        <x:v>R1/R2</x:v>
      </x:c>
      <x:c r="F326" s="2" t="str">
        <x:v>S40-T01-PROC</x:v>
      </x:c>
      <x:c r="G326" s="2" t="str">
        <x:v>S40-T01</x:v>
      </x:c>
      <x:c r="H326" s="2" t="str">
        <x:v>5 Evolution and embedding</x:v>
      </x:c>
      <x:c r="I326" s="2" t="n">
        <x:v>5</x:v>
      </x:c>
      <x:c r="J326" s="2" t="str">
        <x:v>Common core</x:v>
      </x:c>
      <x:c r="K326" s="2" t="str">
        <x:v>Completed</x:v>
      </x:c>
      <x:c r="L326" s="2" t="str">
        <x:v>Not separately reported</x:v>
      </x:c>
      <x:c r="M326" s="2" t="str">
        <x:v>NR</x:v>
      </x:c>
      <x:c r="N326" s="2" t="str">
        <x:v>NR</x:v>
      </x:c>
      <x:c r="O326" s="2" t="str">
        <x:v>NR</x:v>
      </x:c>
      <x:c r="P326" s="6" t="str">
        <x:v>NR</x:v>
      </x:c>
      <x:c r="Q326" s="2" t="str">
        <x:v>NR</x:v>
      </x:c>
      <x:c r="R326" s="6" t="str">
        <x:v>NR</x:v>
      </x:c>
      <x:c r="S326" s="2" t="str">
        <x:v>NR</x:v>
      </x:c>
      <x:c r="T326" s="2" t="str">
        <x:v>NR</x:v>
      </x:c>
      <x:c r="U326" s="2" t="str">
        <x:v>NR</x:v>
      </x:c>
      <x:c r="V326" s="6" t="str">
        <x:v>Task-specific coded evidence</x:v>
      </x:c>
      <x:c r="W326" s="6" t="str">
        <x:v>p. 4; Section 3</x:v>
      </x:c>
      <x:c r="X326" s="6" t="str">
        <x:v>Given the requirements R and code classes C , the task is to recover a trace-link set T ⊆ R × C .</x:v>
      </x:c>
      <x:c r="Y326" s="6" t="str">
        <x:v>See task-step evidence references in the RQ2 supplement.</x:v>
      </x:c>
      <x:c r="Z326" s="2" t="str">
        <x:v>Accepted</x:v>
      </x:c>
      <x:c r="AA326" s="6" t="str">
        <x:v>NR</x:v>
      </x:c>
    </x:row>
    <x:row r="327" ht="76" customHeight="1">
      <x:c r="A327" s="2" t="str">
        <x:v>S41-T01-P1</x:v>
      </x:c>
      <x:c r="B327" s="2" t="str">
        <x:v>S41</x:v>
      </x:c>
      <x:c r="C327" s="2" t="str">
        <x:v>merged_1264</x:v>
      </x:c>
      <x:c r="D327" s="2" t="str">
        <x:v>Final coding</x:v>
      </x:c>
      <x:c r="E327" s="2" t="str">
        <x:v>R1/R2</x:v>
      </x:c>
      <x:c r="F327" s="2" t="str">
        <x:v>S41-T01-PROC</x:v>
      </x:c>
      <x:c r="G327" s="2" t="str">
        <x:v>S41-T01</x:v>
      </x:c>
      <x:c r="H327" s="2" t="str">
        <x:v>1 Artifact acquisition and scoping</x:v>
      </x:c>
      <x:c r="I327" s="2" t="n">
        <x:v>1</x:v>
      </x:c>
      <x:c r="J327" s="2" t="str">
        <x:v>Common core</x:v>
      </x:c>
      <x:c r="K327" s="2" t="str">
        <x:v>Completed</x:v>
      </x:c>
      <x:c r="L327" s="2" t="str">
        <x:v>Not separately reported</x:v>
      </x:c>
      <x:c r="M327" s="2" t="str">
        <x:v>NR</x:v>
      </x:c>
      <x:c r="N327" s="2" t="str">
        <x:v>NR</x:v>
      </x:c>
      <x:c r="O327" s="2" t="str">
        <x:v>NR</x:v>
      </x:c>
      <x:c r="P327" s="6" t="str">
        <x:v>NR</x:v>
      </x:c>
      <x:c r="Q327" s="2" t="str">
        <x:v>NR</x:v>
      </x:c>
      <x:c r="R327" s="6" t="str">
        <x:v>NR</x:v>
      </x:c>
      <x:c r="S327" s="2" t="str">
        <x:v>NR</x:v>
      </x:c>
      <x:c r="T327" s="2" t="str">
        <x:v>NR</x:v>
      </x:c>
      <x:c r="U327" s="2" t="str">
        <x:v>NR</x:v>
      </x:c>
      <x:c r="V327" s="6" t="str">
        <x:v>Task-specific coded evidence</x:v>
      </x:c>
      <x:c r="W327" s="6" t="str">
        <x:v>p. 6; abstract</x:v>
      </x:c>
      <x:c r="X327" s="6" t="str">
        <x:v>SELink, a Semantic-Enhanced framework for recovering issue-commit links</x:v>
      </x:c>
      <x:c r="Y327" s="6" t="str">
        <x:v>See task-step evidence references in the RQ2 supplement.</x:v>
      </x:c>
      <x:c r="Z327" s="2" t="str">
        <x:v>Accepted</x:v>
      </x:c>
      <x:c r="AA327" s="6" t="str">
        <x:v>NR</x:v>
      </x:c>
    </x:row>
    <x:row r="328" ht="76" customHeight="1">
      <x:c r="A328" s="2" t="str">
        <x:v>S41-T01-P2</x:v>
      </x:c>
      <x:c r="B328" s="2" t="str">
        <x:v>S41</x:v>
      </x:c>
      <x:c r="C328" s="2" t="str">
        <x:v>merged_1264</x:v>
      </x:c>
      <x:c r="D328" s="2" t="str">
        <x:v>Final coding</x:v>
      </x:c>
      <x:c r="E328" s="2" t="str">
        <x:v>R1/R2</x:v>
      </x:c>
      <x:c r="F328" s="2" t="str">
        <x:v>S41-T01-PROC</x:v>
      </x:c>
      <x:c r="G328" s="2" t="str">
        <x:v>S41-T01</x:v>
      </x:c>
      <x:c r="H328" s="2" t="str">
        <x:v>2 Semantic contextualization</x:v>
      </x:c>
      <x:c r="I328" s="2" t="n">
        <x:v>2</x:v>
      </x:c>
      <x:c r="J328" s="2" t="str">
        <x:v>Common core</x:v>
      </x:c>
      <x:c r="K328" s="2" t="str">
        <x:v>Completed</x:v>
      </x:c>
      <x:c r="L328" s="2" t="str">
        <x:v>Explicitly evidenced</x:v>
      </x:c>
      <x:c r="M328" s="2" t="str">
        <x:v>NR</x:v>
      </x:c>
      <x:c r="N328" s="2" t="str">
        <x:v>NR</x:v>
      </x:c>
      <x:c r="O328" s="2" t="str">
        <x:v>NR</x:v>
      </x:c>
      <x:c r="P328" s="6" t="str">
        <x:v>NR</x:v>
      </x:c>
      <x:c r="Q328" s="2" t="str">
        <x:v>2 Semantic contextualization</x:v>
      </x:c>
      <x:c r="R328" s="6" t="str">
        <x:v>NR</x:v>
      </x:c>
      <x:c r="S328" s="2" t="str">
        <x:v>NR</x:v>
      </x:c>
      <x:c r="T328" s="2" t="str">
        <x:v>NR</x:v>
      </x:c>
      <x:c r="U328" s="2" t="str">
        <x:v>NR</x:v>
      </x:c>
      <x:c r="V328" s="6" t="str">
        <x:v>Task-specific coded evidence</x:v>
      </x:c>
      <x:c r="W328" s="6" t="str">
        <x:v>p. 6; abstract</x:v>
      </x:c>
      <x:c r="X328" s="6" t="str">
        <x:v>SELink, a Semantic-Enhanced framework for recovering issue-commit links</x:v>
      </x:c>
      <x:c r="Y328" s="6" t="str">
        <x:v>See task-step evidence references in the RQ2 supplement.</x:v>
      </x:c>
      <x:c r="Z328" s="2" t="str">
        <x:v>Accepted</x:v>
      </x:c>
      <x:c r="AA328" s="6" t="str">
        <x:v>NR</x:v>
      </x:c>
    </x:row>
    <x:row r="329" ht="76" customHeight="1">
      <x:c r="A329" s="2" t="str">
        <x:v>S41-T01-P3</x:v>
      </x:c>
      <x:c r="B329" s="2" t="str">
        <x:v>S41</x:v>
      </x:c>
      <x:c r="C329" s="2" t="str">
        <x:v>merged_1264</x:v>
      </x:c>
      <x:c r="D329" s="2" t="str">
        <x:v>Final coding</x:v>
      </x:c>
      <x:c r="E329" s="2" t="str">
        <x:v>R1/R2</x:v>
      </x:c>
      <x:c r="F329" s="2" t="str">
        <x:v>S41-T01-PROC</x:v>
      </x:c>
      <x:c r="G329" s="2" t="str">
        <x:v>S41-T01</x:v>
      </x:c>
      <x:c r="H329" s="2" t="str">
        <x:v>3 Traceability inference</x:v>
      </x:c>
      <x:c r="I329" s="2" t="n">
        <x:v>3</x:v>
      </x:c>
      <x:c r="J329" s="2" t="str">
        <x:v>Common core</x:v>
      </x:c>
      <x:c r="K329" s="2" t="str">
        <x:v>Completed</x:v>
      </x:c>
      <x:c r="L329" s="2" t="str">
        <x:v>Explicitly evidenced</x:v>
      </x:c>
      <x:c r="M329" s="2" t="str">
        <x:v>NR</x:v>
      </x:c>
      <x:c r="N329" s="2" t="str">
        <x:v>NR</x:v>
      </x:c>
      <x:c r="O329" s="2" t="str">
        <x:v>NR</x:v>
      </x:c>
      <x:c r="P329" s="6" t="str">
        <x:v>NR</x:v>
      </x:c>
      <x:c r="Q329" s="2" t="str">
        <x:v>3 Traceability inference</x:v>
      </x:c>
      <x:c r="R329" s="6" t="str">
        <x:v>为每个问题生成一个排序的候选提交列表，指示最相关的提交。</x:v>
      </x:c>
      <x:c r="S329" s="2" t="str">
        <x:v>NR</x:v>
      </x:c>
      <x:c r="T329" s="2" t="str">
        <x:v>NR</x:v>
      </x:c>
      <x:c r="U329" s="2" t="str">
        <x:v>NR</x:v>
      </x:c>
      <x:c r="V329" s="6" t="str">
        <x:v>Task-specific coded evidence</x:v>
      </x:c>
      <x:c r="W329" s="6" t="str">
        <x:v>p. 6; abstract</x:v>
      </x:c>
      <x:c r="X329" s="6" t="str">
        <x:v>SELink, a Semantic-Enhanced framework for recovering issue-commit links</x:v>
      </x:c>
      <x:c r="Y329" s="6" t="str">
        <x:v>See task-step evidence references in the RQ2 supplement.</x:v>
      </x:c>
      <x:c r="Z329" s="2" t="str">
        <x:v>Accepted</x:v>
      </x:c>
      <x:c r="AA329" s="6" t="str">
        <x:v>NR</x:v>
      </x:c>
    </x:row>
    <x:row r="330" ht="76" customHeight="1">
      <x:c r="A330" s="2" t="str">
        <x:v>S41-T01-P4</x:v>
      </x:c>
      <x:c r="B330" s="2" t="str">
        <x:v>S41</x:v>
      </x:c>
      <x:c r="C330" s="2" t="str">
        <x:v>merged_1264</x:v>
      </x:c>
      <x:c r="D330" s="2" t="str">
        <x:v>Final coding</x:v>
      </x:c>
      <x:c r="E330" s="2" t="str">
        <x:v>R1/R2</x:v>
      </x:c>
      <x:c r="F330" s="2" t="str">
        <x:v>S41-T01-PROC</x:v>
      </x:c>
      <x:c r="G330" s="2" t="str">
        <x:v>S41-T01</x:v>
      </x:c>
      <x:c r="H330" s="2" t="str">
        <x:v>4 Validation and explanation</x:v>
      </x:c>
      <x:c r="I330" s="2" t="n">
        <x:v>4</x:v>
      </x:c>
      <x:c r="J330" s="2" t="str">
        <x:v>Common core</x:v>
      </x:c>
      <x:c r="K330" s="2" t="str">
        <x:v>Completed</x:v>
      </x:c>
      <x:c r="L330" s="2" t="str">
        <x:v>Not separately reported</x:v>
      </x:c>
      <x:c r="M330" s="2" t="str">
        <x:v>NR</x:v>
      </x:c>
      <x:c r="N330" s="2" t="str">
        <x:v>NR</x:v>
      </x:c>
      <x:c r="O330" s="2" t="str">
        <x:v>NR</x:v>
      </x:c>
      <x:c r="P330" s="6" t="str">
        <x:v>NR</x:v>
      </x:c>
      <x:c r="Q330" s="2" t="str">
        <x:v>NR</x:v>
      </x:c>
      <x:c r="R330" s="6" t="str">
        <x:v>NR</x:v>
      </x:c>
      <x:c r="S330" s="2" t="str">
        <x:v>NR</x:v>
      </x:c>
      <x:c r="T330" s="2" t="str">
        <x:v>NR</x:v>
      </x:c>
      <x:c r="U330" s="2" t="str">
        <x:v>NR</x:v>
      </x:c>
      <x:c r="V330" s="6" t="str">
        <x:v>Task-specific coded evidence</x:v>
      </x:c>
      <x:c r="W330" s="6" t="str">
        <x:v>p. 6; abstract</x:v>
      </x:c>
      <x:c r="X330" s="6" t="str">
        <x:v>SELink, a Semantic-Enhanced framework for recovering issue-commit links</x:v>
      </x:c>
      <x:c r="Y330" s="6" t="str">
        <x:v>See task-step evidence references in the RQ2 supplement.</x:v>
      </x:c>
      <x:c r="Z330" s="2" t="str">
        <x:v>Accepted</x:v>
      </x:c>
      <x:c r="AA330" s="6" t="str">
        <x:v>NR</x:v>
      </x:c>
    </x:row>
    <x:row r="331" ht="76" customHeight="1">
      <x:c r="A331" s="2" t="str">
        <x:v>S41-T01-P5</x:v>
      </x:c>
      <x:c r="B331" s="2" t="str">
        <x:v>S41</x:v>
      </x:c>
      <x:c r="C331" s="2" t="str">
        <x:v>merged_1264</x:v>
      </x:c>
      <x:c r="D331" s="2" t="str">
        <x:v>Final coding</x:v>
      </x:c>
      <x:c r="E331" s="2" t="str">
        <x:v>R1/R2</x:v>
      </x:c>
      <x:c r="F331" s="2" t="str">
        <x:v>S41-T01-PROC</x:v>
      </x:c>
      <x:c r="G331" s="2" t="str">
        <x:v>S41-T01</x:v>
      </x:c>
      <x:c r="H331" s="2" t="str">
        <x:v>5 Evolution and embedding</x:v>
      </x:c>
      <x:c r="I331" s="2" t="n">
        <x:v>5</x:v>
      </x:c>
      <x:c r="J331" s="2" t="str">
        <x:v>Common core</x:v>
      </x:c>
      <x:c r="K331" s="2" t="str">
        <x:v>Completed</x:v>
      </x:c>
      <x:c r="L331" s="2" t="str">
        <x:v>Not separately reported</x:v>
      </x:c>
      <x:c r="M331" s="2" t="str">
        <x:v>NR</x:v>
      </x:c>
      <x:c r="N331" s="2" t="str">
        <x:v>NR</x:v>
      </x:c>
      <x:c r="O331" s="2" t="str">
        <x:v>NR</x:v>
      </x:c>
      <x:c r="P331" s="6" t="str">
        <x:v>NR</x:v>
      </x:c>
      <x:c r="Q331" s="2" t="str">
        <x:v>NR</x:v>
      </x:c>
      <x:c r="R331" s="6" t="str">
        <x:v>NR</x:v>
      </x:c>
      <x:c r="S331" s="2" t="str">
        <x:v>NR</x:v>
      </x:c>
      <x:c r="T331" s="2" t="str">
        <x:v>NR</x:v>
      </x:c>
      <x:c r="U331" s="2" t="str">
        <x:v>NR</x:v>
      </x:c>
      <x:c r="V331" s="6" t="str">
        <x:v>Task-specific coded evidence</x:v>
      </x:c>
      <x:c r="W331" s="6" t="str">
        <x:v>p. 6; abstract</x:v>
      </x:c>
      <x:c r="X331" s="6" t="str">
        <x:v>SELink, a Semantic-Enhanced framework for recovering issue-commit links</x:v>
      </x:c>
      <x:c r="Y331" s="6" t="str">
        <x:v>See task-step evidence references in the RQ2 supplement.</x:v>
      </x:c>
      <x:c r="Z331" s="2" t="str">
        <x:v>Accepted</x:v>
      </x:c>
      <x:c r="AA331" s="6" t="str">
        <x:v>NR</x:v>
      </x:c>
    </x:row>
    <x:row r="332" ht="76" customHeight="1">
      <x:c r="A332" s="2" t="str">
        <x:v>S42-T01-P1</x:v>
      </x:c>
      <x:c r="B332" s="2" t="str">
        <x:v>S42</x:v>
      </x:c>
      <x:c r="C332" s="2" t="str">
        <x:v>merged_1266</x:v>
      </x:c>
      <x:c r="D332" s="2" t="str">
        <x:v>Final coding</x:v>
      </x:c>
      <x:c r="E332" s="2" t="str">
        <x:v>R1/R2</x:v>
      </x:c>
      <x:c r="F332" s="2" t="str">
        <x:v>S42-T01-PROC</x:v>
      </x:c>
      <x:c r="G332" s="2" t="str">
        <x:v>S42-T01</x:v>
      </x:c>
      <x:c r="H332" s="2" t="str">
        <x:v>1 Artifact acquisition and scoping</x:v>
      </x:c>
      <x:c r="I332" s="2" t="n">
        <x:v>1</x:v>
      </x:c>
      <x:c r="J332" s="2" t="str">
        <x:v>Common core</x:v>
      </x:c>
      <x:c r="K332" s="2" t="str">
        <x:v>Completed</x:v>
      </x:c>
      <x:c r="L332" s="2" t="str">
        <x:v>Not separately reported</x:v>
      </x:c>
      <x:c r="M332" s="2" t="str">
        <x:v>NR</x:v>
      </x:c>
      <x:c r="N332" s="2" t="str">
        <x:v>NR</x:v>
      </x:c>
      <x:c r="O332" s="2" t="str">
        <x:v>NR</x:v>
      </x:c>
      <x:c r="P332" s="6" t="str">
        <x:v>NR</x:v>
      </x:c>
      <x:c r="Q332" s="2" t="str">
        <x:v>NR</x:v>
      </x:c>
      <x:c r="R332" s="6" t="str">
        <x:v>NR</x:v>
      </x:c>
      <x:c r="S332" s="2" t="str">
        <x:v>NR</x:v>
      </x:c>
      <x:c r="T332" s="2" t="str">
        <x:v>NR</x:v>
      </x:c>
      <x:c r="U332" s="2" t="str">
        <x:v>NR</x:v>
      </x:c>
      <x:c r="V332" s="6" t="str">
        <x:v>Task-specific coded evidence</x:v>
      </x:c>
      <x:c r="W332" s="6" t="str">
        <x:v>p. 4; Section 3</x:v>
      </x:c>
      <x:c r="X332" s="6" t="str">
        <x:v>The output of the approach is a list of trace links between the requirements in the two sets.</x:v>
      </x:c>
      <x:c r="Y332" s="6" t="str">
        <x:v>See task-step evidence references in the RQ2 supplement.</x:v>
      </x:c>
      <x:c r="Z332" s="2" t="str">
        <x:v>Accepted</x:v>
      </x:c>
      <x:c r="AA332" s="6" t="str">
        <x:v>NR</x:v>
      </x:c>
    </x:row>
    <x:row r="333" ht="76" customHeight="1">
      <x:c r="A333" s="2" t="str">
        <x:v>S42-T01-P2</x:v>
      </x:c>
      <x:c r="B333" s="2" t="str">
        <x:v>S42</x:v>
      </x:c>
      <x:c r="C333" s="2" t="str">
        <x:v>merged_1266</x:v>
      </x:c>
      <x:c r="D333" s="2" t="str">
        <x:v>Final coding</x:v>
      </x:c>
      <x:c r="E333" s="2" t="str">
        <x:v>R1/R2</x:v>
      </x:c>
      <x:c r="F333" s="2" t="str">
        <x:v>S42-T01-PROC</x:v>
      </x:c>
      <x:c r="G333" s="2" t="str">
        <x:v>S42-T01</x:v>
      </x:c>
      <x:c r="H333" s="2" t="str">
        <x:v>2 Semantic contextualization</x:v>
      </x:c>
      <x:c r="I333" s="2" t="n">
        <x:v>2</x:v>
      </x:c>
      <x:c r="J333" s="2" t="str">
        <x:v>Common core</x:v>
      </x:c>
      <x:c r="K333" s="2" t="str">
        <x:v>Completed</x:v>
      </x:c>
      <x:c r="L333" s="2" t="str">
        <x:v>Explicitly evidenced</x:v>
      </x:c>
      <x:c r="M333" s="2" t="str">
        <x:v>NR</x:v>
      </x:c>
      <x:c r="N333" s="2" t="str">
        <x:v>NR</x:v>
      </x:c>
      <x:c r="O333" s="2" t="str">
        <x:v>NR</x:v>
      </x:c>
      <x:c r="P333" s="6" t="str">
        <x:v>NR</x:v>
      </x:c>
      <x:c r="Q333" s="2" t="str">
        <x:v>2 Semantic contextualization</x:v>
      </x:c>
      <x:c r="R333" s="6" t="str">
        <x:v>NR</x:v>
      </x:c>
      <x:c r="S333" s="2" t="str">
        <x:v>NR</x:v>
      </x:c>
      <x:c r="T333" s="2" t="str">
        <x:v>NR</x:v>
      </x:c>
      <x:c r="U333" s="2" t="str">
        <x:v>NR</x:v>
      </x:c>
      <x:c r="V333" s="6" t="str">
        <x:v>Task-specific coded evidence</x:v>
      </x:c>
      <x:c r="W333" s="6" t="str">
        <x:v>p. 4; Section 3</x:v>
      </x:c>
      <x:c r="X333" s="6" t="str">
        <x:v>The output of the approach is a list of trace links between the requirements in the two sets.</x:v>
      </x:c>
      <x:c r="Y333" s="6" t="str">
        <x:v>See task-step evidence references in the RQ2 supplement.</x:v>
      </x:c>
      <x:c r="Z333" s="2" t="str">
        <x:v>Accepted</x:v>
      </x:c>
      <x:c r="AA333" s="6" t="str">
        <x:v>NR</x:v>
      </x:c>
    </x:row>
    <x:row r="334" ht="76" customHeight="1">
      <x:c r="A334" s="2" t="str">
        <x:v>S42-T01-P3</x:v>
      </x:c>
      <x:c r="B334" s="2" t="str">
        <x:v>S42</x:v>
      </x:c>
      <x:c r="C334" s="2" t="str">
        <x:v>merged_1266</x:v>
      </x:c>
      <x:c r="D334" s="2" t="str">
        <x:v>Final coding</x:v>
      </x:c>
      <x:c r="E334" s="2" t="str">
        <x:v>R1/R2</x:v>
      </x:c>
      <x:c r="F334" s="2" t="str">
        <x:v>S42-T01-PROC</x:v>
      </x:c>
      <x:c r="G334" s="2" t="str">
        <x:v>S42-T01</x:v>
      </x:c>
      <x:c r="H334" s="2" t="str">
        <x:v>3 Traceability inference</x:v>
      </x:c>
      <x:c r="I334" s="2" t="n">
        <x:v>3</x:v>
      </x:c>
      <x:c r="J334" s="2" t="str">
        <x:v>Common core</x:v>
      </x:c>
      <x:c r="K334" s="2" t="str">
        <x:v>Completed</x:v>
      </x:c>
      <x:c r="L334" s="2" t="str">
        <x:v>Explicitly evidenced</x:v>
      </x:c>
      <x:c r="M334" s="2" t="str">
        <x:v>NR</x:v>
      </x:c>
      <x:c r="N334" s="2" t="str">
        <x:v>NR</x:v>
      </x:c>
      <x:c r="O334" s="2" t="str">
        <x:v>NR</x:v>
      </x:c>
      <x:c r="P334" s="6" t="str">
        <x:v>NR</x:v>
      </x:c>
      <x:c r="Q334" s="2" t="str">
        <x:v>3 Traceability inference</x:v>
      </x:c>
      <x:c r="R334" s="6" t="str">
        <x:v>源需求与目标需求之间的可追溯链接列表</x:v>
      </x:c>
      <x:c r="S334" s="2" t="str">
        <x:v>NR</x:v>
      </x:c>
      <x:c r="T334" s="2" t="str">
        <x:v>NR</x:v>
      </x:c>
      <x:c r="U334" s="2" t="str">
        <x:v>NR</x:v>
      </x:c>
      <x:c r="V334" s="6" t="str">
        <x:v>Task-specific coded evidence</x:v>
      </x:c>
      <x:c r="W334" s="6" t="str">
        <x:v>p. 4; Section 3</x:v>
      </x:c>
      <x:c r="X334" s="6" t="str">
        <x:v>The output of the approach is a list of trace links between the requirements in the two sets.</x:v>
      </x:c>
      <x:c r="Y334" s="6" t="str">
        <x:v>See task-step evidence references in the RQ2 supplement.</x:v>
      </x:c>
      <x:c r="Z334" s="2" t="str">
        <x:v>Accepted</x:v>
      </x:c>
      <x:c r="AA334" s="6" t="str">
        <x:v>NR</x:v>
      </x:c>
    </x:row>
    <x:row r="335" ht="76" customHeight="1">
      <x:c r="A335" s="2" t="str">
        <x:v>S42-T01-P4</x:v>
      </x:c>
      <x:c r="B335" s="2" t="str">
        <x:v>S42</x:v>
      </x:c>
      <x:c r="C335" s="2" t="str">
        <x:v>merged_1266</x:v>
      </x:c>
      <x:c r="D335" s="2" t="str">
        <x:v>Final coding</x:v>
      </x:c>
      <x:c r="E335" s="2" t="str">
        <x:v>R1/R2</x:v>
      </x:c>
      <x:c r="F335" s="2" t="str">
        <x:v>S42-T01-PROC</x:v>
      </x:c>
      <x:c r="G335" s="2" t="str">
        <x:v>S42-T01</x:v>
      </x:c>
      <x:c r="H335" s="2" t="str">
        <x:v>4 Validation and explanation</x:v>
      </x:c>
      <x:c r="I335" s="2" t="n">
        <x:v>4</x:v>
      </x:c>
      <x:c r="J335" s="2" t="str">
        <x:v>Common core</x:v>
      </x:c>
      <x:c r="K335" s="2" t="str">
        <x:v>Completed</x:v>
      </x:c>
      <x:c r="L335" s="2" t="str">
        <x:v>Not separately reported</x:v>
      </x:c>
      <x:c r="M335" s="2" t="str">
        <x:v>NR</x:v>
      </x:c>
      <x:c r="N335" s="2" t="str">
        <x:v>NR</x:v>
      </x:c>
      <x:c r="O335" s="2" t="str">
        <x:v>NR</x:v>
      </x:c>
      <x:c r="P335" s="6" t="str">
        <x:v>NR</x:v>
      </x:c>
      <x:c r="Q335" s="2" t="str">
        <x:v>NR</x:v>
      </x:c>
      <x:c r="R335" s="6" t="str">
        <x:v>NR</x:v>
      </x:c>
      <x:c r="S335" s="2" t="str">
        <x:v>NR</x:v>
      </x:c>
      <x:c r="T335" s="2" t="str">
        <x:v>NR</x:v>
      </x:c>
      <x:c r="U335" s="2" t="str">
        <x:v>NR</x:v>
      </x:c>
      <x:c r="V335" s="6" t="str">
        <x:v>Task-specific coded evidence</x:v>
      </x:c>
      <x:c r="W335" s="6" t="str">
        <x:v>p. 4; Section 3</x:v>
      </x:c>
      <x:c r="X335" s="6" t="str">
        <x:v>The output of the approach is a list of trace links between the requirements in the two sets.</x:v>
      </x:c>
      <x:c r="Y335" s="6" t="str">
        <x:v>See task-step evidence references in the RQ2 supplement.</x:v>
      </x:c>
      <x:c r="Z335" s="2" t="str">
        <x:v>Accepted</x:v>
      </x:c>
      <x:c r="AA335" s="6" t="str">
        <x:v>NR</x:v>
      </x:c>
    </x:row>
    <x:row r="336" ht="76" customHeight="1">
      <x:c r="A336" s="2" t="str">
        <x:v>S42-T01-P5</x:v>
      </x:c>
      <x:c r="B336" s="2" t="str">
        <x:v>S42</x:v>
      </x:c>
      <x:c r="C336" s="2" t="str">
        <x:v>merged_1266</x:v>
      </x:c>
      <x:c r="D336" s="2" t="str">
        <x:v>Final coding</x:v>
      </x:c>
      <x:c r="E336" s="2" t="str">
        <x:v>R1/R2</x:v>
      </x:c>
      <x:c r="F336" s="2" t="str">
        <x:v>S42-T01-PROC</x:v>
      </x:c>
      <x:c r="G336" s="2" t="str">
        <x:v>S42-T01</x:v>
      </x:c>
      <x:c r="H336" s="2" t="str">
        <x:v>5 Evolution and embedding</x:v>
      </x:c>
      <x:c r="I336" s="2" t="n">
        <x:v>5</x:v>
      </x:c>
      <x:c r="J336" s="2" t="str">
        <x:v>Common core</x:v>
      </x:c>
      <x:c r="K336" s="2" t="str">
        <x:v>Completed</x:v>
      </x:c>
      <x:c r="L336" s="2" t="str">
        <x:v>Not separately reported</x:v>
      </x:c>
      <x:c r="M336" s="2" t="str">
        <x:v>NR</x:v>
      </x:c>
      <x:c r="N336" s="2" t="str">
        <x:v>NR</x:v>
      </x:c>
      <x:c r="O336" s="2" t="str">
        <x:v>NR</x:v>
      </x:c>
      <x:c r="P336" s="6" t="str">
        <x:v>NR</x:v>
      </x:c>
      <x:c r="Q336" s="2" t="str">
        <x:v>NR</x:v>
      </x:c>
      <x:c r="R336" s="6" t="str">
        <x:v>NR</x:v>
      </x:c>
      <x:c r="S336" s="2" t="str">
        <x:v>NR</x:v>
      </x:c>
      <x:c r="T336" s="2" t="str">
        <x:v>NR</x:v>
      </x:c>
      <x:c r="U336" s="2" t="str">
        <x:v>NR</x:v>
      </x:c>
      <x:c r="V336" s="6" t="str">
        <x:v>Task-specific coded evidence</x:v>
      </x:c>
      <x:c r="W336" s="6" t="str">
        <x:v>p. 4; Section 3</x:v>
      </x:c>
      <x:c r="X336" s="6" t="str">
        <x:v>The output of the approach is a list of trace links between the requirements in the two sets.</x:v>
      </x:c>
      <x:c r="Y336" s="6" t="str">
        <x:v>See task-step evidence references in the RQ2 supplement.</x:v>
      </x:c>
      <x:c r="Z336" s="2" t="str">
        <x:v>Accepted</x:v>
      </x:c>
      <x:c r="AA336" s="6" t="str">
        <x:v>NR</x:v>
      </x:c>
    </x:row>
    <x:row r="337" ht="76" customHeight="1">
      <x:c r="A337" s="2" t="str">
        <x:v>S43-T01-P1</x:v>
      </x:c>
      <x:c r="B337" s="2" t="str">
        <x:v>S43</x:v>
      </x:c>
      <x:c r="C337" s="2" t="str">
        <x:v>merged_1270</x:v>
      </x:c>
      <x:c r="D337" s="2" t="str">
        <x:v>Final coding</x:v>
      </x:c>
      <x:c r="E337" s="2" t="str">
        <x:v>R1/R2</x:v>
      </x:c>
      <x:c r="F337" s="2" t="str">
        <x:v>S43-T01-PROC</x:v>
      </x:c>
      <x:c r="G337" s="2" t="str">
        <x:v>S43-T01</x:v>
      </x:c>
      <x:c r="H337" s="2" t="str">
        <x:v>1 Artifact acquisition and scoping</x:v>
      </x:c>
      <x:c r="I337" s="2" t="n">
        <x:v>1</x:v>
      </x:c>
      <x:c r="J337" s="2" t="str">
        <x:v>Common core</x:v>
      </x:c>
      <x:c r="K337" s="2" t="str">
        <x:v>Completed</x:v>
      </x:c>
      <x:c r="L337" s="2" t="str">
        <x:v>Not separately reported</x:v>
      </x:c>
      <x:c r="M337" s="2" t="str">
        <x:v>NR</x:v>
      </x:c>
      <x:c r="N337" s="2" t="str">
        <x:v>NR</x:v>
      </x:c>
      <x:c r="O337" s="2" t="str">
        <x:v>NR</x:v>
      </x:c>
      <x:c r="P337" s="6" t="str">
        <x:v>NR</x:v>
      </x:c>
      <x:c r="Q337" s="2" t="str">
        <x:v>NR</x:v>
      </x:c>
      <x:c r="R337" s="6" t="str">
        <x:v>NR</x:v>
      </x:c>
      <x:c r="S337" s="2" t="str">
        <x:v>NR</x:v>
      </x:c>
      <x:c r="T337" s="2" t="str">
        <x:v>NR</x:v>
      </x:c>
      <x:c r="U337" s="2" t="str">
        <x:v>NR</x:v>
      </x:c>
      <x:c r="V337" s="6" t="str">
        <x:v>Task-specific coded evidence</x:v>
      </x:c>
      <x:c r="W337" s="6" t="str">
        <x:v>p. 1; Section I, 1st paragraph</x:v>
      </x:c>
      <x:c r="X337" s="6" t="str">
        <x:v>Traceability Link Recovery (TLR), as a core component</x:v>
      </x:c>
      <x:c r="Y337" s="6" t="str">
        <x:v>See task-step evidence references in the RQ2 supplement.</x:v>
      </x:c>
      <x:c r="Z337" s="2" t="str">
        <x:v>Accepted</x:v>
      </x:c>
      <x:c r="AA337" s="6" t="str">
        <x:v>NR</x:v>
      </x:c>
    </x:row>
    <x:row r="338" ht="76" customHeight="1">
      <x:c r="A338" s="2" t="str">
        <x:v>S43-T01-P2</x:v>
      </x:c>
      <x:c r="B338" s="2" t="str">
        <x:v>S43</x:v>
      </x:c>
      <x:c r="C338" s="2" t="str">
        <x:v>merged_1270</x:v>
      </x:c>
      <x:c r="D338" s="2" t="str">
        <x:v>Final coding</x:v>
      </x:c>
      <x:c r="E338" s="2" t="str">
        <x:v>R1/R2</x:v>
      </x:c>
      <x:c r="F338" s="2" t="str">
        <x:v>S43-T01-PROC</x:v>
      </x:c>
      <x:c r="G338" s="2" t="str">
        <x:v>S43-T01</x:v>
      </x:c>
      <x:c r="H338" s="2" t="str">
        <x:v>2 Semantic contextualization</x:v>
      </x:c>
      <x:c r="I338" s="2" t="n">
        <x:v>2</x:v>
      </x:c>
      <x:c r="J338" s="2" t="str">
        <x:v>Common core</x:v>
      </x:c>
      <x:c r="K338" s="2" t="str">
        <x:v>Completed</x:v>
      </x:c>
      <x:c r="L338" s="2" t="str">
        <x:v>Explicitly evidenced</x:v>
      </x:c>
      <x:c r="M338" s="2" t="str">
        <x:v>NR</x:v>
      </x:c>
      <x:c r="N338" s="2" t="str">
        <x:v>NR</x:v>
      </x:c>
      <x:c r="O338" s="2" t="str">
        <x:v>NR</x:v>
      </x:c>
      <x:c r="P338" s="6" t="str">
        <x:v>NR</x:v>
      </x:c>
      <x:c r="Q338" s="2" t="str">
        <x:v>2 Semantic contextualization</x:v>
      </x:c>
      <x:c r="R338" s="6" t="str">
        <x:v>NR</x:v>
      </x:c>
      <x:c r="S338" s="2" t="str">
        <x:v>NR</x:v>
      </x:c>
      <x:c r="T338" s="2" t="str">
        <x:v>NR</x:v>
      </x:c>
      <x:c r="U338" s="2" t="str">
        <x:v>NR</x:v>
      </x:c>
      <x:c r="V338" s="6" t="str">
        <x:v>Task-specific coded evidence</x:v>
      </x:c>
      <x:c r="W338" s="6" t="str">
        <x:v>p. 1; Section I, 1st paragraph</x:v>
      </x:c>
      <x:c r="X338" s="6" t="str">
        <x:v>Traceability Link Recovery (TLR), as a core component</x:v>
      </x:c>
      <x:c r="Y338" s="6" t="str">
        <x:v>See task-step evidence references in the RQ2 supplement.</x:v>
      </x:c>
      <x:c r="Z338" s="2" t="str">
        <x:v>Accepted</x:v>
      </x:c>
      <x:c r="AA338" s="6" t="str">
        <x:v>NR</x:v>
      </x:c>
    </x:row>
    <x:row r="339" ht="76" customHeight="1">
      <x:c r="A339" s="2" t="str">
        <x:v>S43-T01-P3</x:v>
      </x:c>
      <x:c r="B339" s="2" t="str">
        <x:v>S43</x:v>
      </x:c>
      <x:c r="C339" s="2" t="str">
        <x:v>merged_1270</x:v>
      </x:c>
      <x:c r="D339" s="2" t="str">
        <x:v>Final coding</x:v>
      </x:c>
      <x:c r="E339" s="2" t="str">
        <x:v>R1/R2</x:v>
      </x:c>
      <x:c r="F339" s="2" t="str">
        <x:v>S43-T01-PROC</x:v>
      </x:c>
      <x:c r="G339" s="2" t="str">
        <x:v>S43-T01</x:v>
      </x:c>
      <x:c r="H339" s="2" t="str">
        <x:v>3 Traceability inference</x:v>
      </x:c>
      <x:c r="I339" s="2" t="n">
        <x:v>3</x:v>
      </x:c>
      <x:c r="J339" s="2" t="str">
        <x:v>Common core</x:v>
      </x:c>
      <x:c r="K339" s="2" t="str">
        <x:v>Completed</x:v>
      </x:c>
      <x:c r="L339" s="2" t="str">
        <x:v>Inferred from relation output</x:v>
      </x:c>
      <x:c r="M339" s="2" t="str">
        <x:v>NR</x:v>
      </x:c>
      <x:c r="N339" s="2" t="str">
        <x:v>NR</x:v>
      </x:c>
      <x:c r="O339" s="2" t="str">
        <x:v>NR</x:v>
      </x:c>
      <x:c r="P339" s="6" t="str">
        <x:v>NR</x:v>
      </x:c>
      <x:c r="Q339" s="2" t="str">
        <x:v>NR</x:v>
      </x:c>
      <x:c r="R339" s="6" t="str">
        <x:v>预测的需求-代码链接列表，具有概率得分和解释性理由。</x:v>
      </x:c>
      <x:c r="S339" s="2" t="str">
        <x:v>NR</x:v>
      </x:c>
      <x:c r="T339" s="2" t="str">
        <x:v>NR</x:v>
      </x:c>
      <x:c r="U339" s="2" t="str">
        <x:v>NR</x:v>
      </x:c>
      <x:c r="V339" s="6" t="str">
        <x:v>Task-specific coded evidence</x:v>
      </x:c>
      <x:c r="W339" s="6" t="str">
        <x:v>p. 1; Section I, 1st paragraph</x:v>
      </x:c>
      <x:c r="X339" s="6" t="str">
        <x:v>Traceability Link Recovery (TLR), as a core component</x:v>
      </x:c>
      <x:c r="Y339" s="6" t="str">
        <x:v>See task-step evidence references in the RQ2 supplement.</x:v>
      </x:c>
      <x:c r="Z339" s="2" t="str">
        <x:v>Accepted</x:v>
      </x:c>
      <x:c r="AA339" s="6" t="str">
        <x:v>NR</x:v>
      </x:c>
    </x:row>
    <x:row r="340" ht="76" customHeight="1">
      <x:c r="A340" s="2" t="str">
        <x:v>S43-T01-P4</x:v>
      </x:c>
      <x:c r="B340" s="2" t="str">
        <x:v>S43</x:v>
      </x:c>
      <x:c r="C340" s="2" t="str">
        <x:v>merged_1270</x:v>
      </x:c>
      <x:c r="D340" s="2" t="str">
        <x:v>Final coding</x:v>
      </x:c>
      <x:c r="E340" s="2" t="str">
        <x:v>R1/R2</x:v>
      </x:c>
      <x:c r="F340" s="2" t="str">
        <x:v>S43-T01-PROC</x:v>
      </x:c>
      <x:c r="G340" s="2" t="str">
        <x:v>S43-T01</x:v>
      </x:c>
      <x:c r="H340" s="2" t="str">
        <x:v>4 Validation and explanation</x:v>
      </x:c>
      <x:c r="I340" s="2" t="n">
        <x:v>4</x:v>
      </x:c>
      <x:c r="J340" s="2" t="str">
        <x:v>Common core</x:v>
      </x:c>
      <x:c r="K340" s="2" t="str">
        <x:v>Completed</x:v>
      </x:c>
      <x:c r="L340" s="2" t="str">
        <x:v>Not separately reported</x:v>
      </x:c>
      <x:c r="M340" s="2" t="str">
        <x:v>NR</x:v>
      </x:c>
      <x:c r="N340" s="2" t="str">
        <x:v>NR</x:v>
      </x:c>
      <x:c r="O340" s="2" t="str">
        <x:v>NR</x:v>
      </x:c>
      <x:c r="P340" s="6" t="str">
        <x:v>NR</x:v>
      </x:c>
      <x:c r="Q340" s="2" t="str">
        <x:v>NR</x:v>
      </x:c>
      <x:c r="R340" s="6" t="str">
        <x:v>NR</x:v>
      </x:c>
      <x:c r="S340" s="2" t="str">
        <x:v>NR</x:v>
      </x:c>
      <x:c r="T340" s="2" t="str">
        <x:v>NR</x:v>
      </x:c>
      <x:c r="U340" s="2" t="str">
        <x:v>NR</x:v>
      </x:c>
      <x:c r="V340" s="6" t="str">
        <x:v>Task-specific coded evidence</x:v>
      </x:c>
      <x:c r="W340" s="6" t="str">
        <x:v>p. 1; Section I, 1st paragraph</x:v>
      </x:c>
      <x:c r="X340" s="6" t="str">
        <x:v>Traceability Link Recovery (TLR), as a core component</x:v>
      </x:c>
      <x:c r="Y340" s="6" t="str">
        <x:v>See task-step evidence references in the RQ2 supplement.</x:v>
      </x:c>
      <x:c r="Z340" s="2" t="str">
        <x:v>Accepted</x:v>
      </x:c>
      <x:c r="AA340" s="6" t="str">
        <x:v>NR</x:v>
      </x:c>
    </x:row>
    <x:row r="341" ht="76" customHeight="1">
      <x:c r="A341" s="2" t="str">
        <x:v>S43-T01-P5</x:v>
      </x:c>
      <x:c r="B341" s="2" t="str">
        <x:v>S43</x:v>
      </x:c>
      <x:c r="C341" s="2" t="str">
        <x:v>merged_1270</x:v>
      </x:c>
      <x:c r="D341" s="2" t="str">
        <x:v>Final coding</x:v>
      </x:c>
      <x:c r="E341" s="2" t="str">
        <x:v>R1/R2</x:v>
      </x:c>
      <x:c r="F341" s="2" t="str">
        <x:v>S43-T01-PROC</x:v>
      </x:c>
      <x:c r="G341" s="2" t="str">
        <x:v>S43-T01</x:v>
      </x:c>
      <x:c r="H341" s="2" t="str">
        <x:v>5 Evolution and embedding</x:v>
      </x:c>
      <x:c r="I341" s="2" t="n">
        <x:v>5</x:v>
      </x:c>
      <x:c r="J341" s="2" t="str">
        <x:v>Common core</x:v>
      </x:c>
      <x:c r="K341" s="2" t="str">
        <x:v>Completed</x:v>
      </x:c>
      <x:c r="L341" s="2" t="str">
        <x:v>Not separately reported</x:v>
      </x:c>
      <x:c r="M341" s="2" t="str">
        <x:v>NR</x:v>
      </x:c>
      <x:c r="N341" s="2" t="str">
        <x:v>NR</x:v>
      </x:c>
      <x:c r="O341" s="2" t="str">
        <x:v>NR</x:v>
      </x:c>
      <x:c r="P341" s="6" t="str">
        <x:v>NR</x:v>
      </x:c>
      <x:c r="Q341" s="2" t="str">
        <x:v>NR</x:v>
      </x:c>
      <x:c r="R341" s="6" t="str">
        <x:v>NR</x:v>
      </x:c>
      <x:c r="S341" s="2" t="str">
        <x:v>NR</x:v>
      </x:c>
      <x:c r="T341" s="2" t="str">
        <x:v>NR</x:v>
      </x:c>
      <x:c r="U341" s="2" t="str">
        <x:v>NR</x:v>
      </x:c>
      <x:c r="V341" s="6" t="str">
        <x:v>Task-specific coded evidence</x:v>
      </x:c>
      <x:c r="W341" s="6" t="str">
        <x:v>p. 1; Section I, 1st paragraph</x:v>
      </x:c>
      <x:c r="X341" s="6" t="str">
        <x:v>Traceability Link Recovery (TLR), as a core component</x:v>
      </x:c>
      <x:c r="Y341" s="6" t="str">
        <x:v>See task-step evidence references in the RQ2 supplement.</x:v>
      </x:c>
      <x:c r="Z341" s="2" t="str">
        <x:v>Accepted</x:v>
      </x:c>
      <x:c r="AA341" s="6" t="str">
        <x:v>NR</x:v>
      </x:c>
    </x:row>
    <x:row r="342" ht="76" customHeight="1">
      <x:c r="A342" s="2" t="str">
        <x:v>S44-T01-P1</x:v>
      </x:c>
      <x:c r="B342" s="2" t="str">
        <x:v>S44</x:v>
      </x:c>
      <x:c r="C342" s="2" t="str">
        <x:v>merged_1274</x:v>
      </x:c>
      <x:c r="D342" s="2" t="str">
        <x:v>Final coding</x:v>
      </x:c>
      <x:c r="E342" s="2" t="str">
        <x:v>R1/R2</x:v>
      </x:c>
      <x:c r="F342" s="2" t="str">
        <x:v>S44-T01-PROC</x:v>
      </x:c>
      <x:c r="G342" s="2" t="str">
        <x:v>S44-T01</x:v>
      </x:c>
      <x:c r="H342" s="2" t="str">
        <x:v>1 Artifact acquisition and scoping</x:v>
      </x:c>
      <x:c r="I342" s="2" t="n">
        <x:v>1</x:v>
      </x:c>
      <x:c r="J342" s="2" t="str">
        <x:v>Common core</x:v>
      </x:c>
      <x:c r="K342" s="2" t="str">
        <x:v>Completed</x:v>
      </x:c>
      <x:c r="L342" s="2" t="str">
        <x:v>Explicitly evidenced</x:v>
      </x:c>
      <x:c r="M342" s="2" t="str">
        <x:v>NR</x:v>
      </x:c>
      <x:c r="N342" s="2" t="str">
        <x:v>NR</x:v>
      </x:c>
      <x:c r="O342" s="2" t="str">
        <x:v>NR</x:v>
      </x:c>
      <x:c r="P342" s="6" t="str">
        <x:v>NR</x:v>
      </x:c>
      <x:c r="Q342" s="2" t="str">
        <x:v>1 Artifact acquisition and scoping</x:v>
      </x:c>
      <x:c r="R342" s="6" t="str">
        <x:v>NR</x:v>
      </x:c>
      <x:c r="S342" s="2" t="str">
        <x:v>NR</x:v>
      </x:c>
      <x:c r="T342" s="2" t="str">
        <x:v>NR</x:v>
      </x:c>
      <x:c r="U342" s="2" t="str">
        <x:v>NR</x:v>
      </x:c>
      <x:c r="V342" s="6" t="str">
        <x:v>Task-specific coded evidence</x:v>
      </x:c>
      <x:c r="W342" s="6" t="str">
        <x:v>p. 4; Section III</x:v>
      </x:c>
      <x:c r="X342" s="6" t="str">
        <x:v>The core objective of this study is to recover a traceability link from requirements to source code</x:v>
      </x:c>
      <x:c r="Y342" s="6" t="str">
        <x:v>See task-step evidence references in the RQ2 supplement.</x:v>
      </x:c>
      <x:c r="Z342" s="2" t="str">
        <x:v>Accepted</x:v>
      </x:c>
      <x:c r="AA342" s="6" t="str">
        <x:v>NR</x:v>
      </x:c>
    </x:row>
    <x:row r="343" ht="76" customHeight="1">
      <x:c r="A343" s="2" t="str">
        <x:v>S44-T01-P2</x:v>
      </x:c>
      <x:c r="B343" s="2" t="str">
        <x:v>S44</x:v>
      </x:c>
      <x:c r="C343" s="2" t="str">
        <x:v>merged_1274</x:v>
      </x:c>
      <x:c r="D343" s="2" t="str">
        <x:v>Final coding</x:v>
      </x:c>
      <x:c r="E343" s="2" t="str">
        <x:v>R1/R2</x:v>
      </x:c>
      <x:c r="F343" s="2" t="str">
        <x:v>S44-T01-PROC</x:v>
      </x:c>
      <x:c r="G343" s="2" t="str">
        <x:v>S44-T01</x:v>
      </x:c>
      <x:c r="H343" s="2" t="str">
        <x:v>2 Semantic contextualization</x:v>
      </x:c>
      <x:c r="I343" s="2" t="n">
        <x:v>2</x:v>
      </x:c>
      <x:c r="J343" s="2" t="str">
        <x:v>Common core</x:v>
      </x:c>
      <x:c r="K343" s="2" t="str">
        <x:v>Completed</x:v>
      </x:c>
      <x:c r="L343" s="2" t="str">
        <x:v>Explicitly evidenced</x:v>
      </x:c>
      <x:c r="M343" s="2" t="str">
        <x:v>NR</x:v>
      </x:c>
      <x:c r="N343" s="2" t="str">
        <x:v>NR</x:v>
      </x:c>
      <x:c r="O343" s="2" t="str">
        <x:v>NR</x:v>
      </x:c>
      <x:c r="P343" s="6" t="str">
        <x:v>NR</x:v>
      </x:c>
      <x:c r="Q343" s="2" t="str">
        <x:v>2 Semantic contextualization</x:v>
      </x:c>
      <x:c r="R343" s="6" t="str">
        <x:v>NR</x:v>
      </x:c>
      <x:c r="S343" s="2" t="str">
        <x:v>NR</x:v>
      </x:c>
      <x:c r="T343" s="2" t="str">
        <x:v>NR</x:v>
      </x:c>
      <x:c r="U343" s="2" t="str">
        <x:v>NR</x:v>
      </x:c>
      <x:c r="V343" s="6" t="str">
        <x:v>Task-specific coded evidence</x:v>
      </x:c>
      <x:c r="W343" s="6" t="str">
        <x:v>p. 4; Section III</x:v>
      </x:c>
      <x:c r="X343" s="6" t="str">
        <x:v>The core objective of this study is to recover a traceability link from requirements to source code</x:v>
      </x:c>
      <x:c r="Y343" s="6" t="str">
        <x:v>See task-step evidence references in the RQ2 supplement.</x:v>
      </x:c>
      <x:c r="Z343" s="2" t="str">
        <x:v>Accepted</x:v>
      </x:c>
      <x:c r="AA343" s="6" t="str">
        <x:v>NR</x:v>
      </x:c>
    </x:row>
    <x:row r="344" ht="76" customHeight="1">
      <x:c r="A344" s="2" t="str">
        <x:v>S44-T01-P3</x:v>
      </x:c>
      <x:c r="B344" s="2" t="str">
        <x:v>S44</x:v>
      </x:c>
      <x:c r="C344" s="2" t="str">
        <x:v>merged_1274</x:v>
      </x:c>
      <x:c r="D344" s="2" t="str">
        <x:v>Final coding</x:v>
      </x:c>
      <x:c r="E344" s="2" t="str">
        <x:v>R1/R2</x:v>
      </x:c>
      <x:c r="F344" s="2" t="str">
        <x:v>S44-T01-PROC</x:v>
      </x:c>
      <x:c r="G344" s="2" t="str">
        <x:v>S44-T01</x:v>
      </x:c>
      <x:c r="H344" s="2" t="str">
        <x:v>3 Traceability inference</x:v>
      </x:c>
      <x:c r="I344" s="2" t="n">
        <x:v>3</x:v>
      </x:c>
      <x:c r="J344" s="2" t="str">
        <x:v>Common core</x:v>
      </x:c>
      <x:c r="K344" s="2" t="str">
        <x:v>Completed</x:v>
      </x:c>
      <x:c r="L344" s="2" t="str">
        <x:v>Explicitly evidenced</x:v>
      </x:c>
      <x:c r="M344" s="2" t="str">
        <x:v>NR</x:v>
      </x:c>
      <x:c r="N344" s="2" t="str">
        <x:v>NR</x:v>
      </x:c>
      <x:c r="O344" s="2" t="str">
        <x:v>NR</x:v>
      </x:c>
      <x:c r="P344" s="6" t="str">
        <x:v>NR</x:v>
      </x:c>
      <x:c r="Q344" s="2" t="str">
        <x:v>3 Traceability inference</x:v>
      </x:c>
      <x:c r="R344" s="6" t="str">
        <x:v>可验证的R2C链接列表，包含每个需求对应的代码片段及其相似度分数。</x:v>
      </x:c>
      <x:c r="S344" s="2" t="str">
        <x:v>NR</x:v>
      </x:c>
      <x:c r="T344" s="2" t="str">
        <x:v>NR</x:v>
      </x:c>
      <x:c r="U344" s="2" t="str">
        <x:v>NR</x:v>
      </x:c>
      <x:c r="V344" s="6" t="str">
        <x:v>Task-specific coded evidence</x:v>
      </x:c>
      <x:c r="W344" s="6" t="str">
        <x:v>p. 4; Section III</x:v>
      </x:c>
      <x:c r="X344" s="6" t="str">
        <x:v>The core objective of this study is to recover a traceability link from requirements to source code</x:v>
      </x:c>
      <x:c r="Y344" s="6" t="str">
        <x:v>See task-step evidence references in the RQ2 supplement.</x:v>
      </x:c>
      <x:c r="Z344" s="2" t="str">
        <x:v>Accepted</x:v>
      </x:c>
      <x:c r="AA344" s="6" t="str">
        <x:v>NR</x:v>
      </x:c>
    </x:row>
    <x:row r="345" ht="76" customHeight="1">
      <x:c r="A345" s="2" t="str">
        <x:v>S44-T01-P4</x:v>
      </x:c>
      <x:c r="B345" s="2" t="str">
        <x:v>S44</x:v>
      </x:c>
      <x:c r="C345" s="2" t="str">
        <x:v>merged_1274</x:v>
      </x:c>
      <x:c r="D345" s="2" t="str">
        <x:v>Final coding</x:v>
      </x:c>
      <x:c r="E345" s="2" t="str">
        <x:v>R1/R2</x:v>
      </x:c>
      <x:c r="F345" s="2" t="str">
        <x:v>S44-T01-PROC</x:v>
      </x:c>
      <x:c r="G345" s="2" t="str">
        <x:v>S44-T01</x:v>
      </x:c>
      <x:c r="H345" s="2" t="str">
        <x:v>4 Validation and explanation</x:v>
      </x:c>
      <x:c r="I345" s="2" t="n">
        <x:v>4</x:v>
      </x:c>
      <x:c r="J345" s="2" t="str">
        <x:v>Common core</x:v>
      </x:c>
      <x:c r="K345" s="2" t="str">
        <x:v>Completed</x:v>
      </x:c>
      <x:c r="L345" s="2" t="str">
        <x:v>Not separately reported</x:v>
      </x:c>
      <x:c r="M345" s="2" t="str">
        <x:v>NR</x:v>
      </x:c>
      <x:c r="N345" s="2" t="str">
        <x:v>NR</x:v>
      </x:c>
      <x:c r="O345" s="2" t="str">
        <x:v>NR</x:v>
      </x:c>
      <x:c r="P345" s="6" t="str">
        <x:v>NR</x:v>
      </x:c>
      <x:c r="Q345" s="2" t="str">
        <x:v>NR</x:v>
      </x:c>
      <x:c r="R345" s="6" t="str">
        <x:v>NR</x:v>
      </x:c>
      <x:c r="S345" s="2" t="str">
        <x:v>NR</x:v>
      </x:c>
      <x:c r="T345" s="2" t="str">
        <x:v>NR</x:v>
      </x:c>
      <x:c r="U345" s="2" t="str">
        <x:v>NR</x:v>
      </x:c>
      <x:c r="V345" s="6" t="str">
        <x:v>Task-specific coded evidence</x:v>
      </x:c>
      <x:c r="W345" s="6" t="str">
        <x:v>p. 4; Section III</x:v>
      </x:c>
      <x:c r="X345" s="6" t="str">
        <x:v>The core objective of this study is to recover a traceability link from requirements to source code</x:v>
      </x:c>
      <x:c r="Y345" s="6" t="str">
        <x:v>See task-step evidence references in the RQ2 supplement.</x:v>
      </x:c>
      <x:c r="Z345" s="2" t="str">
        <x:v>Accepted</x:v>
      </x:c>
      <x:c r="AA345" s="6" t="str">
        <x:v>NR</x:v>
      </x:c>
    </x:row>
    <x:row r="346" ht="76" customHeight="1">
      <x:c r="A346" s="2" t="str">
        <x:v>S44-T01-P5</x:v>
      </x:c>
      <x:c r="B346" s="2" t="str">
        <x:v>S44</x:v>
      </x:c>
      <x:c r="C346" s="2" t="str">
        <x:v>merged_1274</x:v>
      </x:c>
      <x:c r="D346" s="2" t="str">
        <x:v>Final coding</x:v>
      </x:c>
      <x:c r="E346" s="2" t="str">
        <x:v>R1/R2</x:v>
      </x:c>
      <x:c r="F346" s="2" t="str">
        <x:v>S44-T01-PROC</x:v>
      </x:c>
      <x:c r="G346" s="2" t="str">
        <x:v>S44-T01</x:v>
      </x:c>
      <x:c r="H346" s="2" t="str">
        <x:v>5 Evolution and embedding</x:v>
      </x:c>
      <x:c r="I346" s="2" t="n">
        <x:v>5</x:v>
      </x:c>
      <x:c r="J346" s="2" t="str">
        <x:v>Common core</x:v>
      </x:c>
      <x:c r="K346" s="2" t="str">
        <x:v>Completed</x:v>
      </x:c>
      <x:c r="L346" s="2" t="str">
        <x:v>Not separately reported</x:v>
      </x:c>
      <x:c r="M346" s="2" t="str">
        <x:v>NR</x:v>
      </x:c>
      <x:c r="N346" s="2" t="str">
        <x:v>NR</x:v>
      </x:c>
      <x:c r="O346" s="2" t="str">
        <x:v>NR</x:v>
      </x:c>
      <x:c r="P346" s="6" t="str">
        <x:v>NR</x:v>
      </x:c>
      <x:c r="Q346" s="2" t="str">
        <x:v>NR</x:v>
      </x:c>
      <x:c r="R346" s="6" t="str">
        <x:v>NR</x:v>
      </x:c>
      <x:c r="S346" s="2" t="str">
        <x:v>NR</x:v>
      </x:c>
      <x:c r="T346" s="2" t="str">
        <x:v>NR</x:v>
      </x:c>
      <x:c r="U346" s="2" t="str">
        <x:v>NR</x:v>
      </x:c>
      <x:c r="V346" s="6" t="str">
        <x:v>Task-specific coded evidence</x:v>
      </x:c>
      <x:c r="W346" s="6" t="str">
        <x:v>p. 4; Section III</x:v>
      </x:c>
      <x:c r="X346" s="6" t="str">
        <x:v>The core objective of this study is to recover a traceability link from requirements to source code</x:v>
      </x:c>
      <x:c r="Y346" s="6" t="str">
        <x:v>See task-step evidence references in the RQ2 supplement.</x:v>
      </x:c>
      <x:c r="Z346" s="2" t="str">
        <x:v>Accepted</x:v>
      </x:c>
      <x:c r="AA346" s="6" t="str">
        <x:v>NR</x:v>
      </x:c>
    </x:row>
    <x:row r="347" ht="76" customHeight="1">
      <x:c r="A347" s="2" t="str">
        <x:v>S45-T01-P1</x:v>
      </x:c>
      <x:c r="B347" s="2" t="str">
        <x:v>S45</x:v>
      </x:c>
      <x:c r="C347" s="2" t="str">
        <x:v>merged_1275</x:v>
      </x:c>
      <x:c r="D347" s="2" t="str">
        <x:v>Final coding</x:v>
      </x:c>
      <x:c r="E347" s="2" t="str">
        <x:v>R1/R2</x:v>
      </x:c>
      <x:c r="F347" s="2" t="str">
        <x:v>S45-T01-PROC</x:v>
      </x:c>
      <x:c r="G347" s="2" t="str">
        <x:v>S45-T01</x:v>
      </x:c>
      <x:c r="H347" s="2" t="str">
        <x:v>1 Artifact acquisition and scoping</x:v>
      </x:c>
      <x:c r="I347" s="2" t="n">
        <x:v>1</x:v>
      </x:c>
      <x:c r="J347" s="2" t="str">
        <x:v>Common core</x:v>
      </x:c>
      <x:c r="K347" s="2" t="str">
        <x:v>Completed</x:v>
      </x:c>
      <x:c r="L347" s="2" t="str">
        <x:v>Not separately reported</x:v>
      </x:c>
      <x:c r="M347" s="2" t="str">
        <x:v>NR</x:v>
      </x:c>
      <x:c r="N347" s="2" t="str">
        <x:v>NR</x:v>
      </x:c>
      <x:c r="O347" s="2" t="str">
        <x:v>NR</x:v>
      </x:c>
      <x:c r="P347" s="6" t="str">
        <x:v>NR</x:v>
      </x:c>
      <x:c r="Q347" s="2" t="str">
        <x:v>NR</x:v>
      </x:c>
      <x:c r="R347" s="6" t="str">
        <x:v>NR</x:v>
      </x:c>
      <x:c r="S347" s="2" t="str">
        <x:v>NR</x:v>
      </x:c>
      <x:c r="T347" s="2" t="str">
        <x:v>NR</x:v>
      </x:c>
      <x:c r="U347" s="2" t="str">
        <x:v>NR</x:v>
      </x:c>
      <x:c r="V347" s="6" t="str">
        <x:v>Task-specific coded evidence</x:v>
      </x:c>
      <x:c r="W347" s="6" t="str">
        <x:v>p. 2; Study 1</x:v>
      </x:c>
      <x:c r="X347" s="6" t="str">
        <x:v>ChatGPT-4o was prompted to assess and comment on the quality of the trace link with regards to two aspects, meaningfulness (logically relevant) and completeness (all aspects are reflected).</x:v>
      </x:c>
      <x:c r="Y347" s="6" t="str">
        <x:v>See task-step evidence references in the RQ2 supplement.</x:v>
      </x:c>
      <x:c r="Z347" s="2" t="str">
        <x:v>Accepted</x:v>
      </x:c>
      <x:c r="AA347" s="6" t="str">
        <x:v>NR</x:v>
      </x:c>
    </x:row>
    <x:row r="348" ht="76" customHeight="1">
      <x:c r="A348" s="2" t="str">
        <x:v>S45-T01-P2</x:v>
      </x:c>
      <x:c r="B348" s="2" t="str">
        <x:v>S45</x:v>
      </x:c>
      <x:c r="C348" s="2" t="str">
        <x:v>merged_1275</x:v>
      </x:c>
      <x:c r="D348" s="2" t="str">
        <x:v>Final coding</x:v>
      </x:c>
      <x:c r="E348" s="2" t="str">
        <x:v>R1/R2</x:v>
      </x:c>
      <x:c r="F348" s="2" t="str">
        <x:v>S45-T01-PROC</x:v>
      </x:c>
      <x:c r="G348" s="2" t="str">
        <x:v>S45-T01</x:v>
      </x:c>
      <x:c r="H348" s="2" t="str">
        <x:v>2 Semantic contextualization</x:v>
      </x:c>
      <x:c r="I348" s="2" t="n">
        <x:v>2</x:v>
      </x:c>
      <x:c r="J348" s="2" t="str">
        <x:v>Common core</x:v>
      </x:c>
      <x:c r="K348" s="2" t="str">
        <x:v>Completed</x:v>
      </x:c>
      <x:c r="L348" s="2" t="str">
        <x:v>Not separately reported</x:v>
      </x:c>
      <x:c r="M348" s="2" t="str">
        <x:v>NR</x:v>
      </x:c>
      <x:c r="N348" s="2" t="str">
        <x:v>NR</x:v>
      </x:c>
      <x:c r="O348" s="2" t="str">
        <x:v>NR</x:v>
      </x:c>
      <x:c r="P348" s="6" t="str">
        <x:v>NR</x:v>
      </x:c>
      <x:c r="Q348" s="2" t="str">
        <x:v>NR</x:v>
      </x:c>
      <x:c r="R348" s="6" t="str">
        <x:v>NR</x:v>
      </x:c>
      <x:c r="S348" s="2" t="str">
        <x:v>NR</x:v>
      </x:c>
      <x:c r="T348" s="2" t="str">
        <x:v>NR</x:v>
      </x:c>
      <x:c r="U348" s="2" t="str">
        <x:v>NR</x:v>
      </x:c>
      <x:c r="V348" s="6" t="str">
        <x:v>Task-specific coded evidence</x:v>
      </x:c>
      <x:c r="W348" s="6" t="str">
        <x:v>p. 2; Study 1</x:v>
      </x:c>
      <x:c r="X348" s="6" t="str">
        <x:v>ChatGPT-4o was prompted to assess and comment on the quality of the trace link with regards to two aspects, meaningfulness (logically relevant) and completeness (all aspects are reflected).</x:v>
      </x:c>
      <x:c r="Y348" s="6" t="str">
        <x:v>See task-step evidence references in the RQ2 supplement.</x:v>
      </x:c>
      <x:c r="Z348" s="2" t="str">
        <x:v>Accepted</x:v>
      </x:c>
      <x:c r="AA348" s="6" t="str">
        <x:v>NR</x:v>
      </x:c>
    </x:row>
    <x:row r="349" ht="76" customHeight="1">
      <x:c r="A349" s="2" t="str">
        <x:v>S45-T01-P3</x:v>
      </x:c>
      <x:c r="B349" s="2" t="str">
        <x:v>S45</x:v>
      </x:c>
      <x:c r="C349" s="2" t="str">
        <x:v>merged_1275</x:v>
      </x:c>
      <x:c r="D349" s="2" t="str">
        <x:v>Final coding</x:v>
      </x:c>
      <x:c r="E349" s="2" t="str">
        <x:v>R1/R2</x:v>
      </x:c>
      <x:c r="F349" s="2" t="str">
        <x:v>S45-T01-PROC</x:v>
      </x:c>
      <x:c r="G349" s="2" t="str">
        <x:v>S45-T01</x:v>
      </x:c>
      <x:c r="H349" s="2" t="str">
        <x:v>3 Traceability inference</x:v>
      </x:c>
      <x:c r="I349" s="2" t="n">
        <x:v>3</x:v>
      </x:c>
      <x:c r="J349" s="2" t="str">
        <x:v>Common core</x:v>
      </x:c>
      <x:c r="K349" s="2" t="str">
        <x:v>Completed</x:v>
      </x:c>
      <x:c r="L349" s="2" t="str">
        <x:v>Inferred from relation output</x:v>
      </x:c>
      <x:c r="M349" s="2" t="str">
        <x:v>NR</x:v>
      </x:c>
      <x:c r="N349" s="2" t="str">
        <x:v>NR</x:v>
      </x:c>
      <x:c r="O349" s="2" t="str">
        <x:v>NR</x:v>
      </x:c>
      <x:c r="P349" s="6" t="str">
        <x:v>NR</x:v>
      </x:c>
      <x:c r="Q349" s="2" t="str">
        <x:v>NR</x:v>
      </x:c>
      <x:c r="R349" s="6" t="str">
        <x:v>ChatGPT-4o输出对每个链接的质量评论，可汇总为TP/FP等指标。</x:v>
      </x:c>
      <x:c r="S349" s="2" t="str">
        <x:v>NR</x:v>
      </x:c>
      <x:c r="T349" s="2" t="str">
        <x:v>NR</x:v>
      </x:c>
      <x:c r="U349" s="2" t="str">
        <x:v>NR</x:v>
      </x:c>
      <x:c r="V349" s="6" t="str">
        <x:v>Task-specific coded evidence</x:v>
      </x:c>
      <x:c r="W349" s="6" t="str">
        <x:v>p. 2; Study 1</x:v>
      </x:c>
      <x:c r="X349" s="6" t="str">
        <x:v>ChatGPT-4o was prompted to assess and comment on the quality of the trace link with regards to two aspects, meaningfulness (logically relevant) and completeness (all aspects are reflected).</x:v>
      </x:c>
      <x:c r="Y349" s="6" t="str">
        <x:v>See task-step evidence references in the RQ2 supplement.</x:v>
      </x:c>
      <x:c r="Z349" s="2" t="str">
        <x:v>Accepted</x:v>
      </x:c>
      <x:c r="AA349" s="6" t="str">
        <x:v>NR</x:v>
      </x:c>
    </x:row>
    <x:row r="350" ht="76" customHeight="1">
      <x:c r="A350" s="2" t="str">
        <x:v>S45-T01-P4</x:v>
      </x:c>
      <x:c r="B350" s="2" t="str">
        <x:v>S45</x:v>
      </x:c>
      <x:c r="C350" s="2" t="str">
        <x:v>merged_1275</x:v>
      </x:c>
      <x:c r="D350" s="2" t="str">
        <x:v>Final coding</x:v>
      </x:c>
      <x:c r="E350" s="2" t="str">
        <x:v>R1/R2</x:v>
      </x:c>
      <x:c r="F350" s="2" t="str">
        <x:v>S45-T01-PROC</x:v>
      </x:c>
      <x:c r="G350" s="2" t="str">
        <x:v>S45-T01</x:v>
      </x:c>
      <x:c r="H350" s="2" t="str">
        <x:v>4 Validation and explanation</x:v>
      </x:c>
      <x:c r="I350" s="2" t="n">
        <x:v>4</x:v>
      </x:c>
      <x:c r="J350" s="2" t="str">
        <x:v>Common core</x:v>
      </x:c>
      <x:c r="K350" s="2" t="str">
        <x:v>Completed</x:v>
      </x:c>
      <x:c r="L350" s="2" t="str">
        <x:v>Explicitly evidenced</x:v>
      </x:c>
      <x:c r="M350" s="2" t="str">
        <x:v>NR</x:v>
      </x:c>
      <x:c r="N350" s="2" t="str">
        <x:v>NR</x:v>
      </x:c>
      <x:c r="O350" s="2" t="str">
        <x:v>NR</x:v>
      </x:c>
      <x:c r="P350" s="6" t="str">
        <x:v>NR</x:v>
      </x:c>
      <x:c r="Q350" s="2" t="str">
        <x:v>4 Validation and explanation</x:v>
      </x:c>
      <x:c r="R350" s="6" t="str">
        <x:v>NR</x:v>
      </x:c>
      <x:c r="S350" s="2" t="str">
        <x:v>NR</x:v>
      </x:c>
      <x:c r="T350" s="2" t="str">
        <x:v>NR</x:v>
      </x:c>
      <x:c r="U350" s="2" t="str">
        <x:v>NR</x:v>
      </x:c>
      <x:c r="V350" s="6" t="str">
        <x:v>Task-specific coded evidence</x:v>
      </x:c>
      <x:c r="W350" s="6" t="str">
        <x:v>p. 2; Study 1</x:v>
      </x:c>
      <x:c r="X350" s="6" t="str">
        <x:v>ChatGPT-4o was prompted to assess and comment on the quality of the trace link with regards to two aspects, meaningfulness (logically relevant) and completeness (all aspects are reflected).</x:v>
      </x:c>
      <x:c r="Y350" s="6" t="str">
        <x:v>See task-step evidence references in the RQ2 supplement.</x:v>
      </x:c>
      <x:c r="Z350" s="2" t="str">
        <x:v>Accepted</x:v>
      </x:c>
      <x:c r="AA350" s="6" t="str">
        <x:v>NR</x:v>
      </x:c>
    </x:row>
    <x:row r="351" ht="76" customHeight="1">
      <x:c r="A351" s="2" t="str">
        <x:v>S45-T01-P5</x:v>
      </x:c>
      <x:c r="B351" s="2" t="str">
        <x:v>S45</x:v>
      </x:c>
      <x:c r="C351" s="2" t="str">
        <x:v>merged_1275</x:v>
      </x:c>
      <x:c r="D351" s="2" t="str">
        <x:v>Final coding</x:v>
      </x:c>
      <x:c r="E351" s="2" t="str">
        <x:v>R1/R2</x:v>
      </x:c>
      <x:c r="F351" s="2" t="str">
        <x:v>S45-T01-PROC</x:v>
      </x:c>
      <x:c r="G351" s="2" t="str">
        <x:v>S45-T01</x:v>
      </x:c>
      <x:c r="H351" s="2" t="str">
        <x:v>5 Evolution and embedding</x:v>
      </x:c>
      <x:c r="I351" s="2" t="n">
        <x:v>5</x:v>
      </x:c>
      <x:c r="J351" s="2" t="str">
        <x:v>Common core</x:v>
      </x:c>
      <x:c r="K351" s="2" t="str">
        <x:v>Completed</x:v>
      </x:c>
      <x:c r="L351" s="2" t="str">
        <x:v>Not separately reported</x:v>
      </x:c>
      <x:c r="M351" s="2" t="str">
        <x:v>NR</x:v>
      </x:c>
      <x:c r="N351" s="2" t="str">
        <x:v>NR</x:v>
      </x:c>
      <x:c r="O351" s="2" t="str">
        <x:v>NR</x:v>
      </x:c>
      <x:c r="P351" s="6" t="str">
        <x:v>NR</x:v>
      </x:c>
      <x:c r="Q351" s="2" t="str">
        <x:v>NR</x:v>
      </x:c>
      <x:c r="R351" s="6" t="str">
        <x:v>NR</x:v>
      </x:c>
      <x:c r="S351" s="2" t="str">
        <x:v>NR</x:v>
      </x:c>
      <x:c r="T351" s="2" t="str">
        <x:v>NR</x:v>
      </x:c>
      <x:c r="U351" s="2" t="str">
        <x:v>NR</x:v>
      </x:c>
      <x:c r="V351" s="6" t="str">
        <x:v>Task-specific coded evidence</x:v>
      </x:c>
      <x:c r="W351" s="6" t="str">
        <x:v>p. 2; Study 1</x:v>
      </x:c>
      <x:c r="X351" s="6" t="str">
        <x:v>ChatGPT-4o was prompted to assess and comment on the quality of the trace link with regards to two aspects, meaningfulness (logically relevant) and completeness (all aspects are reflected).</x:v>
      </x:c>
      <x:c r="Y351" s="6" t="str">
        <x:v>See task-step evidence references in the RQ2 supplement.</x:v>
      </x:c>
      <x:c r="Z351" s="2" t="str">
        <x:v>Accepted</x:v>
      </x:c>
      <x:c r="AA351" s="6" t="str">
        <x:v>NR</x:v>
      </x:c>
    </x:row>
    <x:row r="352" ht="76" customHeight="1">
      <x:c r="A352" s="2" t="str">
        <x:v>S45-T02-P1</x:v>
      </x:c>
      <x:c r="B352" s="2" t="str">
        <x:v>S45</x:v>
      </x:c>
      <x:c r="C352" s="2" t="str">
        <x:v>merged_1275</x:v>
      </x:c>
      <x:c r="D352" s="2" t="str">
        <x:v>Final coding</x:v>
      </x:c>
      <x:c r="E352" s="2" t="str">
        <x:v>R1/R2</x:v>
      </x:c>
      <x:c r="F352" s="2" t="str">
        <x:v>S45-T02-PROC</x:v>
      </x:c>
      <x:c r="G352" s="2" t="str">
        <x:v>S45-T02</x:v>
      </x:c>
      <x:c r="H352" s="2" t="str">
        <x:v>1 Artifact acquisition and scoping</x:v>
      </x:c>
      <x:c r="I352" s="2" t="n">
        <x:v>1</x:v>
      </x:c>
      <x:c r="J352" s="2" t="str">
        <x:v>Common core</x:v>
      </x:c>
      <x:c r="K352" s="2" t="str">
        <x:v>Completed</x:v>
      </x:c>
      <x:c r="L352" s="2" t="str">
        <x:v>Not separately reported</x:v>
      </x:c>
      <x:c r="M352" s="2" t="str">
        <x:v>NR</x:v>
      </x:c>
      <x:c r="N352" s="2" t="str">
        <x:v>NR</x:v>
      </x:c>
      <x:c r="O352" s="2" t="str">
        <x:v>NR</x:v>
      </x:c>
      <x:c r="P352" s="6" t="str">
        <x:v>NR</x:v>
      </x:c>
      <x:c r="Q352" s="2" t="str">
        <x:v>NR</x:v>
      </x:c>
      <x:c r="R352" s="6" t="str">
        <x:v>NR</x:v>
      </x:c>
      <x:c r="S352" s="2" t="str">
        <x:v>NR</x:v>
      </x:c>
      <x:c r="T352" s="2" t="str">
        <x:v>NR</x:v>
      </x:c>
      <x:c r="U352" s="2" t="str">
        <x:v>NR</x:v>
      </x:c>
      <x:c r="V352" s="6" t="str">
        <x:v>Task-specific coded evidence</x:v>
      </x:c>
      <x:c r="W352" s="6" t="str">
        <x:v>p. 3; Study 2</x:v>
      </x:c>
      <x:c r="X352" s="6" t="str">
        <x:v>it was then prompted to assess whether or not the test cases entirely covered its linked software requirement and also suggest any missing cases (referring to its memory) to attain complete coverage.</x:v>
      </x:c>
      <x:c r="Y352" s="6" t="str">
        <x:v>See task-step evidence references in the RQ2 supplement.</x:v>
      </x:c>
      <x:c r="Z352" s="2" t="str">
        <x:v>Accepted</x:v>
      </x:c>
      <x:c r="AA352" s="6" t="str">
        <x:v>NR</x:v>
      </x:c>
    </x:row>
    <x:row r="353" ht="76" customHeight="1">
      <x:c r="A353" s="2" t="str">
        <x:v>S45-T02-P2</x:v>
      </x:c>
      <x:c r="B353" s="2" t="str">
        <x:v>S45</x:v>
      </x:c>
      <x:c r="C353" s="2" t="str">
        <x:v>merged_1275</x:v>
      </x:c>
      <x:c r="D353" s="2" t="str">
        <x:v>Final coding</x:v>
      </x:c>
      <x:c r="E353" s="2" t="str">
        <x:v>R1/R2</x:v>
      </x:c>
      <x:c r="F353" s="2" t="str">
        <x:v>S45-T02-PROC</x:v>
      </x:c>
      <x:c r="G353" s="2" t="str">
        <x:v>S45-T02</x:v>
      </x:c>
      <x:c r="H353" s="2" t="str">
        <x:v>2 Semantic contextualization</x:v>
      </x:c>
      <x:c r="I353" s="2" t="n">
        <x:v>2</x:v>
      </x:c>
      <x:c r="J353" s="2" t="str">
        <x:v>Common core</x:v>
      </x:c>
      <x:c r="K353" s="2" t="str">
        <x:v>Completed</x:v>
      </x:c>
      <x:c r="L353" s="2" t="str">
        <x:v>Not separately reported</x:v>
      </x:c>
      <x:c r="M353" s="2" t="str">
        <x:v>NR</x:v>
      </x:c>
      <x:c r="N353" s="2" t="str">
        <x:v>NR</x:v>
      </x:c>
      <x:c r="O353" s="2" t="str">
        <x:v>NR</x:v>
      </x:c>
      <x:c r="P353" s="6" t="str">
        <x:v>NR</x:v>
      </x:c>
      <x:c r="Q353" s="2" t="str">
        <x:v>NR</x:v>
      </x:c>
      <x:c r="R353" s="6" t="str">
        <x:v>NR</x:v>
      </x:c>
      <x:c r="S353" s="2" t="str">
        <x:v>NR</x:v>
      </x:c>
      <x:c r="T353" s="2" t="str">
        <x:v>NR</x:v>
      </x:c>
      <x:c r="U353" s="2" t="str">
        <x:v>NR</x:v>
      </x:c>
      <x:c r="V353" s="6" t="str">
        <x:v>Task-specific coded evidence</x:v>
      </x:c>
      <x:c r="W353" s="6" t="str">
        <x:v>p. 3; Study 2</x:v>
      </x:c>
      <x:c r="X353" s="6" t="str">
        <x:v>it was then prompted to assess whether or not the test cases entirely covered its linked software requirement and also suggest any missing cases (referring to its memory) to attain complete coverage.</x:v>
      </x:c>
      <x:c r="Y353" s="6" t="str">
        <x:v>See task-step evidence references in the RQ2 supplement.</x:v>
      </x:c>
      <x:c r="Z353" s="2" t="str">
        <x:v>Accepted</x:v>
      </x:c>
      <x:c r="AA353" s="6" t="str">
        <x:v>NR</x:v>
      </x:c>
    </x:row>
    <x:row r="354" ht="76" customHeight="1">
      <x:c r="A354" s="2" t="str">
        <x:v>S45-T02-P3</x:v>
      </x:c>
      <x:c r="B354" s="2" t="str">
        <x:v>S45</x:v>
      </x:c>
      <x:c r="C354" s="2" t="str">
        <x:v>merged_1275</x:v>
      </x:c>
      <x:c r="D354" s="2" t="str">
        <x:v>Final coding</x:v>
      </x:c>
      <x:c r="E354" s="2" t="str">
        <x:v>R1/R2</x:v>
      </x:c>
      <x:c r="F354" s="2" t="str">
        <x:v>S45-T02-PROC</x:v>
      </x:c>
      <x:c r="G354" s="2" t="str">
        <x:v>S45-T02</x:v>
      </x:c>
      <x:c r="H354" s="2" t="str">
        <x:v>3 Traceability inference</x:v>
      </x:c>
      <x:c r="I354" s="2" t="n">
        <x:v>3</x:v>
      </x:c>
      <x:c r="J354" s="2" t="str">
        <x:v>Common core</x:v>
      </x:c>
      <x:c r="K354" s="2" t="str">
        <x:v>Completed</x:v>
      </x:c>
      <x:c r="L354" s="2" t="str">
        <x:v>Inferred from relation output</x:v>
      </x:c>
      <x:c r="M354" s="2" t="str">
        <x:v>NR</x:v>
      </x:c>
      <x:c r="N354" s="2" t="str">
        <x:v>NR</x:v>
      </x:c>
      <x:c r="O354" s="2" t="str">
        <x:v>NR</x:v>
      </x:c>
      <x:c r="P354" s="6" t="str">
        <x:v>NR</x:v>
      </x:c>
      <x:c r="Q354" s="2" t="str">
        <x:v>NR</x:v>
      </x:c>
      <x:c r="R354" s="6" t="str">
        <x:v>评估意见及缺失测试用例建议，由测试专家评审。</x:v>
      </x:c>
      <x:c r="S354" s="2" t="str">
        <x:v>NR</x:v>
      </x:c>
      <x:c r="T354" s="2" t="str">
        <x:v>NR</x:v>
      </x:c>
      <x:c r="U354" s="2" t="str">
        <x:v>NR</x:v>
      </x:c>
      <x:c r="V354" s="6" t="str">
        <x:v>Task-specific coded evidence</x:v>
      </x:c>
      <x:c r="W354" s="6" t="str">
        <x:v>p. 3; Study 2</x:v>
      </x:c>
      <x:c r="X354" s="6" t="str">
        <x:v>it was then prompted to assess whether or not the test cases entirely covered its linked software requirement and also suggest any missing cases (referring to its memory) to attain complete coverage.</x:v>
      </x:c>
      <x:c r="Y354" s="6" t="str">
        <x:v>See task-step evidence references in the RQ2 supplement.</x:v>
      </x:c>
      <x:c r="Z354" s="2" t="str">
        <x:v>Accepted</x:v>
      </x:c>
      <x:c r="AA354" s="6" t="str">
        <x:v>NR</x:v>
      </x:c>
    </x:row>
    <x:row r="355" ht="76" customHeight="1">
      <x:c r="A355" s="2" t="str">
        <x:v>S45-T02-P4</x:v>
      </x:c>
      <x:c r="B355" s="2" t="str">
        <x:v>S45</x:v>
      </x:c>
      <x:c r="C355" s="2" t="str">
        <x:v>merged_1275</x:v>
      </x:c>
      <x:c r="D355" s="2" t="str">
        <x:v>Final coding</x:v>
      </x:c>
      <x:c r="E355" s="2" t="str">
        <x:v>R1/R2</x:v>
      </x:c>
      <x:c r="F355" s="2" t="str">
        <x:v>S45-T02-PROC</x:v>
      </x:c>
      <x:c r="G355" s="2" t="str">
        <x:v>S45-T02</x:v>
      </x:c>
      <x:c r="H355" s="2" t="str">
        <x:v>4 Validation and explanation</x:v>
      </x:c>
      <x:c r="I355" s="2" t="n">
        <x:v>4</x:v>
      </x:c>
      <x:c r="J355" s="2" t="str">
        <x:v>Common core</x:v>
      </x:c>
      <x:c r="K355" s="2" t="str">
        <x:v>Completed</x:v>
      </x:c>
      <x:c r="L355" s="2" t="str">
        <x:v>Explicitly evidenced</x:v>
      </x:c>
      <x:c r="M355" s="2" t="str">
        <x:v>NR</x:v>
      </x:c>
      <x:c r="N355" s="2" t="str">
        <x:v>NR</x:v>
      </x:c>
      <x:c r="O355" s="2" t="str">
        <x:v>NR</x:v>
      </x:c>
      <x:c r="P355" s="6" t="str">
        <x:v>NR</x:v>
      </x:c>
      <x:c r="Q355" s="2" t="str">
        <x:v>4 Validation and explanation</x:v>
      </x:c>
      <x:c r="R355" s="6" t="str">
        <x:v>NR</x:v>
      </x:c>
      <x:c r="S355" s="2" t="str">
        <x:v>NR</x:v>
      </x:c>
      <x:c r="T355" s="2" t="str">
        <x:v>NR</x:v>
      </x:c>
      <x:c r="U355" s="2" t="str">
        <x:v>NR</x:v>
      </x:c>
      <x:c r="V355" s="6" t="str">
        <x:v>Task-specific coded evidence</x:v>
      </x:c>
      <x:c r="W355" s="6" t="str">
        <x:v>p. 3; Study 2</x:v>
      </x:c>
      <x:c r="X355" s="6" t="str">
        <x:v>it was then prompted to assess whether or not the test cases entirely covered its linked software requirement and also suggest any missing cases (referring to its memory) to attain complete coverage.</x:v>
      </x:c>
      <x:c r="Y355" s="6" t="str">
        <x:v>See task-step evidence references in the RQ2 supplement.</x:v>
      </x:c>
      <x:c r="Z355" s="2" t="str">
        <x:v>Accepted</x:v>
      </x:c>
      <x:c r="AA355" s="6" t="str">
        <x:v>NR</x:v>
      </x:c>
    </x:row>
    <x:row r="356" ht="76" customHeight="1">
      <x:c r="A356" s="2" t="str">
        <x:v>S45-T02-P5</x:v>
      </x:c>
      <x:c r="B356" s="2" t="str">
        <x:v>S45</x:v>
      </x:c>
      <x:c r="C356" s="2" t="str">
        <x:v>merged_1275</x:v>
      </x:c>
      <x:c r="D356" s="2" t="str">
        <x:v>Final coding</x:v>
      </x:c>
      <x:c r="E356" s="2" t="str">
        <x:v>R1/R2</x:v>
      </x:c>
      <x:c r="F356" s="2" t="str">
        <x:v>S45-T02-PROC</x:v>
      </x:c>
      <x:c r="G356" s="2" t="str">
        <x:v>S45-T02</x:v>
      </x:c>
      <x:c r="H356" s="2" t="str">
        <x:v>5 Evolution and embedding</x:v>
      </x:c>
      <x:c r="I356" s="2" t="n">
        <x:v>5</x:v>
      </x:c>
      <x:c r="J356" s="2" t="str">
        <x:v>Common core</x:v>
      </x:c>
      <x:c r="K356" s="2" t="str">
        <x:v>Completed</x:v>
      </x:c>
      <x:c r="L356" s="2" t="str">
        <x:v>Not separately reported</x:v>
      </x:c>
      <x:c r="M356" s="2" t="str">
        <x:v>NR</x:v>
      </x:c>
      <x:c r="N356" s="2" t="str">
        <x:v>NR</x:v>
      </x:c>
      <x:c r="O356" s="2" t="str">
        <x:v>NR</x:v>
      </x:c>
      <x:c r="P356" s="6" t="str">
        <x:v>NR</x:v>
      </x:c>
      <x:c r="Q356" s="2" t="str">
        <x:v>NR</x:v>
      </x:c>
      <x:c r="R356" s="6" t="str">
        <x:v>NR</x:v>
      </x:c>
      <x:c r="S356" s="2" t="str">
        <x:v>NR</x:v>
      </x:c>
      <x:c r="T356" s="2" t="str">
        <x:v>NR</x:v>
      </x:c>
      <x:c r="U356" s="2" t="str">
        <x:v>NR</x:v>
      </x:c>
      <x:c r="V356" s="6" t="str">
        <x:v>Task-specific coded evidence</x:v>
      </x:c>
      <x:c r="W356" s="6" t="str">
        <x:v>p. 3; Study 2</x:v>
      </x:c>
      <x:c r="X356" s="6" t="str">
        <x:v>it was then prompted to assess whether or not the test cases entirely covered its linked software requirement and also suggest any missing cases (referring to its memory) to attain complete coverage.</x:v>
      </x:c>
      <x:c r="Y356" s="6" t="str">
        <x:v>See task-step evidence references in the RQ2 supplement.</x:v>
      </x:c>
      <x:c r="Z356" s="2" t="str">
        <x:v>Accepted</x:v>
      </x:c>
      <x:c r="AA356" s="6" t="str">
        <x:v>NR</x:v>
      </x:c>
    </x:row>
    <x:row r="357" ht="76" customHeight="1">
      <x:c r="A357" s="2" t="str">
        <x:v>S45-T03-P1</x:v>
      </x:c>
      <x:c r="B357" s="2" t="str">
        <x:v>S45</x:v>
      </x:c>
      <x:c r="C357" s="2" t="str">
        <x:v>merged_1275</x:v>
      </x:c>
      <x:c r="D357" s="2" t="str">
        <x:v>Final coding</x:v>
      </x:c>
      <x:c r="E357" s="2" t="str">
        <x:v>R1/R2</x:v>
      </x:c>
      <x:c r="F357" s="2" t="str">
        <x:v>S45-T03-PROC</x:v>
      </x:c>
      <x:c r="G357" s="2" t="str">
        <x:v>S45-T03</x:v>
      </x:c>
      <x:c r="H357" s="2" t="str">
        <x:v>1 Artifact acquisition and scoping</x:v>
      </x:c>
      <x:c r="I357" s="2" t="n">
        <x:v>1</x:v>
      </x:c>
      <x:c r="J357" s="2" t="str">
        <x:v>Common core</x:v>
      </x:c>
      <x:c r="K357" s="2" t="str">
        <x:v>Completed</x:v>
      </x:c>
      <x:c r="L357" s="2" t="str">
        <x:v>Not separately reported</x:v>
      </x:c>
      <x:c r="M357" s="2" t="str">
        <x:v>NR</x:v>
      </x:c>
      <x:c r="N357" s="2" t="str">
        <x:v>NR</x:v>
      </x:c>
      <x:c r="O357" s="2" t="str">
        <x:v>NR</x:v>
      </x:c>
      <x:c r="P357" s="6" t="str">
        <x:v>NR</x:v>
      </x:c>
      <x:c r="Q357" s="2" t="str">
        <x:v>NR</x:v>
      </x:c>
      <x:c r="R357" s="6" t="str">
        <x:v>NR</x:v>
      </x:c>
      <x:c r="S357" s="2" t="str">
        <x:v>NR</x:v>
      </x:c>
      <x:c r="T357" s="2" t="str">
        <x:v>NR</x:v>
      </x:c>
      <x:c r="U357" s="2" t="str">
        <x:v>NR</x:v>
      </x:c>
      <x:c r="V357" s="6" t="str">
        <x:v>Task-specific coded evidence</x:v>
      </x:c>
      <x:c r="W357" s="6" t="str">
        <x:v>p. 4; Study 3</x:v>
      </x:c>
      <x:c r="X357" s="6" t="str">
        <x:v>This study evaluates ChatGPT-4o’s performance in predicting trace links between system requirements (SYSRS) and software requirements (SWRS)</x:v>
      </x:c>
      <x:c r="Y357" s="6" t="str">
        <x:v>See task-step evidence references in the RQ2 supplement.</x:v>
      </x:c>
      <x:c r="Z357" s="2" t="str">
        <x:v>Accepted</x:v>
      </x:c>
      <x:c r="AA357" s="6" t="str">
        <x:v>NR</x:v>
      </x:c>
    </x:row>
    <x:row r="358" ht="76" customHeight="1">
      <x:c r="A358" s="2" t="str">
        <x:v>S45-T03-P2</x:v>
      </x:c>
      <x:c r="B358" s="2" t="str">
        <x:v>S45</x:v>
      </x:c>
      <x:c r="C358" s="2" t="str">
        <x:v>merged_1275</x:v>
      </x:c>
      <x:c r="D358" s="2" t="str">
        <x:v>Final coding</x:v>
      </x:c>
      <x:c r="E358" s="2" t="str">
        <x:v>R1/R2</x:v>
      </x:c>
      <x:c r="F358" s="2" t="str">
        <x:v>S45-T03-PROC</x:v>
      </x:c>
      <x:c r="G358" s="2" t="str">
        <x:v>S45-T03</x:v>
      </x:c>
      <x:c r="H358" s="2" t="str">
        <x:v>2 Semantic contextualization</x:v>
      </x:c>
      <x:c r="I358" s="2" t="n">
        <x:v>2</x:v>
      </x:c>
      <x:c r="J358" s="2" t="str">
        <x:v>Common core</x:v>
      </x:c>
      <x:c r="K358" s="2" t="str">
        <x:v>Completed</x:v>
      </x:c>
      <x:c r="L358" s="2" t="str">
        <x:v>Not separately reported</x:v>
      </x:c>
      <x:c r="M358" s="2" t="str">
        <x:v>NR</x:v>
      </x:c>
      <x:c r="N358" s="2" t="str">
        <x:v>NR</x:v>
      </x:c>
      <x:c r="O358" s="2" t="str">
        <x:v>NR</x:v>
      </x:c>
      <x:c r="P358" s="6" t="str">
        <x:v>NR</x:v>
      </x:c>
      <x:c r="Q358" s="2" t="str">
        <x:v>NR</x:v>
      </x:c>
      <x:c r="R358" s="6" t="str">
        <x:v>NR</x:v>
      </x:c>
      <x:c r="S358" s="2" t="str">
        <x:v>NR</x:v>
      </x:c>
      <x:c r="T358" s="2" t="str">
        <x:v>NR</x:v>
      </x:c>
      <x:c r="U358" s="2" t="str">
        <x:v>NR</x:v>
      </x:c>
      <x:c r="V358" s="6" t="str">
        <x:v>Task-specific coded evidence</x:v>
      </x:c>
      <x:c r="W358" s="6" t="str">
        <x:v>p. 4; Study 3</x:v>
      </x:c>
      <x:c r="X358" s="6" t="str">
        <x:v>This study evaluates ChatGPT-4o’s performance in predicting trace links between system requirements (SYSRS) and software requirements (SWRS)</x:v>
      </x:c>
      <x:c r="Y358" s="6" t="str">
        <x:v>See task-step evidence references in the RQ2 supplement.</x:v>
      </x:c>
      <x:c r="Z358" s="2" t="str">
        <x:v>Accepted</x:v>
      </x:c>
      <x:c r="AA358" s="6" t="str">
        <x:v>NR</x:v>
      </x:c>
    </x:row>
    <x:row r="359" ht="76" customHeight="1">
      <x:c r="A359" s="2" t="str">
        <x:v>S45-T03-P3</x:v>
      </x:c>
      <x:c r="B359" s="2" t="str">
        <x:v>S45</x:v>
      </x:c>
      <x:c r="C359" s="2" t="str">
        <x:v>merged_1275</x:v>
      </x:c>
      <x:c r="D359" s="2" t="str">
        <x:v>Final coding</x:v>
      </x:c>
      <x:c r="E359" s="2" t="str">
        <x:v>R1/R2</x:v>
      </x:c>
      <x:c r="F359" s="2" t="str">
        <x:v>S45-T03-PROC</x:v>
      </x:c>
      <x:c r="G359" s="2" t="str">
        <x:v>S45-T03</x:v>
      </x:c>
      <x:c r="H359" s="2" t="str">
        <x:v>3 Traceability inference</x:v>
      </x:c>
      <x:c r="I359" s="2" t="n">
        <x:v>3</x:v>
      </x:c>
      <x:c r="J359" s="2" t="str">
        <x:v>Common core</x:v>
      </x:c>
      <x:c r="K359" s="2" t="str">
        <x:v>Completed</x:v>
      </x:c>
      <x:c r="L359" s="2" t="str">
        <x:v>Explicitly evidenced</x:v>
      </x:c>
      <x:c r="M359" s="2" t="str">
        <x:v>NR</x:v>
      </x:c>
      <x:c r="N359" s="2" t="str">
        <x:v>NR</x:v>
      </x:c>
      <x:c r="O359" s="2" t="str">
        <x:v>NR</x:v>
      </x:c>
      <x:c r="P359" s="6" t="str">
        <x:v>NR</x:v>
      </x:c>
      <x:c r="Q359" s="2" t="str">
        <x:v>3 Traceability inference</x:v>
      </x:c>
      <x:c r="R359" s="6" t="str">
        <x:v>预测的链接列表，与真实链接比较得到P/R/F1。</x:v>
      </x:c>
      <x:c r="S359" s="2" t="str">
        <x:v>NR</x:v>
      </x:c>
      <x:c r="T359" s="2" t="str">
        <x:v>NR</x:v>
      </x:c>
      <x:c r="U359" s="2" t="str">
        <x:v>NR</x:v>
      </x:c>
      <x:c r="V359" s="6" t="str">
        <x:v>Task-specific coded evidence</x:v>
      </x:c>
      <x:c r="W359" s="6" t="str">
        <x:v>p. 4; Study 3</x:v>
      </x:c>
      <x:c r="X359" s="6" t="str">
        <x:v>This study evaluates ChatGPT-4o’s performance in predicting trace links between system requirements (SYSRS) and software requirements (SWRS)</x:v>
      </x:c>
      <x:c r="Y359" s="6" t="str">
        <x:v>See task-step evidence references in the RQ2 supplement.</x:v>
      </x:c>
      <x:c r="Z359" s="2" t="str">
        <x:v>Accepted</x:v>
      </x:c>
      <x:c r="AA359" s="6" t="str">
        <x:v>NR</x:v>
      </x:c>
    </x:row>
    <x:row r="360" ht="76" customHeight="1">
      <x:c r="A360" s="2" t="str">
        <x:v>S45-T03-P4</x:v>
      </x:c>
      <x:c r="B360" s="2" t="str">
        <x:v>S45</x:v>
      </x:c>
      <x:c r="C360" s="2" t="str">
        <x:v>merged_1275</x:v>
      </x:c>
      <x:c r="D360" s="2" t="str">
        <x:v>Final coding</x:v>
      </x:c>
      <x:c r="E360" s="2" t="str">
        <x:v>R1/R2</x:v>
      </x:c>
      <x:c r="F360" s="2" t="str">
        <x:v>S45-T03-PROC</x:v>
      </x:c>
      <x:c r="G360" s="2" t="str">
        <x:v>S45-T03</x:v>
      </x:c>
      <x:c r="H360" s="2" t="str">
        <x:v>4 Validation and explanation</x:v>
      </x:c>
      <x:c r="I360" s="2" t="n">
        <x:v>4</x:v>
      </x:c>
      <x:c r="J360" s="2" t="str">
        <x:v>Common core</x:v>
      </x:c>
      <x:c r="K360" s="2" t="str">
        <x:v>Completed</x:v>
      </x:c>
      <x:c r="L360" s="2" t="str">
        <x:v>Not separately reported</x:v>
      </x:c>
      <x:c r="M360" s="2" t="str">
        <x:v>NR</x:v>
      </x:c>
      <x:c r="N360" s="2" t="str">
        <x:v>NR</x:v>
      </x:c>
      <x:c r="O360" s="2" t="str">
        <x:v>NR</x:v>
      </x:c>
      <x:c r="P360" s="6" t="str">
        <x:v>NR</x:v>
      </x:c>
      <x:c r="Q360" s="2" t="str">
        <x:v>NR</x:v>
      </x:c>
      <x:c r="R360" s="6" t="str">
        <x:v>NR</x:v>
      </x:c>
      <x:c r="S360" s="2" t="str">
        <x:v>NR</x:v>
      </x:c>
      <x:c r="T360" s="2" t="str">
        <x:v>NR</x:v>
      </x:c>
      <x:c r="U360" s="2" t="str">
        <x:v>NR</x:v>
      </x:c>
      <x:c r="V360" s="6" t="str">
        <x:v>Task-specific coded evidence</x:v>
      </x:c>
      <x:c r="W360" s="6" t="str">
        <x:v>p. 4; Study 3</x:v>
      </x:c>
      <x:c r="X360" s="6" t="str">
        <x:v>This study evaluates ChatGPT-4o’s performance in predicting trace links between system requirements (SYSRS) and software requirements (SWRS)</x:v>
      </x:c>
      <x:c r="Y360" s="6" t="str">
        <x:v>See task-step evidence references in the RQ2 supplement.</x:v>
      </x:c>
      <x:c r="Z360" s="2" t="str">
        <x:v>Accepted</x:v>
      </x:c>
      <x:c r="AA360" s="6" t="str">
        <x:v>NR</x:v>
      </x:c>
    </x:row>
    <x:row r="361" ht="76" customHeight="1">
      <x:c r="A361" s="2" t="str">
        <x:v>S45-T03-P5</x:v>
      </x:c>
      <x:c r="B361" s="2" t="str">
        <x:v>S45</x:v>
      </x:c>
      <x:c r="C361" s="2" t="str">
        <x:v>merged_1275</x:v>
      </x:c>
      <x:c r="D361" s="2" t="str">
        <x:v>Final coding</x:v>
      </x:c>
      <x:c r="E361" s="2" t="str">
        <x:v>R1/R2</x:v>
      </x:c>
      <x:c r="F361" s="2" t="str">
        <x:v>S45-T03-PROC</x:v>
      </x:c>
      <x:c r="G361" s="2" t="str">
        <x:v>S45-T03</x:v>
      </x:c>
      <x:c r="H361" s="2" t="str">
        <x:v>5 Evolution and embedding</x:v>
      </x:c>
      <x:c r="I361" s="2" t="n">
        <x:v>5</x:v>
      </x:c>
      <x:c r="J361" s="2" t="str">
        <x:v>Common core</x:v>
      </x:c>
      <x:c r="K361" s="2" t="str">
        <x:v>Completed</x:v>
      </x:c>
      <x:c r="L361" s="2" t="str">
        <x:v>Not separately reported</x:v>
      </x:c>
      <x:c r="M361" s="2" t="str">
        <x:v>NR</x:v>
      </x:c>
      <x:c r="N361" s="2" t="str">
        <x:v>NR</x:v>
      </x:c>
      <x:c r="O361" s="2" t="str">
        <x:v>NR</x:v>
      </x:c>
      <x:c r="P361" s="6" t="str">
        <x:v>NR</x:v>
      </x:c>
      <x:c r="Q361" s="2" t="str">
        <x:v>NR</x:v>
      </x:c>
      <x:c r="R361" s="6" t="str">
        <x:v>NR</x:v>
      </x:c>
      <x:c r="S361" s="2" t="str">
        <x:v>NR</x:v>
      </x:c>
      <x:c r="T361" s="2" t="str">
        <x:v>NR</x:v>
      </x:c>
      <x:c r="U361" s="2" t="str">
        <x:v>NR</x:v>
      </x:c>
      <x:c r="V361" s="6" t="str">
        <x:v>Task-specific coded evidence</x:v>
      </x:c>
      <x:c r="W361" s="6" t="str">
        <x:v>p. 4; Study 3</x:v>
      </x:c>
      <x:c r="X361" s="6" t="str">
        <x:v>This study evaluates ChatGPT-4o’s performance in predicting trace links between system requirements (SYSRS) and software requirements (SWRS)</x:v>
      </x:c>
      <x:c r="Y361" s="6" t="str">
        <x:v>See task-step evidence references in the RQ2 supplement.</x:v>
      </x:c>
      <x:c r="Z361" s="2" t="str">
        <x:v>Accepted</x:v>
      </x:c>
      <x:c r="AA361" s="6" t="str">
        <x:v>NR</x:v>
      </x:c>
    </x:row>
    <x:row r="362" ht="76" customHeight="1">
      <x:c r="A362" s="2" t="str">
        <x:v>S45-T04-P1</x:v>
      </x:c>
      <x:c r="B362" s="2" t="str">
        <x:v>S45</x:v>
      </x:c>
      <x:c r="C362" s="2" t="str">
        <x:v>merged_1275</x:v>
      </x:c>
      <x:c r="D362" s="2" t="str">
        <x:v>Final coding</x:v>
      </x:c>
      <x:c r="E362" s="2" t="str">
        <x:v>R1/R2</x:v>
      </x:c>
      <x:c r="F362" s="2" t="str">
        <x:v>S45-T04-PROC</x:v>
      </x:c>
      <x:c r="G362" s="2" t="str">
        <x:v>S45-T04</x:v>
      </x:c>
      <x:c r="H362" s="2" t="str">
        <x:v>1 Artifact acquisition and scoping</x:v>
      </x:c>
      <x:c r="I362" s="2" t="n">
        <x:v>1</x:v>
      </x:c>
      <x:c r="J362" s="2" t="str">
        <x:v>Common core</x:v>
      </x:c>
      <x:c r="K362" s="2" t="str">
        <x:v>Completed</x:v>
      </x:c>
      <x:c r="L362" s="2" t="str">
        <x:v>Not separately reported</x:v>
      </x:c>
      <x:c r="M362" s="2" t="str">
        <x:v>NR</x:v>
      </x:c>
      <x:c r="N362" s="2" t="str">
        <x:v>NR</x:v>
      </x:c>
      <x:c r="O362" s="2" t="str">
        <x:v>NR</x:v>
      </x:c>
      <x:c r="P362" s="6" t="str">
        <x:v>NR</x:v>
      </x:c>
      <x:c r="Q362" s="2" t="str">
        <x:v>NR</x:v>
      </x:c>
      <x:c r="R362" s="6" t="str">
        <x:v>NR</x:v>
      </x:c>
      <x:c r="S362" s="2" t="str">
        <x:v>NR</x:v>
      </x:c>
      <x:c r="T362" s="2" t="str">
        <x:v>NR</x:v>
      </x:c>
      <x:c r="U362" s="2" t="str">
        <x:v>NR</x:v>
      </x:c>
      <x:c r="V362" s="6" t="str">
        <x:v>Task-specific coded evidence</x:v>
      </x:c>
      <x:c r="W362" s="6" t="str">
        <x:v>p. 4; Study 4</x:v>
      </x:c>
      <x:c r="X362" s="6" t="str">
        <x:v>ChatGPT-4o was instructed to flag any linguistic or content-based ambiguities that may exist within the requirements.</x:v>
      </x:c>
      <x:c r="Y362" s="6" t="str">
        <x:v>See task-step evidence references in the RQ2 supplement.</x:v>
      </x:c>
      <x:c r="Z362" s="2" t="str">
        <x:v>Accepted</x:v>
      </x:c>
      <x:c r="AA362" s="6" t="str">
        <x:v>NR</x:v>
      </x:c>
    </x:row>
    <x:row r="363" ht="76" customHeight="1">
      <x:c r="A363" s="2" t="str">
        <x:v>S45-T04-P2</x:v>
      </x:c>
      <x:c r="B363" s="2" t="str">
        <x:v>S45</x:v>
      </x:c>
      <x:c r="C363" s="2" t="str">
        <x:v>merged_1275</x:v>
      </x:c>
      <x:c r="D363" s="2" t="str">
        <x:v>Final coding</x:v>
      </x:c>
      <x:c r="E363" s="2" t="str">
        <x:v>R1/R2</x:v>
      </x:c>
      <x:c r="F363" s="2" t="str">
        <x:v>S45-T04-PROC</x:v>
      </x:c>
      <x:c r="G363" s="2" t="str">
        <x:v>S45-T04</x:v>
      </x:c>
      <x:c r="H363" s="2" t="str">
        <x:v>2 Semantic contextualization</x:v>
      </x:c>
      <x:c r="I363" s="2" t="n">
        <x:v>2</x:v>
      </x:c>
      <x:c r="J363" s="2" t="str">
        <x:v>Common core</x:v>
      </x:c>
      <x:c r="K363" s="2" t="str">
        <x:v>Completed</x:v>
      </x:c>
      <x:c r="L363" s="2" t="str">
        <x:v>Explicitly evidenced</x:v>
      </x:c>
      <x:c r="M363" s="2" t="str">
        <x:v>NR</x:v>
      </x:c>
      <x:c r="N363" s="2" t="str">
        <x:v>NR</x:v>
      </x:c>
      <x:c r="O363" s="2" t="str">
        <x:v>NR</x:v>
      </x:c>
      <x:c r="P363" s="6" t="str">
        <x:v>NR</x:v>
      </x:c>
      <x:c r="Q363" s="2" t="str">
        <x:v>2 Semantic contextualization</x:v>
      </x:c>
      <x:c r="R363" s="6" t="str">
        <x:v>NR</x:v>
      </x:c>
      <x:c r="S363" s="2" t="str">
        <x:v>NR</x:v>
      </x:c>
      <x:c r="T363" s="2" t="str">
        <x:v>NR</x:v>
      </x:c>
      <x:c r="U363" s="2" t="str">
        <x:v>NR</x:v>
      </x:c>
      <x:c r="V363" s="6" t="str">
        <x:v>Task-specific coded evidence</x:v>
      </x:c>
      <x:c r="W363" s="6" t="str">
        <x:v>p. 4; Study 4</x:v>
      </x:c>
      <x:c r="X363" s="6" t="str">
        <x:v>ChatGPT-4o was instructed to flag any linguistic or content-based ambiguities that may exist within the requirements.</x:v>
      </x:c>
      <x:c r="Y363" s="6" t="str">
        <x:v>See task-step evidence references in the RQ2 supplement.</x:v>
      </x:c>
      <x:c r="Z363" s="2" t="str">
        <x:v>Accepted</x:v>
      </x:c>
      <x:c r="AA363" s="6" t="str">
        <x:v>NR</x:v>
      </x:c>
    </x:row>
    <x:row r="364" ht="76" customHeight="1">
      <x:c r="A364" s="2" t="str">
        <x:v>S45-T04-P3</x:v>
      </x:c>
      <x:c r="B364" s="2" t="str">
        <x:v>S45</x:v>
      </x:c>
      <x:c r="C364" s="2" t="str">
        <x:v>merged_1275</x:v>
      </x:c>
      <x:c r="D364" s="2" t="str">
        <x:v>Final coding</x:v>
      </x:c>
      <x:c r="E364" s="2" t="str">
        <x:v>R1/R2</x:v>
      </x:c>
      <x:c r="F364" s="2" t="str">
        <x:v>S45-T04-PROC</x:v>
      </x:c>
      <x:c r="G364" s="2" t="str">
        <x:v>S45-T04</x:v>
      </x:c>
      <x:c r="H364" s="2" t="str">
        <x:v>3 Traceability inference</x:v>
      </x:c>
      <x:c r="I364" s="2" t="n">
        <x:v>3</x:v>
      </x:c>
      <x:c r="J364" s="2" t="str">
        <x:v>Common core</x:v>
      </x:c>
      <x:c r="K364" s="2" t="str">
        <x:v>Completed</x:v>
      </x:c>
      <x:c r="L364" s="2" t="str">
        <x:v>Inferred from relation output</x:v>
      </x:c>
      <x:c r="M364" s="2" t="str">
        <x:v>NR</x:v>
      </x:c>
      <x:c r="N364" s="2" t="str">
        <x:v>NR</x:v>
      </x:c>
      <x:c r="O364" s="2" t="str">
        <x:v>NR</x:v>
      </x:c>
      <x:c r="P364" s="6" t="str">
        <x:v>NR</x:v>
      </x:c>
      <x:c r="Q364" s="2" t="str">
        <x:v>NR</x:v>
      </x:c>
      <x:c r="R364" s="6" t="str">
        <x:v>对给定需求的歧义检测结果。</x:v>
      </x:c>
      <x:c r="S364" s="2" t="str">
        <x:v>NR</x:v>
      </x:c>
      <x:c r="T364" s="2" t="str">
        <x:v>NR</x:v>
      </x:c>
      <x:c r="U364" s="2" t="str">
        <x:v>NR</x:v>
      </x:c>
      <x:c r="V364" s="6" t="str">
        <x:v>Task-specific coded evidence</x:v>
      </x:c>
      <x:c r="W364" s="6" t="str">
        <x:v>p. 4; Study 4</x:v>
      </x:c>
      <x:c r="X364" s="6" t="str">
        <x:v>ChatGPT-4o was instructed to flag any linguistic or content-based ambiguities that may exist within the requirements.</x:v>
      </x:c>
      <x:c r="Y364" s="6" t="str">
        <x:v>See task-step evidence references in the RQ2 supplement.</x:v>
      </x:c>
      <x:c r="Z364" s="2" t="str">
        <x:v>Accepted</x:v>
      </x:c>
      <x:c r="AA364" s="6" t="str">
        <x:v>NR</x:v>
      </x:c>
    </x:row>
    <x:row r="365" ht="76" customHeight="1">
      <x:c r="A365" s="2" t="str">
        <x:v>S45-T04-P4</x:v>
      </x:c>
      <x:c r="B365" s="2" t="str">
        <x:v>S45</x:v>
      </x:c>
      <x:c r="C365" s="2" t="str">
        <x:v>merged_1275</x:v>
      </x:c>
      <x:c r="D365" s="2" t="str">
        <x:v>Final coding</x:v>
      </x:c>
      <x:c r="E365" s="2" t="str">
        <x:v>R1/R2</x:v>
      </x:c>
      <x:c r="F365" s="2" t="str">
        <x:v>S45-T04-PROC</x:v>
      </x:c>
      <x:c r="G365" s="2" t="str">
        <x:v>S45-T04</x:v>
      </x:c>
      <x:c r="H365" s="2" t="str">
        <x:v>4 Validation and explanation</x:v>
      </x:c>
      <x:c r="I365" s="2" t="n">
        <x:v>4</x:v>
      </x:c>
      <x:c r="J365" s="2" t="str">
        <x:v>Common core</x:v>
      </x:c>
      <x:c r="K365" s="2" t="str">
        <x:v>Completed</x:v>
      </x:c>
      <x:c r="L365" s="2" t="str">
        <x:v>Not separately reported</x:v>
      </x:c>
      <x:c r="M365" s="2" t="str">
        <x:v>NR</x:v>
      </x:c>
      <x:c r="N365" s="2" t="str">
        <x:v>NR</x:v>
      </x:c>
      <x:c r="O365" s="2" t="str">
        <x:v>NR</x:v>
      </x:c>
      <x:c r="P365" s="6" t="str">
        <x:v>NR</x:v>
      </x:c>
      <x:c r="Q365" s="2" t="str">
        <x:v>NR</x:v>
      </x:c>
      <x:c r="R365" s="6" t="str">
        <x:v>NR</x:v>
      </x:c>
      <x:c r="S365" s="2" t="str">
        <x:v>NR</x:v>
      </x:c>
      <x:c r="T365" s="2" t="str">
        <x:v>NR</x:v>
      </x:c>
      <x:c r="U365" s="2" t="str">
        <x:v>NR</x:v>
      </x:c>
      <x:c r="V365" s="6" t="str">
        <x:v>Task-specific coded evidence</x:v>
      </x:c>
      <x:c r="W365" s="6" t="str">
        <x:v>p. 4; Study 4</x:v>
      </x:c>
      <x:c r="X365" s="6" t="str">
        <x:v>ChatGPT-4o was instructed to flag any linguistic or content-based ambiguities that may exist within the requirements.</x:v>
      </x:c>
      <x:c r="Y365" s="6" t="str">
        <x:v>See task-step evidence references in the RQ2 supplement.</x:v>
      </x:c>
      <x:c r="Z365" s="2" t="str">
        <x:v>Accepted</x:v>
      </x:c>
      <x:c r="AA365" s="6" t="str">
        <x:v>NR</x:v>
      </x:c>
    </x:row>
    <x:row r="366" ht="76" customHeight="1">
      <x:c r="A366" s="2" t="str">
        <x:v>S45-T04-P5</x:v>
      </x:c>
      <x:c r="B366" s="2" t="str">
        <x:v>S45</x:v>
      </x:c>
      <x:c r="C366" s="2" t="str">
        <x:v>merged_1275</x:v>
      </x:c>
      <x:c r="D366" s="2" t="str">
        <x:v>Final coding</x:v>
      </x:c>
      <x:c r="E366" s="2" t="str">
        <x:v>R1/R2</x:v>
      </x:c>
      <x:c r="F366" s="2" t="str">
        <x:v>S45-T04-PROC</x:v>
      </x:c>
      <x:c r="G366" s="2" t="str">
        <x:v>S45-T04</x:v>
      </x:c>
      <x:c r="H366" s="2" t="str">
        <x:v>5 Evolution and embedding</x:v>
      </x:c>
      <x:c r="I366" s="2" t="n">
        <x:v>5</x:v>
      </x:c>
      <x:c r="J366" s="2" t="str">
        <x:v>Common core</x:v>
      </x:c>
      <x:c r="K366" s="2" t="str">
        <x:v>Completed</x:v>
      </x:c>
      <x:c r="L366" s="2" t="str">
        <x:v>Not separately reported</x:v>
      </x:c>
      <x:c r="M366" s="2" t="str">
        <x:v>NR</x:v>
      </x:c>
      <x:c r="N366" s="2" t="str">
        <x:v>NR</x:v>
      </x:c>
      <x:c r="O366" s="2" t="str">
        <x:v>NR</x:v>
      </x:c>
      <x:c r="P366" s="6" t="str">
        <x:v>NR</x:v>
      </x:c>
      <x:c r="Q366" s="2" t="str">
        <x:v>NR</x:v>
      </x:c>
      <x:c r="R366" s="6" t="str">
        <x:v>NR</x:v>
      </x:c>
      <x:c r="S366" s="2" t="str">
        <x:v>NR</x:v>
      </x:c>
      <x:c r="T366" s="2" t="str">
        <x:v>NR</x:v>
      </x:c>
      <x:c r="U366" s="2" t="str">
        <x:v>NR</x:v>
      </x:c>
      <x:c r="V366" s="6" t="str">
        <x:v>Task-specific coded evidence</x:v>
      </x:c>
      <x:c r="W366" s="6" t="str">
        <x:v>p. 4; Study 4</x:v>
      </x:c>
      <x:c r="X366" s="6" t="str">
        <x:v>ChatGPT-4o was instructed to flag any linguistic or content-based ambiguities that may exist within the requirements.</x:v>
      </x:c>
      <x:c r="Y366" s="6" t="str">
        <x:v>See task-step evidence references in the RQ2 supplement.</x:v>
      </x:c>
      <x:c r="Z366" s="2" t="str">
        <x:v>Accepted</x:v>
      </x:c>
      <x:c r="AA366" s="6" t="str">
        <x:v>NR</x:v>
      </x:c>
    </x:row>
    <x:row r="367" ht="76" customHeight="1">
      <x:c r="A367" s="2" t="str">
        <x:v>S45-T05-P1</x:v>
      </x:c>
      <x:c r="B367" s="2" t="str">
        <x:v>S45</x:v>
      </x:c>
      <x:c r="C367" s="2" t="str">
        <x:v>merged_1275</x:v>
      </x:c>
      <x:c r="D367" s="2" t="str">
        <x:v>Final coding</x:v>
      </x:c>
      <x:c r="E367" s="2" t="str">
        <x:v>R1/R2</x:v>
      </x:c>
      <x:c r="F367" s="2" t="str">
        <x:v>S45-T05-PROC</x:v>
      </x:c>
      <x:c r="G367" s="2" t="str">
        <x:v>S45-T05</x:v>
      </x:c>
      <x:c r="H367" s="2" t="str">
        <x:v>1 Artifact acquisition and scoping</x:v>
      </x:c>
      <x:c r="I367" s="2" t="n">
        <x:v>1</x:v>
      </x:c>
      <x:c r="J367" s="2" t="str">
        <x:v>Common core</x:v>
      </x:c>
      <x:c r="K367" s="2" t="str">
        <x:v>Completed</x:v>
      </x:c>
      <x:c r="L367" s="2" t="str">
        <x:v>Not separately reported</x:v>
      </x:c>
      <x:c r="M367" s="2" t="str">
        <x:v>NR</x:v>
      </x:c>
      <x:c r="N367" s="2" t="str">
        <x:v>NR</x:v>
      </x:c>
      <x:c r="O367" s="2" t="str">
        <x:v>NR</x:v>
      </x:c>
      <x:c r="P367" s="6" t="str">
        <x:v>NR</x:v>
      </x:c>
      <x:c r="Q367" s="2" t="str">
        <x:v>NR</x:v>
      </x:c>
      <x:c r="R367" s="6" t="str">
        <x:v>NR</x:v>
      </x:c>
      <x:c r="S367" s="2" t="str">
        <x:v>NR</x:v>
      </x:c>
      <x:c r="T367" s="2" t="str">
        <x:v>NR</x:v>
      </x:c>
      <x:c r="U367" s="2" t="str">
        <x:v>NR</x:v>
      </x:c>
      <x:c r="V367" s="6" t="str">
        <x:v>Task-specific coded evidence</x:v>
      </x:c>
      <x:c r="W367" s="6" t="str">
        <x:v>p. 4; Study 5</x:v>
      </x:c>
      <x:c r="X367" s="6" t="str">
        <x:v>ChatGPT-4o was tested on an existing project ticket at Area 21 to determine its ability to identify gaps in system-software requirement alignment.</x:v>
      </x:c>
      <x:c r="Y367" s="6" t="str">
        <x:v>See task-step evidence references in the RQ2 supplement.</x:v>
      </x:c>
      <x:c r="Z367" s="2" t="str">
        <x:v>Accepted</x:v>
      </x:c>
      <x:c r="AA367" s="6" t="str">
        <x:v>NR</x:v>
      </x:c>
    </x:row>
    <x:row r="368" ht="76" customHeight="1">
      <x:c r="A368" s="2" t="str">
        <x:v>S45-T05-P2</x:v>
      </x:c>
      <x:c r="B368" s="2" t="str">
        <x:v>S45</x:v>
      </x:c>
      <x:c r="C368" s="2" t="str">
        <x:v>merged_1275</x:v>
      </x:c>
      <x:c r="D368" s="2" t="str">
        <x:v>Final coding</x:v>
      </x:c>
      <x:c r="E368" s="2" t="str">
        <x:v>R1/R2</x:v>
      </x:c>
      <x:c r="F368" s="2" t="str">
        <x:v>S45-T05-PROC</x:v>
      </x:c>
      <x:c r="G368" s="2" t="str">
        <x:v>S45-T05</x:v>
      </x:c>
      <x:c r="H368" s="2" t="str">
        <x:v>2 Semantic contextualization</x:v>
      </x:c>
      <x:c r="I368" s="2" t="n">
        <x:v>2</x:v>
      </x:c>
      <x:c r="J368" s="2" t="str">
        <x:v>Common core</x:v>
      </x:c>
      <x:c r="K368" s="2" t="str">
        <x:v>Completed</x:v>
      </x:c>
      <x:c r="L368" s="2" t="str">
        <x:v>Not separately reported</x:v>
      </x:c>
      <x:c r="M368" s="2" t="str">
        <x:v>NR</x:v>
      </x:c>
      <x:c r="N368" s="2" t="str">
        <x:v>NR</x:v>
      </x:c>
      <x:c r="O368" s="2" t="str">
        <x:v>NR</x:v>
      </x:c>
      <x:c r="P368" s="6" t="str">
        <x:v>NR</x:v>
      </x:c>
      <x:c r="Q368" s="2" t="str">
        <x:v>NR</x:v>
      </x:c>
      <x:c r="R368" s="6" t="str">
        <x:v>NR</x:v>
      </x:c>
      <x:c r="S368" s="2" t="str">
        <x:v>NR</x:v>
      </x:c>
      <x:c r="T368" s="2" t="str">
        <x:v>NR</x:v>
      </x:c>
      <x:c r="U368" s="2" t="str">
        <x:v>NR</x:v>
      </x:c>
      <x:c r="V368" s="6" t="str">
        <x:v>Task-specific coded evidence</x:v>
      </x:c>
      <x:c r="W368" s="6" t="str">
        <x:v>p. 4; Study 5</x:v>
      </x:c>
      <x:c r="X368" s="6" t="str">
        <x:v>ChatGPT-4o was tested on an existing project ticket at Area 21 to determine its ability to identify gaps in system-software requirement alignment.</x:v>
      </x:c>
      <x:c r="Y368" s="6" t="str">
        <x:v>See task-step evidence references in the RQ2 supplement.</x:v>
      </x:c>
      <x:c r="Z368" s="2" t="str">
        <x:v>Accepted</x:v>
      </x:c>
      <x:c r="AA368" s="6" t="str">
        <x:v>NR</x:v>
      </x:c>
    </x:row>
    <x:row r="369" ht="76" customHeight="1">
      <x:c r="A369" s="2" t="str">
        <x:v>S45-T05-P3</x:v>
      </x:c>
      <x:c r="B369" s="2" t="str">
        <x:v>S45</x:v>
      </x:c>
      <x:c r="C369" s="2" t="str">
        <x:v>merged_1275</x:v>
      </x:c>
      <x:c r="D369" s="2" t="str">
        <x:v>Final coding</x:v>
      </x:c>
      <x:c r="E369" s="2" t="str">
        <x:v>R1/R2</x:v>
      </x:c>
      <x:c r="F369" s="2" t="str">
        <x:v>S45-T05-PROC</x:v>
      </x:c>
      <x:c r="G369" s="2" t="str">
        <x:v>S45-T05</x:v>
      </x:c>
      <x:c r="H369" s="2" t="str">
        <x:v>3 Traceability inference</x:v>
      </x:c>
      <x:c r="I369" s="2" t="n">
        <x:v>3</x:v>
      </x:c>
      <x:c r="J369" s="2" t="str">
        <x:v>Common core</x:v>
      </x:c>
      <x:c r="K369" s="2" t="str">
        <x:v>Completed</x:v>
      </x:c>
      <x:c r="L369" s="2" t="str">
        <x:v>Inferred from relation output</x:v>
      </x:c>
      <x:c r="M369" s="2" t="str">
        <x:v>NR</x:v>
      </x:c>
      <x:c r="N369" s="2" t="str">
        <x:v>NR</x:v>
      </x:c>
      <x:c r="O369" s="2" t="str">
        <x:v>NR</x:v>
      </x:c>
      <x:c r="P369" s="6" t="str">
        <x:v>NR</x:v>
      </x:c>
      <x:c r="Q369" s="2" t="str">
        <x:v>NR</x:v>
      </x:c>
      <x:c r="R369" s="6" t="str">
        <x:v>对不一致的识别和建议修订。</x:v>
      </x:c>
      <x:c r="S369" s="2" t="str">
        <x:v>NR</x:v>
      </x:c>
      <x:c r="T369" s="2" t="str">
        <x:v>NR</x:v>
      </x:c>
      <x:c r="U369" s="2" t="str">
        <x:v>NR</x:v>
      </x:c>
      <x:c r="V369" s="6" t="str">
        <x:v>Task-specific coded evidence</x:v>
      </x:c>
      <x:c r="W369" s="6" t="str">
        <x:v>p. 4; Study 5</x:v>
      </x:c>
      <x:c r="X369" s="6" t="str">
        <x:v>ChatGPT-4o was tested on an existing project ticket at Area 21 to determine its ability to identify gaps in system-software requirement alignment.</x:v>
      </x:c>
      <x:c r="Y369" s="6" t="str">
        <x:v>See task-step evidence references in the RQ2 supplement.</x:v>
      </x:c>
      <x:c r="Z369" s="2" t="str">
        <x:v>Accepted</x:v>
      </x:c>
      <x:c r="AA369" s="6" t="str">
        <x:v>NR</x:v>
      </x:c>
    </x:row>
    <x:row r="370" ht="76" customHeight="1">
      <x:c r="A370" s="2" t="str">
        <x:v>S45-T05-P4</x:v>
      </x:c>
      <x:c r="B370" s="2" t="str">
        <x:v>S45</x:v>
      </x:c>
      <x:c r="C370" s="2" t="str">
        <x:v>merged_1275</x:v>
      </x:c>
      <x:c r="D370" s="2" t="str">
        <x:v>Final coding</x:v>
      </x:c>
      <x:c r="E370" s="2" t="str">
        <x:v>R1/R2</x:v>
      </x:c>
      <x:c r="F370" s="2" t="str">
        <x:v>S45-T05-PROC</x:v>
      </x:c>
      <x:c r="G370" s="2" t="str">
        <x:v>S45-T05</x:v>
      </x:c>
      <x:c r="H370" s="2" t="str">
        <x:v>4 Validation and explanation</x:v>
      </x:c>
      <x:c r="I370" s="2" t="n">
        <x:v>4</x:v>
      </x:c>
      <x:c r="J370" s="2" t="str">
        <x:v>Common core</x:v>
      </x:c>
      <x:c r="K370" s="2" t="str">
        <x:v>Completed</x:v>
      </x:c>
      <x:c r="L370" s="2" t="str">
        <x:v>Explicitly evidenced</x:v>
      </x:c>
      <x:c r="M370" s="2" t="str">
        <x:v>NR</x:v>
      </x:c>
      <x:c r="N370" s="2" t="str">
        <x:v>NR</x:v>
      </x:c>
      <x:c r="O370" s="2" t="str">
        <x:v>NR</x:v>
      </x:c>
      <x:c r="P370" s="6" t="str">
        <x:v>NR</x:v>
      </x:c>
      <x:c r="Q370" s="2" t="str">
        <x:v>4 Validation and explanation</x:v>
      </x:c>
      <x:c r="R370" s="6" t="str">
        <x:v>NR</x:v>
      </x:c>
      <x:c r="S370" s="2" t="str">
        <x:v>NR</x:v>
      </x:c>
      <x:c r="T370" s="2" t="str">
        <x:v>NR</x:v>
      </x:c>
      <x:c r="U370" s="2" t="str">
        <x:v>NR</x:v>
      </x:c>
      <x:c r="V370" s="6" t="str">
        <x:v>Task-specific coded evidence</x:v>
      </x:c>
      <x:c r="W370" s="6" t="str">
        <x:v>p. 4; Study 5</x:v>
      </x:c>
      <x:c r="X370" s="6" t="str">
        <x:v>ChatGPT-4o was tested on an existing project ticket at Area 21 to determine its ability to identify gaps in system-software requirement alignment.</x:v>
      </x:c>
      <x:c r="Y370" s="6" t="str">
        <x:v>See task-step evidence references in the RQ2 supplement.</x:v>
      </x:c>
      <x:c r="Z370" s="2" t="str">
        <x:v>Accepted</x:v>
      </x:c>
      <x:c r="AA370" s="6" t="str">
        <x:v>NR</x:v>
      </x:c>
    </x:row>
    <x:row r="371" ht="76" customHeight="1">
      <x:c r="A371" s="2" t="str">
        <x:v>S45-T05-P5</x:v>
      </x:c>
      <x:c r="B371" s="2" t="str">
        <x:v>S45</x:v>
      </x:c>
      <x:c r="C371" s="2" t="str">
        <x:v>merged_1275</x:v>
      </x:c>
      <x:c r="D371" s="2" t="str">
        <x:v>Final coding</x:v>
      </x:c>
      <x:c r="E371" s="2" t="str">
        <x:v>R1/R2</x:v>
      </x:c>
      <x:c r="F371" s="2" t="str">
        <x:v>S45-T05-PROC</x:v>
      </x:c>
      <x:c r="G371" s="2" t="str">
        <x:v>S45-T05</x:v>
      </x:c>
      <x:c r="H371" s="2" t="str">
        <x:v>5 Evolution and embedding</x:v>
      </x:c>
      <x:c r="I371" s="2" t="n">
        <x:v>5</x:v>
      </x:c>
      <x:c r="J371" s="2" t="str">
        <x:v>Common core</x:v>
      </x:c>
      <x:c r="K371" s="2" t="str">
        <x:v>Completed</x:v>
      </x:c>
      <x:c r="L371" s="2" t="str">
        <x:v>Not separately reported</x:v>
      </x:c>
      <x:c r="M371" s="2" t="str">
        <x:v>NR</x:v>
      </x:c>
      <x:c r="N371" s="2" t="str">
        <x:v>NR</x:v>
      </x:c>
      <x:c r="O371" s="2" t="str">
        <x:v>NR</x:v>
      </x:c>
      <x:c r="P371" s="6" t="str">
        <x:v>NR</x:v>
      </x:c>
      <x:c r="Q371" s="2" t="str">
        <x:v>NR</x:v>
      </x:c>
      <x:c r="R371" s="6" t="str">
        <x:v>NR</x:v>
      </x:c>
      <x:c r="S371" s="2" t="str">
        <x:v>NR</x:v>
      </x:c>
      <x:c r="T371" s="2" t="str">
        <x:v>NR</x:v>
      </x:c>
      <x:c r="U371" s="2" t="str">
        <x:v>NR</x:v>
      </x:c>
      <x:c r="V371" s="6" t="str">
        <x:v>Task-specific coded evidence</x:v>
      </x:c>
      <x:c r="W371" s="6" t="str">
        <x:v>p. 4; Study 5</x:v>
      </x:c>
      <x:c r="X371" s="6" t="str">
        <x:v>ChatGPT-4o was tested on an existing project ticket at Area 21 to determine its ability to identify gaps in system-software requirement alignment.</x:v>
      </x:c>
      <x:c r="Y371" s="6" t="str">
        <x:v>See task-step evidence references in the RQ2 supplement.</x:v>
      </x:c>
      <x:c r="Z371" s="2" t="str">
        <x:v>Accepted</x:v>
      </x:c>
      <x:c r="AA371" s="6" t="str">
        <x:v>NR</x:v>
      </x:c>
    </x:row>
    <x:row r="372" ht="76" customHeight="1">
      <x:c r="A372" s="2" t="str">
        <x:v>S46-T01-P1</x:v>
      </x:c>
      <x:c r="B372" s="2" t="str">
        <x:v>S46</x:v>
      </x:c>
      <x:c r="C372" s="2" t="str">
        <x:v>merged_1293</x:v>
      </x:c>
      <x:c r="D372" s="2" t="str">
        <x:v>Final coding</x:v>
      </x:c>
      <x:c r="E372" s="2" t="str">
        <x:v>R1/R2</x:v>
      </x:c>
      <x:c r="F372" s="2" t="str">
        <x:v>S46-T01-PROC</x:v>
      </x:c>
      <x:c r="G372" s="2" t="str">
        <x:v>S46-T01</x:v>
      </x:c>
      <x:c r="H372" s="2" t="str">
        <x:v>1 Artifact acquisition and scoping</x:v>
      </x:c>
      <x:c r="I372" s="2" t="n">
        <x:v>1</x:v>
      </x:c>
      <x:c r="J372" s="2" t="str">
        <x:v>Common core</x:v>
      </x:c>
      <x:c r="K372" s="2" t="str">
        <x:v>Completed</x:v>
      </x:c>
      <x:c r="L372" s="2" t="str">
        <x:v>Not separately reported</x:v>
      </x:c>
      <x:c r="M372" s="2" t="str">
        <x:v>NR</x:v>
      </x:c>
      <x:c r="N372" s="2" t="str">
        <x:v>NR</x:v>
      </x:c>
      <x:c r="O372" s="2" t="str">
        <x:v>NR</x:v>
      </x:c>
      <x:c r="P372" s="6" t="str">
        <x:v>NR</x:v>
      </x:c>
      <x:c r="Q372" s="2" t="str">
        <x:v>NR</x:v>
      </x:c>
      <x:c r="R372" s="6" t="str">
        <x:v>NR</x:v>
      </x:c>
      <x:c r="S372" s="2" t="str">
        <x:v>NR</x:v>
      </x:c>
      <x:c r="T372" s="2" t="str">
        <x:v>NR</x:v>
      </x:c>
      <x:c r="U372" s="2" t="str">
        <x:v>NR</x:v>
      </x:c>
      <x:c r="V372" s="6" t="str">
        <x:v>Task-specific coded evidence</x:v>
      </x:c>
      <x:c r="W372" s="6" t="str">
        <x:v>p. 7; section Evaluation, Figure 3 description</x:v>
      </x:c>
      <x:c r="X372" s="6" t="str">
        <x:v>P1 analyzes the system description to detect any ambiguities, incompleteness, or contradictions</x:v>
      </x:c>
      <x:c r="Y372" s="6" t="str">
        <x:v>See task-step evidence references in the RQ2 supplement.</x:v>
      </x:c>
      <x:c r="Z372" s="2" t="str">
        <x:v>Accepted</x:v>
      </x:c>
      <x:c r="AA372" s="6" t="str">
        <x:v>NR</x:v>
      </x:c>
    </x:row>
    <x:row r="373" ht="76" customHeight="1">
      <x:c r="A373" s="2" t="str">
        <x:v>S46-T01-P2</x:v>
      </x:c>
      <x:c r="B373" s="2" t="str">
        <x:v>S46</x:v>
      </x:c>
      <x:c r="C373" s="2" t="str">
        <x:v>merged_1293</x:v>
      </x:c>
      <x:c r="D373" s="2" t="str">
        <x:v>Final coding</x:v>
      </x:c>
      <x:c r="E373" s="2" t="str">
        <x:v>R1/R2</x:v>
      </x:c>
      <x:c r="F373" s="2" t="str">
        <x:v>S46-T01-PROC</x:v>
      </x:c>
      <x:c r="G373" s="2" t="str">
        <x:v>S46-T01</x:v>
      </x:c>
      <x:c r="H373" s="2" t="str">
        <x:v>2 Semantic contextualization</x:v>
      </x:c>
      <x:c r="I373" s="2" t="n">
        <x:v>2</x:v>
      </x:c>
      <x:c r="J373" s="2" t="str">
        <x:v>Common core</x:v>
      </x:c>
      <x:c r="K373" s="2" t="str">
        <x:v>Completed</x:v>
      </x:c>
      <x:c r="L373" s="2" t="str">
        <x:v>Explicitly evidenced</x:v>
      </x:c>
      <x:c r="M373" s="2" t="str">
        <x:v>NR</x:v>
      </x:c>
      <x:c r="N373" s="2" t="str">
        <x:v>NR</x:v>
      </x:c>
      <x:c r="O373" s="2" t="str">
        <x:v>NR</x:v>
      </x:c>
      <x:c r="P373" s="6" t="str">
        <x:v>NR</x:v>
      </x:c>
      <x:c r="Q373" s="2" t="str">
        <x:v>2 Semantic contextualization</x:v>
      </x:c>
      <x:c r="R373" s="6" t="str">
        <x:v>NR</x:v>
      </x:c>
      <x:c r="S373" s="2" t="str">
        <x:v>NR</x:v>
      </x:c>
      <x:c r="T373" s="2" t="str">
        <x:v>NR</x:v>
      </x:c>
      <x:c r="U373" s="2" t="str">
        <x:v>NR</x:v>
      </x:c>
      <x:c r="V373" s="6" t="str">
        <x:v>Task-specific coded evidence</x:v>
      </x:c>
      <x:c r="W373" s="6" t="str">
        <x:v>p. 7; section Evaluation, Figure 3 description</x:v>
      </x:c>
      <x:c r="X373" s="6" t="str">
        <x:v>P1 analyzes the system description to detect any ambiguities, incompleteness, or contradictions</x:v>
      </x:c>
      <x:c r="Y373" s="6" t="str">
        <x:v>See task-step evidence references in the RQ2 supplement.</x:v>
      </x:c>
      <x:c r="Z373" s="2" t="str">
        <x:v>Accepted</x:v>
      </x:c>
      <x:c r="AA373" s="6" t="str">
        <x:v>NR</x:v>
      </x:c>
    </x:row>
    <x:row r="374" ht="76" customHeight="1">
      <x:c r="A374" s="2" t="str">
        <x:v>S46-T01-P3</x:v>
      </x:c>
      <x:c r="B374" s="2" t="str">
        <x:v>S46</x:v>
      </x:c>
      <x:c r="C374" s="2" t="str">
        <x:v>merged_1293</x:v>
      </x:c>
      <x:c r="D374" s="2" t="str">
        <x:v>Final coding</x:v>
      </x:c>
      <x:c r="E374" s="2" t="str">
        <x:v>R1/R2</x:v>
      </x:c>
      <x:c r="F374" s="2" t="str">
        <x:v>S46-T01-PROC</x:v>
      </x:c>
      <x:c r="G374" s="2" t="str">
        <x:v>S46-T01</x:v>
      </x:c>
      <x:c r="H374" s="2" t="str">
        <x:v>3 Traceability inference</x:v>
      </x:c>
      <x:c r="I374" s="2" t="n">
        <x:v>3</x:v>
      </x:c>
      <x:c r="J374" s="2" t="str">
        <x:v>Common core</x:v>
      </x:c>
      <x:c r="K374" s="2" t="str">
        <x:v>Completed</x:v>
      </x:c>
      <x:c r="L374" s="2" t="str">
        <x:v>Inferred from relation output</x:v>
      </x:c>
      <x:c r="M374" s="2" t="str">
        <x:v>NR</x:v>
      </x:c>
      <x:c r="N374" s="2" t="str">
        <x:v>NR</x:v>
      </x:c>
      <x:c r="O374" s="2" t="str">
        <x:v>NR</x:v>
      </x:c>
      <x:c r="P374" s="6" t="str">
        <x:v>NR</x:v>
      </x:c>
      <x:c r="Q374" s="2" t="str">
        <x:v>NR</x:v>
      </x:c>
      <x:c r="R374" s="6" t="str">
        <x:v>问题列表</x:v>
      </x:c>
      <x:c r="S374" s="2" t="str">
        <x:v>NR</x:v>
      </x:c>
      <x:c r="T374" s="2" t="str">
        <x:v>NR</x:v>
      </x:c>
      <x:c r="U374" s="2" t="str">
        <x:v>NR</x:v>
      </x:c>
      <x:c r="V374" s="6" t="str">
        <x:v>Task-specific coded evidence</x:v>
      </x:c>
      <x:c r="W374" s="6" t="str">
        <x:v>p. 7; section Evaluation, Figure 3 description</x:v>
      </x:c>
      <x:c r="X374" s="6" t="str">
        <x:v>P1 analyzes the system description to detect any ambiguities, incompleteness, or contradictions</x:v>
      </x:c>
      <x:c r="Y374" s="6" t="str">
        <x:v>See task-step evidence references in the RQ2 supplement.</x:v>
      </x:c>
      <x:c r="Z374" s="2" t="str">
        <x:v>Accepted</x:v>
      </x:c>
      <x:c r="AA374" s="6" t="str">
        <x:v>NR</x:v>
      </x:c>
    </x:row>
    <x:row r="375" ht="76" customHeight="1">
      <x:c r="A375" s="2" t="str">
        <x:v>S46-T01-P4</x:v>
      </x:c>
      <x:c r="B375" s="2" t="str">
        <x:v>S46</x:v>
      </x:c>
      <x:c r="C375" s="2" t="str">
        <x:v>merged_1293</x:v>
      </x:c>
      <x:c r="D375" s="2" t="str">
        <x:v>Final coding</x:v>
      </x:c>
      <x:c r="E375" s="2" t="str">
        <x:v>R1/R2</x:v>
      </x:c>
      <x:c r="F375" s="2" t="str">
        <x:v>S46-T01-PROC</x:v>
      </x:c>
      <x:c r="G375" s="2" t="str">
        <x:v>S46-T01</x:v>
      </x:c>
      <x:c r="H375" s="2" t="str">
        <x:v>4 Validation and explanation</x:v>
      </x:c>
      <x:c r="I375" s="2" t="n">
        <x:v>4</x:v>
      </x:c>
      <x:c r="J375" s="2" t="str">
        <x:v>Common core</x:v>
      </x:c>
      <x:c r="K375" s="2" t="str">
        <x:v>Completed</x:v>
      </x:c>
      <x:c r="L375" s="2" t="str">
        <x:v>Not separately reported</x:v>
      </x:c>
      <x:c r="M375" s="2" t="str">
        <x:v>NR</x:v>
      </x:c>
      <x:c r="N375" s="2" t="str">
        <x:v>NR</x:v>
      </x:c>
      <x:c r="O375" s="2" t="str">
        <x:v>NR</x:v>
      </x:c>
      <x:c r="P375" s="6" t="str">
        <x:v>NR</x:v>
      </x:c>
      <x:c r="Q375" s="2" t="str">
        <x:v>NR</x:v>
      </x:c>
      <x:c r="R375" s="6" t="str">
        <x:v>NR</x:v>
      </x:c>
      <x:c r="S375" s="2" t="str">
        <x:v>NR</x:v>
      </x:c>
      <x:c r="T375" s="2" t="str">
        <x:v>NR</x:v>
      </x:c>
      <x:c r="U375" s="2" t="str">
        <x:v>NR</x:v>
      </x:c>
      <x:c r="V375" s="6" t="str">
        <x:v>Task-specific coded evidence</x:v>
      </x:c>
      <x:c r="W375" s="6" t="str">
        <x:v>p. 7; section Evaluation, Figure 3 description</x:v>
      </x:c>
      <x:c r="X375" s="6" t="str">
        <x:v>P1 analyzes the system description to detect any ambiguities, incompleteness, or contradictions</x:v>
      </x:c>
      <x:c r="Y375" s="6" t="str">
        <x:v>See task-step evidence references in the RQ2 supplement.</x:v>
      </x:c>
      <x:c r="Z375" s="2" t="str">
        <x:v>Accepted</x:v>
      </x:c>
      <x:c r="AA375" s="6" t="str">
        <x:v>NR</x:v>
      </x:c>
    </x:row>
    <x:row r="376" ht="76" customHeight="1">
      <x:c r="A376" s="2" t="str">
        <x:v>S46-T01-P5</x:v>
      </x:c>
      <x:c r="B376" s="2" t="str">
        <x:v>S46</x:v>
      </x:c>
      <x:c r="C376" s="2" t="str">
        <x:v>merged_1293</x:v>
      </x:c>
      <x:c r="D376" s="2" t="str">
        <x:v>Final coding</x:v>
      </x:c>
      <x:c r="E376" s="2" t="str">
        <x:v>R1/R2</x:v>
      </x:c>
      <x:c r="F376" s="2" t="str">
        <x:v>S46-T01-PROC</x:v>
      </x:c>
      <x:c r="G376" s="2" t="str">
        <x:v>S46-T01</x:v>
      </x:c>
      <x:c r="H376" s="2" t="str">
        <x:v>5 Evolution and embedding</x:v>
      </x:c>
      <x:c r="I376" s="2" t="n">
        <x:v>5</x:v>
      </x:c>
      <x:c r="J376" s="2" t="str">
        <x:v>Common core</x:v>
      </x:c>
      <x:c r="K376" s="2" t="str">
        <x:v>Completed</x:v>
      </x:c>
      <x:c r="L376" s="2" t="str">
        <x:v>Not separately reported</x:v>
      </x:c>
      <x:c r="M376" s="2" t="str">
        <x:v>NR</x:v>
      </x:c>
      <x:c r="N376" s="2" t="str">
        <x:v>NR</x:v>
      </x:c>
      <x:c r="O376" s="2" t="str">
        <x:v>NR</x:v>
      </x:c>
      <x:c r="P376" s="6" t="str">
        <x:v>NR</x:v>
      </x:c>
      <x:c r="Q376" s="2" t="str">
        <x:v>NR</x:v>
      </x:c>
      <x:c r="R376" s="6" t="str">
        <x:v>NR</x:v>
      </x:c>
      <x:c r="S376" s="2" t="str">
        <x:v>NR</x:v>
      </x:c>
      <x:c r="T376" s="2" t="str">
        <x:v>NR</x:v>
      </x:c>
      <x:c r="U376" s="2" t="str">
        <x:v>NR</x:v>
      </x:c>
      <x:c r="V376" s="6" t="str">
        <x:v>Task-specific coded evidence</x:v>
      </x:c>
      <x:c r="W376" s="6" t="str">
        <x:v>p. 7; section Evaluation, Figure 3 description</x:v>
      </x:c>
      <x:c r="X376" s="6" t="str">
        <x:v>P1 analyzes the system description to detect any ambiguities, incompleteness, or contradictions</x:v>
      </x:c>
      <x:c r="Y376" s="6" t="str">
        <x:v>See task-step evidence references in the RQ2 supplement.</x:v>
      </x:c>
      <x:c r="Z376" s="2" t="str">
        <x:v>Accepted</x:v>
      </x:c>
      <x:c r="AA376" s="6" t="str">
        <x:v>NR</x:v>
      </x:c>
    </x:row>
    <x:row r="377" ht="76" customHeight="1">
      <x:c r="A377" s="2" t="str">
        <x:v>S46-T02-P1</x:v>
      </x:c>
      <x:c r="B377" s="2" t="str">
        <x:v>S46</x:v>
      </x:c>
      <x:c r="C377" s="2" t="str">
        <x:v>merged_1293</x:v>
      </x:c>
      <x:c r="D377" s="2" t="str">
        <x:v>Final coding</x:v>
      </x:c>
      <x:c r="E377" s="2" t="str">
        <x:v>R1/R2</x:v>
      </x:c>
      <x:c r="F377" s="2" t="str">
        <x:v>S46-T02-PROC</x:v>
      </x:c>
      <x:c r="G377" s="2" t="str">
        <x:v>S46-T02</x:v>
      </x:c>
      <x:c r="H377" s="2" t="str">
        <x:v>1 Artifact acquisition and scoping</x:v>
      </x:c>
      <x:c r="I377" s="2" t="n">
        <x:v>1</x:v>
      </x:c>
      <x:c r="J377" s="2" t="str">
        <x:v>Common core</x:v>
      </x:c>
      <x:c r="K377" s="2" t="str">
        <x:v>Completed</x:v>
      </x:c>
      <x:c r="L377" s="2" t="str">
        <x:v>Not separately reported</x:v>
      </x:c>
      <x:c r="M377" s="2" t="str">
        <x:v>NR</x:v>
      </x:c>
      <x:c r="N377" s="2" t="str">
        <x:v>NR</x:v>
      </x:c>
      <x:c r="O377" s="2" t="str">
        <x:v>NR</x:v>
      </x:c>
      <x:c r="P377" s="6" t="str">
        <x:v>NR</x:v>
      </x:c>
      <x:c r="Q377" s="2" t="str">
        <x:v>NR</x:v>
      </x:c>
      <x:c r="R377" s="6" t="str">
        <x:v>NR</x:v>
      </x:c>
      <x:c r="S377" s="2" t="str">
        <x:v>NR</x:v>
      </x:c>
      <x:c r="T377" s="2" t="str">
        <x:v>NR</x:v>
      </x:c>
      <x:c r="U377" s="2" t="str">
        <x:v>NR</x:v>
      </x:c>
      <x:c r="V377" s="6" t="str">
        <x:v>Task-specific coded evidence</x:v>
      </x:c>
      <x:c r="W377" s="6" t="str">
        <x:v>p. 7; section Evaluation, Figure 3 description</x:v>
      </x:c>
      <x:c r="X377" s="6" t="str">
        <x:v>tifies and categorizes functional and nonfunctional requirements based on P1’s findings; P3 develops a use</x:v>
      </x:c>
      <x:c r="Y377" s="6" t="str">
        <x:v>See task-step evidence references in the RQ2 supplement.</x:v>
      </x:c>
      <x:c r="Z377" s="2" t="str">
        <x:v>Accepted</x:v>
      </x:c>
      <x:c r="AA377" s="6" t="str">
        <x:v>NR</x:v>
      </x:c>
    </x:row>
    <x:row r="378" ht="76" customHeight="1">
      <x:c r="A378" s="2" t="str">
        <x:v>S46-T02-P2</x:v>
      </x:c>
      <x:c r="B378" s="2" t="str">
        <x:v>S46</x:v>
      </x:c>
      <x:c r="C378" s="2" t="str">
        <x:v>merged_1293</x:v>
      </x:c>
      <x:c r="D378" s="2" t="str">
        <x:v>Final coding</x:v>
      </x:c>
      <x:c r="E378" s="2" t="str">
        <x:v>R1/R2</x:v>
      </x:c>
      <x:c r="F378" s="2" t="str">
        <x:v>S46-T02-PROC</x:v>
      </x:c>
      <x:c r="G378" s="2" t="str">
        <x:v>S46-T02</x:v>
      </x:c>
      <x:c r="H378" s="2" t="str">
        <x:v>2 Semantic contextualization</x:v>
      </x:c>
      <x:c r="I378" s="2" t="n">
        <x:v>2</x:v>
      </x:c>
      <x:c r="J378" s="2" t="str">
        <x:v>Common core</x:v>
      </x:c>
      <x:c r="K378" s="2" t="str">
        <x:v>Completed</x:v>
      </x:c>
      <x:c r="L378" s="2" t="str">
        <x:v>Explicitly evidenced</x:v>
      </x:c>
      <x:c r="M378" s="2" t="str">
        <x:v>NR</x:v>
      </x:c>
      <x:c r="N378" s="2" t="str">
        <x:v>NR</x:v>
      </x:c>
      <x:c r="O378" s="2" t="str">
        <x:v>NR</x:v>
      </x:c>
      <x:c r="P378" s="6" t="str">
        <x:v>NR</x:v>
      </x:c>
      <x:c r="Q378" s="2" t="str">
        <x:v>2 Semantic contextualization</x:v>
      </x:c>
      <x:c r="R378" s="6" t="str">
        <x:v>NR</x:v>
      </x:c>
      <x:c r="S378" s="2" t="str">
        <x:v>NR</x:v>
      </x:c>
      <x:c r="T378" s="2" t="str">
        <x:v>NR</x:v>
      </x:c>
      <x:c r="U378" s="2" t="str">
        <x:v>NR</x:v>
      </x:c>
      <x:c r="V378" s="6" t="str">
        <x:v>Task-specific coded evidence</x:v>
      </x:c>
      <x:c r="W378" s="6" t="str">
        <x:v>p. 7; section Evaluation, Figure 3 description</x:v>
      </x:c>
      <x:c r="X378" s="6" t="str">
        <x:v>tifies and categorizes functional and nonfunctional requirements based on P1’s findings; P3 develops a use</x:v>
      </x:c>
      <x:c r="Y378" s="6" t="str">
        <x:v>See task-step evidence references in the RQ2 supplement.</x:v>
      </x:c>
      <x:c r="Z378" s="2" t="str">
        <x:v>Accepted</x:v>
      </x:c>
      <x:c r="AA378" s="6" t="str">
        <x:v>NR</x:v>
      </x:c>
    </x:row>
    <x:row r="379" ht="76" customHeight="1">
      <x:c r="A379" s="2" t="str">
        <x:v>S46-T02-P3</x:v>
      </x:c>
      <x:c r="B379" s="2" t="str">
        <x:v>S46</x:v>
      </x:c>
      <x:c r="C379" s="2" t="str">
        <x:v>merged_1293</x:v>
      </x:c>
      <x:c r="D379" s="2" t="str">
        <x:v>Final coding</x:v>
      </x:c>
      <x:c r="E379" s="2" t="str">
        <x:v>R1/R2</x:v>
      </x:c>
      <x:c r="F379" s="2" t="str">
        <x:v>S46-T02-PROC</x:v>
      </x:c>
      <x:c r="G379" s="2" t="str">
        <x:v>S46-T02</x:v>
      </x:c>
      <x:c r="H379" s="2" t="str">
        <x:v>3 Traceability inference</x:v>
      </x:c>
      <x:c r="I379" s="2" t="n">
        <x:v>3</x:v>
      </x:c>
      <x:c r="J379" s="2" t="str">
        <x:v>Common core</x:v>
      </x:c>
      <x:c r="K379" s="2" t="str">
        <x:v>Completed</x:v>
      </x:c>
      <x:c r="L379" s="2" t="str">
        <x:v>Inferred from relation output</x:v>
      </x:c>
      <x:c r="M379" s="2" t="str">
        <x:v>NR</x:v>
      </x:c>
      <x:c r="N379" s="2" t="str">
        <x:v>NR</x:v>
      </x:c>
      <x:c r="O379" s="2" t="str">
        <x:v>NR</x:v>
      </x:c>
      <x:c r="P379" s="6" t="str">
        <x:v>NR</x:v>
      </x:c>
      <x:c r="Q379" s="2" t="str">
        <x:v>NR</x:v>
      </x:c>
      <x:c r="R379" s="6" t="str">
        <x:v>需求列表</x:v>
      </x:c>
      <x:c r="S379" s="2" t="str">
        <x:v>NR</x:v>
      </x:c>
      <x:c r="T379" s="2" t="str">
        <x:v>NR</x:v>
      </x:c>
      <x:c r="U379" s="2" t="str">
        <x:v>NR</x:v>
      </x:c>
      <x:c r="V379" s="6" t="str">
        <x:v>Task-specific coded evidence</x:v>
      </x:c>
      <x:c r="W379" s="6" t="str">
        <x:v>p. 7; section Evaluation, Figure 3 description</x:v>
      </x:c>
      <x:c r="X379" s="6" t="str">
        <x:v>tifies and categorizes functional and nonfunctional requirements based on P1’s findings; P3 develops a use</x:v>
      </x:c>
      <x:c r="Y379" s="6" t="str">
        <x:v>See task-step evidence references in the RQ2 supplement.</x:v>
      </x:c>
      <x:c r="Z379" s="2" t="str">
        <x:v>Accepted</x:v>
      </x:c>
      <x:c r="AA379" s="6" t="str">
        <x:v>NR</x:v>
      </x:c>
    </x:row>
    <x:row r="380" ht="76" customHeight="1">
      <x:c r="A380" s="2" t="str">
        <x:v>S46-T02-P4</x:v>
      </x:c>
      <x:c r="B380" s="2" t="str">
        <x:v>S46</x:v>
      </x:c>
      <x:c r="C380" s="2" t="str">
        <x:v>merged_1293</x:v>
      </x:c>
      <x:c r="D380" s="2" t="str">
        <x:v>Final coding</x:v>
      </x:c>
      <x:c r="E380" s="2" t="str">
        <x:v>R1/R2</x:v>
      </x:c>
      <x:c r="F380" s="2" t="str">
        <x:v>S46-T02-PROC</x:v>
      </x:c>
      <x:c r="G380" s="2" t="str">
        <x:v>S46-T02</x:v>
      </x:c>
      <x:c r="H380" s="2" t="str">
        <x:v>4 Validation and explanation</x:v>
      </x:c>
      <x:c r="I380" s="2" t="n">
        <x:v>4</x:v>
      </x:c>
      <x:c r="J380" s="2" t="str">
        <x:v>Common core</x:v>
      </x:c>
      <x:c r="K380" s="2" t="str">
        <x:v>Completed</x:v>
      </x:c>
      <x:c r="L380" s="2" t="str">
        <x:v>Not separately reported</x:v>
      </x:c>
      <x:c r="M380" s="2" t="str">
        <x:v>NR</x:v>
      </x:c>
      <x:c r="N380" s="2" t="str">
        <x:v>NR</x:v>
      </x:c>
      <x:c r="O380" s="2" t="str">
        <x:v>NR</x:v>
      </x:c>
      <x:c r="P380" s="6" t="str">
        <x:v>NR</x:v>
      </x:c>
      <x:c r="Q380" s="2" t="str">
        <x:v>NR</x:v>
      </x:c>
      <x:c r="R380" s="6" t="str">
        <x:v>NR</x:v>
      </x:c>
      <x:c r="S380" s="2" t="str">
        <x:v>NR</x:v>
      </x:c>
      <x:c r="T380" s="2" t="str">
        <x:v>NR</x:v>
      </x:c>
      <x:c r="U380" s="2" t="str">
        <x:v>NR</x:v>
      </x:c>
      <x:c r="V380" s="6" t="str">
        <x:v>Task-specific coded evidence</x:v>
      </x:c>
      <x:c r="W380" s="6" t="str">
        <x:v>p. 7; section Evaluation, Figure 3 description</x:v>
      </x:c>
      <x:c r="X380" s="6" t="str">
        <x:v>tifies and categorizes functional and nonfunctional requirements based on P1’s findings; P3 develops a use</x:v>
      </x:c>
      <x:c r="Y380" s="6" t="str">
        <x:v>See task-step evidence references in the RQ2 supplement.</x:v>
      </x:c>
      <x:c r="Z380" s="2" t="str">
        <x:v>Accepted</x:v>
      </x:c>
      <x:c r="AA380" s="6" t="str">
        <x:v>NR</x:v>
      </x:c>
    </x:row>
    <x:row r="381" ht="76" customHeight="1">
      <x:c r="A381" s="2" t="str">
        <x:v>S46-T02-P5</x:v>
      </x:c>
      <x:c r="B381" s="2" t="str">
        <x:v>S46</x:v>
      </x:c>
      <x:c r="C381" s="2" t="str">
        <x:v>merged_1293</x:v>
      </x:c>
      <x:c r="D381" s="2" t="str">
        <x:v>Final coding</x:v>
      </x:c>
      <x:c r="E381" s="2" t="str">
        <x:v>R1/R2</x:v>
      </x:c>
      <x:c r="F381" s="2" t="str">
        <x:v>S46-T02-PROC</x:v>
      </x:c>
      <x:c r="G381" s="2" t="str">
        <x:v>S46-T02</x:v>
      </x:c>
      <x:c r="H381" s="2" t="str">
        <x:v>5 Evolution and embedding</x:v>
      </x:c>
      <x:c r="I381" s="2" t="n">
        <x:v>5</x:v>
      </x:c>
      <x:c r="J381" s="2" t="str">
        <x:v>Common core</x:v>
      </x:c>
      <x:c r="K381" s="2" t="str">
        <x:v>Completed</x:v>
      </x:c>
      <x:c r="L381" s="2" t="str">
        <x:v>Not separately reported</x:v>
      </x:c>
      <x:c r="M381" s="2" t="str">
        <x:v>NR</x:v>
      </x:c>
      <x:c r="N381" s="2" t="str">
        <x:v>NR</x:v>
      </x:c>
      <x:c r="O381" s="2" t="str">
        <x:v>NR</x:v>
      </x:c>
      <x:c r="P381" s="6" t="str">
        <x:v>NR</x:v>
      </x:c>
      <x:c r="Q381" s="2" t="str">
        <x:v>NR</x:v>
      </x:c>
      <x:c r="R381" s="6" t="str">
        <x:v>NR</x:v>
      </x:c>
      <x:c r="S381" s="2" t="str">
        <x:v>NR</x:v>
      </x:c>
      <x:c r="T381" s="2" t="str">
        <x:v>NR</x:v>
      </x:c>
      <x:c r="U381" s="2" t="str">
        <x:v>NR</x:v>
      </x:c>
      <x:c r="V381" s="6" t="str">
        <x:v>Task-specific coded evidence</x:v>
      </x:c>
      <x:c r="W381" s="6" t="str">
        <x:v>p. 7; section Evaluation, Figure 3 description</x:v>
      </x:c>
      <x:c r="X381" s="6" t="str">
        <x:v>tifies and categorizes functional and nonfunctional requirements based on P1’s findings; P3 develops a use</x:v>
      </x:c>
      <x:c r="Y381" s="6" t="str">
        <x:v>See task-step evidence references in the RQ2 supplement.</x:v>
      </x:c>
      <x:c r="Z381" s="2" t="str">
        <x:v>Accepted</x:v>
      </x:c>
      <x:c r="AA381" s="6" t="str">
        <x:v>NR</x:v>
      </x:c>
    </x:row>
    <x:row r="382" ht="76" customHeight="1">
      <x:c r="A382" s="2" t="str">
        <x:v>S46-T03-P1</x:v>
      </x:c>
      <x:c r="B382" s="2" t="str">
        <x:v>S46</x:v>
      </x:c>
      <x:c r="C382" s="2" t="str">
        <x:v>merged_1293</x:v>
      </x:c>
      <x:c r="D382" s="2" t="str">
        <x:v>Final coding</x:v>
      </x:c>
      <x:c r="E382" s="2" t="str">
        <x:v>R1/R2</x:v>
      </x:c>
      <x:c r="F382" s="2" t="str">
        <x:v>S46-T03-PROC</x:v>
      </x:c>
      <x:c r="G382" s="2" t="str">
        <x:v>S46-T03</x:v>
      </x:c>
      <x:c r="H382" s="2" t="str">
        <x:v>1 Artifact acquisition and scoping</x:v>
      </x:c>
      <x:c r="I382" s="2" t="n">
        <x:v>1</x:v>
      </x:c>
      <x:c r="J382" s="2" t="str">
        <x:v>Common core</x:v>
      </x:c>
      <x:c r="K382" s="2" t="str">
        <x:v>Completed</x:v>
      </x:c>
      <x:c r="L382" s="2" t="str">
        <x:v>Not separately reported</x:v>
      </x:c>
      <x:c r="M382" s="2" t="str">
        <x:v>NR</x:v>
      </x:c>
      <x:c r="N382" s="2" t="str">
        <x:v>NR</x:v>
      </x:c>
      <x:c r="O382" s="2" t="str">
        <x:v>NR</x:v>
      </x:c>
      <x:c r="P382" s="6" t="str">
        <x:v>NR</x:v>
      </x:c>
      <x:c r="Q382" s="2" t="str">
        <x:v>NR</x:v>
      </x:c>
      <x:c r="R382" s="6" t="str">
        <x:v>NR</x:v>
      </x:c>
      <x:c r="S382" s="2" t="str">
        <x:v>NR</x:v>
      </x:c>
      <x:c r="T382" s="2" t="str">
        <x:v>NR</x:v>
      </x:c>
      <x:c r="U382" s="2" t="str">
        <x:v>NR</x:v>
      </x:c>
      <x:c r="V382" s="6" t="str">
        <x:v>Task-specific coded evidence</x:v>
      </x:c>
      <x:c r="W382" s="6" t="str">
        <x:v>p. 7; section Evaluation, Figure 3 description</x:v>
      </x:c>
      <x:c r="X382" s="6" t="str">
        <x:v>case model that sets the system’s boundaries and iden­ tifies primary and supporting actors, along with their</x:v>
      </x:c>
      <x:c r="Y382" s="6" t="str">
        <x:v>See task-step evidence references in the RQ2 supplement.</x:v>
      </x:c>
      <x:c r="Z382" s="2" t="str">
        <x:v>Accepted</x:v>
      </x:c>
      <x:c r="AA382" s="6" t="str">
        <x:v>NR</x:v>
      </x:c>
    </x:row>
    <x:row r="383" ht="76" customHeight="1">
      <x:c r="A383" s="2" t="str">
        <x:v>S46-T03-P2</x:v>
      </x:c>
      <x:c r="B383" s="2" t="str">
        <x:v>S46</x:v>
      </x:c>
      <x:c r="C383" s="2" t="str">
        <x:v>merged_1293</x:v>
      </x:c>
      <x:c r="D383" s="2" t="str">
        <x:v>Final coding</x:v>
      </x:c>
      <x:c r="E383" s="2" t="str">
        <x:v>R1/R2</x:v>
      </x:c>
      <x:c r="F383" s="2" t="str">
        <x:v>S46-T03-PROC</x:v>
      </x:c>
      <x:c r="G383" s="2" t="str">
        <x:v>S46-T03</x:v>
      </x:c>
      <x:c r="H383" s="2" t="str">
        <x:v>2 Semantic contextualization</x:v>
      </x:c>
      <x:c r="I383" s="2" t="n">
        <x:v>2</x:v>
      </x:c>
      <x:c r="J383" s="2" t="str">
        <x:v>Common core</x:v>
      </x:c>
      <x:c r="K383" s="2" t="str">
        <x:v>Completed</x:v>
      </x:c>
      <x:c r="L383" s="2" t="str">
        <x:v>Explicitly evidenced</x:v>
      </x:c>
      <x:c r="M383" s="2" t="str">
        <x:v>NR</x:v>
      </x:c>
      <x:c r="N383" s="2" t="str">
        <x:v>NR</x:v>
      </x:c>
      <x:c r="O383" s="2" t="str">
        <x:v>NR</x:v>
      </x:c>
      <x:c r="P383" s="6" t="str">
        <x:v>NR</x:v>
      </x:c>
      <x:c r="Q383" s="2" t="str">
        <x:v>2 Semantic contextualization</x:v>
      </x:c>
      <x:c r="R383" s="6" t="str">
        <x:v>NR</x:v>
      </x:c>
      <x:c r="S383" s="2" t="str">
        <x:v>NR</x:v>
      </x:c>
      <x:c r="T383" s="2" t="str">
        <x:v>NR</x:v>
      </x:c>
      <x:c r="U383" s="2" t="str">
        <x:v>NR</x:v>
      </x:c>
      <x:c r="V383" s="6" t="str">
        <x:v>Task-specific coded evidence</x:v>
      </x:c>
      <x:c r="W383" s="6" t="str">
        <x:v>p. 7; section Evaluation, Figure 3 description</x:v>
      </x:c>
      <x:c r="X383" s="6" t="str">
        <x:v>case model that sets the system’s boundaries and iden­ tifies primary and supporting actors, along with their</x:v>
      </x:c>
      <x:c r="Y383" s="6" t="str">
        <x:v>See task-step evidence references in the RQ2 supplement.</x:v>
      </x:c>
      <x:c r="Z383" s="2" t="str">
        <x:v>Accepted</x:v>
      </x:c>
      <x:c r="AA383" s="6" t="str">
        <x:v>NR</x:v>
      </x:c>
    </x:row>
    <x:row r="384" ht="76" customHeight="1">
      <x:c r="A384" s="2" t="str">
        <x:v>S46-T03-P3</x:v>
      </x:c>
      <x:c r="B384" s="2" t="str">
        <x:v>S46</x:v>
      </x:c>
      <x:c r="C384" s="2" t="str">
        <x:v>merged_1293</x:v>
      </x:c>
      <x:c r="D384" s="2" t="str">
        <x:v>Final coding</x:v>
      </x:c>
      <x:c r="E384" s="2" t="str">
        <x:v>R1/R2</x:v>
      </x:c>
      <x:c r="F384" s="2" t="str">
        <x:v>S46-T03-PROC</x:v>
      </x:c>
      <x:c r="G384" s="2" t="str">
        <x:v>S46-T03</x:v>
      </x:c>
      <x:c r="H384" s="2" t="str">
        <x:v>3 Traceability inference</x:v>
      </x:c>
      <x:c r="I384" s="2" t="n">
        <x:v>3</x:v>
      </x:c>
      <x:c r="J384" s="2" t="str">
        <x:v>Common core</x:v>
      </x:c>
      <x:c r="K384" s="2" t="str">
        <x:v>Completed</x:v>
      </x:c>
      <x:c r="L384" s="2" t="str">
        <x:v>Inferred from relation output</x:v>
      </x:c>
      <x:c r="M384" s="2" t="str">
        <x:v>NR</x:v>
      </x:c>
      <x:c r="N384" s="2" t="str">
        <x:v>NR</x:v>
      </x:c>
      <x:c r="O384" s="2" t="str">
        <x:v>NR</x:v>
      </x:c>
      <x:c r="P384" s="6" t="str">
        <x:v>NR</x:v>
      </x:c>
      <x:c r="Q384" s="2" t="str">
        <x:v>NR</x:v>
      </x:c>
      <x:c r="R384" s="6" t="str">
        <x:v>用例图及说明</x:v>
      </x:c>
      <x:c r="S384" s="2" t="str">
        <x:v>NR</x:v>
      </x:c>
      <x:c r="T384" s="2" t="str">
        <x:v>NR</x:v>
      </x:c>
      <x:c r="U384" s="2" t="str">
        <x:v>NR</x:v>
      </x:c>
      <x:c r="V384" s="6" t="str">
        <x:v>Task-specific coded evidence</x:v>
      </x:c>
      <x:c r="W384" s="6" t="str">
        <x:v>p. 7; section Evaluation, Figure 3 description</x:v>
      </x:c>
      <x:c r="X384" s="6" t="str">
        <x:v>case model that sets the system’s boundaries and iden­ tifies primary and supporting actors, along with their</x:v>
      </x:c>
      <x:c r="Y384" s="6" t="str">
        <x:v>See task-step evidence references in the RQ2 supplement.</x:v>
      </x:c>
      <x:c r="Z384" s="2" t="str">
        <x:v>Accepted</x:v>
      </x:c>
      <x:c r="AA384" s="6" t="str">
        <x:v>NR</x:v>
      </x:c>
    </x:row>
    <x:row r="385" ht="76" customHeight="1">
      <x:c r="A385" s="2" t="str">
        <x:v>S46-T03-P4</x:v>
      </x:c>
      <x:c r="B385" s="2" t="str">
        <x:v>S46</x:v>
      </x:c>
      <x:c r="C385" s="2" t="str">
        <x:v>merged_1293</x:v>
      </x:c>
      <x:c r="D385" s="2" t="str">
        <x:v>Final coding</x:v>
      </x:c>
      <x:c r="E385" s="2" t="str">
        <x:v>R1/R2</x:v>
      </x:c>
      <x:c r="F385" s="2" t="str">
        <x:v>S46-T03-PROC</x:v>
      </x:c>
      <x:c r="G385" s="2" t="str">
        <x:v>S46-T03</x:v>
      </x:c>
      <x:c r="H385" s="2" t="str">
        <x:v>4 Validation and explanation</x:v>
      </x:c>
      <x:c r="I385" s="2" t="n">
        <x:v>4</x:v>
      </x:c>
      <x:c r="J385" s="2" t="str">
        <x:v>Common core</x:v>
      </x:c>
      <x:c r="K385" s="2" t="str">
        <x:v>Completed</x:v>
      </x:c>
      <x:c r="L385" s="2" t="str">
        <x:v>Not separately reported</x:v>
      </x:c>
      <x:c r="M385" s="2" t="str">
        <x:v>NR</x:v>
      </x:c>
      <x:c r="N385" s="2" t="str">
        <x:v>NR</x:v>
      </x:c>
      <x:c r="O385" s="2" t="str">
        <x:v>NR</x:v>
      </x:c>
      <x:c r="P385" s="6" t="str">
        <x:v>NR</x:v>
      </x:c>
      <x:c r="Q385" s="2" t="str">
        <x:v>NR</x:v>
      </x:c>
      <x:c r="R385" s="6" t="str">
        <x:v>NR</x:v>
      </x:c>
      <x:c r="S385" s="2" t="str">
        <x:v>NR</x:v>
      </x:c>
      <x:c r="T385" s="2" t="str">
        <x:v>NR</x:v>
      </x:c>
      <x:c r="U385" s="2" t="str">
        <x:v>NR</x:v>
      </x:c>
      <x:c r="V385" s="6" t="str">
        <x:v>Task-specific coded evidence</x:v>
      </x:c>
      <x:c r="W385" s="6" t="str">
        <x:v>p. 7; section Evaluation, Figure 3 description</x:v>
      </x:c>
      <x:c r="X385" s="6" t="str">
        <x:v>case model that sets the system’s boundaries and iden­ tifies primary and supporting actors, along with their</x:v>
      </x:c>
      <x:c r="Y385" s="6" t="str">
        <x:v>See task-step evidence references in the RQ2 supplement.</x:v>
      </x:c>
      <x:c r="Z385" s="2" t="str">
        <x:v>Accepted</x:v>
      </x:c>
      <x:c r="AA385" s="6" t="str">
        <x:v>NR</x:v>
      </x:c>
    </x:row>
    <x:row r="386" ht="76" customHeight="1">
      <x:c r="A386" s="2" t="str">
        <x:v>S46-T03-P5</x:v>
      </x:c>
      <x:c r="B386" s="2" t="str">
        <x:v>S46</x:v>
      </x:c>
      <x:c r="C386" s="2" t="str">
        <x:v>merged_1293</x:v>
      </x:c>
      <x:c r="D386" s="2" t="str">
        <x:v>Final coding</x:v>
      </x:c>
      <x:c r="E386" s="2" t="str">
        <x:v>R1/R2</x:v>
      </x:c>
      <x:c r="F386" s="2" t="str">
        <x:v>S46-T03-PROC</x:v>
      </x:c>
      <x:c r="G386" s="2" t="str">
        <x:v>S46-T03</x:v>
      </x:c>
      <x:c r="H386" s="2" t="str">
        <x:v>5 Evolution and embedding</x:v>
      </x:c>
      <x:c r="I386" s="2" t="n">
        <x:v>5</x:v>
      </x:c>
      <x:c r="J386" s="2" t="str">
        <x:v>Common core</x:v>
      </x:c>
      <x:c r="K386" s="2" t="str">
        <x:v>Completed</x:v>
      </x:c>
      <x:c r="L386" s="2" t="str">
        <x:v>Not separately reported</x:v>
      </x:c>
      <x:c r="M386" s="2" t="str">
        <x:v>NR</x:v>
      </x:c>
      <x:c r="N386" s="2" t="str">
        <x:v>NR</x:v>
      </x:c>
      <x:c r="O386" s="2" t="str">
        <x:v>NR</x:v>
      </x:c>
      <x:c r="P386" s="6" t="str">
        <x:v>NR</x:v>
      </x:c>
      <x:c r="Q386" s="2" t="str">
        <x:v>NR</x:v>
      </x:c>
      <x:c r="R386" s="6" t="str">
        <x:v>NR</x:v>
      </x:c>
      <x:c r="S386" s="2" t="str">
        <x:v>NR</x:v>
      </x:c>
      <x:c r="T386" s="2" t="str">
        <x:v>NR</x:v>
      </x:c>
      <x:c r="U386" s="2" t="str">
        <x:v>NR</x:v>
      </x:c>
      <x:c r="V386" s="6" t="str">
        <x:v>Task-specific coded evidence</x:v>
      </x:c>
      <x:c r="W386" s="6" t="str">
        <x:v>p. 7; section Evaluation, Figure 3 description</x:v>
      </x:c>
      <x:c r="X386" s="6" t="str">
        <x:v>case model that sets the system’s boundaries and iden­ tifies primary and supporting actors, along with their</x:v>
      </x:c>
      <x:c r="Y386" s="6" t="str">
        <x:v>See task-step evidence references in the RQ2 supplement.</x:v>
      </x:c>
      <x:c r="Z386" s="2" t="str">
        <x:v>Accepted</x:v>
      </x:c>
      <x:c r="AA386" s="6" t="str">
        <x:v>NR</x:v>
      </x:c>
    </x:row>
    <x:row r="387" ht="76" customHeight="1">
      <x:c r="A387" s="2" t="str">
        <x:v>S46-T04-P1</x:v>
      </x:c>
      <x:c r="B387" s="2" t="str">
        <x:v>S46</x:v>
      </x:c>
      <x:c r="C387" s="2" t="str">
        <x:v>merged_1293</x:v>
      </x:c>
      <x:c r="D387" s="2" t="str">
        <x:v>Final coding</x:v>
      </x:c>
      <x:c r="E387" s="2" t="str">
        <x:v>R1/R2</x:v>
      </x:c>
      <x:c r="F387" s="2" t="str">
        <x:v>S46-T04-PROC</x:v>
      </x:c>
      <x:c r="G387" s="2" t="str">
        <x:v>S46-T04</x:v>
      </x:c>
      <x:c r="H387" s="2" t="str">
        <x:v>1 Artifact acquisition and scoping</x:v>
      </x:c>
      <x:c r="I387" s="2" t="n">
        <x:v>1</x:v>
      </x:c>
      <x:c r="J387" s="2" t="str">
        <x:v>Common core</x:v>
      </x:c>
      <x:c r="K387" s="2" t="str">
        <x:v>Completed</x:v>
      </x:c>
      <x:c r="L387" s="2" t="str">
        <x:v>Not separately reported</x:v>
      </x:c>
      <x:c r="M387" s="2" t="str">
        <x:v>NR</x:v>
      </x:c>
      <x:c r="N387" s="2" t="str">
        <x:v>NR</x:v>
      </x:c>
      <x:c r="O387" s="2" t="str">
        <x:v>NR</x:v>
      </x:c>
      <x:c r="P387" s="6" t="str">
        <x:v>NR</x:v>
      </x:c>
      <x:c r="Q387" s="2" t="str">
        <x:v>NR</x:v>
      </x:c>
      <x:c r="R387" s="6" t="str">
        <x:v>NR</x:v>
      </x:c>
      <x:c r="S387" s="2" t="str">
        <x:v>NR</x:v>
      </x:c>
      <x:c r="T387" s="2" t="str">
        <x:v>NR</x:v>
      </x:c>
      <x:c r="U387" s="2" t="str">
        <x:v>NR</x:v>
      </x:c>
      <x:c r="V387" s="6" t="str">
        <x:v>Task-specific coded evidence</x:v>
      </x:c>
      <x:c r="W387" s="6" t="str">
        <x:v>p. 7; section Evaluation, Figure 3 description</x:v>
      </x:c>
      <x:c r="X387" s="6" t="str">
        <x:v>P2; P4 develops use case specifications, including pri­ mary actors, pre- and post-conditions, and outlining</x:v>
      </x:c>
      <x:c r="Y387" s="6" t="str">
        <x:v>See task-step evidence references in the RQ2 supplement.</x:v>
      </x:c>
      <x:c r="Z387" s="2" t="str">
        <x:v>Accepted</x:v>
      </x:c>
      <x:c r="AA387" s="6" t="str">
        <x:v>NR</x:v>
      </x:c>
    </x:row>
    <x:row r="388" ht="76" customHeight="1">
      <x:c r="A388" s="2" t="str">
        <x:v>S46-T04-P2</x:v>
      </x:c>
      <x:c r="B388" s="2" t="str">
        <x:v>S46</x:v>
      </x:c>
      <x:c r="C388" s="2" t="str">
        <x:v>merged_1293</x:v>
      </x:c>
      <x:c r="D388" s="2" t="str">
        <x:v>Final coding</x:v>
      </x:c>
      <x:c r="E388" s="2" t="str">
        <x:v>R1/R2</x:v>
      </x:c>
      <x:c r="F388" s="2" t="str">
        <x:v>S46-T04-PROC</x:v>
      </x:c>
      <x:c r="G388" s="2" t="str">
        <x:v>S46-T04</x:v>
      </x:c>
      <x:c r="H388" s="2" t="str">
        <x:v>2 Semantic contextualization</x:v>
      </x:c>
      <x:c r="I388" s="2" t="n">
        <x:v>2</x:v>
      </x:c>
      <x:c r="J388" s="2" t="str">
        <x:v>Common core</x:v>
      </x:c>
      <x:c r="K388" s="2" t="str">
        <x:v>Completed</x:v>
      </x:c>
      <x:c r="L388" s="2" t="str">
        <x:v>Explicitly evidenced</x:v>
      </x:c>
      <x:c r="M388" s="2" t="str">
        <x:v>NR</x:v>
      </x:c>
      <x:c r="N388" s="2" t="str">
        <x:v>NR</x:v>
      </x:c>
      <x:c r="O388" s="2" t="str">
        <x:v>NR</x:v>
      </x:c>
      <x:c r="P388" s="6" t="str">
        <x:v>NR</x:v>
      </x:c>
      <x:c r="Q388" s="2" t="str">
        <x:v>2 Semantic contextualization</x:v>
      </x:c>
      <x:c r="R388" s="6" t="str">
        <x:v>NR</x:v>
      </x:c>
      <x:c r="S388" s="2" t="str">
        <x:v>NR</x:v>
      </x:c>
      <x:c r="T388" s="2" t="str">
        <x:v>NR</x:v>
      </x:c>
      <x:c r="U388" s="2" t="str">
        <x:v>NR</x:v>
      </x:c>
      <x:c r="V388" s="6" t="str">
        <x:v>Task-specific coded evidence</x:v>
      </x:c>
      <x:c r="W388" s="6" t="str">
        <x:v>p. 7; section Evaluation, Figure 3 description</x:v>
      </x:c>
      <x:c r="X388" s="6" t="str">
        <x:v>P2; P4 develops use case specifications, including pri­ mary actors, pre- and post-conditions, and outlining</x:v>
      </x:c>
      <x:c r="Y388" s="6" t="str">
        <x:v>See task-step evidence references in the RQ2 supplement.</x:v>
      </x:c>
      <x:c r="Z388" s="2" t="str">
        <x:v>Accepted</x:v>
      </x:c>
      <x:c r="AA388" s="6" t="str">
        <x:v>NR</x:v>
      </x:c>
    </x:row>
    <x:row r="389" ht="76" customHeight="1">
      <x:c r="A389" s="2" t="str">
        <x:v>S46-T04-P3</x:v>
      </x:c>
      <x:c r="B389" s="2" t="str">
        <x:v>S46</x:v>
      </x:c>
      <x:c r="C389" s="2" t="str">
        <x:v>merged_1293</x:v>
      </x:c>
      <x:c r="D389" s="2" t="str">
        <x:v>Final coding</x:v>
      </x:c>
      <x:c r="E389" s="2" t="str">
        <x:v>R1/R2</x:v>
      </x:c>
      <x:c r="F389" s="2" t="str">
        <x:v>S46-T04-PROC</x:v>
      </x:c>
      <x:c r="G389" s="2" t="str">
        <x:v>S46-T04</x:v>
      </x:c>
      <x:c r="H389" s="2" t="str">
        <x:v>3 Traceability inference</x:v>
      </x:c>
      <x:c r="I389" s="2" t="n">
        <x:v>3</x:v>
      </x:c>
      <x:c r="J389" s="2" t="str">
        <x:v>Common core</x:v>
      </x:c>
      <x:c r="K389" s="2" t="str">
        <x:v>Completed</x:v>
      </x:c>
      <x:c r="L389" s="2" t="str">
        <x:v>Inferred from relation output</x:v>
      </x:c>
      <x:c r="M389" s="2" t="str">
        <x:v>NR</x:v>
      </x:c>
      <x:c r="N389" s="2" t="str">
        <x:v>NR</x:v>
      </x:c>
      <x:c r="O389" s="2" t="str">
        <x:v>NR</x:v>
      </x:c>
      <x:c r="P389" s="6" t="str">
        <x:v>NR</x:v>
      </x:c>
      <x:c r="Q389" s="2" t="str">
        <x:v>NR</x:v>
      </x:c>
      <x:c r="R389" s="6" t="str">
        <x:v>用例文档</x:v>
      </x:c>
      <x:c r="S389" s="2" t="str">
        <x:v>NR</x:v>
      </x:c>
      <x:c r="T389" s="2" t="str">
        <x:v>NR</x:v>
      </x:c>
      <x:c r="U389" s="2" t="str">
        <x:v>NR</x:v>
      </x:c>
      <x:c r="V389" s="6" t="str">
        <x:v>Task-specific coded evidence</x:v>
      </x:c>
      <x:c r="W389" s="6" t="str">
        <x:v>p. 7; section Evaluation, Figure 3 description</x:v>
      </x:c>
      <x:c r="X389" s="6" t="str">
        <x:v>P2; P4 develops use case specifications, including pri­ mary actors, pre- and post-conditions, and outlining</x:v>
      </x:c>
      <x:c r="Y389" s="6" t="str">
        <x:v>See task-step evidence references in the RQ2 supplement.</x:v>
      </x:c>
      <x:c r="Z389" s="2" t="str">
        <x:v>Accepted</x:v>
      </x:c>
      <x:c r="AA389" s="6" t="str">
        <x:v>NR</x:v>
      </x:c>
    </x:row>
    <x:row r="390" ht="76" customHeight="1">
      <x:c r="A390" s="2" t="str">
        <x:v>S46-T04-P4</x:v>
      </x:c>
      <x:c r="B390" s="2" t="str">
        <x:v>S46</x:v>
      </x:c>
      <x:c r="C390" s="2" t="str">
        <x:v>merged_1293</x:v>
      </x:c>
      <x:c r="D390" s="2" t="str">
        <x:v>Final coding</x:v>
      </x:c>
      <x:c r="E390" s="2" t="str">
        <x:v>R1/R2</x:v>
      </x:c>
      <x:c r="F390" s="2" t="str">
        <x:v>S46-T04-PROC</x:v>
      </x:c>
      <x:c r="G390" s="2" t="str">
        <x:v>S46-T04</x:v>
      </x:c>
      <x:c r="H390" s="2" t="str">
        <x:v>4 Validation and explanation</x:v>
      </x:c>
      <x:c r="I390" s="2" t="n">
        <x:v>4</x:v>
      </x:c>
      <x:c r="J390" s="2" t="str">
        <x:v>Common core</x:v>
      </x:c>
      <x:c r="K390" s="2" t="str">
        <x:v>Completed</x:v>
      </x:c>
      <x:c r="L390" s="2" t="str">
        <x:v>Not separately reported</x:v>
      </x:c>
      <x:c r="M390" s="2" t="str">
        <x:v>NR</x:v>
      </x:c>
      <x:c r="N390" s="2" t="str">
        <x:v>NR</x:v>
      </x:c>
      <x:c r="O390" s="2" t="str">
        <x:v>NR</x:v>
      </x:c>
      <x:c r="P390" s="6" t="str">
        <x:v>NR</x:v>
      </x:c>
      <x:c r="Q390" s="2" t="str">
        <x:v>NR</x:v>
      </x:c>
      <x:c r="R390" s="6" t="str">
        <x:v>NR</x:v>
      </x:c>
      <x:c r="S390" s="2" t="str">
        <x:v>NR</x:v>
      </x:c>
      <x:c r="T390" s="2" t="str">
        <x:v>NR</x:v>
      </x:c>
      <x:c r="U390" s="2" t="str">
        <x:v>NR</x:v>
      </x:c>
      <x:c r="V390" s="6" t="str">
        <x:v>Task-specific coded evidence</x:v>
      </x:c>
      <x:c r="W390" s="6" t="str">
        <x:v>p. 7; section Evaluation, Figure 3 description</x:v>
      </x:c>
      <x:c r="X390" s="6" t="str">
        <x:v>P2; P4 develops use case specifications, including pri­ mary actors, pre- and post-conditions, and outlining</x:v>
      </x:c>
      <x:c r="Y390" s="6" t="str">
        <x:v>See task-step evidence references in the RQ2 supplement.</x:v>
      </x:c>
      <x:c r="Z390" s="2" t="str">
        <x:v>Accepted</x:v>
      </x:c>
      <x:c r="AA390" s="6" t="str">
        <x:v>NR</x:v>
      </x:c>
    </x:row>
    <x:row r="391" ht="76" customHeight="1">
      <x:c r="A391" s="2" t="str">
        <x:v>S46-T04-P5</x:v>
      </x:c>
      <x:c r="B391" s="2" t="str">
        <x:v>S46</x:v>
      </x:c>
      <x:c r="C391" s="2" t="str">
        <x:v>merged_1293</x:v>
      </x:c>
      <x:c r="D391" s="2" t="str">
        <x:v>Final coding</x:v>
      </x:c>
      <x:c r="E391" s="2" t="str">
        <x:v>R1/R2</x:v>
      </x:c>
      <x:c r="F391" s="2" t="str">
        <x:v>S46-T04-PROC</x:v>
      </x:c>
      <x:c r="G391" s="2" t="str">
        <x:v>S46-T04</x:v>
      </x:c>
      <x:c r="H391" s="2" t="str">
        <x:v>5 Evolution and embedding</x:v>
      </x:c>
      <x:c r="I391" s="2" t="n">
        <x:v>5</x:v>
      </x:c>
      <x:c r="J391" s="2" t="str">
        <x:v>Common core</x:v>
      </x:c>
      <x:c r="K391" s="2" t="str">
        <x:v>Completed</x:v>
      </x:c>
      <x:c r="L391" s="2" t="str">
        <x:v>Not separately reported</x:v>
      </x:c>
      <x:c r="M391" s="2" t="str">
        <x:v>NR</x:v>
      </x:c>
      <x:c r="N391" s="2" t="str">
        <x:v>NR</x:v>
      </x:c>
      <x:c r="O391" s="2" t="str">
        <x:v>NR</x:v>
      </x:c>
      <x:c r="P391" s="6" t="str">
        <x:v>NR</x:v>
      </x:c>
      <x:c r="Q391" s="2" t="str">
        <x:v>NR</x:v>
      </x:c>
      <x:c r="R391" s="6" t="str">
        <x:v>NR</x:v>
      </x:c>
      <x:c r="S391" s="2" t="str">
        <x:v>NR</x:v>
      </x:c>
      <x:c r="T391" s="2" t="str">
        <x:v>NR</x:v>
      </x:c>
      <x:c r="U391" s="2" t="str">
        <x:v>NR</x:v>
      </x:c>
      <x:c r="V391" s="6" t="str">
        <x:v>Task-specific coded evidence</x:v>
      </x:c>
      <x:c r="W391" s="6" t="str">
        <x:v>p. 7; section Evaluation, Figure 3 description</x:v>
      </x:c>
      <x:c r="X391" s="6" t="str">
        <x:v>P2; P4 develops use case specifications, including pri­ mary actors, pre- and post-conditions, and outlining</x:v>
      </x:c>
      <x:c r="Y391" s="6" t="str">
        <x:v>See task-step evidence references in the RQ2 supplement.</x:v>
      </x:c>
      <x:c r="Z391" s="2" t="str">
        <x:v>Accepted</x:v>
      </x:c>
      <x:c r="AA391" s="6" t="str">
        <x:v>NR</x:v>
      </x:c>
    </x:row>
    <x:row r="392" ht="76" customHeight="1">
      <x:c r="A392" s="2" t="str">
        <x:v>S46-T05-P1</x:v>
      </x:c>
      <x:c r="B392" s="2" t="str">
        <x:v>S46</x:v>
      </x:c>
      <x:c r="C392" s="2" t="str">
        <x:v>merged_1293</x:v>
      </x:c>
      <x:c r="D392" s="2" t="str">
        <x:v>Final coding</x:v>
      </x:c>
      <x:c r="E392" s="2" t="str">
        <x:v>R1/R2</x:v>
      </x:c>
      <x:c r="F392" s="2" t="str">
        <x:v>S46-T05-PROC</x:v>
      </x:c>
      <x:c r="G392" s="2" t="str">
        <x:v>S46-T05</x:v>
      </x:c>
      <x:c r="H392" s="2" t="str">
        <x:v>1 Artifact acquisition and scoping</x:v>
      </x:c>
      <x:c r="I392" s="2" t="n">
        <x:v>1</x:v>
      </x:c>
      <x:c r="J392" s="2" t="str">
        <x:v>Common core</x:v>
      </x:c>
      <x:c r="K392" s="2" t="str">
        <x:v>Completed</x:v>
      </x:c>
      <x:c r="L392" s="2" t="str">
        <x:v>Not separately reported</x:v>
      </x:c>
      <x:c r="M392" s="2" t="str">
        <x:v>NR</x:v>
      </x:c>
      <x:c r="N392" s="2" t="str">
        <x:v>NR</x:v>
      </x:c>
      <x:c r="O392" s="2" t="str">
        <x:v>NR</x:v>
      </x:c>
      <x:c r="P392" s="6" t="str">
        <x:v>NR</x:v>
      </x:c>
      <x:c r="Q392" s="2" t="str">
        <x:v>NR</x:v>
      </x:c>
      <x:c r="R392" s="6" t="str">
        <x:v>NR</x:v>
      </x:c>
      <x:c r="S392" s="2" t="str">
        <x:v>NR</x:v>
      </x:c>
      <x:c r="T392" s="2" t="str">
        <x:v>NR</x:v>
      </x:c>
      <x:c r="U392" s="2" t="str">
        <x:v>NR</x:v>
      </x:c>
      <x:c r="V392" s="6" t="str">
        <x:v>Task-specific coded evidence</x:v>
      </x:c>
      <x:c r="W392" s="6" t="str">
        <x:v>p. 7; section Evaluation, Figure 3 description</x:v>
      </x:c>
      <x:c r="X392" s="6" t="str">
        <x:v>a domain model that represents the system with realworld concepts derived from the specifications in P4;</x:v>
      </x:c>
      <x:c r="Y392" s="6" t="str">
        <x:v>See task-step evidence references in the RQ2 supplement.</x:v>
      </x:c>
      <x:c r="Z392" s="2" t="str">
        <x:v>Accepted</x:v>
      </x:c>
      <x:c r="AA392" s="6" t="str">
        <x:v>NR</x:v>
      </x:c>
    </x:row>
    <x:row r="393" ht="76" customHeight="1">
      <x:c r="A393" s="2" t="str">
        <x:v>S46-T05-P2</x:v>
      </x:c>
      <x:c r="B393" s="2" t="str">
        <x:v>S46</x:v>
      </x:c>
      <x:c r="C393" s="2" t="str">
        <x:v>merged_1293</x:v>
      </x:c>
      <x:c r="D393" s="2" t="str">
        <x:v>Final coding</x:v>
      </x:c>
      <x:c r="E393" s="2" t="str">
        <x:v>R1/R2</x:v>
      </x:c>
      <x:c r="F393" s="2" t="str">
        <x:v>S46-T05-PROC</x:v>
      </x:c>
      <x:c r="G393" s="2" t="str">
        <x:v>S46-T05</x:v>
      </x:c>
      <x:c r="H393" s="2" t="str">
        <x:v>2 Semantic contextualization</x:v>
      </x:c>
      <x:c r="I393" s="2" t="n">
        <x:v>2</x:v>
      </x:c>
      <x:c r="J393" s="2" t="str">
        <x:v>Common core</x:v>
      </x:c>
      <x:c r="K393" s="2" t="str">
        <x:v>Completed</x:v>
      </x:c>
      <x:c r="L393" s="2" t="str">
        <x:v>Explicitly evidenced</x:v>
      </x:c>
      <x:c r="M393" s="2" t="str">
        <x:v>NR</x:v>
      </x:c>
      <x:c r="N393" s="2" t="str">
        <x:v>NR</x:v>
      </x:c>
      <x:c r="O393" s="2" t="str">
        <x:v>NR</x:v>
      </x:c>
      <x:c r="P393" s="6" t="str">
        <x:v>NR</x:v>
      </x:c>
      <x:c r="Q393" s="2" t="str">
        <x:v>2 Semantic contextualization</x:v>
      </x:c>
      <x:c r="R393" s="6" t="str">
        <x:v>NR</x:v>
      </x:c>
      <x:c r="S393" s="2" t="str">
        <x:v>NR</x:v>
      </x:c>
      <x:c r="T393" s="2" t="str">
        <x:v>NR</x:v>
      </x:c>
      <x:c r="U393" s="2" t="str">
        <x:v>NR</x:v>
      </x:c>
      <x:c r="V393" s="6" t="str">
        <x:v>Task-specific coded evidence</x:v>
      </x:c>
      <x:c r="W393" s="6" t="str">
        <x:v>p. 7; section Evaluation, Figure 3 description</x:v>
      </x:c>
      <x:c r="X393" s="6" t="str">
        <x:v>a domain model that represents the system with realworld concepts derived from the specifications in P4;</x:v>
      </x:c>
      <x:c r="Y393" s="6" t="str">
        <x:v>See task-step evidence references in the RQ2 supplement.</x:v>
      </x:c>
      <x:c r="Z393" s="2" t="str">
        <x:v>Accepted</x:v>
      </x:c>
      <x:c r="AA393" s="6" t="str">
        <x:v>NR</x:v>
      </x:c>
    </x:row>
    <x:row r="394" ht="76" customHeight="1">
      <x:c r="A394" s="2" t="str">
        <x:v>S46-T05-P3</x:v>
      </x:c>
      <x:c r="B394" s="2" t="str">
        <x:v>S46</x:v>
      </x:c>
      <x:c r="C394" s="2" t="str">
        <x:v>merged_1293</x:v>
      </x:c>
      <x:c r="D394" s="2" t="str">
        <x:v>Final coding</x:v>
      </x:c>
      <x:c r="E394" s="2" t="str">
        <x:v>R1/R2</x:v>
      </x:c>
      <x:c r="F394" s="2" t="str">
        <x:v>S46-T05-PROC</x:v>
      </x:c>
      <x:c r="G394" s="2" t="str">
        <x:v>S46-T05</x:v>
      </x:c>
      <x:c r="H394" s="2" t="str">
        <x:v>3 Traceability inference</x:v>
      </x:c>
      <x:c r="I394" s="2" t="n">
        <x:v>3</x:v>
      </x:c>
      <x:c r="J394" s="2" t="str">
        <x:v>Common core</x:v>
      </x:c>
      <x:c r="K394" s="2" t="str">
        <x:v>Completed</x:v>
      </x:c>
      <x:c r="L394" s="2" t="str">
        <x:v>Inferred from relation output</x:v>
      </x:c>
      <x:c r="M394" s="2" t="str">
        <x:v>NR</x:v>
      </x:c>
      <x:c r="N394" s="2" t="str">
        <x:v>NR</x:v>
      </x:c>
      <x:c r="O394" s="2" t="str">
        <x:v>NR</x:v>
      </x:c>
      <x:c r="P394" s="6" t="str">
        <x:v>NR</x:v>
      </x:c>
      <x:c r="Q394" s="2" t="str">
        <x:v>NR</x:v>
      </x:c>
      <x:c r="R394" s="6" t="str">
        <x:v>领域类图</x:v>
      </x:c>
      <x:c r="S394" s="2" t="str">
        <x:v>NR</x:v>
      </x:c>
      <x:c r="T394" s="2" t="str">
        <x:v>NR</x:v>
      </x:c>
      <x:c r="U394" s="2" t="str">
        <x:v>NR</x:v>
      </x:c>
      <x:c r="V394" s="6" t="str">
        <x:v>Task-specific coded evidence</x:v>
      </x:c>
      <x:c r="W394" s="6" t="str">
        <x:v>p. 7; section Evaluation, Figure 3 description</x:v>
      </x:c>
      <x:c r="X394" s="6" t="str">
        <x:v>a domain model that represents the system with realworld concepts derived from the specifications in P4;</x:v>
      </x:c>
      <x:c r="Y394" s="6" t="str">
        <x:v>See task-step evidence references in the RQ2 supplement.</x:v>
      </x:c>
      <x:c r="Z394" s="2" t="str">
        <x:v>Accepted</x:v>
      </x:c>
      <x:c r="AA394" s="6" t="str">
        <x:v>NR</x:v>
      </x:c>
    </x:row>
    <x:row r="395" ht="76" customHeight="1">
      <x:c r="A395" s="2" t="str">
        <x:v>S46-T05-P4</x:v>
      </x:c>
      <x:c r="B395" s="2" t="str">
        <x:v>S46</x:v>
      </x:c>
      <x:c r="C395" s="2" t="str">
        <x:v>merged_1293</x:v>
      </x:c>
      <x:c r="D395" s="2" t="str">
        <x:v>Final coding</x:v>
      </x:c>
      <x:c r="E395" s="2" t="str">
        <x:v>R1/R2</x:v>
      </x:c>
      <x:c r="F395" s="2" t="str">
        <x:v>S46-T05-PROC</x:v>
      </x:c>
      <x:c r="G395" s="2" t="str">
        <x:v>S46-T05</x:v>
      </x:c>
      <x:c r="H395" s="2" t="str">
        <x:v>4 Validation and explanation</x:v>
      </x:c>
      <x:c r="I395" s="2" t="n">
        <x:v>4</x:v>
      </x:c>
      <x:c r="J395" s="2" t="str">
        <x:v>Common core</x:v>
      </x:c>
      <x:c r="K395" s="2" t="str">
        <x:v>Completed</x:v>
      </x:c>
      <x:c r="L395" s="2" t="str">
        <x:v>Not separately reported</x:v>
      </x:c>
      <x:c r="M395" s="2" t="str">
        <x:v>NR</x:v>
      </x:c>
      <x:c r="N395" s="2" t="str">
        <x:v>NR</x:v>
      </x:c>
      <x:c r="O395" s="2" t="str">
        <x:v>NR</x:v>
      </x:c>
      <x:c r="P395" s="6" t="str">
        <x:v>NR</x:v>
      </x:c>
      <x:c r="Q395" s="2" t="str">
        <x:v>NR</x:v>
      </x:c>
      <x:c r="R395" s="6" t="str">
        <x:v>NR</x:v>
      </x:c>
      <x:c r="S395" s="2" t="str">
        <x:v>NR</x:v>
      </x:c>
      <x:c r="T395" s="2" t="str">
        <x:v>NR</x:v>
      </x:c>
      <x:c r="U395" s="2" t="str">
        <x:v>NR</x:v>
      </x:c>
      <x:c r="V395" s="6" t="str">
        <x:v>Task-specific coded evidence</x:v>
      </x:c>
      <x:c r="W395" s="6" t="str">
        <x:v>p. 7; section Evaluation, Figure 3 description</x:v>
      </x:c>
      <x:c r="X395" s="6" t="str">
        <x:v>a domain model that represents the system with realworld concepts derived from the specifications in P4;</x:v>
      </x:c>
      <x:c r="Y395" s="6" t="str">
        <x:v>See task-step evidence references in the RQ2 supplement.</x:v>
      </x:c>
      <x:c r="Z395" s="2" t="str">
        <x:v>Accepted</x:v>
      </x:c>
      <x:c r="AA395" s="6" t="str">
        <x:v>NR</x:v>
      </x:c>
    </x:row>
    <x:row r="396" ht="76" customHeight="1">
      <x:c r="A396" s="2" t="str">
        <x:v>S46-T05-P5</x:v>
      </x:c>
      <x:c r="B396" s="2" t="str">
        <x:v>S46</x:v>
      </x:c>
      <x:c r="C396" s="2" t="str">
        <x:v>merged_1293</x:v>
      </x:c>
      <x:c r="D396" s="2" t="str">
        <x:v>Final coding</x:v>
      </x:c>
      <x:c r="E396" s="2" t="str">
        <x:v>R1/R2</x:v>
      </x:c>
      <x:c r="F396" s="2" t="str">
        <x:v>S46-T05-PROC</x:v>
      </x:c>
      <x:c r="G396" s="2" t="str">
        <x:v>S46-T05</x:v>
      </x:c>
      <x:c r="H396" s="2" t="str">
        <x:v>5 Evolution and embedding</x:v>
      </x:c>
      <x:c r="I396" s="2" t="n">
        <x:v>5</x:v>
      </x:c>
      <x:c r="J396" s="2" t="str">
        <x:v>Common core</x:v>
      </x:c>
      <x:c r="K396" s="2" t="str">
        <x:v>Completed</x:v>
      </x:c>
      <x:c r="L396" s="2" t="str">
        <x:v>Not separately reported</x:v>
      </x:c>
      <x:c r="M396" s="2" t="str">
        <x:v>NR</x:v>
      </x:c>
      <x:c r="N396" s="2" t="str">
        <x:v>NR</x:v>
      </x:c>
      <x:c r="O396" s="2" t="str">
        <x:v>NR</x:v>
      </x:c>
      <x:c r="P396" s="6" t="str">
        <x:v>NR</x:v>
      </x:c>
      <x:c r="Q396" s="2" t="str">
        <x:v>NR</x:v>
      </x:c>
      <x:c r="R396" s="6" t="str">
        <x:v>NR</x:v>
      </x:c>
      <x:c r="S396" s="2" t="str">
        <x:v>NR</x:v>
      </x:c>
      <x:c r="T396" s="2" t="str">
        <x:v>NR</x:v>
      </x:c>
      <x:c r="U396" s="2" t="str">
        <x:v>NR</x:v>
      </x:c>
      <x:c r="V396" s="6" t="str">
        <x:v>Task-specific coded evidence</x:v>
      </x:c>
      <x:c r="W396" s="6" t="str">
        <x:v>p. 7; section Evaluation, Figure 3 description</x:v>
      </x:c>
      <x:c r="X396" s="6" t="str">
        <x:v>a domain model that represents the system with realworld concepts derived from the specifications in P4;</x:v>
      </x:c>
      <x:c r="Y396" s="6" t="str">
        <x:v>See task-step evidence references in the RQ2 supplement.</x:v>
      </x:c>
      <x:c r="Z396" s="2" t="str">
        <x:v>Accepted</x:v>
      </x:c>
      <x:c r="AA396" s="6" t="str">
        <x:v>NR</x:v>
      </x:c>
    </x:row>
    <x:row r="397" ht="76" customHeight="1">
      <x:c r="A397" s="2" t="str">
        <x:v>S46-T06-P1</x:v>
      </x:c>
      <x:c r="B397" s="2" t="str">
        <x:v>S46</x:v>
      </x:c>
      <x:c r="C397" s="2" t="str">
        <x:v>merged_1293</x:v>
      </x:c>
      <x:c r="D397" s="2" t="str">
        <x:v>Final coding</x:v>
      </x:c>
      <x:c r="E397" s="2" t="str">
        <x:v>R1/R2</x:v>
      </x:c>
      <x:c r="F397" s="2" t="str">
        <x:v>S46-T06-PROC</x:v>
      </x:c>
      <x:c r="G397" s="2" t="str">
        <x:v>S46-T06</x:v>
      </x:c>
      <x:c r="H397" s="2" t="str">
        <x:v>1 Artifact acquisition and scoping</x:v>
      </x:c>
      <x:c r="I397" s="2" t="n">
        <x:v>1</x:v>
      </x:c>
      <x:c r="J397" s="2" t="str">
        <x:v>Common core</x:v>
      </x:c>
      <x:c r="K397" s="2" t="str">
        <x:v>Completed</x:v>
      </x:c>
      <x:c r="L397" s="2" t="str">
        <x:v>Not separately reported</x:v>
      </x:c>
      <x:c r="M397" s="2" t="str">
        <x:v>NR</x:v>
      </x:c>
      <x:c r="N397" s="2" t="str">
        <x:v>NR</x:v>
      </x:c>
      <x:c r="O397" s="2" t="str">
        <x:v>NR</x:v>
      </x:c>
      <x:c r="P397" s="6" t="str">
        <x:v>NR</x:v>
      </x:c>
      <x:c r="Q397" s="2" t="str">
        <x:v>NR</x:v>
      </x:c>
      <x:c r="R397" s="6" t="str">
        <x:v>NR</x:v>
      </x:c>
      <x:c r="S397" s="2" t="str">
        <x:v>NR</x:v>
      </x:c>
      <x:c r="T397" s="2" t="str">
        <x:v>NR</x:v>
      </x:c>
      <x:c r="U397" s="2" t="str">
        <x:v>NR</x:v>
      </x:c>
      <x:c r="V397" s="6" t="str">
        <x:v>Task-specific coded evidence</x:v>
      </x:c>
      <x:c r="W397" s="6" t="str">
        <x:v>p. 8; section Evaluation, Figure 3 description</x:v>
      </x:c>
      <x:c r="X397" s="6" t="str">
        <x:v>P6 identifies system operations from these use case scenarios</x:v>
      </x:c>
      <x:c r="Y397" s="6" t="str">
        <x:v>See task-step evidence references in the RQ2 supplement.</x:v>
      </x:c>
      <x:c r="Z397" s="2" t="str">
        <x:v>Accepted</x:v>
      </x:c>
      <x:c r="AA397" s="6" t="str">
        <x:v>NR</x:v>
      </x:c>
    </x:row>
    <x:row r="398" ht="76" customHeight="1">
      <x:c r="A398" s="2" t="str">
        <x:v>S46-T06-P2</x:v>
      </x:c>
      <x:c r="B398" s="2" t="str">
        <x:v>S46</x:v>
      </x:c>
      <x:c r="C398" s="2" t="str">
        <x:v>merged_1293</x:v>
      </x:c>
      <x:c r="D398" s="2" t="str">
        <x:v>Final coding</x:v>
      </x:c>
      <x:c r="E398" s="2" t="str">
        <x:v>R1/R2</x:v>
      </x:c>
      <x:c r="F398" s="2" t="str">
        <x:v>S46-T06-PROC</x:v>
      </x:c>
      <x:c r="G398" s="2" t="str">
        <x:v>S46-T06</x:v>
      </x:c>
      <x:c r="H398" s="2" t="str">
        <x:v>2 Semantic contextualization</x:v>
      </x:c>
      <x:c r="I398" s="2" t="n">
        <x:v>2</x:v>
      </x:c>
      <x:c r="J398" s="2" t="str">
        <x:v>Common core</x:v>
      </x:c>
      <x:c r="K398" s="2" t="str">
        <x:v>Completed</x:v>
      </x:c>
      <x:c r="L398" s="2" t="str">
        <x:v>Explicitly evidenced</x:v>
      </x:c>
      <x:c r="M398" s="2" t="str">
        <x:v>NR</x:v>
      </x:c>
      <x:c r="N398" s="2" t="str">
        <x:v>NR</x:v>
      </x:c>
      <x:c r="O398" s="2" t="str">
        <x:v>NR</x:v>
      </x:c>
      <x:c r="P398" s="6" t="str">
        <x:v>NR</x:v>
      </x:c>
      <x:c r="Q398" s="2" t="str">
        <x:v>2 Semantic contextualization</x:v>
      </x:c>
      <x:c r="R398" s="6" t="str">
        <x:v>NR</x:v>
      </x:c>
      <x:c r="S398" s="2" t="str">
        <x:v>NR</x:v>
      </x:c>
      <x:c r="T398" s="2" t="str">
        <x:v>NR</x:v>
      </x:c>
      <x:c r="U398" s="2" t="str">
        <x:v>NR</x:v>
      </x:c>
      <x:c r="V398" s="6" t="str">
        <x:v>Task-specific coded evidence</x:v>
      </x:c>
      <x:c r="W398" s="6" t="str">
        <x:v>p. 8; section Evaluation, Figure 3 description</x:v>
      </x:c>
      <x:c r="X398" s="6" t="str">
        <x:v>P6 identifies system operations from these use case scenarios</x:v>
      </x:c>
      <x:c r="Y398" s="6" t="str">
        <x:v>See task-step evidence references in the RQ2 supplement.</x:v>
      </x:c>
      <x:c r="Z398" s="2" t="str">
        <x:v>Accepted</x:v>
      </x:c>
      <x:c r="AA398" s="6" t="str">
        <x:v>NR</x:v>
      </x:c>
    </x:row>
    <x:row r="399" ht="76" customHeight="1">
      <x:c r="A399" s="2" t="str">
        <x:v>S46-T06-P3</x:v>
      </x:c>
      <x:c r="B399" s="2" t="str">
        <x:v>S46</x:v>
      </x:c>
      <x:c r="C399" s="2" t="str">
        <x:v>merged_1293</x:v>
      </x:c>
      <x:c r="D399" s="2" t="str">
        <x:v>Final coding</x:v>
      </x:c>
      <x:c r="E399" s="2" t="str">
        <x:v>R1/R2</x:v>
      </x:c>
      <x:c r="F399" s="2" t="str">
        <x:v>S46-T06-PROC</x:v>
      </x:c>
      <x:c r="G399" s="2" t="str">
        <x:v>S46-T06</x:v>
      </x:c>
      <x:c r="H399" s="2" t="str">
        <x:v>3 Traceability inference</x:v>
      </x:c>
      <x:c r="I399" s="2" t="n">
        <x:v>3</x:v>
      </x:c>
      <x:c r="J399" s="2" t="str">
        <x:v>Common core</x:v>
      </x:c>
      <x:c r="K399" s="2" t="str">
        <x:v>Completed</x:v>
      </x:c>
      <x:c r="L399" s="2" t="str">
        <x:v>Inferred from relation output</x:v>
      </x:c>
      <x:c r="M399" s="2" t="str">
        <x:v>NR</x:v>
      </x:c>
      <x:c r="N399" s="2" t="str">
        <x:v>NR</x:v>
      </x:c>
      <x:c r="O399" s="2" t="str">
        <x:v>NR</x:v>
      </x:c>
      <x:c r="P399" s="6" t="str">
        <x:v>NR</x:v>
      </x:c>
      <x:c r="Q399" s="2" t="str">
        <x:v>NR</x:v>
      </x:c>
      <x:c r="R399" s="6" t="str">
        <x:v>操作列表</x:v>
      </x:c>
      <x:c r="S399" s="2" t="str">
        <x:v>NR</x:v>
      </x:c>
      <x:c r="T399" s="2" t="str">
        <x:v>NR</x:v>
      </x:c>
      <x:c r="U399" s="2" t="str">
        <x:v>NR</x:v>
      </x:c>
      <x:c r="V399" s="6" t="str">
        <x:v>Task-specific coded evidence</x:v>
      </x:c>
      <x:c r="W399" s="6" t="str">
        <x:v>p. 8; section Evaluation, Figure 3 description</x:v>
      </x:c>
      <x:c r="X399" s="6" t="str">
        <x:v>P6 identifies system operations from these use case scenarios</x:v>
      </x:c>
      <x:c r="Y399" s="6" t="str">
        <x:v>See task-step evidence references in the RQ2 supplement.</x:v>
      </x:c>
      <x:c r="Z399" s="2" t="str">
        <x:v>Accepted</x:v>
      </x:c>
      <x:c r="AA399" s="6" t="str">
        <x:v>NR</x:v>
      </x:c>
    </x:row>
    <x:row r="400" ht="76" customHeight="1">
      <x:c r="A400" s="2" t="str">
        <x:v>S46-T06-P4</x:v>
      </x:c>
      <x:c r="B400" s="2" t="str">
        <x:v>S46</x:v>
      </x:c>
      <x:c r="C400" s="2" t="str">
        <x:v>merged_1293</x:v>
      </x:c>
      <x:c r="D400" s="2" t="str">
        <x:v>Final coding</x:v>
      </x:c>
      <x:c r="E400" s="2" t="str">
        <x:v>R1/R2</x:v>
      </x:c>
      <x:c r="F400" s="2" t="str">
        <x:v>S46-T06-PROC</x:v>
      </x:c>
      <x:c r="G400" s="2" t="str">
        <x:v>S46-T06</x:v>
      </x:c>
      <x:c r="H400" s="2" t="str">
        <x:v>4 Validation and explanation</x:v>
      </x:c>
      <x:c r="I400" s="2" t="n">
        <x:v>4</x:v>
      </x:c>
      <x:c r="J400" s="2" t="str">
        <x:v>Common core</x:v>
      </x:c>
      <x:c r="K400" s="2" t="str">
        <x:v>Completed</x:v>
      </x:c>
      <x:c r="L400" s="2" t="str">
        <x:v>Not separately reported</x:v>
      </x:c>
      <x:c r="M400" s="2" t="str">
        <x:v>NR</x:v>
      </x:c>
      <x:c r="N400" s="2" t="str">
        <x:v>NR</x:v>
      </x:c>
      <x:c r="O400" s="2" t="str">
        <x:v>NR</x:v>
      </x:c>
      <x:c r="P400" s="6" t="str">
        <x:v>NR</x:v>
      </x:c>
      <x:c r="Q400" s="2" t="str">
        <x:v>NR</x:v>
      </x:c>
      <x:c r="R400" s="6" t="str">
        <x:v>NR</x:v>
      </x:c>
      <x:c r="S400" s="2" t="str">
        <x:v>NR</x:v>
      </x:c>
      <x:c r="T400" s="2" t="str">
        <x:v>NR</x:v>
      </x:c>
      <x:c r="U400" s="2" t="str">
        <x:v>NR</x:v>
      </x:c>
      <x:c r="V400" s="6" t="str">
        <x:v>Task-specific coded evidence</x:v>
      </x:c>
      <x:c r="W400" s="6" t="str">
        <x:v>p. 8; section Evaluation, Figure 3 description</x:v>
      </x:c>
      <x:c r="X400" s="6" t="str">
        <x:v>P6 identifies system operations from these use case scenarios</x:v>
      </x:c>
      <x:c r="Y400" s="6" t="str">
        <x:v>See task-step evidence references in the RQ2 supplement.</x:v>
      </x:c>
      <x:c r="Z400" s="2" t="str">
        <x:v>Accepted</x:v>
      </x:c>
      <x:c r="AA400" s="6" t="str">
        <x:v>NR</x:v>
      </x:c>
    </x:row>
    <x:row r="401" ht="76" customHeight="1">
      <x:c r="A401" s="2" t="str">
        <x:v>S46-T06-P5</x:v>
      </x:c>
      <x:c r="B401" s="2" t="str">
        <x:v>S46</x:v>
      </x:c>
      <x:c r="C401" s="2" t="str">
        <x:v>merged_1293</x:v>
      </x:c>
      <x:c r="D401" s="2" t="str">
        <x:v>Final coding</x:v>
      </x:c>
      <x:c r="E401" s="2" t="str">
        <x:v>R1/R2</x:v>
      </x:c>
      <x:c r="F401" s="2" t="str">
        <x:v>S46-T06-PROC</x:v>
      </x:c>
      <x:c r="G401" s="2" t="str">
        <x:v>S46-T06</x:v>
      </x:c>
      <x:c r="H401" s="2" t="str">
        <x:v>5 Evolution and embedding</x:v>
      </x:c>
      <x:c r="I401" s="2" t="n">
        <x:v>5</x:v>
      </x:c>
      <x:c r="J401" s="2" t="str">
        <x:v>Common core</x:v>
      </x:c>
      <x:c r="K401" s="2" t="str">
        <x:v>Completed</x:v>
      </x:c>
      <x:c r="L401" s="2" t="str">
        <x:v>Not separately reported</x:v>
      </x:c>
      <x:c r="M401" s="2" t="str">
        <x:v>NR</x:v>
      </x:c>
      <x:c r="N401" s="2" t="str">
        <x:v>NR</x:v>
      </x:c>
      <x:c r="O401" s="2" t="str">
        <x:v>NR</x:v>
      </x:c>
      <x:c r="P401" s="6" t="str">
        <x:v>NR</x:v>
      </x:c>
      <x:c r="Q401" s="2" t="str">
        <x:v>NR</x:v>
      </x:c>
      <x:c r="R401" s="6" t="str">
        <x:v>NR</x:v>
      </x:c>
      <x:c r="S401" s="2" t="str">
        <x:v>NR</x:v>
      </x:c>
      <x:c r="T401" s="2" t="str">
        <x:v>NR</x:v>
      </x:c>
      <x:c r="U401" s="2" t="str">
        <x:v>NR</x:v>
      </x:c>
      <x:c r="V401" s="6" t="str">
        <x:v>Task-specific coded evidence</x:v>
      </x:c>
      <x:c r="W401" s="6" t="str">
        <x:v>p. 8; section Evaluation, Figure 3 description</x:v>
      </x:c>
      <x:c r="X401" s="6" t="str">
        <x:v>P6 identifies system operations from these use case scenarios</x:v>
      </x:c>
      <x:c r="Y401" s="6" t="str">
        <x:v>See task-step evidence references in the RQ2 supplement.</x:v>
      </x:c>
      <x:c r="Z401" s="2" t="str">
        <x:v>Accepted</x:v>
      </x:c>
      <x:c r="AA401" s="6" t="str">
        <x:v>NR</x:v>
      </x:c>
    </x:row>
    <x:row r="402" ht="76" customHeight="1">
      <x:c r="A402" s="2" t="str">
        <x:v>S46-T07-P1</x:v>
      </x:c>
      <x:c r="B402" s="2" t="str">
        <x:v>S46</x:v>
      </x:c>
      <x:c r="C402" s="2" t="str">
        <x:v>merged_1293</x:v>
      </x:c>
      <x:c r="D402" s="2" t="str">
        <x:v>Final coding</x:v>
      </x:c>
      <x:c r="E402" s="2" t="str">
        <x:v>R1/R2</x:v>
      </x:c>
      <x:c r="F402" s="2" t="str">
        <x:v>S46-T07-PROC</x:v>
      </x:c>
      <x:c r="G402" s="2" t="str">
        <x:v>S46-T07</x:v>
      </x:c>
      <x:c r="H402" s="2" t="str">
        <x:v>1 Artifact acquisition and scoping</x:v>
      </x:c>
      <x:c r="I402" s="2" t="n">
        <x:v>1</x:v>
      </x:c>
      <x:c r="J402" s="2" t="str">
        <x:v>Common core</x:v>
      </x:c>
      <x:c r="K402" s="2" t="str">
        <x:v>Completed</x:v>
      </x:c>
      <x:c r="L402" s="2" t="str">
        <x:v>Not separately reported</x:v>
      </x:c>
      <x:c r="M402" s="2" t="str">
        <x:v>NR</x:v>
      </x:c>
      <x:c r="N402" s="2" t="str">
        <x:v>NR</x:v>
      </x:c>
      <x:c r="O402" s="2" t="str">
        <x:v>NR</x:v>
      </x:c>
      <x:c r="P402" s="6" t="str">
        <x:v>NR</x:v>
      </x:c>
      <x:c r="Q402" s="2" t="str">
        <x:v>NR</x:v>
      </x:c>
      <x:c r="R402" s="6" t="str">
        <x:v>NR</x:v>
      </x:c>
      <x:c r="S402" s="2" t="str">
        <x:v>NR</x:v>
      </x:c>
      <x:c r="T402" s="2" t="str">
        <x:v>NR</x:v>
      </x:c>
      <x:c r="U402" s="2" t="str">
        <x:v>NR</x:v>
      </x:c>
      <x:c r="V402" s="6" t="str">
        <x:v>Task-specific coded evidence</x:v>
      </x:c>
      <x:c r="W402" s="6" t="str">
        <x:v>p. 8; section Evaluation, Figure 3 description</x:v>
      </x:c>
      <x:c r="X402" s="6" t="str">
        <x:v>P8. P7 creates design sequence diagrams detailing the system operations identified in P6, defining the opera­</x:v>
      </x:c>
      <x:c r="Y402" s="6" t="str">
        <x:v>See task-step evidence references in the RQ2 supplement.</x:v>
      </x:c>
      <x:c r="Z402" s="2" t="str">
        <x:v>Accepted</x:v>
      </x:c>
      <x:c r="AA402" s="6" t="str">
        <x:v>NR</x:v>
      </x:c>
    </x:row>
    <x:row r="403" ht="76" customHeight="1">
      <x:c r="A403" s="2" t="str">
        <x:v>S46-T07-P2</x:v>
      </x:c>
      <x:c r="B403" s="2" t="str">
        <x:v>S46</x:v>
      </x:c>
      <x:c r="C403" s="2" t="str">
        <x:v>merged_1293</x:v>
      </x:c>
      <x:c r="D403" s="2" t="str">
        <x:v>Final coding</x:v>
      </x:c>
      <x:c r="E403" s="2" t="str">
        <x:v>R1/R2</x:v>
      </x:c>
      <x:c r="F403" s="2" t="str">
        <x:v>S46-T07-PROC</x:v>
      </x:c>
      <x:c r="G403" s="2" t="str">
        <x:v>S46-T07</x:v>
      </x:c>
      <x:c r="H403" s="2" t="str">
        <x:v>2 Semantic contextualization</x:v>
      </x:c>
      <x:c r="I403" s="2" t="n">
        <x:v>2</x:v>
      </x:c>
      <x:c r="J403" s="2" t="str">
        <x:v>Common core</x:v>
      </x:c>
      <x:c r="K403" s="2" t="str">
        <x:v>Completed</x:v>
      </x:c>
      <x:c r="L403" s="2" t="str">
        <x:v>Explicitly evidenced</x:v>
      </x:c>
      <x:c r="M403" s="2" t="str">
        <x:v>NR</x:v>
      </x:c>
      <x:c r="N403" s="2" t="str">
        <x:v>NR</x:v>
      </x:c>
      <x:c r="O403" s="2" t="str">
        <x:v>NR</x:v>
      </x:c>
      <x:c r="P403" s="6" t="str">
        <x:v>NR</x:v>
      </x:c>
      <x:c r="Q403" s="2" t="str">
        <x:v>2 Semantic contextualization</x:v>
      </x:c>
      <x:c r="R403" s="6" t="str">
        <x:v>NR</x:v>
      </x:c>
      <x:c r="S403" s="2" t="str">
        <x:v>NR</x:v>
      </x:c>
      <x:c r="T403" s="2" t="str">
        <x:v>NR</x:v>
      </x:c>
      <x:c r="U403" s="2" t="str">
        <x:v>NR</x:v>
      </x:c>
      <x:c r="V403" s="6" t="str">
        <x:v>Task-specific coded evidence</x:v>
      </x:c>
      <x:c r="W403" s="6" t="str">
        <x:v>p. 8; section Evaluation, Figure 3 description</x:v>
      </x:c>
      <x:c r="X403" s="6" t="str">
        <x:v>P8. P7 creates design sequence diagrams detailing the system operations identified in P6, defining the opera­</x:v>
      </x:c>
      <x:c r="Y403" s="6" t="str">
        <x:v>See task-step evidence references in the RQ2 supplement.</x:v>
      </x:c>
      <x:c r="Z403" s="2" t="str">
        <x:v>Accepted</x:v>
      </x:c>
      <x:c r="AA403" s="6" t="str">
        <x:v>NR</x:v>
      </x:c>
    </x:row>
    <x:row r="404" ht="76" customHeight="1">
      <x:c r="A404" s="2" t="str">
        <x:v>S46-T07-P3</x:v>
      </x:c>
      <x:c r="B404" s="2" t="str">
        <x:v>S46</x:v>
      </x:c>
      <x:c r="C404" s="2" t="str">
        <x:v>merged_1293</x:v>
      </x:c>
      <x:c r="D404" s="2" t="str">
        <x:v>Final coding</x:v>
      </x:c>
      <x:c r="E404" s="2" t="str">
        <x:v>R1/R2</x:v>
      </x:c>
      <x:c r="F404" s="2" t="str">
        <x:v>S46-T07-PROC</x:v>
      </x:c>
      <x:c r="G404" s="2" t="str">
        <x:v>S46-T07</x:v>
      </x:c>
      <x:c r="H404" s="2" t="str">
        <x:v>3 Traceability inference</x:v>
      </x:c>
      <x:c r="I404" s="2" t="n">
        <x:v>3</x:v>
      </x:c>
      <x:c r="J404" s="2" t="str">
        <x:v>Common core</x:v>
      </x:c>
      <x:c r="K404" s="2" t="str">
        <x:v>Completed</x:v>
      </x:c>
      <x:c r="L404" s="2" t="str">
        <x:v>Inferred from relation output</x:v>
      </x:c>
      <x:c r="M404" s="2" t="str">
        <x:v>NR</x:v>
      </x:c>
      <x:c r="N404" s="2" t="str">
        <x:v>NR</x:v>
      </x:c>
      <x:c r="O404" s="2" t="str">
        <x:v>NR</x:v>
      </x:c>
      <x:c r="P404" s="6" t="str">
        <x:v>NR</x:v>
      </x:c>
      <x:c r="Q404" s="2" t="str">
        <x:v>NR</x:v>
      </x:c>
      <x:c r="R404" s="6" t="str">
        <x:v>序列图（文本或图形）</x:v>
      </x:c>
      <x:c r="S404" s="2" t="str">
        <x:v>NR</x:v>
      </x:c>
      <x:c r="T404" s="2" t="str">
        <x:v>NR</x:v>
      </x:c>
      <x:c r="U404" s="2" t="str">
        <x:v>NR</x:v>
      </x:c>
      <x:c r="V404" s="6" t="str">
        <x:v>Task-specific coded evidence</x:v>
      </x:c>
      <x:c r="W404" s="6" t="str">
        <x:v>p. 8; section Evaluation, Figure 3 description</x:v>
      </x:c>
      <x:c r="X404" s="6" t="str">
        <x:v>P8. P7 creates design sequence diagrams detailing the system operations identified in P6, defining the opera­</x:v>
      </x:c>
      <x:c r="Y404" s="6" t="str">
        <x:v>See task-step evidence references in the RQ2 supplement.</x:v>
      </x:c>
      <x:c r="Z404" s="2" t="str">
        <x:v>Accepted</x:v>
      </x:c>
      <x:c r="AA404" s="6" t="str">
        <x:v>NR</x:v>
      </x:c>
    </x:row>
    <x:row r="405" ht="76" customHeight="1">
      <x:c r="A405" s="2" t="str">
        <x:v>S46-T07-P4</x:v>
      </x:c>
      <x:c r="B405" s="2" t="str">
        <x:v>S46</x:v>
      </x:c>
      <x:c r="C405" s="2" t="str">
        <x:v>merged_1293</x:v>
      </x:c>
      <x:c r="D405" s="2" t="str">
        <x:v>Final coding</x:v>
      </x:c>
      <x:c r="E405" s="2" t="str">
        <x:v>R1/R2</x:v>
      </x:c>
      <x:c r="F405" s="2" t="str">
        <x:v>S46-T07-PROC</x:v>
      </x:c>
      <x:c r="G405" s="2" t="str">
        <x:v>S46-T07</x:v>
      </x:c>
      <x:c r="H405" s="2" t="str">
        <x:v>4 Validation and explanation</x:v>
      </x:c>
      <x:c r="I405" s="2" t="n">
        <x:v>4</x:v>
      </x:c>
      <x:c r="J405" s="2" t="str">
        <x:v>Common core</x:v>
      </x:c>
      <x:c r="K405" s="2" t="str">
        <x:v>Completed</x:v>
      </x:c>
      <x:c r="L405" s="2" t="str">
        <x:v>Not separately reported</x:v>
      </x:c>
      <x:c r="M405" s="2" t="str">
        <x:v>NR</x:v>
      </x:c>
      <x:c r="N405" s="2" t="str">
        <x:v>NR</x:v>
      </x:c>
      <x:c r="O405" s="2" t="str">
        <x:v>NR</x:v>
      </x:c>
      <x:c r="P405" s="6" t="str">
        <x:v>NR</x:v>
      </x:c>
      <x:c r="Q405" s="2" t="str">
        <x:v>NR</x:v>
      </x:c>
      <x:c r="R405" s="6" t="str">
        <x:v>NR</x:v>
      </x:c>
      <x:c r="S405" s="2" t="str">
        <x:v>NR</x:v>
      </x:c>
      <x:c r="T405" s="2" t="str">
        <x:v>NR</x:v>
      </x:c>
      <x:c r="U405" s="2" t="str">
        <x:v>NR</x:v>
      </x:c>
      <x:c r="V405" s="6" t="str">
        <x:v>Task-specific coded evidence</x:v>
      </x:c>
      <x:c r="W405" s="6" t="str">
        <x:v>p. 8; section Evaluation, Figure 3 description</x:v>
      </x:c>
      <x:c r="X405" s="6" t="str">
        <x:v>P8. P7 creates design sequence diagrams detailing the system operations identified in P6, defining the opera­</x:v>
      </x:c>
      <x:c r="Y405" s="6" t="str">
        <x:v>See task-step evidence references in the RQ2 supplement.</x:v>
      </x:c>
      <x:c r="Z405" s="2" t="str">
        <x:v>Accepted</x:v>
      </x:c>
      <x:c r="AA405" s="6" t="str">
        <x:v>NR</x:v>
      </x:c>
    </x:row>
    <x:row r="406" ht="76" customHeight="1">
      <x:c r="A406" s="2" t="str">
        <x:v>S46-T07-P5</x:v>
      </x:c>
      <x:c r="B406" s="2" t="str">
        <x:v>S46</x:v>
      </x:c>
      <x:c r="C406" s="2" t="str">
        <x:v>merged_1293</x:v>
      </x:c>
      <x:c r="D406" s="2" t="str">
        <x:v>Final coding</x:v>
      </x:c>
      <x:c r="E406" s="2" t="str">
        <x:v>R1/R2</x:v>
      </x:c>
      <x:c r="F406" s="2" t="str">
        <x:v>S46-T07-PROC</x:v>
      </x:c>
      <x:c r="G406" s="2" t="str">
        <x:v>S46-T07</x:v>
      </x:c>
      <x:c r="H406" s="2" t="str">
        <x:v>5 Evolution and embedding</x:v>
      </x:c>
      <x:c r="I406" s="2" t="n">
        <x:v>5</x:v>
      </x:c>
      <x:c r="J406" s="2" t="str">
        <x:v>Common core</x:v>
      </x:c>
      <x:c r="K406" s="2" t="str">
        <x:v>Completed</x:v>
      </x:c>
      <x:c r="L406" s="2" t="str">
        <x:v>Not separately reported</x:v>
      </x:c>
      <x:c r="M406" s="2" t="str">
        <x:v>NR</x:v>
      </x:c>
      <x:c r="N406" s="2" t="str">
        <x:v>NR</x:v>
      </x:c>
      <x:c r="O406" s="2" t="str">
        <x:v>NR</x:v>
      </x:c>
      <x:c r="P406" s="6" t="str">
        <x:v>NR</x:v>
      </x:c>
      <x:c r="Q406" s="2" t="str">
        <x:v>NR</x:v>
      </x:c>
      <x:c r="R406" s="6" t="str">
        <x:v>NR</x:v>
      </x:c>
      <x:c r="S406" s="2" t="str">
        <x:v>NR</x:v>
      </x:c>
      <x:c r="T406" s="2" t="str">
        <x:v>NR</x:v>
      </x:c>
      <x:c r="U406" s="2" t="str">
        <x:v>NR</x:v>
      </x:c>
      <x:c r="V406" s="6" t="str">
        <x:v>Task-specific coded evidence</x:v>
      </x:c>
      <x:c r="W406" s="6" t="str">
        <x:v>p. 8; section Evaluation, Figure 3 description</x:v>
      </x:c>
      <x:c r="X406" s="6" t="str">
        <x:v>P8. P7 creates design sequence diagrams detailing the system operations identified in P6, defining the opera­</x:v>
      </x:c>
      <x:c r="Y406" s="6" t="str">
        <x:v>See task-step evidence references in the RQ2 supplement.</x:v>
      </x:c>
      <x:c r="Z406" s="2" t="str">
        <x:v>Accepted</x:v>
      </x:c>
      <x:c r="AA406" s="6" t="str">
        <x:v>NR</x:v>
      </x:c>
    </x:row>
    <x:row r="407" ht="76" customHeight="1">
      <x:c r="A407" s="2" t="str">
        <x:v>S46-T08-P1</x:v>
      </x:c>
      <x:c r="B407" s="2" t="str">
        <x:v>S46</x:v>
      </x:c>
      <x:c r="C407" s="2" t="str">
        <x:v>merged_1293</x:v>
      </x:c>
      <x:c r="D407" s="2" t="str">
        <x:v>Final coding</x:v>
      </x:c>
      <x:c r="E407" s="2" t="str">
        <x:v>R1/R2</x:v>
      </x:c>
      <x:c r="F407" s="2" t="str">
        <x:v>S46-T08-PROC</x:v>
      </x:c>
      <x:c r="G407" s="2" t="str">
        <x:v>S46-T08</x:v>
      </x:c>
      <x:c r="H407" s="2" t="str">
        <x:v>1 Artifact acquisition and scoping</x:v>
      </x:c>
      <x:c r="I407" s="2" t="n">
        <x:v>1</x:v>
      </x:c>
      <x:c r="J407" s="2" t="str">
        <x:v>Common core</x:v>
      </x:c>
      <x:c r="K407" s="2" t="str">
        <x:v>Completed</x:v>
      </x:c>
      <x:c r="L407" s="2" t="str">
        <x:v>Not separately reported</x:v>
      </x:c>
      <x:c r="M407" s="2" t="str">
        <x:v>NR</x:v>
      </x:c>
      <x:c r="N407" s="2" t="str">
        <x:v>NR</x:v>
      </x:c>
      <x:c r="O407" s="2" t="str">
        <x:v>NR</x:v>
      </x:c>
      <x:c r="P407" s="6" t="str">
        <x:v>NR</x:v>
      </x:c>
      <x:c r="Q407" s="2" t="str">
        <x:v>NR</x:v>
      </x:c>
      <x:c r="R407" s="6" t="str">
        <x:v>NR</x:v>
      </x:c>
      <x:c r="S407" s="2" t="str">
        <x:v>NR</x:v>
      </x:c>
      <x:c r="T407" s="2" t="str">
        <x:v>NR</x:v>
      </x:c>
      <x:c r="U407" s="2" t="str">
        <x:v>NR</x:v>
      </x:c>
      <x:c r="V407" s="6" t="str">
        <x:v>Task-specific coded evidence</x:v>
      </x:c>
      <x:c r="W407" s="6" t="str">
        <x:v>p. 8; section Evaluation, Figure 3 description</x:v>
      </x:c>
      <x:c r="X407" s="6" t="str">
        <x:v>diagram based on the domain model from P5 and the design sequence diagrams from P7, incorporating appli­</x:v>
      </x:c>
      <x:c r="Y407" s="6" t="str">
        <x:v>See task-step evidence references in the RQ2 supplement.</x:v>
      </x:c>
      <x:c r="Z407" s="2" t="str">
        <x:v>Accepted</x:v>
      </x:c>
      <x:c r="AA407" s="6" t="str">
        <x:v>NR</x:v>
      </x:c>
    </x:row>
    <x:row r="408" ht="76" customHeight="1">
      <x:c r="A408" s="2" t="str">
        <x:v>S46-T08-P2</x:v>
      </x:c>
      <x:c r="B408" s="2" t="str">
        <x:v>S46</x:v>
      </x:c>
      <x:c r="C408" s="2" t="str">
        <x:v>merged_1293</x:v>
      </x:c>
      <x:c r="D408" s="2" t="str">
        <x:v>Final coding</x:v>
      </x:c>
      <x:c r="E408" s="2" t="str">
        <x:v>R1/R2</x:v>
      </x:c>
      <x:c r="F408" s="2" t="str">
        <x:v>S46-T08-PROC</x:v>
      </x:c>
      <x:c r="G408" s="2" t="str">
        <x:v>S46-T08</x:v>
      </x:c>
      <x:c r="H408" s="2" t="str">
        <x:v>2 Semantic contextualization</x:v>
      </x:c>
      <x:c r="I408" s="2" t="n">
        <x:v>2</x:v>
      </x:c>
      <x:c r="J408" s="2" t="str">
        <x:v>Common core</x:v>
      </x:c>
      <x:c r="K408" s="2" t="str">
        <x:v>Completed</x:v>
      </x:c>
      <x:c r="L408" s="2" t="str">
        <x:v>Explicitly evidenced</x:v>
      </x:c>
      <x:c r="M408" s="2" t="str">
        <x:v>NR</x:v>
      </x:c>
      <x:c r="N408" s="2" t="str">
        <x:v>NR</x:v>
      </x:c>
      <x:c r="O408" s="2" t="str">
        <x:v>NR</x:v>
      </x:c>
      <x:c r="P408" s="6" t="str">
        <x:v>NR</x:v>
      </x:c>
      <x:c r="Q408" s="2" t="str">
        <x:v>2 Semantic contextualization</x:v>
      </x:c>
      <x:c r="R408" s="6" t="str">
        <x:v>NR</x:v>
      </x:c>
      <x:c r="S408" s="2" t="str">
        <x:v>NR</x:v>
      </x:c>
      <x:c r="T408" s="2" t="str">
        <x:v>NR</x:v>
      </x:c>
      <x:c r="U408" s="2" t="str">
        <x:v>NR</x:v>
      </x:c>
      <x:c r="V408" s="6" t="str">
        <x:v>Task-specific coded evidence</x:v>
      </x:c>
      <x:c r="W408" s="6" t="str">
        <x:v>p. 8; section Evaluation, Figure 3 description</x:v>
      </x:c>
      <x:c r="X408" s="6" t="str">
        <x:v>diagram based on the domain model from P5 and the design sequence diagrams from P7, incorporating appli­</x:v>
      </x:c>
      <x:c r="Y408" s="6" t="str">
        <x:v>See task-step evidence references in the RQ2 supplement.</x:v>
      </x:c>
      <x:c r="Z408" s="2" t="str">
        <x:v>Accepted</x:v>
      </x:c>
      <x:c r="AA408" s="6" t="str">
        <x:v>NR</x:v>
      </x:c>
    </x:row>
    <x:row r="409" ht="76" customHeight="1">
      <x:c r="A409" s="2" t="str">
        <x:v>S46-T08-P3</x:v>
      </x:c>
      <x:c r="B409" s="2" t="str">
        <x:v>S46</x:v>
      </x:c>
      <x:c r="C409" s="2" t="str">
        <x:v>merged_1293</x:v>
      </x:c>
      <x:c r="D409" s="2" t="str">
        <x:v>Final coding</x:v>
      </x:c>
      <x:c r="E409" s="2" t="str">
        <x:v>R1/R2</x:v>
      </x:c>
      <x:c r="F409" s="2" t="str">
        <x:v>S46-T08-PROC</x:v>
      </x:c>
      <x:c r="G409" s="2" t="str">
        <x:v>S46-T08</x:v>
      </x:c>
      <x:c r="H409" s="2" t="str">
        <x:v>3 Traceability inference</x:v>
      </x:c>
      <x:c r="I409" s="2" t="n">
        <x:v>3</x:v>
      </x:c>
      <x:c r="J409" s="2" t="str">
        <x:v>Common core</x:v>
      </x:c>
      <x:c r="K409" s="2" t="str">
        <x:v>Completed</x:v>
      </x:c>
      <x:c r="L409" s="2" t="str">
        <x:v>Inferred from relation output</x:v>
      </x:c>
      <x:c r="M409" s="2" t="str">
        <x:v>NR</x:v>
      </x:c>
      <x:c r="N409" s="2" t="str">
        <x:v>NR</x:v>
      </x:c>
      <x:c r="O409" s="2" t="str">
        <x:v>NR</x:v>
      </x:c>
      <x:c r="P409" s="6" t="str">
        <x:v>NR</x:v>
      </x:c>
      <x:c r="Q409" s="2" t="str">
        <x:v>NR</x:v>
      </x:c>
      <x:c r="R409" s="6" t="str">
        <x:v>设计类图</x:v>
      </x:c>
      <x:c r="S409" s="2" t="str">
        <x:v>NR</x:v>
      </x:c>
      <x:c r="T409" s="2" t="str">
        <x:v>NR</x:v>
      </x:c>
      <x:c r="U409" s="2" t="str">
        <x:v>NR</x:v>
      </x:c>
      <x:c r="V409" s="6" t="str">
        <x:v>Task-specific coded evidence</x:v>
      </x:c>
      <x:c r="W409" s="6" t="str">
        <x:v>p. 8; section Evaluation, Figure 3 description</x:v>
      </x:c>
      <x:c r="X409" s="6" t="str">
        <x:v>diagram based on the domain model from P5 and the design sequence diagrams from P7, incorporating appli­</x:v>
      </x:c>
      <x:c r="Y409" s="6" t="str">
        <x:v>See task-step evidence references in the RQ2 supplement.</x:v>
      </x:c>
      <x:c r="Z409" s="2" t="str">
        <x:v>Accepted</x:v>
      </x:c>
      <x:c r="AA409" s="6" t="str">
        <x:v>NR</x:v>
      </x:c>
    </x:row>
    <x:row r="410" ht="76" customHeight="1">
      <x:c r="A410" s="2" t="str">
        <x:v>S46-T08-P4</x:v>
      </x:c>
      <x:c r="B410" s="2" t="str">
        <x:v>S46</x:v>
      </x:c>
      <x:c r="C410" s="2" t="str">
        <x:v>merged_1293</x:v>
      </x:c>
      <x:c r="D410" s="2" t="str">
        <x:v>Final coding</x:v>
      </x:c>
      <x:c r="E410" s="2" t="str">
        <x:v>R1/R2</x:v>
      </x:c>
      <x:c r="F410" s="2" t="str">
        <x:v>S46-T08-PROC</x:v>
      </x:c>
      <x:c r="G410" s="2" t="str">
        <x:v>S46-T08</x:v>
      </x:c>
      <x:c r="H410" s="2" t="str">
        <x:v>4 Validation and explanation</x:v>
      </x:c>
      <x:c r="I410" s="2" t="n">
        <x:v>4</x:v>
      </x:c>
      <x:c r="J410" s="2" t="str">
        <x:v>Common core</x:v>
      </x:c>
      <x:c r="K410" s="2" t="str">
        <x:v>Completed</x:v>
      </x:c>
      <x:c r="L410" s="2" t="str">
        <x:v>Not separately reported</x:v>
      </x:c>
      <x:c r="M410" s="2" t="str">
        <x:v>NR</x:v>
      </x:c>
      <x:c r="N410" s="2" t="str">
        <x:v>NR</x:v>
      </x:c>
      <x:c r="O410" s="2" t="str">
        <x:v>NR</x:v>
      </x:c>
      <x:c r="P410" s="6" t="str">
        <x:v>NR</x:v>
      </x:c>
      <x:c r="Q410" s="2" t="str">
        <x:v>NR</x:v>
      </x:c>
      <x:c r="R410" s="6" t="str">
        <x:v>NR</x:v>
      </x:c>
      <x:c r="S410" s="2" t="str">
        <x:v>NR</x:v>
      </x:c>
      <x:c r="T410" s="2" t="str">
        <x:v>NR</x:v>
      </x:c>
      <x:c r="U410" s="2" t="str">
        <x:v>NR</x:v>
      </x:c>
      <x:c r="V410" s="6" t="str">
        <x:v>Task-specific coded evidence</x:v>
      </x:c>
      <x:c r="W410" s="6" t="str">
        <x:v>p. 8; section Evaluation, Figure 3 description</x:v>
      </x:c>
      <x:c r="X410" s="6" t="str">
        <x:v>diagram based on the domain model from P5 and the design sequence diagrams from P7, incorporating appli­</x:v>
      </x:c>
      <x:c r="Y410" s="6" t="str">
        <x:v>See task-step evidence references in the RQ2 supplement.</x:v>
      </x:c>
      <x:c r="Z410" s="2" t="str">
        <x:v>Accepted</x:v>
      </x:c>
      <x:c r="AA410" s="6" t="str">
        <x:v>NR</x:v>
      </x:c>
    </x:row>
    <x:row r="411" ht="76" customHeight="1">
      <x:c r="A411" s="2" t="str">
        <x:v>S46-T08-P5</x:v>
      </x:c>
      <x:c r="B411" s="2" t="str">
        <x:v>S46</x:v>
      </x:c>
      <x:c r="C411" s="2" t="str">
        <x:v>merged_1293</x:v>
      </x:c>
      <x:c r="D411" s="2" t="str">
        <x:v>Final coding</x:v>
      </x:c>
      <x:c r="E411" s="2" t="str">
        <x:v>R1/R2</x:v>
      </x:c>
      <x:c r="F411" s="2" t="str">
        <x:v>S46-T08-PROC</x:v>
      </x:c>
      <x:c r="G411" s="2" t="str">
        <x:v>S46-T08</x:v>
      </x:c>
      <x:c r="H411" s="2" t="str">
        <x:v>5 Evolution and embedding</x:v>
      </x:c>
      <x:c r="I411" s="2" t="n">
        <x:v>5</x:v>
      </x:c>
      <x:c r="J411" s="2" t="str">
        <x:v>Common core</x:v>
      </x:c>
      <x:c r="K411" s="2" t="str">
        <x:v>Completed</x:v>
      </x:c>
      <x:c r="L411" s="2" t="str">
        <x:v>Not separately reported</x:v>
      </x:c>
      <x:c r="M411" s="2" t="str">
        <x:v>NR</x:v>
      </x:c>
      <x:c r="N411" s="2" t="str">
        <x:v>NR</x:v>
      </x:c>
      <x:c r="O411" s="2" t="str">
        <x:v>NR</x:v>
      </x:c>
      <x:c r="P411" s="6" t="str">
        <x:v>NR</x:v>
      </x:c>
      <x:c r="Q411" s="2" t="str">
        <x:v>NR</x:v>
      </x:c>
      <x:c r="R411" s="6" t="str">
        <x:v>NR</x:v>
      </x:c>
      <x:c r="S411" s="2" t="str">
        <x:v>NR</x:v>
      </x:c>
      <x:c r="T411" s="2" t="str">
        <x:v>NR</x:v>
      </x:c>
      <x:c r="U411" s="2" t="str">
        <x:v>NR</x:v>
      </x:c>
      <x:c r="V411" s="6" t="str">
        <x:v>Task-specific coded evidence</x:v>
      </x:c>
      <x:c r="W411" s="6" t="str">
        <x:v>p. 8; section Evaluation, Figure 3 description</x:v>
      </x:c>
      <x:c r="X411" s="6" t="str">
        <x:v>diagram based on the domain model from P5 and the design sequence diagrams from P7, incorporating appli­</x:v>
      </x:c>
      <x:c r="Y411" s="6" t="str">
        <x:v>See task-step evidence references in the RQ2 supplement.</x:v>
      </x:c>
      <x:c r="Z411" s="2" t="str">
        <x:v>Accepted</x:v>
      </x:c>
      <x:c r="AA411" s="6" t="str">
        <x:v>NR</x:v>
      </x:c>
    </x:row>
    <x:row r="412" ht="76" customHeight="1">
      <x:c r="A412" s="2" t="str">
        <x:v>S46-T09-P1</x:v>
      </x:c>
      <x:c r="B412" s="2" t="str">
        <x:v>S46</x:v>
      </x:c>
      <x:c r="C412" s="2" t="str">
        <x:v>merged_1293</x:v>
      </x:c>
      <x:c r="D412" s="2" t="str">
        <x:v>Final coding</x:v>
      </x:c>
      <x:c r="E412" s="2" t="str">
        <x:v>R1/R2</x:v>
      </x:c>
      <x:c r="F412" s="2" t="str">
        <x:v>S46-T09-PROC</x:v>
      </x:c>
      <x:c r="G412" s="2" t="str">
        <x:v>S46-T09</x:v>
      </x:c>
      <x:c r="H412" s="2" t="str">
        <x:v>1 Artifact acquisition and scoping</x:v>
      </x:c>
      <x:c r="I412" s="2" t="n">
        <x:v>1</x:v>
      </x:c>
      <x:c r="J412" s="2" t="str">
        <x:v>Common core</x:v>
      </x:c>
      <x:c r="K412" s="2" t="str">
        <x:v>Completed</x:v>
      </x:c>
      <x:c r="L412" s="2" t="str">
        <x:v>Not separately reported</x:v>
      </x:c>
      <x:c r="M412" s="2" t="str">
        <x:v>NR</x:v>
      </x:c>
      <x:c r="N412" s="2" t="str">
        <x:v>NR</x:v>
      </x:c>
      <x:c r="O412" s="2" t="str">
        <x:v>NR</x:v>
      </x:c>
      <x:c r="P412" s="6" t="str">
        <x:v>NR</x:v>
      </x:c>
      <x:c r="Q412" s="2" t="str">
        <x:v>NR</x:v>
      </x:c>
      <x:c r="R412" s="6" t="str">
        <x:v>NR</x:v>
      </x:c>
      <x:c r="S412" s="2" t="str">
        <x:v>NR</x:v>
      </x:c>
      <x:c r="T412" s="2" t="str">
        <x:v>NR</x:v>
      </x:c>
      <x:c r="U412" s="2" t="str">
        <x:v>NR</x:v>
      </x:c>
      <x:c r="V412" s="6" t="str">
        <x:v>Task-specific coded evidence</x:v>
      </x:c>
      <x:c r="W412" s="6" t="str">
        <x:v>p. 8; section Evaluation, Figure 3 description</x:v>
      </x:c>
      <x:c r="X412" s="6" t="str">
        <x:v>implements the design from P8 in Java, using in-mem­ ory data structures to simulate database functionalities.</x:v>
      </x:c>
      <x:c r="Y412" s="6" t="str">
        <x:v>See task-step evidence references in the RQ2 supplement.</x:v>
      </x:c>
      <x:c r="Z412" s="2" t="str">
        <x:v>Accepted</x:v>
      </x:c>
      <x:c r="AA412" s="6" t="str">
        <x:v>NR</x:v>
      </x:c>
    </x:row>
    <x:row r="413" ht="76" customHeight="1">
      <x:c r="A413" s="2" t="str">
        <x:v>S46-T09-P2</x:v>
      </x:c>
      <x:c r="B413" s="2" t="str">
        <x:v>S46</x:v>
      </x:c>
      <x:c r="C413" s="2" t="str">
        <x:v>merged_1293</x:v>
      </x:c>
      <x:c r="D413" s="2" t="str">
        <x:v>Final coding</x:v>
      </x:c>
      <x:c r="E413" s="2" t="str">
        <x:v>R1/R2</x:v>
      </x:c>
      <x:c r="F413" s="2" t="str">
        <x:v>S46-T09-PROC</x:v>
      </x:c>
      <x:c r="G413" s="2" t="str">
        <x:v>S46-T09</x:v>
      </x:c>
      <x:c r="H413" s="2" t="str">
        <x:v>2 Semantic contextualization</x:v>
      </x:c>
      <x:c r="I413" s="2" t="n">
        <x:v>2</x:v>
      </x:c>
      <x:c r="J413" s="2" t="str">
        <x:v>Common core</x:v>
      </x:c>
      <x:c r="K413" s="2" t="str">
        <x:v>Completed</x:v>
      </x:c>
      <x:c r="L413" s="2" t="str">
        <x:v>Explicitly evidenced</x:v>
      </x:c>
      <x:c r="M413" s="2" t="str">
        <x:v>NR</x:v>
      </x:c>
      <x:c r="N413" s="2" t="str">
        <x:v>NR</x:v>
      </x:c>
      <x:c r="O413" s="2" t="str">
        <x:v>NR</x:v>
      </x:c>
      <x:c r="P413" s="6" t="str">
        <x:v>NR</x:v>
      </x:c>
      <x:c r="Q413" s="2" t="str">
        <x:v>2 Semantic contextualization</x:v>
      </x:c>
      <x:c r="R413" s="6" t="str">
        <x:v>NR</x:v>
      </x:c>
      <x:c r="S413" s="2" t="str">
        <x:v>NR</x:v>
      </x:c>
      <x:c r="T413" s="2" t="str">
        <x:v>NR</x:v>
      </x:c>
      <x:c r="U413" s="2" t="str">
        <x:v>NR</x:v>
      </x:c>
      <x:c r="V413" s="6" t="str">
        <x:v>Task-specific coded evidence</x:v>
      </x:c>
      <x:c r="W413" s="6" t="str">
        <x:v>p. 8; section Evaluation, Figure 3 description</x:v>
      </x:c>
      <x:c r="X413" s="6" t="str">
        <x:v>implements the design from P8 in Java, using in-mem­ ory data structures to simulate database functionalities.</x:v>
      </x:c>
      <x:c r="Y413" s="6" t="str">
        <x:v>See task-step evidence references in the RQ2 supplement.</x:v>
      </x:c>
      <x:c r="Z413" s="2" t="str">
        <x:v>Accepted</x:v>
      </x:c>
      <x:c r="AA413" s="6" t="str">
        <x:v>NR</x:v>
      </x:c>
    </x:row>
    <x:row r="414" ht="76" customHeight="1">
      <x:c r="A414" s="2" t="str">
        <x:v>S46-T09-P3</x:v>
      </x:c>
      <x:c r="B414" s="2" t="str">
        <x:v>S46</x:v>
      </x:c>
      <x:c r="C414" s="2" t="str">
        <x:v>merged_1293</x:v>
      </x:c>
      <x:c r="D414" s="2" t="str">
        <x:v>Final coding</x:v>
      </x:c>
      <x:c r="E414" s="2" t="str">
        <x:v>R1/R2</x:v>
      </x:c>
      <x:c r="F414" s="2" t="str">
        <x:v>S46-T09-PROC</x:v>
      </x:c>
      <x:c r="G414" s="2" t="str">
        <x:v>S46-T09</x:v>
      </x:c>
      <x:c r="H414" s="2" t="str">
        <x:v>3 Traceability inference</x:v>
      </x:c>
      <x:c r="I414" s="2" t="n">
        <x:v>3</x:v>
      </x:c>
      <x:c r="J414" s="2" t="str">
        <x:v>Common core</x:v>
      </x:c>
      <x:c r="K414" s="2" t="str">
        <x:v>Completed</x:v>
      </x:c>
      <x:c r="L414" s="2" t="str">
        <x:v>Inferred from relation output</x:v>
      </x:c>
      <x:c r="M414" s="2" t="str">
        <x:v>NR</x:v>
      </x:c>
      <x:c r="N414" s="2" t="str">
        <x:v>NR</x:v>
      </x:c>
      <x:c r="O414" s="2" t="str">
        <x:v>NR</x:v>
      </x:c>
      <x:c r="P414" s="6" t="str">
        <x:v>NR</x:v>
      </x:c>
      <x:c r="Q414" s="2" t="str">
        <x:v>NR</x:v>
      </x:c>
      <x:c r="R414" s="6" t="str">
        <x:v>Java源代码</x:v>
      </x:c>
      <x:c r="S414" s="2" t="str">
        <x:v>NR</x:v>
      </x:c>
      <x:c r="T414" s="2" t="str">
        <x:v>NR</x:v>
      </x:c>
      <x:c r="U414" s="2" t="str">
        <x:v>NR</x:v>
      </x:c>
      <x:c r="V414" s="6" t="str">
        <x:v>Task-specific coded evidence</x:v>
      </x:c>
      <x:c r="W414" s="6" t="str">
        <x:v>p. 8; section Evaluation, Figure 3 description</x:v>
      </x:c>
      <x:c r="X414" s="6" t="str">
        <x:v>implements the design from P8 in Java, using in-mem­ ory data structures to simulate database functionalities.</x:v>
      </x:c>
      <x:c r="Y414" s="6" t="str">
        <x:v>See task-step evidence references in the RQ2 supplement.</x:v>
      </x:c>
      <x:c r="Z414" s="2" t="str">
        <x:v>Accepted</x:v>
      </x:c>
      <x:c r="AA414" s="6" t="str">
        <x:v>NR</x:v>
      </x:c>
    </x:row>
    <x:row r="415" ht="76" customHeight="1">
      <x:c r="A415" s="2" t="str">
        <x:v>S46-T09-P4</x:v>
      </x:c>
      <x:c r="B415" s="2" t="str">
        <x:v>S46</x:v>
      </x:c>
      <x:c r="C415" s="2" t="str">
        <x:v>merged_1293</x:v>
      </x:c>
      <x:c r="D415" s="2" t="str">
        <x:v>Final coding</x:v>
      </x:c>
      <x:c r="E415" s="2" t="str">
        <x:v>R1/R2</x:v>
      </x:c>
      <x:c r="F415" s="2" t="str">
        <x:v>S46-T09-PROC</x:v>
      </x:c>
      <x:c r="G415" s="2" t="str">
        <x:v>S46-T09</x:v>
      </x:c>
      <x:c r="H415" s="2" t="str">
        <x:v>4 Validation and explanation</x:v>
      </x:c>
      <x:c r="I415" s="2" t="n">
        <x:v>4</x:v>
      </x:c>
      <x:c r="J415" s="2" t="str">
        <x:v>Common core</x:v>
      </x:c>
      <x:c r="K415" s="2" t="str">
        <x:v>Completed</x:v>
      </x:c>
      <x:c r="L415" s="2" t="str">
        <x:v>Not separately reported</x:v>
      </x:c>
      <x:c r="M415" s="2" t="str">
        <x:v>NR</x:v>
      </x:c>
      <x:c r="N415" s="2" t="str">
        <x:v>NR</x:v>
      </x:c>
      <x:c r="O415" s="2" t="str">
        <x:v>NR</x:v>
      </x:c>
      <x:c r="P415" s="6" t="str">
        <x:v>NR</x:v>
      </x:c>
      <x:c r="Q415" s="2" t="str">
        <x:v>NR</x:v>
      </x:c>
      <x:c r="R415" s="6" t="str">
        <x:v>NR</x:v>
      </x:c>
      <x:c r="S415" s="2" t="str">
        <x:v>NR</x:v>
      </x:c>
      <x:c r="T415" s="2" t="str">
        <x:v>NR</x:v>
      </x:c>
      <x:c r="U415" s="2" t="str">
        <x:v>NR</x:v>
      </x:c>
      <x:c r="V415" s="6" t="str">
        <x:v>Task-specific coded evidence</x:v>
      </x:c>
      <x:c r="W415" s="6" t="str">
        <x:v>p. 8; section Evaluation, Figure 3 description</x:v>
      </x:c>
      <x:c r="X415" s="6" t="str">
        <x:v>implements the design from P8 in Java, using in-mem­ ory data structures to simulate database functionalities.</x:v>
      </x:c>
      <x:c r="Y415" s="6" t="str">
        <x:v>See task-step evidence references in the RQ2 supplement.</x:v>
      </x:c>
      <x:c r="Z415" s="2" t="str">
        <x:v>Accepted</x:v>
      </x:c>
      <x:c r="AA415" s="6" t="str">
        <x:v>NR</x:v>
      </x:c>
    </x:row>
    <x:row r="416" ht="76" customHeight="1">
      <x:c r="A416" s="2" t="str">
        <x:v>S46-T09-P5</x:v>
      </x:c>
      <x:c r="B416" s="2" t="str">
        <x:v>S46</x:v>
      </x:c>
      <x:c r="C416" s="2" t="str">
        <x:v>merged_1293</x:v>
      </x:c>
      <x:c r="D416" s="2" t="str">
        <x:v>Final coding</x:v>
      </x:c>
      <x:c r="E416" s="2" t="str">
        <x:v>R1/R2</x:v>
      </x:c>
      <x:c r="F416" s="2" t="str">
        <x:v>S46-T09-PROC</x:v>
      </x:c>
      <x:c r="G416" s="2" t="str">
        <x:v>S46-T09</x:v>
      </x:c>
      <x:c r="H416" s="2" t="str">
        <x:v>5 Evolution and embedding</x:v>
      </x:c>
      <x:c r="I416" s="2" t="n">
        <x:v>5</x:v>
      </x:c>
      <x:c r="J416" s="2" t="str">
        <x:v>Common core</x:v>
      </x:c>
      <x:c r="K416" s="2" t="str">
        <x:v>Completed</x:v>
      </x:c>
      <x:c r="L416" s="2" t="str">
        <x:v>Not separately reported</x:v>
      </x:c>
      <x:c r="M416" s="2" t="str">
        <x:v>NR</x:v>
      </x:c>
      <x:c r="N416" s="2" t="str">
        <x:v>NR</x:v>
      </x:c>
      <x:c r="O416" s="2" t="str">
        <x:v>NR</x:v>
      </x:c>
      <x:c r="P416" s="6" t="str">
        <x:v>NR</x:v>
      </x:c>
      <x:c r="Q416" s="2" t="str">
        <x:v>NR</x:v>
      </x:c>
      <x:c r="R416" s="6" t="str">
        <x:v>NR</x:v>
      </x:c>
      <x:c r="S416" s="2" t="str">
        <x:v>NR</x:v>
      </x:c>
      <x:c r="T416" s="2" t="str">
        <x:v>NR</x:v>
      </x:c>
      <x:c r="U416" s="2" t="str">
        <x:v>NR</x:v>
      </x:c>
      <x:c r="V416" s="6" t="str">
        <x:v>Task-specific coded evidence</x:v>
      </x:c>
      <x:c r="W416" s="6" t="str">
        <x:v>p. 8; section Evaluation, Figure 3 description</x:v>
      </x:c>
      <x:c r="X416" s="6" t="str">
        <x:v>implements the design from P8 in Java, using in-mem­ ory data structures to simulate database functionalities.</x:v>
      </x:c>
      <x:c r="Y416" s="6" t="str">
        <x:v>See task-step evidence references in the RQ2 supplement.</x:v>
      </x:c>
      <x:c r="Z416" s="2" t="str">
        <x:v>Accepted</x:v>
      </x:c>
      <x:c r="AA416" s="6" t="str">
        <x:v>NR</x:v>
      </x:c>
    </x:row>
    <x:row r="417" ht="76" customHeight="1">
      <x:c r="A417" s="2" t="str">
        <x:v>S46-T10-P1</x:v>
      </x:c>
      <x:c r="B417" s="2" t="str">
        <x:v>S46</x:v>
      </x:c>
      <x:c r="C417" s="2" t="str">
        <x:v>merged_1293</x:v>
      </x:c>
      <x:c r="D417" s="2" t="str">
        <x:v>Final coding</x:v>
      </x:c>
      <x:c r="E417" s="2" t="str">
        <x:v>R1/R2</x:v>
      </x:c>
      <x:c r="F417" s="2" t="str">
        <x:v>S46-T10-PROC</x:v>
      </x:c>
      <x:c r="G417" s="2" t="str">
        <x:v>S46-T10</x:v>
      </x:c>
      <x:c r="H417" s="2" t="str">
        <x:v>1 Artifact acquisition and scoping</x:v>
      </x:c>
      <x:c r="I417" s="2" t="n">
        <x:v>1</x:v>
      </x:c>
      <x:c r="J417" s="2" t="str">
        <x:v>Common core</x:v>
      </x:c>
      <x:c r="K417" s="2" t="str">
        <x:v>Completed</x:v>
      </x:c>
      <x:c r="L417" s="2" t="str">
        <x:v>Not separately reported</x:v>
      </x:c>
      <x:c r="M417" s="2" t="str">
        <x:v>NR</x:v>
      </x:c>
      <x:c r="N417" s="2" t="str">
        <x:v>NR</x:v>
      </x:c>
      <x:c r="O417" s="2" t="str">
        <x:v>NR</x:v>
      </x:c>
      <x:c r="P417" s="6" t="str">
        <x:v>NR</x:v>
      </x:c>
      <x:c r="Q417" s="2" t="str">
        <x:v>NR</x:v>
      </x:c>
      <x:c r="R417" s="6" t="str">
        <x:v>NR</x:v>
      </x:c>
      <x:c r="S417" s="2" t="str">
        <x:v>NR</x:v>
      </x:c>
      <x:c r="T417" s="2" t="str">
        <x:v>NR</x:v>
      </x:c>
      <x:c r="U417" s="2" t="str">
        <x:v>NR</x:v>
      </x:c>
      <x:c r="V417" s="6" t="str">
        <x:v>Task-specific coded evidence</x:v>
      </x:c>
      <x:c r="W417" s="6" t="str">
        <x:v>p. 8; section Evaluation, Figure 3 description</x:v>
      </x:c>
      <x:c r="X417" s="6" t="str">
        <x:v>P10 which develops tests to assess the implementation from P9, including unit tests, integration tests, and system tests</x:v>
      </x:c>
      <x:c r="Y417" s="6" t="str">
        <x:v>See task-step evidence references in the RQ2 supplement.</x:v>
      </x:c>
      <x:c r="Z417" s="2" t="str">
        <x:v>Accepted</x:v>
      </x:c>
      <x:c r="AA417" s="6" t="str">
        <x:v>NR</x:v>
      </x:c>
    </x:row>
    <x:row r="418" ht="76" customHeight="1">
      <x:c r="A418" s="2" t="str">
        <x:v>S46-T10-P2</x:v>
      </x:c>
      <x:c r="B418" s="2" t="str">
        <x:v>S46</x:v>
      </x:c>
      <x:c r="C418" s="2" t="str">
        <x:v>merged_1293</x:v>
      </x:c>
      <x:c r="D418" s="2" t="str">
        <x:v>Final coding</x:v>
      </x:c>
      <x:c r="E418" s="2" t="str">
        <x:v>R1/R2</x:v>
      </x:c>
      <x:c r="F418" s="2" t="str">
        <x:v>S46-T10-PROC</x:v>
      </x:c>
      <x:c r="G418" s="2" t="str">
        <x:v>S46-T10</x:v>
      </x:c>
      <x:c r="H418" s="2" t="str">
        <x:v>2 Semantic contextualization</x:v>
      </x:c>
      <x:c r="I418" s="2" t="n">
        <x:v>2</x:v>
      </x:c>
      <x:c r="J418" s="2" t="str">
        <x:v>Common core</x:v>
      </x:c>
      <x:c r="K418" s="2" t="str">
        <x:v>Completed</x:v>
      </x:c>
      <x:c r="L418" s="2" t="str">
        <x:v>Explicitly evidenced</x:v>
      </x:c>
      <x:c r="M418" s="2" t="str">
        <x:v>NR</x:v>
      </x:c>
      <x:c r="N418" s="2" t="str">
        <x:v>NR</x:v>
      </x:c>
      <x:c r="O418" s="2" t="str">
        <x:v>NR</x:v>
      </x:c>
      <x:c r="P418" s="6" t="str">
        <x:v>NR</x:v>
      </x:c>
      <x:c r="Q418" s="2" t="str">
        <x:v>2 Semantic contextualization</x:v>
      </x:c>
      <x:c r="R418" s="6" t="str">
        <x:v>NR</x:v>
      </x:c>
      <x:c r="S418" s="2" t="str">
        <x:v>NR</x:v>
      </x:c>
      <x:c r="T418" s="2" t="str">
        <x:v>NR</x:v>
      </x:c>
      <x:c r="U418" s="2" t="str">
        <x:v>NR</x:v>
      </x:c>
      <x:c r="V418" s="6" t="str">
        <x:v>Task-specific coded evidence</x:v>
      </x:c>
      <x:c r="W418" s="6" t="str">
        <x:v>p. 8; section Evaluation, Figure 3 description</x:v>
      </x:c>
      <x:c r="X418" s="6" t="str">
        <x:v>P10 which develops tests to assess the implementation from P9, including unit tests, integration tests, and system tests</x:v>
      </x:c>
      <x:c r="Y418" s="6" t="str">
        <x:v>See task-step evidence references in the RQ2 supplement.</x:v>
      </x:c>
      <x:c r="Z418" s="2" t="str">
        <x:v>Accepted</x:v>
      </x:c>
      <x:c r="AA418" s="6" t="str">
        <x:v>NR</x:v>
      </x:c>
    </x:row>
    <x:row r="419" ht="76" customHeight="1">
      <x:c r="A419" s="2" t="str">
        <x:v>S46-T10-P3</x:v>
      </x:c>
      <x:c r="B419" s="2" t="str">
        <x:v>S46</x:v>
      </x:c>
      <x:c r="C419" s="2" t="str">
        <x:v>merged_1293</x:v>
      </x:c>
      <x:c r="D419" s="2" t="str">
        <x:v>Final coding</x:v>
      </x:c>
      <x:c r="E419" s="2" t="str">
        <x:v>R1/R2</x:v>
      </x:c>
      <x:c r="F419" s="2" t="str">
        <x:v>S46-T10-PROC</x:v>
      </x:c>
      <x:c r="G419" s="2" t="str">
        <x:v>S46-T10</x:v>
      </x:c>
      <x:c r="H419" s="2" t="str">
        <x:v>3 Traceability inference</x:v>
      </x:c>
      <x:c r="I419" s="2" t="n">
        <x:v>3</x:v>
      </x:c>
      <x:c r="J419" s="2" t="str">
        <x:v>Common core</x:v>
      </x:c>
      <x:c r="K419" s="2" t="str">
        <x:v>Completed</x:v>
      </x:c>
      <x:c r="L419" s="2" t="str">
        <x:v>Inferred from relation output</x:v>
      </x:c>
      <x:c r="M419" s="2" t="str">
        <x:v>NR</x:v>
      </x:c>
      <x:c r="N419" s="2" t="str">
        <x:v>NR</x:v>
      </x:c>
      <x:c r="O419" s="2" t="str">
        <x:v>NR</x:v>
      </x:c>
      <x:c r="P419" s="6" t="str">
        <x:v>NR</x:v>
      </x:c>
      <x:c r="Q419" s="2" t="str">
        <x:v>NR</x:v>
      </x:c>
      <x:c r="R419" s="6" t="str">
        <x:v>测试代码</x:v>
      </x:c>
      <x:c r="S419" s="2" t="str">
        <x:v>NR</x:v>
      </x:c>
      <x:c r="T419" s="2" t="str">
        <x:v>NR</x:v>
      </x:c>
      <x:c r="U419" s="2" t="str">
        <x:v>NR</x:v>
      </x:c>
      <x:c r="V419" s="6" t="str">
        <x:v>Task-specific coded evidence</x:v>
      </x:c>
      <x:c r="W419" s="6" t="str">
        <x:v>p. 8; section Evaluation, Figure 3 description</x:v>
      </x:c>
      <x:c r="X419" s="6" t="str">
        <x:v>P10 which develops tests to assess the implementation from P9, including unit tests, integration tests, and system tests</x:v>
      </x:c>
      <x:c r="Y419" s="6" t="str">
        <x:v>See task-step evidence references in the RQ2 supplement.</x:v>
      </x:c>
      <x:c r="Z419" s="2" t="str">
        <x:v>Accepted</x:v>
      </x:c>
      <x:c r="AA419" s="6" t="str">
        <x:v>NR</x:v>
      </x:c>
    </x:row>
    <x:row r="420" ht="76" customHeight="1">
      <x:c r="A420" s="2" t="str">
        <x:v>S46-T10-P4</x:v>
      </x:c>
      <x:c r="B420" s="2" t="str">
        <x:v>S46</x:v>
      </x:c>
      <x:c r="C420" s="2" t="str">
        <x:v>merged_1293</x:v>
      </x:c>
      <x:c r="D420" s="2" t="str">
        <x:v>Final coding</x:v>
      </x:c>
      <x:c r="E420" s="2" t="str">
        <x:v>R1/R2</x:v>
      </x:c>
      <x:c r="F420" s="2" t="str">
        <x:v>S46-T10-PROC</x:v>
      </x:c>
      <x:c r="G420" s="2" t="str">
        <x:v>S46-T10</x:v>
      </x:c>
      <x:c r="H420" s="2" t="str">
        <x:v>4 Validation and explanation</x:v>
      </x:c>
      <x:c r="I420" s="2" t="n">
        <x:v>4</x:v>
      </x:c>
      <x:c r="J420" s="2" t="str">
        <x:v>Common core</x:v>
      </x:c>
      <x:c r="K420" s="2" t="str">
        <x:v>Completed</x:v>
      </x:c>
      <x:c r="L420" s="2" t="str">
        <x:v>Not separately reported</x:v>
      </x:c>
      <x:c r="M420" s="2" t="str">
        <x:v>NR</x:v>
      </x:c>
      <x:c r="N420" s="2" t="str">
        <x:v>NR</x:v>
      </x:c>
      <x:c r="O420" s="2" t="str">
        <x:v>NR</x:v>
      </x:c>
      <x:c r="P420" s="6" t="str">
        <x:v>NR</x:v>
      </x:c>
      <x:c r="Q420" s="2" t="str">
        <x:v>NR</x:v>
      </x:c>
      <x:c r="R420" s="6" t="str">
        <x:v>NR</x:v>
      </x:c>
      <x:c r="S420" s="2" t="str">
        <x:v>NR</x:v>
      </x:c>
      <x:c r="T420" s="2" t="str">
        <x:v>NR</x:v>
      </x:c>
      <x:c r="U420" s="2" t="str">
        <x:v>NR</x:v>
      </x:c>
      <x:c r="V420" s="6" t="str">
        <x:v>Task-specific coded evidence</x:v>
      </x:c>
      <x:c r="W420" s="6" t="str">
        <x:v>p. 8; section Evaluation, Figure 3 description</x:v>
      </x:c>
      <x:c r="X420" s="6" t="str">
        <x:v>P10 which develops tests to assess the implementation from P9, including unit tests, integration tests, and system tests</x:v>
      </x:c>
      <x:c r="Y420" s="6" t="str">
        <x:v>See task-step evidence references in the RQ2 supplement.</x:v>
      </x:c>
      <x:c r="Z420" s="2" t="str">
        <x:v>Accepted</x:v>
      </x:c>
      <x:c r="AA420" s="6" t="str">
        <x:v>NR</x:v>
      </x:c>
    </x:row>
    <x:row r="421" ht="76" customHeight="1">
      <x:c r="A421" s="2" t="str">
        <x:v>S46-T10-P5</x:v>
      </x:c>
      <x:c r="B421" s="2" t="str">
        <x:v>S46</x:v>
      </x:c>
      <x:c r="C421" s="2" t="str">
        <x:v>merged_1293</x:v>
      </x:c>
      <x:c r="D421" s="2" t="str">
        <x:v>Final coding</x:v>
      </x:c>
      <x:c r="E421" s="2" t="str">
        <x:v>R1/R2</x:v>
      </x:c>
      <x:c r="F421" s="2" t="str">
        <x:v>S46-T10-PROC</x:v>
      </x:c>
      <x:c r="G421" s="2" t="str">
        <x:v>S46-T10</x:v>
      </x:c>
      <x:c r="H421" s="2" t="str">
        <x:v>5 Evolution and embedding</x:v>
      </x:c>
      <x:c r="I421" s="2" t="n">
        <x:v>5</x:v>
      </x:c>
      <x:c r="J421" s="2" t="str">
        <x:v>Common core</x:v>
      </x:c>
      <x:c r="K421" s="2" t="str">
        <x:v>Completed</x:v>
      </x:c>
      <x:c r="L421" s="2" t="str">
        <x:v>Not separately reported</x:v>
      </x:c>
      <x:c r="M421" s="2" t="str">
        <x:v>NR</x:v>
      </x:c>
      <x:c r="N421" s="2" t="str">
        <x:v>NR</x:v>
      </x:c>
      <x:c r="O421" s="2" t="str">
        <x:v>NR</x:v>
      </x:c>
      <x:c r="P421" s="6" t="str">
        <x:v>NR</x:v>
      </x:c>
      <x:c r="Q421" s="2" t="str">
        <x:v>NR</x:v>
      </x:c>
      <x:c r="R421" s="6" t="str">
        <x:v>NR</x:v>
      </x:c>
      <x:c r="S421" s="2" t="str">
        <x:v>NR</x:v>
      </x:c>
      <x:c r="T421" s="2" t="str">
        <x:v>NR</x:v>
      </x:c>
      <x:c r="U421" s="2" t="str">
        <x:v>NR</x:v>
      </x:c>
      <x:c r="V421" s="6" t="str">
        <x:v>Task-specific coded evidence</x:v>
      </x:c>
      <x:c r="W421" s="6" t="str">
        <x:v>p. 8; section Evaluation, Figure 3 description</x:v>
      </x:c>
      <x:c r="X421" s="6" t="str">
        <x:v>P10 which develops tests to assess the implementation from P9, including unit tests, integration tests, and system tests</x:v>
      </x:c>
      <x:c r="Y421" s="6" t="str">
        <x:v>See task-step evidence references in the RQ2 supplement.</x:v>
      </x:c>
      <x:c r="Z421" s="2" t="str">
        <x:v>Accepted</x:v>
      </x:c>
      <x:c r="AA421" s="6" t="str">
        <x:v>NR</x:v>
      </x:c>
    </x:row>
    <x:row r="422" ht="76" customHeight="1">
      <x:c r="A422" s="2" t="str">
        <x:v>S47-T01-P1</x:v>
      </x:c>
      <x:c r="B422" s="2" t="str">
        <x:v>S47</x:v>
      </x:c>
      <x:c r="C422" s="2" t="str">
        <x:v>merged_1302-v1</x:v>
      </x:c>
      <x:c r="D422" s="2" t="str">
        <x:v>Final coding</x:v>
      </x:c>
      <x:c r="E422" s="2" t="str">
        <x:v>R1/R2</x:v>
      </x:c>
      <x:c r="F422" s="2" t="str">
        <x:v>S47-T01-PROC</x:v>
      </x:c>
      <x:c r="G422" s="2" t="str">
        <x:v>S47-T01</x:v>
      </x:c>
      <x:c r="H422" s="2" t="str">
        <x:v>1 Artifact acquisition and scoping</x:v>
      </x:c>
      <x:c r="I422" s="2" t="n">
        <x:v>1</x:v>
      </x:c>
      <x:c r="J422" s="2" t="str">
        <x:v>Common core</x:v>
      </x:c>
      <x:c r="K422" s="2" t="str">
        <x:v>Completed</x:v>
      </x:c>
      <x:c r="L422" s="2" t="str">
        <x:v>Explicitly evidenced</x:v>
      </x:c>
      <x:c r="M422" s="2" t="str">
        <x:v>NR</x:v>
      </x:c>
      <x:c r="N422" s="2" t="str">
        <x:v>NR</x:v>
      </x:c>
      <x:c r="O422" s="2" t="str">
        <x:v>NR</x:v>
      </x:c>
      <x:c r="P422" s="6" t="str">
        <x:v>NR</x:v>
      </x:c>
      <x:c r="Q422" s="2" t="str">
        <x:v>1 Artifact acquisition and scoping</x:v>
      </x:c>
      <x:c r="R422" s="6" t="str">
        <x:v>NR</x:v>
      </x:c>
      <x:c r="S422" s="2" t="str">
        <x:v>NR</x:v>
      </x:c>
      <x:c r="T422" s="2" t="str">
        <x:v>NR</x:v>
      </x:c>
      <x:c r="U422" s="2" t="str">
        <x:v>NR</x:v>
      </x:c>
      <x:c r="V422" s="6" t="str">
        <x:v>Task-specific coded evidence</x:v>
      </x:c>
      <x:c r="W422" s="6" t="str">
        <x:v>p. 1; Abstract</x:v>
      </x:c>
      <x:c r="X422" s="6" t="str">
        <x:v>Establishing precise traceability between embedded systems datasheets and their corresponding code implementations</x:v>
      </x:c>
      <x:c r="Y422" s="6" t="str">
        <x:v>See task-step evidence references in the RQ2 supplement.</x:v>
      </x:c>
      <x:c r="Z422" s="2" t="str">
        <x:v>Accepted</x:v>
      </x:c>
      <x:c r="AA422" s="6" t="str">
        <x:v>NR</x:v>
      </x:c>
    </x:row>
    <x:row r="423" ht="76" customHeight="1">
      <x:c r="A423" s="2" t="str">
        <x:v>S47-T01-P2</x:v>
      </x:c>
      <x:c r="B423" s="2" t="str">
        <x:v>S47</x:v>
      </x:c>
      <x:c r="C423" s="2" t="str">
        <x:v>merged_1302-v1</x:v>
      </x:c>
      <x:c r="D423" s="2" t="str">
        <x:v>Final coding</x:v>
      </x:c>
      <x:c r="E423" s="2" t="str">
        <x:v>R1/R2</x:v>
      </x:c>
      <x:c r="F423" s="2" t="str">
        <x:v>S47-T01-PROC</x:v>
      </x:c>
      <x:c r="G423" s="2" t="str">
        <x:v>S47-T01</x:v>
      </x:c>
      <x:c r="H423" s="2" t="str">
        <x:v>2 Semantic contextualization</x:v>
      </x:c>
      <x:c r="I423" s="2" t="n">
        <x:v>2</x:v>
      </x:c>
      <x:c r="J423" s="2" t="str">
        <x:v>Common core</x:v>
      </x:c>
      <x:c r="K423" s="2" t="str">
        <x:v>Completed</x:v>
      </x:c>
      <x:c r="L423" s="2" t="str">
        <x:v>Explicitly evidenced</x:v>
      </x:c>
      <x:c r="M423" s="2" t="str">
        <x:v>NR</x:v>
      </x:c>
      <x:c r="N423" s="2" t="str">
        <x:v>NR</x:v>
      </x:c>
      <x:c r="O423" s="2" t="str">
        <x:v>NR</x:v>
      </x:c>
      <x:c r="P423" s="6" t="str">
        <x:v>NR</x:v>
      </x:c>
      <x:c r="Q423" s="2" t="str">
        <x:v>2 Semantic contextualization</x:v>
      </x:c>
      <x:c r="R423" s="6" t="str">
        <x:v>NR</x:v>
      </x:c>
      <x:c r="S423" s="2" t="str">
        <x:v>NR</x:v>
      </x:c>
      <x:c r="T423" s="2" t="str">
        <x:v>NR</x:v>
      </x:c>
      <x:c r="U423" s="2" t="str">
        <x:v>NR</x:v>
      </x:c>
      <x:c r="V423" s="6" t="str">
        <x:v>Task-specific coded evidence</x:v>
      </x:c>
      <x:c r="W423" s="6" t="str">
        <x:v>p. 1; Abstract</x:v>
      </x:c>
      <x:c r="X423" s="6" t="str">
        <x:v>Establishing precise traceability between embedded systems datasheets and their corresponding code implementations</x:v>
      </x:c>
      <x:c r="Y423" s="6" t="str">
        <x:v>See task-step evidence references in the RQ2 supplement.</x:v>
      </x:c>
      <x:c r="Z423" s="2" t="str">
        <x:v>Accepted</x:v>
      </x:c>
      <x:c r="AA423" s="6" t="str">
        <x:v>NR</x:v>
      </x:c>
    </x:row>
    <x:row r="424" ht="76" customHeight="1">
      <x:c r="A424" s="2" t="str">
        <x:v>S47-T01-P3</x:v>
      </x:c>
      <x:c r="B424" s="2" t="str">
        <x:v>S47</x:v>
      </x:c>
      <x:c r="C424" s="2" t="str">
        <x:v>merged_1302-v1</x:v>
      </x:c>
      <x:c r="D424" s="2" t="str">
        <x:v>Final coding</x:v>
      </x:c>
      <x:c r="E424" s="2" t="str">
        <x:v>R1/R2</x:v>
      </x:c>
      <x:c r="F424" s="2" t="str">
        <x:v>S47-T01-PROC</x:v>
      </x:c>
      <x:c r="G424" s="2" t="str">
        <x:v>S47-T01</x:v>
      </x:c>
      <x:c r="H424" s="2" t="str">
        <x:v>3 Traceability inference</x:v>
      </x:c>
      <x:c r="I424" s="2" t="n">
        <x:v>3</x:v>
      </x:c>
      <x:c r="J424" s="2" t="str">
        <x:v>Common core</x:v>
      </x:c>
      <x:c r="K424" s="2" t="str">
        <x:v>Completed</x:v>
      </x:c>
      <x:c r="L424" s="2" t="str">
        <x:v>Explicitly evidenced</x:v>
      </x:c>
      <x:c r="M424" s="2" t="str">
        <x:v>NR</x:v>
      </x:c>
      <x:c r="N424" s="2" t="str">
        <x:v>NR</x:v>
      </x:c>
      <x:c r="O424" s="2" t="str">
        <x:v>NR</x:v>
      </x:c>
      <x:c r="P424" s="6" t="str">
        <x:v>NR</x:v>
      </x:c>
      <x:c r="Q424" s="2" t="str">
        <x:v>3 Traceability inference</x:v>
      </x:c>
      <x:c r="R424" s="6" t="str">
        <x:v>每个数据手册节得到一组与之相关的代码符号的映射。</x:v>
      </x:c>
      <x:c r="S424" s="2" t="str">
        <x:v>NR</x:v>
      </x:c>
      <x:c r="T424" s="2" t="str">
        <x:v>NR</x:v>
      </x:c>
      <x:c r="U424" s="2" t="str">
        <x:v>NR</x:v>
      </x:c>
      <x:c r="V424" s="6" t="str">
        <x:v>Task-specific coded evidence</x:v>
      </x:c>
      <x:c r="W424" s="6" t="str">
        <x:v>p. 1; Abstract</x:v>
      </x:c>
      <x:c r="X424" s="6" t="str">
        <x:v>Establishing precise traceability between embedded systems datasheets and their corresponding code implementations</x:v>
      </x:c>
      <x:c r="Y424" s="6" t="str">
        <x:v>See task-step evidence references in the RQ2 supplement.</x:v>
      </x:c>
      <x:c r="Z424" s="2" t="str">
        <x:v>Accepted</x:v>
      </x:c>
      <x:c r="AA424" s="6" t="str">
        <x:v>NR</x:v>
      </x:c>
    </x:row>
    <x:row r="425" ht="76" customHeight="1">
      <x:c r="A425" s="2" t="str">
        <x:v>S47-T01-P4</x:v>
      </x:c>
      <x:c r="B425" s="2" t="str">
        <x:v>S47</x:v>
      </x:c>
      <x:c r="C425" s="2" t="str">
        <x:v>merged_1302-v1</x:v>
      </x:c>
      <x:c r="D425" s="2" t="str">
        <x:v>Final coding</x:v>
      </x:c>
      <x:c r="E425" s="2" t="str">
        <x:v>R1/R2</x:v>
      </x:c>
      <x:c r="F425" s="2" t="str">
        <x:v>S47-T01-PROC</x:v>
      </x:c>
      <x:c r="G425" s="2" t="str">
        <x:v>S47-T01</x:v>
      </x:c>
      <x:c r="H425" s="2" t="str">
        <x:v>4 Validation and explanation</x:v>
      </x:c>
      <x:c r="I425" s="2" t="n">
        <x:v>4</x:v>
      </x:c>
      <x:c r="J425" s="2" t="str">
        <x:v>Common core</x:v>
      </x:c>
      <x:c r="K425" s="2" t="str">
        <x:v>Completed</x:v>
      </x:c>
      <x:c r="L425" s="2" t="str">
        <x:v>Explicitly evidenced</x:v>
      </x:c>
      <x:c r="M425" s="2" t="str">
        <x:v>NR</x:v>
      </x:c>
      <x:c r="N425" s="2" t="str">
        <x:v>NR</x:v>
      </x:c>
      <x:c r="O425" s="2" t="str">
        <x:v>NR</x:v>
      </x:c>
      <x:c r="P425" s="6" t="str">
        <x:v>NR</x:v>
      </x:c>
      <x:c r="Q425" s="2" t="str">
        <x:v>4 Validation and explanation</x:v>
      </x:c>
      <x:c r="R425" s="6" t="str">
        <x:v>NR</x:v>
      </x:c>
      <x:c r="S425" s="2" t="str">
        <x:v>NR</x:v>
      </x:c>
      <x:c r="T425" s="2" t="str">
        <x:v>NR</x:v>
      </x:c>
      <x:c r="U425" s="2" t="str">
        <x:v>NR</x:v>
      </x:c>
      <x:c r="V425" s="6" t="str">
        <x:v>Task-specific coded evidence</x:v>
      </x:c>
      <x:c r="W425" s="6" t="str">
        <x:v>p. 1; Abstract</x:v>
      </x:c>
      <x:c r="X425" s="6" t="str">
        <x:v>Establishing precise traceability between embedded systems datasheets and their corresponding code implementations</x:v>
      </x:c>
      <x:c r="Y425" s="6" t="str">
        <x:v>See task-step evidence references in the RQ2 supplement.</x:v>
      </x:c>
      <x:c r="Z425" s="2" t="str">
        <x:v>Accepted</x:v>
      </x:c>
      <x:c r="AA425" s="6" t="str">
        <x:v>NR</x:v>
      </x:c>
    </x:row>
    <x:row r="426" ht="76" customHeight="1">
      <x:c r="A426" s="2" t="str">
        <x:v>S47-T01-P5</x:v>
      </x:c>
      <x:c r="B426" s="2" t="str">
        <x:v>S47</x:v>
      </x:c>
      <x:c r="C426" s="2" t="str">
        <x:v>merged_1302-v1</x:v>
      </x:c>
      <x:c r="D426" s="2" t="str">
        <x:v>Final coding</x:v>
      </x:c>
      <x:c r="E426" s="2" t="str">
        <x:v>R1/R2</x:v>
      </x:c>
      <x:c r="F426" s="2" t="str">
        <x:v>S47-T01-PROC</x:v>
      </x:c>
      <x:c r="G426" s="2" t="str">
        <x:v>S47-T01</x:v>
      </x:c>
      <x:c r="H426" s="2" t="str">
        <x:v>5 Evolution and embedding</x:v>
      </x:c>
      <x:c r="I426" s="2" t="n">
        <x:v>5</x:v>
      </x:c>
      <x:c r="J426" s="2" t="str">
        <x:v>Common core</x:v>
      </x:c>
      <x:c r="K426" s="2" t="str">
        <x:v>Completed</x:v>
      </x:c>
      <x:c r="L426" s="2" t="str">
        <x:v>Not separately reported</x:v>
      </x:c>
      <x:c r="M426" s="2" t="str">
        <x:v>NR</x:v>
      </x:c>
      <x:c r="N426" s="2" t="str">
        <x:v>NR</x:v>
      </x:c>
      <x:c r="O426" s="2" t="str">
        <x:v>NR</x:v>
      </x:c>
      <x:c r="P426" s="6" t="str">
        <x:v>NR</x:v>
      </x:c>
      <x:c r="Q426" s="2" t="str">
        <x:v>NR</x:v>
      </x:c>
      <x:c r="R426" s="6" t="str">
        <x:v>NR</x:v>
      </x:c>
      <x:c r="S426" s="2" t="str">
        <x:v>NR</x:v>
      </x:c>
      <x:c r="T426" s="2" t="str">
        <x:v>NR</x:v>
      </x:c>
      <x:c r="U426" s="2" t="str">
        <x:v>NR</x:v>
      </x:c>
      <x:c r="V426" s="6" t="str">
        <x:v>Task-specific coded evidence</x:v>
      </x:c>
      <x:c r="W426" s="6" t="str">
        <x:v>p. 1; Abstract</x:v>
      </x:c>
      <x:c r="X426" s="6" t="str">
        <x:v>Establishing precise traceability between embedded systems datasheets and their corresponding code implementations</x:v>
      </x:c>
      <x:c r="Y426" s="6" t="str">
        <x:v>See task-step evidence references in the RQ2 supplement.</x:v>
      </x:c>
      <x:c r="Z426" s="2" t="str">
        <x:v>Accepted</x:v>
      </x:c>
      <x:c r="AA426" s="6" t="str">
        <x:v>NR</x:v>
      </x:c>
    </x:row>
    <x:row r="427" ht="76" customHeight="1">
      <x:c r="A427" s="2" t="str">
        <x:v>S48-T01-P1</x:v>
      </x:c>
      <x:c r="B427" s="2" t="str">
        <x:v>S48</x:v>
      </x:c>
      <x:c r="C427" s="2" t="str">
        <x:v>merged_1441</x:v>
      </x:c>
      <x:c r="D427" s="2" t="str">
        <x:v>Final coding</x:v>
      </x:c>
      <x:c r="E427" s="2" t="str">
        <x:v>R1/R2</x:v>
      </x:c>
      <x:c r="F427" s="2" t="str">
        <x:v>S48-T01-PROC</x:v>
      </x:c>
      <x:c r="G427" s="2" t="str">
        <x:v>S48-T01</x:v>
      </x:c>
      <x:c r="H427" s="2" t="str">
        <x:v>1 Artifact acquisition and scoping</x:v>
      </x:c>
      <x:c r="I427" s="2" t="n">
        <x:v>1</x:v>
      </x:c>
      <x:c r="J427" s="2" t="str">
        <x:v>Common core</x:v>
      </x:c>
      <x:c r="K427" s="2" t="str">
        <x:v>Completed</x:v>
      </x:c>
      <x:c r="L427" s="2" t="str">
        <x:v>Not separately reported</x:v>
      </x:c>
      <x:c r="M427" s="2" t="str">
        <x:v>NR</x:v>
      </x:c>
      <x:c r="N427" s="2" t="str">
        <x:v>NR</x:v>
      </x:c>
      <x:c r="O427" s="2" t="str">
        <x:v>NR</x:v>
      </x:c>
      <x:c r="P427" s="6" t="str">
        <x:v>NR</x:v>
      </x:c>
      <x:c r="Q427" s="2" t="str">
        <x:v>NR</x:v>
      </x:c>
      <x:c r="R427" s="6" t="str">
        <x:v>NR</x:v>
      </x:c>
      <x:c r="S427" s="2" t="str">
        <x:v>NR</x:v>
      </x:c>
      <x:c r="T427" s="2" t="str">
        <x:v>NR</x:v>
      </x:c>
      <x:c r="U427" s="2" t="str">
        <x:v>NR</x:v>
      </x:c>
      <x:c r="V427" s="6" t="str">
        <x:v>Task-specific coded evidence</x:v>
      </x:c>
      <x:c r="W427" s="6" t="str">
        <x:v>p. 2; Section II-A</x:v>
      </x:c>
      <x:c r="X427" s="6" t="str">
        <x:v>we focus on link existence prediction as a first-order objective</x:v>
      </x:c>
      <x:c r="Y427" s="6" t="str">
        <x:v>See task-step evidence references in the RQ2 supplement.</x:v>
      </x:c>
      <x:c r="Z427" s="2" t="str">
        <x:v>Accepted</x:v>
      </x:c>
      <x:c r="AA427" s="6" t="str">
        <x:v>NR</x:v>
      </x:c>
    </x:row>
    <x:row r="428" ht="76" customHeight="1">
      <x:c r="A428" s="2" t="str">
        <x:v>S48-T01-P2</x:v>
      </x:c>
      <x:c r="B428" s="2" t="str">
        <x:v>S48</x:v>
      </x:c>
      <x:c r="C428" s="2" t="str">
        <x:v>merged_1441</x:v>
      </x:c>
      <x:c r="D428" s="2" t="str">
        <x:v>Final coding</x:v>
      </x:c>
      <x:c r="E428" s="2" t="str">
        <x:v>R1/R2</x:v>
      </x:c>
      <x:c r="F428" s="2" t="str">
        <x:v>S48-T01-PROC</x:v>
      </x:c>
      <x:c r="G428" s="2" t="str">
        <x:v>S48-T01</x:v>
      </x:c>
      <x:c r="H428" s="2" t="str">
        <x:v>2 Semantic contextualization</x:v>
      </x:c>
      <x:c r="I428" s="2" t="n">
        <x:v>2</x:v>
      </x:c>
      <x:c r="J428" s="2" t="str">
        <x:v>Common core</x:v>
      </x:c>
      <x:c r="K428" s="2" t="str">
        <x:v>Completed</x:v>
      </x:c>
      <x:c r="L428" s="2" t="str">
        <x:v>Explicitly evidenced</x:v>
      </x:c>
      <x:c r="M428" s="2" t="str">
        <x:v>NR</x:v>
      </x:c>
      <x:c r="N428" s="2" t="str">
        <x:v>NR</x:v>
      </x:c>
      <x:c r="O428" s="2" t="str">
        <x:v>NR</x:v>
      </x:c>
      <x:c r="P428" s="6" t="str">
        <x:v>NR</x:v>
      </x:c>
      <x:c r="Q428" s="2" t="str">
        <x:v>2 Semantic contextualization</x:v>
      </x:c>
      <x:c r="R428" s="6" t="str">
        <x:v>NR</x:v>
      </x:c>
      <x:c r="S428" s="2" t="str">
        <x:v>NR</x:v>
      </x:c>
      <x:c r="T428" s="2" t="str">
        <x:v>NR</x:v>
      </x:c>
      <x:c r="U428" s="2" t="str">
        <x:v>NR</x:v>
      </x:c>
      <x:c r="V428" s="6" t="str">
        <x:v>Task-specific coded evidence</x:v>
      </x:c>
      <x:c r="W428" s="6" t="str">
        <x:v>p. 2; Section II-A</x:v>
      </x:c>
      <x:c r="X428" s="6" t="str">
        <x:v>we focus on link existence prediction as a first-order objective</x:v>
      </x:c>
      <x:c r="Y428" s="6" t="str">
        <x:v>See task-step evidence references in the RQ2 supplement.</x:v>
      </x:c>
      <x:c r="Z428" s="2" t="str">
        <x:v>Accepted</x:v>
      </x:c>
      <x:c r="AA428" s="6" t="str">
        <x:v>NR</x:v>
      </x:c>
    </x:row>
    <x:row r="429" ht="76" customHeight="1">
      <x:c r="A429" s="2" t="str">
        <x:v>S48-T01-P3</x:v>
      </x:c>
      <x:c r="B429" s="2" t="str">
        <x:v>S48</x:v>
      </x:c>
      <x:c r="C429" s="2" t="str">
        <x:v>merged_1441</x:v>
      </x:c>
      <x:c r="D429" s="2" t="str">
        <x:v>Final coding</x:v>
      </x:c>
      <x:c r="E429" s="2" t="str">
        <x:v>R1/R2</x:v>
      </x:c>
      <x:c r="F429" s="2" t="str">
        <x:v>S48-T01-PROC</x:v>
      </x:c>
      <x:c r="G429" s="2" t="str">
        <x:v>S48-T01</x:v>
      </x:c>
      <x:c r="H429" s="2" t="str">
        <x:v>3 Traceability inference</x:v>
      </x:c>
      <x:c r="I429" s="2" t="n">
        <x:v>3</x:v>
      </x:c>
      <x:c r="J429" s="2" t="str">
        <x:v>Common core</x:v>
      </x:c>
      <x:c r="K429" s="2" t="str">
        <x:v>Completed</x:v>
      </x:c>
      <x:c r="L429" s="2" t="str">
        <x:v>Inferred from relation output</x:v>
      </x:c>
      <x:c r="M429" s="2" t="str">
        <x:v>NR</x:v>
      </x:c>
      <x:c r="N429" s="2" t="str">
        <x:v>NR</x:v>
      </x:c>
      <x:c r="O429" s="2" t="str">
        <x:v>NR</x:v>
      </x:c>
      <x:c r="P429" s="6" t="str">
        <x:v>NR</x:v>
      </x:c>
      <x:c r="Q429" s="2" t="str">
        <x:v>NR</x:v>
      </x:c>
      <x:c r="R429" s="6" t="str">
        <x:v>每一对问题输出一个链接存在概率，通过阈值判定是否存在链接。</x:v>
      </x:c>
      <x:c r="S429" s="2" t="str">
        <x:v>NR</x:v>
      </x:c>
      <x:c r="T429" s="2" t="str">
        <x:v>NR</x:v>
      </x:c>
      <x:c r="U429" s="2" t="str">
        <x:v>NR</x:v>
      </x:c>
      <x:c r="V429" s="6" t="str">
        <x:v>Task-specific coded evidence</x:v>
      </x:c>
      <x:c r="W429" s="6" t="str">
        <x:v>p. 2; Section II-A</x:v>
      </x:c>
      <x:c r="X429" s="6" t="str">
        <x:v>we focus on link existence prediction as a first-order objective</x:v>
      </x:c>
      <x:c r="Y429" s="6" t="str">
        <x:v>See task-step evidence references in the RQ2 supplement.</x:v>
      </x:c>
      <x:c r="Z429" s="2" t="str">
        <x:v>Accepted</x:v>
      </x:c>
      <x:c r="AA429" s="6" t="str">
        <x:v>NR</x:v>
      </x:c>
    </x:row>
    <x:row r="430" ht="76" customHeight="1">
      <x:c r="A430" s="2" t="str">
        <x:v>S48-T01-P4</x:v>
      </x:c>
      <x:c r="B430" s="2" t="str">
        <x:v>S48</x:v>
      </x:c>
      <x:c r="C430" s="2" t="str">
        <x:v>merged_1441</x:v>
      </x:c>
      <x:c r="D430" s="2" t="str">
        <x:v>Final coding</x:v>
      </x:c>
      <x:c r="E430" s="2" t="str">
        <x:v>R1/R2</x:v>
      </x:c>
      <x:c r="F430" s="2" t="str">
        <x:v>S48-T01-PROC</x:v>
      </x:c>
      <x:c r="G430" s="2" t="str">
        <x:v>S48-T01</x:v>
      </x:c>
      <x:c r="H430" s="2" t="str">
        <x:v>4 Validation and explanation</x:v>
      </x:c>
      <x:c r="I430" s="2" t="n">
        <x:v>4</x:v>
      </x:c>
      <x:c r="J430" s="2" t="str">
        <x:v>Common core</x:v>
      </x:c>
      <x:c r="K430" s="2" t="str">
        <x:v>Completed</x:v>
      </x:c>
      <x:c r="L430" s="2" t="str">
        <x:v>Not separately reported</x:v>
      </x:c>
      <x:c r="M430" s="2" t="str">
        <x:v>NR</x:v>
      </x:c>
      <x:c r="N430" s="2" t="str">
        <x:v>NR</x:v>
      </x:c>
      <x:c r="O430" s="2" t="str">
        <x:v>NR</x:v>
      </x:c>
      <x:c r="P430" s="6" t="str">
        <x:v>NR</x:v>
      </x:c>
      <x:c r="Q430" s="2" t="str">
        <x:v>NR</x:v>
      </x:c>
      <x:c r="R430" s="6" t="str">
        <x:v>NR</x:v>
      </x:c>
      <x:c r="S430" s="2" t="str">
        <x:v>NR</x:v>
      </x:c>
      <x:c r="T430" s="2" t="str">
        <x:v>NR</x:v>
      </x:c>
      <x:c r="U430" s="2" t="str">
        <x:v>NR</x:v>
      </x:c>
      <x:c r="V430" s="6" t="str">
        <x:v>Task-specific coded evidence</x:v>
      </x:c>
      <x:c r="W430" s="6" t="str">
        <x:v>p. 2; Section II-A</x:v>
      </x:c>
      <x:c r="X430" s="6" t="str">
        <x:v>we focus on link existence prediction as a first-order objective</x:v>
      </x:c>
      <x:c r="Y430" s="6" t="str">
        <x:v>See task-step evidence references in the RQ2 supplement.</x:v>
      </x:c>
      <x:c r="Z430" s="2" t="str">
        <x:v>Accepted</x:v>
      </x:c>
      <x:c r="AA430" s="6" t="str">
        <x:v>NR</x:v>
      </x:c>
    </x:row>
    <x:row r="431" ht="76" customHeight="1">
      <x:c r="A431" s="2" t="str">
        <x:v>S48-T01-P5</x:v>
      </x:c>
      <x:c r="B431" s="2" t="str">
        <x:v>S48</x:v>
      </x:c>
      <x:c r="C431" s="2" t="str">
        <x:v>merged_1441</x:v>
      </x:c>
      <x:c r="D431" s="2" t="str">
        <x:v>Final coding</x:v>
      </x:c>
      <x:c r="E431" s="2" t="str">
        <x:v>R1/R2</x:v>
      </x:c>
      <x:c r="F431" s="2" t="str">
        <x:v>S48-T01-PROC</x:v>
      </x:c>
      <x:c r="G431" s="2" t="str">
        <x:v>S48-T01</x:v>
      </x:c>
      <x:c r="H431" s="2" t="str">
        <x:v>5 Evolution and embedding</x:v>
      </x:c>
      <x:c r="I431" s="2" t="n">
        <x:v>5</x:v>
      </x:c>
      <x:c r="J431" s="2" t="str">
        <x:v>Common core</x:v>
      </x:c>
      <x:c r="K431" s="2" t="str">
        <x:v>Completed</x:v>
      </x:c>
      <x:c r="L431" s="2" t="str">
        <x:v>Not separately reported</x:v>
      </x:c>
      <x:c r="M431" s="2" t="str">
        <x:v>NR</x:v>
      </x:c>
      <x:c r="N431" s="2" t="str">
        <x:v>NR</x:v>
      </x:c>
      <x:c r="O431" s="2" t="str">
        <x:v>NR</x:v>
      </x:c>
      <x:c r="P431" s="6" t="str">
        <x:v>NR</x:v>
      </x:c>
      <x:c r="Q431" s="2" t="str">
        <x:v>NR</x:v>
      </x:c>
      <x:c r="R431" s="6" t="str">
        <x:v>NR</x:v>
      </x:c>
      <x:c r="S431" s="2" t="str">
        <x:v>NR</x:v>
      </x:c>
      <x:c r="T431" s="2" t="str">
        <x:v>NR</x:v>
      </x:c>
      <x:c r="U431" s="2" t="str">
        <x:v>NR</x:v>
      </x:c>
      <x:c r="V431" s="6" t="str">
        <x:v>Task-specific coded evidence</x:v>
      </x:c>
      <x:c r="W431" s="6" t="str">
        <x:v>p. 2; Section II-A</x:v>
      </x:c>
      <x:c r="X431" s="6" t="str">
        <x:v>we focus on link existence prediction as a first-order objective</x:v>
      </x:c>
      <x:c r="Y431" s="6" t="str">
        <x:v>See task-step evidence references in the RQ2 supplement.</x:v>
      </x:c>
      <x:c r="Z431" s="2" t="str">
        <x:v>Accepted</x:v>
      </x:c>
      <x:c r="AA431" s="6" t="str">
        <x:v>NR</x:v>
      </x:c>
    </x:row>
    <x:row r="432" ht="76" customHeight="1">
      <x:c r="A432" s="2" t="str">
        <x:v>S49-T01-P1</x:v>
      </x:c>
      <x:c r="B432" s="2" t="str">
        <x:v>S49</x:v>
      </x:c>
      <x:c r="C432" s="2" t="str">
        <x:v>merged_1486</x:v>
      </x:c>
      <x:c r="D432" s="2" t="str">
        <x:v>Final coding</x:v>
      </x:c>
      <x:c r="E432" s="2" t="str">
        <x:v>R1/R2</x:v>
      </x:c>
      <x:c r="F432" s="2" t="str">
        <x:v>S49-T01-PROC</x:v>
      </x:c>
      <x:c r="G432" s="2" t="str">
        <x:v>S49-T01</x:v>
      </x:c>
      <x:c r="H432" s="2" t="str">
        <x:v>1 Artifact acquisition and scoping</x:v>
      </x:c>
      <x:c r="I432" s="2" t="n">
        <x:v>1</x:v>
      </x:c>
      <x:c r="J432" s="2" t="str">
        <x:v>Common core</x:v>
      </x:c>
      <x:c r="K432" s="2" t="str">
        <x:v>Completed</x:v>
      </x:c>
      <x:c r="L432" s="2" t="str">
        <x:v>Not separately reported</x:v>
      </x:c>
      <x:c r="M432" s="2" t="str">
        <x:v>NR</x:v>
      </x:c>
      <x:c r="N432" s="2" t="str">
        <x:v>NR</x:v>
      </x:c>
      <x:c r="O432" s="2" t="str">
        <x:v>NR</x:v>
      </x:c>
      <x:c r="P432" s="6" t="str">
        <x:v>NR</x:v>
      </x:c>
      <x:c r="Q432" s="2" t="str">
        <x:v>NR</x:v>
      </x:c>
      <x:c r="R432" s="6" t="str">
        <x:v>NR</x:v>
      </x:c>
      <x:c r="S432" s="2" t="str">
        <x:v>NR</x:v>
      </x:c>
      <x:c r="T432" s="2" t="str">
        <x:v>NR</x:v>
      </x:c>
      <x:c r="U432" s="2" t="str">
        <x:v>NR</x:v>
      </x:c>
      <x:c r="V432" s="6" t="str">
        <x:v>Task-specific coded evidence</x:v>
      </x:c>
      <x:c r="W432" s="6" t="str">
        <x:v>p. 8; Section 3.3</x:v>
      </x:c>
      <x:c r="X432" s="6" t="str">
        <x:v>The model was given a requirement (randomly selected from the input documents) and asked to identify all related or dependent requirements.</x:v>
      </x:c>
      <x:c r="Y432" s="6" t="str">
        <x:v>See task-step evidence references in the RQ2 supplement.</x:v>
      </x:c>
      <x:c r="Z432" s="2" t="str">
        <x:v>Accepted</x:v>
      </x:c>
      <x:c r="AA432" s="6" t="str">
        <x:v>NR</x:v>
      </x:c>
    </x:row>
    <x:row r="433" ht="76" customHeight="1">
      <x:c r="A433" s="2" t="str">
        <x:v>S49-T01-P2</x:v>
      </x:c>
      <x:c r="B433" s="2" t="str">
        <x:v>S49</x:v>
      </x:c>
      <x:c r="C433" s="2" t="str">
        <x:v>merged_1486</x:v>
      </x:c>
      <x:c r="D433" s="2" t="str">
        <x:v>Final coding</x:v>
      </x:c>
      <x:c r="E433" s="2" t="str">
        <x:v>R1/R2</x:v>
      </x:c>
      <x:c r="F433" s="2" t="str">
        <x:v>S49-T01-PROC</x:v>
      </x:c>
      <x:c r="G433" s="2" t="str">
        <x:v>S49-T01</x:v>
      </x:c>
      <x:c r="H433" s="2" t="str">
        <x:v>2 Semantic contextualization</x:v>
      </x:c>
      <x:c r="I433" s="2" t="n">
        <x:v>2</x:v>
      </x:c>
      <x:c r="J433" s="2" t="str">
        <x:v>Common core</x:v>
      </x:c>
      <x:c r="K433" s="2" t="str">
        <x:v>Completed</x:v>
      </x:c>
      <x:c r="L433" s="2" t="str">
        <x:v>Not separately reported</x:v>
      </x:c>
      <x:c r="M433" s="2" t="str">
        <x:v>NR</x:v>
      </x:c>
      <x:c r="N433" s="2" t="str">
        <x:v>NR</x:v>
      </x:c>
      <x:c r="O433" s="2" t="str">
        <x:v>NR</x:v>
      </x:c>
      <x:c r="P433" s="6" t="str">
        <x:v>NR</x:v>
      </x:c>
      <x:c r="Q433" s="2" t="str">
        <x:v>NR</x:v>
      </x:c>
      <x:c r="R433" s="6" t="str">
        <x:v>NR</x:v>
      </x:c>
      <x:c r="S433" s="2" t="str">
        <x:v>NR</x:v>
      </x:c>
      <x:c r="T433" s="2" t="str">
        <x:v>NR</x:v>
      </x:c>
      <x:c r="U433" s="2" t="str">
        <x:v>NR</x:v>
      </x:c>
      <x:c r="V433" s="6" t="str">
        <x:v>Task-specific coded evidence</x:v>
      </x:c>
      <x:c r="W433" s="6" t="str">
        <x:v>p. 8; Section 3.3</x:v>
      </x:c>
      <x:c r="X433" s="6" t="str">
        <x:v>The model was given a requirement (randomly selected from the input documents) and asked to identify all related or dependent requirements.</x:v>
      </x:c>
      <x:c r="Y433" s="6" t="str">
        <x:v>See task-step evidence references in the RQ2 supplement.</x:v>
      </x:c>
      <x:c r="Z433" s="2" t="str">
        <x:v>Accepted</x:v>
      </x:c>
      <x:c r="AA433" s="6" t="str">
        <x:v>NR</x:v>
      </x:c>
    </x:row>
    <x:row r="434" ht="76" customHeight="1">
      <x:c r="A434" s="2" t="str">
        <x:v>S49-T01-P3</x:v>
      </x:c>
      <x:c r="B434" s="2" t="str">
        <x:v>S49</x:v>
      </x:c>
      <x:c r="C434" s="2" t="str">
        <x:v>merged_1486</x:v>
      </x:c>
      <x:c r="D434" s="2" t="str">
        <x:v>Final coding</x:v>
      </x:c>
      <x:c r="E434" s="2" t="str">
        <x:v>R1/R2</x:v>
      </x:c>
      <x:c r="F434" s="2" t="str">
        <x:v>S49-T01-PROC</x:v>
      </x:c>
      <x:c r="G434" s="2" t="str">
        <x:v>S49-T01</x:v>
      </x:c>
      <x:c r="H434" s="2" t="str">
        <x:v>3 Traceability inference</x:v>
      </x:c>
      <x:c r="I434" s="2" t="n">
        <x:v>3</x:v>
      </x:c>
      <x:c r="J434" s="2" t="str">
        <x:v>Common core</x:v>
      </x:c>
      <x:c r="K434" s="2" t="str">
        <x:v>Completed</x:v>
      </x:c>
      <x:c r="L434" s="2" t="str">
        <x:v>Explicitly evidenced</x:v>
      </x:c>
      <x:c r="M434" s="2" t="str">
        <x:v>NR</x:v>
      </x:c>
      <x:c r="N434" s="2" t="str">
        <x:v>NR</x:v>
      </x:c>
      <x:c r="O434" s="2" t="str">
        <x:v>NR</x:v>
      </x:c>
      <x:c r="P434" s="6" t="str">
        <x:v>NR</x:v>
      </x:c>
      <x:c r="Q434" s="2" t="str">
        <x:v>3 Traceability inference</x:v>
      </x:c>
      <x:c r="R434" s="6" t="str">
        <x:v>输出为需求ID列表，可通过与数据集中原始追踪链接对比计算精确度、召回率等指标。</x:v>
      </x:c>
      <x:c r="S434" s="2" t="str">
        <x:v>NR</x:v>
      </x:c>
      <x:c r="T434" s="2" t="str">
        <x:v>NR</x:v>
      </x:c>
      <x:c r="U434" s="2" t="str">
        <x:v>NR</x:v>
      </x:c>
      <x:c r="V434" s="6" t="str">
        <x:v>Task-specific coded evidence</x:v>
      </x:c>
      <x:c r="W434" s="6" t="str">
        <x:v>p. 8; Section 3.3</x:v>
      </x:c>
      <x:c r="X434" s="6" t="str">
        <x:v>The model was given a requirement (randomly selected from the input documents) and asked to identify all related or dependent requirements.</x:v>
      </x:c>
      <x:c r="Y434" s="6" t="str">
        <x:v>See task-step evidence references in the RQ2 supplement.</x:v>
      </x:c>
      <x:c r="Z434" s="2" t="str">
        <x:v>Accepted</x:v>
      </x:c>
      <x:c r="AA434" s="6" t="str">
        <x:v>NR</x:v>
      </x:c>
    </x:row>
    <x:row r="435" ht="76" customHeight="1">
      <x:c r="A435" s="2" t="str">
        <x:v>S49-T01-P4</x:v>
      </x:c>
      <x:c r="B435" s="2" t="str">
        <x:v>S49</x:v>
      </x:c>
      <x:c r="C435" s="2" t="str">
        <x:v>merged_1486</x:v>
      </x:c>
      <x:c r="D435" s="2" t="str">
        <x:v>Final coding</x:v>
      </x:c>
      <x:c r="E435" s="2" t="str">
        <x:v>R1/R2</x:v>
      </x:c>
      <x:c r="F435" s="2" t="str">
        <x:v>S49-T01-PROC</x:v>
      </x:c>
      <x:c r="G435" s="2" t="str">
        <x:v>S49-T01</x:v>
      </x:c>
      <x:c r="H435" s="2" t="str">
        <x:v>4 Validation and explanation</x:v>
      </x:c>
      <x:c r="I435" s="2" t="n">
        <x:v>4</x:v>
      </x:c>
      <x:c r="J435" s="2" t="str">
        <x:v>Common core</x:v>
      </x:c>
      <x:c r="K435" s="2" t="str">
        <x:v>Completed</x:v>
      </x:c>
      <x:c r="L435" s="2" t="str">
        <x:v>Not separately reported</x:v>
      </x:c>
      <x:c r="M435" s="2" t="str">
        <x:v>NR</x:v>
      </x:c>
      <x:c r="N435" s="2" t="str">
        <x:v>NR</x:v>
      </x:c>
      <x:c r="O435" s="2" t="str">
        <x:v>NR</x:v>
      </x:c>
      <x:c r="P435" s="6" t="str">
        <x:v>NR</x:v>
      </x:c>
      <x:c r="Q435" s="2" t="str">
        <x:v>NR</x:v>
      </x:c>
      <x:c r="R435" s="6" t="str">
        <x:v>NR</x:v>
      </x:c>
      <x:c r="S435" s="2" t="str">
        <x:v>NR</x:v>
      </x:c>
      <x:c r="T435" s="2" t="str">
        <x:v>NR</x:v>
      </x:c>
      <x:c r="U435" s="2" t="str">
        <x:v>NR</x:v>
      </x:c>
      <x:c r="V435" s="6" t="str">
        <x:v>Task-specific coded evidence</x:v>
      </x:c>
      <x:c r="W435" s="6" t="str">
        <x:v>p. 8; Section 3.3</x:v>
      </x:c>
      <x:c r="X435" s="6" t="str">
        <x:v>The model was given a requirement (randomly selected from the input documents) and asked to identify all related or dependent requirements.</x:v>
      </x:c>
      <x:c r="Y435" s="6" t="str">
        <x:v>See task-step evidence references in the RQ2 supplement.</x:v>
      </x:c>
      <x:c r="Z435" s="2" t="str">
        <x:v>Accepted</x:v>
      </x:c>
      <x:c r="AA435" s="6" t="str">
        <x:v>NR</x:v>
      </x:c>
    </x:row>
    <x:row r="436" ht="76" customHeight="1">
      <x:c r="A436" s="2" t="str">
        <x:v>S49-T01-P5</x:v>
      </x:c>
      <x:c r="B436" s="2" t="str">
        <x:v>S49</x:v>
      </x:c>
      <x:c r="C436" s="2" t="str">
        <x:v>merged_1486</x:v>
      </x:c>
      <x:c r="D436" s="2" t="str">
        <x:v>Final coding</x:v>
      </x:c>
      <x:c r="E436" s="2" t="str">
        <x:v>R1/R2</x:v>
      </x:c>
      <x:c r="F436" s="2" t="str">
        <x:v>S49-T01-PROC</x:v>
      </x:c>
      <x:c r="G436" s="2" t="str">
        <x:v>S49-T01</x:v>
      </x:c>
      <x:c r="H436" s="2" t="str">
        <x:v>5 Evolution and embedding</x:v>
      </x:c>
      <x:c r="I436" s="2" t="n">
        <x:v>5</x:v>
      </x:c>
      <x:c r="J436" s="2" t="str">
        <x:v>Common core</x:v>
      </x:c>
      <x:c r="K436" s="2" t="str">
        <x:v>Completed</x:v>
      </x:c>
      <x:c r="L436" s="2" t="str">
        <x:v>Not separately reported</x:v>
      </x:c>
      <x:c r="M436" s="2" t="str">
        <x:v>NR</x:v>
      </x:c>
      <x:c r="N436" s="2" t="str">
        <x:v>NR</x:v>
      </x:c>
      <x:c r="O436" s="2" t="str">
        <x:v>NR</x:v>
      </x:c>
      <x:c r="P436" s="6" t="str">
        <x:v>NR</x:v>
      </x:c>
      <x:c r="Q436" s="2" t="str">
        <x:v>NR</x:v>
      </x:c>
      <x:c r="R436" s="6" t="str">
        <x:v>NR</x:v>
      </x:c>
      <x:c r="S436" s="2" t="str">
        <x:v>NR</x:v>
      </x:c>
      <x:c r="T436" s="2" t="str">
        <x:v>NR</x:v>
      </x:c>
      <x:c r="U436" s="2" t="str">
        <x:v>NR</x:v>
      </x:c>
      <x:c r="V436" s="6" t="str">
        <x:v>Task-specific coded evidence</x:v>
      </x:c>
      <x:c r="W436" s="6" t="str">
        <x:v>p. 8; Section 3.3</x:v>
      </x:c>
      <x:c r="X436" s="6" t="str">
        <x:v>The model was given a requirement (randomly selected from the input documents) and asked to identify all related or dependent requirements.</x:v>
      </x:c>
      <x:c r="Y436" s="6" t="str">
        <x:v>See task-step evidence references in the RQ2 supplement.</x:v>
      </x:c>
      <x:c r="Z436" s="2" t="str">
        <x:v>Accepted</x:v>
      </x:c>
      <x:c r="AA436" s="6" t="str">
        <x:v>NR</x:v>
      </x:c>
    </x:row>
    <x:row r="437" ht="76" customHeight="1">
      <x:c r="A437" s="2" t="str">
        <x:v>S50-T01-P1</x:v>
      </x:c>
      <x:c r="B437" s="2" t="str">
        <x:v>S50</x:v>
      </x:c>
      <x:c r="C437" s="2" t="str">
        <x:v>snowball_00068</x:v>
      </x:c>
      <x:c r="D437" s="2" t="str">
        <x:v>Final coding</x:v>
      </x:c>
      <x:c r="E437" s="2" t="str">
        <x:v>R1/R2</x:v>
      </x:c>
      <x:c r="F437" s="2" t="str">
        <x:v>S50-T01-PROC</x:v>
      </x:c>
      <x:c r="G437" s="2" t="str">
        <x:v>S50-T01</x:v>
      </x:c>
      <x:c r="H437" s="2" t="str">
        <x:v>1 Artifact acquisition and scoping</x:v>
      </x:c>
      <x:c r="I437" s="2" t="n">
        <x:v>1</x:v>
      </x:c>
      <x:c r="J437" s="2" t="str">
        <x:v>Common core</x:v>
      </x:c>
      <x:c r="K437" s="2" t="str">
        <x:v>Completed</x:v>
      </x:c>
      <x:c r="L437" s="2" t="str">
        <x:v>Not separately reported</x:v>
      </x:c>
      <x:c r="M437" s="2" t="str">
        <x:v>NR</x:v>
      </x:c>
      <x:c r="N437" s="2" t="str">
        <x:v>NR</x:v>
      </x:c>
      <x:c r="O437" s="2" t="str">
        <x:v>NR</x:v>
      </x:c>
      <x:c r="P437" s="6" t="str">
        <x:v>NR</x:v>
      </x:c>
      <x:c r="Q437" s="2" t="str">
        <x:v>NR</x:v>
      </x:c>
      <x:c r="R437" s="6" t="str">
        <x:v>NR</x:v>
      </x:c>
      <x:c r="S437" s="2" t="str">
        <x:v>NR</x:v>
      </x:c>
      <x:c r="T437" s="2" t="str">
        <x:v>NR</x:v>
      </x:c>
      <x:c r="U437" s="2" t="str">
        <x:v>NR</x:v>
      </x:c>
      <x:c r="V437" s="6" t="str">
        <x:v>Task-specific coded evidence</x:v>
      </x:c>
      <x:c r="W437" s="6" t="str">
        <x:v>p. 14; Appendix A, question 8</x:v>
      </x:c>
      <x:c r="X437" s="6" t="str">
        <x:v>Is security requirement SR1.1 needed to be addressed in the Control Network zone? Answer based on the definition of this requirement. Yes, this requirement is about the identification and authentication of human users.</x:v>
      </x:c>
      <x:c r="Y437" s="6" t="str">
        <x:v>See task-step evidence references in the RQ2 supplement.</x:v>
      </x:c>
      <x:c r="Z437" s="2" t="str">
        <x:v>Accepted</x:v>
      </x:c>
      <x:c r="AA437" s="6" t="str">
        <x:v>NR</x:v>
      </x:c>
    </x:row>
    <x:row r="438" ht="76" customHeight="1">
      <x:c r="A438" s="2" t="str">
        <x:v>S50-T01-P2</x:v>
      </x:c>
      <x:c r="B438" s="2" t="str">
        <x:v>S50</x:v>
      </x:c>
      <x:c r="C438" s="2" t="str">
        <x:v>snowball_00068</x:v>
      </x:c>
      <x:c r="D438" s="2" t="str">
        <x:v>Final coding</x:v>
      </x:c>
      <x:c r="E438" s="2" t="str">
        <x:v>R1/R2</x:v>
      </x:c>
      <x:c r="F438" s="2" t="str">
        <x:v>S50-T01-PROC</x:v>
      </x:c>
      <x:c r="G438" s="2" t="str">
        <x:v>S50-T01</x:v>
      </x:c>
      <x:c r="H438" s="2" t="str">
        <x:v>2 Semantic contextualization</x:v>
      </x:c>
      <x:c r="I438" s="2" t="n">
        <x:v>2</x:v>
      </x:c>
      <x:c r="J438" s="2" t="str">
        <x:v>Common core</x:v>
      </x:c>
      <x:c r="K438" s="2" t="str">
        <x:v>Completed</x:v>
      </x:c>
      <x:c r="L438" s="2" t="str">
        <x:v>Explicitly evidenced</x:v>
      </x:c>
      <x:c r="M438" s="2" t="str">
        <x:v>NR</x:v>
      </x:c>
      <x:c r="N438" s="2" t="str">
        <x:v>NR</x:v>
      </x:c>
      <x:c r="O438" s="2" t="str">
        <x:v>NR</x:v>
      </x:c>
      <x:c r="P438" s="6" t="str">
        <x:v>NR</x:v>
      </x:c>
      <x:c r="Q438" s="2" t="str">
        <x:v>2 Semantic contextualization</x:v>
      </x:c>
      <x:c r="R438" s="6" t="str">
        <x:v>NR</x:v>
      </x:c>
      <x:c r="S438" s="2" t="str">
        <x:v>NR</x:v>
      </x:c>
      <x:c r="T438" s="2" t="str">
        <x:v>NR</x:v>
      </x:c>
      <x:c r="U438" s="2" t="str">
        <x:v>NR</x:v>
      </x:c>
      <x:c r="V438" s="6" t="str">
        <x:v>Task-specific coded evidence</x:v>
      </x:c>
      <x:c r="W438" s="6" t="str">
        <x:v>p. 14; Appendix A, question 8</x:v>
      </x:c>
      <x:c r="X438" s="6" t="str">
        <x:v>Is security requirement SR1.1 needed to be addressed in the Control Network zone? Answer based on the definition of this requirement. Yes, this requirement is about the identification and authentication of human users.</x:v>
      </x:c>
      <x:c r="Y438" s="6" t="str">
        <x:v>See task-step evidence references in the RQ2 supplement.</x:v>
      </x:c>
      <x:c r="Z438" s="2" t="str">
        <x:v>Accepted</x:v>
      </x:c>
      <x:c r="AA438" s="6" t="str">
        <x:v>NR</x:v>
      </x:c>
    </x:row>
    <x:row r="439" ht="76" customHeight="1">
      <x:c r="A439" s="2" t="str">
        <x:v>S50-T01-P3</x:v>
      </x:c>
      <x:c r="B439" s="2" t="str">
        <x:v>S50</x:v>
      </x:c>
      <x:c r="C439" s="2" t="str">
        <x:v>snowball_00068</x:v>
      </x:c>
      <x:c r="D439" s="2" t="str">
        <x:v>Final coding</x:v>
      </x:c>
      <x:c r="E439" s="2" t="str">
        <x:v>R1/R2</x:v>
      </x:c>
      <x:c r="F439" s="2" t="str">
        <x:v>S50-T01-PROC</x:v>
      </x:c>
      <x:c r="G439" s="2" t="str">
        <x:v>S50-T01</x:v>
      </x:c>
      <x:c r="H439" s="2" t="str">
        <x:v>3 Traceability inference</x:v>
      </x:c>
      <x:c r="I439" s="2" t="n">
        <x:v>3</x:v>
      </x:c>
      <x:c r="J439" s="2" t="str">
        <x:v>Common core</x:v>
      </x:c>
      <x:c r="K439" s="2" t="str">
        <x:v>Completed</x:v>
      </x:c>
      <x:c r="L439" s="2" t="str">
        <x:v>Explicitly evidenced</x:v>
      </x:c>
      <x:c r="M439" s="2" t="str">
        <x:v>NR</x:v>
      </x:c>
      <x:c r="N439" s="2" t="str">
        <x:v>NR</x:v>
      </x:c>
      <x:c r="O439" s="2" t="str">
        <x:v>NR</x:v>
      </x:c>
      <x:c r="P439" s="6" t="str">
        <x:v>NR</x:v>
      </x:c>
      <x:c r="Q439" s="2" t="str">
        <x:v>3 Traceability inference</x:v>
      </x:c>
      <x:c r="R439" s="6" t="str">
        <x:v>LLM生成的回答，明确指出要求是否适用及依据。</x:v>
      </x:c>
      <x:c r="S439" s="2" t="str">
        <x:v>NR</x:v>
      </x:c>
      <x:c r="T439" s="2" t="str">
        <x:v>NR</x:v>
      </x:c>
      <x:c r="U439" s="2" t="str">
        <x:v>NR</x:v>
      </x:c>
      <x:c r="V439" s="6" t="str">
        <x:v>Task-specific coded evidence</x:v>
      </x:c>
      <x:c r="W439" s="6" t="str">
        <x:v>p. 14; Appendix A, question 8</x:v>
      </x:c>
      <x:c r="X439" s="6" t="str">
        <x:v>Is security requirement SR1.1 needed to be addressed in the Control Network zone? Answer based on the definition of this requirement. Yes, this requirement is about the identification and authentication of human users.</x:v>
      </x:c>
      <x:c r="Y439" s="6" t="str">
        <x:v>See task-step evidence references in the RQ2 supplement.</x:v>
      </x:c>
      <x:c r="Z439" s="2" t="str">
        <x:v>Accepted</x:v>
      </x:c>
      <x:c r="AA439" s="6" t="str">
        <x:v>NR</x:v>
      </x:c>
    </x:row>
    <x:row r="440" ht="76" customHeight="1">
      <x:c r="A440" s="2" t="str">
        <x:v>S50-T01-P4</x:v>
      </x:c>
      <x:c r="B440" s="2" t="str">
        <x:v>S50</x:v>
      </x:c>
      <x:c r="C440" s="2" t="str">
        <x:v>snowball_00068</x:v>
      </x:c>
      <x:c r="D440" s="2" t="str">
        <x:v>Final coding</x:v>
      </x:c>
      <x:c r="E440" s="2" t="str">
        <x:v>R1/R2</x:v>
      </x:c>
      <x:c r="F440" s="2" t="str">
        <x:v>S50-T01-PROC</x:v>
      </x:c>
      <x:c r="G440" s="2" t="str">
        <x:v>S50-T01</x:v>
      </x:c>
      <x:c r="H440" s="2" t="str">
        <x:v>4 Validation and explanation</x:v>
      </x:c>
      <x:c r="I440" s="2" t="n">
        <x:v>4</x:v>
      </x:c>
      <x:c r="J440" s="2" t="str">
        <x:v>Common core</x:v>
      </x:c>
      <x:c r="K440" s="2" t="str">
        <x:v>Completed</x:v>
      </x:c>
      <x:c r="L440" s="2" t="str">
        <x:v>Not separately reported</x:v>
      </x:c>
      <x:c r="M440" s="2" t="str">
        <x:v>NR</x:v>
      </x:c>
      <x:c r="N440" s="2" t="str">
        <x:v>NR</x:v>
      </x:c>
      <x:c r="O440" s="2" t="str">
        <x:v>NR</x:v>
      </x:c>
      <x:c r="P440" s="6" t="str">
        <x:v>NR</x:v>
      </x:c>
      <x:c r="Q440" s="2" t="str">
        <x:v>NR</x:v>
      </x:c>
      <x:c r="R440" s="6" t="str">
        <x:v>NR</x:v>
      </x:c>
      <x:c r="S440" s="2" t="str">
        <x:v>NR</x:v>
      </x:c>
      <x:c r="T440" s="2" t="str">
        <x:v>NR</x:v>
      </x:c>
      <x:c r="U440" s="2" t="str">
        <x:v>NR</x:v>
      </x:c>
      <x:c r="V440" s="6" t="str">
        <x:v>Task-specific coded evidence</x:v>
      </x:c>
      <x:c r="W440" s="6" t="str">
        <x:v>p. 14; Appendix A, question 8</x:v>
      </x:c>
      <x:c r="X440" s="6" t="str">
        <x:v>Is security requirement SR1.1 needed to be addressed in the Control Network zone? Answer based on the definition of this requirement. Yes, this requirement is about the identification and authentication of human users.</x:v>
      </x:c>
      <x:c r="Y440" s="6" t="str">
        <x:v>See task-step evidence references in the RQ2 supplement.</x:v>
      </x:c>
      <x:c r="Z440" s="2" t="str">
        <x:v>Accepted</x:v>
      </x:c>
      <x:c r="AA440" s="6" t="str">
        <x:v>NR</x:v>
      </x:c>
    </x:row>
    <x:row r="441" ht="76" customHeight="1">
      <x:c r="A441" s="2" t="str">
        <x:v>S50-T01-P5</x:v>
      </x:c>
      <x:c r="B441" s="2" t="str">
        <x:v>S50</x:v>
      </x:c>
      <x:c r="C441" s="2" t="str">
        <x:v>snowball_00068</x:v>
      </x:c>
      <x:c r="D441" s="2" t="str">
        <x:v>Final coding</x:v>
      </x:c>
      <x:c r="E441" s="2" t="str">
        <x:v>R1/R2</x:v>
      </x:c>
      <x:c r="F441" s="2" t="str">
        <x:v>S50-T01-PROC</x:v>
      </x:c>
      <x:c r="G441" s="2" t="str">
        <x:v>S50-T01</x:v>
      </x:c>
      <x:c r="H441" s="2" t="str">
        <x:v>5 Evolution and embedding</x:v>
      </x:c>
      <x:c r="I441" s="2" t="n">
        <x:v>5</x:v>
      </x:c>
      <x:c r="J441" s="2" t="str">
        <x:v>Common core</x:v>
      </x:c>
      <x:c r="K441" s="2" t="str">
        <x:v>Completed</x:v>
      </x:c>
      <x:c r="L441" s="2" t="str">
        <x:v>Not separately reported</x:v>
      </x:c>
      <x:c r="M441" s="2" t="str">
        <x:v>NR</x:v>
      </x:c>
      <x:c r="N441" s="2" t="str">
        <x:v>NR</x:v>
      </x:c>
      <x:c r="O441" s="2" t="str">
        <x:v>NR</x:v>
      </x:c>
      <x:c r="P441" s="6" t="str">
        <x:v>NR</x:v>
      </x:c>
      <x:c r="Q441" s="2" t="str">
        <x:v>NR</x:v>
      </x:c>
      <x:c r="R441" s="6" t="str">
        <x:v>NR</x:v>
      </x:c>
      <x:c r="S441" s="2" t="str">
        <x:v>NR</x:v>
      </x:c>
      <x:c r="T441" s="2" t="str">
        <x:v>NR</x:v>
      </x:c>
      <x:c r="U441" s="2" t="str">
        <x:v>NR</x:v>
      </x:c>
      <x:c r="V441" s="6" t="str">
        <x:v>Task-specific coded evidence</x:v>
      </x:c>
      <x:c r="W441" s="6" t="str">
        <x:v>p. 14; Appendix A, question 8</x:v>
      </x:c>
      <x:c r="X441" s="6" t="str">
        <x:v>Is security requirement SR1.1 needed to be addressed in the Control Network zone? Answer based on the definition of this requirement. Yes, this requirement is about the identification and authentication of human users.</x:v>
      </x:c>
      <x:c r="Y441" s="6" t="str">
        <x:v>See task-step evidence references in the RQ2 supplement.</x:v>
      </x:c>
      <x:c r="Z441" s="2" t="str">
        <x:v>Accepted</x:v>
      </x:c>
      <x:c r="AA441" s="6" t="str">
        <x:v>NR</x:v>
      </x:c>
    </x:row>
    <x:row r="442" ht="76" customHeight="1">
      <x:c r="A442" s="2" t="str">
        <x:v>S51-T01-P1</x:v>
      </x:c>
      <x:c r="B442" s="2" t="str">
        <x:v>S51</x:v>
      </x:c>
      <x:c r="C442" s="2" t="str">
        <x:v>snowball_00085</x:v>
      </x:c>
      <x:c r="D442" s="2" t="str">
        <x:v>Final coding</x:v>
      </x:c>
      <x:c r="E442" s="2" t="str">
        <x:v>R1/R2</x:v>
      </x:c>
      <x:c r="F442" s="2" t="str">
        <x:v>S51-T01-PROC</x:v>
      </x:c>
      <x:c r="G442" s="2" t="str">
        <x:v>S51-T01</x:v>
      </x:c>
      <x:c r="H442" s="2" t="str">
        <x:v>1 Artifact acquisition and scoping</x:v>
      </x:c>
      <x:c r="I442" s="2" t="n">
        <x:v>1</x:v>
      </x:c>
      <x:c r="J442" s="2" t="str">
        <x:v>Common core</x:v>
      </x:c>
      <x:c r="K442" s="2" t="str">
        <x:v>Completed</x:v>
      </x:c>
      <x:c r="L442" s="2" t="str">
        <x:v>Not separately reported</x:v>
      </x:c>
      <x:c r="M442" s="2" t="str">
        <x:v>NR</x:v>
      </x:c>
      <x:c r="N442" s="2" t="str">
        <x:v>NR</x:v>
      </x:c>
      <x:c r="O442" s="2" t="str">
        <x:v>NR</x:v>
      </x:c>
      <x:c r="P442" s="6" t="str">
        <x:v>NR</x:v>
      </x:c>
      <x:c r="Q442" s="2" t="str">
        <x:v>NR</x:v>
      </x:c>
      <x:c r="R442" s="6" t="str">
        <x:v>NR</x:v>
      </x:c>
      <x:c r="S442" s="2" t="str">
        <x:v>NR</x:v>
      </x:c>
      <x:c r="T442" s="2" t="str">
        <x:v>NR</x:v>
      </x:c>
      <x:c r="U442" s="2" t="str">
        <x:v>NR</x:v>
      </x:c>
      <x:c r="V442" s="6" t="str">
        <x:v>Task-specific coded evidence</x:v>
      </x:c>
      <x:c r="W442" s="6" t="str">
        <x:v>p. 1; Section I</x:v>
      </x:c>
      <x:c r="X442" s="6" t="str">
        <x:v>LLMs are provided with a set of requirements and a textual system specification and are prompted to assess which requirements are fulfilled by the system specification.</x:v>
      </x:c>
      <x:c r="Y442" s="6" t="str">
        <x:v>See task-step evidence references in the RQ2 supplement.</x:v>
      </x:c>
      <x:c r="Z442" s="2" t="str">
        <x:v>Accepted</x:v>
      </x:c>
      <x:c r="AA442" s="6" t="str">
        <x:v>NR</x:v>
      </x:c>
    </x:row>
    <x:row r="443" ht="76" customHeight="1">
      <x:c r="A443" s="2" t="str">
        <x:v>S51-T01-P2</x:v>
      </x:c>
      <x:c r="B443" s="2" t="str">
        <x:v>S51</x:v>
      </x:c>
      <x:c r="C443" s="2" t="str">
        <x:v>snowball_00085</x:v>
      </x:c>
      <x:c r="D443" s="2" t="str">
        <x:v>Final coding</x:v>
      </x:c>
      <x:c r="E443" s="2" t="str">
        <x:v>R1/R2</x:v>
      </x:c>
      <x:c r="F443" s="2" t="str">
        <x:v>S51-T01-PROC</x:v>
      </x:c>
      <x:c r="G443" s="2" t="str">
        <x:v>S51-T01</x:v>
      </x:c>
      <x:c r="H443" s="2" t="str">
        <x:v>2 Semantic contextualization</x:v>
      </x:c>
      <x:c r="I443" s="2" t="n">
        <x:v>2</x:v>
      </x:c>
      <x:c r="J443" s="2" t="str">
        <x:v>Common core</x:v>
      </x:c>
      <x:c r="K443" s="2" t="str">
        <x:v>Completed</x:v>
      </x:c>
      <x:c r="L443" s="2" t="str">
        <x:v>Not separately reported</x:v>
      </x:c>
      <x:c r="M443" s="2" t="str">
        <x:v>NR</x:v>
      </x:c>
      <x:c r="N443" s="2" t="str">
        <x:v>NR</x:v>
      </x:c>
      <x:c r="O443" s="2" t="str">
        <x:v>NR</x:v>
      </x:c>
      <x:c r="P443" s="6" t="str">
        <x:v>NR</x:v>
      </x:c>
      <x:c r="Q443" s="2" t="str">
        <x:v>NR</x:v>
      </x:c>
      <x:c r="R443" s="6" t="str">
        <x:v>NR</x:v>
      </x:c>
      <x:c r="S443" s="2" t="str">
        <x:v>NR</x:v>
      </x:c>
      <x:c r="T443" s="2" t="str">
        <x:v>NR</x:v>
      </x:c>
      <x:c r="U443" s="2" t="str">
        <x:v>NR</x:v>
      </x:c>
      <x:c r="V443" s="6" t="str">
        <x:v>Task-specific coded evidence</x:v>
      </x:c>
      <x:c r="W443" s="6" t="str">
        <x:v>p. 1; Section I</x:v>
      </x:c>
      <x:c r="X443" s="6" t="str">
        <x:v>LLMs are provided with a set of requirements and a textual system specification and are prompted to assess which requirements are fulfilled by the system specification.</x:v>
      </x:c>
      <x:c r="Y443" s="6" t="str">
        <x:v>See task-step evidence references in the RQ2 supplement.</x:v>
      </x:c>
      <x:c r="Z443" s="2" t="str">
        <x:v>Accepted</x:v>
      </x:c>
      <x:c r="AA443" s="6" t="str">
        <x:v>NR</x:v>
      </x:c>
    </x:row>
    <x:row r="444" ht="76" customHeight="1">
      <x:c r="A444" s="2" t="str">
        <x:v>S51-T01-P3</x:v>
      </x:c>
      <x:c r="B444" s="2" t="str">
        <x:v>S51</x:v>
      </x:c>
      <x:c r="C444" s="2" t="str">
        <x:v>snowball_00085</x:v>
      </x:c>
      <x:c r="D444" s="2" t="str">
        <x:v>Final coding</x:v>
      </x:c>
      <x:c r="E444" s="2" t="str">
        <x:v>R1/R2</x:v>
      </x:c>
      <x:c r="F444" s="2" t="str">
        <x:v>S51-T01-PROC</x:v>
      </x:c>
      <x:c r="G444" s="2" t="str">
        <x:v>S51-T01</x:v>
      </x:c>
      <x:c r="H444" s="2" t="str">
        <x:v>3 Traceability inference</x:v>
      </x:c>
      <x:c r="I444" s="2" t="n">
        <x:v>3</x:v>
      </x:c>
      <x:c r="J444" s="2" t="str">
        <x:v>Common core</x:v>
      </x:c>
      <x:c r="K444" s="2" t="str">
        <x:v>Completed</x:v>
      </x:c>
      <x:c r="L444" s="2" t="str">
        <x:v>Explicitly evidenced</x:v>
      </x:c>
      <x:c r="M444" s="2" t="str">
        <x:v>NR</x:v>
      </x:c>
      <x:c r="N444" s="2" t="str">
        <x:v>NR</x:v>
      </x:c>
      <x:c r="O444" s="2" t="str">
        <x:v>NR</x:v>
      </x:c>
      <x:c r="P444" s="6" t="str">
        <x:v>NR</x:v>
      </x:c>
      <x:c r="Q444" s="2" t="str">
        <x:v>3 Traceability inference</x:v>
      </x:c>
      <x:c r="R444" s="6" t="str">
        <x:v>LLM输出每条需求的满足状态：满足、未满足或不适用。</x:v>
      </x:c>
      <x:c r="S444" s="2" t="str">
        <x:v>NR</x:v>
      </x:c>
      <x:c r="T444" s="2" t="str">
        <x:v>NR</x:v>
      </x:c>
      <x:c r="U444" s="2" t="str">
        <x:v>NR</x:v>
      </x:c>
      <x:c r="V444" s="6" t="str">
        <x:v>Task-specific coded evidence</x:v>
      </x:c>
      <x:c r="W444" s="6" t="str">
        <x:v>p. 1; Section I</x:v>
      </x:c>
      <x:c r="X444" s="6" t="str">
        <x:v>LLMs are provided with a set of requirements and a textual system specification and are prompted to assess which requirements are fulfilled by the system specification.</x:v>
      </x:c>
      <x:c r="Y444" s="6" t="str">
        <x:v>See task-step evidence references in the RQ2 supplement.</x:v>
      </x:c>
      <x:c r="Z444" s="2" t="str">
        <x:v>Accepted</x:v>
      </x:c>
      <x:c r="AA444" s="6" t="str">
        <x:v>NR</x:v>
      </x:c>
    </x:row>
    <x:row r="445" ht="76" customHeight="1">
      <x:c r="A445" s="2" t="str">
        <x:v>S51-T01-P4</x:v>
      </x:c>
      <x:c r="B445" s="2" t="str">
        <x:v>S51</x:v>
      </x:c>
      <x:c r="C445" s="2" t="str">
        <x:v>snowball_00085</x:v>
      </x:c>
      <x:c r="D445" s="2" t="str">
        <x:v>Final coding</x:v>
      </x:c>
      <x:c r="E445" s="2" t="str">
        <x:v>R1/R2</x:v>
      </x:c>
      <x:c r="F445" s="2" t="str">
        <x:v>S51-T01-PROC</x:v>
      </x:c>
      <x:c r="G445" s="2" t="str">
        <x:v>S51-T01</x:v>
      </x:c>
      <x:c r="H445" s="2" t="str">
        <x:v>4 Validation and explanation</x:v>
      </x:c>
      <x:c r="I445" s="2" t="n">
        <x:v>4</x:v>
      </x:c>
      <x:c r="J445" s="2" t="str">
        <x:v>Common core</x:v>
      </x:c>
      <x:c r="K445" s="2" t="str">
        <x:v>Completed</x:v>
      </x:c>
      <x:c r="L445" s="2" t="str">
        <x:v>Not separately reported</x:v>
      </x:c>
      <x:c r="M445" s="2" t="str">
        <x:v>NR</x:v>
      </x:c>
      <x:c r="N445" s="2" t="str">
        <x:v>NR</x:v>
      </x:c>
      <x:c r="O445" s="2" t="str">
        <x:v>NR</x:v>
      </x:c>
      <x:c r="P445" s="6" t="str">
        <x:v>NR</x:v>
      </x:c>
      <x:c r="Q445" s="2" t="str">
        <x:v>NR</x:v>
      </x:c>
      <x:c r="R445" s="6" t="str">
        <x:v>NR</x:v>
      </x:c>
      <x:c r="S445" s="2" t="str">
        <x:v>NR</x:v>
      </x:c>
      <x:c r="T445" s="2" t="str">
        <x:v>NR</x:v>
      </x:c>
      <x:c r="U445" s="2" t="str">
        <x:v>NR</x:v>
      </x:c>
      <x:c r="V445" s="6" t="str">
        <x:v>Task-specific coded evidence</x:v>
      </x:c>
      <x:c r="W445" s="6" t="str">
        <x:v>p. 1; Section I</x:v>
      </x:c>
      <x:c r="X445" s="6" t="str">
        <x:v>LLMs are provided with a set of requirements and a textual system specification and are prompted to assess which requirements are fulfilled by the system specification.</x:v>
      </x:c>
      <x:c r="Y445" s="6" t="str">
        <x:v>See task-step evidence references in the RQ2 supplement.</x:v>
      </x:c>
      <x:c r="Z445" s="2" t="str">
        <x:v>Accepted</x:v>
      </x:c>
      <x:c r="AA445" s="6" t="str">
        <x:v>NR</x:v>
      </x:c>
    </x:row>
    <x:row r="446" ht="76" customHeight="1">
      <x:c r="A446" s="2" t="str">
        <x:v>S51-T01-P5</x:v>
      </x:c>
      <x:c r="B446" s="2" t="str">
        <x:v>S51</x:v>
      </x:c>
      <x:c r="C446" s="2" t="str">
        <x:v>snowball_00085</x:v>
      </x:c>
      <x:c r="D446" s="2" t="str">
        <x:v>Final coding</x:v>
      </x:c>
      <x:c r="E446" s="2" t="str">
        <x:v>R1/R2</x:v>
      </x:c>
      <x:c r="F446" s="2" t="str">
        <x:v>S51-T01-PROC</x:v>
      </x:c>
      <x:c r="G446" s="2" t="str">
        <x:v>S51-T01</x:v>
      </x:c>
      <x:c r="H446" s="2" t="str">
        <x:v>5 Evolution and embedding</x:v>
      </x:c>
      <x:c r="I446" s="2" t="n">
        <x:v>5</x:v>
      </x:c>
      <x:c r="J446" s="2" t="str">
        <x:v>Common core</x:v>
      </x:c>
      <x:c r="K446" s="2" t="str">
        <x:v>Completed</x:v>
      </x:c>
      <x:c r="L446" s="2" t="str">
        <x:v>Not separately reported</x:v>
      </x:c>
      <x:c r="M446" s="2" t="str">
        <x:v>NR</x:v>
      </x:c>
      <x:c r="N446" s="2" t="str">
        <x:v>NR</x:v>
      </x:c>
      <x:c r="O446" s="2" t="str">
        <x:v>NR</x:v>
      </x:c>
      <x:c r="P446" s="6" t="str">
        <x:v>NR</x:v>
      </x:c>
      <x:c r="Q446" s="2" t="str">
        <x:v>NR</x:v>
      </x:c>
      <x:c r="R446" s="6" t="str">
        <x:v>NR</x:v>
      </x:c>
      <x:c r="S446" s="2" t="str">
        <x:v>NR</x:v>
      </x:c>
      <x:c r="T446" s="2" t="str">
        <x:v>NR</x:v>
      </x:c>
      <x:c r="U446" s="2" t="str">
        <x:v>NR</x:v>
      </x:c>
      <x:c r="V446" s="6" t="str">
        <x:v>Task-specific coded evidence</x:v>
      </x:c>
      <x:c r="W446" s="6" t="str">
        <x:v>p. 1; Section I</x:v>
      </x:c>
      <x:c r="X446" s="6" t="str">
        <x:v>LLMs are provided with a set of requirements and a textual system specification and are prompted to assess which requirements are fulfilled by the system specification.</x:v>
      </x:c>
      <x:c r="Y446" s="6" t="str">
        <x:v>See task-step evidence references in the RQ2 supplement.</x:v>
      </x:c>
      <x:c r="Z446" s="2" t="str">
        <x:v>Accepted</x:v>
      </x:c>
      <x:c r="AA446" s="6" t="str">
        <x:v>NR</x:v>
      </x:c>
    </x:row>
    <x:row r="447" ht="76" customHeight="1">
      <x:c r="A447" s="2" t="str">
        <x:v>S52-T01-P1</x:v>
      </x:c>
      <x:c r="B447" s="2" t="str">
        <x:v>S52</x:v>
      </x:c>
      <x:c r="C447" s="2" t="str">
        <x:v>snowball_00095</x:v>
      </x:c>
      <x:c r="D447" s="2" t="str">
        <x:v>Final coding</x:v>
      </x:c>
      <x:c r="E447" s="2" t="str">
        <x:v>R1/R2</x:v>
      </x:c>
      <x:c r="F447" s="2" t="str">
        <x:v>S52-T01-PROC</x:v>
      </x:c>
      <x:c r="G447" s="2" t="str">
        <x:v>S52-T01</x:v>
      </x:c>
      <x:c r="H447" s="2" t="str">
        <x:v>1 Artifact acquisition and scoping</x:v>
      </x:c>
      <x:c r="I447" s="2" t="n">
        <x:v>1</x:v>
      </x:c>
      <x:c r="J447" s="2" t="str">
        <x:v>Common core</x:v>
      </x:c>
      <x:c r="K447" s="2" t="str">
        <x:v>Completed</x:v>
      </x:c>
      <x:c r="L447" s="2" t="str">
        <x:v>Explicitly evidenced</x:v>
      </x:c>
      <x:c r="M447" s="2" t="str">
        <x:v>NR</x:v>
      </x:c>
      <x:c r="N447" s="2" t="str">
        <x:v>NR</x:v>
      </x:c>
      <x:c r="O447" s="2" t="str">
        <x:v>NR</x:v>
      </x:c>
      <x:c r="P447" s="6" t="str">
        <x:v>NR</x:v>
      </x:c>
      <x:c r="Q447" s="2" t="str">
        <x:v>1 Artifact acquisition and scoping</x:v>
      </x:c>
      <x:c r="R447" s="6" t="str">
        <x:v>NR</x:v>
      </x:c>
      <x:c r="S447" s="2" t="str">
        <x:v>NR</x:v>
      </x:c>
      <x:c r="T447" s="2" t="str">
        <x:v>NR</x:v>
      </x:c>
      <x:c r="U447" s="2" t="str">
        <x:v>NR</x:v>
      </x:c>
      <x:c r="V447" s="6" t="str">
        <x:v>Task-specific coded evidence</x:v>
      </x:c>
      <x:c r="W447" s="6" t="str">
        <x:v>p. 2; Fig. 1 caption</x:v>
      </x:c>
      <x:c r="X447" s="6" t="str">
        <x:v>Stage 4. Connect these refined artifacts to the lower-level input artifacts by dynamically generating trace links.</x:v>
      </x:c>
      <x:c r="Y447" s="6" t="str">
        <x:v>See task-step evidence references in the RQ2 supplement.</x:v>
      </x:c>
      <x:c r="Z447" s="2" t="str">
        <x:v>Accepted</x:v>
      </x:c>
      <x:c r="AA447" s="6" t="str">
        <x:v>NR</x:v>
      </x:c>
    </x:row>
    <x:row r="448" ht="76" customHeight="1">
      <x:c r="A448" s="2" t="str">
        <x:v>S52-T01-P2</x:v>
      </x:c>
      <x:c r="B448" s="2" t="str">
        <x:v>S52</x:v>
      </x:c>
      <x:c r="C448" s="2" t="str">
        <x:v>snowball_00095</x:v>
      </x:c>
      <x:c r="D448" s="2" t="str">
        <x:v>Final coding</x:v>
      </x:c>
      <x:c r="E448" s="2" t="str">
        <x:v>R1/R2</x:v>
      </x:c>
      <x:c r="F448" s="2" t="str">
        <x:v>S52-T01-PROC</x:v>
      </x:c>
      <x:c r="G448" s="2" t="str">
        <x:v>S52-T01</x:v>
      </x:c>
      <x:c r="H448" s="2" t="str">
        <x:v>2 Semantic contextualization</x:v>
      </x:c>
      <x:c r="I448" s="2" t="n">
        <x:v>2</x:v>
      </x:c>
      <x:c r="J448" s="2" t="str">
        <x:v>Common core</x:v>
      </x:c>
      <x:c r="K448" s="2" t="str">
        <x:v>Completed</x:v>
      </x:c>
      <x:c r="L448" s="2" t="str">
        <x:v>Explicitly evidenced</x:v>
      </x:c>
      <x:c r="M448" s="2" t="str">
        <x:v>NR</x:v>
      </x:c>
      <x:c r="N448" s="2" t="str">
        <x:v>NR</x:v>
      </x:c>
      <x:c r="O448" s="2" t="str">
        <x:v>NR</x:v>
      </x:c>
      <x:c r="P448" s="6" t="str">
        <x:v>NR</x:v>
      </x:c>
      <x:c r="Q448" s="2" t="str">
        <x:v>2 Semantic contextualization</x:v>
      </x:c>
      <x:c r="R448" s="6" t="str">
        <x:v>NR</x:v>
      </x:c>
      <x:c r="S448" s="2" t="str">
        <x:v>NR</x:v>
      </x:c>
      <x:c r="T448" s="2" t="str">
        <x:v>NR</x:v>
      </x:c>
      <x:c r="U448" s="2" t="str">
        <x:v>NR</x:v>
      </x:c>
      <x:c r="V448" s="6" t="str">
        <x:v>Task-specific coded evidence</x:v>
      </x:c>
      <x:c r="W448" s="6" t="str">
        <x:v>p. 2; Fig. 1 caption</x:v>
      </x:c>
      <x:c r="X448" s="6" t="str">
        <x:v>Stage 4. Connect these refined artifacts to the lower-level input artifacts by dynamically generating trace links.</x:v>
      </x:c>
      <x:c r="Y448" s="6" t="str">
        <x:v>See task-step evidence references in the RQ2 supplement.</x:v>
      </x:c>
      <x:c r="Z448" s="2" t="str">
        <x:v>Accepted</x:v>
      </x:c>
      <x:c r="AA448" s="6" t="str">
        <x:v>NR</x:v>
      </x:c>
    </x:row>
    <x:row r="449" ht="76" customHeight="1">
      <x:c r="A449" s="2" t="str">
        <x:v>S52-T01-P3</x:v>
      </x:c>
      <x:c r="B449" s="2" t="str">
        <x:v>S52</x:v>
      </x:c>
      <x:c r="C449" s="2" t="str">
        <x:v>snowball_00095</x:v>
      </x:c>
      <x:c r="D449" s="2" t="str">
        <x:v>Final coding</x:v>
      </x:c>
      <x:c r="E449" s="2" t="str">
        <x:v>R1/R2</x:v>
      </x:c>
      <x:c r="F449" s="2" t="str">
        <x:v>S52-T01-PROC</x:v>
      </x:c>
      <x:c r="G449" s="2" t="str">
        <x:v>S52-T01</x:v>
      </x:c>
      <x:c r="H449" s="2" t="str">
        <x:v>3 Traceability inference</x:v>
      </x:c>
      <x:c r="I449" s="2" t="n">
        <x:v>3</x:v>
      </x:c>
      <x:c r="J449" s="2" t="str">
        <x:v>Common core</x:v>
      </x:c>
      <x:c r="K449" s="2" t="str">
        <x:v>Completed</x:v>
      </x:c>
      <x:c r="L449" s="2" t="str">
        <x:v>Inferred from relation output</x:v>
      </x:c>
      <x:c r="M449" s="2" t="str">
        <x:v>NR</x:v>
      </x:c>
      <x:c r="N449" s="2" t="str">
        <x:v>NR</x:v>
      </x:c>
      <x:c r="O449" s="2" t="str">
        <x:v>NR</x:v>
      </x:c>
      <x:c r="P449" s="6" t="str">
        <x:v>NR</x:v>
      </x:c>
      <x:c r="Q449" s="2" t="str">
        <x:v>NR</x:v>
      </x:c>
      <x:c r="R449" s="6" t="str">
        <x:v>生成的文档层次中，各层工件之间的追踪链接，可通过精确率、召回率等评估。</x:v>
      </x:c>
      <x:c r="S449" s="2" t="str">
        <x:v>NR</x:v>
      </x:c>
      <x:c r="T449" s="2" t="str">
        <x:v>NR</x:v>
      </x:c>
      <x:c r="U449" s="2" t="str">
        <x:v>NR</x:v>
      </x:c>
      <x:c r="V449" s="6" t="str">
        <x:v>Task-specific coded evidence</x:v>
      </x:c>
      <x:c r="W449" s="6" t="str">
        <x:v>p. 2; Fig. 1 caption</x:v>
      </x:c>
      <x:c r="X449" s="6" t="str">
        <x:v>Stage 4. Connect these refined artifacts to the lower-level input artifacts by dynamically generating trace links.</x:v>
      </x:c>
      <x:c r="Y449" s="6" t="str">
        <x:v>See task-step evidence references in the RQ2 supplement.</x:v>
      </x:c>
      <x:c r="Z449" s="2" t="str">
        <x:v>Accepted</x:v>
      </x:c>
      <x:c r="AA449" s="6" t="str">
        <x:v>NR</x:v>
      </x:c>
    </x:row>
    <x:row r="450" ht="76" customHeight="1">
      <x:c r="A450" s="2" t="str">
        <x:v>S52-T01-P4</x:v>
      </x:c>
      <x:c r="B450" s="2" t="str">
        <x:v>S52</x:v>
      </x:c>
      <x:c r="C450" s="2" t="str">
        <x:v>snowball_00095</x:v>
      </x:c>
      <x:c r="D450" s="2" t="str">
        <x:v>Final coding</x:v>
      </x:c>
      <x:c r="E450" s="2" t="str">
        <x:v>R1/R2</x:v>
      </x:c>
      <x:c r="F450" s="2" t="str">
        <x:v>S52-T01-PROC</x:v>
      </x:c>
      <x:c r="G450" s="2" t="str">
        <x:v>S52-T01</x:v>
      </x:c>
      <x:c r="H450" s="2" t="str">
        <x:v>4 Validation and explanation</x:v>
      </x:c>
      <x:c r="I450" s="2" t="n">
        <x:v>4</x:v>
      </x:c>
      <x:c r="J450" s="2" t="str">
        <x:v>Common core</x:v>
      </x:c>
      <x:c r="K450" s="2" t="str">
        <x:v>Completed</x:v>
      </x:c>
      <x:c r="L450" s="2" t="str">
        <x:v>Not separately reported</x:v>
      </x:c>
      <x:c r="M450" s="2" t="str">
        <x:v>NR</x:v>
      </x:c>
      <x:c r="N450" s="2" t="str">
        <x:v>NR</x:v>
      </x:c>
      <x:c r="O450" s="2" t="str">
        <x:v>NR</x:v>
      </x:c>
      <x:c r="P450" s="6" t="str">
        <x:v>NR</x:v>
      </x:c>
      <x:c r="Q450" s="2" t="str">
        <x:v>NR</x:v>
      </x:c>
      <x:c r="R450" s="6" t="str">
        <x:v>NR</x:v>
      </x:c>
      <x:c r="S450" s="2" t="str">
        <x:v>NR</x:v>
      </x:c>
      <x:c r="T450" s="2" t="str">
        <x:v>NR</x:v>
      </x:c>
      <x:c r="U450" s="2" t="str">
        <x:v>NR</x:v>
      </x:c>
      <x:c r="V450" s="6" t="str">
        <x:v>Task-specific coded evidence</x:v>
      </x:c>
      <x:c r="W450" s="6" t="str">
        <x:v>p. 2; Fig. 1 caption</x:v>
      </x:c>
      <x:c r="X450" s="6" t="str">
        <x:v>Stage 4. Connect these refined artifacts to the lower-level input artifacts by dynamically generating trace links.</x:v>
      </x:c>
      <x:c r="Y450" s="6" t="str">
        <x:v>See task-step evidence references in the RQ2 supplement.</x:v>
      </x:c>
      <x:c r="Z450" s="2" t="str">
        <x:v>Accepted</x:v>
      </x:c>
      <x:c r="AA450" s="6" t="str">
        <x:v>NR</x:v>
      </x:c>
    </x:row>
    <x:row r="451" ht="76" customHeight="1">
      <x:c r="A451" s="2" t="str">
        <x:v>S52-T01-P5</x:v>
      </x:c>
      <x:c r="B451" s="2" t="str">
        <x:v>S52</x:v>
      </x:c>
      <x:c r="C451" s="2" t="str">
        <x:v>snowball_00095</x:v>
      </x:c>
      <x:c r="D451" s="2" t="str">
        <x:v>Final coding</x:v>
      </x:c>
      <x:c r="E451" s="2" t="str">
        <x:v>R1/R2</x:v>
      </x:c>
      <x:c r="F451" s="2" t="str">
        <x:v>S52-T01-PROC</x:v>
      </x:c>
      <x:c r="G451" s="2" t="str">
        <x:v>S52-T01</x:v>
      </x:c>
      <x:c r="H451" s="2" t="str">
        <x:v>5 Evolution and embedding</x:v>
      </x:c>
      <x:c r="I451" s="2" t="n">
        <x:v>5</x:v>
      </x:c>
      <x:c r="J451" s="2" t="str">
        <x:v>Common core</x:v>
      </x:c>
      <x:c r="K451" s="2" t="str">
        <x:v>Completed</x:v>
      </x:c>
      <x:c r="L451" s="2" t="str">
        <x:v>Not separately reported</x:v>
      </x:c>
      <x:c r="M451" s="2" t="str">
        <x:v>NR</x:v>
      </x:c>
      <x:c r="N451" s="2" t="str">
        <x:v>NR</x:v>
      </x:c>
      <x:c r="O451" s="2" t="str">
        <x:v>NR</x:v>
      </x:c>
      <x:c r="P451" s="6" t="str">
        <x:v>NR</x:v>
      </x:c>
      <x:c r="Q451" s="2" t="str">
        <x:v>NR</x:v>
      </x:c>
      <x:c r="R451" s="6" t="str">
        <x:v>NR</x:v>
      </x:c>
      <x:c r="S451" s="2" t="str">
        <x:v>NR</x:v>
      </x:c>
      <x:c r="T451" s="2" t="str">
        <x:v>NR</x:v>
      </x:c>
      <x:c r="U451" s="2" t="str">
        <x:v>NR</x:v>
      </x:c>
      <x:c r="V451" s="6" t="str">
        <x:v>Task-specific coded evidence</x:v>
      </x:c>
      <x:c r="W451" s="6" t="str">
        <x:v>p. 2; Fig. 1 caption</x:v>
      </x:c>
      <x:c r="X451" s="6" t="str">
        <x:v>Stage 4. Connect these refined artifacts to the lower-level input artifacts by dynamically generating trace links.</x:v>
      </x:c>
      <x:c r="Y451" s="6" t="str">
        <x:v>See task-step evidence references in the RQ2 supplement.</x:v>
      </x:c>
      <x:c r="Z451" s="2" t="str">
        <x:v>Accepted</x:v>
      </x:c>
      <x:c r="AA451" s="6" t="str">
        <x:v>NR</x:v>
      </x:c>
    </x:row>
    <x:row r="452" ht="76" customHeight="1">
      <x:c r="A452" s="2" t="str">
        <x:v>S53-T01-P1</x:v>
      </x:c>
      <x:c r="B452" s="2" t="str">
        <x:v>S53</x:v>
      </x:c>
      <x:c r="C452" s="2" t="str">
        <x:v>merged_1229</x:v>
      </x:c>
      <x:c r="D452" s="2" t="str">
        <x:v>Final coding</x:v>
      </x:c>
      <x:c r="E452" s="2" t="str">
        <x:v>R1/R2</x:v>
      </x:c>
      <x:c r="F452" s="2" t="str">
        <x:v>S53-T01-PROC</x:v>
      </x:c>
      <x:c r="G452" s="2" t="str">
        <x:v>S53-T01</x:v>
      </x:c>
      <x:c r="H452" s="2" t="str">
        <x:v>1 Artifact acquisition and scoping</x:v>
      </x:c>
      <x:c r="I452" s="2" t="n">
        <x:v>1</x:v>
      </x:c>
      <x:c r="J452" s="2" t="str">
        <x:v>Common core</x:v>
      </x:c>
      <x:c r="K452" s="2" t="str">
        <x:v>Completed</x:v>
      </x:c>
      <x:c r="L452" s="2" t="str">
        <x:v>Not separately reported</x:v>
      </x:c>
      <x:c r="M452" s="2" t="str">
        <x:v>NR</x:v>
      </x:c>
      <x:c r="N452" s="2" t="str">
        <x:v>NR</x:v>
      </x:c>
      <x:c r="O452" s="2" t="str">
        <x:v>NR</x:v>
      </x:c>
      <x:c r="P452" s="6" t="str">
        <x:v>NR</x:v>
      </x:c>
      <x:c r="Q452" s="2" t="str">
        <x:v>NR</x:v>
      </x:c>
      <x:c r="R452" s="6" t="str">
        <x:v>NR</x:v>
      </x:c>
      <x:c r="S452" s="2" t="str">
        <x:v>NR</x:v>
      </x:c>
      <x:c r="T452" s="2" t="str">
        <x:v>NR</x:v>
      </x:c>
      <x:c r="U452" s="2" t="str">
        <x:v>NR</x:v>
      </x:c>
      <x:c r="V452" s="6" t="str">
        <x:v>Task-specific coded evidence</x:v>
      </x:c>
      <x:c r="W452" s="6" t="str">
        <x:v>p. 3; Section III-A</x:v>
      </x:c>
      <x:c r="X452" s="6" t="str">
        <x:v>create a User Requirements Document for a Track Surveillance Drone starting from the attached sketch</x:v>
      </x:c>
      <x:c r="Y452" s="6" t="str">
        <x:v>See task-step evidence references in the RQ2 supplement.</x:v>
      </x:c>
      <x:c r="Z452" s="2" t="str">
        <x:v>Accepted</x:v>
      </x:c>
      <x:c r="AA452" s="6" t="str">
        <x:v>NR</x:v>
      </x:c>
    </x:row>
    <x:row r="453" ht="76" customHeight="1">
      <x:c r="A453" s="2" t="str">
        <x:v>S53-T01-P2</x:v>
      </x:c>
      <x:c r="B453" s="2" t="str">
        <x:v>S53</x:v>
      </x:c>
      <x:c r="C453" s="2" t="str">
        <x:v>merged_1229</x:v>
      </x:c>
      <x:c r="D453" s="2" t="str">
        <x:v>Final coding</x:v>
      </x:c>
      <x:c r="E453" s="2" t="str">
        <x:v>R1/R2</x:v>
      </x:c>
      <x:c r="F453" s="2" t="str">
        <x:v>S53-T01-PROC</x:v>
      </x:c>
      <x:c r="G453" s="2" t="str">
        <x:v>S53-T01</x:v>
      </x:c>
      <x:c r="H453" s="2" t="str">
        <x:v>2 Semantic contextualization</x:v>
      </x:c>
      <x:c r="I453" s="2" t="n">
        <x:v>2</x:v>
      </x:c>
      <x:c r="J453" s="2" t="str">
        <x:v>Common core</x:v>
      </x:c>
      <x:c r="K453" s="2" t="str">
        <x:v>Completed</x:v>
      </x:c>
      <x:c r="L453" s="2" t="str">
        <x:v>Explicitly evidenced</x:v>
      </x:c>
      <x:c r="M453" s="2" t="str">
        <x:v>NR</x:v>
      </x:c>
      <x:c r="N453" s="2" t="str">
        <x:v>NR</x:v>
      </x:c>
      <x:c r="O453" s="2" t="str">
        <x:v>NR</x:v>
      </x:c>
      <x:c r="P453" s="6" t="str">
        <x:v>NR</x:v>
      </x:c>
      <x:c r="Q453" s="2" t="str">
        <x:v>2 Semantic contextualization</x:v>
      </x:c>
      <x:c r="R453" s="6" t="str">
        <x:v>NR</x:v>
      </x:c>
      <x:c r="S453" s="2" t="str">
        <x:v>NR</x:v>
      </x:c>
      <x:c r="T453" s="2" t="str">
        <x:v>NR</x:v>
      </x:c>
      <x:c r="U453" s="2" t="str">
        <x:v>NR</x:v>
      </x:c>
      <x:c r="V453" s="6" t="str">
        <x:v>Task-specific coded evidence</x:v>
      </x:c>
      <x:c r="W453" s="6" t="str">
        <x:v>p. 3; Section III-A</x:v>
      </x:c>
      <x:c r="X453" s="6" t="str">
        <x:v>create a User Requirements Document for a Track Surveillance Drone starting from the attached sketch</x:v>
      </x:c>
      <x:c r="Y453" s="6" t="str">
        <x:v>See task-step evidence references in the RQ2 supplement.</x:v>
      </x:c>
      <x:c r="Z453" s="2" t="str">
        <x:v>Accepted</x:v>
      </x:c>
      <x:c r="AA453" s="6" t="str">
        <x:v>NR</x:v>
      </x:c>
    </x:row>
    <x:row r="454" ht="76" customHeight="1">
      <x:c r="A454" s="2" t="str">
        <x:v>S53-T01-P3</x:v>
      </x:c>
      <x:c r="B454" s="2" t="str">
        <x:v>S53</x:v>
      </x:c>
      <x:c r="C454" s="2" t="str">
        <x:v>merged_1229</x:v>
      </x:c>
      <x:c r="D454" s="2" t="str">
        <x:v>Final coding</x:v>
      </x:c>
      <x:c r="E454" s="2" t="str">
        <x:v>R1/R2</x:v>
      </x:c>
      <x:c r="F454" s="2" t="str">
        <x:v>S53-T01-PROC</x:v>
      </x:c>
      <x:c r="G454" s="2" t="str">
        <x:v>S53-T01</x:v>
      </x:c>
      <x:c r="H454" s="2" t="str">
        <x:v>3 Traceability inference</x:v>
      </x:c>
      <x:c r="I454" s="2" t="n">
        <x:v>3</x:v>
      </x:c>
      <x:c r="J454" s="2" t="str">
        <x:v>Common core</x:v>
      </x:c>
      <x:c r="K454" s="2" t="str">
        <x:v>Completed</x:v>
      </x:c>
      <x:c r="L454" s="2" t="str">
        <x:v>Inferred from relation output</x:v>
      </x:c>
      <x:c r="M454" s="2" t="str">
        <x:v>NR</x:v>
      </x:c>
      <x:c r="N454" s="2" t="str">
        <x:v>NR</x:v>
      </x:c>
      <x:c r="O454" s="2" t="str">
        <x:v>NR</x:v>
      </x:c>
      <x:c r="P454" s="6" t="str">
        <x:v>NR</x:v>
      </x:c>
      <x:c r="Q454" s="2" t="str">
        <x:v>NR</x:v>
      </x:c>
      <x:c r="R454" s="6" t="str">
        <x:v>A user requirements document with identified requirements and document structure.</x:v>
      </x:c>
      <x:c r="S454" s="2" t="str">
        <x:v>NR</x:v>
      </x:c>
      <x:c r="T454" s="2" t="str">
        <x:v>NR</x:v>
      </x:c>
      <x:c r="U454" s="2" t="str">
        <x:v>NR</x:v>
      </x:c>
      <x:c r="V454" s="6" t="str">
        <x:v>Task-specific coded evidence</x:v>
      </x:c>
      <x:c r="W454" s="6" t="str">
        <x:v>p. 3; Section III-A</x:v>
      </x:c>
      <x:c r="X454" s="6" t="str">
        <x:v>create a User Requirements Document for a Track Surveillance Drone starting from the attached sketch</x:v>
      </x:c>
      <x:c r="Y454" s="6" t="str">
        <x:v>See task-step evidence references in the RQ2 supplement.</x:v>
      </x:c>
      <x:c r="Z454" s="2" t="str">
        <x:v>Accepted</x:v>
      </x:c>
      <x:c r="AA454" s="6" t="str">
        <x:v>NR</x:v>
      </x:c>
    </x:row>
    <x:row r="455" ht="76" customHeight="1">
      <x:c r="A455" s="2" t="str">
        <x:v>S53-T01-P4</x:v>
      </x:c>
      <x:c r="B455" s="2" t="str">
        <x:v>S53</x:v>
      </x:c>
      <x:c r="C455" s="2" t="str">
        <x:v>merged_1229</x:v>
      </x:c>
      <x:c r="D455" s="2" t="str">
        <x:v>Final coding</x:v>
      </x:c>
      <x:c r="E455" s="2" t="str">
        <x:v>R1/R2</x:v>
      </x:c>
      <x:c r="F455" s="2" t="str">
        <x:v>S53-T01-PROC</x:v>
      </x:c>
      <x:c r="G455" s="2" t="str">
        <x:v>S53-T01</x:v>
      </x:c>
      <x:c r="H455" s="2" t="str">
        <x:v>4 Validation and explanation</x:v>
      </x:c>
      <x:c r="I455" s="2" t="n">
        <x:v>4</x:v>
      </x:c>
      <x:c r="J455" s="2" t="str">
        <x:v>Common core</x:v>
      </x:c>
      <x:c r="K455" s="2" t="str">
        <x:v>Completed</x:v>
      </x:c>
      <x:c r="L455" s="2" t="str">
        <x:v>Not separately reported</x:v>
      </x:c>
      <x:c r="M455" s="2" t="str">
        <x:v>NR</x:v>
      </x:c>
      <x:c r="N455" s="2" t="str">
        <x:v>NR</x:v>
      </x:c>
      <x:c r="O455" s="2" t="str">
        <x:v>NR</x:v>
      </x:c>
      <x:c r="P455" s="6" t="str">
        <x:v>NR</x:v>
      </x:c>
      <x:c r="Q455" s="2" t="str">
        <x:v>NR</x:v>
      </x:c>
      <x:c r="R455" s="6" t="str">
        <x:v>NR</x:v>
      </x:c>
      <x:c r="S455" s="2" t="str">
        <x:v>NR</x:v>
      </x:c>
      <x:c r="T455" s="2" t="str">
        <x:v>NR</x:v>
      </x:c>
      <x:c r="U455" s="2" t="str">
        <x:v>NR</x:v>
      </x:c>
      <x:c r="V455" s="6" t="str">
        <x:v>Task-specific coded evidence</x:v>
      </x:c>
      <x:c r="W455" s="6" t="str">
        <x:v>p. 3; Section III-A</x:v>
      </x:c>
      <x:c r="X455" s="6" t="str">
        <x:v>create a User Requirements Document for a Track Surveillance Drone starting from the attached sketch</x:v>
      </x:c>
      <x:c r="Y455" s="6" t="str">
        <x:v>See task-step evidence references in the RQ2 supplement.</x:v>
      </x:c>
      <x:c r="Z455" s="2" t="str">
        <x:v>Accepted</x:v>
      </x:c>
      <x:c r="AA455" s="6" t="str">
        <x:v>NR</x:v>
      </x:c>
    </x:row>
    <x:row r="456" ht="76" customHeight="1">
      <x:c r="A456" s="2" t="str">
        <x:v>S53-T01-P5</x:v>
      </x:c>
      <x:c r="B456" s="2" t="str">
        <x:v>S53</x:v>
      </x:c>
      <x:c r="C456" s="2" t="str">
        <x:v>merged_1229</x:v>
      </x:c>
      <x:c r="D456" s="2" t="str">
        <x:v>Final coding</x:v>
      </x:c>
      <x:c r="E456" s="2" t="str">
        <x:v>R1/R2</x:v>
      </x:c>
      <x:c r="F456" s="2" t="str">
        <x:v>S53-T01-PROC</x:v>
      </x:c>
      <x:c r="G456" s="2" t="str">
        <x:v>S53-T01</x:v>
      </x:c>
      <x:c r="H456" s="2" t="str">
        <x:v>5 Evolution and embedding</x:v>
      </x:c>
      <x:c r="I456" s="2" t="n">
        <x:v>5</x:v>
      </x:c>
      <x:c r="J456" s="2" t="str">
        <x:v>Common core</x:v>
      </x:c>
      <x:c r="K456" s="2" t="str">
        <x:v>Completed</x:v>
      </x:c>
      <x:c r="L456" s="2" t="str">
        <x:v>Not separately reported</x:v>
      </x:c>
      <x:c r="M456" s="2" t="str">
        <x:v>NR</x:v>
      </x:c>
      <x:c r="N456" s="2" t="str">
        <x:v>NR</x:v>
      </x:c>
      <x:c r="O456" s="2" t="str">
        <x:v>NR</x:v>
      </x:c>
      <x:c r="P456" s="6" t="str">
        <x:v>NR</x:v>
      </x:c>
      <x:c r="Q456" s="2" t="str">
        <x:v>NR</x:v>
      </x:c>
      <x:c r="R456" s="6" t="str">
        <x:v>NR</x:v>
      </x:c>
      <x:c r="S456" s="2" t="str">
        <x:v>NR</x:v>
      </x:c>
      <x:c r="T456" s="2" t="str">
        <x:v>NR</x:v>
      </x:c>
      <x:c r="U456" s="2" t="str">
        <x:v>NR</x:v>
      </x:c>
      <x:c r="V456" s="6" t="str">
        <x:v>Task-specific coded evidence</x:v>
      </x:c>
      <x:c r="W456" s="6" t="str">
        <x:v>p. 3; Section III-A</x:v>
      </x:c>
      <x:c r="X456" s="6" t="str">
        <x:v>create a User Requirements Document for a Track Surveillance Drone starting from the attached sketch</x:v>
      </x:c>
      <x:c r="Y456" s="6" t="str">
        <x:v>See task-step evidence references in the RQ2 supplement.</x:v>
      </x:c>
      <x:c r="Z456" s="2" t="str">
        <x:v>Accepted</x:v>
      </x:c>
      <x:c r="AA456" s="6" t="str">
        <x:v>NR</x:v>
      </x:c>
    </x:row>
    <x:row r="457" ht="76" customHeight="1">
      <x:c r="A457" s="2" t="str">
        <x:v>S53-T02-P1</x:v>
      </x:c>
      <x:c r="B457" s="2" t="str">
        <x:v>S53</x:v>
      </x:c>
      <x:c r="C457" s="2" t="str">
        <x:v>merged_1229</x:v>
      </x:c>
      <x:c r="D457" s="2" t="str">
        <x:v>Final coding</x:v>
      </x:c>
      <x:c r="E457" s="2" t="str">
        <x:v>R1/R2</x:v>
      </x:c>
      <x:c r="F457" s="2" t="str">
        <x:v>S53-T02-PROC</x:v>
      </x:c>
      <x:c r="G457" s="2" t="str">
        <x:v>S53-T02</x:v>
      </x:c>
      <x:c r="H457" s="2" t="str">
        <x:v>1 Artifact acquisition and scoping</x:v>
      </x:c>
      <x:c r="I457" s="2" t="n">
        <x:v>1</x:v>
      </x:c>
      <x:c r="J457" s="2" t="str">
        <x:v>Common core</x:v>
      </x:c>
      <x:c r="K457" s="2" t="str">
        <x:v>Completed</x:v>
      </x:c>
      <x:c r="L457" s="2" t="str">
        <x:v>Not separately reported</x:v>
      </x:c>
      <x:c r="M457" s="2" t="str">
        <x:v>NR</x:v>
      </x:c>
      <x:c r="N457" s="2" t="str">
        <x:v>NR</x:v>
      </x:c>
      <x:c r="O457" s="2" t="str">
        <x:v>NR</x:v>
      </x:c>
      <x:c r="P457" s="6" t="str">
        <x:v>NR</x:v>
      </x:c>
      <x:c r="Q457" s="2" t="str">
        <x:v>NR</x:v>
      </x:c>
      <x:c r="R457" s="6" t="str">
        <x:v>NR</x:v>
      </x:c>
      <x:c r="S457" s="2" t="str">
        <x:v>NR</x:v>
      </x:c>
      <x:c r="T457" s="2" t="str">
        <x:v>NR</x:v>
      </x:c>
      <x:c r="U457" s="2" t="str">
        <x:v>NR</x:v>
      </x:c>
      <x:c r="V457" s="6" t="str">
        <x:v>Task-specific coded evidence</x:v>
      </x:c>
      <x:c r="W457" s="6" t="str">
        <x:v>p. 4; Section III-B</x:v>
      </x:c>
      <x:c r="X457" s="6" t="str">
        <x:v>More system requirements can and is expected to be linked to one user requirement.</x:v>
      </x:c>
      <x:c r="Y457" s="6" t="str">
        <x:v>See task-step evidence references in the RQ2 supplement.</x:v>
      </x:c>
      <x:c r="Z457" s="2" t="str">
        <x:v>Accepted</x:v>
      </x:c>
      <x:c r="AA457" s="6" t="str">
        <x:v>NR</x:v>
      </x:c>
    </x:row>
    <x:row r="458" ht="76" customHeight="1">
      <x:c r="A458" s="2" t="str">
        <x:v>S53-T02-P2</x:v>
      </x:c>
      <x:c r="B458" s="2" t="str">
        <x:v>S53</x:v>
      </x:c>
      <x:c r="C458" s="2" t="str">
        <x:v>merged_1229</x:v>
      </x:c>
      <x:c r="D458" s="2" t="str">
        <x:v>Final coding</x:v>
      </x:c>
      <x:c r="E458" s="2" t="str">
        <x:v>R1/R2</x:v>
      </x:c>
      <x:c r="F458" s="2" t="str">
        <x:v>S53-T02-PROC</x:v>
      </x:c>
      <x:c r="G458" s="2" t="str">
        <x:v>S53-T02</x:v>
      </x:c>
      <x:c r="H458" s="2" t="str">
        <x:v>2 Semantic contextualization</x:v>
      </x:c>
      <x:c r="I458" s="2" t="n">
        <x:v>2</x:v>
      </x:c>
      <x:c r="J458" s="2" t="str">
        <x:v>Common core</x:v>
      </x:c>
      <x:c r="K458" s="2" t="str">
        <x:v>Completed</x:v>
      </x:c>
      <x:c r="L458" s="2" t="str">
        <x:v>Not separately reported</x:v>
      </x:c>
      <x:c r="M458" s="2" t="str">
        <x:v>NR</x:v>
      </x:c>
      <x:c r="N458" s="2" t="str">
        <x:v>NR</x:v>
      </x:c>
      <x:c r="O458" s="2" t="str">
        <x:v>NR</x:v>
      </x:c>
      <x:c r="P458" s="6" t="str">
        <x:v>NR</x:v>
      </x:c>
      <x:c r="Q458" s="2" t="str">
        <x:v>NR</x:v>
      </x:c>
      <x:c r="R458" s="6" t="str">
        <x:v>NR</x:v>
      </x:c>
      <x:c r="S458" s="2" t="str">
        <x:v>NR</x:v>
      </x:c>
      <x:c r="T458" s="2" t="str">
        <x:v>NR</x:v>
      </x:c>
      <x:c r="U458" s="2" t="str">
        <x:v>NR</x:v>
      </x:c>
      <x:c r="V458" s="6" t="str">
        <x:v>Task-specific coded evidence</x:v>
      </x:c>
      <x:c r="W458" s="6" t="str">
        <x:v>p. 4; Section III-B</x:v>
      </x:c>
      <x:c r="X458" s="6" t="str">
        <x:v>More system requirements can and is expected to be linked to one user requirement.</x:v>
      </x:c>
      <x:c r="Y458" s="6" t="str">
        <x:v>See task-step evidence references in the RQ2 supplement.</x:v>
      </x:c>
      <x:c r="Z458" s="2" t="str">
        <x:v>Accepted</x:v>
      </x:c>
      <x:c r="AA458" s="6" t="str">
        <x:v>NR</x:v>
      </x:c>
    </x:row>
    <x:row r="459" ht="76" customHeight="1">
      <x:c r="A459" s="2" t="str">
        <x:v>S53-T02-P3</x:v>
      </x:c>
      <x:c r="B459" s="2" t="str">
        <x:v>S53</x:v>
      </x:c>
      <x:c r="C459" s="2" t="str">
        <x:v>merged_1229</x:v>
      </x:c>
      <x:c r="D459" s="2" t="str">
        <x:v>Final coding</x:v>
      </x:c>
      <x:c r="E459" s="2" t="str">
        <x:v>R1/R2</x:v>
      </x:c>
      <x:c r="F459" s="2" t="str">
        <x:v>S53-T02-PROC</x:v>
      </x:c>
      <x:c r="G459" s="2" t="str">
        <x:v>S53-T02</x:v>
      </x:c>
      <x:c r="H459" s="2" t="str">
        <x:v>3 Traceability inference</x:v>
      </x:c>
      <x:c r="I459" s="2" t="n">
        <x:v>3</x:v>
      </x:c>
      <x:c r="J459" s="2" t="str">
        <x:v>Common core</x:v>
      </x:c>
      <x:c r="K459" s="2" t="str">
        <x:v>Completed</x:v>
      </x:c>
      <x:c r="L459" s="2" t="str">
        <x:v>Explicitly evidenced</x:v>
      </x:c>
      <x:c r="M459" s="2" t="str">
        <x:v>NR</x:v>
      </x:c>
      <x:c r="N459" s="2" t="str">
        <x:v>NR</x:v>
      </x:c>
      <x:c r="O459" s="2" t="str">
        <x:v>NR</x:v>
      </x:c>
      <x:c r="P459" s="6" t="str">
        <x:v>NR</x:v>
      </x:c>
      <x:c r="Q459" s="2" t="str">
        <x:v>3 Traceability inference</x:v>
      </x:c>
      <x:c r="R459" s="6" t="str">
        <x:v>A system requirements document whose requirements link to user requirements.</x:v>
      </x:c>
      <x:c r="S459" s="2" t="str">
        <x:v>NR</x:v>
      </x:c>
      <x:c r="T459" s="2" t="str">
        <x:v>NR</x:v>
      </x:c>
      <x:c r="U459" s="2" t="str">
        <x:v>NR</x:v>
      </x:c>
      <x:c r="V459" s="6" t="str">
        <x:v>Task-specific coded evidence</x:v>
      </x:c>
      <x:c r="W459" s="6" t="str">
        <x:v>p. 4; Section III-B</x:v>
      </x:c>
      <x:c r="X459" s="6" t="str">
        <x:v>More system requirements can and is expected to be linked to one user requirement.</x:v>
      </x:c>
      <x:c r="Y459" s="6" t="str">
        <x:v>See task-step evidence references in the RQ2 supplement.</x:v>
      </x:c>
      <x:c r="Z459" s="2" t="str">
        <x:v>Accepted</x:v>
      </x:c>
      <x:c r="AA459" s="6" t="str">
        <x:v>NR</x:v>
      </x:c>
    </x:row>
    <x:row r="460" ht="76" customHeight="1">
      <x:c r="A460" s="2" t="str">
        <x:v>S53-T02-P4</x:v>
      </x:c>
      <x:c r="B460" s="2" t="str">
        <x:v>S53</x:v>
      </x:c>
      <x:c r="C460" s="2" t="str">
        <x:v>merged_1229</x:v>
      </x:c>
      <x:c r="D460" s="2" t="str">
        <x:v>Final coding</x:v>
      </x:c>
      <x:c r="E460" s="2" t="str">
        <x:v>R1/R2</x:v>
      </x:c>
      <x:c r="F460" s="2" t="str">
        <x:v>S53-T02-PROC</x:v>
      </x:c>
      <x:c r="G460" s="2" t="str">
        <x:v>S53-T02</x:v>
      </x:c>
      <x:c r="H460" s="2" t="str">
        <x:v>4 Validation and explanation</x:v>
      </x:c>
      <x:c r="I460" s="2" t="n">
        <x:v>4</x:v>
      </x:c>
      <x:c r="J460" s="2" t="str">
        <x:v>Common core</x:v>
      </x:c>
      <x:c r="K460" s="2" t="str">
        <x:v>Completed</x:v>
      </x:c>
      <x:c r="L460" s="2" t="str">
        <x:v>Not separately reported</x:v>
      </x:c>
      <x:c r="M460" s="2" t="str">
        <x:v>NR</x:v>
      </x:c>
      <x:c r="N460" s="2" t="str">
        <x:v>NR</x:v>
      </x:c>
      <x:c r="O460" s="2" t="str">
        <x:v>NR</x:v>
      </x:c>
      <x:c r="P460" s="6" t="str">
        <x:v>NR</x:v>
      </x:c>
      <x:c r="Q460" s="2" t="str">
        <x:v>NR</x:v>
      </x:c>
      <x:c r="R460" s="6" t="str">
        <x:v>NR</x:v>
      </x:c>
      <x:c r="S460" s="2" t="str">
        <x:v>NR</x:v>
      </x:c>
      <x:c r="T460" s="2" t="str">
        <x:v>NR</x:v>
      </x:c>
      <x:c r="U460" s="2" t="str">
        <x:v>NR</x:v>
      </x:c>
      <x:c r="V460" s="6" t="str">
        <x:v>Task-specific coded evidence</x:v>
      </x:c>
      <x:c r="W460" s="6" t="str">
        <x:v>p. 4; Section III-B</x:v>
      </x:c>
      <x:c r="X460" s="6" t="str">
        <x:v>More system requirements can and is expected to be linked to one user requirement.</x:v>
      </x:c>
      <x:c r="Y460" s="6" t="str">
        <x:v>See task-step evidence references in the RQ2 supplement.</x:v>
      </x:c>
      <x:c r="Z460" s="2" t="str">
        <x:v>Accepted</x:v>
      </x:c>
      <x:c r="AA460" s="6" t="str">
        <x:v>NR</x:v>
      </x:c>
    </x:row>
    <x:row r="461" ht="76" customHeight="1">
      <x:c r="A461" s="2" t="str">
        <x:v>S53-T02-P5</x:v>
      </x:c>
      <x:c r="B461" s="2" t="str">
        <x:v>S53</x:v>
      </x:c>
      <x:c r="C461" s="2" t="str">
        <x:v>merged_1229</x:v>
      </x:c>
      <x:c r="D461" s="2" t="str">
        <x:v>Final coding</x:v>
      </x:c>
      <x:c r="E461" s="2" t="str">
        <x:v>R1/R2</x:v>
      </x:c>
      <x:c r="F461" s="2" t="str">
        <x:v>S53-T02-PROC</x:v>
      </x:c>
      <x:c r="G461" s="2" t="str">
        <x:v>S53-T02</x:v>
      </x:c>
      <x:c r="H461" s="2" t="str">
        <x:v>5 Evolution and embedding</x:v>
      </x:c>
      <x:c r="I461" s="2" t="n">
        <x:v>5</x:v>
      </x:c>
      <x:c r="J461" s="2" t="str">
        <x:v>Common core</x:v>
      </x:c>
      <x:c r="K461" s="2" t="str">
        <x:v>Completed</x:v>
      </x:c>
      <x:c r="L461" s="2" t="str">
        <x:v>Not separately reported</x:v>
      </x:c>
      <x:c r="M461" s="2" t="str">
        <x:v>NR</x:v>
      </x:c>
      <x:c r="N461" s="2" t="str">
        <x:v>NR</x:v>
      </x:c>
      <x:c r="O461" s="2" t="str">
        <x:v>NR</x:v>
      </x:c>
      <x:c r="P461" s="6" t="str">
        <x:v>NR</x:v>
      </x:c>
      <x:c r="Q461" s="2" t="str">
        <x:v>NR</x:v>
      </x:c>
      <x:c r="R461" s="6" t="str">
        <x:v>NR</x:v>
      </x:c>
      <x:c r="S461" s="2" t="str">
        <x:v>NR</x:v>
      </x:c>
      <x:c r="T461" s="2" t="str">
        <x:v>NR</x:v>
      </x:c>
      <x:c r="U461" s="2" t="str">
        <x:v>NR</x:v>
      </x:c>
      <x:c r="V461" s="6" t="str">
        <x:v>Task-specific coded evidence</x:v>
      </x:c>
      <x:c r="W461" s="6" t="str">
        <x:v>p. 4; Section III-B</x:v>
      </x:c>
      <x:c r="X461" s="6" t="str">
        <x:v>More system requirements can and is expected to be linked to one user requirement.</x:v>
      </x:c>
      <x:c r="Y461" s="6" t="str">
        <x:v>See task-step evidence references in the RQ2 supplement.</x:v>
      </x:c>
      <x:c r="Z461" s="2" t="str">
        <x:v>Accepted</x:v>
      </x:c>
      <x:c r="AA461" s="6" t="str">
        <x:v>NR</x:v>
      </x:c>
    </x:row>
    <x:row r="462" ht="76" customHeight="1">
      <x:c r="A462" s="2" t="str">
        <x:v>S53-T03-P1</x:v>
      </x:c>
      <x:c r="B462" s="2" t="str">
        <x:v>S53</x:v>
      </x:c>
      <x:c r="C462" s="2" t="str">
        <x:v>merged_1229</x:v>
      </x:c>
      <x:c r="D462" s="2" t="str">
        <x:v>Final coding</x:v>
      </x:c>
      <x:c r="E462" s="2" t="str">
        <x:v>R1/R2</x:v>
      </x:c>
      <x:c r="F462" s="2" t="str">
        <x:v>S53-T03-PROC</x:v>
      </x:c>
      <x:c r="G462" s="2" t="str">
        <x:v>S53-T03</x:v>
      </x:c>
      <x:c r="H462" s="2" t="str">
        <x:v>1 Artifact acquisition and scoping</x:v>
      </x:c>
      <x:c r="I462" s="2" t="n">
        <x:v>1</x:v>
      </x:c>
      <x:c r="J462" s="2" t="str">
        <x:v>Common core</x:v>
      </x:c>
      <x:c r="K462" s="2" t="str">
        <x:v>Completed</x:v>
      </x:c>
      <x:c r="L462" s="2" t="str">
        <x:v>Not separately reported</x:v>
      </x:c>
      <x:c r="M462" s="2" t="str">
        <x:v>NR</x:v>
      </x:c>
      <x:c r="N462" s="2" t="str">
        <x:v>NR</x:v>
      </x:c>
      <x:c r="O462" s="2" t="str">
        <x:v>NR</x:v>
      </x:c>
      <x:c r="P462" s="6" t="str">
        <x:v>NR</x:v>
      </x:c>
      <x:c r="Q462" s="2" t="str">
        <x:v>NR</x:v>
      </x:c>
      <x:c r="R462" s="6" t="str">
        <x:v>NR</x:v>
      </x:c>
      <x:c r="S462" s="2" t="str">
        <x:v>NR</x:v>
      </x:c>
      <x:c r="T462" s="2" t="str">
        <x:v>NR</x:v>
      </x:c>
      <x:c r="U462" s="2" t="str">
        <x:v>NR</x:v>
      </x:c>
      <x:c r="V462" s="6" t="str">
        <x:v>Task-specific coded evidence</x:v>
      </x:c>
      <x:c r="W462" s="6" t="str">
        <x:v>p. 4; Section III-C</x:v>
      </x:c>
      <x:c r="X462" s="6" t="str">
        <x:v>Please observe and correct any kind of error that you encounter.</x:v>
      </x:c>
      <x:c r="Y462" s="6" t="str">
        <x:v>See task-step evidence references in the RQ2 supplement.</x:v>
      </x:c>
      <x:c r="Z462" s="2" t="str">
        <x:v>Accepted</x:v>
      </x:c>
      <x:c r="AA462" s="6" t="str">
        <x:v>NR</x:v>
      </x:c>
    </x:row>
    <x:row r="463" ht="76" customHeight="1">
      <x:c r="A463" s="2" t="str">
        <x:v>S53-T03-P2</x:v>
      </x:c>
      <x:c r="B463" s="2" t="str">
        <x:v>S53</x:v>
      </x:c>
      <x:c r="C463" s="2" t="str">
        <x:v>merged_1229</x:v>
      </x:c>
      <x:c r="D463" s="2" t="str">
        <x:v>Final coding</x:v>
      </x:c>
      <x:c r="E463" s="2" t="str">
        <x:v>R1/R2</x:v>
      </x:c>
      <x:c r="F463" s="2" t="str">
        <x:v>S53-T03-PROC</x:v>
      </x:c>
      <x:c r="G463" s="2" t="str">
        <x:v>S53-T03</x:v>
      </x:c>
      <x:c r="H463" s="2" t="str">
        <x:v>2 Semantic contextualization</x:v>
      </x:c>
      <x:c r="I463" s="2" t="n">
        <x:v>2</x:v>
      </x:c>
      <x:c r="J463" s="2" t="str">
        <x:v>Common core</x:v>
      </x:c>
      <x:c r="K463" s="2" t="str">
        <x:v>Completed</x:v>
      </x:c>
      <x:c r="L463" s="2" t="str">
        <x:v>Explicitly evidenced</x:v>
      </x:c>
      <x:c r="M463" s="2" t="str">
        <x:v>NR</x:v>
      </x:c>
      <x:c r="N463" s="2" t="str">
        <x:v>NR</x:v>
      </x:c>
      <x:c r="O463" s="2" t="str">
        <x:v>NR</x:v>
      </x:c>
      <x:c r="P463" s="6" t="str">
        <x:v>NR</x:v>
      </x:c>
      <x:c r="Q463" s="2" t="str">
        <x:v>2 Semantic contextualization</x:v>
      </x:c>
      <x:c r="R463" s="6" t="str">
        <x:v>NR</x:v>
      </x:c>
      <x:c r="S463" s="2" t="str">
        <x:v>NR</x:v>
      </x:c>
      <x:c r="T463" s="2" t="str">
        <x:v>NR</x:v>
      </x:c>
      <x:c r="U463" s="2" t="str">
        <x:v>NR</x:v>
      </x:c>
      <x:c r="V463" s="6" t="str">
        <x:v>Task-specific coded evidence</x:v>
      </x:c>
      <x:c r="W463" s="6" t="str">
        <x:v>p. 4; Section III-C</x:v>
      </x:c>
      <x:c r="X463" s="6" t="str">
        <x:v>Please observe and correct any kind of error that you encounter.</x:v>
      </x:c>
      <x:c r="Y463" s="6" t="str">
        <x:v>See task-step evidence references in the RQ2 supplement.</x:v>
      </x:c>
      <x:c r="Z463" s="2" t="str">
        <x:v>Accepted</x:v>
      </x:c>
      <x:c r="AA463" s="6" t="str">
        <x:v>NR</x:v>
      </x:c>
    </x:row>
    <x:row r="464" ht="76" customHeight="1">
      <x:c r="A464" s="2" t="str">
        <x:v>S53-T03-P3</x:v>
      </x:c>
      <x:c r="B464" s="2" t="str">
        <x:v>S53</x:v>
      </x:c>
      <x:c r="C464" s="2" t="str">
        <x:v>merged_1229</x:v>
      </x:c>
      <x:c r="D464" s="2" t="str">
        <x:v>Final coding</x:v>
      </x:c>
      <x:c r="E464" s="2" t="str">
        <x:v>R1/R2</x:v>
      </x:c>
      <x:c r="F464" s="2" t="str">
        <x:v>S53-T03-PROC</x:v>
      </x:c>
      <x:c r="G464" s="2" t="str">
        <x:v>S53-T03</x:v>
      </x:c>
      <x:c r="H464" s="2" t="str">
        <x:v>3 Traceability inference</x:v>
      </x:c>
      <x:c r="I464" s="2" t="n">
        <x:v>3</x:v>
      </x:c>
      <x:c r="J464" s="2" t="str">
        <x:v>Common core</x:v>
      </x:c>
      <x:c r="K464" s="2" t="str">
        <x:v>Completed</x:v>
      </x:c>
      <x:c r="L464" s="2" t="str">
        <x:v>Inferred from relation output</x:v>
      </x:c>
      <x:c r="M464" s="2" t="str">
        <x:v>NR</x:v>
      </x:c>
      <x:c r="N464" s="2" t="str">
        <x:v>NR</x:v>
      </x:c>
      <x:c r="O464" s="2" t="str">
        <x:v>NR</x:v>
      </x:c>
      <x:c r="P464" s="6" t="str">
        <x:v>NR</x:v>
      </x:c>
      <x:c r="Q464" s="2" t="str">
        <x:v>NR</x:v>
      </x:c>
      <x:c r="R464" s="6" t="str">
        <x:v>Detected issues and a corrected requirements document.</x:v>
      </x:c>
      <x:c r="S464" s="2" t="str">
        <x:v>NR</x:v>
      </x:c>
      <x:c r="T464" s="2" t="str">
        <x:v>NR</x:v>
      </x:c>
      <x:c r="U464" s="2" t="str">
        <x:v>NR</x:v>
      </x:c>
      <x:c r="V464" s="6" t="str">
        <x:v>Task-specific coded evidence</x:v>
      </x:c>
      <x:c r="W464" s="6" t="str">
        <x:v>p. 4; Section III-C</x:v>
      </x:c>
      <x:c r="X464" s="6" t="str">
        <x:v>Please observe and correct any kind of error that you encounter.</x:v>
      </x:c>
      <x:c r="Y464" s="6" t="str">
        <x:v>See task-step evidence references in the RQ2 supplement.</x:v>
      </x:c>
      <x:c r="Z464" s="2" t="str">
        <x:v>Accepted</x:v>
      </x:c>
      <x:c r="AA464" s="6" t="str">
        <x:v>NR</x:v>
      </x:c>
    </x:row>
    <x:row r="465" ht="76" customHeight="1">
      <x:c r="A465" s="2" t="str">
        <x:v>S53-T03-P4</x:v>
      </x:c>
      <x:c r="B465" s="2" t="str">
        <x:v>S53</x:v>
      </x:c>
      <x:c r="C465" s="2" t="str">
        <x:v>merged_1229</x:v>
      </x:c>
      <x:c r="D465" s="2" t="str">
        <x:v>Final coding</x:v>
      </x:c>
      <x:c r="E465" s="2" t="str">
        <x:v>R1/R2</x:v>
      </x:c>
      <x:c r="F465" s="2" t="str">
        <x:v>S53-T03-PROC</x:v>
      </x:c>
      <x:c r="G465" s="2" t="str">
        <x:v>S53-T03</x:v>
      </x:c>
      <x:c r="H465" s="2" t="str">
        <x:v>4 Validation and explanation</x:v>
      </x:c>
      <x:c r="I465" s="2" t="n">
        <x:v>4</x:v>
      </x:c>
      <x:c r="J465" s="2" t="str">
        <x:v>Common core</x:v>
      </x:c>
      <x:c r="K465" s="2" t="str">
        <x:v>Completed</x:v>
      </x:c>
      <x:c r="L465" s="2" t="str">
        <x:v>Not separately reported</x:v>
      </x:c>
      <x:c r="M465" s="2" t="str">
        <x:v>NR</x:v>
      </x:c>
      <x:c r="N465" s="2" t="str">
        <x:v>NR</x:v>
      </x:c>
      <x:c r="O465" s="2" t="str">
        <x:v>NR</x:v>
      </x:c>
      <x:c r="P465" s="6" t="str">
        <x:v>NR</x:v>
      </x:c>
      <x:c r="Q465" s="2" t="str">
        <x:v>NR</x:v>
      </x:c>
      <x:c r="R465" s="6" t="str">
        <x:v>NR</x:v>
      </x:c>
      <x:c r="S465" s="2" t="str">
        <x:v>NR</x:v>
      </x:c>
      <x:c r="T465" s="2" t="str">
        <x:v>NR</x:v>
      </x:c>
      <x:c r="U465" s="2" t="str">
        <x:v>NR</x:v>
      </x:c>
      <x:c r="V465" s="6" t="str">
        <x:v>Task-specific coded evidence</x:v>
      </x:c>
      <x:c r="W465" s="6" t="str">
        <x:v>p. 4; Section III-C</x:v>
      </x:c>
      <x:c r="X465" s="6" t="str">
        <x:v>Please observe and correct any kind of error that you encounter.</x:v>
      </x:c>
      <x:c r="Y465" s="6" t="str">
        <x:v>See task-step evidence references in the RQ2 supplement.</x:v>
      </x:c>
      <x:c r="Z465" s="2" t="str">
        <x:v>Accepted</x:v>
      </x:c>
      <x:c r="AA465" s="6" t="str">
        <x:v>NR</x:v>
      </x:c>
    </x:row>
    <x:row r="466" ht="76" customHeight="1">
      <x:c r="A466" s="2" t="str">
        <x:v>S53-T03-P5</x:v>
      </x:c>
      <x:c r="B466" s="2" t="str">
        <x:v>S53</x:v>
      </x:c>
      <x:c r="C466" s="2" t="str">
        <x:v>merged_1229</x:v>
      </x:c>
      <x:c r="D466" s="2" t="str">
        <x:v>Final coding</x:v>
      </x:c>
      <x:c r="E466" s="2" t="str">
        <x:v>R1/R2</x:v>
      </x:c>
      <x:c r="F466" s="2" t="str">
        <x:v>S53-T03-PROC</x:v>
      </x:c>
      <x:c r="G466" s="2" t="str">
        <x:v>S53-T03</x:v>
      </x:c>
      <x:c r="H466" s="2" t="str">
        <x:v>5 Evolution and embedding</x:v>
      </x:c>
      <x:c r="I466" s="2" t="n">
        <x:v>5</x:v>
      </x:c>
      <x:c r="J466" s="2" t="str">
        <x:v>Common core</x:v>
      </x:c>
      <x:c r="K466" s="2" t="str">
        <x:v>Completed</x:v>
      </x:c>
      <x:c r="L466" s="2" t="str">
        <x:v>Not separately reported</x:v>
      </x:c>
      <x:c r="M466" s="2" t="str">
        <x:v>NR</x:v>
      </x:c>
      <x:c r="N466" s="2" t="str">
        <x:v>NR</x:v>
      </x:c>
      <x:c r="O466" s="2" t="str">
        <x:v>NR</x:v>
      </x:c>
      <x:c r="P466" s="6" t="str">
        <x:v>NR</x:v>
      </x:c>
      <x:c r="Q466" s="2" t="str">
        <x:v>NR</x:v>
      </x:c>
      <x:c r="R466" s="6" t="str">
        <x:v>NR</x:v>
      </x:c>
      <x:c r="S466" s="2" t="str">
        <x:v>NR</x:v>
      </x:c>
      <x:c r="T466" s="2" t="str">
        <x:v>NR</x:v>
      </x:c>
      <x:c r="U466" s="2" t="str">
        <x:v>NR</x:v>
      </x:c>
      <x:c r="V466" s="6" t="str">
        <x:v>Task-specific coded evidence</x:v>
      </x:c>
      <x:c r="W466" s="6" t="str">
        <x:v>p. 4; Section III-C</x:v>
      </x:c>
      <x:c r="X466" s="6" t="str">
        <x:v>Please observe and correct any kind of error that you encounter.</x:v>
      </x:c>
      <x:c r="Y466" s="6" t="str">
        <x:v>See task-step evidence references in the RQ2 supplement.</x:v>
      </x:c>
      <x:c r="Z466" s="2" t="str">
        <x:v>Accepted</x:v>
      </x:c>
      <x:c r="AA466" s="6" t="str">
        <x:v>NR</x:v>
      </x:c>
    </x:row>
    <x:row r="467" ht="76" customHeight="1">
      <x:c r="A467" s="2" t="str">
        <x:v>S53-T04-P1</x:v>
      </x:c>
      <x:c r="B467" s="2" t="str">
        <x:v>S53</x:v>
      </x:c>
      <x:c r="C467" s="2" t="str">
        <x:v>merged_1229</x:v>
      </x:c>
      <x:c r="D467" s="2" t="str">
        <x:v>Final coding</x:v>
      </x:c>
      <x:c r="E467" s="2" t="str">
        <x:v>R1/R2</x:v>
      </x:c>
      <x:c r="F467" s="2" t="str">
        <x:v>S53-T04-PROC</x:v>
      </x:c>
      <x:c r="G467" s="2" t="str">
        <x:v>S53-T04</x:v>
      </x:c>
      <x:c r="H467" s="2" t="str">
        <x:v>1 Artifact acquisition and scoping</x:v>
      </x:c>
      <x:c r="I467" s="2" t="n">
        <x:v>1</x:v>
      </x:c>
      <x:c r="J467" s="2" t="str">
        <x:v>Common core</x:v>
      </x:c>
      <x:c r="K467" s="2" t="str">
        <x:v>Completed</x:v>
      </x:c>
      <x:c r="L467" s="2" t="str">
        <x:v>Not separately reported</x:v>
      </x:c>
      <x:c r="M467" s="2" t="str">
        <x:v>NR</x:v>
      </x:c>
      <x:c r="N467" s="2" t="str">
        <x:v>NR</x:v>
      </x:c>
      <x:c r="O467" s="2" t="str">
        <x:v>NR</x:v>
      </x:c>
      <x:c r="P467" s="6" t="str">
        <x:v>NR</x:v>
      </x:c>
      <x:c r="Q467" s="2" t="str">
        <x:v>NR</x:v>
      </x:c>
      <x:c r="R467" s="6" t="str">
        <x:v>NR</x:v>
      </x:c>
      <x:c r="S467" s="2" t="str">
        <x:v>NR</x:v>
      </x:c>
      <x:c r="T467" s="2" t="str">
        <x:v>NR</x:v>
      </x:c>
      <x:c r="U467" s="2" t="str">
        <x:v>NR</x:v>
      </x:c>
      <x:c r="V467" s="6" t="str">
        <x:v>Task-specific coded evidence</x:v>
      </x:c>
      <x:c r="W467" s="6" t="str">
        <x:v>pp. 4-5; Section III-D</x:v>
      </x:c>
      <x:c r="X467" s="6" t="str">
        <x:v>generate the derived product test cases specification to cover all these requirements</x:v>
      </x:c>
      <x:c r="Y467" s="6" t="str">
        <x:v>See task-step evidence references in the RQ2 supplement.</x:v>
      </x:c>
      <x:c r="Z467" s="2" t="str">
        <x:v>Accepted</x:v>
      </x:c>
      <x:c r="AA467" s="6" t="str">
        <x:v>NR</x:v>
      </x:c>
    </x:row>
    <x:row r="468" ht="76" customHeight="1">
      <x:c r="A468" s="2" t="str">
        <x:v>S53-T04-P2</x:v>
      </x:c>
      <x:c r="B468" s="2" t="str">
        <x:v>S53</x:v>
      </x:c>
      <x:c r="C468" s="2" t="str">
        <x:v>merged_1229</x:v>
      </x:c>
      <x:c r="D468" s="2" t="str">
        <x:v>Final coding</x:v>
      </x:c>
      <x:c r="E468" s="2" t="str">
        <x:v>R1/R2</x:v>
      </x:c>
      <x:c r="F468" s="2" t="str">
        <x:v>S53-T04-PROC</x:v>
      </x:c>
      <x:c r="G468" s="2" t="str">
        <x:v>S53-T04</x:v>
      </x:c>
      <x:c r="H468" s="2" t="str">
        <x:v>2 Semantic contextualization</x:v>
      </x:c>
      <x:c r="I468" s="2" t="n">
        <x:v>2</x:v>
      </x:c>
      <x:c r="J468" s="2" t="str">
        <x:v>Common core</x:v>
      </x:c>
      <x:c r="K468" s="2" t="str">
        <x:v>Completed</x:v>
      </x:c>
      <x:c r="L468" s="2" t="str">
        <x:v>Not separately reported</x:v>
      </x:c>
      <x:c r="M468" s="2" t="str">
        <x:v>NR</x:v>
      </x:c>
      <x:c r="N468" s="2" t="str">
        <x:v>NR</x:v>
      </x:c>
      <x:c r="O468" s="2" t="str">
        <x:v>NR</x:v>
      </x:c>
      <x:c r="P468" s="6" t="str">
        <x:v>NR</x:v>
      </x:c>
      <x:c r="Q468" s="2" t="str">
        <x:v>NR</x:v>
      </x:c>
      <x:c r="R468" s="6" t="str">
        <x:v>NR</x:v>
      </x:c>
      <x:c r="S468" s="2" t="str">
        <x:v>NR</x:v>
      </x:c>
      <x:c r="T468" s="2" t="str">
        <x:v>NR</x:v>
      </x:c>
      <x:c r="U468" s="2" t="str">
        <x:v>NR</x:v>
      </x:c>
      <x:c r="V468" s="6" t="str">
        <x:v>Task-specific coded evidence</x:v>
      </x:c>
      <x:c r="W468" s="6" t="str">
        <x:v>pp. 4-5; Section III-D</x:v>
      </x:c>
      <x:c r="X468" s="6" t="str">
        <x:v>generate the derived product test cases specification to cover all these requirements</x:v>
      </x:c>
      <x:c r="Y468" s="6" t="str">
        <x:v>See task-step evidence references in the RQ2 supplement.</x:v>
      </x:c>
      <x:c r="Z468" s="2" t="str">
        <x:v>Accepted</x:v>
      </x:c>
      <x:c r="AA468" s="6" t="str">
        <x:v>NR</x:v>
      </x:c>
    </x:row>
    <x:row r="469" ht="76" customHeight="1">
      <x:c r="A469" s="2" t="str">
        <x:v>S53-T04-P3</x:v>
      </x:c>
      <x:c r="B469" s="2" t="str">
        <x:v>S53</x:v>
      </x:c>
      <x:c r="C469" s="2" t="str">
        <x:v>merged_1229</x:v>
      </x:c>
      <x:c r="D469" s="2" t="str">
        <x:v>Final coding</x:v>
      </x:c>
      <x:c r="E469" s="2" t="str">
        <x:v>R1/R2</x:v>
      </x:c>
      <x:c r="F469" s="2" t="str">
        <x:v>S53-T04-PROC</x:v>
      </x:c>
      <x:c r="G469" s="2" t="str">
        <x:v>S53-T04</x:v>
      </x:c>
      <x:c r="H469" s="2" t="str">
        <x:v>3 Traceability inference</x:v>
      </x:c>
      <x:c r="I469" s="2" t="n">
        <x:v>3</x:v>
      </x:c>
      <x:c r="J469" s="2" t="str">
        <x:v>Common core</x:v>
      </x:c>
      <x:c r="K469" s="2" t="str">
        <x:v>Completed</x:v>
      </x:c>
      <x:c r="L469" s="2" t="str">
        <x:v>Explicitly evidenced</x:v>
      </x:c>
      <x:c r="M469" s="2" t="str">
        <x:v>NR</x:v>
      </x:c>
      <x:c r="N469" s="2" t="str">
        <x:v>NR</x:v>
      </x:c>
      <x:c r="O469" s="2" t="str">
        <x:v>NR</x:v>
      </x:c>
      <x:c r="P469" s="6" t="str">
        <x:v>NR</x:v>
      </x:c>
      <x:c r="Q469" s="2" t="str">
        <x:v>3 Traceability inference</x:v>
      </x:c>
      <x:c r="R469" s="6" t="str">
        <x:v>Test cases with identifiers, procedures, expected results, and requirement links.</x:v>
      </x:c>
      <x:c r="S469" s="2" t="str">
        <x:v>NR</x:v>
      </x:c>
      <x:c r="T469" s="2" t="str">
        <x:v>NR</x:v>
      </x:c>
      <x:c r="U469" s="2" t="str">
        <x:v>NR</x:v>
      </x:c>
      <x:c r="V469" s="6" t="str">
        <x:v>Task-specific coded evidence</x:v>
      </x:c>
      <x:c r="W469" s="6" t="str">
        <x:v>pp. 4-5; Section III-D</x:v>
      </x:c>
      <x:c r="X469" s="6" t="str">
        <x:v>generate the derived product test cases specification to cover all these requirements</x:v>
      </x:c>
      <x:c r="Y469" s="6" t="str">
        <x:v>See task-step evidence references in the RQ2 supplement.</x:v>
      </x:c>
      <x:c r="Z469" s="2" t="str">
        <x:v>Accepted</x:v>
      </x:c>
      <x:c r="AA469" s="6" t="str">
        <x:v>NR</x:v>
      </x:c>
    </x:row>
    <x:row r="470" ht="76" customHeight="1">
      <x:c r="A470" s="2" t="str">
        <x:v>S53-T04-P4</x:v>
      </x:c>
      <x:c r="B470" s="2" t="str">
        <x:v>S53</x:v>
      </x:c>
      <x:c r="C470" s="2" t="str">
        <x:v>merged_1229</x:v>
      </x:c>
      <x:c r="D470" s="2" t="str">
        <x:v>Final coding</x:v>
      </x:c>
      <x:c r="E470" s="2" t="str">
        <x:v>R1/R2</x:v>
      </x:c>
      <x:c r="F470" s="2" t="str">
        <x:v>S53-T04-PROC</x:v>
      </x:c>
      <x:c r="G470" s="2" t="str">
        <x:v>S53-T04</x:v>
      </x:c>
      <x:c r="H470" s="2" t="str">
        <x:v>4 Validation and explanation</x:v>
      </x:c>
      <x:c r="I470" s="2" t="n">
        <x:v>4</x:v>
      </x:c>
      <x:c r="J470" s="2" t="str">
        <x:v>Common core</x:v>
      </x:c>
      <x:c r="K470" s="2" t="str">
        <x:v>Completed</x:v>
      </x:c>
      <x:c r="L470" s="2" t="str">
        <x:v>Not separately reported</x:v>
      </x:c>
      <x:c r="M470" s="2" t="str">
        <x:v>NR</x:v>
      </x:c>
      <x:c r="N470" s="2" t="str">
        <x:v>NR</x:v>
      </x:c>
      <x:c r="O470" s="2" t="str">
        <x:v>NR</x:v>
      </x:c>
      <x:c r="P470" s="6" t="str">
        <x:v>NR</x:v>
      </x:c>
      <x:c r="Q470" s="2" t="str">
        <x:v>NR</x:v>
      </x:c>
      <x:c r="R470" s="6" t="str">
        <x:v>NR</x:v>
      </x:c>
      <x:c r="S470" s="2" t="str">
        <x:v>NR</x:v>
      </x:c>
      <x:c r="T470" s="2" t="str">
        <x:v>NR</x:v>
      </x:c>
      <x:c r="U470" s="2" t="str">
        <x:v>NR</x:v>
      </x:c>
      <x:c r="V470" s="6" t="str">
        <x:v>Task-specific coded evidence</x:v>
      </x:c>
      <x:c r="W470" s="6" t="str">
        <x:v>pp. 4-5; Section III-D</x:v>
      </x:c>
      <x:c r="X470" s="6" t="str">
        <x:v>generate the derived product test cases specification to cover all these requirements</x:v>
      </x:c>
      <x:c r="Y470" s="6" t="str">
        <x:v>See task-step evidence references in the RQ2 supplement.</x:v>
      </x:c>
      <x:c r="Z470" s="2" t="str">
        <x:v>Accepted</x:v>
      </x:c>
      <x:c r="AA470" s="6" t="str">
        <x:v>NR</x:v>
      </x:c>
    </x:row>
    <x:row r="471" ht="76" customHeight="1">
      <x:c r="A471" s="2" t="str">
        <x:v>S53-T04-P5</x:v>
      </x:c>
      <x:c r="B471" s="2" t="str">
        <x:v>S53</x:v>
      </x:c>
      <x:c r="C471" s="2" t="str">
        <x:v>merged_1229</x:v>
      </x:c>
      <x:c r="D471" s="2" t="str">
        <x:v>Final coding</x:v>
      </x:c>
      <x:c r="E471" s="2" t="str">
        <x:v>R1/R2</x:v>
      </x:c>
      <x:c r="F471" s="2" t="str">
        <x:v>S53-T04-PROC</x:v>
      </x:c>
      <x:c r="G471" s="2" t="str">
        <x:v>S53-T04</x:v>
      </x:c>
      <x:c r="H471" s="2" t="str">
        <x:v>5 Evolution and embedding</x:v>
      </x:c>
      <x:c r="I471" s="2" t="n">
        <x:v>5</x:v>
      </x:c>
      <x:c r="J471" s="2" t="str">
        <x:v>Common core</x:v>
      </x:c>
      <x:c r="K471" s="2" t="str">
        <x:v>Completed</x:v>
      </x:c>
      <x:c r="L471" s="2" t="str">
        <x:v>Not separately reported</x:v>
      </x:c>
      <x:c r="M471" s="2" t="str">
        <x:v>NR</x:v>
      </x:c>
      <x:c r="N471" s="2" t="str">
        <x:v>NR</x:v>
      </x:c>
      <x:c r="O471" s="2" t="str">
        <x:v>NR</x:v>
      </x:c>
      <x:c r="P471" s="6" t="str">
        <x:v>NR</x:v>
      </x:c>
      <x:c r="Q471" s="2" t="str">
        <x:v>NR</x:v>
      </x:c>
      <x:c r="R471" s="6" t="str">
        <x:v>NR</x:v>
      </x:c>
      <x:c r="S471" s="2" t="str">
        <x:v>NR</x:v>
      </x:c>
      <x:c r="T471" s="2" t="str">
        <x:v>NR</x:v>
      </x:c>
      <x:c r="U471" s="2" t="str">
        <x:v>NR</x:v>
      </x:c>
      <x:c r="V471" s="6" t="str">
        <x:v>Task-specific coded evidence</x:v>
      </x:c>
      <x:c r="W471" s="6" t="str">
        <x:v>pp. 4-5; Section III-D</x:v>
      </x:c>
      <x:c r="X471" s="6" t="str">
        <x:v>generate the derived product test cases specification to cover all these requirements</x:v>
      </x:c>
      <x:c r="Y471" s="6" t="str">
        <x:v>See task-step evidence references in the RQ2 supplement.</x:v>
      </x:c>
      <x:c r="Z471" s="2" t="str">
        <x:v>Accepted</x:v>
      </x:c>
      <x:c r="AA471" s="6" t="str">
        <x:v>NR</x:v>
      </x:c>
    </x:row>
    <x:row r="472" ht="76" customHeight="1">
      <x:c r="A472" s="2" t="str">
        <x:v>G1-T01-P1</x:v>
      </x:c>
      <x:c r="B472" s="2" t="str">
        <x:v>G1</x:v>
      </x:c>
      <x:c r="C472" s="2" t="str">
        <x:v>v1</x:v>
      </x:c>
      <x:c r="D472" s="2" t="str">
        <x:v>Final coding</x:v>
      </x:c>
      <x:c r="E472" s="2" t="str">
        <x:v>R1/R2</x:v>
      </x:c>
      <x:c r="F472" s="2" t="str">
        <x:v>G1-T01-PROC</x:v>
      </x:c>
      <x:c r="G472" s="2" t="str">
        <x:v>G1-T01</x:v>
      </x:c>
      <x:c r="H472" s="2" t="str">
        <x:v>1 Artifact acquisition and scoping</x:v>
      </x:c>
      <x:c r="I472" s="2" t="n">
        <x:v>1</x:v>
      </x:c>
      <x:c r="J472" s="2" t="str">
        <x:v>Common core</x:v>
      </x:c>
      <x:c r="K472" s="2" t="str">
        <x:v>Completed</x:v>
      </x:c>
      <x:c r="L472" s="2" t="str">
        <x:v>Not separately reported</x:v>
      </x:c>
      <x:c r="M472" s="2" t="str">
        <x:v>NR</x:v>
      </x:c>
      <x:c r="N472" s="2" t="str">
        <x:v>NR</x:v>
      </x:c>
      <x:c r="O472" s="2" t="str">
        <x:v>NR</x:v>
      </x:c>
      <x:c r="P472" s="6" t="str">
        <x:v>NR</x:v>
      </x:c>
      <x:c r="Q472" s="2" t="str">
        <x:v>NR</x:v>
      </x:c>
      <x:c r="R472" s="6" t="str">
        <x:v>NR</x:v>
      </x:c>
      <x:c r="S472" s="2" t="str">
        <x:v>NR</x:v>
      </x:c>
      <x:c r="T472" s="2" t="str">
        <x:v>NR</x:v>
      </x:c>
      <x:c r="U472" s="2" t="str">
        <x:v>NR</x:v>
      </x:c>
      <x:c r="V472" s="6" t="str">
        <x:v>Scenario generation supplies context. RTM construction and edge-case scenarios retain explicit requirement relations.</x:v>
      </x:c>
      <x:c r="W472" s="6" t="str">
        <x:v>G1_video_page.png (upload date field, title, view count, likes) ; G1_page_description.png (view count, description text, hashtags, Udemy course links and coupon code) ; [00:00] ; [00:33] ; [00:37] ; [00:50] ; [01:18] ; [02:27] ; [02:33] ; [02:55] ; [03:17] ; [03:41] ; [03:52] ; [04:27] ; [05:04] ; [06:46] </x:v>
      </x:c>
      <x:c r="X472" s="6" t="str">
        <x:v>we can make use of chat gpd to perform requirement traceability matrix of our software quality test cases and automated test case ; we're going to ask chat gpd to write the scenarios for us in version 3.5 ; perform requirement traceability of the above requirement with the below scenario</x:v>
      </x:c>
      <x:c r="Y472" s="6" t="str">
        <x:v>Scenario generation supplies context. RTM construction and edge-case scenarios retain explicit requirement relations.</x:v>
      </x:c>
      <x:c r="Z472" s="2" t="str">
        <x:v>Accepted</x:v>
      </x:c>
      <x:c r="AA472" s="6" t="str">
        <x:v>NR</x:v>
      </x:c>
    </x:row>
    <x:row r="473" ht="76" customHeight="1">
      <x:c r="A473" s="2" t="str">
        <x:v>G1-T01-P2</x:v>
      </x:c>
      <x:c r="B473" s="2" t="str">
        <x:v>G1</x:v>
      </x:c>
      <x:c r="C473" s="2" t="str">
        <x:v>v1</x:v>
      </x:c>
      <x:c r="D473" s="2" t="str">
        <x:v>Final coding</x:v>
      </x:c>
      <x:c r="E473" s="2" t="str">
        <x:v>R1/R2</x:v>
      </x:c>
      <x:c r="F473" s="2" t="str">
        <x:v>G1-T01-PROC</x:v>
      </x:c>
      <x:c r="G473" s="2" t="str">
        <x:v>G1-T01</x:v>
      </x:c>
      <x:c r="H473" s="2" t="str">
        <x:v>2 Semantic contextualization</x:v>
      </x:c>
      <x:c r="I473" s="2" t="n">
        <x:v>2</x:v>
      </x:c>
      <x:c r="J473" s="2" t="str">
        <x:v>Common core</x:v>
      </x:c>
      <x:c r="K473" s="2" t="str">
        <x:v>Completed</x:v>
      </x:c>
      <x:c r="L473" s="2" t="str">
        <x:v>Explicitly evidenced</x:v>
      </x:c>
      <x:c r="M473" s="2" t="str">
        <x:v>NR</x:v>
      </x:c>
      <x:c r="N473" s="2" t="str">
        <x:v>NR</x:v>
      </x:c>
      <x:c r="O473" s="2" t="str">
        <x:v>NR</x:v>
      </x:c>
      <x:c r="P473" s="6" t="str">
        <x:v>NR</x:v>
      </x:c>
      <x:c r="Q473" s="2" t="str">
        <x:v>2 Semantic contextualization</x:v>
      </x:c>
      <x:c r="R473" s="6" t="str">
        <x:v>NR</x:v>
      </x:c>
      <x:c r="S473" s="2" t="str">
        <x:v>NR</x:v>
      </x:c>
      <x:c r="T473" s="2" t="str">
        <x:v>NR</x:v>
      </x:c>
      <x:c r="U473" s="2" t="str">
        <x:v>NR</x:v>
      </x:c>
      <x:c r="V473" s="6" t="str">
        <x:v>Scenario generation supplies context. RTM construction and edge-case scenarios retain explicit requirement relations.</x:v>
      </x:c>
      <x:c r="W473" s="6" t="str">
        <x:v>G1_video_page.png (upload date field, title, view count, likes) ; G1_page_description.png (view count, description text, hashtags, Udemy course links and coupon code) ; [00:00] ; [00:33] ; [00:37] ; [00:50] ; [01:18] ; [02:27] ; [02:33] ; [02:55] ; [03:17] ; [03:41] ; [03:52] ; [04:27] ; [05:04] ; [06:46] </x:v>
      </x:c>
      <x:c r="X473" s="6" t="str">
        <x:v>we can make use of chat gpd to perform requirement traceability matrix of our software quality test cases and automated test case ; we're going to ask chat gpd to write the scenarios for us in version 3.5 ; perform requirement traceability of the above requirement with the below scenario</x:v>
      </x:c>
      <x:c r="Y473" s="6" t="str">
        <x:v>Scenario generation supplies context. RTM construction and edge-case scenarios retain explicit requirement relations.</x:v>
      </x:c>
      <x:c r="Z473" s="2" t="str">
        <x:v>Accepted</x:v>
      </x:c>
      <x:c r="AA473" s="6" t="str">
        <x:v>NR</x:v>
      </x:c>
    </x:row>
    <x:row r="474" ht="76" customHeight="1">
      <x:c r="A474" s="2" t="str">
        <x:v>G1-T01-P3</x:v>
      </x:c>
      <x:c r="B474" s="2" t="str">
        <x:v>G1</x:v>
      </x:c>
      <x:c r="C474" s="2" t="str">
        <x:v>v1</x:v>
      </x:c>
      <x:c r="D474" s="2" t="str">
        <x:v>Final coding</x:v>
      </x:c>
      <x:c r="E474" s="2" t="str">
        <x:v>R1/R2</x:v>
      </x:c>
      <x:c r="F474" s="2" t="str">
        <x:v>G1-T01-PROC</x:v>
      </x:c>
      <x:c r="G474" s="2" t="str">
        <x:v>G1-T01</x:v>
      </x:c>
      <x:c r="H474" s="2" t="str">
        <x:v>3 Traceability inference</x:v>
      </x:c>
      <x:c r="I474" s="2" t="n">
        <x:v>3</x:v>
      </x:c>
      <x:c r="J474" s="2" t="str">
        <x:v>Common core</x:v>
      </x:c>
      <x:c r="K474" s="2" t="str">
        <x:v>Completed</x:v>
      </x:c>
      <x:c r="L474" s="2" t="str">
        <x:v>Explicitly evidenced</x:v>
      </x:c>
      <x:c r="M474" s="2" t="str">
        <x:v>NR</x:v>
      </x:c>
      <x:c r="N474" s="2" t="str">
        <x:v>NR</x:v>
      </x:c>
      <x:c r="O474" s="2" t="str">
        <x:v>NR</x:v>
      </x:c>
      <x:c r="P474" s="6" t="str">
        <x:v>NR</x:v>
      </x:c>
      <x:c r="Q474" s="2" t="str">
        <x:v>3 Traceability inference</x:v>
      </x:c>
      <x:c r="R474" s="6" t="str">
        <x:v>a requirement traceability matrix that maps the requirement to the generated manual and automated test scenarios</x:v>
      </x:c>
      <x:c r="S474" s="2" t="str">
        <x:v>NR</x:v>
      </x:c>
      <x:c r="T474" s="2" t="str">
        <x:v>NR</x:v>
      </x:c>
      <x:c r="U474" s="2" t="str">
        <x:v>NR</x:v>
      </x:c>
      <x:c r="V474" s="6" t="str">
        <x:v>Scenario generation supplies context. RTM construction and edge-case scenarios retain explicit requirement relations.</x:v>
      </x:c>
      <x:c r="W474" s="6" t="str">
        <x:v>G1_video_page.png (upload date field, title, view count, likes) ; G1_page_description.png (view count, description text, hashtags, Udemy course links and coupon code) ; [00:00] ; [00:33] ; [00:37] ; [00:50] ; [01:18] ; [02:27] ; [02:33] ; [02:55] ; [03:17] ; [03:41] ; [03:52] ; [04:27] ; [05:04] ; [06:46] </x:v>
      </x:c>
      <x:c r="X474" s="6" t="str">
        <x:v>we can make use of chat gpd to perform requirement traceability matrix of our software quality test cases and automated test case ; we're going to ask chat gpd to write the scenarios for us in version 3.5 ; perform requirement traceability of the above requirement with the below scenario</x:v>
      </x:c>
      <x:c r="Y474" s="6" t="str">
        <x:v>Scenario generation supplies context. RTM construction and edge-case scenarios retain explicit requirement relations.</x:v>
      </x:c>
      <x:c r="Z474" s="2" t="str">
        <x:v>Accepted</x:v>
      </x:c>
      <x:c r="AA474" s="6" t="str">
        <x:v>NR</x:v>
      </x:c>
    </x:row>
    <x:row r="475" ht="76" customHeight="1">
      <x:c r="A475" s="2" t="str">
        <x:v>G1-T01-P4</x:v>
      </x:c>
      <x:c r="B475" s="2" t="str">
        <x:v>G1</x:v>
      </x:c>
      <x:c r="C475" s="2" t="str">
        <x:v>v1</x:v>
      </x:c>
      <x:c r="D475" s="2" t="str">
        <x:v>Final coding</x:v>
      </x:c>
      <x:c r="E475" s="2" t="str">
        <x:v>R1/R2</x:v>
      </x:c>
      <x:c r="F475" s="2" t="str">
        <x:v>G1-T01-PROC</x:v>
      </x:c>
      <x:c r="G475" s="2" t="str">
        <x:v>G1-T01</x:v>
      </x:c>
      <x:c r="H475" s="2" t="str">
        <x:v>4 Validation and explanation</x:v>
      </x:c>
      <x:c r="I475" s="2" t="n">
        <x:v>4</x:v>
      </x:c>
      <x:c r="J475" s="2" t="str">
        <x:v>Common core</x:v>
      </x:c>
      <x:c r="K475" s="2" t="str">
        <x:v>Completed</x:v>
      </x:c>
      <x:c r="L475" s="2" t="str">
        <x:v>Not separately reported</x:v>
      </x:c>
      <x:c r="M475" s="2" t="str">
        <x:v>NR</x:v>
      </x:c>
      <x:c r="N475" s="2" t="str">
        <x:v>NR</x:v>
      </x:c>
      <x:c r="O475" s="2" t="str">
        <x:v>NR</x:v>
      </x:c>
      <x:c r="P475" s="6" t="str">
        <x:v>NR</x:v>
      </x:c>
      <x:c r="Q475" s="2" t="str">
        <x:v>NR</x:v>
      </x:c>
      <x:c r="R475" s="6" t="str">
        <x:v>NR</x:v>
      </x:c>
      <x:c r="S475" s="2" t="str">
        <x:v>NR</x:v>
      </x:c>
      <x:c r="T475" s="2" t="str">
        <x:v>NR</x:v>
      </x:c>
      <x:c r="U475" s="2" t="str">
        <x:v>NR</x:v>
      </x:c>
      <x:c r="V475" s="6" t="str">
        <x:v>Scenario generation supplies context. RTM construction and edge-case scenarios retain explicit requirement relations.</x:v>
      </x:c>
      <x:c r="W475" s="6" t="str">
        <x:v>G1_video_page.png (upload date field, title, view count, likes) ; G1_page_description.png (view count, description text, hashtags, Udemy course links and coupon code) ; [00:00] ; [00:33] ; [00:37] ; [00:50] ; [01:18] ; [02:27] ; [02:33] ; [02:55] ; [03:17] ; [03:41] ; [03:52] ; [04:27] ; [05:04] ; [06:46] </x:v>
      </x:c>
      <x:c r="X475" s="6" t="str">
        <x:v>we can make use of chat gpd to perform requirement traceability matrix of our software quality test cases and automated test case ; we're going to ask chat gpd to write the scenarios for us in version 3.5 ; perform requirement traceability of the above requirement with the below scenario</x:v>
      </x:c>
      <x:c r="Y475" s="6" t="str">
        <x:v>Scenario generation supplies context. RTM construction and edge-case scenarios retain explicit requirement relations.</x:v>
      </x:c>
      <x:c r="Z475" s="2" t="str">
        <x:v>Accepted</x:v>
      </x:c>
      <x:c r="AA475" s="6" t="str">
        <x:v>NR</x:v>
      </x:c>
    </x:row>
    <x:row r="476" ht="76" customHeight="1">
      <x:c r="A476" s="2" t="str">
        <x:v>G1-T01-P5</x:v>
      </x:c>
      <x:c r="B476" s="2" t="str">
        <x:v>G1</x:v>
      </x:c>
      <x:c r="C476" s="2" t="str">
        <x:v>v1</x:v>
      </x:c>
      <x:c r="D476" s="2" t="str">
        <x:v>Final coding</x:v>
      </x:c>
      <x:c r="E476" s="2" t="str">
        <x:v>R1/R2</x:v>
      </x:c>
      <x:c r="F476" s="2" t="str">
        <x:v>G1-T01-PROC</x:v>
      </x:c>
      <x:c r="G476" s="2" t="str">
        <x:v>G1-T01</x:v>
      </x:c>
      <x:c r="H476" s="2" t="str">
        <x:v>5 Evolution and embedding</x:v>
      </x:c>
      <x:c r="I476" s="2" t="n">
        <x:v>5</x:v>
      </x:c>
      <x:c r="J476" s="2" t="str">
        <x:v>Common core</x:v>
      </x:c>
      <x:c r="K476" s="2" t="str">
        <x:v>Completed</x:v>
      </x:c>
      <x:c r="L476" s="2" t="str">
        <x:v>Not separately reported</x:v>
      </x:c>
      <x:c r="M476" s="2" t="str">
        <x:v>NR</x:v>
      </x:c>
      <x:c r="N476" s="2" t="str">
        <x:v>NR</x:v>
      </x:c>
      <x:c r="O476" s="2" t="str">
        <x:v>NR</x:v>
      </x:c>
      <x:c r="P476" s="6" t="str">
        <x:v>NR</x:v>
      </x:c>
      <x:c r="Q476" s="2" t="str">
        <x:v>NR</x:v>
      </x:c>
      <x:c r="R476" s="6" t="str">
        <x:v>NR</x:v>
      </x:c>
      <x:c r="S476" s="2" t="str">
        <x:v>NR</x:v>
      </x:c>
      <x:c r="T476" s="2" t="str">
        <x:v>NR</x:v>
      </x:c>
      <x:c r="U476" s="2" t="str">
        <x:v>NR</x:v>
      </x:c>
      <x:c r="V476" s="6" t="str">
        <x:v>Scenario generation supplies context. RTM construction and edge-case scenarios retain explicit requirement relations.</x:v>
      </x:c>
      <x:c r="W476" s="6" t="str">
        <x:v>G1_video_page.png (upload date field, title, view count, likes) ; G1_page_description.png (view count, description text, hashtags, Udemy course links and coupon code) ; [00:00] ; [00:33] ; [00:37] ; [00:50] ; [01:18] ; [02:27] ; [02:33] ; [02:55] ; [03:17] ; [03:41] ; [03:52] ; [04:27] ; [05:04] ; [06:46] </x:v>
      </x:c>
      <x:c r="X476" s="6" t="str">
        <x:v>we can make use of chat gpd to perform requirement traceability matrix of our software quality test cases and automated test case ; we're going to ask chat gpd to write the scenarios for us in version 3.5 ; perform requirement traceability of the above requirement with the below scenario</x:v>
      </x:c>
      <x:c r="Y476" s="6" t="str">
        <x:v>Scenario generation supplies context. RTM construction and edge-case scenarios retain explicit requirement relations.</x:v>
      </x:c>
      <x:c r="Z476" s="2" t="str">
        <x:v>Accepted</x:v>
      </x:c>
      <x:c r="AA476" s="6" t="str">
        <x:v>NR</x:v>
      </x:c>
    </x:row>
    <x:row r="477" ht="76" customHeight="1">
      <x:c r="A477" s="2" t="str">
        <x:v>G1-T02-P1</x:v>
      </x:c>
      <x:c r="B477" s="2" t="str">
        <x:v>G1</x:v>
      </x:c>
      <x:c r="C477" s="2" t="str">
        <x:v>v1</x:v>
      </x:c>
      <x:c r="D477" s="2" t="str">
        <x:v>Final coding</x:v>
      </x:c>
      <x:c r="E477" s="2" t="str">
        <x:v>R1/R2</x:v>
      </x:c>
      <x:c r="F477" s="2" t="str">
        <x:v>G1-T02-PROC</x:v>
      </x:c>
      <x:c r="G477" s="2" t="str">
        <x:v>G1-T02</x:v>
      </x:c>
      <x:c r="H477" s="2" t="str">
        <x:v>1 Artifact acquisition and scoping</x:v>
      </x:c>
      <x:c r="I477" s="2" t="n">
        <x:v>1</x:v>
      </x:c>
      <x:c r="J477" s="2" t="str">
        <x:v>Common core</x:v>
      </x:c>
      <x:c r="K477" s="2" t="str">
        <x:v>Completed</x:v>
      </x:c>
      <x:c r="L477" s="2" t="str">
        <x:v>Not separately reported</x:v>
      </x:c>
      <x:c r="M477" s="2" t="str">
        <x:v>NR</x:v>
      </x:c>
      <x:c r="N477" s="2" t="str">
        <x:v>NR</x:v>
      </x:c>
      <x:c r="O477" s="2" t="str">
        <x:v>NR</x:v>
      </x:c>
      <x:c r="P477" s="6" t="str">
        <x:v>NR</x:v>
      </x:c>
      <x:c r="Q477" s="2" t="str">
        <x:v>NR</x:v>
      </x:c>
      <x:c r="R477" s="6" t="str">
        <x:v>NR</x:v>
      </x:c>
      <x:c r="S477" s="2" t="str">
        <x:v>NR</x:v>
      </x:c>
      <x:c r="T477" s="2" t="str">
        <x:v>NR</x:v>
      </x:c>
      <x:c r="U477" s="2" t="str">
        <x:v>NR</x:v>
      </x:c>
      <x:c r="V477" s="6" t="str">
        <x:v>Existing scenarios are checked, and uncovered requirements are identified. Role-coded gap identification supplies the initial coverage relation.</x:v>
      </x:c>
      <x:c r="W477" s="6" t="str">
        <x:v>G1_video_page.png (upload date field, title, view count, likes) ; G1_page_description.png (view count, description text, hashtags, Udemy course links and coupon code) ; [00:00] ; [00:33] ; [00:37] ; [00:50] ; [01:18] ; [02:27] ; [02:33] ; [02:55] ; [03:17] ; [03:41] ; [03:52] ; [04:27] ; [05:04] ; [06:46] </x:v>
      </x:c>
      <x:c r="X477" s="6" t="str">
        <x:v>paste it into chat gpd4 to ask us to verify if there requirement matches the test cases ; it can also tell that this particular requirement is not really covered in the test scenario</x:v>
      </x:c>
      <x:c r="Y477" s="6" t="str">
        <x:v>Existing scenarios are checked, and uncovered requirements are identified. Role-coded gap identification supplies the initial coverage relation.</x:v>
      </x:c>
      <x:c r="Z477" s="2" t="str">
        <x:v>Accepted</x:v>
      </x:c>
      <x:c r="AA477" s="6" t="str">
        <x:v>NR</x:v>
      </x:c>
    </x:row>
    <x:row r="478" ht="76" customHeight="1">
      <x:c r="A478" s="2" t="str">
        <x:v>G1-T02-P2</x:v>
      </x:c>
      <x:c r="B478" s="2" t="str">
        <x:v>G1</x:v>
      </x:c>
      <x:c r="C478" s="2" t="str">
        <x:v>v1</x:v>
      </x:c>
      <x:c r="D478" s="2" t="str">
        <x:v>Final coding</x:v>
      </x:c>
      <x:c r="E478" s="2" t="str">
        <x:v>R1/R2</x:v>
      </x:c>
      <x:c r="F478" s="2" t="str">
        <x:v>G1-T02-PROC</x:v>
      </x:c>
      <x:c r="G478" s="2" t="str">
        <x:v>G1-T02</x:v>
      </x:c>
      <x:c r="H478" s="2" t="str">
        <x:v>2 Semantic contextualization</x:v>
      </x:c>
      <x:c r="I478" s="2" t="n">
        <x:v>2</x:v>
      </x:c>
      <x:c r="J478" s="2" t="str">
        <x:v>Common core</x:v>
      </x:c>
      <x:c r="K478" s="2" t="str">
        <x:v>Completed</x:v>
      </x:c>
      <x:c r="L478" s="2" t="str">
        <x:v>Not separately reported</x:v>
      </x:c>
      <x:c r="M478" s="2" t="str">
        <x:v>NR</x:v>
      </x:c>
      <x:c r="N478" s="2" t="str">
        <x:v>NR</x:v>
      </x:c>
      <x:c r="O478" s="2" t="str">
        <x:v>NR</x:v>
      </x:c>
      <x:c r="P478" s="6" t="str">
        <x:v>NR</x:v>
      </x:c>
      <x:c r="Q478" s="2" t="str">
        <x:v>NR</x:v>
      </x:c>
      <x:c r="R478" s="6" t="str">
        <x:v>NR</x:v>
      </x:c>
      <x:c r="S478" s="2" t="str">
        <x:v>NR</x:v>
      </x:c>
      <x:c r="T478" s="2" t="str">
        <x:v>NR</x:v>
      </x:c>
      <x:c r="U478" s="2" t="str">
        <x:v>NR</x:v>
      </x:c>
      <x:c r="V478" s="6" t="str">
        <x:v>Existing scenarios are checked, and uncovered requirements are identified. Role-coded gap identification supplies the initial coverage relation.</x:v>
      </x:c>
      <x:c r="W478" s="6" t="str">
        <x:v>G1_video_page.png (upload date field, title, view count, likes) ; G1_page_description.png (view count, description text, hashtags, Udemy course links and coupon code) ; [00:00] ; [00:33] ; [00:37] ; [00:50] ; [01:18] ; [02:27] ; [02:33] ; [02:55] ; [03:17] ; [03:41] ; [03:52] ; [04:27] ; [05:04] ; [06:46] </x:v>
      </x:c>
      <x:c r="X478" s="6" t="str">
        <x:v>paste it into chat gpd4 to ask us to verify if there requirement matches the test cases ; it can also tell that this particular requirement is not really covered in the test scenario</x:v>
      </x:c>
      <x:c r="Y478" s="6" t="str">
        <x:v>Existing scenarios are checked, and uncovered requirements are identified. Role-coded gap identification supplies the initial coverage relation.</x:v>
      </x:c>
      <x:c r="Z478" s="2" t="str">
        <x:v>Accepted</x:v>
      </x:c>
      <x:c r="AA478" s="6" t="str">
        <x:v>NR</x:v>
      </x:c>
    </x:row>
    <x:row r="479" ht="76" customHeight="1">
      <x:c r="A479" s="2" t="str">
        <x:v>G1-T02-P3</x:v>
      </x:c>
      <x:c r="B479" s="2" t="str">
        <x:v>G1</x:v>
      </x:c>
      <x:c r="C479" s="2" t="str">
        <x:v>v1</x:v>
      </x:c>
      <x:c r="D479" s="2" t="str">
        <x:v>Final coding</x:v>
      </x:c>
      <x:c r="E479" s="2" t="str">
        <x:v>R1/R2</x:v>
      </x:c>
      <x:c r="F479" s="2" t="str">
        <x:v>G1-T02-PROC</x:v>
      </x:c>
      <x:c r="G479" s="2" t="str">
        <x:v>G1-T02</x:v>
      </x:c>
      <x:c r="H479" s="2" t="str">
        <x:v>3 Traceability inference</x:v>
      </x:c>
      <x:c r="I479" s="2" t="n">
        <x:v>3</x:v>
      </x:c>
      <x:c r="J479" s="2" t="str">
        <x:v>Common core</x:v>
      </x:c>
      <x:c r="K479" s="2" t="str">
        <x:v>Completed</x:v>
      </x:c>
      <x:c r="L479" s="2" t="str">
        <x:v>Explicitly evidenced</x:v>
      </x:c>
      <x:c r="M479" s="2" t="str">
        <x:v>NR</x:v>
      </x:c>
      <x:c r="N479" s="2" t="str">
        <x:v>NR</x:v>
      </x:c>
      <x:c r="O479" s="2" t="str">
        <x:v>NR</x:v>
      </x:c>
      <x:c r="P479" s="6" t="str">
        <x:v>NR</x:v>
      </x:c>
      <x:c r="Q479" s="2" t="str">
        <x:v>3 Traceability inference</x:v>
      </x:c>
      <x:c r="R479" s="6" t="str">
        <x:v>per-requirement coverage indications and the requirement identified as not covered by the test scenarios</x:v>
      </x:c>
      <x:c r="S479" s="2" t="str">
        <x:v>NR</x:v>
      </x:c>
      <x:c r="T479" s="2" t="str">
        <x:v>NR</x:v>
      </x:c>
      <x:c r="U479" s="2" t="str">
        <x:v>NR</x:v>
      </x:c>
      <x:c r="V479" s="6" t="str">
        <x:v>Existing scenarios are checked, and uncovered requirements are identified. Role-coded gap identification supplies the initial coverage relation.</x:v>
      </x:c>
      <x:c r="W479" s="6" t="str">
        <x:v>G1_video_page.png (upload date field, title, view count, likes) ; G1_page_description.png (view count, description text, hashtags, Udemy course links and coupon code) ; [00:00] ; [00:33] ; [00:37] ; [00:50] ; [01:18] ; [02:27] ; [02:33] ; [02:55] ; [03:17] ; [03:41] ; [03:52] ; [04:27] ; [05:04] ; [06:46] </x:v>
      </x:c>
      <x:c r="X479" s="6" t="str">
        <x:v>paste it into chat gpd4 to ask us to verify if there requirement matches the test cases ; it can also tell that this particular requirement is not really covered in the test scenario</x:v>
      </x:c>
      <x:c r="Y479" s="6" t="str">
        <x:v>Existing scenarios are checked, and uncovered requirements are identified. Role-coded gap identification supplies the initial coverage relation.</x:v>
      </x:c>
      <x:c r="Z479" s="2" t="str">
        <x:v>Accepted</x:v>
      </x:c>
      <x:c r="AA479" s="6" t="str">
        <x:v>NR</x:v>
      </x:c>
    </x:row>
    <x:row r="480" ht="76" customHeight="1">
      <x:c r="A480" s="2" t="str">
        <x:v>G1-T02-P4</x:v>
      </x:c>
      <x:c r="B480" s="2" t="str">
        <x:v>G1</x:v>
      </x:c>
      <x:c r="C480" s="2" t="str">
        <x:v>v1</x:v>
      </x:c>
      <x:c r="D480" s="2" t="str">
        <x:v>Final coding</x:v>
      </x:c>
      <x:c r="E480" s="2" t="str">
        <x:v>R1/R2</x:v>
      </x:c>
      <x:c r="F480" s="2" t="str">
        <x:v>G1-T02-PROC</x:v>
      </x:c>
      <x:c r="G480" s="2" t="str">
        <x:v>G1-T02</x:v>
      </x:c>
      <x:c r="H480" s="2" t="str">
        <x:v>4 Validation and explanation</x:v>
      </x:c>
      <x:c r="I480" s="2" t="n">
        <x:v>4</x:v>
      </x:c>
      <x:c r="J480" s="2" t="str">
        <x:v>Common core</x:v>
      </x:c>
      <x:c r="K480" s="2" t="str">
        <x:v>Completed</x:v>
      </x:c>
      <x:c r="L480" s="2" t="str">
        <x:v>Explicitly evidenced</x:v>
      </x:c>
      <x:c r="M480" s="2" t="str">
        <x:v>NR</x:v>
      </x:c>
      <x:c r="N480" s="2" t="str">
        <x:v>NR</x:v>
      </x:c>
      <x:c r="O480" s="2" t="str">
        <x:v>NR</x:v>
      </x:c>
      <x:c r="P480" s="6" t="str">
        <x:v>NR</x:v>
      </x:c>
      <x:c r="Q480" s="2" t="str">
        <x:v>4 Validation and explanation</x:v>
      </x:c>
      <x:c r="R480" s="6" t="str">
        <x:v>NR</x:v>
      </x:c>
      <x:c r="S480" s="2" t="str">
        <x:v>NR</x:v>
      </x:c>
      <x:c r="T480" s="2" t="str">
        <x:v>NR</x:v>
      </x:c>
      <x:c r="U480" s="2" t="str">
        <x:v>NR</x:v>
      </x:c>
      <x:c r="V480" s="6" t="str">
        <x:v>Existing scenarios are checked, and uncovered requirements are identified. Role-coded gap identification supplies the initial coverage relation.</x:v>
      </x:c>
      <x:c r="W480" s="6" t="str">
        <x:v>G1_video_page.png (upload date field, title, view count, likes) ; G1_page_description.png (view count, description text, hashtags, Udemy course links and coupon code) ; [00:00] ; [00:33] ; [00:37] ; [00:50] ; [01:18] ; [02:27] ; [02:33] ; [02:55] ; [03:17] ; [03:41] ; [03:52] ; [04:27] ; [05:04] ; [06:46] </x:v>
      </x:c>
      <x:c r="X480" s="6" t="str">
        <x:v>paste it into chat gpd4 to ask us to verify if there requirement matches the test cases ; it can also tell that this particular requirement is not really covered in the test scenario</x:v>
      </x:c>
      <x:c r="Y480" s="6" t="str">
        <x:v>Existing scenarios are checked, and uncovered requirements are identified. Role-coded gap identification supplies the initial coverage relation.</x:v>
      </x:c>
      <x:c r="Z480" s="2" t="str">
        <x:v>Accepted</x:v>
      </x:c>
      <x:c r="AA480" s="6" t="str">
        <x:v>NR</x:v>
      </x:c>
    </x:row>
    <x:row r="481" ht="76" customHeight="1">
      <x:c r="A481" s="2" t="str">
        <x:v>G1-T02-P5</x:v>
      </x:c>
      <x:c r="B481" s="2" t="str">
        <x:v>G1</x:v>
      </x:c>
      <x:c r="C481" s="2" t="str">
        <x:v>v1</x:v>
      </x:c>
      <x:c r="D481" s="2" t="str">
        <x:v>Final coding</x:v>
      </x:c>
      <x:c r="E481" s="2" t="str">
        <x:v>R1/R2</x:v>
      </x:c>
      <x:c r="F481" s="2" t="str">
        <x:v>G1-T02-PROC</x:v>
      </x:c>
      <x:c r="G481" s="2" t="str">
        <x:v>G1-T02</x:v>
      </x:c>
      <x:c r="H481" s="2" t="str">
        <x:v>5 Evolution and embedding</x:v>
      </x:c>
      <x:c r="I481" s="2" t="n">
        <x:v>5</x:v>
      </x:c>
      <x:c r="J481" s="2" t="str">
        <x:v>Common core</x:v>
      </x:c>
      <x:c r="K481" s="2" t="str">
        <x:v>Completed</x:v>
      </x:c>
      <x:c r="L481" s="2" t="str">
        <x:v>Not separately reported</x:v>
      </x:c>
      <x:c r="M481" s="2" t="str">
        <x:v>NR</x:v>
      </x:c>
      <x:c r="N481" s="2" t="str">
        <x:v>NR</x:v>
      </x:c>
      <x:c r="O481" s="2" t="str">
        <x:v>NR</x:v>
      </x:c>
      <x:c r="P481" s="6" t="str">
        <x:v>NR</x:v>
      </x:c>
      <x:c r="Q481" s="2" t="str">
        <x:v>NR</x:v>
      </x:c>
      <x:c r="R481" s="6" t="str">
        <x:v>NR</x:v>
      </x:c>
      <x:c r="S481" s="2" t="str">
        <x:v>NR</x:v>
      </x:c>
      <x:c r="T481" s="2" t="str">
        <x:v>NR</x:v>
      </x:c>
      <x:c r="U481" s="2" t="str">
        <x:v>NR</x:v>
      </x:c>
      <x:c r="V481" s="6" t="str">
        <x:v>Existing scenarios are checked, and uncovered requirements are identified. Role-coded gap identification supplies the initial coverage relation.</x:v>
      </x:c>
      <x:c r="W481" s="6" t="str">
        <x:v>G1_video_page.png (upload date field, title, view count, likes) ; G1_page_description.png (view count, description text, hashtags, Udemy course links and coupon code) ; [00:00] ; [00:33] ; [00:37] ; [00:50] ; [01:18] ; [02:27] ; [02:33] ; [02:55] ; [03:17] ; [03:41] ; [03:52] ; [04:27] ; [05:04] ; [06:46] </x:v>
      </x:c>
      <x:c r="X481" s="6" t="str">
        <x:v>paste it into chat gpd4 to ask us to verify if there requirement matches the test cases ; it can also tell that this particular requirement is not really covered in the test scenario</x:v>
      </x:c>
      <x:c r="Y481" s="6" t="str">
        <x:v>Existing scenarios are checked, and uncovered requirements are identified. Role-coded gap identification supplies the initial coverage relation.</x:v>
      </x:c>
      <x:c r="Z481" s="2" t="str">
        <x:v>Accepted</x:v>
      </x:c>
      <x:c r="AA481" s="6" t="str">
        <x:v>NR</x:v>
      </x:c>
    </x:row>
    <x:row r="482" ht="76" customHeight="1">
      <x:c r="A482" s="2" t="str">
        <x:v>G2-T01-P1</x:v>
      </x:c>
      <x:c r="B482" s="2" t="str">
        <x:v>G2</x:v>
      </x:c>
      <x:c r="C482" s="2" t="str">
        <x:v>v1</x:v>
      </x:c>
      <x:c r="D482" s="2" t="str">
        <x:v>Final coding</x:v>
      </x:c>
      <x:c r="E482" s="2" t="str">
        <x:v>R1/R2</x:v>
      </x:c>
      <x:c r="F482" s="2" t="str">
        <x:v>G2-T01-PROC</x:v>
      </x:c>
      <x:c r="G482" s="2" t="str">
        <x:v>G2-T01</x:v>
      </x:c>
      <x:c r="H482" s="2" t="str">
        <x:v>1 Artifact acquisition and scoping</x:v>
      </x:c>
      <x:c r="I482" s="2" t="n">
        <x:v>1</x:v>
      </x:c>
      <x:c r="J482" s="2" t="str">
        <x:v>Common core</x:v>
      </x:c>
      <x:c r="K482" s="2" t="str">
        <x:v>Completed</x:v>
      </x:c>
      <x:c r="L482" s="2" t="str">
        <x:v>Not separately reported</x:v>
      </x:c>
      <x:c r="M482" s="2" t="str">
        <x:v>NR</x:v>
      </x:c>
      <x:c r="N482" s="2" t="str">
        <x:v>NR</x:v>
      </x:c>
      <x:c r="O482" s="2" t="str">
        <x:v>NR</x:v>
      </x:c>
      <x:c r="P482" s="6" t="str">
        <x:v>NR</x:v>
      </x:c>
      <x:c r="Q482" s="2" t="str">
        <x:v>NR</x:v>
      </x:c>
      <x:c r="R482" s="6" t="str">
        <x:v>NR</x:v>
      </x:c>
      <x:c r="S482" s="2" t="str">
        <x:v>NR</x:v>
      </x:c>
      <x:c r="T482" s="2" t="str">
        <x:v>NR</x:v>
      </x:c>
      <x:c r="U482" s="2" t="str">
        <x:v>NR</x:v>
      </x:c>
      <x:c r="V482" s="6" t="str">
        <x:v>Role records describe code-to-language contextualization, concept-to-variable mapping, and specification-conformance checking.</x:v>
      </x:c>
      <x:c r="W482"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82" s="6" t="str">
        <x:v>we call code traceability which is a way to trace the content interactions between data code and the results ; and then we have our ai go into the description and then go on your code and do a delta and say okay what was specified is actually programmed or not</x:v>
      </x:c>
      <x:c r="Y482" s="6" t="str">
        <x:v>Role records describe code-to-language contextualization, concept-to-variable mapping, and specification-conformance checking.</x:v>
      </x:c>
      <x:c r="Z482" s="2" t="str">
        <x:v>Accepted</x:v>
      </x:c>
      <x:c r="AA482" s="6" t="str">
        <x:v>NR</x:v>
      </x:c>
    </x:row>
    <x:row r="483" ht="76" customHeight="1">
      <x:c r="A483" s="2" t="str">
        <x:v>G2-T01-P2</x:v>
      </x:c>
      <x:c r="B483" s="2" t="str">
        <x:v>G2</x:v>
      </x:c>
      <x:c r="C483" s="2" t="str">
        <x:v>v1</x:v>
      </x:c>
      <x:c r="D483" s="2" t="str">
        <x:v>Final coding</x:v>
      </x:c>
      <x:c r="E483" s="2" t="str">
        <x:v>R1/R2</x:v>
      </x:c>
      <x:c r="F483" s="2" t="str">
        <x:v>G2-T01-PROC</x:v>
      </x:c>
      <x:c r="G483" s="2" t="str">
        <x:v>G2-T01</x:v>
      </x:c>
      <x:c r="H483" s="2" t="str">
        <x:v>2 Semantic contextualization</x:v>
      </x:c>
      <x:c r="I483" s="2" t="n">
        <x:v>2</x:v>
      </x:c>
      <x:c r="J483" s="2" t="str">
        <x:v>Common core</x:v>
      </x:c>
      <x:c r="K483" s="2" t="str">
        <x:v>Completed</x:v>
      </x:c>
      <x:c r="L483" s="2" t="str">
        <x:v>Explicitly evidenced</x:v>
      </x:c>
      <x:c r="M483" s="2" t="str">
        <x:v>NR</x:v>
      </x:c>
      <x:c r="N483" s="2" t="str">
        <x:v>NR</x:v>
      </x:c>
      <x:c r="O483" s="2" t="str">
        <x:v>NR</x:v>
      </x:c>
      <x:c r="P483" s="6" t="str">
        <x:v>NR</x:v>
      </x:c>
      <x:c r="Q483" s="2" t="str">
        <x:v>2 Semantic contextualization</x:v>
      </x:c>
      <x:c r="R483" s="6" t="str">
        <x:v>NR</x:v>
      </x:c>
      <x:c r="S483" s="2" t="str">
        <x:v>NR</x:v>
      </x:c>
      <x:c r="T483" s="2" t="str">
        <x:v>NR</x:v>
      </x:c>
      <x:c r="U483" s="2" t="str">
        <x:v>NR</x:v>
      </x:c>
      <x:c r="V483" s="6" t="str">
        <x:v>Role records describe code-to-language contextualization, concept-to-variable mapping, and specification-conformance checking.</x:v>
      </x:c>
      <x:c r="W483"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83" s="6" t="str">
        <x:v>we call code traceability which is a way to trace the content interactions between data code and the results ; and then we have our ai go into the description and then go on your code and do a delta and say okay what was specified is actually programmed or not</x:v>
      </x:c>
      <x:c r="Y483" s="6" t="str">
        <x:v>Role records describe code-to-language contextualization, concept-to-variable mapping, and specification-conformance checking.</x:v>
      </x:c>
      <x:c r="Z483" s="2" t="str">
        <x:v>Accepted</x:v>
      </x:c>
      <x:c r="AA483" s="6" t="str">
        <x:v>NR</x:v>
      </x:c>
    </x:row>
    <x:row r="484" ht="76" customHeight="1">
      <x:c r="A484" s="2" t="str">
        <x:v>G2-T01-P3</x:v>
      </x:c>
      <x:c r="B484" s="2" t="str">
        <x:v>G2</x:v>
      </x:c>
      <x:c r="C484" s="2" t="str">
        <x:v>v1</x:v>
      </x:c>
      <x:c r="D484" s="2" t="str">
        <x:v>Final coding</x:v>
      </x:c>
      <x:c r="E484" s="2" t="str">
        <x:v>R1/R2</x:v>
      </x:c>
      <x:c r="F484" s="2" t="str">
        <x:v>G2-T01-PROC</x:v>
      </x:c>
      <x:c r="G484" s="2" t="str">
        <x:v>G2-T01</x:v>
      </x:c>
      <x:c r="H484" s="2" t="str">
        <x:v>3 Traceability inference</x:v>
      </x:c>
      <x:c r="I484" s="2" t="n">
        <x:v>3</x:v>
      </x:c>
      <x:c r="J484" s="2" t="str">
        <x:v>Common core</x:v>
      </x:c>
      <x:c r="K484" s="2" t="str">
        <x:v>Completed</x:v>
      </x:c>
      <x:c r="L484" s="2" t="str">
        <x:v>Explicitly evidenced</x:v>
      </x:c>
      <x:c r="M484" s="2" t="str">
        <x:v>NR</x:v>
      </x:c>
      <x:c r="N484" s="2" t="str">
        <x:v>NR</x:v>
      </x:c>
      <x:c r="O484" s="2" t="str">
        <x:v>NR</x:v>
      </x:c>
      <x:c r="P484" s="6" t="str">
        <x:v>NR</x:v>
      </x:c>
      <x:c r="Q484" s="2" t="str">
        <x:v>3 Traceability inference</x:v>
      </x:c>
      <x:c r="R484" s="6" t="str">
        <x:v>a natural-language answer with a confidence indication, the browsable evidence behind it and specification-conformance comments</x:v>
      </x:c>
      <x:c r="S484" s="2" t="str">
        <x:v>NR</x:v>
      </x:c>
      <x:c r="T484" s="2" t="str">
        <x:v>NR</x:v>
      </x:c>
      <x:c r="U484" s="2" t="str">
        <x:v>NR</x:v>
      </x:c>
      <x:c r="V484" s="6" t="str">
        <x:v>Role records describe code-to-language contextualization, concept-to-variable mapping, and specification-conformance checking.</x:v>
      </x:c>
      <x:c r="W484"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84" s="6" t="str">
        <x:v>we call code traceability which is a way to trace the content interactions between data code and the results ; and then we have our ai go into the description and then go on your code and do a delta and say okay what was specified is actually programmed or not</x:v>
      </x:c>
      <x:c r="Y484" s="6" t="str">
        <x:v>Role records describe code-to-language contextualization, concept-to-variable mapping, and specification-conformance checking.</x:v>
      </x:c>
      <x:c r="Z484" s="2" t="str">
        <x:v>Accepted</x:v>
      </x:c>
      <x:c r="AA484" s="6" t="str">
        <x:v>NR</x:v>
      </x:c>
    </x:row>
    <x:row r="485" ht="76" customHeight="1">
      <x:c r="A485" s="2" t="str">
        <x:v>G2-T01-P4</x:v>
      </x:c>
      <x:c r="B485" s="2" t="str">
        <x:v>G2</x:v>
      </x:c>
      <x:c r="C485" s="2" t="str">
        <x:v>v1</x:v>
      </x:c>
      <x:c r="D485" s="2" t="str">
        <x:v>Final coding</x:v>
      </x:c>
      <x:c r="E485" s="2" t="str">
        <x:v>R1/R2</x:v>
      </x:c>
      <x:c r="F485" s="2" t="str">
        <x:v>G2-T01-PROC</x:v>
      </x:c>
      <x:c r="G485" s="2" t="str">
        <x:v>G2-T01</x:v>
      </x:c>
      <x:c r="H485" s="2" t="str">
        <x:v>4 Validation and explanation</x:v>
      </x:c>
      <x:c r="I485" s="2" t="n">
        <x:v>4</x:v>
      </x:c>
      <x:c r="J485" s="2" t="str">
        <x:v>Common core</x:v>
      </x:c>
      <x:c r="K485" s="2" t="str">
        <x:v>Completed</x:v>
      </x:c>
      <x:c r="L485" s="2" t="str">
        <x:v>Explicitly evidenced</x:v>
      </x:c>
      <x:c r="M485" s="2" t="str">
        <x:v>NR</x:v>
      </x:c>
      <x:c r="N485" s="2" t="str">
        <x:v>NR</x:v>
      </x:c>
      <x:c r="O485" s="2" t="str">
        <x:v>NR</x:v>
      </x:c>
      <x:c r="P485" s="6" t="str">
        <x:v>NR</x:v>
      </x:c>
      <x:c r="Q485" s="2" t="str">
        <x:v>4 Validation and explanation</x:v>
      </x:c>
      <x:c r="R485" s="6" t="str">
        <x:v>NR</x:v>
      </x:c>
      <x:c r="S485" s="2" t="str">
        <x:v>NR</x:v>
      </x:c>
      <x:c r="T485" s="2" t="str">
        <x:v>NR</x:v>
      </x:c>
      <x:c r="U485" s="2" t="str">
        <x:v>NR</x:v>
      </x:c>
      <x:c r="V485" s="6" t="str">
        <x:v>Role records describe code-to-language contextualization, concept-to-variable mapping, and specification-conformance checking.</x:v>
      </x:c>
      <x:c r="W485"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85" s="6" t="str">
        <x:v>we call code traceability which is a way to trace the content interactions between data code and the results ; and then we have our ai go into the description and then go on your code and do a delta and say okay what was specified is actually programmed or not</x:v>
      </x:c>
      <x:c r="Y485" s="6" t="str">
        <x:v>Role records describe code-to-language contextualization, concept-to-variable mapping, and specification-conformance checking.</x:v>
      </x:c>
      <x:c r="Z485" s="2" t="str">
        <x:v>Accepted</x:v>
      </x:c>
      <x:c r="AA485" s="6" t="str">
        <x:v>NR</x:v>
      </x:c>
    </x:row>
    <x:row r="486" ht="76" customHeight="1">
      <x:c r="A486" s="2" t="str">
        <x:v>G2-T01-P5</x:v>
      </x:c>
      <x:c r="B486" s="2" t="str">
        <x:v>G2</x:v>
      </x:c>
      <x:c r="C486" s="2" t="str">
        <x:v>v1</x:v>
      </x:c>
      <x:c r="D486" s="2" t="str">
        <x:v>Final coding</x:v>
      </x:c>
      <x:c r="E486" s="2" t="str">
        <x:v>R1/R2</x:v>
      </x:c>
      <x:c r="F486" s="2" t="str">
        <x:v>G2-T01-PROC</x:v>
      </x:c>
      <x:c r="G486" s="2" t="str">
        <x:v>G2-T01</x:v>
      </x:c>
      <x:c r="H486" s="2" t="str">
        <x:v>5 Evolution and embedding</x:v>
      </x:c>
      <x:c r="I486" s="2" t="n">
        <x:v>5</x:v>
      </x:c>
      <x:c r="J486" s="2" t="str">
        <x:v>Common core</x:v>
      </x:c>
      <x:c r="K486" s="2" t="str">
        <x:v>Completed</x:v>
      </x:c>
      <x:c r="L486" s="2" t="str">
        <x:v>Not separately reported</x:v>
      </x:c>
      <x:c r="M486" s="2" t="str">
        <x:v>NR</x:v>
      </x:c>
      <x:c r="N486" s="2" t="str">
        <x:v>NR</x:v>
      </x:c>
      <x:c r="O486" s="2" t="str">
        <x:v>NR</x:v>
      </x:c>
      <x:c r="P486" s="6" t="str">
        <x:v>NR</x:v>
      </x:c>
      <x:c r="Q486" s="2" t="str">
        <x:v>NR</x:v>
      </x:c>
      <x:c r="R486" s="6" t="str">
        <x:v>NR</x:v>
      </x:c>
      <x:c r="S486" s="2" t="str">
        <x:v>NR</x:v>
      </x:c>
      <x:c r="T486" s="2" t="str">
        <x:v>NR</x:v>
      </x:c>
      <x:c r="U486" s="2" t="str">
        <x:v>NR</x:v>
      </x:c>
      <x:c r="V486" s="6" t="str">
        <x:v>Role records describe code-to-language contextualization, concept-to-variable mapping, and specification-conformance checking.</x:v>
      </x:c>
      <x:c r="W486"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86" s="6" t="str">
        <x:v>we call code traceability which is a way to trace the content interactions between data code and the results ; and then we have our ai go into the description and then go on your code and do a delta and say okay what was specified is actually programmed or not</x:v>
      </x:c>
      <x:c r="Y486" s="6" t="str">
        <x:v>Role records describe code-to-language contextualization, concept-to-variable mapping, and specification-conformance checking.</x:v>
      </x:c>
      <x:c r="Z486" s="2" t="str">
        <x:v>Accepted</x:v>
      </x:c>
      <x:c r="AA486" s="6" t="str">
        <x:v>NR</x:v>
      </x:c>
    </x:row>
    <x:row r="487" ht="76" customHeight="1">
      <x:c r="A487" s="2" t="str">
        <x:v>G2-T02-P1</x:v>
      </x:c>
      <x:c r="B487" s="2" t="str">
        <x:v>G2</x:v>
      </x:c>
      <x:c r="C487" s="2" t="str">
        <x:v>v1</x:v>
      </x:c>
      <x:c r="D487" s="2" t="str">
        <x:v>Final coding</x:v>
      </x:c>
      <x:c r="E487" s="2" t="str">
        <x:v>R1/R2</x:v>
      </x:c>
      <x:c r="F487" s="2" t="str">
        <x:v>G2-T02-PROC</x:v>
      </x:c>
      <x:c r="G487" s="2" t="str">
        <x:v>G2-T02</x:v>
      </x:c>
      <x:c r="H487" s="2" t="str">
        <x:v>1 Artifact acquisition and scoping</x:v>
      </x:c>
      <x:c r="I487" s="2" t="n">
        <x:v>1</x:v>
      </x:c>
      <x:c r="J487" s="2" t="str">
        <x:v>Common core</x:v>
      </x:c>
      <x:c r="K487" s="2" t="str">
        <x:v>Completed</x:v>
      </x:c>
      <x:c r="L487" s="2" t="str">
        <x:v>Not separately reported</x:v>
      </x:c>
      <x:c r="M487" s="2" t="str">
        <x:v>NR</x:v>
      </x:c>
      <x:c r="N487" s="2" t="str">
        <x:v>NR</x:v>
      </x:c>
      <x:c r="O487" s="2" t="str">
        <x:v>NR</x:v>
      </x:c>
      <x:c r="P487" s="6" t="str">
        <x:v>NR</x:v>
      </x:c>
      <x:c r="Q487" s="2" t="str">
        <x:v>NR</x:v>
      </x:c>
      <x:c r="R487" s="6" t="str">
        <x:v>NR</x:v>
      </x:c>
      <x:c r="S487" s="2" t="str">
        <x:v>NR</x:v>
      </x:c>
      <x:c r="T487" s="2" t="str">
        <x:v>NR</x:v>
      </x:c>
      <x:c r="U487" s="2" t="str">
        <x:v>NR</x:v>
      </x:c>
      <x:c r="V487" s="6" t="str">
        <x:v>Submission-document drafting is contextualization. Relation formation is inferred from the accepted task output rather than a separate documented operation.</x:v>
      </x:c>
      <x:c r="W487"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87" s="6" t="str">
        <x:v>and then generate as i said the define xml sdrg</x:v>
      </x:c>
      <x:c r="Y487" s="6" t="str">
        <x:v>Submission-document drafting is contextualization. Relation formation is inferred from the accepted task output rather than a separate documented operation.</x:v>
      </x:c>
      <x:c r="Z487" s="2" t="str">
        <x:v>Accepted</x:v>
      </x:c>
      <x:c r="AA487" s="6" t="str">
        <x:v>NR</x:v>
      </x:c>
    </x:row>
    <x:row r="488" ht="76" customHeight="1">
      <x:c r="A488" s="2" t="str">
        <x:v>G2-T02-P2</x:v>
      </x:c>
      <x:c r="B488" s="2" t="str">
        <x:v>G2</x:v>
      </x:c>
      <x:c r="C488" s="2" t="str">
        <x:v>v1</x:v>
      </x:c>
      <x:c r="D488" s="2" t="str">
        <x:v>Final coding</x:v>
      </x:c>
      <x:c r="E488" s="2" t="str">
        <x:v>R1/R2</x:v>
      </x:c>
      <x:c r="F488" s="2" t="str">
        <x:v>G2-T02-PROC</x:v>
      </x:c>
      <x:c r="G488" s="2" t="str">
        <x:v>G2-T02</x:v>
      </x:c>
      <x:c r="H488" s="2" t="str">
        <x:v>2 Semantic contextualization</x:v>
      </x:c>
      <x:c r="I488" s="2" t="n">
        <x:v>2</x:v>
      </x:c>
      <x:c r="J488" s="2" t="str">
        <x:v>Common core</x:v>
      </x:c>
      <x:c r="K488" s="2" t="str">
        <x:v>Completed</x:v>
      </x:c>
      <x:c r="L488" s="2" t="str">
        <x:v>Explicitly evidenced</x:v>
      </x:c>
      <x:c r="M488" s="2" t="str">
        <x:v>NR</x:v>
      </x:c>
      <x:c r="N488" s="2" t="str">
        <x:v>NR</x:v>
      </x:c>
      <x:c r="O488" s="2" t="str">
        <x:v>NR</x:v>
      </x:c>
      <x:c r="P488" s="6" t="str">
        <x:v>NR</x:v>
      </x:c>
      <x:c r="Q488" s="2" t="str">
        <x:v>2 Semantic contextualization</x:v>
      </x:c>
      <x:c r="R488" s="6" t="str">
        <x:v>NR</x:v>
      </x:c>
      <x:c r="S488" s="2" t="str">
        <x:v>NR</x:v>
      </x:c>
      <x:c r="T488" s="2" t="str">
        <x:v>NR</x:v>
      </x:c>
      <x:c r="U488" s="2" t="str">
        <x:v>NR</x:v>
      </x:c>
      <x:c r="V488" s="6" t="str">
        <x:v>Submission-document drafting is contextualization. Relation formation is inferred from the accepted task output rather than a separate documented operation.</x:v>
      </x:c>
      <x:c r="W488"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88" s="6" t="str">
        <x:v>and then generate as i said the define xml sdrg</x:v>
      </x:c>
      <x:c r="Y488" s="6" t="str">
        <x:v>Submission-document drafting is contextualization. Relation formation is inferred from the accepted task output rather than a separate documented operation.</x:v>
      </x:c>
      <x:c r="Z488" s="2" t="str">
        <x:v>Accepted</x:v>
      </x:c>
      <x:c r="AA488" s="6" t="str">
        <x:v>NR</x:v>
      </x:c>
    </x:row>
    <x:row r="489" ht="76" customHeight="1">
      <x:c r="A489" s="2" t="str">
        <x:v>G2-T02-P3</x:v>
      </x:c>
      <x:c r="B489" s="2" t="str">
        <x:v>G2</x:v>
      </x:c>
      <x:c r="C489" s="2" t="str">
        <x:v>v1</x:v>
      </x:c>
      <x:c r="D489" s="2" t="str">
        <x:v>Final coding</x:v>
      </x:c>
      <x:c r="E489" s="2" t="str">
        <x:v>R1/R2</x:v>
      </x:c>
      <x:c r="F489" s="2" t="str">
        <x:v>G2-T02-PROC</x:v>
      </x:c>
      <x:c r="G489" s="2" t="str">
        <x:v>G2-T02</x:v>
      </x:c>
      <x:c r="H489" s="2" t="str">
        <x:v>3 Traceability inference</x:v>
      </x:c>
      <x:c r="I489" s="2" t="n">
        <x:v>3</x:v>
      </x:c>
      <x:c r="J489" s="2" t="str">
        <x:v>Common core</x:v>
      </x:c>
      <x:c r="K489" s="2" t="str">
        <x:v>Completed</x:v>
      </x:c>
      <x:c r="L489" s="2" t="str">
        <x:v>Inferred from relation output</x:v>
      </x:c>
      <x:c r="M489" s="2" t="str">
        <x:v>NR</x:v>
      </x:c>
      <x:c r="N489" s="2" t="str">
        <x:v>NR</x:v>
      </x:c>
      <x:c r="O489" s="2" t="str">
        <x:v>NR</x:v>
      </x:c>
      <x:c r="P489" s="6" t="str">
        <x:v>NR</x:v>
      </x:c>
      <x:c r="Q489" s="2" t="str">
        <x:v>NR</x:v>
      </x:c>
      <x:c r="R489" s="6" t="str">
        <x:v>Define-XML and SDRG artefacts derived from the traced code base</x:v>
      </x:c>
      <x:c r="S489" s="2" t="str">
        <x:v>NR</x:v>
      </x:c>
      <x:c r="T489" s="2" t="str">
        <x:v>NR</x:v>
      </x:c>
      <x:c r="U489" s="2" t="str">
        <x:v>NR</x:v>
      </x:c>
      <x:c r="V489" s="6" t="str">
        <x:v>Submission-document drafting is contextualization. Relation formation is inferred from the accepted task output rather than a separate documented operation.</x:v>
      </x:c>
      <x:c r="W489"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89" s="6" t="str">
        <x:v>and then generate as i said the define xml sdrg</x:v>
      </x:c>
      <x:c r="Y489" s="6" t="str">
        <x:v>Submission-document drafting is contextualization. Relation formation is inferred from the accepted task output rather than a separate documented operation.</x:v>
      </x:c>
      <x:c r="Z489" s="2" t="str">
        <x:v>Accepted</x:v>
      </x:c>
      <x:c r="AA489" s="6" t="str">
        <x:v>NR</x:v>
      </x:c>
    </x:row>
    <x:row r="490" ht="76" customHeight="1">
      <x:c r="A490" s="2" t="str">
        <x:v>G2-T02-P4</x:v>
      </x:c>
      <x:c r="B490" s="2" t="str">
        <x:v>G2</x:v>
      </x:c>
      <x:c r="C490" s="2" t="str">
        <x:v>v1</x:v>
      </x:c>
      <x:c r="D490" s="2" t="str">
        <x:v>Final coding</x:v>
      </x:c>
      <x:c r="E490" s="2" t="str">
        <x:v>R1/R2</x:v>
      </x:c>
      <x:c r="F490" s="2" t="str">
        <x:v>G2-T02-PROC</x:v>
      </x:c>
      <x:c r="G490" s="2" t="str">
        <x:v>G2-T02</x:v>
      </x:c>
      <x:c r="H490" s="2" t="str">
        <x:v>4 Validation and explanation</x:v>
      </x:c>
      <x:c r="I490" s="2" t="n">
        <x:v>4</x:v>
      </x:c>
      <x:c r="J490" s="2" t="str">
        <x:v>Common core</x:v>
      </x:c>
      <x:c r="K490" s="2" t="str">
        <x:v>Completed</x:v>
      </x:c>
      <x:c r="L490" s="2" t="str">
        <x:v>Not separately reported</x:v>
      </x:c>
      <x:c r="M490" s="2" t="str">
        <x:v>NR</x:v>
      </x:c>
      <x:c r="N490" s="2" t="str">
        <x:v>NR</x:v>
      </x:c>
      <x:c r="O490" s="2" t="str">
        <x:v>NR</x:v>
      </x:c>
      <x:c r="P490" s="6" t="str">
        <x:v>NR</x:v>
      </x:c>
      <x:c r="Q490" s="2" t="str">
        <x:v>NR</x:v>
      </x:c>
      <x:c r="R490" s="6" t="str">
        <x:v>NR</x:v>
      </x:c>
      <x:c r="S490" s="2" t="str">
        <x:v>NR</x:v>
      </x:c>
      <x:c r="T490" s="2" t="str">
        <x:v>NR</x:v>
      </x:c>
      <x:c r="U490" s="2" t="str">
        <x:v>NR</x:v>
      </x:c>
      <x:c r="V490" s="6" t="str">
        <x:v>Submission-document drafting is contextualization. Relation formation is inferred from the accepted task output rather than a separate documented operation.</x:v>
      </x:c>
      <x:c r="W490"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90" s="6" t="str">
        <x:v>and then generate as i said the define xml sdrg</x:v>
      </x:c>
      <x:c r="Y490" s="6" t="str">
        <x:v>Submission-document drafting is contextualization. Relation formation is inferred from the accepted task output rather than a separate documented operation.</x:v>
      </x:c>
      <x:c r="Z490" s="2" t="str">
        <x:v>Accepted</x:v>
      </x:c>
      <x:c r="AA490" s="6" t="str">
        <x:v>NR</x:v>
      </x:c>
    </x:row>
    <x:row r="491" ht="76" customHeight="1">
      <x:c r="A491" s="2" t="str">
        <x:v>G2-T02-P5</x:v>
      </x:c>
      <x:c r="B491" s="2" t="str">
        <x:v>G2</x:v>
      </x:c>
      <x:c r="C491" s="2" t="str">
        <x:v>v1</x:v>
      </x:c>
      <x:c r="D491" s="2" t="str">
        <x:v>Final coding</x:v>
      </x:c>
      <x:c r="E491" s="2" t="str">
        <x:v>R1/R2</x:v>
      </x:c>
      <x:c r="F491" s="2" t="str">
        <x:v>G2-T02-PROC</x:v>
      </x:c>
      <x:c r="G491" s="2" t="str">
        <x:v>G2-T02</x:v>
      </x:c>
      <x:c r="H491" s="2" t="str">
        <x:v>5 Evolution and embedding</x:v>
      </x:c>
      <x:c r="I491" s="2" t="n">
        <x:v>5</x:v>
      </x:c>
      <x:c r="J491" s="2" t="str">
        <x:v>Common core</x:v>
      </x:c>
      <x:c r="K491" s="2" t="str">
        <x:v>Completed</x:v>
      </x:c>
      <x:c r="L491" s="2" t="str">
        <x:v>Not separately reported</x:v>
      </x:c>
      <x:c r="M491" s="2" t="str">
        <x:v>NR</x:v>
      </x:c>
      <x:c r="N491" s="2" t="str">
        <x:v>NR</x:v>
      </x:c>
      <x:c r="O491" s="2" t="str">
        <x:v>NR</x:v>
      </x:c>
      <x:c r="P491" s="6" t="str">
        <x:v>NR</x:v>
      </x:c>
      <x:c r="Q491" s="2" t="str">
        <x:v>NR</x:v>
      </x:c>
      <x:c r="R491" s="6" t="str">
        <x:v>NR</x:v>
      </x:c>
      <x:c r="S491" s="2" t="str">
        <x:v>NR</x:v>
      </x:c>
      <x:c r="T491" s="2" t="str">
        <x:v>NR</x:v>
      </x:c>
      <x:c r="U491" s="2" t="str">
        <x:v>NR</x:v>
      </x:c>
      <x:c r="V491" s="6" t="str">
        <x:v>Submission-document drafting is contextualization. Relation formation is inferred from the accepted task output rather than a separate documented operation.</x:v>
      </x:c>
      <x:c r="W491"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91" s="6" t="str">
        <x:v>and then generate as i said the define xml sdrg</x:v>
      </x:c>
      <x:c r="Y491" s="6" t="str">
        <x:v>Submission-document drafting is contextualization. Relation formation is inferred from the accepted task output rather than a separate documented operation.</x:v>
      </x:c>
      <x:c r="Z491" s="2" t="str">
        <x:v>Accepted</x:v>
      </x:c>
      <x:c r="AA491" s="6" t="str">
        <x:v>NR</x:v>
      </x:c>
    </x:row>
    <x:row r="492" ht="76" customHeight="1">
      <x:c r="A492" s="2" t="str">
        <x:v>G2-T03-P1</x:v>
      </x:c>
      <x:c r="B492" s="2" t="str">
        <x:v>G2</x:v>
      </x:c>
      <x:c r="C492" s="2" t="str">
        <x:v>v1</x:v>
      </x:c>
      <x:c r="D492" s="2" t="str">
        <x:v>Final coding</x:v>
      </x:c>
      <x:c r="E492" s="2" t="str">
        <x:v>R1/R2</x:v>
      </x:c>
      <x:c r="F492" s="2" t="str">
        <x:v>G2-T03-PROC</x:v>
      </x:c>
      <x:c r="G492" s="2" t="str">
        <x:v>G2-T03</x:v>
      </x:c>
      <x:c r="H492" s="2" t="str">
        <x:v>1 Artifact acquisition and scoping</x:v>
      </x:c>
      <x:c r="I492" s="2" t="n">
        <x:v>1</x:v>
      </x:c>
      <x:c r="J492" s="2" t="str">
        <x:v>Common core</x:v>
      </x:c>
      <x:c r="K492" s="2" t="str">
        <x:v>Completed</x:v>
      </x:c>
      <x:c r="L492" s="2" t="str">
        <x:v>Explicitly evidenced</x:v>
      </x:c>
      <x:c r="M492" s="2" t="str">
        <x:v>NR</x:v>
      </x:c>
      <x:c r="N492" s="2" t="str">
        <x:v>NR</x:v>
      </x:c>
      <x:c r="O492" s="2" t="str">
        <x:v>NR</x:v>
      </x:c>
      <x:c r="P492" s="6" t="str">
        <x:v>NR</x:v>
      </x:c>
      <x:c r="Q492" s="2" t="str">
        <x:v>1 Artifact acquisition and scoping</x:v>
      </x:c>
      <x:c r="R492" s="6" t="str">
        <x:v>NR</x:v>
      </x:c>
      <x:c r="S492" s="2" t="str">
        <x:v>NR</x:v>
      </x:c>
      <x:c r="T492" s="2" t="str">
        <x:v>NR</x:v>
      </x:c>
      <x:c r="U492" s="2" t="str">
        <x:v>NR</x:v>
      </x:c>
      <x:c r="V492" s="6" t="str">
        <x:v>Code and log ingestion is acquisition. Static analysis constructs the trace graph.</x:v>
      </x:c>
      <x:c r="W492"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92" s="6" t="str">
        <x:v>all you need to establish code traceability are in the case of sas the logs ; we will show you which data sets are required to produce this output</x:v>
      </x:c>
      <x:c r="Y492" s="6" t="str">
        <x:v>Code and log ingestion is acquisition. Static analysis constructs the trace graph.</x:v>
      </x:c>
      <x:c r="Z492" s="2" t="str">
        <x:v>Accepted</x:v>
      </x:c>
      <x:c r="AA492" s="6" t="str">
        <x:v>NR</x:v>
      </x:c>
    </x:row>
    <x:row r="493" ht="76" customHeight="1">
      <x:c r="A493" s="2" t="str">
        <x:v>G2-T03-P2</x:v>
      </x:c>
      <x:c r="B493" s="2" t="str">
        <x:v>G2</x:v>
      </x:c>
      <x:c r="C493" s="2" t="str">
        <x:v>v1</x:v>
      </x:c>
      <x:c r="D493" s="2" t="str">
        <x:v>Final coding</x:v>
      </x:c>
      <x:c r="E493" s="2" t="str">
        <x:v>R1/R2</x:v>
      </x:c>
      <x:c r="F493" s="2" t="str">
        <x:v>G2-T03-PROC</x:v>
      </x:c>
      <x:c r="G493" s="2" t="str">
        <x:v>G2-T03</x:v>
      </x:c>
      <x:c r="H493" s="2" t="str">
        <x:v>2 Semantic contextualization</x:v>
      </x:c>
      <x:c r="I493" s="2" t="n">
        <x:v>2</x:v>
      </x:c>
      <x:c r="J493" s="2" t="str">
        <x:v>Common core</x:v>
      </x:c>
      <x:c r="K493" s="2" t="str">
        <x:v>Completed</x:v>
      </x:c>
      <x:c r="L493" s="2" t="str">
        <x:v>Not separately reported</x:v>
      </x:c>
      <x:c r="M493" s="2" t="str">
        <x:v>NR</x:v>
      </x:c>
      <x:c r="N493" s="2" t="str">
        <x:v>NR</x:v>
      </x:c>
      <x:c r="O493" s="2" t="str">
        <x:v>NR</x:v>
      </x:c>
      <x:c r="P493" s="6" t="str">
        <x:v>NR</x:v>
      </x:c>
      <x:c r="Q493" s="2" t="str">
        <x:v>NR</x:v>
      </x:c>
      <x:c r="R493" s="6" t="str">
        <x:v>NR</x:v>
      </x:c>
      <x:c r="S493" s="2" t="str">
        <x:v>NR</x:v>
      </x:c>
      <x:c r="T493" s="2" t="str">
        <x:v>NR</x:v>
      </x:c>
      <x:c r="U493" s="2" t="str">
        <x:v>NR</x:v>
      </x:c>
      <x:c r="V493" s="6" t="str">
        <x:v>Code and log ingestion is acquisition. Static analysis constructs the trace graph.</x:v>
      </x:c>
      <x:c r="W493"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93" s="6" t="str">
        <x:v>all you need to establish code traceability are in the case of sas the logs ; we will show you which data sets are required to produce this output</x:v>
      </x:c>
      <x:c r="Y493" s="6" t="str">
        <x:v>Code and log ingestion is acquisition. Static analysis constructs the trace graph.</x:v>
      </x:c>
      <x:c r="Z493" s="2" t="str">
        <x:v>Accepted</x:v>
      </x:c>
      <x:c r="AA493" s="6" t="str">
        <x:v>NR</x:v>
      </x:c>
    </x:row>
    <x:row r="494" ht="76" customHeight="1">
      <x:c r="A494" s="2" t="str">
        <x:v>G2-T03-P3</x:v>
      </x:c>
      <x:c r="B494" s="2" t="str">
        <x:v>G2</x:v>
      </x:c>
      <x:c r="C494" s="2" t="str">
        <x:v>v1</x:v>
      </x:c>
      <x:c r="D494" s="2" t="str">
        <x:v>Final coding</x:v>
      </x:c>
      <x:c r="E494" s="2" t="str">
        <x:v>R1/R2</x:v>
      </x:c>
      <x:c r="F494" s="2" t="str">
        <x:v>G2-T03-PROC</x:v>
      </x:c>
      <x:c r="G494" s="2" t="str">
        <x:v>G2-T03</x:v>
      </x:c>
      <x:c r="H494" s="2" t="str">
        <x:v>3 Traceability inference</x:v>
      </x:c>
      <x:c r="I494" s="2" t="n">
        <x:v>3</x:v>
      </x:c>
      <x:c r="J494" s="2" t="str">
        <x:v>Common core</x:v>
      </x:c>
      <x:c r="K494" s="2" t="str">
        <x:v>Completed</x:v>
      </x:c>
      <x:c r="L494" s="2" t="str">
        <x:v>Explicitly evidenced</x:v>
      </x:c>
      <x:c r="M494" s="2" t="str">
        <x:v>NR</x:v>
      </x:c>
      <x:c r="N494" s="2" t="str">
        <x:v>NR</x:v>
      </x:c>
      <x:c r="O494" s="2" t="str">
        <x:v>NR</x:v>
      </x:c>
      <x:c r="P494" s="6" t="str">
        <x:v>NR</x:v>
      </x:c>
      <x:c r="Q494" s="2" t="str">
        <x:v>3 Traceability inference</x:v>
      </x:c>
      <x:c r="R494" s="6" t="str">
        <x:v>variable-level and data-set-level traces that show which inputs produce a given output</x:v>
      </x:c>
      <x:c r="S494" s="2" t="str">
        <x:v>NR</x:v>
      </x:c>
      <x:c r="T494" s="2" t="str">
        <x:v>NR</x:v>
      </x:c>
      <x:c r="U494" s="2" t="str">
        <x:v>NR</x:v>
      </x:c>
      <x:c r="V494" s="6" t="str">
        <x:v>Code and log ingestion is acquisition. Static analysis constructs the trace graph.</x:v>
      </x:c>
      <x:c r="W494"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94" s="6" t="str">
        <x:v>all you need to establish code traceability are in the case of sas the logs ; we will show you which data sets are required to produce this output</x:v>
      </x:c>
      <x:c r="Y494" s="6" t="str">
        <x:v>Code and log ingestion is acquisition. Static analysis constructs the trace graph.</x:v>
      </x:c>
      <x:c r="Z494" s="2" t="str">
        <x:v>Accepted</x:v>
      </x:c>
      <x:c r="AA494" s="6" t="str">
        <x:v>NR</x:v>
      </x:c>
    </x:row>
    <x:row r="495" ht="76" customHeight="1">
      <x:c r="A495" s="2" t="str">
        <x:v>G2-T03-P4</x:v>
      </x:c>
      <x:c r="B495" s="2" t="str">
        <x:v>G2</x:v>
      </x:c>
      <x:c r="C495" s="2" t="str">
        <x:v>v1</x:v>
      </x:c>
      <x:c r="D495" s="2" t="str">
        <x:v>Final coding</x:v>
      </x:c>
      <x:c r="E495" s="2" t="str">
        <x:v>R1/R2</x:v>
      </x:c>
      <x:c r="F495" s="2" t="str">
        <x:v>G2-T03-PROC</x:v>
      </x:c>
      <x:c r="G495" s="2" t="str">
        <x:v>G2-T03</x:v>
      </x:c>
      <x:c r="H495" s="2" t="str">
        <x:v>4 Validation and explanation</x:v>
      </x:c>
      <x:c r="I495" s="2" t="n">
        <x:v>4</x:v>
      </x:c>
      <x:c r="J495" s="2" t="str">
        <x:v>Common core</x:v>
      </x:c>
      <x:c r="K495" s="2" t="str">
        <x:v>Completed</x:v>
      </x:c>
      <x:c r="L495" s="2" t="str">
        <x:v>Not separately reported</x:v>
      </x:c>
      <x:c r="M495" s="2" t="str">
        <x:v>NR</x:v>
      </x:c>
      <x:c r="N495" s="2" t="str">
        <x:v>NR</x:v>
      </x:c>
      <x:c r="O495" s="2" t="str">
        <x:v>NR</x:v>
      </x:c>
      <x:c r="P495" s="6" t="str">
        <x:v>NR</x:v>
      </x:c>
      <x:c r="Q495" s="2" t="str">
        <x:v>NR</x:v>
      </x:c>
      <x:c r="R495" s="6" t="str">
        <x:v>NR</x:v>
      </x:c>
      <x:c r="S495" s="2" t="str">
        <x:v>NR</x:v>
      </x:c>
      <x:c r="T495" s="2" t="str">
        <x:v>NR</x:v>
      </x:c>
      <x:c r="U495" s="2" t="str">
        <x:v>NR</x:v>
      </x:c>
      <x:c r="V495" s="6" t="str">
        <x:v>Code and log ingestion is acquisition. Static analysis constructs the trace graph.</x:v>
      </x:c>
      <x:c r="W495"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95" s="6" t="str">
        <x:v>all you need to establish code traceability are in the case of sas the logs ; we will show you which data sets are required to produce this output</x:v>
      </x:c>
      <x:c r="Y495" s="6" t="str">
        <x:v>Code and log ingestion is acquisition. Static analysis constructs the trace graph.</x:v>
      </x:c>
      <x:c r="Z495" s="2" t="str">
        <x:v>Accepted</x:v>
      </x:c>
      <x:c r="AA495" s="6" t="str">
        <x:v>NR</x:v>
      </x:c>
    </x:row>
    <x:row r="496" ht="76" customHeight="1">
      <x:c r="A496" s="2" t="str">
        <x:v>G2-T03-P5</x:v>
      </x:c>
      <x:c r="B496" s="2" t="str">
        <x:v>G2</x:v>
      </x:c>
      <x:c r="C496" s="2" t="str">
        <x:v>v1</x:v>
      </x:c>
      <x:c r="D496" s="2" t="str">
        <x:v>Final coding</x:v>
      </x:c>
      <x:c r="E496" s="2" t="str">
        <x:v>R1/R2</x:v>
      </x:c>
      <x:c r="F496" s="2" t="str">
        <x:v>G2-T03-PROC</x:v>
      </x:c>
      <x:c r="G496" s="2" t="str">
        <x:v>G2-T03</x:v>
      </x:c>
      <x:c r="H496" s="2" t="str">
        <x:v>5 Evolution and embedding</x:v>
      </x:c>
      <x:c r="I496" s="2" t="n">
        <x:v>5</x:v>
      </x:c>
      <x:c r="J496" s="2" t="str">
        <x:v>Common core</x:v>
      </x:c>
      <x:c r="K496" s="2" t="str">
        <x:v>Completed</x:v>
      </x:c>
      <x:c r="L496" s="2" t="str">
        <x:v>Not separately reported</x:v>
      </x:c>
      <x:c r="M496" s="2" t="str">
        <x:v>NR</x:v>
      </x:c>
      <x:c r="N496" s="2" t="str">
        <x:v>NR</x:v>
      </x:c>
      <x:c r="O496" s="2" t="str">
        <x:v>NR</x:v>
      </x:c>
      <x:c r="P496" s="6" t="str">
        <x:v>NR</x:v>
      </x:c>
      <x:c r="Q496" s="2" t="str">
        <x:v>NR</x:v>
      </x:c>
      <x:c r="R496" s="6" t="str">
        <x:v>NR</x:v>
      </x:c>
      <x:c r="S496" s="2" t="str">
        <x:v>NR</x:v>
      </x:c>
      <x:c r="T496" s="2" t="str">
        <x:v>NR</x:v>
      </x:c>
      <x:c r="U496" s="2" t="str">
        <x:v>NR</x:v>
      </x:c>
      <x:c r="V496" s="6" t="str">
        <x:v>Code and log ingestion is acquisition. Static analysis constructs the trace graph.</x:v>
      </x:c>
      <x:c r="W496" s="6" t="str">
        <x:v>G2_video_page.png (title, speaker and affiliation slide, channel, view count, likes) ; G2_page_description.png (page date, speaker attribution, description text, links) ; [00:59] ; [07:19] ; [07:32] ; [09:38] ; [10:14] ; [12:17] ; [12:24] ; [14:08] ; [17:39] ; [21:09] ; [26:46] ; [32:49] ; [37:01] ; [38:58] ; [39:01] ; [39:17] ; [40:47] </x:v>
      </x:c>
      <x:c r="X496" s="6" t="str">
        <x:v>all you need to establish code traceability are in the case of sas the logs ; we will show you which data sets are required to produce this output</x:v>
      </x:c>
      <x:c r="Y496" s="6" t="str">
        <x:v>Code and log ingestion is acquisition. Static analysis constructs the trace graph.</x:v>
      </x:c>
      <x:c r="Z496" s="2" t="str">
        <x:v>Accepted</x:v>
      </x:c>
      <x:c r="AA496" s="6" t="str">
        <x:v>NR</x:v>
      </x:c>
    </x:row>
    <x:row r="497" ht="76" customHeight="1">
      <x:c r="A497" s="2" t="str">
        <x:v>G3-T01-P1</x:v>
      </x:c>
      <x:c r="B497" s="2" t="str">
        <x:v>G3</x:v>
      </x:c>
      <x:c r="C497" s="2" t="str">
        <x:v>v1</x:v>
      </x:c>
      <x:c r="D497" s="2" t="str">
        <x:v>Final coding</x:v>
      </x:c>
      <x:c r="E497" s="2" t="str">
        <x:v>R1/R2</x:v>
      </x:c>
      <x:c r="F497" s="2" t="str">
        <x:v>G3-T01-PROC</x:v>
      </x:c>
      <x:c r="G497" s="2" t="str">
        <x:v>G3-T01</x:v>
      </x:c>
      <x:c r="H497" s="2" t="str">
        <x:v>1 Artifact acquisition and scoping</x:v>
      </x:c>
      <x:c r="I497" s="2" t="n">
        <x:v>1</x:v>
      </x:c>
      <x:c r="J497" s="2" t="str">
        <x:v>Common core</x:v>
      </x:c>
      <x:c r="K497" s="2" t="str">
        <x:v>Completed</x:v>
      </x:c>
      <x:c r="L497" s="2" t="str">
        <x:v>Explicitly evidenced</x:v>
      </x:c>
      <x:c r="M497" s="2" t="str">
        <x:v>NR</x:v>
      </x:c>
      <x:c r="N497" s="2" t="str">
        <x:v>NR</x:v>
      </x:c>
      <x:c r="O497" s="2" t="str">
        <x:v>NR</x:v>
      </x:c>
      <x:c r="P497" s="6" t="str">
        <x:v>NR</x:v>
      </x:c>
      <x:c r="Q497" s="2" t="str">
        <x:v>1 Artifact acquisition and scoping</x:v>
      </x:c>
      <x:c r="R497" s="6" t="str">
        <x:v>NR</x:v>
      </x:c>
      <x:c r="S497" s="2" t="str">
        <x:v>NR</x:v>
      </x:c>
      <x:c r="T497" s="2" t="str">
        <x:v>NR</x:v>
      </x:c>
      <x:c r="U497" s="2" t="str">
        <x:v>NR</x:v>
      </x:c>
      <x:c r="V497" s="6" t="str">
        <x:v>Audio upload/transcription acquires input, then vectors and extracted entities prepare the graph. Relation formation is inferred from the accepted task output. Whisper transcription remains an auxiliary non-target-model step.</x:v>
      </x:c>
      <x:c r="W497" s="6" t="str">
        <x:v>G3_video_page.png (title, channel, view count, likes) ; G3_page_description.png (page date, description text, feature list, uploading account) ; [00:01] ; [00:10] ; [00:30] ; [00:45] ; [00:54] ; [01:04] ; [01:14] ; [01:26] ; [01:32] ; [01:39] ; [02:05] ; [02:15] ; [02:56] ; [03:13] </x:v>
      </x:c>
      <x:c r="X497" s="6" t="str">
        <x:v>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Y497" s="6" t="str">
        <x:v>Audio upload/transcription acquires input, then vectors and extracted entities prepare the graph. Relation formation is inferred from the accepted task output. Whisper transcription remains an auxiliary non-target-model step.</x:v>
      </x:c>
      <x:c r="Z497" s="2" t="str">
        <x:v>Accepted</x:v>
      </x:c>
      <x:c r="AA497" s="6" t="str">
        <x:v>NR</x:v>
      </x:c>
    </x:row>
    <x:row r="498" ht="76" customHeight="1">
      <x:c r="A498" s="2" t="str">
        <x:v>G3-T01-P2</x:v>
      </x:c>
      <x:c r="B498" s="2" t="str">
        <x:v>G3</x:v>
      </x:c>
      <x:c r="C498" s="2" t="str">
        <x:v>v1</x:v>
      </x:c>
      <x:c r="D498" s="2" t="str">
        <x:v>Final coding</x:v>
      </x:c>
      <x:c r="E498" s="2" t="str">
        <x:v>R1/R2</x:v>
      </x:c>
      <x:c r="F498" s="2" t="str">
        <x:v>G3-T01-PROC</x:v>
      </x:c>
      <x:c r="G498" s="2" t="str">
        <x:v>G3-T01</x:v>
      </x:c>
      <x:c r="H498" s="2" t="str">
        <x:v>2 Semantic contextualization</x:v>
      </x:c>
      <x:c r="I498" s="2" t="n">
        <x:v>2</x:v>
      </x:c>
      <x:c r="J498" s="2" t="str">
        <x:v>Common core</x:v>
      </x:c>
      <x:c r="K498" s="2" t="str">
        <x:v>Completed</x:v>
      </x:c>
      <x:c r="L498" s="2" t="str">
        <x:v>Explicitly evidenced</x:v>
      </x:c>
      <x:c r="M498" s="2" t="str">
        <x:v>NR</x:v>
      </x:c>
      <x:c r="N498" s="2" t="str">
        <x:v>NR</x:v>
      </x:c>
      <x:c r="O498" s="2" t="str">
        <x:v>NR</x:v>
      </x:c>
      <x:c r="P498" s="6" t="str">
        <x:v>NR</x:v>
      </x:c>
      <x:c r="Q498" s="2" t="str">
        <x:v>2 Semantic contextualization</x:v>
      </x:c>
      <x:c r="R498" s="6" t="str">
        <x:v>NR</x:v>
      </x:c>
      <x:c r="S498" s="2" t="str">
        <x:v>NR</x:v>
      </x:c>
      <x:c r="T498" s="2" t="str">
        <x:v>NR</x:v>
      </x:c>
      <x:c r="U498" s="2" t="str">
        <x:v>NR</x:v>
      </x:c>
      <x:c r="V498" s="6" t="str">
        <x:v>Audio upload/transcription acquires input, then vectors and extracted entities prepare the graph. Relation formation is inferred from the accepted task output. Whisper transcription remains an auxiliary non-target-model step.</x:v>
      </x:c>
      <x:c r="W498" s="6" t="str">
        <x:v>G3_video_page.png (title, channel, view count, likes) ; G3_page_description.png (page date, description text, feature list, uploading account) ; [00:01] ; [00:10] ; [00:30] ; [00:45] ; [00:54] ; [01:04] ; [01:14] ; [01:26] ; [01:32] ; [01:39] ; [02:05] ; [02:15] ; [02:56] ; [03:13] </x:v>
      </x:c>
      <x:c r="X498" s="6" t="str">
        <x:v>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Y498" s="6" t="str">
        <x:v>Audio upload/transcription acquires input, then vectors and extracted entities prepare the graph. Relation formation is inferred from the accepted task output. Whisper transcription remains an auxiliary non-target-model step.</x:v>
      </x:c>
      <x:c r="Z498" s="2" t="str">
        <x:v>Accepted</x:v>
      </x:c>
      <x:c r="AA498" s="6" t="str">
        <x:v>NR</x:v>
      </x:c>
    </x:row>
    <x:row r="499" ht="76" customHeight="1">
      <x:c r="A499" s="2" t="str">
        <x:v>G3-T01-P3</x:v>
      </x:c>
      <x:c r="B499" s="2" t="str">
        <x:v>G3</x:v>
      </x:c>
      <x:c r="C499" s="2" t="str">
        <x:v>v1</x:v>
      </x:c>
      <x:c r="D499" s="2" t="str">
        <x:v>Final coding</x:v>
      </x:c>
      <x:c r="E499" s="2" t="str">
        <x:v>R1/R2</x:v>
      </x:c>
      <x:c r="F499" s="2" t="str">
        <x:v>G3-T01-PROC</x:v>
      </x:c>
      <x:c r="G499" s="2" t="str">
        <x:v>G3-T01</x:v>
      </x:c>
      <x:c r="H499" s="2" t="str">
        <x:v>3 Traceability inference</x:v>
      </x:c>
      <x:c r="I499" s="2" t="n">
        <x:v>3</x:v>
      </x:c>
      <x:c r="J499" s="2" t="str">
        <x:v>Common core</x:v>
      </x:c>
      <x:c r="K499" s="2" t="str">
        <x:v>Completed</x:v>
      </x:c>
      <x:c r="L499" s="2" t="str">
        <x:v>Inferred from relation output</x:v>
      </x:c>
      <x:c r="M499" s="2" t="str">
        <x:v>NR</x:v>
      </x:c>
      <x:c r="N499" s="2" t="str">
        <x:v>NR</x:v>
      </x:c>
      <x:c r="O499" s="2" t="str">
        <x:v>NR</x:v>
      </x:c>
      <x:c r="P499" s="6" t="str">
        <x:v>NR</x:v>
      </x:c>
      <x:c r="Q499" s="2" t="str">
        <x:v>NR</x:v>
      </x:c>
      <x:c r="R499" s="6" t="str">
        <x:v>structured requirement statements and a graph of trace links between requirements, design documents and code</x:v>
      </x:c>
      <x:c r="S499" s="2" t="str">
        <x:v>NR</x:v>
      </x:c>
      <x:c r="T499" s="2" t="str">
        <x:v>NR</x:v>
      </x:c>
      <x:c r="U499" s="2" t="str">
        <x:v>NR</x:v>
      </x:c>
      <x:c r="V499" s="6" t="str">
        <x:v>Audio upload/transcription acquires input, then vectors and extracted entities prepare the graph. Relation formation is inferred from the accepted task output. Whisper transcription remains an auxiliary non-target-model step.</x:v>
      </x:c>
      <x:c r="W499" s="6" t="str">
        <x:v>G3_video_page.png (title, channel, view count, likes) ; G3_page_description.png (page date, description text, feature list, uploading account) ; [00:01] ; [00:10] ; [00:30] ; [00:45] ; [00:54] ; [01:04] ; [01:14] ; [01:26] ; [01:32] ; [01:39] ; [02:05] ; [02:15] ; [02:56] ; [03:13] </x:v>
      </x:c>
      <x:c r="X499" s="6" t="str">
        <x:v>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Y499" s="6" t="str">
        <x:v>Audio upload/transcription acquires input, then vectors and extracted entities prepare the graph. Relation formation is inferred from the accepted task output. Whisper transcription remains an auxiliary non-target-model step.</x:v>
      </x:c>
      <x:c r="Z499" s="2" t="str">
        <x:v>Accepted</x:v>
      </x:c>
      <x:c r="AA499" s="6" t="str">
        <x:v>NR</x:v>
      </x:c>
    </x:row>
    <x:row r="500" ht="76" customHeight="1">
      <x:c r="A500" s="2" t="str">
        <x:v>G3-T01-P4</x:v>
      </x:c>
      <x:c r="B500" s="2" t="str">
        <x:v>G3</x:v>
      </x:c>
      <x:c r="C500" s="2" t="str">
        <x:v>v1</x:v>
      </x:c>
      <x:c r="D500" s="2" t="str">
        <x:v>Final coding</x:v>
      </x:c>
      <x:c r="E500" s="2" t="str">
        <x:v>R1/R2</x:v>
      </x:c>
      <x:c r="F500" s="2" t="str">
        <x:v>G3-T01-PROC</x:v>
      </x:c>
      <x:c r="G500" s="2" t="str">
        <x:v>G3-T01</x:v>
      </x:c>
      <x:c r="H500" s="2" t="str">
        <x:v>4 Validation and explanation</x:v>
      </x:c>
      <x:c r="I500" s="2" t="n">
        <x:v>4</x:v>
      </x:c>
      <x:c r="J500" s="2" t="str">
        <x:v>Common core</x:v>
      </x:c>
      <x:c r="K500" s="2" t="str">
        <x:v>Completed</x:v>
      </x:c>
      <x:c r="L500" s="2" t="str">
        <x:v>Not separately reported</x:v>
      </x:c>
      <x:c r="M500" s="2" t="str">
        <x:v>NR</x:v>
      </x:c>
      <x:c r="N500" s="2" t="str">
        <x:v>NR</x:v>
      </x:c>
      <x:c r="O500" s="2" t="str">
        <x:v>NR</x:v>
      </x:c>
      <x:c r="P500" s="6" t="str">
        <x:v>NR</x:v>
      </x:c>
      <x:c r="Q500" s="2" t="str">
        <x:v>NR</x:v>
      </x:c>
      <x:c r="R500" s="6" t="str">
        <x:v>NR</x:v>
      </x:c>
      <x:c r="S500" s="2" t="str">
        <x:v>NR</x:v>
      </x:c>
      <x:c r="T500" s="2" t="str">
        <x:v>NR</x:v>
      </x:c>
      <x:c r="U500" s="2" t="str">
        <x:v>NR</x:v>
      </x:c>
      <x:c r="V500" s="6" t="str">
        <x:v>Audio upload/transcription acquires input, then vectors and extracted entities prepare the graph. Relation formation is inferred from the accepted task output. Whisper transcription remains an auxiliary non-target-model step.</x:v>
      </x:c>
      <x:c r="W500" s="6" t="str">
        <x:v>G3_video_page.png (title, channel, view count, likes) ; G3_page_description.png (page date, description text, feature list, uploading account) ; [00:01] ; [00:10] ; [00:30] ; [00:45] ; [00:54] ; [01:04] ; [01:14] ; [01:26] ; [01:32] ; [01:39] ; [02:05] ; [02:15] ; [02:56] ; [03:13] </x:v>
      </x:c>
      <x:c r="X500" s="6" t="str">
        <x:v>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Y500" s="6" t="str">
        <x:v>Audio upload/transcription acquires input, then vectors and extracted entities prepare the graph. Relation formation is inferred from the accepted task output. Whisper transcription remains an auxiliary non-target-model step.</x:v>
      </x:c>
      <x:c r="Z500" s="2" t="str">
        <x:v>Accepted</x:v>
      </x:c>
      <x:c r="AA500" s="6" t="str">
        <x:v>NR</x:v>
      </x:c>
    </x:row>
    <x:row r="501" ht="76" customHeight="1">
      <x:c r="A501" s="2" t="str">
        <x:v>G3-T01-P5</x:v>
      </x:c>
      <x:c r="B501" s="2" t="str">
        <x:v>G3</x:v>
      </x:c>
      <x:c r="C501" s="2" t="str">
        <x:v>v1</x:v>
      </x:c>
      <x:c r="D501" s="2" t="str">
        <x:v>Final coding</x:v>
      </x:c>
      <x:c r="E501" s="2" t="str">
        <x:v>R1/R2</x:v>
      </x:c>
      <x:c r="F501" s="2" t="str">
        <x:v>G3-T01-PROC</x:v>
      </x:c>
      <x:c r="G501" s="2" t="str">
        <x:v>G3-T01</x:v>
      </x:c>
      <x:c r="H501" s="2" t="str">
        <x:v>5 Evolution and embedding</x:v>
      </x:c>
      <x:c r="I501" s="2" t="n">
        <x:v>5</x:v>
      </x:c>
      <x:c r="J501" s="2" t="str">
        <x:v>Common core</x:v>
      </x:c>
      <x:c r="K501" s="2" t="str">
        <x:v>Completed</x:v>
      </x:c>
      <x:c r="L501" s="2" t="str">
        <x:v>Not separately reported</x:v>
      </x:c>
      <x:c r="M501" s="2" t="str">
        <x:v>NR</x:v>
      </x:c>
      <x:c r="N501" s="2" t="str">
        <x:v>NR</x:v>
      </x:c>
      <x:c r="O501" s="2" t="str">
        <x:v>NR</x:v>
      </x:c>
      <x:c r="P501" s="6" t="str">
        <x:v>NR</x:v>
      </x:c>
      <x:c r="Q501" s="2" t="str">
        <x:v>NR</x:v>
      </x:c>
      <x:c r="R501" s="6" t="str">
        <x:v>NR</x:v>
      </x:c>
      <x:c r="S501" s="2" t="str">
        <x:v>NR</x:v>
      </x:c>
      <x:c r="T501" s="2" t="str">
        <x:v>NR</x:v>
      </x:c>
      <x:c r="U501" s="2" t="str">
        <x:v>NR</x:v>
      </x:c>
      <x:c r="V501" s="6" t="str">
        <x:v>Audio upload/transcription acquires input, then vectors and extracted entities prepare the graph. Relation formation is inferred from the accepted task output. Whisper transcription remains an auxiliary non-target-model step.</x:v>
      </x:c>
      <x:c r="W501" s="6" t="str">
        <x:v>G3_video_page.png (title, channel, view count, likes) ; G3_page_description.png (page date, description text, feature list, uploading account) ; [00:01] ; [00:10] ; [00:30] ; [00:45] ; [00:54] ; [01:04] ; [01:14] ; [01:26] ; [01:32] ; [01:39] ; [02:05] ; [02:15] ; [02:56] ; [03:13] </x:v>
      </x:c>
      <x:c r="X501" s="6" t="str">
        <x:v>ReqTrace is an AI-powered traceability system designed to help software teams transform unstructured inputs-like audio notes, meeting transcripts, and documents-into structured requirements, linked code artifacts, and graph-based traceability insights ; Generates trace links between requirements, design docs, and code</x:v>
      </x:c>
      <x:c r="Y501" s="6" t="str">
        <x:v>Audio upload/transcription acquires input, then vectors and extracted entities prepare the graph. Relation formation is inferred from the accepted task output. Whisper transcription remains an auxiliary non-target-model step.</x:v>
      </x:c>
      <x:c r="Z501" s="2" t="str">
        <x:v>Accepted</x:v>
      </x:c>
      <x:c r="AA501" s="6" t="str">
        <x:v>NR</x:v>
      </x:c>
    </x:row>
    <x:row r="502" ht="76" customHeight="1">
      <x:c r="A502" s="2" t="str">
        <x:v>G3-T02-P1</x:v>
      </x:c>
      <x:c r="B502" s="2" t="str">
        <x:v>G3</x:v>
      </x:c>
      <x:c r="C502" s="2" t="str">
        <x:v>v1</x:v>
      </x:c>
      <x:c r="D502" s="2" t="str">
        <x:v>Final coding</x:v>
      </x:c>
      <x:c r="E502" s="2" t="str">
        <x:v>R1/R2</x:v>
      </x:c>
      <x:c r="F502" s="2" t="str">
        <x:v>G3-T02-PROC</x:v>
      </x:c>
      <x:c r="G502" s="2" t="str">
        <x:v>G3-T02</x:v>
      </x:c>
      <x:c r="H502" s="2" t="str">
        <x:v>1 Artifact acquisition and scoping</x:v>
      </x:c>
      <x:c r="I502" s="2" t="n">
        <x:v>1</x:v>
      </x:c>
      <x:c r="J502" s="2" t="str">
        <x:v>Common core</x:v>
      </x:c>
      <x:c r="K502" s="2" t="str">
        <x:v>Completed</x:v>
      </x:c>
      <x:c r="L502" s="2" t="str">
        <x:v>Not separately reported</x:v>
      </x:c>
      <x:c r="M502" s="2" t="str">
        <x:v>NR</x:v>
      </x:c>
      <x:c r="N502" s="2" t="str">
        <x:v>NR</x:v>
      </x:c>
      <x:c r="O502" s="2" t="str">
        <x:v>NR</x:v>
      </x:c>
      <x:c r="P502" s="6" t="str">
        <x:v>NR</x:v>
      </x:c>
      <x:c r="Q502" s="2" t="str">
        <x:v>NR</x:v>
      </x:c>
      <x:c r="R502" s="6" t="str">
        <x:v>NR</x:v>
      </x:c>
      <x:c r="S502" s="2" t="str">
        <x:v>NR</x:v>
      </x:c>
      <x:c r="T502" s="2" t="str">
        <x:v>NR</x:v>
      </x:c>
      <x:c r="U502" s="2" t="str">
        <x:v>NR</x:v>
      </x:c>
      <x:c r="V502" s="6" t="str">
        <x:v>The graph stores and visualizes requirements and relations. A separate initial relation-forming operation is not documented.</x:v>
      </x:c>
      <x:c r="W502" s="6" t="str">
        <x:v>G3_video_page.png (title, channel, view count, likes) ; G3_page_description.png (page date, description text, feature list, uploading account) ; [00:01] ; [00:10] ; [00:30] ; [00:45] ; [00:54] ; [01:04] ; [01:14] ; [01:26] ; [01:32] ; [01:39] ; [02:05] ; [02:15] ; [02:56] ; [03:13] </x:v>
      </x:c>
      <x:c r="X502" s="6" t="str">
        <x:v>each node represents a requirement, stakeholder, test case, feature, constraint, team or entity ; edges represent traceability links</x:v>
      </x:c>
      <x:c r="Y502" s="6" t="str">
        <x:v>The graph stores and visualizes requirements and relations. A separate initial relation-forming operation is not documented.</x:v>
      </x:c>
      <x:c r="Z502" s="2" t="str">
        <x:v>Accepted</x:v>
      </x:c>
      <x:c r="AA502" s="6" t="str">
        <x:v>NR</x:v>
      </x:c>
    </x:row>
    <x:row r="503" ht="76" customHeight="1">
      <x:c r="A503" s="2" t="str">
        <x:v>G3-T02-P2</x:v>
      </x:c>
      <x:c r="B503" s="2" t="str">
        <x:v>G3</x:v>
      </x:c>
      <x:c r="C503" s="2" t="str">
        <x:v>v1</x:v>
      </x:c>
      <x:c r="D503" s="2" t="str">
        <x:v>Final coding</x:v>
      </x:c>
      <x:c r="E503" s="2" t="str">
        <x:v>R1/R2</x:v>
      </x:c>
      <x:c r="F503" s="2" t="str">
        <x:v>G3-T02-PROC</x:v>
      </x:c>
      <x:c r="G503" s="2" t="str">
        <x:v>G3-T02</x:v>
      </x:c>
      <x:c r="H503" s="2" t="str">
        <x:v>2 Semantic contextualization</x:v>
      </x:c>
      <x:c r="I503" s="2" t="n">
        <x:v>2</x:v>
      </x:c>
      <x:c r="J503" s="2" t="str">
        <x:v>Common core</x:v>
      </x:c>
      <x:c r="K503" s="2" t="str">
        <x:v>Completed</x:v>
      </x:c>
      <x:c r="L503" s="2" t="str">
        <x:v>Not separately reported</x:v>
      </x:c>
      <x:c r="M503" s="2" t="str">
        <x:v>NR</x:v>
      </x:c>
      <x:c r="N503" s="2" t="str">
        <x:v>NR</x:v>
      </x:c>
      <x:c r="O503" s="2" t="str">
        <x:v>NR</x:v>
      </x:c>
      <x:c r="P503" s="6" t="str">
        <x:v>NR</x:v>
      </x:c>
      <x:c r="Q503" s="2" t="str">
        <x:v>NR</x:v>
      </x:c>
      <x:c r="R503" s="6" t="str">
        <x:v>NR</x:v>
      </x:c>
      <x:c r="S503" s="2" t="str">
        <x:v>NR</x:v>
      </x:c>
      <x:c r="T503" s="2" t="str">
        <x:v>NR</x:v>
      </x:c>
      <x:c r="U503" s="2" t="str">
        <x:v>NR</x:v>
      </x:c>
      <x:c r="V503" s="6" t="str">
        <x:v>The graph stores and visualizes requirements and relations. A separate initial relation-forming operation is not documented.</x:v>
      </x:c>
      <x:c r="W503" s="6" t="str">
        <x:v>G3_video_page.png (title, channel, view count, likes) ; G3_page_description.png (page date, description text, feature list, uploading account) ; [00:01] ; [00:10] ; [00:30] ; [00:45] ; [00:54] ; [01:04] ; [01:14] ; [01:26] ; [01:32] ; [01:39] ; [02:05] ; [02:15] ; [02:56] ; [03:13] </x:v>
      </x:c>
      <x:c r="X503" s="6" t="str">
        <x:v>each node represents a requirement, stakeholder, test case, feature, constraint, team or entity ; edges represent traceability links</x:v>
      </x:c>
      <x:c r="Y503" s="6" t="str">
        <x:v>The graph stores and visualizes requirements and relations. A separate initial relation-forming operation is not documented.</x:v>
      </x:c>
      <x:c r="Z503" s="2" t="str">
        <x:v>Accepted</x:v>
      </x:c>
      <x:c r="AA503" s="6" t="str">
        <x:v>NR</x:v>
      </x:c>
    </x:row>
    <x:row r="504" ht="76" customHeight="1">
      <x:c r="A504" s="2" t="str">
        <x:v>G3-T02-P3</x:v>
      </x:c>
      <x:c r="B504" s="2" t="str">
        <x:v>G3</x:v>
      </x:c>
      <x:c r="C504" s="2" t="str">
        <x:v>v1</x:v>
      </x:c>
      <x:c r="D504" s="2" t="str">
        <x:v>Final coding</x:v>
      </x:c>
      <x:c r="E504" s="2" t="str">
        <x:v>R1/R2</x:v>
      </x:c>
      <x:c r="F504" s="2" t="str">
        <x:v>G3-T02-PROC</x:v>
      </x:c>
      <x:c r="G504" s="2" t="str">
        <x:v>G3-T02</x:v>
      </x:c>
      <x:c r="H504" s="2" t="str">
        <x:v>3 Traceability inference</x:v>
      </x:c>
      <x:c r="I504" s="2" t="n">
        <x:v>3</x:v>
      </x:c>
      <x:c r="J504" s="2" t="str">
        <x:v>Common core</x:v>
      </x:c>
      <x:c r="K504" s="2" t="str">
        <x:v>Completed</x:v>
      </x:c>
      <x:c r="L504" s="2" t="str">
        <x:v>Inferred from relation output</x:v>
      </x:c>
      <x:c r="M504" s="2" t="str">
        <x:v>NR</x:v>
      </x:c>
      <x:c r="N504" s="2" t="str">
        <x:v>NR</x:v>
      </x:c>
      <x:c r="O504" s="2" t="str">
        <x:v>NR</x:v>
      </x:c>
      <x:c r="P504" s="6" t="str">
        <x:v>NR</x:v>
      </x:c>
      <x:c r="Q504" s="2" t="str">
        <x:v>NR</x:v>
      </x:c>
      <x:c r="R504" s="6" t="str">
        <x:v>a queryable requirement graph whose nodes and edges represent the requirements, the project entities and the trace links between them</x:v>
      </x:c>
      <x:c r="S504" s="2" t="str">
        <x:v>NR</x:v>
      </x:c>
      <x:c r="T504" s="2" t="str">
        <x:v>NR</x:v>
      </x:c>
      <x:c r="U504" s="2" t="str">
        <x:v>NR</x:v>
      </x:c>
      <x:c r="V504" s="6" t="str">
        <x:v>The graph stores and visualizes requirements and relations. A separate initial relation-forming operation is not documented.</x:v>
      </x:c>
      <x:c r="W504" s="6" t="str">
        <x:v>G3_video_page.png (title, channel, view count, likes) ; G3_page_description.png (page date, description text, feature list, uploading account) ; [00:01] ; [00:10] ; [00:30] ; [00:45] ; [00:54] ; [01:04] ; [01:14] ; [01:26] ; [01:32] ; [01:39] ; [02:05] ; [02:15] ; [02:56] ; [03:13] </x:v>
      </x:c>
      <x:c r="X504" s="6" t="str">
        <x:v>each node represents a requirement, stakeholder, test case, feature, constraint, team or entity ; edges represent traceability links</x:v>
      </x:c>
      <x:c r="Y504" s="6" t="str">
        <x:v>The graph stores and visualizes requirements and relations. A separate initial relation-forming operation is not documented.</x:v>
      </x:c>
      <x:c r="Z504" s="2" t="str">
        <x:v>Accepted</x:v>
      </x:c>
      <x:c r="AA504" s="6" t="str">
        <x:v>NR</x:v>
      </x:c>
    </x:row>
    <x:row r="505" ht="76" customHeight="1">
      <x:c r="A505" s="2" t="str">
        <x:v>G3-T02-P4</x:v>
      </x:c>
      <x:c r="B505" s="2" t="str">
        <x:v>G3</x:v>
      </x:c>
      <x:c r="C505" s="2" t="str">
        <x:v>v1</x:v>
      </x:c>
      <x:c r="D505" s="2" t="str">
        <x:v>Final coding</x:v>
      </x:c>
      <x:c r="E505" s="2" t="str">
        <x:v>R1/R2</x:v>
      </x:c>
      <x:c r="F505" s="2" t="str">
        <x:v>G3-T02-PROC</x:v>
      </x:c>
      <x:c r="G505" s="2" t="str">
        <x:v>G3-T02</x:v>
      </x:c>
      <x:c r="H505" s="2" t="str">
        <x:v>4 Validation and explanation</x:v>
      </x:c>
      <x:c r="I505" s="2" t="n">
        <x:v>4</x:v>
      </x:c>
      <x:c r="J505" s="2" t="str">
        <x:v>Common core</x:v>
      </x:c>
      <x:c r="K505" s="2" t="str">
        <x:v>Completed</x:v>
      </x:c>
      <x:c r="L505" s="2" t="str">
        <x:v>Not separately reported</x:v>
      </x:c>
      <x:c r="M505" s="2" t="str">
        <x:v>NR</x:v>
      </x:c>
      <x:c r="N505" s="2" t="str">
        <x:v>NR</x:v>
      </x:c>
      <x:c r="O505" s="2" t="str">
        <x:v>NR</x:v>
      </x:c>
      <x:c r="P505" s="6" t="str">
        <x:v>NR</x:v>
      </x:c>
      <x:c r="Q505" s="2" t="str">
        <x:v>NR</x:v>
      </x:c>
      <x:c r="R505" s="6" t="str">
        <x:v>NR</x:v>
      </x:c>
      <x:c r="S505" s="2" t="str">
        <x:v>NR</x:v>
      </x:c>
      <x:c r="T505" s="2" t="str">
        <x:v>NR</x:v>
      </x:c>
      <x:c r="U505" s="2" t="str">
        <x:v>NR</x:v>
      </x:c>
      <x:c r="V505" s="6" t="str">
        <x:v>The graph stores and visualizes requirements and relations. A separate initial relation-forming operation is not documented.</x:v>
      </x:c>
      <x:c r="W505" s="6" t="str">
        <x:v>G3_video_page.png (title, channel, view count, likes) ; G3_page_description.png (page date, description text, feature list, uploading account) ; [00:01] ; [00:10] ; [00:30] ; [00:45] ; [00:54] ; [01:04] ; [01:14] ; [01:26] ; [01:32] ; [01:39] ; [02:05] ; [02:15] ; [02:56] ; [03:13] </x:v>
      </x:c>
      <x:c r="X505" s="6" t="str">
        <x:v>each node represents a requirement, stakeholder, test case, feature, constraint, team or entity ; edges represent traceability links</x:v>
      </x:c>
      <x:c r="Y505" s="6" t="str">
        <x:v>The graph stores and visualizes requirements and relations. A separate initial relation-forming operation is not documented.</x:v>
      </x:c>
      <x:c r="Z505" s="2" t="str">
        <x:v>Accepted</x:v>
      </x:c>
      <x:c r="AA505" s="6" t="str">
        <x:v>NR</x:v>
      </x:c>
    </x:row>
    <x:row r="506" ht="76" customHeight="1">
      <x:c r="A506" s="2" t="str">
        <x:v>G3-T02-P5</x:v>
      </x:c>
      <x:c r="B506" s="2" t="str">
        <x:v>G3</x:v>
      </x:c>
      <x:c r="C506" s="2" t="str">
        <x:v>v1</x:v>
      </x:c>
      <x:c r="D506" s="2" t="str">
        <x:v>Final coding</x:v>
      </x:c>
      <x:c r="E506" s="2" t="str">
        <x:v>R1/R2</x:v>
      </x:c>
      <x:c r="F506" s="2" t="str">
        <x:v>G3-T02-PROC</x:v>
      </x:c>
      <x:c r="G506" s="2" t="str">
        <x:v>G3-T02</x:v>
      </x:c>
      <x:c r="H506" s="2" t="str">
        <x:v>5 Evolution and embedding</x:v>
      </x:c>
      <x:c r="I506" s="2" t="n">
        <x:v>5</x:v>
      </x:c>
      <x:c r="J506" s="2" t="str">
        <x:v>Common core</x:v>
      </x:c>
      <x:c r="K506" s="2" t="str">
        <x:v>Completed</x:v>
      </x:c>
      <x:c r="L506" s="2" t="str">
        <x:v>Explicitly evidenced</x:v>
      </x:c>
      <x:c r="M506" s="2" t="str">
        <x:v>NR</x:v>
      </x:c>
      <x:c r="N506" s="2" t="str">
        <x:v>NR</x:v>
      </x:c>
      <x:c r="O506" s="2" t="str">
        <x:v>NR</x:v>
      </x:c>
      <x:c r="P506" s="6" t="str">
        <x:v>NR</x:v>
      </x:c>
      <x:c r="Q506" s="2" t="str">
        <x:v>5 Evolution and embedding</x:v>
      </x:c>
      <x:c r="R506" s="6" t="str">
        <x:v>NR</x:v>
      </x:c>
      <x:c r="S506" s="2" t="str">
        <x:v>NR</x:v>
      </x:c>
      <x:c r="T506" s="2" t="str">
        <x:v>NR</x:v>
      </x:c>
      <x:c r="U506" s="2" t="str">
        <x:v>NR</x:v>
      </x:c>
      <x:c r="V506" s="6" t="str">
        <x:v>The graph stores and visualizes requirements and relations. A separate initial relation-forming operation is not documented.</x:v>
      </x:c>
      <x:c r="W506" s="6" t="str">
        <x:v>G3_video_page.png (title, channel, view count, likes) ; G3_page_description.png (page date, description text, feature list, uploading account) ; [00:01] ; [00:10] ; [00:30] ; [00:45] ; [00:54] ; [01:04] ; [01:14] ; [01:26] ; [01:32] ; [01:39] ; [02:05] ; [02:15] ; [02:56] ; [03:13] </x:v>
      </x:c>
      <x:c r="X506" s="6" t="str">
        <x:v>each node represents a requirement, stakeholder, test case, feature, constraint, team or entity ; edges represent traceability links</x:v>
      </x:c>
      <x:c r="Y506" s="6" t="str">
        <x:v>The graph stores and visualizes requirements and relations. A separate initial relation-forming operation is not documented.</x:v>
      </x:c>
      <x:c r="Z506" s="2" t="str">
        <x:v>Accepted</x:v>
      </x:c>
      <x:c r="AA506" s="6" t="str">
        <x:v>NR</x:v>
      </x:c>
    </x:row>
    <x:row r="507" ht="76" customHeight="1">
      <x:c r="A507" s="2" t="str">
        <x:v>G4-T01-P1</x:v>
      </x:c>
      <x:c r="B507" s="2" t="str">
        <x:v>G4</x:v>
      </x:c>
      <x:c r="C507" s="2" t="str">
        <x:v>v1</x:v>
      </x:c>
      <x:c r="D507" s="2" t="str">
        <x:v>Final coding</x:v>
      </x:c>
      <x:c r="E507" s="2" t="str">
        <x:v>R1/R2</x:v>
      </x:c>
      <x:c r="F507" s="2" t="str">
        <x:v>G4-T01-PROC</x:v>
      </x:c>
      <x:c r="G507" s="2" t="str">
        <x:v>G4-T01</x:v>
      </x:c>
      <x:c r="H507" s="2" t="str">
        <x:v>1 Artifact acquisition and scoping</x:v>
      </x:c>
      <x:c r="I507" s="2" t="n">
        <x:v>1</x:v>
      </x:c>
      <x:c r="J507" s="2" t="str">
        <x:v>Common core</x:v>
      </x:c>
      <x:c r="K507" s="2" t="str">
        <x:v>Completed</x:v>
      </x:c>
      <x:c r="L507" s="2" t="str">
        <x:v>Not separately reported</x:v>
      </x:c>
      <x:c r="M507" s="2" t="str">
        <x:v>NR</x:v>
      </x:c>
      <x:c r="N507" s="2" t="str">
        <x:v>NR</x:v>
      </x:c>
      <x:c r="O507" s="2" t="str">
        <x:v>NR</x:v>
      </x:c>
      <x:c r="P507" s="6" t="str">
        <x:v>NR</x:v>
      </x:c>
      <x:c r="Q507" s="2" t="str">
        <x:v>NR</x:v>
      </x:c>
      <x:c r="R507" s="6" t="str">
        <x:v>NR</x:v>
      </x:c>
      <x:c r="S507" s="2" t="str">
        <x:v>NR</x:v>
      </x:c>
      <x:c r="T507" s="2" t="str">
        <x:v>NR</x:v>
      </x:c>
      <x:c r="U507" s="2" t="str">
        <x:v>NR</x:v>
      </x:c>
      <x:c r="V507" s="6" t="str">
        <x:v>Requirements are mapped to implementing functions, then an engineer reviews the mappings.</x:v>
      </x:c>
      <x:c r="W507"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07" s="6" t="str">
        <x:v>Reqs2x uses program slicing and large language models to map requirements to the functions that implement them, generate aligned test cases, and present both for engineer review. Requirements traceability is built in from the start, not added later. ; Program slicing identifies which functions implement each requirement</x:v>
      </x:c>
      <x:c r="Y507" s="6" t="str">
        <x:v>Requirements are mapped to implementing functions, then an engineer reviews the mappings.</x:v>
      </x:c>
      <x:c r="Z507" s="2" t="str">
        <x:v>Accepted</x:v>
      </x:c>
      <x:c r="AA507" s="6" t="str">
        <x:v>NR</x:v>
      </x:c>
    </x:row>
    <x:row r="508" ht="76" customHeight="1">
      <x:c r="A508" s="2" t="str">
        <x:v>G4-T01-P2</x:v>
      </x:c>
      <x:c r="B508" s="2" t="str">
        <x:v>G4</x:v>
      </x:c>
      <x:c r="C508" s="2" t="str">
        <x:v>v1</x:v>
      </x:c>
      <x:c r="D508" s="2" t="str">
        <x:v>Final coding</x:v>
      </x:c>
      <x:c r="E508" s="2" t="str">
        <x:v>R1/R2</x:v>
      </x:c>
      <x:c r="F508" s="2" t="str">
        <x:v>G4-T01-PROC</x:v>
      </x:c>
      <x:c r="G508" s="2" t="str">
        <x:v>G4-T01</x:v>
      </x:c>
      <x:c r="H508" s="2" t="str">
        <x:v>2 Semantic contextualization</x:v>
      </x:c>
      <x:c r="I508" s="2" t="n">
        <x:v>2</x:v>
      </x:c>
      <x:c r="J508" s="2" t="str">
        <x:v>Common core</x:v>
      </x:c>
      <x:c r="K508" s="2" t="str">
        <x:v>Completed</x:v>
      </x:c>
      <x:c r="L508" s="2" t="str">
        <x:v>Not separately reported</x:v>
      </x:c>
      <x:c r="M508" s="2" t="str">
        <x:v>NR</x:v>
      </x:c>
      <x:c r="N508" s="2" t="str">
        <x:v>NR</x:v>
      </x:c>
      <x:c r="O508" s="2" t="str">
        <x:v>NR</x:v>
      </x:c>
      <x:c r="P508" s="6" t="str">
        <x:v>NR</x:v>
      </x:c>
      <x:c r="Q508" s="2" t="str">
        <x:v>NR</x:v>
      </x:c>
      <x:c r="R508" s="6" t="str">
        <x:v>NR</x:v>
      </x:c>
      <x:c r="S508" s="2" t="str">
        <x:v>NR</x:v>
      </x:c>
      <x:c r="T508" s="2" t="str">
        <x:v>NR</x:v>
      </x:c>
      <x:c r="U508" s="2" t="str">
        <x:v>NR</x:v>
      </x:c>
      <x:c r="V508" s="6" t="str">
        <x:v>Requirements are mapped to implementing functions, then an engineer reviews the mappings.</x:v>
      </x:c>
      <x:c r="W508"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08" s="6" t="str">
        <x:v>Reqs2x uses program slicing and large language models to map requirements to the functions that implement them, generate aligned test cases, and present both for engineer review. Requirements traceability is built in from the start, not added later. ; Program slicing identifies which functions implement each requirement</x:v>
      </x:c>
      <x:c r="Y508" s="6" t="str">
        <x:v>Requirements are mapped to implementing functions, then an engineer reviews the mappings.</x:v>
      </x:c>
      <x:c r="Z508" s="2" t="str">
        <x:v>Accepted</x:v>
      </x:c>
      <x:c r="AA508" s="6" t="str">
        <x:v>NR</x:v>
      </x:c>
    </x:row>
    <x:row r="509" ht="76" customHeight="1">
      <x:c r="A509" s="2" t="str">
        <x:v>G4-T01-P3</x:v>
      </x:c>
      <x:c r="B509" s="2" t="str">
        <x:v>G4</x:v>
      </x:c>
      <x:c r="C509" s="2" t="str">
        <x:v>v1</x:v>
      </x:c>
      <x:c r="D509" s="2" t="str">
        <x:v>Final coding</x:v>
      </x:c>
      <x:c r="E509" s="2" t="str">
        <x:v>R1/R2</x:v>
      </x:c>
      <x:c r="F509" s="2" t="str">
        <x:v>G4-T01-PROC</x:v>
      </x:c>
      <x:c r="G509" s="2" t="str">
        <x:v>G4-T01</x:v>
      </x:c>
      <x:c r="H509" s="2" t="str">
        <x:v>3 Traceability inference</x:v>
      </x:c>
      <x:c r="I509" s="2" t="n">
        <x:v>3</x:v>
      </x:c>
      <x:c r="J509" s="2" t="str">
        <x:v>Common core</x:v>
      </x:c>
      <x:c r="K509" s="2" t="str">
        <x:v>Completed</x:v>
      </x:c>
      <x:c r="L509" s="2" t="str">
        <x:v>Explicitly evidenced</x:v>
      </x:c>
      <x:c r="M509" s="2" t="str">
        <x:v>NR</x:v>
      </x:c>
      <x:c r="N509" s="2" t="str">
        <x:v>NR</x:v>
      </x:c>
      <x:c r="O509" s="2" t="str">
        <x:v>NR</x:v>
      </x:c>
      <x:c r="P509" s="6" t="str">
        <x:v>NR</x:v>
      </x:c>
      <x:c r="Q509" s="2" t="str">
        <x:v>3 Traceability inference</x:v>
      </x:c>
      <x:c r="R509" s="6" t="str">
        <x:v>a requirement-to-function mapping that engineers can review before it enters a verification workflow</x:v>
      </x:c>
      <x:c r="S509" s="2" t="str">
        <x:v>NR</x:v>
      </x:c>
      <x:c r="T509" s="2" t="str">
        <x:v>NR</x:v>
      </x:c>
      <x:c r="U509" s="2" t="str">
        <x:v>NR</x:v>
      </x:c>
      <x:c r="V509" s="6" t="str">
        <x:v>Requirements are mapped to implementing functions, then an engineer reviews the mappings.</x:v>
      </x:c>
      <x:c r="W509"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09" s="6" t="str">
        <x:v>Reqs2x uses program slicing and large language models to map requirements to the functions that implement them, generate aligned test cases, and present both for engineer review. Requirements traceability is built in from the start, not added later. ; Program slicing identifies which functions implement each requirement</x:v>
      </x:c>
      <x:c r="Y509" s="6" t="str">
        <x:v>Requirements are mapped to implementing functions, then an engineer reviews the mappings.</x:v>
      </x:c>
      <x:c r="Z509" s="2" t="str">
        <x:v>Accepted</x:v>
      </x:c>
      <x:c r="AA509" s="6" t="str">
        <x:v>NR</x:v>
      </x:c>
    </x:row>
    <x:row r="510" ht="76" customHeight="1">
      <x:c r="A510" s="2" t="str">
        <x:v>G4-T01-P4</x:v>
      </x:c>
      <x:c r="B510" s="2" t="str">
        <x:v>G4</x:v>
      </x:c>
      <x:c r="C510" s="2" t="str">
        <x:v>v1</x:v>
      </x:c>
      <x:c r="D510" s="2" t="str">
        <x:v>Final coding</x:v>
      </x:c>
      <x:c r="E510" s="2" t="str">
        <x:v>R1/R2</x:v>
      </x:c>
      <x:c r="F510" s="2" t="str">
        <x:v>G4-T01-PROC</x:v>
      </x:c>
      <x:c r="G510" s="2" t="str">
        <x:v>G4-T01</x:v>
      </x:c>
      <x:c r="H510" s="2" t="str">
        <x:v>4 Validation and explanation</x:v>
      </x:c>
      <x:c r="I510" s="2" t="n">
        <x:v>4</x:v>
      </x:c>
      <x:c r="J510" s="2" t="str">
        <x:v>Common core</x:v>
      </x:c>
      <x:c r="K510" s="2" t="str">
        <x:v>Completed</x:v>
      </x:c>
      <x:c r="L510" s="2" t="str">
        <x:v>Explicitly evidenced</x:v>
      </x:c>
      <x:c r="M510" s="2" t="str">
        <x:v>NR</x:v>
      </x:c>
      <x:c r="N510" s="2" t="str">
        <x:v>NR</x:v>
      </x:c>
      <x:c r="O510" s="2" t="str">
        <x:v>NR</x:v>
      </x:c>
      <x:c r="P510" s="6" t="str">
        <x:v>NR</x:v>
      </x:c>
      <x:c r="Q510" s="2" t="str">
        <x:v>4 Validation and explanation</x:v>
      </x:c>
      <x:c r="R510" s="6" t="str">
        <x:v>NR</x:v>
      </x:c>
      <x:c r="S510" s="2" t="str">
        <x:v>NR</x:v>
      </x:c>
      <x:c r="T510" s="2" t="str">
        <x:v>NR</x:v>
      </x:c>
      <x:c r="U510" s="2" t="str">
        <x:v>NR</x:v>
      </x:c>
      <x:c r="V510" s="6" t="str">
        <x:v>Requirements are mapped to implementing functions, then an engineer reviews the mappings.</x:v>
      </x:c>
      <x:c r="W510"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10" s="6" t="str">
        <x:v>Reqs2x uses program slicing and large language models to map requirements to the functions that implement them, generate aligned test cases, and present both for engineer review. Requirements traceability is built in from the start, not added later. ; Program slicing identifies which functions implement each requirement</x:v>
      </x:c>
      <x:c r="Y510" s="6" t="str">
        <x:v>Requirements are mapped to implementing functions, then an engineer reviews the mappings.</x:v>
      </x:c>
      <x:c r="Z510" s="2" t="str">
        <x:v>Accepted</x:v>
      </x:c>
      <x:c r="AA510" s="6" t="str">
        <x:v>NR</x:v>
      </x:c>
    </x:row>
    <x:row r="511" ht="76" customHeight="1">
      <x:c r="A511" s="2" t="str">
        <x:v>G4-T01-P5</x:v>
      </x:c>
      <x:c r="B511" s="2" t="str">
        <x:v>G4</x:v>
      </x:c>
      <x:c r="C511" s="2" t="str">
        <x:v>v1</x:v>
      </x:c>
      <x:c r="D511" s="2" t="str">
        <x:v>Final coding</x:v>
      </x:c>
      <x:c r="E511" s="2" t="str">
        <x:v>R1/R2</x:v>
      </x:c>
      <x:c r="F511" s="2" t="str">
        <x:v>G4-T01-PROC</x:v>
      </x:c>
      <x:c r="G511" s="2" t="str">
        <x:v>G4-T01</x:v>
      </x:c>
      <x:c r="H511" s="2" t="str">
        <x:v>5 Evolution and embedding</x:v>
      </x:c>
      <x:c r="I511" s="2" t="n">
        <x:v>5</x:v>
      </x:c>
      <x:c r="J511" s="2" t="str">
        <x:v>Common core</x:v>
      </x:c>
      <x:c r="K511" s="2" t="str">
        <x:v>Completed</x:v>
      </x:c>
      <x:c r="L511" s="2" t="str">
        <x:v>Not separately reported</x:v>
      </x:c>
      <x:c r="M511" s="2" t="str">
        <x:v>NR</x:v>
      </x:c>
      <x:c r="N511" s="2" t="str">
        <x:v>NR</x:v>
      </x:c>
      <x:c r="O511" s="2" t="str">
        <x:v>NR</x:v>
      </x:c>
      <x:c r="P511" s="6" t="str">
        <x:v>NR</x:v>
      </x:c>
      <x:c r="Q511" s="2" t="str">
        <x:v>NR</x:v>
      </x:c>
      <x:c r="R511" s="6" t="str">
        <x:v>NR</x:v>
      </x:c>
      <x:c r="S511" s="2" t="str">
        <x:v>NR</x:v>
      </x:c>
      <x:c r="T511" s="2" t="str">
        <x:v>NR</x:v>
      </x:c>
      <x:c r="U511" s="2" t="str">
        <x:v>NR</x:v>
      </x:c>
      <x:c r="V511" s="6" t="str">
        <x:v>Requirements are mapped to implementing functions, then an engineer reviews the mappings.</x:v>
      </x:c>
      <x:c r="W511"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11" s="6" t="str">
        <x:v>Reqs2x uses program slicing and large language models to map requirements to the functions that implement them, generate aligned test cases, and present both for engineer review. Requirements traceability is built in from the start, not added later. ; Program slicing identifies which functions implement each requirement</x:v>
      </x:c>
      <x:c r="Y511" s="6" t="str">
        <x:v>Requirements are mapped to implementing functions, then an engineer reviews the mappings.</x:v>
      </x:c>
      <x:c r="Z511" s="2" t="str">
        <x:v>Accepted</x:v>
      </x:c>
      <x:c r="AA511" s="6" t="str">
        <x:v>NR</x:v>
      </x:c>
    </x:row>
    <x:row r="512" ht="76" customHeight="1">
      <x:c r="A512" s="2" t="str">
        <x:v>G4-T02-P1</x:v>
      </x:c>
      <x:c r="B512" s="2" t="str">
        <x:v>G4</x:v>
      </x:c>
      <x:c r="C512" s="2" t="str">
        <x:v>v1</x:v>
      </x:c>
      <x:c r="D512" s="2" t="str">
        <x:v>Final coding</x:v>
      </x:c>
      <x:c r="E512" s="2" t="str">
        <x:v>R1/R2</x:v>
      </x:c>
      <x:c r="F512" s="2" t="str">
        <x:v>G4-T02-PROC</x:v>
      </x:c>
      <x:c r="G512" s="2" t="str">
        <x:v>G4-T02</x:v>
      </x:c>
      <x:c r="H512" s="2" t="str">
        <x:v>1 Artifact acquisition and scoping</x:v>
      </x:c>
      <x:c r="I512" s="2" t="n">
        <x:v>1</x:v>
      </x:c>
      <x:c r="J512" s="2" t="str">
        <x:v>Common core</x:v>
      </x:c>
      <x:c r="K512" s="2" t="str">
        <x:v>Completed</x:v>
      </x:c>
      <x:c r="L512" s="2" t="str">
        <x:v>Not separately reported</x:v>
      </x:c>
      <x:c r="M512" s="2" t="str">
        <x:v>NR</x:v>
      </x:c>
      <x:c r="N512" s="2" t="str">
        <x:v>NR</x:v>
      </x:c>
      <x:c r="O512" s="2" t="str">
        <x:v>NR</x:v>
      </x:c>
      <x:c r="P512" s="6" t="str">
        <x:v>NR</x:v>
      </x:c>
      <x:c r="Q512" s="2" t="str">
        <x:v>NR</x:v>
      </x:c>
      <x:c r="R512" s="6" t="str">
        <x:v>NR</x:v>
      </x:c>
      <x:c r="S512" s="2" t="str">
        <x:v>NR</x:v>
      </x:c>
      <x:c r="T512" s="2" t="str">
        <x:v>NR</x:v>
      </x:c>
      <x:c r="U512" s="2" t="str">
        <x:v>NR</x:v>
      </x:c>
      <x:c r="V512" s="6" t="str">
        <x:v>The accepted task output is requirement-aligned executable tests. The extraction does not isolate a distinct relation-forming action for this task.</x:v>
      </x:c>
      <x:c r="W512"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12" s="6" t="str">
        <x:v>Reqs2x uses program slicing and large language models to map requirements to the functions that implement them, generate aligned test cases, and present both for engineer review. ; Nothing is accepted automatically.</x:v>
      </x:c>
      <x:c r="Y512" s="6" t="str">
        <x:v>The accepted task output is requirement-aligned executable tests. The extraction does not isolate a distinct relation-forming action for this task.</x:v>
      </x:c>
      <x:c r="Z512" s="2" t="str">
        <x:v>Accepted</x:v>
      </x:c>
      <x:c r="AA512" s="6" t="str">
        <x:v>NR</x:v>
      </x:c>
    </x:row>
    <x:row r="513" ht="76" customHeight="1">
      <x:c r="A513" s="2" t="str">
        <x:v>G4-T02-P2</x:v>
      </x:c>
      <x:c r="B513" s="2" t="str">
        <x:v>G4</x:v>
      </x:c>
      <x:c r="C513" s="2" t="str">
        <x:v>v1</x:v>
      </x:c>
      <x:c r="D513" s="2" t="str">
        <x:v>Final coding</x:v>
      </x:c>
      <x:c r="E513" s="2" t="str">
        <x:v>R1/R2</x:v>
      </x:c>
      <x:c r="F513" s="2" t="str">
        <x:v>G4-T02-PROC</x:v>
      </x:c>
      <x:c r="G513" s="2" t="str">
        <x:v>G4-T02</x:v>
      </x:c>
      <x:c r="H513" s="2" t="str">
        <x:v>2 Semantic contextualization</x:v>
      </x:c>
      <x:c r="I513" s="2" t="n">
        <x:v>2</x:v>
      </x:c>
      <x:c r="J513" s="2" t="str">
        <x:v>Common core</x:v>
      </x:c>
      <x:c r="K513" s="2" t="str">
        <x:v>Completed</x:v>
      </x:c>
      <x:c r="L513" s="2" t="str">
        <x:v>Not separately reported</x:v>
      </x:c>
      <x:c r="M513" s="2" t="str">
        <x:v>NR</x:v>
      </x:c>
      <x:c r="N513" s="2" t="str">
        <x:v>NR</x:v>
      </x:c>
      <x:c r="O513" s="2" t="str">
        <x:v>NR</x:v>
      </x:c>
      <x:c r="P513" s="6" t="str">
        <x:v>NR</x:v>
      </x:c>
      <x:c r="Q513" s="2" t="str">
        <x:v>NR</x:v>
      </x:c>
      <x:c r="R513" s="6" t="str">
        <x:v>NR</x:v>
      </x:c>
      <x:c r="S513" s="2" t="str">
        <x:v>NR</x:v>
      </x:c>
      <x:c r="T513" s="2" t="str">
        <x:v>NR</x:v>
      </x:c>
      <x:c r="U513" s="2" t="str">
        <x:v>NR</x:v>
      </x:c>
      <x:c r="V513" s="6" t="str">
        <x:v>The accepted task output is requirement-aligned executable tests. The extraction does not isolate a distinct relation-forming action for this task.</x:v>
      </x:c>
      <x:c r="W513"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13" s="6" t="str">
        <x:v>Reqs2x uses program slicing and large language models to map requirements to the functions that implement them, generate aligned test cases, and present both for engineer review. ; Nothing is accepted automatically.</x:v>
      </x:c>
      <x:c r="Y513" s="6" t="str">
        <x:v>The accepted task output is requirement-aligned executable tests. The extraction does not isolate a distinct relation-forming action for this task.</x:v>
      </x:c>
      <x:c r="Z513" s="2" t="str">
        <x:v>Accepted</x:v>
      </x:c>
      <x:c r="AA513" s="6" t="str">
        <x:v>NR</x:v>
      </x:c>
    </x:row>
    <x:row r="514" ht="76" customHeight="1">
      <x:c r="A514" s="2" t="str">
        <x:v>G4-T02-P3</x:v>
      </x:c>
      <x:c r="B514" s="2" t="str">
        <x:v>G4</x:v>
      </x:c>
      <x:c r="C514" s="2" t="str">
        <x:v>v1</x:v>
      </x:c>
      <x:c r="D514" s="2" t="str">
        <x:v>Final coding</x:v>
      </x:c>
      <x:c r="E514" s="2" t="str">
        <x:v>R1/R2</x:v>
      </x:c>
      <x:c r="F514" s="2" t="str">
        <x:v>G4-T02-PROC</x:v>
      </x:c>
      <x:c r="G514" s="2" t="str">
        <x:v>G4-T02</x:v>
      </x:c>
      <x:c r="H514" s="2" t="str">
        <x:v>3 Traceability inference</x:v>
      </x:c>
      <x:c r="I514" s="2" t="n">
        <x:v>3</x:v>
      </x:c>
      <x:c r="J514" s="2" t="str">
        <x:v>Common core</x:v>
      </x:c>
      <x:c r="K514" s="2" t="str">
        <x:v>Completed</x:v>
      </x:c>
      <x:c r="L514" s="2" t="str">
        <x:v>Inferred from relation output</x:v>
      </x:c>
      <x:c r="M514" s="2" t="str">
        <x:v>NR</x:v>
      </x:c>
      <x:c r="N514" s="2" t="str">
        <x:v>NR</x:v>
      </x:c>
      <x:c r="O514" s="2" t="str">
        <x:v>NR</x:v>
      </x:c>
      <x:c r="P514" s="6" t="str">
        <x:v>NR</x:v>
      </x:c>
      <x:c r="Q514" s="2" t="str">
        <x:v>NR</x:v>
      </x:c>
      <x:c r="R514" s="6" t="str">
        <x:v>traceable, ready-to-review executable test cases plus the requirement-to-function mapping</x:v>
      </x:c>
      <x:c r="S514" s="2" t="str">
        <x:v>NR</x:v>
      </x:c>
      <x:c r="T514" s="2" t="str">
        <x:v>NR</x:v>
      </x:c>
      <x:c r="U514" s="2" t="str">
        <x:v>NR</x:v>
      </x:c>
      <x:c r="V514" s="6" t="str">
        <x:v>The accepted task output is requirement-aligned executable tests. The extraction does not isolate a distinct relation-forming action for this task.</x:v>
      </x:c>
      <x:c r="W514"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14" s="6" t="str">
        <x:v>Reqs2x uses program slicing and large language models to map requirements to the functions that implement them, generate aligned test cases, and present both for engineer review. ; Nothing is accepted automatically.</x:v>
      </x:c>
      <x:c r="Y514" s="6" t="str">
        <x:v>The accepted task output is requirement-aligned executable tests. The extraction does not isolate a distinct relation-forming action for this task.</x:v>
      </x:c>
      <x:c r="Z514" s="2" t="str">
        <x:v>Accepted</x:v>
      </x:c>
      <x:c r="AA514" s="6" t="str">
        <x:v>NR</x:v>
      </x:c>
    </x:row>
    <x:row r="515" ht="76" customHeight="1">
      <x:c r="A515" s="2" t="str">
        <x:v>G4-T02-P4</x:v>
      </x:c>
      <x:c r="B515" s="2" t="str">
        <x:v>G4</x:v>
      </x:c>
      <x:c r="C515" s="2" t="str">
        <x:v>v1</x:v>
      </x:c>
      <x:c r="D515" s="2" t="str">
        <x:v>Final coding</x:v>
      </x:c>
      <x:c r="E515" s="2" t="str">
        <x:v>R1/R2</x:v>
      </x:c>
      <x:c r="F515" s="2" t="str">
        <x:v>G4-T02-PROC</x:v>
      </x:c>
      <x:c r="G515" s="2" t="str">
        <x:v>G4-T02</x:v>
      </x:c>
      <x:c r="H515" s="2" t="str">
        <x:v>4 Validation and explanation</x:v>
      </x:c>
      <x:c r="I515" s="2" t="n">
        <x:v>4</x:v>
      </x:c>
      <x:c r="J515" s="2" t="str">
        <x:v>Common core</x:v>
      </x:c>
      <x:c r="K515" s="2" t="str">
        <x:v>Completed</x:v>
      </x:c>
      <x:c r="L515" s="2" t="str">
        <x:v>Not separately reported</x:v>
      </x:c>
      <x:c r="M515" s="2" t="str">
        <x:v>NR</x:v>
      </x:c>
      <x:c r="N515" s="2" t="str">
        <x:v>NR</x:v>
      </x:c>
      <x:c r="O515" s="2" t="str">
        <x:v>NR</x:v>
      </x:c>
      <x:c r="P515" s="6" t="str">
        <x:v>NR</x:v>
      </x:c>
      <x:c r="Q515" s="2" t="str">
        <x:v>NR</x:v>
      </x:c>
      <x:c r="R515" s="6" t="str">
        <x:v>NR</x:v>
      </x:c>
      <x:c r="S515" s="2" t="str">
        <x:v>NR</x:v>
      </x:c>
      <x:c r="T515" s="2" t="str">
        <x:v>NR</x:v>
      </x:c>
      <x:c r="U515" s="2" t="str">
        <x:v>NR</x:v>
      </x:c>
      <x:c r="V515" s="6" t="str">
        <x:v>The accepted task output is requirement-aligned executable tests. The extraction does not isolate a distinct relation-forming action for this task.</x:v>
      </x:c>
      <x:c r="W515"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15" s="6" t="str">
        <x:v>Reqs2x uses program slicing and large language models to map requirements to the functions that implement them, generate aligned test cases, and present both for engineer review. ; Nothing is accepted automatically.</x:v>
      </x:c>
      <x:c r="Y515" s="6" t="str">
        <x:v>The accepted task output is requirement-aligned executable tests. The extraction does not isolate a distinct relation-forming action for this task.</x:v>
      </x:c>
      <x:c r="Z515" s="2" t="str">
        <x:v>Accepted</x:v>
      </x:c>
      <x:c r="AA515" s="6" t="str">
        <x:v>NR</x:v>
      </x:c>
    </x:row>
    <x:row r="516" ht="76" customHeight="1">
      <x:c r="A516" s="2" t="str">
        <x:v>G4-T02-P5</x:v>
      </x:c>
      <x:c r="B516" s="2" t="str">
        <x:v>G4</x:v>
      </x:c>
      <x:c r="C516" s="2" t="str">
        <x:v>v1</x:v>
      </x:c>
      <x:c r="D516" s="2" t="str">
        <x:v>Final coding</x:v>
      </x:c>
      <x:c r="E516" s="2" t="str">
        <x:v>R1/R2</x:v>
      </x:c>
      <x:c r="F516" s="2" t="str">
        <x:v>G4-T02-PROC</x:v>
      </x:c>
      <x:c r="G516" s="2" t="str">
        <x:v>G4-T02</x:v>
      </x:c>
      <x:c r="H516" s="2" t="str">
        <x:v>5 Evolution and embedding</x:v>
      </x:c>
      <x:c r="I516" s="2" t="n">
        <x:v>5</x:v>
      </x:c>
      <x:c r="J516" s="2" t="str">
        <x:v>Common core</x:v>
      </x:c>
      <x:c r="K516" s="2" t="str">
        <x:v>Completed</x:v>
      </x:c>
      <x:c r="L516" s="2" t="str">
        <x:v>Not separately reported</x:v>
      </x:c>
      <x:c r="M516" s="2" t="str">
        <x:v>NR</x:v>
      </x:c>
      <x:c r="N516" s="2" t="str">
        <x:v>NR</x:v>
      </x:c>
      <x:c r="O516" s="2" t="str">
        <x:v>NR</x:v>
      </x:c>
      <x:c r="P516" s="6" t="str">
        <x:v>NR</x:v>
      </x:c>
      <x:c r="Q516" s="2" t="str">
        <x:v>NR</x:v>
      </x:c>
      <x:c r="R516" s="6" t="str">
        <x:v>NR</x:v>
      </x:c>
      <x:c r="S516" s="2" t="str">
        <x:v>NR</x:v>
      </x:c>
      <x:c r="T516" s="2" t="str">
        <x:v>NR</x:v>
      </x:c>
      <x:c r="U516" s="2" t="str">
        <x:v>NR</x:v>
      </x:c>
      <x:c r="V516" s="6" t="str">
        <x:v>The accepted task output is requirement-aligned executable tests. The extraction does not isolate a distinct relation-forming action for this task.</x:v>
      </x:c>
      <x:c r="W516"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X516" s="6" t="str">
        <x:v>Reqs2x uses program slicing and large language models to map requirements to the functions that implement them, generate aligned test cases, and present both for engineer review. ; Nothing is accepted automatically.</x:v>
      </x:c>
      <x:c r="Y516" s="6" t="str">
        <x:v>The accepted task output is requirement-aligned executable tests. The extraction does not isolate a distinct relation-forming action for this task.</x:v>
      </x:c>
      <x:c r="Z516" s="2" t="str">
        <x:v>Accepted</x:v>
      </x:c>
      <x:c r="AA516" s="6" t="str">
        <x:v>NR</x:v>
      </x:c>
    </x:row>
    <x:row r="517" ht="76" customHeight="1">
      <x:c r="A517" s="2" t="str">
        <x:v>G5-T01-P1</x:v>
      </x:c>
      <x:c r="B517" s="2" t="str">
        <x:v>G5</x:v>
      </x:c>
      <x:c r="C517" s="2" t="str">
        <x:v>v1</x:v>
      </x:c>
      <x:c r="D517" s="2" t="str">
        <x:v>Final coding</x:v>
      </x:c>
      <x:c r="E517" s="2" t="str">
        <x:v>R1/R2</x:v>
      </x:c>
      <x:c r="F517" s="2" t="str">
        <x:v>G5-T01-PROC</x:v>
      </x:c>
      <x:c r="G517" s="2" t="str">
        <x:v>G5-T01</x:v>
      </x:c>
      <x:c r="H517" s="2" t="str">
        <x:v>1 Artifact acquisition and scoping</x:v>
      </x:c>
      <x:c r="I517" s="2" t="n">
        <x:v>1</x:v>
      </x:c>
      <x:c r="J517" s="2" t="str">
        <x:v>Common core</x:v>
      </x:c>
      <x:c r="K517" s="2" t="str">
        <x:v>Completed</x:v>
      </x:c>
      <x:c r="L517" s="2" t="str">
        <x:v>Not separately reported</x:v>
      </x:c>
      <x:c r="M517" s="2" t="str">
        <x:v>NR</x:v>
      </x:c>
      <x:c r="N517" s="2" t="str">
        <x:v>NR</x:v>
      </x:c>
      <x:c r="O517" s="2" t="str">
        <x:v>NR</x:v>
      </x:c>
      <x:c r="P517" s="6" t="str">
        <x:v>NR</x:v>
      </x:c>
      <x:c r="Q517" s="2" t="str">
        <x:v>NR</x:v>
      </x:c>
      <x:c r="R517" s="6" t="str">
        <x:v>NR</x:v>
      </x:c>
      <x:c r="S517" s="2" t="str">
        <x:v>NR</x:v>
      </x:c>
      <x:c r="T517" s="2" t="str">
        <x:v>NR</x:v>
      </x:c>
      <x:c r="U517" s="2" t="str">
        <x:v>NR</x:v>
      </x:c>
      <x:c r="V517" s="6" t="str">
        <x:v>Requirement/code scopes are combined and a human verifies traceability. Initial links are identified from the task output. Tool interface exposure is cross-process orchestration.</x:v>
      </x:c>
      <x:c r="W517"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17" s="6" t="str">
        <x:v>large language models can assist in the generation of test cases and connecting those test cases to requirements ; your requirements are connected to detailed design which is connected to code</x:v>
      </x:c>
      <x:c r="Y517" s="6" t="str">
        <x:v>Requirement/code scopes are combined and a human verifies traceability. Initial links are identified from the task output. Tool interface exposure is cross-process orchestration.</x:v>
      </x:c>
      <x:c r="Z517" s="2" t="str">
        <x:v>Accepted</x:v>
      </x:c>
      <x:c r="AA517" s="6" t="str">
        <x:v>NR</x:v>
      </x:c>
    </x:row>
    <x:row r="518" ht="76" customHeight="1">
      <x:c r="A518" s="2" t="str">
        <x:v>G5-T01-P2</x:v>
      </x:c>
      <x:c r="B518" s="2" t="str">
        <x:v>G5</x:v>
      </x:c>
      <x:c r="C518" s="2" t="str">
        <x:v>v1</x:v>
      </x:c>
      <x:c r="D518" s="2" t="str">
        <x:v>Final coding</x:v>
      </x:c>
      <x:c r="E518" s="2" t="str">
        <x:v>R1/R2</x:v>
      </x:c>
      <x:c r="F518" s="2" t="str">
        <x:v>G5-T01-PROC</x:v>
      </x:c>
      <x:c r="G518" s="2" t="str">
        <x:v>G5-T01</x:v>
      </x:c>
      <x:c r="H518" s="2" t="str">
        <x:v>2 Semantic contextualization</x:v>
      </x:c>
      <x:c r="I518" s="2" t="n">
        <x:v>2</x:v>
      </x:c>
      <x:c r="J518" s="2" t="str">
        <x:v>Common core</x:v>
      </x:c>
      <x:c r="K518" s="2" t="str">
        <x:v>Completed</x:v>
      </x:c>
      <x:c r="L518" s="2" t="str">
        <x:v>Explicitly evidenced</x:v>
      </x:c>
      <x:c r="M518" s="2" t="str">
        <x:v>NR</x:v>
      </x:c>
      <x:c r="N518" s="2" t="str">
        <x:v>NR</x:v>
      </x:c>
      <x:c r="O518" s="2" t="str">
        <x:v>NR</x:v>
      </x:c>
      <x:c r="P518" s="6" t="str">
        <x:v>NR</x:v>
      </x:c>
      <x:c r="Q518" s="2" t="str">
        <x:v>2 Semantic contextualization</x:v>
      </x:c>
      <x:c r="R518" s="6" t="str">
        <x:v>NR</x:v>
      </x:c>
      <x:c r="S518" s="2" t="str">
        <x:v>NR</x:v>
      </x:c>
      <x:c r="T518" s="2" t="str">
        <x:v>NR</x:v>
      </x:c>
      <x:c r="U518" s="2" t="str">
        <x:v>NR</x:v>
      </x:c>
      <x:c r="V518" s="6" t="str">
        <x:v>Requirement/code scopes are combined and a human verifies traceability. Initial links are identified from the task output. Tool interface exposure is cross-process orchestration.</x:v>
      </x:c>
      <x:c r="W518"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18" s="6" t="str">
        <x:v>large language models can assist in the generation of test cases and connecting those test cases to requirements ; your requirements are connected to detailed design which is connected to code</x:v>
      </x:c>
      <x:c r="Y518" s="6" t="str">
        <x:v>Requirement/code scopes are combined and a human verifies traceability. Initial links are identified from the task output. Tool interface exposure is cross-process orchestration.</x:v>
      </x:c>
      <x:c r="Z518" s="2" t="str">
        <x:v>Accepted</x:v>
      </x:c>
      <x:c r="AA518" s="6" t="str">
        <x:v>NR</x:v>
      </x:c>
    </x:row>
    <x:row r="519" ht="76" customHeight="1">
      <x:c r="A519" s="2" t="str">
        <x:v>G5-T01-P3</x:v>
      </x:c>
      <x:c r="B519" s="2" t="str">
        <x:v>G5</x:v>
      </x:c>
      <x:c r="C519" s="2" t="str">
        <x:v>v1</x:v>
      </x:c>
      <x:c r="D519" s="2" t="str">
        <x:v>Final coding</x:v>
      </x:c>
      <x:c r="E519" s="2" t="str">
        <x:v>R1/R2</x:v>
      </x:c>
      <x:c r="F519" s="2" t="str">
        <x:v>G5-T01-PROC</x:v>
      </x:c>
      <x:c r="G519" s="2" t="str">
        <x:v>G5-T01</x:v>
      </x:c>
      <x:c r="H519" s="2" t="str">
        <x:v>3 Traceability inference</x:v>
      </x:c>
      <x:c r="I519" s="2" t="n">
        <x:v>3</x:v>
      </x:c>
      <x:c r="J519" s="2" t="str">
        <x:v>Common core</x:v>
      </x:c>
      <x:c r="K519" s="2" t="str">
        <x:v>Completed</x:v>
      </x:c>
      <x:c r="L519" s="2" t="str">
        <x:v>Inferred from relation output</x:v>
      </x:c>
      <x:c r="M519" s="2" t="str">
        <x:v>NR</x:v>
      </x:c>
      <x:c r="N519" s="2" t="str">
        <x:v>NR</x:v>
      </x:c>
      <x:c r="O519" s="2" t="str">
        <x:v>NR</x:v>
      </x:c>
      <x:c r="P519" s="6" t="str">
        <x:v>NR</x:v>
      </x:c>
      <x:c r="Q519" s="2" t="str">
        <x:v>NR</x:v>
      </x:c>
      <x:c r="R519" s="6" t="str">
        <x:v>requirement-to-design-to-code-to-unit-test trace links that can be followed in both directions</x:v>
      </x:c>
      <x:c r="S519" s="2" t="str">
        <x:v>NR</x:v>
      </x:c>
      <x:c r="T519" s="2" t="str">
        <x:v>NR</x:v>
      </x:c>
      <x:c r="U519" s="2" t="str">
        <x:v>NR</x:v>
      </x:c>
      <x:c r="V519" s="6" t="str">
        <x:v>Requirement/code scopes are combined and a human verifies traceability. Initial links are identified from the task output. Tool interface exposure is cross-process orchestration.</x:v>
      </x:c>
      <x:c r="W519"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19" s="6" t="str">
        <x:v>large language models can assist in the generation of test cases and connecting those test cases to requirements ; your requirements are connected to detailed design which is connected to code</x:v>
      </x:c>
      <x:c r="Y519" s="6" t="str">
        <x:v>Requirement/code scopes are combined and a human verifies traceability. Initial links are identified from the task output. Tool interface exposure is cross-process orchestration.</x:v>
      </x:c>
      <x:c r="Z519" s="2" t="str">
        <x:v>Accepted</x:v>
      </x:c>
      <x:c r="AA519" s="6" t="str">
        <x:v>NR</x:v>
      </x:c>
    </x:row>
    <x:row r="520" ht="76" customHeight="1">
      <x:c r="A520" s="2" t="str">
        <x:v>G5-T01-P4</x:v>
      </x:c>
      <x:c r="B520" s="2" t="str">
        <x:v>G5</x:v>
      </x:c>
      <x:c r="C520" s="2" t="str">
        <x:v>v1</x:v>
      </x:c>
      <x:c r="D520" s="2" t="str">
        <x:v>Final coding</x:v>
      </x:c>
      <x:c r="E520" s="2" t="str">
        <x:v>R1/R2</x:v>
      </x:c>
      <x:c r="F520" s="2" t="str">
        <x:v>G5-T01-PROC</x:v>
      </x:c>
      <x:c r="G520" s="2" t="str">
        <x:v>G5-T01</x:v>
      </x:c>
      <x:c r="H520" s="2" t="str">
        <x:v>4 Validation and explanation</x:v>
      </x:c>
      <x:c r="I520" s="2" t="n">
        <x:v>4</x:v>
      </x:c>
      <x:c r="J520" s="2" t="str">
        <x:v>Common core</x:v>
      </x:c>
      <x:c r="K520" s="2" t="str">
        <x:v>Completed</x:v>
      </x:c>
      <x:c r="L520" s="2" t="str">
        <x:v>Explicitly evidenced</x:v>
      </x:c>
      <x:c r="M520" s="2" t="str">
        <x:v>NR</x:v>
      </x:c>
      <x:c r="N520" s="2" t="str">
        <x:v>NR</x:v>
      </x:c>
      <x:c r="O520" s="2" t="str">
        <x:v>NR</x:v>
      </x:c>
      <x:c r="P520" s="6" t="str">
        <x:v>NR</x:v>
      </x:c>
      <x:c r="Q520" s="2" t="str">
        <x:v>4 Validation and explanation</x:v>
      </x:c>
      <x:c r="R520" s="6" t="str">
        <x:v>NR</x:v>
      </x:c>
      <x:c r="S520" s="2" t="str">
        <x:v>NR</x:v>
      </x:c>
      <x:c r="T520" s="2" t="str">
        <x:v>NR</x:v>
      </x:c>
      <x:c r="U520" s="2" t="str">
        <x:v>NR</x:v>
      </x:c>
      <x:c r="V520" s="6" t="str">
        <x:v>Requirement/code scopes are combined and a human verifies traceability. Initial links are identified from the task output. Tool interface exposure is cross-process orchestration.</x:v>
      </x:c>
      <x:c r="W520"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20" s="6" t="str">
        <x:v>large language models can assist in the generation of test cases and connecting those test cases to requirements ; your requirements are connected to detailed design which is connected to code</x:v>
      </x:c>
      <x:c r="Y520" s="6" t="str">
        <x:v>Requirement/code scopes are combined and a human verifies traceability. Initial links are identified from the task output. Tool interface exposure is cross-process orchestration.</x:v>
      </x:c>
      <x:c r="Z520" s="2" t="str">
        <x:v>Accepted</x:v>
      </x:c>
      <x:c r="AA520" s="6" t="str">
        <x:v>NR</x:v>
      </x:c>
    </x:row>
    <x:row r="521" ht="76" customHeight="1">
      <x:c r="A521" s="2" t="str">
        <x:v>G5-T01-P5</x:v>
      </x:c>
      <x:c r="B521" s="2" t="str">
        <x:v>G5</x:v>
      </x:c>
      <x:c r="C521" s="2" t="str">
        <x:v>v1</x:v>
      </x:c>
      <x:c r="D521" s="2" t="str">
        <x:v>Final coding</x:v>
      </x:c>
      <x:c r="E521" s="2" t="str">
        <x:v>R1/R2</x:v>
      </x:c>
      <x:c r="F521" s="2" t="str">
        <x:v>G5-T01-PROC</x:v>
      </x:c>
      <x:c r="G521" s="2" t="str">
        <x:v>G5-T01</x:v>
      </x:c>
      <x:c r="H521" s="2" t="str">
        <x:v>5 Evolution and embedding</x:v>
      </x:c>
      <x:c r="I521" s="2" t="n">
        <x:v>5</x:v>
      </x:c>
      <x:c r="J521" s="2" t="str">
        <x:v>Common core</x:v>
      </x:c>
      <x:c r="K521" s="2" t="str">
        <x:v>Completed</x:v>
      </x:c>
      <x:c r="L521" s="2" t="str">
        <x:v>Not separately reported</x:v>
      </x:c>
      <x:c r="M521" s="2" t="str">
        <x:v>NR</x:v>
      </x:c>
      <x:c r="N521" s="2" t="str">
        <x:v>NR</x:v>
      </x:c>
      <x:c r="O521" s="2" t="str">
        <x:v>NR</x:v>
      </x:c>
      <x:c r="P521" s="6" t="str">
        <x:v>NR</x:v>
      </x:c>
      <x:c r="Q521" s="2" t="str">
        <x:v>NR</x:v>
      </x:c>
      <x:c r="R521" s="6" t="str">
        <x:v>NR</x:v>
      </x:c>
      <x:c r="S521" s="2" t="str">
        <x:v>NR</x:v>
      </x:c>
      <x:c r="T521" s="2" t="str">
        <x:v>NR</x:v>
      </x:c>
      <x:c r="U521" s="2" t="str">
        <x:v>NR</x:v>
      </x:c>
      <x:c r="V521" s="6" t="str">
        <x:v>Requirement/code scopes are combined and a human verifies traceability. Initial links are identified from the task output. Tool interface exposure is cross-process orchestration.</x:v>
      </x:c>
      <x:c r="W521"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21" s="6" t="str">
        <x:v>large language models can assist in the generation of test cases and connecting those test cases to requirements ; your requirements are connected to detailed design which is connected to code</x:v>
      </x:c>
      <x:c r="Y521" s="6" t="str">
        <x:v>Requirement/code scopes are combined and a human verifies traceability. Initial links are identified from the task output. Tool interface exposure is cross-process orchestration.</x:v>
      </x:c>
      <x:c r="Z521" s="2" t="str">
        <x:v>Accepted</x:v>
      </x:c>
      <x:c r="AA521" s="6" t="str">
        <x:v>NR</x:v>
      </x:c>
    </x:row>
    <x:row r="522" ht="76" customHeight="1">
      <x:c r="A522" s="2" t="str">
        <x:v>G5-T02-P1</x:v>
      </x:c>
      <x:c r="B522" s="2" t="str">
        <x:v>G5</x:v>
      </x:c>
      <x:c r="C522" s="2" t="str">
        <x:v>v1</x:v>
      </x:c>
      <x:c r="D522" s="2" t="str">
        <x:v>Final coding</x:v>
      </x:c>
      <x:c r="E522" s="2" t="str">
        <x:v>R1/R2</x:v>
      </x:c>
      <x:c r="F522" s="2" t="str">
        <x:v>G5-T02-PROC</x:v>
      </x:c>
      <x:c r="G522" s="2" t="str">
        <x:v>G5-T02</x:v>
      </x:c>
      <x:c r="H522" s="2" t="str">
        <x:v>1 Artifact acquisition and scoping</x:v>
      </x:c>
      <x:c r="I522" s="2" t="n">
        <x:v>1</x:v>
      </x:c>
      <x:c r="J522" s="2" t="str">
        <x:v>Common core</x:v>
      </x:c>
      <x:c r="K522" s="2" t="str">
        <x:v>Completed</x:v>
      </x:c>
      <x:c r="L522" s="2" t="str">
        <x:v>Not separately reported</x:v>
      </x:c>
      <x:c r="M522" s="2" t="str">
        <x:v>NR</x:v>
      </x:c>
      <x:c r="N522" s="2" t="str">
        <x:v>NR</x:v>
      </x:c>
      <x:c r="O522" s="2" t="str">
        <x:v>NR</x:v>
      </x:c>
      <x:c r="P522" s="6" t="str">
        <x:v>NR</x:v>
      </x:c>
      <x:c r="Q522" s="2" t="str">
        <x:v>NR</x:v>
      </x:c>
      <x:c r="R522" s="6" t="str">
        <x:v>NR</x:v>
      </x:c>
      <x:c r="S522" s="2" t="str">
        <x:v>NR</x:v>
      </x:c>
      <x:c r="T522" s="2" t="str">
        <x:v>NR</x:v>
      </x:c>
      <x:c r="U522" s="2" t="str">
        <x:v>NR</x:v>
      </x:c>
      <x:c r="V522" s="6" t="str">
        <x:v>Test cases are generated and explicitly connected to requirements. Running tests alone does not establish validation of the trace relations.</x:v>
      </x:c>
      <x:c r="W522"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22" s="6" t="str">
        <x:v>requirement traceability can be used to generate test cases from the requirements all the way to mcdc code coverage</x:v>
      </x:c>
      <x:c r="Y522" s="6" t="str">
        <x:v>Test cases are generated and explicitly connected to requirements. Running tests alone does not establish validation of the trace relations.</x:v>
      </x:c>
      <x:c r="Z522" s="2" t="str">
        <x:v>Accepted</x:v>
      </x:c>
      <x:c r="AA522" s="6" t="str">
        <x:v>NR</x:v>
      </x:c>
    </x:row>
    <x:row r="523" ht="76" customHeight="1">
      <x:c r="A523" s="2" t="str">
        <x:v>G5-T02-P2</x:v>
      </x:c>
      <x:c r="B523" s="2" t="str">
        <x:v>G5</x:v>
      </x:c>
      <x:c r="C523" s="2" t="str">
        <x:v>v1</x:v>
      </x:c>
      <x:c r="D523" s="2" t="str">
        <x:v>Final coding</x:v>
      </x:c>
      <x:c r="E523" s="2" t="str">
        <x:v>R1/R2</x:v>
      </x:c>
      <x:c r="F523" s="2" t="str">
        <x:v>G5-T02-PROC</x:v>
      </x:c>
      <x:c r="G523" s="2" t="str">
        <x:v>G5-T02</x:v>
      </x:c>
      <x:c r="H523" s="2" t="str">
        <x:v>2 Semantic contextualization</x:v>
      </x:c>
      <x:c r="I523" s="2" t="n">
        <x:v>2</x:v>
      </x:c>
      <x:c r="J523" s="2" t="str">
        <x:v>Common core</x:v>
      </x:c>
      <x:c r="K523" s="2" t="str">
        <x:v>Completed</x:v>
      </x:c>
      <x:c r="L523" s="2" t="str">
        <x:v>Not separately reported</x:v>
      </x:c>
      <x:c r="M523" s="2" t="str">
        <x:v>NR</x:v>
      </x:c>
      <x:c r="N523" s="2" t="str">
        <x:v>NR</x:v>
      </x:c>
      <x:c r="O523" s="2" t="str">
        <x:v>NR</x:v>
      </x:c>
      <x:c r="P523" s="6" t="str">
        <x:v>NR</x:v>
      </x:c>
      <x:c r="Q523" s="2" t="str">
        <x:v>NR</x:v>
      </x:c>
      <x:c r="R523" s="6" t="str">
        <x:v>NR</x:v>
      </x:c>
      <x:c r="S523" s="2" t="str">
        <x:v>NR</x:v>
      </x:c>
      <x:c r="T523" s="2" t="str">
        <x:v>NR</x:v>
      </x:c>
      <x:c r="U523" s="2" t="str">
        <x:v>NR</x:v>
      </x:c>
      <x:c r="V523" s="6" t="str">
        <x:v>Test cases are generated and explicitly connected to requirements. Running tests alone does not establish validation of the trace relations.</x:v>
      </x:c>
      <x:c r="W523"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23" s="6" t="str">
        <x:v>requirement traceability can be used to generate test cases from the requirements all the way to mcdc code coverage</x:v>
      </x:c>
      <x:c r="Y523" s="6" t="str">
        <x:v>Test cases are generated and explicitly connected to requirements. Running tests alone does not establish validation of the trace relations.</x:v>
      </x:c>
      <x:c r="Z523" s="2" t="str">
        <x:v>Accepted</x:v>
      </x:c>
      <x:c r="AA523" s="6" t="str">
        <x:v>NR</x:v>
      </x:c>
    </x:row>
    <x:row r="524" ht="76" customHeight="1">
      <x:c r="A524" s="2" t="str">
        <x:v>G5-T02-P3</x:v>
      </x:c>
      <x:c r="B524" s="2" t="str">
        <x:v>G5</x:v>
      </x:c>
      <x:c r="C524" s="2" t="str">
        <x:v>v1</x:v>
      </x:c>
      <x:c r="D524" s="2" t="str">
        <x:v>Final coding</x:v>
      </x:c>
      <x:c r="E524" s="2" t="str">
        <x:v>R1/R2</x:v>
      </x:c>
      <x:c r="F524" s="2" t="str">
        <x:v>G5-T02-PROC</x:v>
      </x:c>
      <x:c r="G524" s="2" t="str">
        <x:v>G5-T02</x:v>
      </x:c>
      <x:c r="H524" s="2" t="str">
        <x:v>3 Traceability inference</x:v>
      </x:c>
      <x:c r="I524" s="2" t="n">
        <x:v>3</x:v>
      </x:c>
      <x:c r="J524" s="2" t="str">
        <x:v>Common core</x:v>
      </x:c>
      <x:c r="K524" s="2" t="str">
        <x:v>Completed</x:v>
      </x:c>
      <x:c r="L524" s="2" t="str">
        <x:v>Explicitly evidenced</x:v>
      </x:c>
      <x:c r="M524" s="2" t="str">
        <x:v>NR</x:v>
      </x:c>
      <x:c r="N524" s="2" t="str">
        <x:v>NR</x:v>
      </x:c>
      <x:c r="O524" s="2" t="str">
        <x:v>NR</x:v>
      </x:c>
      <x:c r="P524" s="6" t="str">
        <x:v>NR</x:v>
      </x:c>
      <x:c r="Q524" s="2" t="str">
        <x:v>3 Traceability inference</x:v>
      </x:c>
      <x:c r="R524" s="6" t="str">
        <x:v>generated test cases, execution results on the target and the requirement-to-test traceability</x:v>
      </x:c>
      <x:c r="S524" s="2" t="str">
        <x:v>NR</x:v>
      </x:c>
      <x:c r="T524" s="2" t="str">
        <x:v>NR</x:v>
      </x:c>
      <x:c r="U524" s="2" t="str">
        <x:v>NR</x:v>
      </x:c>
      <x:c r="V524" s="6" t="str">
        <x:v>Test cases are generated and explicitly connected to requirements. Running tests alone does not establish validation of the trace relations.</x:v>
      </x:c>
      <x:c r="W524"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24" s="6" t="str">
        <x:v>requirement traceability can be used to generate test cases from the requirements all the way to mcdc code coverage</x:v>
      </x:c>
      <x:c r="Y524" s="6" t="str">
        <x:v>Test cases are generated and explicitly connected to requirements. Running tests alone does not establish validation of the trace relations.</x:v>
      </x:c>
      <x:c r="Z524" s="2" t="str">
        <x:v>Accepted</x:v>
      </x:c>
      <x:c r="AA524" s="6" t="str">
        <x:v>NR</x:v>
      </x:c>
    </x:row>
    <x:row r="525" ht="76" customHeight="1">
      <x:c r="A525" s="2" t="str">
        <x:v>G5-T02-P4</x:v>
      </x:c>
      <x:c r="B525" s="2" t="str">
        <x:v>G5</x:v>
      </x:c>
      <x:c r="C525" s="2" t="str">
        <x:v>v1</x:v>
      </x:c>
      <x:c r="D525" s="2" t="str">
        <x:v>Final coding</x:v>
      </x:c>
      <x:c r="E525" s="2" t="str">
        <x:v>R1/R2</x:v>
      </x:c>
      <x:c r="F525" s="2" t="str">
        <x:v>G5-T02-PROC</x:v>
      </x:c>
      <x:c r="G525" s="2" t="str">
        <x:v>G5-T02</x:v>
      </x:c>
      <x:c r="H525" s="2" t="str">
        <x:v>4 Validation and explanation</x:v>
      </x:c>
      <x:c r="I525" s="2" t="n">
        <x:v>4</x:v>
      </x:c>
      <x:c r="J525" s="2" t="str">
        <x:v>Common core</x:v>
      </x:c>
      <x:c r="K525" s="2" t="str">
        <x:v>Completed</x:v>
      </x:c>
      <x:c r="L525" s="2" t="str">
        <x:v>Not separately reported</x:v>
      </x:c>
      <x:c r="M525" s="2" t="str">
        <x:v>NR</x:v>
      </x:c>
      <x:c r="N525" s="2" t="str">
        <x:v>NR</x:v>
      </x:c>
      <x:c r="O525" s="2" t="str">
        <x:v>NR</x:v>
      </x:c>
      <x:c r="P525" s="6" t="str">
        <x:v>NR</x:v>
      </x:c>
      <x:c r="Q525" s="2" t="str">
        <x:v>NR</x:v>
      </x:c>
      <x:c r="R525" s="6" t="str">
        <x:v>NR</x:v>
      </x:c>
      <x:c r="S525" s="2" t="str">
        <x:v>NR</x:v>
      </x:c>
      <x:c r="T525" s="2" t="str">
        <x:v>NR</x:v>
      </x:c>
      <x:c r="U525" s="2" t="str">
        <x:v>NR</x:v>
      </x:c>
      <x:c r="V525" s="6" t="str">
        <x:v>Test cases are generated and explicitly connected to requirements. Running tests alone does not establish validation of the trace relations.</x:v>
      </x:c>
      <x:c r="W52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25" s="6" t="str">
        <x:v>requirement traceability can be used to generate test cases from the requirements all the way to mcdc code coverage</x:v>
      </x:c>
      <x:c r="Y525" s="6" t="str">
        <x:v>Test cases are generated and explicitly connected to requirements. Running tests alone does not establish validation of the trace relations.</x:v>
      </x:c>
      <x:c r="Z525" s="2" t="str">
        <x:v>Accepted</x:v>
      </x:c>
      <x:c r="AA525" s="6" t="str">
        <x:v>NR</x:v>
      </x:c>
    </x:row>
    <x:row r="526" ht="76" customHeight="1">
      <x:c r="A526" s="2" t="str">
        <x:v>G5-T02-P5</x:v>
      </x:c>
      <x:c r="B526" s="2" t="str">
        <x:v>G5</x:v>
      </x:c>
      <x:c r="C526" s="2" t="str">
        <x:v>v1</x:v>
      </x:c>
      <x:c r="D526" s="2" t="str">
        <x:v>Final coding</x:v>
      </x:c>
      <x:c r="E526" s="2" t="str">
        <x:v>R1/R2</x:v>
      </x:c>
      <x:c r="F526" s="2" t="str">
        <x:v>G5-T02-PROC</x:v>
      </x:c>
      <x:c r="G526" s="2" t="str">
        <x:v>G5-T02</x:v>
      </x:c>
      <x:c r="H526" s="2" t="str">
        <x:v>5 Evolution and embedding</x:v>
      </x:c>
      <x:c r="I526" s="2" t="n">
        <x:v>5</x:v>
      </x:c>
      <x:c r="J526" s="2" t="str">
        <x:v>Common core</x:v>
      </x:c>
      <x:c r="K526" s="2" t="str">
        <x:v>Completed</x:v>
      </x:c>
      <x:c r="L526" s="2" t="str">
        <x:v>Not separately reported</x:v>
      </x:c>
      <x:c r="M526" s="2" t="str">
        <x:v>NR</x:v>
      </x:c>
      <x:c r="N526" s="2" t="str">
        <x:v>NR</x:v>
      </x:c>
      <x:c r="O526" s="2" t="str">
        <x:v>NR</x:v>
      </x:c>
      <x:c r="P526" s="6" t="str">
        <x:v>NR</x:v>
      </x:c>
      <x:c r="Q526" s="2" t="str">
        <x:v>NR</x:v>
      </x:c>
      <x:c r="R526" s="6" t="str">
        <x:v>NR</x:v>
      </x:c>
      <x:c r="S526" s="2" t="str">
        <x:v>NR</x:v>
      </x:c>
      <x:c r="T526" s="2" t="str">
        <x:v>NR</x:v>
      </x:c>
      <x:c r="U526" s="2" t="str">
        <x:v>NR</x:v>
      </x:c>
      <x:c r="V526" s="6" t="str">
        <x:v>Test cases are generated and explicitly connected to requirements. Running tests alone does not establish validation of the trace relations.</x:v>
      </x:c>
      <x:c r="W526"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X526" s="6" t="str">
        <x:v>requirement traceability can be used to generate test cases from the requirements all the way to mcdc code coverage</x:v>
      </x:c>
      <x:c r="Y526" s="6" t="str">
        <x:v>Test cases are generated and explicitly connected to requirements. Running tests alone does not establish validation of the trace relations.</x:v>
      </x:c>
      <x:c r="Z526" s="2" t="str">
        <x:v>Accepted</x:v>
      </x:c>
      <x:c r="AA526" s="6" t="str">
        <x:v>NR</x:v>
      </x:c>
    </x:row>
    <x:row r="527" ht="76" customHeight="1">
      <x:c r="A527" s="2" t="str">
        <x:v>G6-T01-P1</x:v>
      </x:c>
      <x:c r="B527" s="2" t="str">
        <x:v>G6</x:v>
      </x:c>
      <x:c r="C527" s="2" t="str">
        <x:v>v1</x:v>
      </x:c>
      <x:c r="D527" s="2" t="str">
        <x:v>Final coding</x:v>
      </x:c>
      <x:c r="E527" s="2" t="str">
        <x:v>R1/R2</x:v>
      </x:c>
      <x:c r="F527" s="2" t="str">
        <x:v>G6-T01-PROC</x:v>
      </x:c>
      <x:c r="G527" s="2" t="str">
        <x:v>G6-T01</x:v>
      </x:c>
      <x:c r="H527" s="2" t="str">
        <x:v>1 Artifact acquisition and scoping</x:v>
      </x:c>
      <x:c r="I527" s="2" t="n">
        <x:v>1</x:v>
      </x:c>
      <x:c r="J527" s="2" t="str">
        <x:v>Common core</x:v>
      </x:c>
      <x:c r="K527" s="2" t="str">
        <x:v>Completed</x:v>
      </x:c>
      <x:c r="L527" s="2" t="str">
        <x:v>Explicitly evidenced</x:v>
      </x:c>
      <x:c r="M527" s="2" t="str">
        <x:v>NR</x:v>
      </x:c>
      <x:c r="N527" s="2" t="str">
        <x:v>NR</x:v>
      </x:c>
      <x:c r="O527" s="2" t="str">
        <x:v>NR</x:v>
      </x:c>
      <x:c r="P527" s="6" t="str">
        <x:v>NR</x:v>
      </x:c>
      <x:c r="Q527" s="2" t="str">
        <x:v>1 Artifact acquisition and scoping</x:v>
      </x:c>
      <x:c r="R527" s="6" t="str">
        <x:v>NR</x:v>
      </x:c>
      <x:c r="S527" s="2" t="str">
        <x:v>NR</x:v>
      </x:c>
      <x:c r="T527" s="2" t="str">
        <x:v>NR</x:v>
      </x:c>
      <x:c r="U527" s="2" t="str">
        <x:v>NR</x:v>
      </x:c>
      <x:c r="V527" s="6" t="str">
        <x:v>Requirements are exported, truth tables and templates prepare context, and a test file is produced. Relation formation is identified from the accepted task output. Code debugging is not coded as trace-relation verification.</x:v>
      </x:c>
      <x:c r="W527"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27" s="6" t="str">
        <x:v>going to talk about mcdc test cases and using llm llms to get there for long duration spaceflight ; you have 2n + 1 decisions to test</x:v>
      </x:c>
      <x:c r="Y527" s="6" t="str">
        <x:v>Requirements are exported, truth tables and templates prepare context, and a test file is produced. Relation formation is identified from the accepted task output. Code debugging is not coded as trace-relation verification.</x:v>
      </x:c>
      <x:c r="Z527" s="2" t="str">
        <x:v>Accepted</x:v>
      </x:c>
      <x:c r="AA527" s="6" t="str">
        <x:v>NR</x:v>
      </x:c>
    </x:row>
    <x:row r="528" ht="76" customHeight="1">
      <x:c r="A528" s="2" t="str">
        <x:v>G6-T01-P2</x:v>
      </x:c>
      <x:c r="B528" s="2" t="str">
        <x:v>G6</x:v>
      </x:c>
      <x:c r="C528" s="2" t="str">
        <x:v>v1</x:v>
      </x:c>
      <x:c r="D528" s="2" t="str">
        <x:v>Final coding</x:v>
      </x:c>
      <x:c r="E528" s="2" t="str">
        <x:v>R1/R2</x:v>
      </x:c>
      <x:c r="F528" s="2" t="str">
        <x:v>G6-T01-PROC</x:v>
      </x:c>
      <x:c r="G528" s="2" t="str">
        <x:v>G6-T01</x:v>
      </x:c>
      <x:c r="H528" s="2" t="str">
        <x:v>2 Semantic contextualization</x:v>
      </x:c>
      <x:c r="I528" s="2" t="n">
        <x:v>2</x:v>
      </x:c>
      <x:c r="J528" s="2" t="str">
        <x:v>Common core</x:v>
      </x:c>
      <x:c r="K528" s="2" t="str">
        <x:v>Completed</x:v>
      </x:c>
      <x:c r="L528" s="2" t="str">
        <x:v>Explicitly evidenced</x:v>
      </x:c>
      <x:c r="M528" s="2" t="str">
        <x:v>NR</x:v>
      </x:c>
      <x:c r="N528" s="2" t="str">
        <x:v>NR</x:v>
      </x:c>
      <x:c r="O528" s="2" t="str">
        <x:v>NR</x:v>
      </x:c>
      <x:c r="P528" s="6" t="str">
        <x:v>NR</x:v>
      </x:c>
      <x:c r="Q528" s="2" t="str">
        <x:v>2 Semantic contextualization</x:v>
      </x:c>
      <x:c r="R528" s="6" t="str">
        <x:v>NR</x:v>
      </x:c>
      <x:c r="S528" s="2" t="str">
        <x:v>NR</x:v>
      </x:c>
      <x:c r="T528" s="2" t="str">
        <x:v>NR</x:v>
      </x:c>
      <x:c r="U528" s="2" t="str">
        <x:v>NR</x:v>
      </x:c>
      <x:c r="V528" s="6" t="str">
        <x:v>Requirements are exported, truth tables and templates prepare context, and a test file is produced. Relation formation is identified from the accepted task output. Code debugging is not coded as trace-relation verification.</x:v>
      </x:c>
      <x:c r="W528"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28" s="6" t="str">
        <x:v>going to talk about mcdc test cases and using llm llms to get there for long duration spaceflight ; you have 2n + 1 decisions to test</x:v>
      </x:c>
      <x:c r="Y528" s="6" t="str">
        <x:v>Requirements are exported, truth tables and templates prepare context, and a test file is produced. Relation formation is identified from the accepted task output. Code debugging is not coded as trace-relation verification.</x:v>
      </x:c>
      <x:c r="Z528" s="2" t="str">
        <x:v>Accepted</x:v>
      </x:c>
      <x:c r="AA528" s="6" t="str">
        <x:v>NR</x:v>
      </x:c>
    </x:row>
    <x:row r="529" ht="76" customHeight="1">
      <x:c r="A529" s="2" t="str">
        <x:v>G6-T01-P3</x:v>
      </x:c>
      <x:c r="B529" s="2" t="str">
        <x:v>G6</x:v>
      </x:c>
      <x:c r="C529" s="2" t="str">
        <x:v>v1</x:v>
      </x:c>
      <x:c r="D529" s="2" t="str">
        <x:v>Final coding</x:v>
      </x:c>
      <x:c r="E529" s="2" t="str">
        <x:v>R1/R2</x:v>
      </x:c>
      <x:c r="F529" s="2" t="str">
        <x:v>G6-T01-PROC</x:v>
      </x:c>
      <x:c r="G529" s="2" t="str">
        <x:v>G6-T01</x:v>
      </x:c>
      <x:c r="H529" s="2" t="str">
        <x:v>3 Traceability inference</x:v>
      </x:c>
      <x:c r="I529" s="2" t="n">
        <x:v>3</x:v>
      </x:c>
      <x:c r="J529" s="2" t="str">
        <x:v>Common core</x:v>
      </x:c>
      <x:c r="K529" s="2" t="str">
        <x:v>Completed</x:v>
      </x:c>
      <x:c r="L529" s="2" t="str">
        <x:v>Inferred from relation output</x:v>
      </x:c>
      <x:c r="M529" s="2" t="str">
        <x:v>NR</x:v>
      </x:c>
      <x:c r="N529" s="2" t="str">
        <x:v>NR</x:v>
      </x:c>
      <x:c r="O529" s="2" t="str">
        <x:v>NR</x:v>
      </x:c>
      <x:c r="P529" s="6" t="str">
        <x:v>NR</x:v>
      </x:c>
      <x:c r="Q529" s="2" t="str">
        <x:v>NR</x:v>
      </x:c>
      <x:c r="R529" s="6" t="str">
        <x:v>a test case file that is close to an 80% solution and still needs review</x:v>
      </x:c>
      <x:c r="S529" s="2" t="str">
        <x:v>NR</x:v>
      </x:c>
      <x:c r="T529" s="2" t="str">
        <x:v>NR</x:v>
      </x:c>
      <x:c r="U529" s="2" t="str">
        <x:v>NR</x:v>
      </x:c>
      <x:c r="V529" s="6" t="str">
        <x:v>Requirements are exported, truth tables and templates prepare context, and a test file is produced. Relation formation is identified from the accepted task output. Code debugging is not coded as trace-relation verification.</x:v>
      </x:c>
      <x:c r="W529"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29" s="6" t="str">
        <x:v>going to talk about mcdc test cases and using llm llms to get there for long duration spaceflight ; you have 2n + 1 decisions to test</x:v>
      </x:c>
      <x:c r="Y529" s="6" t="str">
        <x:v>Requirements are exported, truth tables and templates prepare context, and a test file is produced. Relation formation is identified from the accepted task output. Code debugging is not coded as trace-relation verification.</x:v>
      </x:c>
      <x:c r="Z529" s="2" t="str">
        <x:v>Accepted</x:v>
      </x:c>
      <x:c r="AA529" s="6" t="str">
        <x:v>NR</x:v>
      </x:c>
    </x:row>
    <x:row r="530" ht="76" customHeight="1">
      <x:c r="A530" s="2" t="str">
        <x:v>G6-T01-P4</x:v>
      </x:c>
      <x:c r="B530" s="2" t="str">
        <x:v>G6</x:v>
      </x:c>
      <x:c r="C530" s="2" t="str">
        <x:v>v1</x:v>
      </x:c>
      <x:c r="D530" s="2" t="str">
        <x:v>Final coding</x:v>
      </x:c>
      <x:c r="E530" s="2" t="str">
        <x:v>R1/R2</x:v>
      </x:c>
      <x:c r="F530" s="2" t="str">
        <x:v>G6-T01-PROC</x:v>
      </x:c>
      <x:c r="G530" s="2" t="str">
        <x:v>G6-T01</x:v>
      </x:c>
      <x:c r="H530" s="2" t="str">
        <x:v>4 Validation and explanation</x:v>
      </x:c>
      <x:c r="I530" s="2" t="n">
        <x:v>4</x:v>
      </x:c>
      <x:c r="J530" s="2" t="str">
        <x:v>Common core</x:v>
      </x:c>
      <x:c r="K530" s="2" t="str">
        <x:v>Completed</x:v>
      </x:c>
      <x:c r="L530" s="2" t="str">
        <x:v>Not separately reported</x:v>
      </x:c>
      <x:c r="M530" s="2" t="str">
        <x:v>NR</x:v>
      </x:c>
      <x:c r="N530" s="2" t="str">
        <x:v>NR</x:v>
      </x:c>
      <x:c r="O530" s="2" t="str">
        <x:v>NR</x:v>
      </x:c>
      <x:c r="P530" s="6" t="str">
        <x:v>NR</x:v>
      </x:c>
      <x:c r="Q530" s="2" t="str">
        <x:v>NR</x:v>
      </x:c>
      <x:c r="R530" s="6" t="str">
        <x:v>NR</x:v>
      </x:c>
      <x:c r="S530" s="2" t="str">
        <x:v>NR</x:v>
      </x:c>
      <x:c r="T530" s="2" t="str">
        <x:v>NR</x:v>
      </x:c>
      <x:c r="U530" s="2" t="str">
        <x:v>NR</x:v>
      </x:c>
      <x:c r="V530" s="6" t="str">
        <x:v>Requirements are exported, truth tables and templates prepare context, and a test file is produced. Relation formation is identified from the accepted task output. Code debugging is not coded as trace-relation verification.</x:v>
      </x:c>
      <x:c r="W530"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30" s="6" t="str">
        <x:v>going to talk about mcdc test cases and using llm llms to get there for long duration spaceflight ; you have 2n + 1 decisions to test</x:v>
      </x:c>
      <x:c r="Y530" s="6" t="str">
        <x:v>Requirements are exported, truth tables and templates prepare context, and a test file is produced. Relation formation is identified from the accepted task output. Code debugging is not coded as trace-relation verification.</x:v>
      </x:c>
      <x:c r="Z530" s="2" t="str">
        <x:v>Accepted</x:v>
      </x:c>
      <x:c r="AA530" s="6" t="str">
        <x:v>NR</x:v>
      </x:c>
    </x:row>
    <x:row r="531" ht="76" customHeight="1">
      <x:c r="A531" s="2" t="str">
        <x:v>G6-T01-P5</x:v>
      </x:c>
      <x:c r="B531" s="2" t="str">
        <x:v>G6</x:v>
      </x:c>
      <x:c r="C531" s="2" t="str">
        <x:v>v1</x:v>
      </x:c>
      <x:c r="D531" s="2" t="str">
        <x:v>Final coding</x:v>
      </x:c>
      <x:c r="E531" s="2" t="str">
        <x:v>R1/R2</x:v>
      </x:c>
      <x:c r="F531" s="2" t="str">
        <x:v>G6-T01-PROC</x:v>
      </x:c>
      <x:c r="G531" s="2" t="str">
        <x:v>G6-T01</x:v>
      </x:c>
      <x:c r="H531" s="2" t="str">
        <x:v>5 Evolution and embedding</x:v>
      </x:c>
      <x:c r="I531" s="2" t="n">
        <x:v>5</x:v>
      </x:c>
      <x:c r="J531" s="2" t="str">
        <x:v>Common core</x:v>
      </x:c>
      <x:c r="K531" s="2" t="str">
        <x:v>Completed</x:v>
      </x:c>
      <x:c r="L531" s="2" t="str">
        <x:v>Not separately reported</x:v>
      </x:c>
      <x:c r="M531" s="2" t="str">
        <x:v>NR</x:v>
      </x:c>
      <x:c r="N531" s="2" t="str">
        <x:v>NR</x:v>
      </x:c>
      <x:c r="O531" s="2" t="str">
        <x:v>NR</x:v>
      </x:c>
      <x:c r="P531" s="6" t="str">
        <x:v>NR</x:v>
      </x:c>
      <x:c r="Q531" s="2" t="str">
        <x:v>NR</x:v>
      </x:c>
      <x:c r="R531" s="6" t="str">
        <x:v>NR</x:v>
      </x:c>
      <x:c r="S531" s="2" t="str">
        <x:v>NR</x:v>
      </x:c>
      <x:c r="T531" s="2" t="str">
        <x:v>NR</x:v>
      </x:c>
      <x:c r="U531" s="2" t="str">
        <x:v>NR</x:v>
      </x:c>
      <x:c r="V531" s="6" t="str">
        <x:v>Requirements are exported, truth tables and templates prepare context, and a test file is produced. Relation formation is identified from the accepted task output. Code debugging is not coded as trace-relation verification.</x:v>
      </x:c>
      <x:c r="W531"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31" s="6" t="str">
        <x:v>going to talk about mcdc test cases and using llm llms to get there for long duration spaceflight ; you have 2n + 1 decisions to test</x:v>
      </x:c>
      <x:c r="Y531" s="6" t="str">
        <x:v>Requirements are exported, truth tables and templates prepare context, and a test file is produced. Relation formation is identified from the accepted task output. Code debugging is not coded as trace-relation verification.</x:v>
      </x:c>
      <x:c r="Z531" s="2" t="str">
        <x:v>Accepted</x:v>
      </x:c>
      <x:c r="AA531" s="6" t="str">
        <x:v>NR</x:v>
      </x:c>
    </x:row>
    <x:row r="532" ht="76" customHeight="1">
      <x:c r="A532" s="2" t="str">
        <x:v>G6-T02-P1</x:v>
      </x:c>
      <x:c r="B532" s="2" t="str">
        <x:v>G6</x:v>
      </x:c>
      <x:c r="C532" s="2" t="str">
        <x:v>v1</x:v>
      </x:c>
      <x:c r="D532" s="2" t="str">
        <x:v>Final coding</x:v>
      </x:c>
      <x:c r="E532" s="2" t="str">
        <x:v>R1/R2</x:v>
      </x:c>
      <x:c r="F532" s="2" t="str">
        <x:v>G6-T02-PROC</x:v>
      </x:c>
      <x:c r="G532" s="2" t="str">
        <x:v>G6-T02</x:v>
      </x:c>
      <x:c r="H532" s="2" t="str">
        <x:v>1 Artifact acquisition and scoping</x:v>
      </x:c>
      <x:c r="I532" s="2" t="n">
        <x:v>1</x:v>
      </x:c>
      <x:c r="J532" s="2" t="str">
        <x:v>Common core</x:v>
      </x:c>
      <x:c r="K532" s="2" t="str">
        <x:v>Completed</x:v>
      </x:c>
      <x:c r="L532" s="2" t="str">
        <x:v>Not separately reported</x:v>
      </x:c>
      <x:c r="M532" s="2" t="str">
        <x:v>NR</x:v>
      </x:c>
      <x:c r="N532" s="2" t="str">
        <x:v>NR</x:v>
      </x:c>
      <x:c r="O532" s="2" t="str">
        <x:v>NR</x:v>
      </x:c>
      <x:c r="P532" s="6" t="str">
        <x:v>NR</x:v>
      </x:c>
      <x:c r="Q532" s="2" t="str">
        <x:v>NR</x:v>
      </x:c>
      <x:c r="R532" s="6" t="str">
        <x:v>NR</x:v>
      </x:c>
      <x:c r="S532" s="2" t="str">
        <x:v>NR</x:v>
      </x:c>
      <x:c r="T532" s="2" t="str">
        <x:v>NR</x:v>
      </x:c>
      <x:c r="U532" s="2" t="str">
        <x:v>NR</x:v>
      </x:c>
      <x:c r="V532" s="6" t="str">
        <x:v>The traceability view identifies code or functions without a requirement, while trace maintenance keeps relations across artifacts. Initial relation formation is identified from output.</x:v>
      </x:c>
      <x:c r="W532"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32" s="6" t="str">
        <x:v>having link visual links from system level requirements all the way down to code is enormous ; everything's got to have a requirement trace to it</x:v>
      </x:c>
      <x:c r="Y532" s="6" t="str">
        <x:v>The traceability view identifies code or functions without a requirement, while trace maintenance keeps relations across artifacts. Initial relation formation is identified from output.</x:v>
      </x:c>
      <x:c r="Z532" s="2" t="str">
        <x:v>Accepted</x:v>
      </x:c>
      <x:c r="AA532" s="6" t="str">
        <x:v>NR</x:v>
      </x:c>
    </x:row>
    <x:row r="533" ht="76" customHeight="1">
      <x:c r="A533" s="2" t="str">
        <x:v>G6-T02-P2</x:v>
      </x:c>
      <x:c r="B533" s="2" t="str">
        <x:v>G6</x:v>
      </x:c>
      <x:c r="C533" s="2" t="str">
        <x:v>v1</x:v>
      </x:c>
      <x:c r="D533" s="2" t="str">
        <x:v>Final coding</x:v>
      </x:c>
      <x:c r="E533" s="2" t="str">
        <x:v>R1/R2</x:v>
      </x:c>
      <x:c r="F533" s="2" t="str">
        <x:v>G6-T02-PROC</x:v>
      </x:c>
      <x:c r="G533" s="2" t="str">
        <x:v>G6-T02</x:v>
      </x:c>
      <x:c r="H533" s="2" t="str">
        <x:v>2 Semantic contextualization</x:v>
      </x:c>
      <x:c r="I533" s="2" t="n">
        <x:v>2</x:v>
      </x:c>
      <x:c r="J533" s="2" t="str">
        <x:v>Common core</x:v>
      </x:c>
      <x:c r="K533" s="2" t="str">
        <x:v>Completed</x:v>
      </x:c>
      <x:c r="L533" s="2" t="str">
        <x:v>Not separately reported</x:v>
      </x:c>
      <x:c r="M533" s="2" t="str">
        <x:v>NR</x:v>
      </x:c>
      <x:c r="N533" s="2" t="str">
        <x:v>NR</x:v>
      </x:c>
      <x:c r="O533" s="2" t="str">
        <x:v>NR</x:v>
      </x:c>
      <x:c r="P533" s="6" t="str">
        <x:v>NR</x:v>
      </x:c>
      <x:c r="Q533" s="2" t="str">
        <x:v>NR</x:v>
      </x:c>
      <x:c r="R533" s="6" t="str">
        <x:v>NR</x:v>
      </x:c>
      <x:c r="S533" s="2" t="str">
        <x:v>NR</x:v>
      </x:c>
      <x:c r="T533" s="2" t="str">
        <x:v>NR</x:v>
      </x:c>
      <x:c r="U533" s="2" t="str">
        <x:v>NR</x:v>
      </x:c>
      <x:c r="V533" s="6" t="str">
        <x:v>The traceability view identifies code or functions without a requirement, while trace maintenance keeps relations across artifacts. Initial relation formation is identified from output.</x:v>
      </x:c>
      <x:c r="W533"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33" s="6" t="str">
        <x:v>having link visual links from system level requirements all the way down to code is enormous ; everything's got to have a requirement trace to it</x:v>
      </x:c>
      <x:c r="Y533" s="6" t="str">
        <x:v>The traceability view identifies code or functions without a requirement, while trace maintenance keeps relations across artifacts. Initial relation formation is identified from output.</x:v>
      </x:c>
      <x:c r="Z533" s="2" t="str">
        <x:v>Accepted</x:v>
      </x:c>
      <x:c r="AA533" s="6" t="str">
        <x:v>NR</x:v>
      </x:c>
    </x:row>
    <x:row r="534" ht="76" customHeight="1">
      <x:c r="A534" s="2" t="str">
        <x:v>G6-T02-P3</x:v>
      </x:c>
      <x:c r="B534" s="2" t="str">
        <x:v>G6</x:v>
      </x:c>
      <x:c r="C534" s="2" t="str">
        <x:v>v1</x:v>
      </x:c>
      <x:c r="D534" s="2" t="str">
        <x:v>Final coding</x:v>
      </x:c>
      <x:c r="E534" s="2" t="str">
        <x:v>R1/R2</x:v>
      </x:c>
      <x:c r="F534" s="2" t="str">
        <x:v>G6-T02-PROC</x:v>
      </x:c>
      <x:c r="G534" s="2" t="str">
        <x:v>G6-T02</x:v>
      </x:c>
      <x:c r="H534" s="2" t="str">
        <x:v>3 Traceability inference</x:v>
      </x:c>
      <x:c r="I534" s="2" t="n">
        <x:v>3</x:v>
      </x:c>
      <x:c r="J534" s="2" t="str">
        <x:v>Common core</x:v>
      </x:c>
      <x:c r="K534" s="2" t="str">
        <x:v>Completed</x:v>
      </x:c>
      <x:c r="L534" s="2" t="str">
        <x:v>Inferred from relation output</x:v>
      </x:c>
      <x:c r="M534" s="2" t="str">
        <x:v>NR</x:v>
      </x:c>
      <x:c r="N534" s="2" t="str">
        <x:v>NR</x:v>
      </x:c>
      <x:c r="O534" s="2" t="str">
        <x:v>NR</x:v>
      </x:c>
      <x:c r="P534" s="6" t="str">
        <x:v>NR</x:v>
      </x:c>
      <x:c r="Q534" s="2" t="str">
        <x:v>NR</x:v>
      </x:c>
      <x:c r="R534" s="6" t="str">
        <x:v>a traceability view that shows which code or function has no requirement traced to it</x:v>
      </x:c>
      <x:c r="S534" s="2" t="str">
        <x:v>NR</x:v>
      </x:c>
      <x:c r="T534" s="2" t="str">
        <x:v>NR</x:v>
      </x:c>
      <x:c r="U534" s="2" t="str">
        <x:v>NR</x:v>
      </x:c>
      <x:c r="V534" s="6" t="str">
        <x:v>The traceability view identifies code or functions without a requirement, while trace maintenance keeps relations across artifacts. Initial relation formation is identified from output.</x:v>
      </x:c>
      <x:c r="W534"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34" s="6" t="str">
        <x:v>having link visual links from system level requirements all the way down to code is enormous ; everything's got to have a requirement trace to it</x:v>
      </x:c>
      <x:c r="Y534" s="6" t="str">
        <x:v>The traceability view identifies code or functions without a requirement, while trace maintenance keeps relations across artifacts. Initial relation formation is identified from output.</x:v>
      </x:c>
      <x:c r="Z534" s="2" t="str">
        <x:v>Accepted</x:v>
      </x:c>
      <x:c r="AA534" s="6" t="str">
        <x:v>NR</x:v>
      </x:c>
    </x:row>
    <x:row r="535" ht="76" customHeight="1">
      <x:c r="A535" s="2" t="str">
        <x:v>G6-T02-P4</x:v>
      </x:c>
      <x:c r="B535" s="2" t="str">
        <x:v>G6</x:v>
      </x:c>
      <x:c r="C535" s="2" t="str">
        <x:v>v1</x:v>
      </x:c>
      <x:c r="D535" s="2" t="str">
        <x:v>Final coding</x:v>
      </x:c>
      <x:c r="E535" s="2" t="str">
        <x:v>R1/R2</x:v>
      </x:c>
      <x:c r="F535" s="2" t="str">
        <x:v>G6-T02-PROC</x:v>
      </x:c>
      <x:c r="G535" s="2" t="str">
        <x:v>G6-T02</x:v>
      </x:c>
      <x:c r="H535" s="2" t="str">
        <x:v>4 Validation and explanation</x:v>
      </x:c>
      <x:c r="I535" s="2" t="n">
        <x:v>4</x:v>
      </x:c>
      <x:c r="J535" s="2" t="str">
        <x:v>Common core</x:v>
      </x:c>
      <x:c r="K535" s="2" t="str">
        <x:v>Completed</x:v>
      </x:c>
      <x:c r="L535" s="2" t="str">
        <x:v>Explicitly evidenced</x:v>
      </x:c>
      <x:c r="M535" s="2" t="str">
        <x:v>NR</x:v>
      </x:c>
      <x:c r="N535" s="2" t="str">
        <x:v>NR</x:v>
      </x:c>
      <x:c r="O535" s="2" t="str">
        <x:v>NR</x:v>
      </x:c>
      <x:c r="P535" s="6" t="str">
        <x:v>NR</x:v>
      </x:c>
      <x:c r="Q535" s="2" t="str">
        <x:v>4 Validation and explanation</x:v>
      </x:c>
      <x:c r="R535" s="6" t="str">
        <x:v>NR</x:v>
      </x:c>
      <x:c r="S535" s="2" t="str">
        <x:v>NR</x:v>
      </x:c>
      <x:c r="T535" s="2" t="str">
        <x:v>NR</x:v>
      </x:c>
      <x:c r="U535" s="2" t="str">
        <x:v>NR</x:v>
      </x:c>
      <x:c r="V535" s="6" t="str">
        <x:v>The traceability view identifies code or functions without a requirement, while trace maintenance keeps relations across artifacts. Initial relation formation is identified from output.</x:v>
      </x:c>
      <x:c r="W535"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35" s="6" t="str">
        <x:v>having link visual links from system level requirements all the way down to code is enormous ; everything's got to have a requirement trace to it</x:v>
      </x:c>
      <x:c r="Y535" s="6" t="str">
        <x:v>The traceability view identifies code or functions without a requirement, while trace maintenance keeps relations across artifacts. Initial relation formation is identified from output.</x:v>
      </x:c>
      <x:c r="Z535" s="2" t="str">
        <x:v>Accepted</x:v>
      </x:c>
      <x:c r="AA535" s="6" t="str">
        <x:v>NR</x:v>
      </x:c>
    </x:row>
    <x:row r="536" ht="76" customHeight="1">
      <x:c r="A536" s="2" t="str">
        <x:v>G6-T02-P5</x:v>
      </x:c>
      <x:c r="B536" s="2" t="str">
        <x:v>G6</x:v>
      </x:c>
      <x:c r="C536" s="2" t="str">
        <x:v>v1</x:v>
      </x:c>
      <x:c r="D536" s="2" t="str">
        <x:v>Final coding</x:v>
      </x:c>
      <x:c r="E536" s="2" t="str">
        <x:v>R1/R2</x:v>
      </x:c>
      <x:c r="F536" s="2" t="str">
        <x:v>G6-T02-PROC</x:v>
      </x:c>
      <x:c r="G536" s="2" t="str">
        <x:v>G6-T02</x:v>
      </x:c>
      <x:c r="H536" s="2" t="str">
        <x:v>5 Evolution and embedding</x:v>
      </x:c>
      <x:c r="I536" s="2" t="n">
        <x:v>5</x:v>
      </x:c>
      <x:c r="J536" s="2" t="str">
        <x:v>Common core</x:v>
      </x:c>
      <x:c r="K536" s="2" t="str">
        <x:v>Completed</x:v>
      </x:c>
      <x:c r="L536" s="2" t="str">
        <x:v>Explicitly evidenced</x:v>
      </x:c>
      <x:c r="M536" s="2" t="str">
        <x:v>NR</x:v>
      </x:c>
      <x:c r="N536" s="2" t="str">
        <x:v>NR</x:v>
      </x:c>
      <x:c r="O536" s="2" t="str">
        <x:v>NR</x:v>
      </x:c>
      <x:c r="P536" s="6" t="str">
        <x:v>NR</x:v>
      </x:c>
      <x:c r="Q536" s="2" t="str">
        <x:v>5 Evolution and embedding</x:v>
      </x:c>
      <x:c r="R536" s="6" t="str">
        <x:v>NR</x:v>
      </x:c>
      <x:c r="S536" s="2" t="str">
        <x:v>NR</x:v>
      </x:c>
      <x:c r="T536" s="2" t="str">
        <x:v>NR</x:v>
      </x:c>
      <x:c r="U536" s="2" t="str">
        <x:v>NR</x:v>
      </x:c>
      <x:c r="V536" s="6" t="str">
        <x:v>The traceability view identifies code or functions without a requirement, while trace maintenance keeps relations across artifacts. Initial relation formation is identified from output.</x:v>
      </x:c>
      <x:c r="W536"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X536" s="6" t="str">
        <x:v>having link visual links from system level requirements all the way down to code is enormous ; everything's got to have a requirement trace to it</x:v>
      </x:c>
      <x:c r="Y536" s="6" t="str">
        <x:v>The traceability view identifies code or functions without a requirement, while trace maintenance keeps relations across artifacts. Initial relation formation is identified from output.</x:v>
      </x:c>
      <x:c r="Z536" s="2" t="str">
        <x:v>Accepted</x:v>
      </x:c>
      <x:c r="AA536" s="6" t="str">
        <x:v>NR</x:v>
      </x:c>
    </x:row>
    <x:row r="537" ht="76" customHeight="1">
      <x:c r="A537" s="2" t="str">
        <x:v>G7-T01-P1</x:v>
      </x:c>
      <x:c r="B537" s="2" t="str">
        <x:v>G7</x:v>
      </x:c>
      <x:c r="C537" s="2" t="str">
        <x:v>v1</x:v>
      </x:c>
      <x:c r="D537" s="2" t="str">
        <x:v>Final coding</x:v>
      </x:c>
      <x:c r="E537" s="2" t="str">
        <x:v>R1/R2</x:v>
      </x:c>
      <x:c r="F537" s="2" t="str">
        <x:v>G7-T01-PROC</x:v>
      </x:c>
      <x:c r="G537" s="2" t="str">
        <x:v>G7-T01</x:v>
      </x:c>
      <x:c r="H537" s="2" t="str">
        <x:v>1 Artifact acquisition and scoping</x:v>
      </x:c>
      <x:c r="I537" s="2" t="n">
        <x:v>1</x:v>
      </x:c>
      <x:c r="J537" s="2" t="str">
        <x:v>Common core</x:v>
      </x:c>
      <x:c r="K537" s="2" t="str">
        <x:v>Completed</x:v>
      </x:c>
      <x:c r="L537" s="2" t="str">
        <x:v>Explicitly evidenced</x:v>
      </x:c>
      <x:c r="M537" s="2" t="str">
        <x:v>NR</x:v>
      </x:c>
      <x:c r="N537" s="2" t="str">
        <x:v>NR</x:v>
      </x:c>
      <x:c r="O537" s="2" t="str">
        <x:v>NR</x:v>
      </x:c>
      <x:c r="P537" s="6" t="str">
        <x:v>NR</x:v>
      </x:c>
      <x:c r="Q537" s="2" t="str">
        <x:v>1 Artifact acquisition and scoping</x:v>
      </x:c>
      <x:c r="R537" s="6" t="str">
        <x:v>NR</x:v>
      </x:c>
      <x:c r="S537" s="2" t="str">
        <x:v>NR</x:v>
      </x:c>
      <x:c r="T537" s="2" t="str">
        <x:v>NR</x:v>
      </x:c>
      <x:c r="U537" s="2" t="str">
        <x:v>NR</x:v>
      </x:c>
      <x:c r="V537" s="6" t="str">
        <x:v>Documentation stored with code supplies the artifact set. Needs and their links are collected into a graph.</x:v>
      </x:c>
      <x:c r="W537"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37" s="6" t="str">
        <x:v>you can link a requirement, a specification, architecture element, test cases against it to get the complete traceability ; what swings needs really do at the end is it creates a traceability graph</x:v>
      </x:c>
      <x:c r="Y537" s="6" t="str">
        <x:v>Documentation stored with code supplies the artifact set. Needs and their links are collected into a graph.</x:v>
      </x:c>
      <x:c r="Z537" s="2" t="str">
        <x:v>Accepted</x:v>
      </x:c>
      <x:c r="AA537" s="6" t="str">
        <x:v>NR</x:v>
      </x:c>
    </x:row>
    <x:row r="538" ht="76" customHeight="1">
      <x:c r="A538" s="2" t="str">
        <x:v>G7-T01-P2</x:v>
      </x:c>
      <x:c r="B538" s="2" t="str">
        <x:v>G7</x:v>
      </x:c>
      <x:c r="C538" s="2" t="str">
        <x:v>v1</x:v>
      </x:c>
      <x:c r="D538" s="2" t="str">
        <x:v>Final coding</x:v>
      </x:c>
      <x:c r="E538" s="2" t="str">
        <x:v>R1/R2</x:v>
      </x:c>
      <x:c r="F538" s="2" t="str">
        <x:v>G7-T01-PROC</x:v>
      </x:c>
      <x:c r="G538" s="2" t="str">
        <x:v>G7-T01</x:v>
      </x:c>
      <x:c r="H538" s="2" t="str">
        <x:v>2 Semantic contextualization</x:v>
      </x:c>
      <x:c r="I538" s="2" t="n">
        <x:v>2</x:v>
      </x:c>
      <x:c r="J538" s="2" t="str">
        <x:v>Common core</x:v>
      </x:c>
      <x:c r="K538" s="2" t="str">
        <x:v>Completed</x:v>
      </x:c>
      <x:c r="L538" s="2" t="str">
        <x:v>Not separately reported</x:v>
      </x:c>
      <x:c r="M538" s="2" t="str">
        <x:v>NR</x:v>
      </x:c>
      <x:c r="N538" s="2" t="str">
        <x:v>NR</x:v>
      </x:c>
      <x:c r="O538" s="2" t="str">
        <x:v>NR</x:v>
      </x:c>
      <x:c r="P538" s="6" t="str">
        <x:v>NR</x:v>
      </x:c>
      <x:c r="Q538" s="2" t="str">
        <x:v>NR</x:v>
      </x:c>
      <x:c r="R538" s="6" t="str">
        <x:v>NR</x:v>
      </x:c>
      <x:c r="S538" s="2" t="str">
        <x:v>NR</x:v>
      </x:c>
      <x:c r="T538" s="2" t="str">
        <x:v>NR</x:v>
      </x:c>
      <x:c r="U538" s="2" t="str">
        <x:v>NR</x:v>
      </x:c>
      <x:c r="V538" s="6" t="str">
        <x:v>Documentation stored with code supplies the artifact set. Needs and their links are collected into a graph.</x:v>
      </x:c>
      <x:c r="W538"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38" s="6" t="str">
        <x:v>you can link a requirement, a specification, architecture element, test cases against it to get the complete traceability ; what swings needs really do at the end is it creates a traceability graph</x:v>
      </x:c>
      <x:c r="Y538" s="6" t="str">
        <x:v>Documentation stored with code supplies the artifact set. Needs and their links are collected into a graph.</x:v>
      </x:c>
      <x:c r="Z538" s="2" t="str">
        <x:v>Accepted</x:v>
      </x:c>
      <x:c r="AA538" s="6" t="str">
        <x:v>NR</x:v>
      </x:c>
    </x:row>
    <x:row r="539" ht="76" customHeight="1">
      <x:c r="A539" s="2" t="str">
        <x:v>G7-T01-P3</x:v>
      </x:c>
      <x:c r="B539" s="2" t="str">
        <x:v>G7</x:v>
      </x:c>
      <x:c r="C539" s="2" t="str">
        <x:v>v1</x:v>
      </x:c>
      <x:c r="D539" s="2" t="str">
        <x:v>Final coding</x:v>
      </x:c>
      <x:c r="E539" s="2" t="str">
        <x:v>R1/R2</x:v>
      </x:c>
      <x:c r="F539" s="2" t="str">
        <x:v>G7-T01-PROC</x:v>
      </x:c>
      <x:c r="G539" s="2" t="str">
        <x:v>G7-T01</x:v>
      </x:c>
      <x:c r="H539" s="2" t="str">
        <x:v>3 Traceability inference</x:v>
      </x:c>
      <x:c r="I539" s="2" t="n">
        <x:v>3</x:v>
      </x:c>
      <x:c r="J539" s="2" t="str">
        <x:v>Common core</x:v>
      </x:c>
      <x:c r="K539" s="2" t="str">
        <x:v>Completed</x:v>
      </x:c>
      <x:c r="L539" s="2" t="str">
        <x:v>Explicitly evidenced</x:v>
      </x:c>
      <x:c r="M539" s="2" t="str">
        <x:v>NR</x:v>
      </x:c>
      <x:c r="N539" s="2" t="str">
        <x:v>NR</x:v>
      </x:c>
      <x:c r="O539" s="2" t="str">
        <x:v>NR</x:v>
      </x:c>
      <x:c r="P539" s="6" t="str">
        <x:v>NR</x:v>
      </x:c>
      <x:c r="Q539" s="2" t="str">
        <x:v>3 Traceability inference</x:v>
      </x:c>
      <x:c r="R539" s="6" t="str">
        <x:v>a traceability graph that holds the need objects, their metadata and the links between them</x:v>
      </x:c>
      <x:c r="S539" s="2" t="str">
        <x:v>NR</x:v>
      </x:c>
      <x:c r="T539" s="2" t="str">
        <x:v>NR</x:v>
      </x:c>
      <x:c r="U539" s="2" t="str">
        <x:v>NR</x:v>
      </x:c>
      <x:c r="V539" s="6" t="str">
        <x:v>Documentation stored with code supplies the artifact set. Needs and their links are collected into a graph.</x:v>
      </x:c>
      <x:c r="W539"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39" s="6" t="str">
        <x:v>you can link a requirement, a specification, architecture element, test cases against it to get the complete traceability ; what swings needs really do at the end is it creates a traceability graph</x:v>
      </x:c>
      <x:c r="Y539" s="6" t="str">
        <x:v>Documentation stored with code supplies the artifact set. Needs and their links are collected into a graph.</x:v>
      </x:c>
      <x:c r="Z539" s="2" t="str">
        <x:v>Accepted</x:v>
      </x:c>
      <x:c r="AA539" s="6" t="str">
        <x:v>NR</x:v>
      </x:c>
    </x:row>
    <x:row r="540" ht="76" customHeight="1">
      <x:c r="A540" s="2" t="str">
        <x:v>G7-T01-P4</x:v>
      </x:c>
      <x:c r="B540" s="2" t="str">
        <x:v>G7</x:v>
      </x:c>
      <x:c r="C540" s="2" t="str">
        <x:v>v1</x:v>
      </x:c>
      <x:c r="D540" s="2" t="str">
        <x:v>Final coding</x:v>
      </x:c>
      <x:c r="E540" s="2" t="str">
        <x:v>R1/R2</x:v>
      </x:c>
      <x:c r="F540" s="2" t="str">
        <x:v>G7-T01-PROC</x:v>
      </x:c>
      <x:c r="G540" s="2" t="str">
        <x:v>G7-T01</x:v>
      </x:c>
      <x:c r="H540" s="2" t="str">
        <x:v>4 Validation and explanation</x:v>
      </x:c>
      <x:c r="I540" s="2" t="n">
        <x:v>4</x:v>
      </x:c>
      <x:c r="J540" s="2" t="str">
        <x:v>Common core</x:v>
      </x:c>
      <x:c r="K540" s="2" t="str">
        <x:v>Completed</x:v>
      </x:c>
      <x:c r="L540" s="2" t="str">
        <x:v>Not separately reported</x:v>
      </x:c>
      <x:c r="M540" s="2" t="str">
        <x:v>NR</x:v>
      </x:c>
      <x:c r="N540" s="2" t="str">
        <x:v>NR</x:v>
      </x:c>
      <x:c r="O540" s="2" t="str">
        <x:v>NR</x:v>
      </x:c>
      <x:c r="P540" s="6" t="str">
        <x:v>NR</x:v>
      </x:c>
      <x:c r="Q540" s="2" t="str">
        <x:v>NR</x:v>
      </x:c>
      <x:c r="R540" s="6" t="str">
        <x:v>NR</x:v>
      </x:c>
      <x:c r="S540" s="2" t="str">
        <x:v>NR</x:v>
      </x:c>
      <x:c r="T540" s="2" t="str">
        <x:v>NR</x:v>
      </x:c>
      <x:c r="U540" s="2" t="str">
        <x:v>NR</x:v>
      </x:c>
      <x:c r="V540" s="6" t="str">
        <x:v>Documentation stored with code supplies the artifact set. Needs and their links are collected into a graph.</x:v>
      </x:c>
      <x:c r="W540"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40" s="6" t="str">
        <x:v>you can link a requirement, a specification, architecture element, test cases against it to get the complete traceability ; what swings needs really do at the end is it creates a traceability graph</x:v>
      </x:c>
      <x:c r="Y540" s="6" t="str">
        <x:v>Documentation stored with code supplies the artifact set. Needs and their links are collected into a graph.</x:v>
      </x:c>
      <x:c r="Z540" s="2" t="str">
        <x:v>Accepted</x:v>
      </x:c>
      <x:c r="AA540" s="6" t="str">
        <x:v>NR</x:v>
      </x:c>
    </x:row>
    <x:row r="541" ht="76" customHeight="1">
      <x:c r="A541" s="2" t="str">
        <x:v>G7-T01-P5</x:v>
      </x:c>
      <x:c r="B541" s="2" t="str">
        <x:v>G7</x:v>
      </x:c>
      <x:c r="C541" s="2" t="str">
        <x:v>v1</x:v>
      </x:c>
      <x:c r="D541" s="2" t="str">
        <x:v>Final coding</x:v>
      </x:c>
      <x:c r="E541" s="2" t="str">
        <x:v>R1/R2</x:v>
      </x:c>
      <x:c r="F541" s="2" t="str">
        <x:v>G7-T01-PROC</x:v>
      </x:c>
      <x:c r="G541" s="2" t="str">
        <x:v>G7-T01</x:v>
      </x:c>
      <x:c r="H541" s="2" t="str">
        <x:v>5 Evolution and embedding</x:v>
      </x:c>
      <x:c r="I541" s="2" t="n">
        <x:v>5</x:v>
      </x:c>
      <x:c r="J541" s="2" t="str">
        <x:v>Common core</x:v>
      </x:c>
      <x:c r="K541" s="2" t="str">
        <x:v>Completed</x:v>
      </x:c>
      <x:c r="L541" s="2" t="str">
        <x:v>Not separately reported</x:v>
      </x:c>
      <x:c r="M541" s="2" t="str">
        <x:v>NR</x:v>
      </x:c>
      <x:c r="N541" s="2" t="str">
        <x:v>NR</x:v>
      </x:c>
      <x:c r="O541" s="2" t="str">
        <x:v>NR</x:v>
      </x:c>
      <x:c r="P541" s="6" t="str">
        <x:v>NR</x:v>
      </x:c>
      <x:c r="Q541" s="2" t="str">
        <x:v>NR</x:v>
      </x:c>
      <x:c r="R541" s="6" t="str">
        <x:v>NR</x:v>
      </x:c>
      <x:c r="S541" s="2" t="str">
        <x:v>NR</x:v>
      </x:c>
      <x:c r="T541" s="2" t="str">
        <x:v>NR</x:v>
      </x:c>
      <x:c r="U541" s="2" t="str">
        <x:v>NR</x:v>
      </x:c>
      <x:c r="V541" s="6" t="str">
        <x:v>Documentation stored with code supplies the artifact set. Needs and their links are collected into a graph.</x:v>
      </x:c>
      <x:c r="W541"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41" s="6" t="str">
        <x:v>you can link a requirement, a specification, architecture element, test cases against it to get the complete traceability ; what swings needs really do at the end is it creates a traceability graph</x:v>
      </x:c>
      <x:c r="Y541" s="6" t="str">
        <x:v>Documentation stored with code supplies the artifact set. Needs and their links are collected into a graph.</x:v>
      </x:c>
      <x:c r="Z541" s="2" t="str">
        <x:v>Accepted</x:v>
      </x:c>
      <x:c r="AA541" s="6" t="str">
        <x:v>NR</x:v>
      </x:c>
    </x:row>
    <x:row r="542" ht="76" customHeight="1">
      <x:c r="A542" s="2" t="str">
        <x:v>G7-T02-P1</x:v>
      </x:c>
      <x:c r="B542" s="2" t="str">
        <x:v>G7</x:v>
      </x:c>
      <x:c r="C542" s="2" t="str">
        <x:v>v1</x:v>
      </x:c>
      <x:c r="D542" s="2" t="str">
        <x:v>Final coding</x:v>
      </x:c>
      <x:c r="E542" s="2" t="str">
        <x:v>R1/R2</x:v>
      </x:c>
      <x:c r="F542" s="2" t="str">
        <x:v>G7-T02-PROC</x:v>
      </x:c>
      <x:c r="G542" s="2" t="str">
        <x:v>G7-T02</x:v>
      </x:c>
      <x:c r="H542" s="2" t="str">
        <x:v>1 Artifact acquisition and scoping</x:v>
      </x:c>
      <x:c r="I542" s="2" t="n">
        <x:v>1</x:v>
      </x:c>
      <x:c r="J542" s="2" t="str">
        <x:v>Common core</x:v>
      </x:c>
      <x:c r="K542" s="2" t="str">
        <x:v>Completed</x:v>
      </x:c>
      <x:c r="L542" s="2" t="str">
        <x:v>Not separately reported</x:v>
      </x:c>
      <x:c r="M542" s="2" t="str">
        <x:v>NR</x:v>
      </x:c>
      <x:c r="N542" s="2" t="str">
        <x:v>NR</x:v>
      </x:c>
      <x:c r="O542" s="2" t="str">
        <x:v>NR</x:v>
      </x:c>
      <x:c r="P542" s="6" t="str">
        <x:v>NR</x:v>
      </x:c>
      <x:c r="Q542" s="2" t="str">
        <x:v>NR</x:v>
      </x:c>
      <x:c r="R542" s="6" t="str">
        <x:v>NR</x:v>
      </x:c>
      <x:c r="S542" s="2" t="str">
        <x:v>NR</x:v>
      </x:c>
      <x:c r="T542" s="2" t="str">
        <x:v>NR</x:v>
      </x:c>
      <x:c r="U542" s="2" t="str">
        <x:v>NR</x:v>
      </x:c>
      <x:c r="V542" s="6" t="str">
        <x:v>Graph filtering prepares evidence. Link-completeness and deterministic rule checks validate the existing relations. Relation output supplies inferred Step 3.</x:v>
      </x:c>
      <x:c r="W542"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42" s="6" t="str">
        <x:v>it can help you for instance to trace information ... hey, i have here a specification. is all the linkage complete complete or is something there missing</x:v>
      </x:c>
      <x:c r="Y542" s="6" t="str">
        <x:v>Graph filtering prepares evidence. Link-completeness and deterministic rule checks validate the existing relations. Relation output supplies inferred Step 3.</x:v>
      </x:c>
      <x:c r="Z542" s="2" t="str">
        <x:v>Accepted</x:v>
      </x:c>
      <x:c r="AA542" s="6" t="str">
        <x:v>NR</x:v>
      </x:c>
    </x:row>
    <x:row r="543" ht="76" customHeight="1">
      <x:c r="A543" s="2" t="str">
        <x:v>G7-T02-P2</x:v>
      </x:c>
      <x:c r="B543" s="2" t="str">
        <x:v>G7</x:v>
      </x:c>
      <x:c r="C543" s="2" t="str">
        <x:v>v1</x:v>
      </x:c>
      <x:c r="D543" s="2" t="str">
        <x:v>Final coding</x:v>
      </x:c>
      <x:c r="E543" s="2" t="str">
        <x:v>R1/R2</x:v>
      </x:c>
      <x:c r="F543" s="2" t="str">
        <x:v>G7-T02-PROC</x:v>
      </x:c>
      <x:c r="G543" s="2" t="str">
        <x:v>G7-T02</x:v>
      </x:c>
      <x:c r="H543" s="2" t="str">
        <x:v>2 Semantic contextualization</x:v>
      </x:c>
      <x:c r="I543" s="2" t="n">
        <x:v>2</x:v>
      </x:c>
      <x:c r="J543" s="2" t="str">
        <x:v>Common core</x:v>
      </x:c>
      <x:c r="K543" s="2" t="str">
        <x:v>Completed</x:v>
      </x:c>
      <x:c r="L543" s="2" t="str">
        <x:v>Explicitly evidenced</x:v>
      </x:c>
      <x:c r="M543" s="2" t="str">
        <x:v>NR</x:v>
      </x:c>
      <x:c r="N543" s="2" t="str">
        <x:v>NR</x:v>
      </x:c>
      <x:c r="O543" s="2" t="str">
        <x:v>NR</x:v>
      </x:c>
      <x:c r="P543" s="6" t="str">
        <x:v>NR</x:v>
      </x:c>
      <x:c r="Q543" s="2" t="str">
        <x:v>2 Semantic contextualization</x:v>
      </x:c>
      <x:c r="R543" s="6" t="str">
        <x:v>NR</x:v>
      </x:c>
      <x:c r="S543" s="2" t="str">
        <x:v>NR</x:v>
      </x:c>
      <x:c r="T543" s="2" t="str">
        <x:v>NR</x:v>
      </x:c>
      <x:c r="U543" s="2" t="str">
        <x:v>NR</x:v>
      </x:c>
      <x:c r="V543" s="6" t="str">
        <x:v>Graph filtering prepares evidence. Link-completeness and deterministic rule checks validate the existing relations. Relation output supplies inferred Step 3.</x:v>
      </x:c>
      <x:c r="W543"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43" s="6" t="str">
        <x:v>it can help you for instance to trace information ... hey, i have here a specification. is all the linkage complete complete or is something there missing</x:v>
      </x:c>
      <x:c r="Y543" s="6" t="str">
        <x:v>Graph filtering prepares evidence. Link-completeness and deterministic rule checks validate the existing relations. Relation output supplies inferred Step 3.</x:v>
      </x:c>
      <x:c r="Z543" s="2" t="str">
        <x:v>Accepted</x:v>
      </x:c>
      <x:c r="AA543" s="6" t="str">
        <x:v>NR</x:v>
      </x:c>
    </x:row>
    <x:row r="544" ht="76" customHeight="1">
      <x:c r="A544" s="2" t="str">
        <x:v>G7-T02-P3</x:v>
      </x:c>
      <x:c r="B544" s="2" t="str">
        <x:v>G7</x:v>
      </x:c>
      <x:c r="C544" s="2" t="str">
        <x:v>v1</x:v>
      </x:c>
      <x:c r="D544" s="2" t="str">
        <x:v>Final coding</x:v>
      </x:c>
      <x:c r="E544" s="2" t="str">
        <x:v>R1/R2</x:v>
      </x:c>
      <x:c r="F544" s="2" t="str">
        <x:v>G7-T02-PROC</x:v>
      </x:c>
      <x:c r="G544" s="2" t="str">
        <x:v>G7-T02</x:v>
      </x:c>
      <x:c r="H544" s="2" t="str">
        <x:v>3 Traceability inference</x:v>
      </x:c>
      <x:c r="I544" s="2" t="n">
        <x:v>3</x:v>
      </x:c>
      <x:c r="J544" s="2" t="str">
        <x:v>Common core</x:v>
      </x:c>
      <x:c r="K544" s="2" t="str">
        <x:v>Completed</x:v>
      </x:c>
      <x:c r="L544" s="2" t="str">
        <x:v>Inferred from relation output</x:v>
      </x:c>
      <x:c r="M544" s="2" t="str">
        <x:v>NR</x:v>
      </x:c>
      <x:c r="N544" s="2" t="str">
        <x:v>NR</x:v>
      </x:c>
      <x:c r="O544" s="2" t="str">
        <x:v>NR</x:v>
      </x:c>
      <x:c r="P544" s="6" t="str">
        <x:v>NR</x:v>
      </x:c>
      <x:c r="Q544" s="2" t="str">
        <x:v>NR</x:v>
      </x:c>
      <x:c r="R544" s="6" t="str">
        <x:v>findings on missing or invalid links and confirmation that the link rules hold</x:v>
      </x:c>
      <x:c r="S544" s="2" t="str">
        <x:v>NR</x:v>
      </x:c>
      <x:c r="T544" s="2" t="str">
        <x:v>NR</x:v>
      </x:c>
      <x:c r="U544" s="2" t="str">
        <x:v>NR</x:v>
      </x:c>
      <x:c r="V544" s="6" t="str">
        <x:v>Graph filtering prepares evidence. Link-completeness and deterministic rule checks validate the existing relations. Relation output supplies inferred Step 3.</x:v>
      </x:c>
      <x:c r="W544"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44" s="6" t="str">
        <x:v>it can help you for instance to trace information ... hey, i have here a specification. is all the linkage complete complete or is something there missing</x:v>
      </x:c>
      <x:c r="Y544" s="6" t="str">
        <x:v>Graph filtering prepares evidence. Link-completeness and deterministic rule checks validate the existing relations. Relation output supplies inferred Step 3.</x:v>
      </x:c>
      <x:c r="Z544" s="2" t="str">
        <x:v>Accepted</x:v>
      </x:c>
      <x:c r="AA544" s="6" t="str">
        <x:v>NR</x:v>
      </x:c>
    </x:row>
    <x:row r="545" ht="76" customHeight="1">
      <x:c r="A545" s="2" t="str">
        <x:v>G7-T02-P4</x:v>
      </x:c>
      <x:c r="B545" s="2" t="str">
        <x:v>G7</x:v>
      </x:c>
      <x:c r="C545" s="2" t="str">
        <x:v>v1</x:v>
      </x:c>
      <x:c r="D545" s="2" t="str">
        <x:v>Final coding</x:v>
      </x:c>
      <x:c r="E545" s="2" t="str">
        <x:v>R1/R2</x:v>
      </x:c>
      <x:c r="F545" s="2" t="str">
        <x:v>G7-T02-PROC</x:v>
      </x:c>
      <x:c r="G545" s="2" t="str">
        <x:v>G7-T02</x:v>
      </x:c>
      <x:c r="H545" s="2" t="str">
        <x:v>4 Validation and explanation</x:v>
      </x:c>
      <x:c r="I545" s="2" t="n">
        <x:v>4</x:v>
      </x:c>
      <x:c r="J545" s="2" t="str">
        <x:v>Common core</x:v>
      </x:c>
      <x:c r="K545" s="2" t="str">
        <x:v>Completed</x:v>
      </x:c>
      <x:c r="L545" s="2" t="str">
        <x:v>Explicitly evidenced</x:v>
      </x:c>
      <x:c r="M545" s="2" t="str">
        <x:v>NR</x:v>
      </x:c>
      <x:c r="N545" s="2" t="str">
        <x:v>NR</x:v>
      </x:c>
      <x:c r="O545" s="2" t="str">
        <x:v>NR</x:v>
      </x:c>
      <x:c r="P545" s="6" t="str">
        <x:v>NR</x:v>
      </x:c>
      <x:c r="Q545" s="2" t="str">
        <x:v>4 Validation and explanation</x:v>
      </x:c>
      <x:c r="R545" s="6" t="str">
        <x:v>NR</x:v>
      </x:c>
      <x:c r="S545" s="2" t="str">
        <x:v>NR</x:v>
      </x:c>
      <x:c r="T545" s="2" t="str">
        <x:v>NR</x:v>
      </x:c>
      <x:c r="U545" s="2" t="str">
        <x:v>NR</x:v>
      </x:c>
      <x:c r="V545" s="6" t="str">
        <x:v>Graph filtering prepares evidence. Link-completeness and deterministic rule checks validate the existing relations. Relation output supplies inferred Step 3.</x:v>
      </x:c>
      <x:c r="W545"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45" s="6" t="str">
        <x:v>it can help you for instance to trace information ... hey, i have here a specification. is all the linkage complete complete or is something there missing</x:v>
      </x:c>
      <x:c r="Y545" s="6" t="str">
        <x:v>Graph filtering prepares evidence. Link-completeness and deterministic rule checks validate the existing relations. Relation output supplies inferred Step 3.</x:v>
      </x:c>
      <x:c r="Z545" s="2" t="str">
        <x:v>Accepted</x:v>
      </x:c>
      <x:c r="AA545" s="6" t="str">
        <x:v>NR</x:v>
      </x:c>
    </x:row>
    <x:row r="546" ht="76" customHeight="1">
      <x:c r="A546" s="2" t="str">
        <x:v>G7-T02-P5</x:v>
      </x:c>
      <x:c r="B546" s="2" t="str">
        <x:v>G7</x:v>
      </x:c>
      <x:c r="C546" s="2" t="str">
        <x:v>v1</x:v>
      </x:c>
      <x:c r="D546" s="2" t="str">
        <x:v>Final coding</x:v>
      </x:c>
      <x:c r="E546" s="2" t="str">
        <x:v>R1/R2</x:v>
      </x:c>
      <x:c r="F546" s="2" t="str">
        <x:v>G7-T02-PROC</x:v>
      </x:c>
      <x:c r="G546" s="2" t="str">
        <x:v>G7-T02</x:v>
      </x:c>
      <x:c r="H546" s="2" t="str">
        <x:v>5 Evolution and embedding</x:v>
      </x:c>
      <x:c r="I546" s="2" t="n">
        <x:v>5</x:v>
      </x:c>
      <x:c r="J546" s="2" t="str">
        <x:v>Common core</x:v>
      </x:c>
      <x:c r="K546" s="2" t="str">
        <x:v>Completed</x:v>
      </x:c>
      <x:c r="L546" s="2" t="str">
        <x:v>Not separately reported</x:v>
      </x:c>
      <x:c r="M546" s="2" t="str">
        <x:v>NR</x:v>
      </x:c>
      <x:c r="N546" s="2" t="str">
        <x:v>NR</x:v>
      </x:c>
      <x:c r="O546" s="2" t="str">
        <x:v>NR</x:v>
      </x:c>
      <x:c r="P546" s="6" t="str">
        <x:v>NR</x:v>
      </x:c>
      <x:c r="Q546" s="2" t="str">
        <x:v>NR</x:v>
      </x:c>
      <x:c r="R546" s="6" t="str">
        <x:v>NR</x:v>
      </x:c>
      <x:c r="S546" s="2" t="str">
        <x:v>NR</x:v>
      </x:c>
      <x:c r="T546" s="2" t="str">
        <x:v>NR</x:v>
      </x:c>
      <x:c r="U546" s="2" t="str">
        <x:v>NR</x:v>
      </x:c>
      <x:c r="V546" s="6" t="str">
        <x:v>Graph filtering prepares evidence. Link-completeness and deterministic rule checks validate the existing relations. Relation output supplies inferred Step 3.</x:v>
      </x:c>
      <x:c r="W546"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X546" s="6" t="str">
        <x:v>it can help you for instance to trace information ... hey, i have here a specification. is all the linkage complete complete or is something there missing</x:v>
      </x:c>
      <x:c r="Y546" s="6" t="str">
        <x:v>Graph filtering prepares evidence. Link-completeness and deterministic rule checks validate the existing relations. Relation output supplies inferred Step 3.</x:v>
      </x:c>
      <x:c r="Z546" s="2" t="str">
        <x:v>Accepted</x:v>
      </x:c>
      <x:c r="AA546" s="6" t="str">
        <x:v>NR</x:v>
      </x:c>
    </x:row>
    <x:row r="547" ht="76" customHeight="1">
      <x:c r="A547" s="2" t="str">
        <x:v>G7-T03-P1</x:v>
      </x:c>
      <x:c r="B547" s="2" t="str">
        <x:v>G7</x:v>
      </x:c>
      <x:c r="C547" s="2" t="str">
        <x:v>v1</x:v>
      </x:c>
      <x:c r="D547" s="2" t="str">
        <x:v>Final coding</x:v>
      </x:c>
      <x:c r="E547" s="2" t="str">
        <x:v>R1/R2</x:v>
      </x:c>
      <x:c r="F547" s="2" t="str">
        <x:v>G7-T03-PROC</x:v>
      </x:c>
      <x:c r="G547" s="2" t="str">
        <x:v>G7-T03</x:v>
      </x:c>
      <x:c r="H547" s="2" t="str">
        <x:v>1 Artifact acquisition and scoping</x:v>
      </x:c>
      <x:c r="I547" s="2" t="n">
        <x:v>1</x:v>
      </x:c>
      <x:c r="J547" s="2" t="str">
        <x:v>Common core</x:v>
      </x:c>
      <x:c r="K547" s="2" t="str">
        <x:v>Completed</x:v>
      </x:c>
      <x:c r="L547" s="2" t="str">
        <x:v>Not separately reported</x:v>
      </x:c>
      <x:c r="M547" s="2" t="str">
        <x:v>NR</x:v>
      </x:c>
      <x:c r="N547" s="2" t="str">
        <x:v>NR</x:v>
      </x:c>
      <x:c r="O547" s="2" t="str">
        <x:v>NR</x:v>
      </x:c>
      <x:c r="P547" s="6" t="str">
        <x:v>NR</x:v>
      </x:c>
      <x:c r="Q547" s="2" t="str">
        <x:v>NR</x:v>
      </x:c>
      <x:c r="R547" s="6" t="str">
        <x:v>NR</x:v>
      </x:c>
      <x:c r="S547" s="2" t="str">
        <x:v>NR</x:v>
      </x:c>
      <x:c r="T547" s="2" t="str">
        <x:v>NR</x:v>
      </x:c>
      <x:c r="U547" s="2" t="str">
        <x:v>NR</x:v>
      </x:c>
      <x:c r="V547" s="6" t="str">
        <x:v>The accepted role record describes impact analysis in evolution/embedding. An answer identifies relations affected by change.</x:v>
      </x:c>
      <x:c r="W547" s="6" t="str">
        <x:v>G7_page_description.png (page description)</x:v>
      </x:c>
      <x:c r="X547" s="6" t="str">
        <x:v>are directly accessible to language models, which can analyse traceability completeness, detect inconsistencies</x:v>
      </x:c>
      <x:c r="Y547" s="6" t="str">
        <x:v>The accepted role record describes impact analysis in evolution/embedding. An answer identifies relations affected by change.</x:v>
      </x:c>
      <x:c r="Z547" s="2" t="str">
        <x:v>Accepted</x:v>
      </x:c>
      <x:c r="AA547" s="6" t="str">
        <x:v>NR</x:v>
      </x:c>
    </x:row>
    <x:row r="548" ht="76" customHeight="1">
      <x:c r="A548" s="2" t="str">
        <x:v>G7-T03-P2</x:v>
      </x:c>
      <x:c r="B548" s="2" t="str">
        <x:v>G7</x:v>
      </x:c>
      <x:c r="C548" s="2" t="str">
        <x:v>v1</x:v>
      </x:c>
      <x:c r="D548" s="2" t="str">
        <x:v>Final coding</x:v>
      </x:c>
      <x:c r="E548" s="2" t="str">
        <x:v>R1/R2</x:v>
      </x:c>
      <x:c r="F548" s="2" t="str">
        <x:v>G7-T03-PROC</x:v>
      </x:c>
      <x:c r="G548" s="2" t="str">
        <x:v>G7-T03</x:v>
      </x:c>
      <x:c r="H548" s="2" t="str">
        <x:v>2 Semantic contextualization</x:v>
      </x:c>
      <x:c r="I548" s="2" t="n">
        <x:v>2</x:v>
      </x:c>
      <x:c r="J548" s="2" t="str">
        <x:v>Common core</x:v>
      </x:c>
      <x:c r="K548" s="2" t="str">
        <x:v>Completed</x:v>
      </x:c>
      <x:c r="L548" s="2" t="str">
        <x:v>Not separately reported</x:v>
      </x:c>
      <x:c r="M548" s="2" t="str">
        <x:v>NR</x:v>
      </x:c>
      <x:c r="N548" s="2" t="str">
        <x:v>NR</x:v>
      </x:c>
      <x:c r="O548" s="2" t="str">
        <x:v>NR</x:v>
      </x:c>
      <x:c r="P548" s="6" t="str">
        <x:v>NR</x:v>
      </x:c>
      <x:c r="Q548" s="2" t="str">
        <x:v>NR</x:v>
      </x:c>
      <x:c r="R548" s="6" t="str">
        <x:v>NR</x:v>
      </x:c>
      <x:c r="S548" s="2" t="str">
        <x:v>NR</x:v>
      </x:c>
      <x:c r="T548" s="2" t="str">
        <x:v>NR</x:v>
      </x:c>
      <x:c r="U548" s="2" t="str">
        <x:v>NR</x:v>
      </x:c>
      <x:c r="V548" s="6" t="str">
        <x:v>The accepted role record describes impact analysis in evolution/embedding. An answer identifies relations affected by change.</x:v>
      </x:c>
      <x:c r="W548" s="6" t="str">
        <x:v>G7_page_description.png (page description)</x:v>
      </x:c>
      <x:c r="X548" s="6" t="str">
        <x:v>are directly accessible to language models, which can analyse traceability completeness, detect inconsistencies</x:v>
      </x:c>
      <x:c r="Y548" s="6" t="str">
        <x:v>The accepted role record describes impact analysis in evolution/embedding. An answer identifies relations affected by change.</x:v>
      </x:c>
      <x:c r="Z548" s="2" t="str">
        <x:v>Accepted</x:v>
      </x:c>
      <x:c r="AA548" s="6" t="str">
        <x:v>NR</x:v>
      </x:c>
    </x:row>
    <x:row r="549" ht="76" customHeight="1">
      <x:c r="A549" s="2" t="str">
        <x:v>G7-T03-P3</x:v>
      </x:c>
      <x:c r="B549" s="2" t="str">
        <x:v>G7</x:v>
      </x:c>
      <x:c r="C549" s="2" t="str">
        <x:v>v1</x:v>
      </x:c>
      <x:c r="D549" s="2" t="str">
        <x:v>Final coding</x:v>
      </x:c>
      <x:c r="E549" s="2" t="str">
        <x:v>R1/R2</x:v>
      </x:c>
      <x:c r="F549" s="2" t="str">
        <x:v>G7-T03-PROC</x:v>
      </x:c>
      <x:c r="G549" s="2" t="str">
        <x:v>G7-T03</x:v>
      </x:c>
      <x:c r="H549" s="2" t="str">
        <x:v>3 Traceability inference</x:v>
      </x:c>
      <x:c r="I549" s="2" t="n">
        <x:v>3</x:v>
      </x:c>
      <x:c r="J549" s="2" t="str">
        <x:v>Common core</x:v>
      </x:c>
      <x:c r="K549" s="2" t="str">
        <x:v>Completed</x:v>
      </x:c>
      <x:c r="L549" s="2" t="str">
        <x:v>Explicitly evidenced</x:v>
      </x:c>
      <x:c r="M549" s="2" t="str">
        <x:v>NR</x:v>
      </x:c>
      <x:c r="N549" s="2" t="str">
        <x:v>NR</x:v>
      </x:c>
      <x:c r="O549" s="2" t="str">
        <x:v>NR</x:v>
      </x:c>
      <x:c r="P549" s="6" t="str">
        <x:v>NR</x:v>
      </x:c>
      <x:c r="Q549" s="2" t="str">
        <x:v>3 Traceability inference</x:v>
      </x:c>
      <x:c r="R549" s="6" t="str">
        <x:v>reported findings and reasoning that reference the instructions and skills used for the need</x:v>
      </x:c>
      <x:c r="S549" s="2" t="str">
        <x:v>NR</x:v>
      </x:c>
      <x:c r="T549" s="2" t="str">
        <x:v>NR</x:v>
      </x:c>
      <x:c r="U549" s="2" t="str">
        <x:v>NR</x:v>
      </x:c>
      <x:c r="V549" s="6" t="str">
        <x:v>The accepted role record describes impact analysis in evolution/embedding. An answer identifies relations affected by change.</x:v>
      </x:c>
      <x:c r="W549" s="6" t="str">
        <x:v>G7_page_description.png (page description)</x:v>
      </x:c>
      <x:c r="X549" s="6" t="str">
        <x:v>are directly accessible to language models, which can analyse traceability completeness, detect inconsistencies</x:v>
      </x:c>
      <x:c r="Y549" s="6" t="str">
        <x:v>The accepted role record describes impact analysis in evolution/embedding. An answer identifies relations affected by change.</x:v>
      </x:c>
      <x:c r="Z549" s="2" t="str">
        <x:v>Accepted</x:v>
      </x:c>
      <x:c r="AA549" s="6" t="str">
        <x:v>NR</x:v>
      </x:c>
    </x:row>
    <x:row r="550" ht="76" customHeight="1">
      <x:c r="A550" s="2" t="str">
        <x:v>G7-T03-P4</x:v>
      </x:c>
      <x:c r="B550" s="2" t="str">
        <x:v>G7</x:v>
      </x:c>
      <x:c r="C550" s="2" t="str">
        <x:v>v1</x:v>
      </x:c>
      <x:c r="D550" s="2" t="str">
        <x:v>Final coding</x:v>
      </x:c>
      <x:c r="E550" s="2" t="str">
        <x:v>R1/R2</x:v>
      </x:c>
      <x:c r="F550" s="2" t="str">
        <x:v>G7-T03-PROC</x:v>
      </x:c>
      <x:c r="G550" s="2" t="str">
        <x:v>G7-T03</x:v>
      </x:c>
      <x:c r="H550" s="2" t="str">
        <x:v>4 Validation and explanation</x:v>
      </x:c>
      <x:c r="I550" s="2" t="n">
        <x:v>4</x:v>
      </x:c>
      <x:c r="J550" s="2" t="str">
        <x:v>Common core</x:v>
      </x:c>
      <x:c r="K550" s="2" t="str">
        <x:v>Completed</x:v>
      </x:c>
      <x:c r="L550" s="2" t="str">
        <x:v>Not separately reported</x:v>
      </x:c>
      <x:c r="M550" s="2" t="str">
        <x:v>NR</x:v>
      </x:c>
      <x:c r="N550" s="2" t="str">
        <x:v>NR</x:v>
      </x:c>
      <x:c r="O550" s="2" t="str">
        <x:v>NR</x:v>
      </x:c>
      <x:c r="P550" s="6" t="str">
        <x:v>NR</x:v>
      </x:c>
      <x:c r="Q550" s="2" t="str">
        <x:v>NR</x:v>
      </x:c>
      <x:c r="R550" s="6" t="str">
        <x:v>NR</x:v>
      </x:c>
      <x:c r="S550" s="2" t="str">
        <x:v>NR</x:v>
      </x:c>
      <x:c r="T550" s="2" t="str">
        <x:v>NR</x:v>
      </x:c>
      <x:c r="U550" s="2" t="str">
        <x:v>NR</x:v>
      </x:c>
      <x:c r="V550" s="6" t="str">
        <x:v>The accepted role record describes impact analysis in evolution/embedding. An answer identifies relations affected by change.</x:v>
      </x:c>
      <x:c r="W550" s="6" t="str">
        <x:v>G7_page_description.png (page description)</x:v>
      </x:c>
      <x:c r="X550" s="6" t="str">
        <x:v>are directly accessible to language models, which can analyse traceability completeness, detect inconsistencies</x:v>
      </x:c>
      <x:c r="Y550" s="6" t="str">
        <x:v>The accepted role record describes impact analysis in evolution/embedding. An answer identifies relations affected by change.</x:v>
      </x:c>
      <x:c r="Z550" s="2" t="str">
        <x:v>Accepted</x:v>
      </x:c>
      <x:c r="AA550" s="6" t="str">
        <x:v>NR</x:v>
      </x:c>
    </x:row>
    <x:row r="551" ht="76" customHeight="1">
      <x:c r="A551" s="2" t="str">
        <x:v>G7-T03-P5</x:v>
      </x:c>
      <x:c r="B551" s="2" t="str">
        <x:v>G7</x:v>
      </x:c>
      <x:c r="C551" s="2" t="str">
        <x:v>v1</x:v>
      </x:c>
      <x:c r="D551" s="2" t="str">
        <x:v>Final coding</x:v>
      </x:c>
      <x:c r="E551" s="2" t="str">
        <x:v>R1/R2</x:v>
      </x:c>
      <x:c r="F551" s="2" t="str">
        <x:v>G7-T03-PROC</x:v>
      </x:c>
      <x:c r="G551" s="2" t="str">
        <x:v>G7-T03</x:v>
      </x:c>
      <x:c r="H551" s="2" t="str">
        <x:v>5 Evolution and embedding</x:v>
      </x:c>
      <x:c r="I551" s="2" t="n">
        <x:v>5</x:v>
      </x:c>
      <x:c r="J551" s="2" t="str">
        <x:v>Common core</x:v>
      </x:c>
      <x:c r="K551" s="2" t="str">
        <x:v>Completed</x:v>
      </x:c>
      <x:c r="L551" s="2" t="str">
        <x:v>Explicitly evidenced</x:v>
      </x:c>
      <x:c r="M551" s="2" t="str">
        <x:v>NR</x:v>
      </x:c>
      <x:c r="N551" s="2" t="str">
        <x:v>NR</x:v>
      </x:c>
      <x:c r="O551" s="2" t="str">
        <x:v>NR</x:v>
      </x:c>
      <x:c r="P551" s="6" t="str">
        <x:v>NR</x:v>
      </x:c>
      <x:c r="Q551" s="2" t="str">
        <x:v>5 Evolution and embedding</x:v>
      </x:c>
      <x:c r="R551" s="6" t="str">
        <x:v>NR</x:v>
      </x:c>
      <x:c r="S551" s="2" t="str">
        <x:v>NR</x:v>
      </x:c>
      <x:c r="T551" s="2" t="str">
        <x:v>NR</x:v>
      </x:c>
      <x:c r="U551" s="2" t="str">
        <x:v>NR</x:v>
      </x:c>
      <x:c r="V551" s="6" t="str">
        <x:v>The accepted role record describes impact analysis in evolution/embedding. An answer identifies relations affected by change.</x:v>
      </x:c>
      <x:c r="W551" s="6" t="str">
        <x:v>G7_page_description.png (page description)</x:v>
      </x:c>
      <x:c r="X551" s="6" t="str">
        <x:v>are directly accessible to language models, which can analyse traceability completeness, detect inconsistencies</x:v>
      </x:c>
      <x:c r="Y551" s="6" t="str">
        <x:v>The accepted role record describes impact analysis in evolution/embedding. An answer identifies relations affected by change.</x:v>
      </x:c>
      <x:c r="Z551" s="2" t="str">
        <x:v>Accepted</x:v>
      </x:c>
      <x:c r="AA551" s="6" t="str">
        <x:v>NR</x:v>
      </x:c>
    </x:row>
    <x:row r="552" ht="76" customHeight="1">
      <x:c r="A552" s="2" t="str">
        <x:v>G7-T04-P1</x:v>
      </x:c>
      <x:c r="B552" s="2" t="str">
        <x:v>G7</x:v>
      </x:c>
      <x:c r="C552" s="2" t="str">
        <x:v>v1</x:v>
      </x:c>
      <x:c r="D552" s="2" t="str">
        <x:v>Final coding</x:v>
      </x:c>
      <x:c r="E552" s="2" t="str">
        <x:v>R1/R2</x:v>
      </x:c>
      <x:c r="F552" s="2" t="str">
        <x:v>G7-T04-PROC</x:v>
      </x:c>
      <x:c r="G552" s="2" t="str">
        <x:v>G7-T04</x:v>
      </x:c>
      <x:c r="H552" s="2" t="str">
        <x:v>1 Artifact acquisition and scoping</x:v>
      </x:c>
      <x:c r="I552" s="2" t="n">
        <x:v>1</x:v>
      </x:c>
      <x:c r="J552" s="2" t="str">
        <x:v>Common core</x:v>
      </x:c>
      <x:c r="K552" s="2" t="str">
        <x:v>Completed</x:v>
      </x:c>
      <x:c r="L552" s="2" t="str">
        <x:v>Not separately reported</x:v>
      </x:c>
      <x:c r="M552" s="2" t="str">
        <x:v>NR</x:v>
      </x:c>
      <x:c r="N552" s="2" t="str">
        <x:v>NR</x:v>
      </x:c>
      <x:c r="O552" s="2" t="str">
        <x:v>NR</x:v>
      </x:c>
      <x:c r="P552" s="6" t="str">
        <x:v>NR</x:v>
      </x:c>
      <x:c r="Q552" s="2" t="str">
        <x:v>NR</x:v>
      </x:c>
      <x:c r="R552" s="6" t="str">
        <x:v>NR</x:v>
      </x:c>
      <x:c r="S552" s="2" t="str">
        <x:v>NR</x:v>
      </x:c>
      <x:c r="T552" s="2" t="str">
        <x:v>NR</x:v>
      </x:c>
      <x:c r="U552" s="2" t="str">
        <x:v>NR</x:v>
      </x:c>
      <x:c r="V552" s="6" t="str">
        <x:v>The accepted task and source description report generating/updating requirements and documentation from traced needs. Step 5 is included for updates grounded in graph relations; a separate initial inference operation is not described.</x:v>
      </x:c>
      <x:c r="W552" s="6" t="str">
        <x:v>G7_page_description.png (page description)</x:v>
      </x:c>
      <x:c r="X552" s="6" t="str">
        <x:v>and generate or update documentation</x:v>
      </x:c>
      <x:c r="Y552" s="6" t="str">
        <x:v>The accepted task and source description report generating/updating requirements and documentation from traced needs. Step 5 is included for updates grounded in graph relations; a separate initial inference operation is not described.</x:v>
      </x:c>
      <x:c r="Z552" s="2" t="str">
        <x:v>Accepted</x:v>
      </x:c>
      <x:c r="AA552" s="6" t="str">
        <x:v>NR</x:v>
      </x:c>
    </x:row>
    <x:row r="553" ht="76" customHeight="1">
      <x:c r="A553" s="2" t="str">
        <x:v>G7-T04-P2</x:v>
      </x:c>
      <x:c r="B553" s="2" t="str">
        <x:v>G7</x:v>
      </x:c>
      <x:c r="C553" s="2" t="str">
        <x:v>v1</x:v>
      </x:c>
      <x:c r="D553" s="2" t="str">
        <x:v>Final coding</x:v>
      </x:c>
      <x:c r="E553" s="2" t="str">
        <x:v>R1/R2</x:v>
      </x:c>
      <x:c r="F553" s="2" t="str">
        <x:v>G7-T04-PROC</x:v>
      </x:c>
      <x:c r="G553" s="2" t="str">
        <x:v>G7-T04</x:v>
      </x:c>
      <x:c r="H553" s="2" t="str">
        <x:v>2 Semantic contextualization</x:v>
      </x:c>
      <x:c r="I553" s="2" t="n">
        <x:v>2</x:v>
      </x:c>
      <x:c r="J553" s="2" t="str">
        <x:v>Common core</x:v>
      </x:c>
      <x:c r="K553" s="2" t="str">
        <x:v>Completed</x:v>
      </x:c>
      <x:c r="L553" s="2" t="str">
        <x:v>Not separately reported</x:v>
      </x:c>
      <x:c r="M553" s="2" t="str">
        <x:v>NR</x:v>
      </x:c>
      <x:c r="N553" s="2" t="str">
        <x:v>NR</x:v>
      </x:c>
      <x:c r="O553" s="2" t="str">
        <x:v>NR</x:v>
      </x:c>
      <x:c r="P553" s="6" t="str">
        <x:v>NR</x:v>
      </x:c>
      <x:c r="Q553" s="2" t="str">
        <x:v>NR</x:v>
      </x:c>
      <x:c r="R553" s="6" t="str">
        <x:v>NR</x:v>
      </x:c>
      <x:c r="S553" s="2" t="str">
        <x:v>NR</x:v>
      </x:c>
      <x:c r="T553" s="2" t="str">
        <x:v>NR</x:v>
      </x:c>
      <x:c r="U553" s="2" t="str">
        <x:v>NR</x:v>
      </x:c>
      <x:c r="V553" s="6" t="str">
        <x:v>The accepted task and source description report generating/updating requirements and documentation from traced needs. Step 5 is included for updates grounded in graph relations; a separate initial inference operation is not described.</x:v>
      </x:c>
      <x:c r="W553" s="6" t="str">
        <x:v>G7_page_description.png (page description)</x:v>
      </x:c>
      <x:c r="X553" s="6" t="str">
        <x:v>and generate or update documentation</x:v>
      </x:c>
      <x:c r="Y553" s="6" t="str">
        <x:v>The accepted task and source description report generating/updating requirements and documentation from traced needs. Step 5 is included for updates grounded in graph relations; a separate initial inference operation is not described.</x:v>
      </x:c>
      <x:c r="Z553" s="2" t="str">
        <x:v>Accepted</x:v>
      </x:c>
      <x:c r="AA553" s="6" t="str">
        <x:v>NR</x:v>
      </x:c>
    </x:row>
    <x:row r="554" ht="76" customHeight="1">
      <x:c r="A554" s="2" t="str">
        <x:v>G7-T04-P3</x:v>
      </x:c>
      <x:c r="B554" s="2" t="str">
        <x:v>G7</x:v>
      </x:c>
      <x:c r="C554" s="2" t="str">
        <x:v>v1</x:v>
      </x:c>
      <x:c r="D554" s="2" t="str">
        <x:v>Final coding</x:v>
      </x:c>
      <x:c r="E554" s="2" t="str">
        <x:v>R1/R2</x:v>
      </x:c>
      <x:c r="F554" s="2" t="str">
        <x:v>G7-T04-PROC</x:v>
      </x:c>
      <x:c r="G554" s="2" t="str">
        <x:v>G7-T04</x:v>
      </x:c>
      <x:c r="H554" s="2" t="str">
        <x:v>3 Traceability inference</x:v>
      </x:c>
      <x:c r="I554" s="2" t="n">
        <x:v>3</x:v>
      </x:c>
      <x:c r="J554" s="2" t="str">
        <x:v>Common core</x:v>
      </x:c>
      <x:c r="K554" s="2" t="str">
        <x:v>Completed</x:v>
      </x:c>
      <x:c r="L554" s="2" t="str">
        <x:v>Inferred from relation output</x:v>
      </x:c>
      <x:c r="M554" s="2" t="str">
        <x:v>NR</x:v>
      </x:c>
      <x:c r="N554" s="2" t="str">
        <x:v>NR</x:v>
      </x:c>
      <x:c r="O554" s="2" t="str">
        <x:v>NR</x:v>
      </x:c>
      <x:c r="P554" s="6" t="str">
        <x:v>NR</x:v>
      </x:c>
      <x:c r="Q554" s="2" t="str">
        <x:v>NR</x:v>
      </x:c>
      <x:c r="R554" s="6" t="str">
        <x:v>generated or updated requirements and documentation derived from the traced needs</x:v>
      </x:c>
      <x:c r="S554" s="2" t="str">
        <x:v>NR</x:v>
      </x:c>
      <x:c r="T554" s="2" t="str">
        <x:v>NR</x:v>
      </x:c>
      <x:c r="U554" s="2" t="str">
        <x:v>NR</x:v>
      </x:c>
      <x:c r="V554" s="6" t="str">
        <x:v>The accepted task and source description report generating/updating requirements and documentation from traced needs. Step 5 is included for updates grounded in graph relations; a separate initial inference operation is not described.</x:v>
      </x:c>
      <x:c r="W554" s="6" t="str">
        <x:v>G7_page_description.png (page description)</x:v>
      </x:c>
      <x:c r="X554" s="6" t="str">
        <x:v>and generate or update documentation</x:v>
      </x:c>
      <x:c r="Y554" s="6" t="str">
        <x:v>The accepted task and source description report generating/updating requirements and documentation from traced needs. Step 5 is included for updates grounded in graph relations; a separate initial inference operation is not described.</x:v>
      </x:c>
      <x:c r="Z554" s="2" t="str">
        <x:v>Accepted</x:v>
      </x:c>
      <x:c r="AA554" s="6" t="str">
        <x:v>NR</x:v>
      </x:c>
    </x:row>
    <x:row r="555" ht="76" customHeight="1">
      <x:c r="A555" s="2" t="str">
        <x:v>G7-T04-P4</x:v>
      </x:c>
      <x:c r="B555" s="2" t="str">
        <x:v>G7</x:v>
      </x:c>
      <x:c r="C555" s="2" t="str">
        <x:v>v1</x:v>
      </x:c>
      <x:c r="D555" s="2" t="str">
        <x:v>Final coding</x:v>
      </x:c>
      <x:c r="E555" s="2" t="str">
        <x:v>R1/R2</x:v>
      </x:c>
      <x:c r="F555" s="2" t="str">
        <x:v>G7-T04-PROC</x:v>
      </x:c>
      <x:c r="G555" s="2" t="str">
        <x:v>G7-T04</x:v>
      </x:c>
      <x:c r="H555" s="2" t="str">
        <x:v>4 Validation and explanation</x:v>
      </x:c>
      <x:c r="I555" s="2" t="n">
        <x:v>4</x:v>
      </x:c>
      <x:c r="J555" s="2" t="str">
        <x:v>Common core</x:v>
      </x:c>
      <x:c r="K555" s="2" t="str">
        <x:v>Completed</x:v>
      </x:c>
      <x:c r="L555" s="2" t="str">
        <x:v>Not separately reported</x:v>
      </x:c>
      <x:c r="M555" s="2" t="str">
        <x:v>NR</x:v>
      </x:c>
      <x:c r="N555" s="2" t="str">
        <x:v>NR</x:v>
      </x:c>
      <x:c r="O555" s="2" t="str">
        <x:v>NR</x:v>
      </x:c>
      <x:c r="P555" s="6" t="str">
        <x:v>NR</x:v>
      </x:c>
      <x:c r="Q555" s="2" t="str">
        <x:v>NR</x:v>
      </x:c>
      <x:c r="R555" s="6" t="str">
        <x:v>NR</x:v>
      </x:c>
      <x:c r="S555" s="2" t="str">
        <x:v>NR</x:v>
      </x:c>
      <x:c r="T555" s="2" t="str">
        <x:v>NR</x:v>
      </x:c>
      <x:c r="U555" s="2" t="str">
        <x:v>NR</x:v>
      </x:c>
      <x:c r="V555" s="6" t="str">
        <x:v>The accepted task and source description report generating/updating requirements and documentation from traced needs. Step 5 is included for updates grounded in graph relations; a separate initial inference operation is not described.</x:v>
      </x:c>
      <x:c r="W555" s="6" t="str">
        <x:v>G7_page_description.png (page description)</x:v>
      </x:c>
      <x:c r="X555" s="6" t="str">
        <x:v>and generate or update documentation</x:v>
      </x:c>
      <x:c r="Y555" s="6" t="str">
        <x:v>The accepted task and source description report generating/updating requirements and documentation from traced needs. Step 5 is included for updates grounded in graph relations; a separate initial inference operation is not described.</x:v>
      </x:c>
      <x:c r="Z555" s="2" t="str">
        <x:v>Accepted</x:v>
      </x:c>
      <x:c r="AA555" s="6" t="str">
        <x:v>NR</x:v>
      </x:c>
    </x:row>
    <x:row r="556" ht="76" customHeight="1">
      <x:c r="A556" s="2" t="str">
        <x:v>G7-T04-P5</x:v>
      </x:c>
      <x:c r="B556" s="2" t="str">
        <x:v>G7</x:v>
      </x:c>
      <x:c r="C556" s="2" t="str">
        <x:v>v1</x:v>
      </x:c>
      <x:c r="D556" s="2" t="str">
        <x:v>Final coding</x:v>
      </x:c>
      <x:c r="E556" s="2" t="str">
        <x:v>R1/R2</x:v>
      </x:c>
      <x:c r="F556" s="2" t="str">
        <x:v>G7-T04-PROC</x:v>
      </x:c>
      <x:c r="G556" s="2" t="str">
        <x:v>G7-T04</x:v>
      </x:c>
      <x:c r="H556" s="2" t="str">
        <x:v>5 Evolution and embedding</x:v>
      </x:c>
      <x:c r="I556" s="2" t="n">
        <x:v>5</x:v>
      </x:c>
      <x:c r="J556" s="2" t="str">
        <x:v>Common core</x:v>
      </x:c>
      <x:c r="K556" s="2" t="str">
        <x:v>Completed</x:v>
      </x:c>
      <x:c r="L556" s="2" t="str">
        <x:v>Explicitly evidenced</x:v>
      </x:c>
      <x:c r="M556" s="2" t="str">
        <x:v>NR</x:v>
      </x:c>
      <x:c r="N556" s="2" t="str">
        <x:v>NR</x:v>
      </x:c>
      <x:c r="O556" s="2" t="str">
        <x:v>NR</x:v>
      </x:c>
      <x:c r="P556" s="6" t="str">
        <x:v>NR</x:v>
      </x:c>
      <x:c r="Q556" s="2" t="str">
        <x:v>5 Evolution and embedding</x:v>
      </x:c>
      <x:c r="R556" s="6" t="str">
        <x:v>NR</x:v>
      </x:c>
      <x:c r="S556" s="2" t="str">
        <x:v>NR</x:v>
      </x:c>
      <x:c r="T556" s="2" t="str">
        <x:v>NR</x:v>
      </x:c>
      <x:c r="U556" s="2" t="str">
        <x:v>NR</x:v>
      </x:c>
      <x:c r="V556" s="6" t="str">
        <x:v>The accepted task and source description report generating/updating requirements and documentation from traced needs. Step 5 is included for updates grounded in graph relations; a separate initial inference operation is not described.</x:v>
      </x:c>
      <x:c r="W556" s="6" t="str">
        <x:v>G7_page_description.png (page description)</x:v>
      </x:c>
      <x:c r="X556" s="6" t="str">
        <x:v>and generate or update documentation</x:v>
      </x:c>
      <x:c r="Y556" s="6" t="str">
        <x:v>The accepted task and source description report generating/updating requirements and documentation from traced needs. Step 5 is included for updates grounded in graph relations; a separate initial inference operation is not described.</x:v>
      </x:c>
      <x:c r="Z556" s="2" t="str">
        <x:v>Accepted</x:v>
      </x:c>
      <x:c r="AA556" s="6" t="str">
        <x:v>NR</x:v>
      </x:c>
    </x:row>
    <x:row r="557" ht="76" customHeight="1">
      <x:c r="A557" s="2" t="str">
        <x:v>G8-T01-P1</x:v>
      </x:c>
      <x:c r="B557" s="2" t="str">
        <x:v>G8</x:v>
      </x:c>
      <x:c r="C557" s="2" t="str">
        <x:v>v1</x:v>
      </x:c>
      <x:c r="D557" s="2" t="str">
        <x:v>Final coding</x:v>
      </x:c>
      <x:c r="E557" s="2" t="str">
        <x:v>R1/R2</x:v>
      </x:c>
      <x:c r="F557" s="2" t="str">
        <x:v>G8-T01-PROC</x:v>
      </x:c>
      <x:c r="G557" s="2" t="str">
        <x:v>G8-T01</x:v>
      </x:c>
      <x:c r="H557" s="2" t="str">
        <x:v>1 Artifact acquisition and scoping</x:v>
      </x:c>
      <x:c r="I557" s="2" t="n">
        <x:v>1</x:v>
      </x:c>
      <x:c r="J557" s="2" t="str">
        <x:v>Common core</x:v>
      </x:c>
      <x:c r="K557" s="2" t="str">
        <x:v>Completed</x:v>
      </x:c>
      <x:c r="L557" s="2" t="str">
        <x:v>Explicitly evidenced</x:v>
      </x:c>
      <x:c r="M557" s="2" t="str">
        <x:v>NR</x:v>
      </x:c>
      <x:c r="N557" s="2" t="str">
        <x:v>NR</x:v>
      </x:c>
      <x:c r="O557" s="2" t="str">
        <x:v>NR</x:v>
      </x:c>
      <x:c r="P557" s="6" t="str">
        <x:v>NR</x:v>
      </x:c>
      <x:c r="Q557" s="2" t="str">
        <x:v>1 Artifact acquisition and scoping</x:v>
      </x:c>
      <x:c r="R557" s="6" t="str">
        <x:v>NR</x:v>
      </x:c>
      <x:c r="S557" s="2" t="str">
        <x:v>NR</x:v>
      </x:c>
      <x:c r="T557" s="2" t="str">
        <x:v>NR</x:v>
      </x:c>
      <x:c r="U557" s="2" t="str">
        <x:v>NR</x:v>
      </x:c>
      <x:c r="V557" s="6" t="str">
        <x:v>Application-specific artifacts are ingested/configured, then requirements are mapped to functions.</x:v>
      </x:c>
      <x:c r="W557"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57" s="6" t="str">
        <x:v>automate the mapping between requirements, source code, unit tests, and build verification artifacts ; for each requirement um it selects the relevant c file and calls claude and maps the requirement to code</x:v>
      </x:c>
      <x:c r="Y557" s="6" t="str">
        <x:v>Application-specific artifacts are ingested/configured, then requirements are mapped to functions.</x:v>
      </x:c>
      <x:c r="Z557" s="2" t="str">
        <x:v>Accepted</x:v>
      </x:c>
      <x:c r="AA557" s="6" t="str">
        <x:v>NR</x:v>
      </x:c>
    </x:row>
    <x:row r="558" ht="76" customHeight="1">
      <x:c r="A558" s="2" t="str">
        <x:v>G8-T01-P2</x:v>
      </x:c>
      <x:c r="B558" s="2" t="str">
        <x:v>G8</x:v>
      </x:c>
      <x:c r="C558" s="2" t="str">
        <x:v>v1</x:v>
      </x:c>
      <x:c r="D558" s="2" t="str">
        <x:v>Final coding</x:v>
      </x:c>
      <x:c r="E558" s="2" t="str">
        <x:v>R1/R2</x:v>
      </x:c>
      <x:c r="F558" s="2" t="str">
        <x:v>G8-T01-PROC</x:v>
      </x:c>
      <x:c r="G558" s="2" t="str">
        <x:v>G8-T01</x:v>
      </x:c>
      <x:c r="H558" s="2" t="str">
        <x:v>2 Semantic contextualization</x:v>
      </x:c>
      <x:c r="I558" s="2" t="n">
        <x:v>2</x:v>
      </x:c>
      <x:c r="J558" s="2" t="str">
        <x:v>Common core</x:v>
      </x:c>
      <x:c r="K558" s="2" t="str">
        <x:v>Completed</x:v>
      </x:c>
      <x:c r="L558" s="2" t="str">
        <x:v>Not separately reported</x:v>
      </x:c>
      <x:c r="M558" s="2" t="str">
        <x:v>NR</x:v>
      </x:c>
      <x:c r="N558" s="2" t="str">
        <x:v>NR</x:v>
      </x:c>
      <x:c r="O558" s="2" t="str">
        <x:v>NR</x:v>
      </x:c>
      <x:c r="P558" s="6" t="str">
        <x:v>NR</x:v>
      </x:c>
      <x:c r="Q558" s="2" t="str">
        <x:v>NR</x:v>
      </x:c>
      <x:c r="R558" s="6" t="str">
        <x:v>NR</x:v>
      </x:c>
      <x:c r="S558" s="2" t="str">
        <x:v>NR</x:v>
      </x:c>
      <x:c r="T558" s="2" t="str">
        <x:v>NR</x:v>
      </x:c>
      <x:c r="U558" s="2" t="str">
        <x:v>NR</x:v>
      </x:c>
      <x:c r="V558" s="6" t="str">
        <x:v>Application-specific artifacts are ingested/configured, then requirements are mapped to functions.</x:v>
      </x:c>
      <x:c r="W558"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58" s="6" t="str">
        <x:v>automate the mapping between requirements, source code, unit tests, and build verification artifacts ; for each requirement um it selects the relevant c file and calls claude and maps the requirement to code</x:v>
      </x:c>
      <x:c r="Y558" s="6" t="str">
        <x:v>Application-specific artifacts are ingested/configured, then requirements are mapped to functions.</x:v>
      </x:c>
      <x:c r="Z558" s="2" t="str">
        <x:v>Accepted</x:v>
      </x:c>
      <x:c r="AA558" s="6" t="str">
        <x:v>NR</x:v>
      </x:c>
    </x:row>
    <x:row r="559" ht="76" customHeight="1">
      <x:c r="A559" s="2" t="str">
        <x:v>G8-T01-P3</x:v>
      </x:c>
      <x:c r="B559" s="2" t="str">
        <x:v>G8</x:v>
      </x:c>
      <x:c r="C559" s="2" t="str">
        <x:v>v1</x:v>
      </x:c>
      <x:c r="D559" s="2" t="str">
        <x:v>Final coding</x:v>
      </x:c>
      <x:c r="E559" s="2" t="str">
        <x:v>R1/R2</x:v>
      </x:c>
      <x:c r="F559" s="2" t="str">
        <x:v>G8-T01-PROC</x:v>
      </x:c>
      <x:c r="G559" s="2" t="str">
        <x:v>G8-T01</x:v>
      </x:c>
      <x:c r="H559" s="2" t="str">
        <x:v>3 Traceability inference</x:v>
      </x:c>
      <x:c r="I559" s="2" t="n">
        <x:v>3</x:v>
      </x:c>
      <x:c r="J559" s="2" t="str">
        <x:v>Common core</x:v>
      </x:c>
      <x:c r="K559" s="2" t="str">
        <x:v>Completed</x:v>
      </x:c>
      <x:c r="L559" s="2" t="str">
        <x:v>Explicitly evidenced</x:v>
      </x:c>
      <x:c r="M559" s="2" t="str">
        <x:v>NR</x:v>
      </x:c>
      <x:c r="N559" s="2" t="str">
        <x:v>NR</x:v>
      </x:c>
      <x:c r="O559" s="2" t="str">
        <x:v>NR</x:v>
      </x:c>
      <x:c r="P559" s="6" t="str">
        <x:v>NR</x:v>
      </x:c>
      <x:c r="Q559" s="2" t="str">
        <x:v>3 Traceability inference</x:v>
      </x:c>
      <x:c r="R559" s="6" t="str">
        <x:v>an RTM results file per requirement listing the code file, the implementing function, the unit test file and the build verification file</x:v>
      </x:c>
      <x:c r="S559" s="2" t="str">
        <x:v>NR</x:v>
      </x:c>
      <x:c r="T559" s="2" t="str">
        <x:v>NR</x:v>
      </x:c>
      <x:c r="U559" s="2" t="str">
        <x:v>NR</x:v>
      </x:c>
      <x:c r="V559" s="6" t="str">
        <x:v>Application-specific artifacts are ingested/configured, then requirements are mapped to functions.</x:v>
      </x:c>
      <x:c r="W559"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59" s="6" t="str">
        <x:v>automate the mapping between requirements, source code, unit tests, and build verification artifacts ; for each requirement um it selects the relevant c file and calls claude and maps the requirement to code</x:v>
      </x:c>
      <x:c r="Y559" s="6" t="str">
        <x:v>Application-specific artifacts are ingested/configured, then requirements are mapped to functions.</x:v>
      </x:c>
      <x:c r="Z559" s="2" t="str">
        <x:v>Accepted</x:v>
      </x:c>
      <x:c r="AA559" s="6" t="str">
        <x:v>NR</x:v>
      </x:c>
    </x:row>
    <x:row r="560" ht="76" customHeight="1">
      <x:c r="A560" s="2" t="str">
        <x:v>G8-T01-P4</x:v>
      </x:c>
      <x:c r="B560" s="2" t="str">
        <x:v>G8</x:v>
      </x:c>
      <x:c r="C560" s="2" t="str">
        <x:v>v1</x:v>
      </x:c>
      <x:c r="D560" s="2" t="str">
        <x:v>Final coding</x:v>
      </x:c>
      <x:c r="E560" s="2" t="str">
        <x:v>R1/R2</x:v>
      </x:c>
      <x:c r="F560" s="2" t="str">
        <x:v>G8-T01-PROC</x:v>
      </x:c>
      <x:c r="G560" s="2" t="str">
        <x:v>G8-T01</x:v>
      </x:c>
      <x:c r="H560" s="2" t="str">
        <x:v>4 Validation and explanation</x:v>
      </x:c>
      <x:c r="I560" s="2" t="n">
        <x:v>4</x:v>
      </x:c>
      <x:c r="J560" s="2" t="str">
        <x:v>Common core</x:v>
      </x:c>
      <x:c r="K560" s="2" t="str">
        <x:v>Completed</x:v>
      </x:c>
      <x:c r="L560" s="2" t="str">
        <x:v>Not separately reported</x:v>
      </x:c>
      <x:c r="M560" s="2" t="str">
        <x:v>NR</x:v>
      </x:c>
      <x:c r="N560" s="2" t="str">
        <x:v>NR</x:v>
      </x:c>
      <x:c r="O560" s="2" t="str">
        <x:v>NR</x:v>
      </x:c>
      <x:c r="P560" s="6" t="str">
        <x:v>NR</x:v>
      </x:c>
      <x:c r="Q560" s="2" t="str">
        <x:v>NR</x:v>
      </x:c>
      <x:c r="R560" s="6" t="str">
        <x:v>NR</x:v>
      </x:c>
      <x:c r="S560" s="2" t="str">
        <x:v>NR</x:v>
      </x:c>
      <x:c r="T560" s="2" t="str">
        <x:v>NR</x:v>
      </x:c>
      <x:c r="U560" s="2" t="str">
        <x:v>NR</x:v>
      </x:c>
      <x:c r="V560" s="6" t="str">
        <x:v>Application-specific artifacts are ingested/configured, then requirements are mapped to functions.</x:v>
      </x:c>
      <x:c r="W560"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60" s="6" t="str">
        <x:v>automate the mapping between requirements, source code, unit tests, and build verification artifacts ; for each requirement um it selects the relevant c file and calls claude and maps the requirement to code</x:v>
      </x:c>
      <x:c r="Y560" s="6" t="str">
        <x:v>Application-specific artifacts are ingested/configured, then requirements are mapped to functions.</x:v>
      </x:c>
      <x:c r="Z560" s="2" t="str">
        <x:v>Accepted</x:v>
      </x:c>
      <x:c r="AA560" s="6" t="str">
        <x:v>NR</x:v>
      </x:c>
    </x:row>
    <x:row r="561" ht="76" customHeight="1">
      <x:c r="A561" s="2" t="str">
        <x:v>G8-T01-P5</x:v>
      </x:c>
      <x:c r="B561" s="2" t="str">
        <x:v>G8</x:v>
      </x:c>
      <x:c r="C561" s="2" t="str">
        <x:v>v1</x:v>
      </x:c>
      <x:c r="D561" s="2" t="str">
        <x:v>Final coding</x:v>
      </x:c>
      <x:c r="E561" s="2" t="str">
        <x:v>R1/R2</x:v>
      </x:c>
      <x:c r="F561" s="2" t="str">
        <x:v>G8-T01-PROC</x:v>
      </x:c>
      <x:c r="G561" s="2" t="str">
        <x:v>G8-T01</x:v>
      </x:c>
      <x:c r="H561" s="2" t="str">
        <x:v>5 Evolution and embedding</x:v>
      </x:c>
      <x:c r="I561" s="2" t="n">
        <x:v>5</x:v>
      </x:c>
      <x:c r="J561" s="2" t="str">
        <x:v>Common core</x:v>
      </x:c>
      <x:c r="K561" s="2" t="str">
        <x:v>Completed</x:v>
      </x:c>
      <x:c r="L561" s="2" t="str">
        <x:v>Not separately reported</x:v>
      </x:c>
      <x:c r="M561" s="2" t="str">
        <x:v>NR</x:v>
      </x:c>
      <x:c r="N561" s="2" t="str">
        <x:v>NR</x:v>
      </x:c>
      <x:c r="O561" s="2" t="str">
        <x:v>NR</x:v>
      </x:c>
      <x:c r="P561" s="6" t="str">
        <x:v>NR</x:v>
      </x:c>
      <x:c r="Q561" s="2" t="str">
        <x:v>NR</x:v>
      </x:c>
      <x:c r="R561" s="6" t="str">
        <x:v>NR</x:v>
      </x:c>
      <x:c r="S561" s="2" t="str">
        <x:v>NR</x:v>
      </x:c>
      <x:c r="T561" s="2" t="str">
        <x:v>NR</x:v>
      </x:c>
      <x:c r="U561" s="2" t="str">
        <x:v>NR</x:v>
      </x:c>
      <x:c r="V561" s="6" t="str">
        <x:v>Application-specific artifacts are ingested/configured, then requirements are mapped to functions.</x:v>
      </x:c>
      <x:c r="W561"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61" s="6" t="str">
        <x:v>automate the mapping between requirements, source code, unit tests, and build verification artifacts ; for each requirement um it selects the relevant c file and calls claude and maps the requirement to code</x:v>
      </x:c>
      <x:c r="Y561" s="6" t="str">
        <x:v>Application-specific artifacts are ingested/configured, then requirements are mapped to functions.</x:v>
      </x:c>
      <x:c r="Z561" s="2" t="str">
        <x:v>Accepted</x:v>
      </x:c>
      <x:c r="AA561" s="6" t="str">
        <x:v>NR</x:v>
      </x:c>
    </x:row>
    <x:row r="562" ht="76" customHeight="1">
      <x:c r="A562" s="2" t="str">
        <x:v>G8-T02-P1</x:v>
      </x:c>
      <x:c r="B562" s="2" t="str">
        <x:v>G8</x:v>
      </x:c>
      <x:c r="C562" s="2" t="str">
        <x:v>v1</x:v>
      </x:c>
      <x:c r="D562" s="2" t="str">
        <x:v>Final coding</x:v>
      </x:c>
      <x:c r="E562" s="2" t="str">
        <x:v>R1/R2</x:v>
      </x:c>
      <x:c r="F562" s="2" t="str">
        <x:v>G8-T02-PROC</x:v>
      </x:c>
      <x:c r="G562" s="2" t="str">
        <x:v>G8-T02</x:v>
      </x:c>
      <x:c r="H562" s="2" t="str">
        <x:v>1 Artifact acquisition and scoping</x:v>
      </x:c>
      <x:c r="I562" s="2" t="n">
        <x:v>1</x:v>
      </x:c>
      <x:c r="J562" s="2" t="str">
        <x:v>Common core</x:v>
      </x:c>
      <x:c r="K562" s="2" t="str">
        <x:v>Completed</x:v>
      </x:c>
      <x:c r="L562" s="2" t="str">
        <x:v>Not separately reported</x:v>
      </x:c>
      <x:c r="M562" s="2" t="str">
        <x:v>NR</x:v>
      </x:c>
      <x:c r="N562" s="2" t="str">
        <x:v>NR</x:v>
      </x:c>
      <x:c r="O562" s="2" t="str">
        <x:v>NR</x:v>
      </x:c>
      <x:c r="P562" s="6" t="str">
        <x:v>NR</x:v>
      </x:c>
      <x:c r="Q562" s="2" t="str">
        <x:v>NR</x:v>
      </x:c>
      <x:c r="R562" s="6" t="str">
        <x:v>NR</x:v>
      </x:c>
      <x:c r="S562" s="2" t="str">
        <x:v>NR</x:v>
      </x:c>
      <x:c r="T562" s="2" t="str">
        <x:v>NR</x:v>
      </x:c>
      <x:c r="U562" s="2" t="str">
        <x:v>NR</x:v>
      </x:c>
      <x:c r="V562" s="6" t="str">
        <x:v>Requirements are mapped to tests with uncertain mappings flagged. The per-requirement record retains code, test, and build-file links.</x:v>
      </x:c>
      <x:c r="W562"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62" s="6" t="str">
        <x:v>it will display the traceability for each requirement source code and the function ; leaving gaps blank instead of hallucinating missing information</x:v>
      </x:c>
      <x:c r="Y562" s="6" t="str">
        <x:v>Requirements are mapped to tests with uncertain mappings flagged. The per-requirement record retains code, test, and build-file links.</x:v>
      </x:c>
      <x:c r="Z562" s="2" t="str">
        <x:v>Accepted</x:v>
      </x:c>
      <x:c r="AA562" s="6" t="str">
        <x:v>NR</x:v>
      </x:c>
    </x:row>
    <x:row r="563" ht="76" customHeight="1">
      <x:c r="A563" s="2" t="str">
        <x:v>G8-T02-P2</x:v>
      </x:c>
      <x:c r="B563" s="2" t="str">
        <x:v>G8</x:v>
      </x:c>
      <x:c r="C563" s="2" t="str">
        <x:v>v1</x:v>
      </x:c>
      <x:c r="D563" s="2" t="str">
        <x:v>Final coding</x:v>
      </x:c>
      <x:c r="E563" s="2" t="str">
        <x:v>R1/R2</x:v>
      </x:c>
      <x:c r="F563" s="2" t="str">
        <x:v>G8-T02-PROC</x:v>
      </x:c>
      <x:c r="G563" s="2" t="str">
        <x:v>G8-T02</x:v>
      </x:c>
      <x:c r="H563" s="2" t="str">
        <x:v>2 Semantic contextualization</x:v>
      </x:c>
      <x:c r="I563" s="2" t="n">
        <x:v>2</x:v>
      </x:c>
      <x:c r="J563" s="2" t="str">
        <x:v>Common core</x:v>
      </x:c>
      <x:c r="K563" s="2" t="str">
        <x:v>Completed</x:v>
      </x:c>
      <x:c r="L563" s="2" t="str">
        <x:v>Not separately reported</x:v>
      </x:c>
      <x:c r="M563" s="2" t="str">
        <x:v>NR</x:v>
      </x:c>
      <x:c r="N563" s="2" t="str">
        <x:v>NR</x:v>
      </x:c>
      <x:c r="O563" s="2" t="str">
        <x:v>NR</x:v>
      </x:c>
      <x:c r="P563" s="6" t="str">
        <x:v>NR</x:v>
      </x:c>
      <x:c r="Q563" s="2" t="str">
        <x:v>NR</x:v>
      </x:c>
      <x:c r="R563" s="6" t="str">
        <x:v>NR</x:v>
      </x:c>
      <x:c r="S563" s="2" t="str">
        <x:v>NR</x:v>
      </x:c>
      <x:c r="T563" s="2" t="str">
        <x:v>NR</x:v>
      </x:c>
      <x:c r="U563" s="2" t="str">
        <x:v>NR</x:v>
      </x:c>
      <x:c r="V563" s="6" t="str">
        <x:v>Requirements are mapped to tests with uncertain mappings flagged. The per-requirement record retains code, test, and build-file links.</x:v>
      </x:c>
      <x:c r="W563"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63" s="6" t="str">
        <x:v>it will display the traceability for each requirement source code and the function ; leaving gaps blank instead of hallucinating missing information</x:v>
      </x:c>
      <x:c r="Y563" s="6" t="str">
        <x:v>Requirements are mapped to tests with uncertain mappings flagged. The per-requirement record retains code, test, and build-file links.</x:v>
      </x:c>
      <x:c r="Z563" s="2" t="str">
        <x:v>Accepted</x:v>
      </x:c>
      <x:c r="AA563" s="6" t="str">
        <x:v>NR</x:v>
      </x:c>
    </x:row>
    <x:row r="564" ht="76" customHeight="1">
      <x:c r="A564" s="2" t="str">
        <x:v>G8-T02-P3</x:v>
      </x:c>
      <x:c r="B564" s="2" t="str">
        <x:v>G8</x:v>
      </x:c>
      <x:c r="C564" s="2" t="str">
        <x:v>v1</x:v>
      </x:c>
      <x:c r="D564" s="2" t="str">
        <x:v>Final coding</x:v>
      </x:c>
      <x:c r="E564" s="2" t="str">
        <x:v>R1/R2</x:v>
      </x:c>
      <x:c r="F564" s="2" t="str">
        <x:v>G8-T02-PROC</x:v>
      </x:c>
      <x:c r="G564" s="2" t="str">
        <x:v>G8-T02</x:v>
      </x:c>
      <x:c r="H564" s="2" t="str">
        <x:v>3 Traceability inference</x:v>
      </x:c>
      <x:c r="I564" s="2" t="n">
        <x:v>3</x:v>
      </x:c>
      <x:c r="J564" s="2" t="str">
        <x:v>Common core</x:v>
      </x:c>
      <x:c r="K564" s="2" t="str">
        <x:v>Completed</x:v>
      </x:c>
      <x:c r="L564" s="2" t="str">
        <x:v>Explicitly evidenced</x:v>
      </x:c>
      <x:c r="M564" s="2" t="str">
        <x:v>NR</x:v>
      </x:c>
      <x:c r="N564" s="2" t="str">
        <x:v>NR</x:v>
      </x:c>
      <x:c r="O564" s="2" t="str">
        <x:v>NR</x:v>
      </x:c>
      <x:c r="P564" s="6" t="str">
        <x:v>NR</x:v>
      </x:c>
      <x:c r="Q564" s="2" t="str">
        <x:v>3 Traceability inference</x:v>
      </x:c>
      <x:c r="R564" s="6" t="str">
        <x:v>a displayed traceability record per requirement plus flags on uncertain mappings and blank cells where an artefact could not be located</x:v>
      </x:c>
      <x:c r="S564" s="2" t="str">
        <x:v>NR</x:v>
      </x:c>
      <x:c r="T564" s="2" t="str">
        <x:v>NR</x:v>
      </x:c>
      <x:c r="U564" s="2" t="str">
        <x:v>NR</x:v>
      </x:c>
      <x:c r="V564" s="6" t="str">
        <x:v>Requirements are mapped to tests with uncertain mappings flagged. The per-requirement record retains code, test, and build-file links.</x:v>
      </x:c>
      <x:c r="W564"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64" s="6" t="str">
        <x:v>it will display the traceability for each requirement source code and the function ; leaving gaps blank instead of hallucinating missing information</x:v>
      </x:c>
      <x:c r="Y564" s="6" t="str">
        <x:v>Requirements are mapped to tests with uncertain mappings flagged. The per-requirement record retains code, test, and build-file links.</x:v>
      </x:c>
      <x:c r="Z564" s="2" t="str">
        <x:v>Accepted</x:v>
      </x:c>
      <x:c r="AA564" s="6" t="str">
        <x:v>NR</x:v>
      </x:c>
    </x:row>
    <x:row r="565" ht="76" customHeight="1">
      <x:c r="A565" s="2" t="str">
        <x:v>G8-T02-P4</x:v>
      </x:c>
      <x:c r="B565" s="2" t="str">
        <x:v>G8</x:v>
      </x:c>
      <x:c r="C565" s="2" t="str">
        <x:v>v1</x:v>
      </x:c>
      <x:c r="D565" s="2" t="str">
        <x:v>Final coding</x:v>
      </x:c>
      <x:c r="E565" s="2" t="str">
        <x:v>R1/R2</x:v>
      </x:c>
      <x:c r="F565" s="2" t="str">
        <x:v>G8-T02-PROC</x:v>
      </x:c>
      <x:c r="G565" s="2" t="str">
        <x:v>G8-T02</x:v>
      </x:c>
      <x:c r="H565" s="2" t="str">
        <x:v>4 Validation and explanation</x:v>
      </x:c>
      <x:c r="I565" s="2" t="n">
        <x:v>4</x:v>
      </x:c>
      <x:c r="J565" s="2" t="str">
        <x:v>Common core</x:v>
      </x:c>
      <x:c r="K565" s="2" t="str">
        <x:v>Completed</x:v>
      </x:c>
      <x:c r="L565" s="2" t="str">
        <x:v>Not separately reported</x:v>
      </x:c>
      <x:c r="M565" s="2" t="str">
        <x:v>NR</x:v>
      </x:c>
      <x:c r="N565" s="2" t="str">
        <x:v>NR</x:v>
      </x:c>
      <x:c r="O565" s="2" t="str">
        <x:v>NR</x:v>
      </x:c>
      <x:c r="P565" s="6" t="str">
        <x:v>NR</x:v>
      </x:c>
      <x:c r="Q565" s="2" t="str">
        <x:v>NR</x:v>
      </x:c>
      <x:c r="R565" s="6" t="str">
        <x:v>NR</x:v>
      </x:c>
      <x:c r="S565" s="2" t="str">
        <x:v>NR</x:v>
      </x:c>
      <x:c r="T565" s="2" t="str">
        <x:v>NR</x:v>
      </x:c>
      <x:c r="U565" s="2" t="str">
        <x:v>NR</x:v>
      </x:c>
      <x:c r="V565" s="6" t="str">
        <x:v>Requirements are mapped to tests with uncertain mappings flagged. The per-requirement record retains code, test, and build-file links.</x:v>
      </x:c>
      <x:c r="W565"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65" s="6" t="str">
        <x:v>it will display the traceability for each requirement source code and the function ; leaving gaps blank instead of hallucinating missing information</x:v>
      </x:c>
      <x:c r="Y565" s="6" t="str">
        <x:v>Requirements are mapped to tests with uncertain mappings flagged. The per-requirement record retains code, test, and build-file links.</x:v>
      </x:c>
      <x:c r="Z565" s="2" t="str">
        <x:v>Accepted</x:v>
      </x:c>
      <x:c r="AA565" s="6" t="str">
        <x:v>NR</x:v>
      </x:c>
    </x:row>
    <x:row r="566" ht="76" customHeight="1">
      <x:c r="A566" s="2" t="str">
        <x:v>G8-T02-P5</x:v>
      </x:c>
      <x:c r="B566" s="2" t="str">
        <x:v>G8</x:v>
      </x:c>
      <x:c r="C566" s="2" t="str">
        <x:v>v1</x:v>
      </x:c>
      <x:c r="D566" s="2" t="str">
        <x:v>Final coding</x:v>
      </x:c>
      <x:c r="E566" s="2" t="str">
        <x:v>R1/R2</x:v>
      </x:c>
      <x:c r="F566" s="2" t="str">
        <x:v>G8-T02-PROC</x:v>
      </x:c>
      <x:c r="G566" s="2" t="str">
        <x:v>G8-T02</x:v>
      </x:c>
      <x:c r="H566" s="2" t="str">
        <x:v>5 Evolution and embedding</x:v>
      </x:c>
      <x:c r="I566" s="2" t="n">
        <x:v>5</x:v>
      </x:c>
      <x:c r="J566" s="2" t="str">
        <x:v>Common core</x:v>
      </x:c>
      <x:c r="K566" s="2" t="str">
        <x:v>Completed</x:v>
      </x:c>
      <x:c r="L566" s="2" t="str">
        <x:v>Explicitly evidenced</x:v>
      </x:c>
      <x:c r="M566" s="2" t="str">
        <x:v>NR</x:v>
      </x:c>
      <x:c r="N566" s="2" t="str">
        <x:v>NR</x:v>
      </x:c>
      <x:c r="O566" s="2" t="str">
        <x:v>NR</x:v>
      </x:c>
      <x:c r="P566" s="6" t="str">
        <x:v>NR</x:v>
      </x:c>
      <x:c r="Q566" s="2" t="str">
        <x:v>5 Evolution and embedding</x:v>
      </x:c>
      <x:c r="R566" s="6" t="str">
        <x:v>NR</x:v>
      </x:c>
      <x:c r="S566" s="2" t="str">
        <x:v>NR</x:v>
      </x:c>
      <x:c r="T566" s="2" t="str">
        <x:v>NR</x:v>
      </x:c>
      <x:c r="U566" s="2" t="str">
        <x:v>NR</x:v>
      </x:c>
      <x:c r="V566" s="6" t="str">
        <x:v>Requirements are mapped to tests with uncertain mappings flagged. The per-requirement record retains code, test, and build-file links.</x:v>
      </x:c>
      <x:c r="W566"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X566" s="6" t="str">
        <x:v>it will display the traceability for each requirement source code and the function ; leaving gaps blank instead of hallucinating missing information</x:v>
      </x:c>
      <x:c r="Y566" s="6" t="str">
        <x:v>Requirements are mapped to tests with uncertain mappings flagged. The per-requirement record retains code, test, and build-file links.</x:v>
      </x:c>
      <x:c r="Z566" s="2" t="str">
        <x:v>Accepted</x:v>
      </x:c>
      <x:c r="AA566" s="6" t="str">
        <x:v>NR</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20" hidden="0" customWidth="1"/>
    <x:col min="4" max="4" width="19"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52" hidden="0" customWidth="1"/>
    <x:col min="16" max="16" width="52" hidden="0" customWidth="1"/>
    <x:col min="17" max="17" width="52" hidden="0" customWidth="1"/>
    <x:col min="18" max="18" width="52" hidden="0" customWidth="1"/>
    <x:col min="19" max="19" width="52" hidden="0" customWidth="1"/>
    <x:col min="20" max="20" width="52" hidden="0" customWidth="1"/>
    <x:col min="21" max="21" width="52" hidden="0" customWidth="1"/>
    <x:col min="22" max="22" width="52" hidden="0" customWidth="1"/>
    <x:col min="23" max="23" width="52" hidden="0" customWidth="1"/>
    <x:col min="24" max="24" width="52"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52" hidden="0" customWidth="1"/>
  </x:cols>
  <x:sheetData>
    <x:row r="1" ht="38" customHeight="1">
      <x:c r="A1" s="5" t="str">
        <x:v>study_id</x:v>
      </x:c>
      <x:c r="B1" s="5" t="str">
        <x:v>version_id</x:v>
      </x:c>
      <x:c r="C1" s="5" t="str">
        <x:v>review_stage</x:v>
      </x:c>
      <x:c r="D1" s="5" t="str">
        <x:v>reviewer_id</x:v>
      </x:c>
      <x:c r="E1" s="5" t="str">
        <x:v>GQA1_score</x:v>
      </x:c>
      <x:c r="F1" s="5" t="str">
        <x:v>GQA2_score</x:v>
      </x:c>
      <x:c r="G1" s="5" t="str">
        <x:v>GQA3_score</x:v>
      </x:c>
      <x:c r="H1" s="5" t="str">
        <x:v>GQA4_score</x:v>
      </x:c>
      <x:c r="I1" s="5" t="str">
        <x:v>GQA5_score</x:v>
      </x:c>
      <x:c r="J1" s="5" t="str">
        <x:v>GQA6_score</x:v>
      </x:c>
      <x:c r="K1" s="5" t="str">
        <x:v>GQA7_score</x:v>
      </x:c>
      <x:c r="L1" s="5" t="str">
        <x:v>GQA8_score</x:v>
      </x:c>
      <x:c r="M1" s="5" t="str">
        <x:v>GQA9_score</x:v>
      </x:c>
      <x:c r="N1" s="5" t="str">
        <x:v>GQA10_score</x:v>
      </x:c>
      <x:c r="O1" s="5" t="str">
        <x:v>GQA1_evidence</x:v>
      </x:c>
      <x:c r="P1" s="5" t="str">
        <x:v>GQA2_evidence</x:v>
      </x:c>
      <x:c r="Q1" s="5" t="str">
        <x:v>GQA3_evidence</x:v>
      </x:c>
      <x:c r="R1" s="5" t="str">
        <x:v>GQA4_evidence</x:v>
      </x:c>
      <x:c r="S1" s="5" t="str">
        <x:v>GQA5_evidence</x:v>
      </x:c>
      <x:c r="T1" s="5" t="str">
        <x:v>GQA6_evidence</x:v>
      </x:c>
      <x:c r="U1" s="5" t="str">
        <x:v>GQA7_evidence</x:v>
      </x:c>
      <x:c r="V1" s="5" t="str">
        <x:v>GQA8_evidence</x:v>
      </x:c>
      <x:c r="W1" s="5" t="str">
        <x:v>GQA9_evidence</x:v>
      </x:c>
      <x:c r="X1" s="5" t="str">
        <x:v>GQA10_evidence</x:v>
      </x:c>
      <x:c r="Y1" s="5" t="str">
        <x:v>GQA_score</x:v>
      </x:c>
      <x:c r="Z1" s="5" t="str">
        <x:v>calculated_decision</x:v>
      </x:c>
      <x:c r="AA1" s="5" t="str">
        <x:v>final_decision</x:v>
      </x:c>
      <x:c r="AB1" s="5" t="str">
        <x:v>exclusion_reason</x:v>
      </x:c>
      <x:c r="AC1" s="5" t="str">
        <x:v>impact_metric_source</x:v>
      </x:c>
      <x:c r="AD1" s="5" t="str">
        <x:v>impact_metric_date</x:v>
      </x:c>
      <x:c r="AE1" s="5" t="str">
        <x:v>review_date</x:v>
      </x:c>
      <x:c r="AF1" s="5" t="str">
        <x:v>notes</x:v>
      </x:c>
    </x:row>
    <x:row r="2" ht="76" customHeight="1">
      <x:c r="A2" s="2" t="str">
        <x:v>G1</x:v>
      </x:c>
      <x:c r="B2" s="2" t="str">
        <x:v>v1</x:v>
      </x:c>
      <x:c r="C2" s="2" t="str">
        <x:v>Reviewer_A</x:v>
      </x:c>
      <x:c r="D2" s="2" t="str">
        <x:v>Reviewer_A</x:v>
      </x:c>
      <x:c r="E2" s="2" t="n">
        <x:v>0.5</x:v>
      </x:c>
      <x:c r="F2" s="2" t="n">
        <x:v>1</x:v>
      </x:c>
      <x:c r="G2" s="2" t="n">
        <x:v>1</x:v>
      </x:c>
      <x:c r="H2" s="2" t="n">
        <x:v>0.5</x:v>
      </x:c>
      <x:c r="I2" s="2" t="n">
        <x:v>0</x:v>
      </x:c>
      <x:c r="J2" s="2" t="n">
        <x:v>0.5</x:v>
      </x:c>
      <x:c r="K2" s="2" t="n">
        <x:v>1</x:v>
      </x:c>
      <x:c r="L2" s="2" t="n">
        <x:v>0.5</x:v>
      </x:c>
      <x:c r="M2" s="2" t="n">
        <x:v>0.5</x:v>
      </x:c>
      <x:c r="N2" s="2" t="n">
        <x:v>1</x:v>
      </x:c>
      <x:c r="O2" s="6" t="str">
        <x:v>NR</x:v>
      </x:c>
      <x:c r="P2" s="6" t="str">
        <x:v>NR</x:v>
      </x:c>
      <x:c r="Q2" s="6" t="str">
        <x:v>NR</x:v>
      </x:c>
      <x:c r="R2" s="6" t="str">
        <x:v>NR</x:v>
      </x:c>
      <x:c r="S2" s="6" t="str">
        <x:v>NR</x:v>
      </x:c>
      <x:c r="T2" s="6" t="str">
        <x:v>NR</x:v>
      </x:c>
      <x:c r="U2" s="6" t="str">
        <x:v>NR</x:v>
      </x:c>
      <x:c r="V2" s="6" t="str">
        <x:v>NR</x:v>
      </x:c>
      <x:c r="W2" s="6" t="str">
        <x:v>NR</x:v>
      </x:c>
      <x:c r="X2" s="6" t="str">
        <x:v>NR</x:v>
      </x:c>
      <x:c r="Y2" s="2" t="n">
        <x:f>IF(COUNT(E2:N2)=0,"",ROUND(AVERAGE(E2:N2),3))</x:f>
        <x:v>0.65</x:v>
      </x:c>
      <x:c r="Z2" s="2" t="str">
        <x:f>IF(Y2="","",IF(Y2&lt;0.5,"QA_EXCLUDE_GREY",IF(Y2=0.5,"QA_INCLUDE_WEAK","QA_INCLUDE_STANDARD")))</x:f>
        <x:v>QA_INCLUDE_STANDARD</x:v>
      </x:c>
      <x:c r="AA2" s="2" t="str">
        <x:v>QA_INCLUDE_STANDARD</x:v>
      </x:c>
      <x:c r="AB2" s="2" t="str">
        <x:v>NA</x:v>
      </x:c>
      <x:c r="AC2" s="2" t="str">
        <x:v>Material page metrics (view count, likes and subscriber count) shown in the archived page captures</x:v>
      </x:c>
      <x:c r="AD2" s="2" t="str">
        <x:v>2026-10-15</x:v>
      </x:c>
      <x:c r="AE2" s="2" t="str">
        <x:v>2026-07-23</x:v>
      </x:c>
      <x:c r="AF2" s="6" t="str">
        <x:v>Scores transcribed from the first review record for this channel; per-item evidence locations are not recorded separately in that record.</x:v>
      </x:c>
    </x:row>
    <x:row r="3" ht="76" customHeight="1">
      <x:c r="A3" s="2" t="str">
        <x:v>G1</x:v>
      </x:c>
      <x:c r="B3" s="2" t="str">
        <x:v>v1</x:v>
      </x:c>
      <x:c r="C3" s="2" t="str">
        <x:v>Reviewer_B</x:v>
      </x:c>
      <x:c r="D3" s="2" t="str">
        <x:v>Reviewer_B</x:v>
      </x:c>
      <x:c r="E3" s="2" t="n">
        <x:v>1</x:v>
      </x:c>
      <x:c r="F3" s="2" t="n">
        <x:v>1</x:v>
      </x:c>
      <x:c r="G3" s="2" t="n">
        <x:v>1</x:v>
      </x:c>
      <x:c r="H3" s="2" t="n">
        <x:v>0.5</x:v>
      </x:c>
      <x:c r="I3" s="2" t="n">
        <x:v>0</x:v>
      </x:c>
      <x:c r="J3" s="2" t="n">
        <x:v>0</x:v>
      </x:c>
      <x:c r="K3" s="2" t="n">
        <x:v>0.5</x:v>
      </x:c>
      <x:c r="L3" s="2" t="n">
        <x:v>0.5</x:v>
      </x:c>
      <x:c r="M3" s="2" t="n">
        <x:v>0.5</x:v>
      </x:c>
      <x:c r="N3" s="2" t="n">
        <x:v>1</x:v>
      </x:c>
      <x:c r="O3" s="6" t="str">
        <x:v>Location: `G1_page_description.png`; Rationale: 作者身份可核验：频道 ExecuteAutomation 与 Udemy 讲师页（karthik-kk）、Twitter @executeauto、官网 executeautomation.com 相互印证，专长为测试自动化课程体系（Selenium、Playwright、BDD、Cucumber），与主题相关; Verbatim excerpt: NR (not stored separately in the source evaluation record)</x:v>
      </x:c>
      <x:c r="P3" s="6" t="str">
        <x:v>Location: [00:00]、[03:34]; Rationale: 目标（用 ChatGPT 生成并核验 RTM）与问题（需求-用例覆盖核对最耗时）明确，范围为 kiosk 开户需求示例; Verbatim excerpt: NR (not stored separately in the source evaluation record)</x:v>
      </x:c>
      <x:c r="Q3" s="6" t="str">
        <x:v>Location: [00:50]–[02:45]; Rationale: 步骤清楚：3.5 生成场景 → 粘贴到 4 并给出追溯指令 → 按未覆盖项迭代补场景与 RTM；对象为该需求与其手工/自动化场景; Verbatim excerpt: NR (not stored separately in the source evaluation record)</x:v>
      </x:c>
      <x:c r="R3" s="6" t="str">
        <x:v>Location: [01:23]–[03:17]; Rationale: 主张由现场演示支撑，但无任何引用、也无与既有工具或实践的定位; Verbatim excerpt: NR (not stored separately in the source evaluation record)</x:v>
      </x:c>
      <x:c r="S3" s="6" t="str">
        <x:v>Location: 全片无; Rationale: 未报告任何局限、失败条件或适用边界（未提幻觉、漏检与规模限制）; Verbatim excerpt: NR (not stored separately in the source evaluation record)</x:v>
      </x:c>
      <x:c r="T3" s="6" t="str">
        <x:v>Location: [04:10]、[07:16]；简介（`G1_page_description.png`）; Rationale: 简介含四条 Udemy 付费课程链接、优惠码 EA_LAUNCH_23 与 Subscribe 引流，**属宣传性内容**；全片无任何反证与局限讨论（技术演示本身虽克制）→ 按锚点「宣传性」判 0; Verbatim excerpt: NR (not stored separately in the source evaluation record)</x:v>
      </x:c>
      <x:c r="U3" s="6" t="str">
        <x:v>Location: [03:17]–[06:41]; Rationale: 结论由单个演示案例支撑，属「能跑通」级证据，外推到大项目未验证; Verbatim excerpt: NR (not stored separately in the source evaluation record)</x:v>
      </x:c>
      <x:c r="V3" s="6" t="str">
        <x:v>Location: `G1_video_page.png`（2023-05-17）; Rationale: 上传日期与访问日期（2026-10-15）可核验，但无版本或更新记录; Verbatim excerpt: NR (not stored separately in the source evaluation record)</x:v>
      </x:c>
      <x:c r="W3" s="6" t="str">
        <x:v>Location: 全片; Rationale: 交付的是既有模型能力的用法组合（3.5 生成 + 4 核验），非新方法或新证据，增量有限; Verbatim excerpt: NR (not stored separately in the source evaluation record)</x:v>
      </x:c>
      <x:c r="X3" s="6" t="str">
        <x:v>Location: `G1_video_page.png`; Rationale: 来源稳定，观看 5,119、点赞 56 可核验; Verbatim excerpt: NR (not stored separately in the source evaluation record)</x:v>
      </x:c>
      <x:c r="Y3" s="2" t="n">
        <x:f>IF(COUNT(E3:N3)=0,"",ROUND(AVERAGE(E3:N3),3))</x:f>
        <x:v>0.6</x:v>
      </x:c>
      <x:c r="Z3" s="2" t="str">
        <x:f>IF(Y3="","",IF(Y3&lt;0.5,"QA_EXCLUDE_GREY",IF(Y3=0.5,"QA_INCLUDE_WEAK","QA_INCLUDE_STANDARD")))</x:f>
        <x:v>QA_INCLUDE_STANDARD</x:v>
      </x:c>
      <x:c r="AA3" s="2" t="str">
        <x:v>QA_INCLUDE_STANDARD</x:v>
      </x:c>
      <x:c r="AB3" s="2" t="str">
        <x:v>NA</x:v>
      </x:c>
      <x:c r="AC3" s="2" t="str">
        <x:v>Material page metrics (view count, likes and subscriber count) shown in the archived page captures</x:v>
      </x:c>
      <x:c r="AD3" s="2" t="str">
        <x:v>2026-10-15</x:v>
      </x:c>
      <x:c r="AE3" s="2" t="str">
        <x:v>2026-08-01</x:v>
      </x:c>
      <x:c r="AF3" s="6" t="str">
        <x:v>Scores and per-item evidence transcribed from the review record for this channel.</x:v>
      </x:c>
    </x:row>
    <x:row r="4" ht="76" customHeight="1">
      <x:c r="A4" s="2" t="str">
        <x:v>EX2</x:v>
      </x:c>
      <x:c r="B4" s="2" t="str">
        <x:v>v1</x:v>
      </x:c>
      <x:c r="C4" s="2" t="str">
        <x:v>Reviewer_A</x:v>
      </x:c>
      <x:c r="D4" s="2" t="str">
        <x:v>Reviewer_A</x:v>
      </x:c>
      <x:c r="E4" s="2" t="n">
        <x:v>0.5</x:v>
      </x:c>
      <x:c r="F4" s="2" t="n">
        <x:v>1</x:v>
      </x:c>
      <x:c r="G4" s="2" t="str">
        <x:v>NA</x:v>
      </x:c>
      <x:c r="H4" s="2" t="n">
        <x:v>0</x:v>
      </x:c>
      <x:c r="I4" s="2" t="n">
        <x:v>0</x:v>
      </x:c>
      <x:c r="J4" s="2" t="n">
        <x:v>0.5</x:v>
      </x:c>
      <x:c r="K4" s="2" t="n">
        <x:v>0</x:v>
      </x:c>
      <x:c r="L4" s="2" t="n">
        <x:v>0.5</x:v>
      </x:c>
      <x:c r="M4" s="2" t="n">
        <x:v>0.5</x:v>
      </x:c>
      <x:c r="N4" s="2" t="n">
        <x:v>0.5</x:v>
      </x:c>
      <x:c r="O4" s="6" t="str">
        <x:v>NA</x:v>
      </x:c>
      <x:c r="P4" s="6" t="str">
        <x:v>NA</x:v>
      </x:c>
      <x:c r="Q4" s="6" t="str">
        <x:v>NA</x:v>
      </x:c>
      <x:c r="R4" s="6" t="str">
        <x:v>NA</x:v>
      </x:c>
      <x:c r="S4" s="6" t="str">
        <x:v>NA</x:v>
      </x:c>
      <x:c r="T4" s="6" t="str">
        <x:v>NA</x:v>
      </x:c>
      <x:c r="U4" s="6" t="str">
        <x:v>NA</x:v>
      </x:c>
      <x:c r="V4" s="6" t="str">
        <x:v>NA</x:v>
      </x:c>
      <x:c r="W4" s="6" t="str">
        <x:v>NA</x:v>
      </x:c>
      <x:c r="X4" s="6" t="str">
        <x:v>NA</x:v>
      </x:c>
      <x:c r="Y4" s="2" t="n">
        <x:f>IF(COUNT(E4:N4)=0,"",ROUND(AVERAGE(E4:N4),3))</x:f>
        <x:v>0.389</x:v>
      </x:c>
      <x:c r="Z4" s="2" t="str">
        <x:f>IF(Y4="","",IF(Y4&lt;0.5,"QA_EXCLUDE_GREY",IF(Y4=0.5,"QA_INCLUDE_WEAK","QA_INCLUDE_STANDARD")))</x:f>
        <x:v>QA_EXCLUDE_GREY</x:v>
      </x:c>
      <x:c r="AA4" s="2" t="str">
        <x:v>QA_EXCLUDE_QUALITY</x:v>
      </x:c>
      <x:c r="AB4" s="2" t="str">
        <x:v>Consensus: excluded. Reviewer_A excluded it on quality (mean 0.389 over 9 applicable items, below the 0.50 threshold); Reviewer_B excluded it on scope (IG1 not met: all traceability endpoints lie at the project-management level). Both bases lead to exclusion; the source is excluded at the quality-assessment stage.</x:v>
      </x:c>
      <x:c r="AC4" s="2" t="str">
        <x:v>NA</x:v>
      </x:c>
      <x:c r="AD4" s="2" t="str">
        <x:v>NA</x:v>
      </x:c>
      <x:c r="AE4" s="2" t="str">
        <x:v>2026-07-23</x:v>
      </x:c>
      <x:c r="AF4" s="6" t="str">
        <x:v>R1 assessed quality; R2 excluded the source on scope. The independent decisions are retained.</x:v>
      </x:c>
    </x:row>
    <x:row r="5" ht="76" customHeight="1">
      <x:c r="A5" s="2" t="str">
        <x:v>EX2</x:v>
      </x:c>
      <x:c r="B5" s="2" t="str">
        <x:v>v1</x:v>
      </x:c>
      <x:c r="C5" s="2" t="str">
        <x:v>Reviewer_B</x:v>
      </x:c>
      <x:c r="D5" s="2" t="str">
        <x:v>Reviewer_B</x:v>
      </x:c>
      <x:c r="E5" s="2" t="str">
        <x:v>NA</x:v>
      </x:c>
      <x:c r="F5" s="2" t="str">
        <x:v>NA</x:v>
      </x:c>
      <x:c r="G5" s="2" t="str">
        <x:v>NA</x:v>
      </x:c>
      <x:c r="H5" s="2" t="str">
        <x:v>NA</x:v>
      </x:c>
      <x:c r="I5" s="2" t="str">
        <x:v>NA</x:v>
      </x:c>
      <x:c r="J5" s="2" t="str">
        <x:v>NA</x:v>
      </x:c>
      <x:c r="K5" s="2" t="str">
        <x:v>NA</x:v>
      </x:c>
      <x:c r="L5" s="2" t="str">
        <x:v>NA</x:v>
      </x:c>
      <x:c r="M5" s="2" t="str">
        <x:v>NA</x:v>
      </x:c>
      <x:c r="N5" s="2" t="str">
        <x:v>NA</x:v>
      </x:c>
      <x:c r="O5" s="6" t="str">
        <x:v>NA</x:v>
      </x:c>
      <x:c r="P5" s="6" t="str">
        <x:v>NA</x:v>
      </x:c>
      <x:c r="Q5" s="6" t="str">
        <x:v>NA</x:v>
      </x:c>
      <x:c r="R5" s="6" t="str">
        <x:v>NA</x:v>
      </x:c>
      <x:c r="S5" s="6" t="str">
        <x:v>NA</x:v>
      </x:c>
      <x:c r="T5" s="6" t="str">
        <x:v>NA</x:v>
      </x:c>
      <x:c r="U5" s="6" t="str">
        <x:v>NA</x:v>
      </x:c>
      <x:c r="V5" s="6" t="str">
        <x:v>NA</x:v>
      </x:c>
      <x:c r="W5" s="6" t="str">
        <x:v>NA</x:v>
      </x:c>
      <x:c r="X5" s="6" t="str">
        <x:v>NA</x:v>
      </x:c>
      <x:c r="Y5" s="2" t="str">
        <x:f>IF(COUNT(E5:N5)=0,"",ROUND(AVERAGE(E5:N5),3))</x:f>
      </x:c>
      <x:c r="Z5" s="2" t="str">
        <x:f>IF(Y5="","",IF(Y5&lt;0.5,"QA_EXCLUDE_GREY",IF(Y5=0.5,"QA_INCLUDE_WEAK","QA_INCLUDE_STANDARD")))</x:f>
      </x:c>
      <x:c r="AA5" s="2" t="str">
        <x:v>QA_EXCLUDE_SCOPE</x:v>
      </x:c>
      <x:c r="AB5" s="2" t="str">
        <x:v>Consensus: excluded. Reviewer_A excluded it on quality (mean 0.389 over 9 applicable items, below the 0.50 threshold); Reviewer_B excluded it on scope (IG1 not met: all traceability endpoints lie at the project-management level). Both bases lead to exclusion; the source is excluded at the quality-assessment stage.</x:v>
      </x:c>
      <x:c r="AC5" s="2" t="str">
        <x:v>NA</x:v>
      </x:c>
      <x:c r="AD5" s="2" t="str">
        <x:v>NA</x:v>
      </x:c>
      <x:c r="AE5" s="2" t="str">
        <x:v>2026-08-01</x:v>
      </x:c>
      <x:c r="AF5" s="6" t="str">
        <x:v>R1 assessed quality; R2 excluded the source on scope. The independent decisions are retained.</x:v>
      </x:c>
    </x:row>
    <x:row r="6" ht="76" customHeight="1">
      <x:c r="A6" s="2" t="str">
        <x:v>G2</x:v>
      </x:c>
      <x:c r="B6" s="2" t="str">
        <x:v>v1</x:v>
      </x:c>
      <x:c r="C6" s="2" t="str">
        <x:v>Reviewer_A</x:v>
      </x:c>
      <x:c r="D6" s="2" t="str">
        <x:v>Reviewer_A</x:v>
      </x:c>
      <x:c r="E6" s="2" t="n">
        <x:v>1</x:v>
      </x:c>
      <x:c r="F6" s="2" t="n">
        <x:v>1</x:v>
      </x:c>
      <x:c r="G6" s="2" t="n">
        <x:v>1</x:v>
      </x:c>
      <x:c r="H6" s="2" t="n">
        <x:v>1</x:v>
      </x:c>
      <x:c r="I6" s="2" t="n">
        <x:v>1</x:v>
      </x:c>
      <x:c r="J6" s="2" t="n">
        <x:v>1</x:v>
      </x:c>
      <x:c r="K6" s="2" t="n">
        <x:v>1</x:v>
      </x:c>
      <x:c r="L6" s="2" t="n">
        <x:v>0.5</x:v>
      </x:c>
      <x:c r="M6" s="2" t="n">
        <x:v>1</x:v>
      </x:c>
      <x:c r="N6" s="2" t="n">
        <x:v>1</x:v>
      </x:c>
      <x:c r="O6" s="6" t="str">
        <x:v>NR</x:v>
      </x:c>
      <x:c r="P6" s="6" t="str">
        <x:v>NR</x:v>
      </x:c>
      <x:c r="Q6" s="6" t="str">
        <x:v>NR</x:v>
      </x:c>
      <x:c r="R6" s="6" t="str">
        <x:v>NR</x:v>
      </x:c>
      <x:c r="S6" s="6" t="str">
        <x:v>NR</x:v>
      </x:c>
      <x:c r="T6" s="6" t="str">
        <x:v>NR</x:v>
      </x:c>
      <x:c r="U6" s="6" t="str">
        <x:v>NR</x:v>
      </x:c>
      <x:c r="V6" s="6" t="str">
        <x:v>NR</x:v>
      </x:c>
      <x:c r="W6" s="6" t="str">
        <x:v>NR</x:v>
      </x:c>
      <x:c r="X6" s="6" t="str">
        <x:v>NR</x:v>
      </x:c>
      <x:c r="Y6" s="2" t="n">
        <x:f>IF(COUNT(E6:N6)=0,"",ROUND(AVERAGE(E6:N6),3))</x:f>
        <x:v>0.95</x:v>
      </x:c>
      <x:c r="Z6" s="2" t="str">
        <x:f>IF(Y6="","",IF(Y6&lt;0.5,"QA_EXCLUDE_GREY",IF(Y6=0.5,"QA_INCLUDE_WEAK","QA_INCLUDE_STANDARD")))</x:f>
        <x:v>QA_INCLUDE_STANDARD</x:v>
      </x:c>
      <x:c r="AA6" s="2" t="str">
        <x:v>QA_INCLUDE_STANDARD</x:v>
      </x:c>
      <x:c r="AB6" s="2" t="str">
        <x:v>NA</x:v>
      </x:c>
      <x:c r="AC6" s="2" t="str">
        <x:v>Material page metrics (view count, likes and subscriber count) shown in the archived page captures</x:v>
      </x:c>
      <x:c r="AD6" s="2" t="str">
        <x:v>2026-10-15</x:v>
      </x:c>
      <x:c r="AE6" s="2" t="str">
        <x:v>2026-07-23</x:v>
      </x:c>
      <x:c r="AF6" s="6" t="str">
        <x:v>Scores transcribed from the first review record for this channel; per-item evidence locations are not recorded separately in that record.</x:v>
      </x:c>
    </x:row>
    <x:row r="7" ht="76" customHeight="1">
      <x:c r="A7" s="2" t="str">
        <x:v>G2</x:v>
      </x:c>
      <x:c r="B7" s="2" t="str">
        <x:v>v1</x:v>
      </x:c>
      <x:c r="C7" s="2" t="str">
        <x:v>Reviewer_B</x:v>
      </x:c>
      <x:c r="D7" s="2" t="str">
        <x:v>Reviewer_B</x:v>
      </x:c>
      <x:c r="E7" s="2" t="n">
        <x:v>1</x:v>
      </x:c>
      <x:c r="F7" s="2" t="n">
        <x:v>1</x:v>
      </x:c>
      <x:c r="G7" s="2" t="n">
        <x:v>1</x:v>
      </x:c>
      <x:c r="H7" s="2" t="n">
        <x:v>1</x:v>
      </x:c>
      <x:c r="I7" s="2" t="n">
        <x:v>1</x:v>
      </x:c>
      <x:c r="J7" s="2" t="n">
        <x:v>1</x:v>
      </x:c>
      <x:c r="K7" s="2" t="n">
        <x:v>0.5</x:v>
      </x:c>
      <x:c r="L7" s="2" t="n">
        <x:v>0.5</x:v>
      </x:c>
      <x:c r="M7" s="2" t="n">
        <x:v>1</x:v>
      </x:c>
      <x:c r="N7" s="2" t="n">
        <x:v>1</x:v>
      </x:c>
      <x:c r="O7" s="6" t="str">
        <x:v>Location: `G2_video_page.png`、`G2_page_description.png`、[00:25]; Rationale: 讲者 Henning Kuich 为 Verisian 联合创始人兼 CTO（简介亦署名该身份），机构、职位与产品线可独立核验，专长与主题直接相关; Verbatim excerpt: NR (not stored separately in the source evaluation record)</x:v>
      </x:c>
      <x:c r="P7" s="6" t="str">
        <x:v>Location: [00:25]–[02:03]、[07:19]; Rationale: 以「traceability and AI 提升试验的理解/沟通/QC」为目标，问题界定清楚（数据的含义藏在转换过程中），范围明确; Verbatim excerpt: NR (not stored separately in the source evaluation record)</x:v>
      </x:c>
      <x:c r="Q7" s="6" t="str">
        <x:v>Location: [08:22]–[12:31]、[17:39]–[18:19]; Rationale: 方法可复现描述：上传 SAS 代码/日志 → 静态分析建图 → 输出/数据集/变量级追踪；AI 侧为 RAG + 提示富化 + 两段式 LLM。对象为研究代码、数据集与变量（演示研究为其自建合成数据 [09:38]）; Verbatim excerpt: NR (not stored separately in the source evaluation record)</x:v>
      </x:c>
      <x:c r="R7" s="6" t="str">
        <x:v>Location: [22:15]、[26:11]、[38:58]、`G2_page_description.png`; Rationale: 关键主张（可追溯、以证据为依据、可复现）由现场演示支撑，并明确与「把全部代码塞进大模型赌推理」及 Pinnacle 21 的差异；简介进一步列出能力覆盖的价值链环节（study building、results validation、specification validation、study pooling、define-xml automation），贡献定位清楚; Verbatim excerpt: NR (not stored separately in the source evaluation record)</x:v>
      </x:c>
      <x:c r="S7" s="6" t="str">
        <x:v>Location: [14:18]、[37:01]–[37:35]、[40:47]; Rationale: 充分讨论局限与边界：LLM 泛化好而细节差、规格含糊则无法验证、AI 审 AI 不可取、当前仅覆盖代码与日志、数据/eCRF 扩展待做; Verbatim excerpt: NR (not stored separately in the source evaluation record)</x:v>
      </x:c>
      <x:c r="T7" s="6" t="str">
        <x:v>Location: [13:57]、[31:03]、[09:31]、`G2_page_description.png`; Rationale: 正反平衡（自陈「I don't trust it very far」并给置信分），商业身份与产品路线（Validated by Verisian、demo 站点）披露清楚；简介仅含公司官网/社区/LinkedIn 链接，**无付费课程或优惠码引流**，与 G1（GQA6 判 0）情形不同; Verbatim excerpt: NR (not stored separately in the source evaluation record)</x:v>
      </x:c>
      <x:c r="U7" s="6" t="str">
        <x:v>Location: [21:14]、[12:24]; Rationale: 核心机制有演示支撑，但「节省 95% 时间」等效果数字来自合作方口述，无独立数据；演示为合成研究; Verbatim excerpt: NR (not stored separately in the source evaluation record)</x:v>
      </x:c>
      <x:c r="V7" s="6" t="str">
        <x:v>Location: `G2_page_description.png`（页面发布日 2024-10-04）；片头幻灯片 2024-09-25; Rationale: 会议日与页面发布日均已核验（相差 9 天），访问日期亦记录，但无版本/更新记录，故取 0.5; Verbatim excerpt: NR (not stored separately in the source evaluation record)</x:v>
      </x:c>
      <x:c r="W7" s="6" t="str">
        <x:v>Location: [07:19]、[17:39]、[31:52]; Rationale: 新情境与方法：面向受监管临床试验统计编程的代码级追溯 + 受证据约束的 LLM 管线，并可从代码生成 Define-XML/SDRG; Verbatim excerpt: NR (not stored separately in the source evaluation record)</x:v>
      </x:c>
      <x:c r="X7" s="6" t="str">
        <x:v>Location: `G2_video_page.png`; Rationale: 频道稳定，观看 564、点赞 13、订阅 443 可核验; Verbatim excerpt: NR (not stored separately in the source evaluation record)</x:v>
      </x:c>
      <x:c r="Y7" s="2" t="n">
        <x:f>IF(COUNT(E7:N7)=0,"",ROUND(AVERAGE(E7:N7),3))</x:f>
        <x:v>0.9</x:v>
      </x:c>
      <x:c r="Z7" s="2" t="str">
        <x:f>IF(Y7="","",IF(Y7&lt;0.5,"QA_EXCLUDE_GREY",IF(Y7=0.5,"QA_INCLUDE_WEAK","QA_INCLUDE_STANDARD")))</x:f>
        <x:v>QA_INCLUDE_STANDARD</x:v>
      </x:c>
      <x:c r="AA7" s="2" t="str">
        <x:v>QA_INCLUDE_STANDARD</x:v>
      </x:c>
      <x:c r="AB7" s="2" t="str">
        <x:v>NA</x:v>
      </x:c>
      <x:c r="AC7" s="2" t="str">
        <x:v>Material page metrics (view count, likes and subscriber count) shown in the archived page captures</x:v>
      </x:c>
      <x:c r="AD7" s="2" t="str">
        <x:v>2026-10-15</x:v>
      </x:c>
      <x:c r="AE7" s="2" t="str">
        <x:v>2026-08-01</x:v>
      </x:c>
      <x:c r="AF7" s="6" t="str">
        <x:v>Scores and per-item evidence transcribed from the review record for this channel.</x:v>
      </x:c>
    </x:row>
    <x:row r="8" ht="76" customHeight="1">
      <x:c r="A8" s="2" t="str">
        <x:v>G3</x:v>
      </x:c>
      <x:c r="B8" s="2" t="str">
        <x:v>v1</x:v>
      </x:c>
      <x:c r="C8" s="2" t="str">
        <x:v>Reviewer_A</x:v>
      </x:c>
      <x:c r="D8" s="2" t="str">
        <x:v>Reviewer_A</x:v>
      </x:c>
      <x:c r="E8" s="2" t="n">
        <x:v>0.5</x:v>
      </x:c>
      <x:c r="F8" s="2" t="n">
        <x:v>1</x:v>
      </x:c>
      <x:c r="G8" s="2" t="n">
        <x:v>1</x:v>
      </x:c>
      <x:c r="H8" s="2" t="n">
        <x:v>0.5</x:v>
      </x:c>
      <x:c r="I8" s="2" t="n">
        <x:v>0</x:v>
      </x:c>
      <x:c r="J8" s="2" t="n">
        <x:v>0.5</x:v>
      </x:c>
      <x:c r="K8" s="2" t="n">
        <x:v>1</x:v>
      </x:c>
      <x:c r="L8" s="2" t="n">
        <x:v>0.5</x:v>
      </x:c>
      <x:c r="M8" s="2" t="n">
        <x:v>0.5</x:v>
      </x:c>
      <x:c r="N8" s="2" t="n">
        <x:v>0.5</x:v>
      </x:c>
      <x:c r="O8" s="6" t="str">
        <x:v>NR</x:v>
      </x:c>
      <x:c r="P8" s="6" t="str">
        <x:v>NR</x:v>
      </x:c>
      <x:c r="Q8" s="6" t="str">
        <x:v>NR</x:v>
      </x:c>
      <x:c r="R8" s="6" t="str">
        <x:v>NR</x:v>
      </x:c>
      <x:c r="S8" s="6" t="str">
        <x:v>NR</x:v>
      </x:c>
      <x:c r="T8" s="6" t="str">
        <x:v>NR</x:v>
      </x:c>
      <x:c r="U8" s="6" t="str">
        <x:v>NR</x:v>
      </x:c>
      <x:c r="V8" s="6" t="str">
        <x:v>NR</x:v>
      </x:c>
      <x:c r="W8" s="6" t="str">
        <x:v>NR</x:v>
      </x:c>
      <x:c r="X8" s="6" t="str">
        <x:v>NR</x:v>
      </x:c>
      <x:c r="Y8" s="2" t="n">
        <x:f>IF(COUNT(E8:N8)=0,"",ROUND(AVERAGE(E8:N8),3))</x:f>
        <x:v>0.6</x:v>
      </x:c>
      <x:c r="Z8" s="2" t="str">
        <x:f>IF(Y8="","",IF(Y8&lt;0.5,"QA_EXCLUDE_GREY",IF(Y8=0.5,"QA_INCLUDE_WEAK","QA_INCLUDE_STANDARD")))</x:f>
        <x:v>QA_INCLUDE_STANDARD</x:v>
      </x:c>
      <x:c r="AA8" s="2" t="str">
        <x:v>QA_INCLUDE_STANDARD</x:v>
      </x:c>
      <x:c r="AB8" s="2" t="str">
        <x:v>NA</x:v>
      </x:c>
      <x:c r="AC8" s="2" t="str">
        <x:v>Material page metrics (view count, likes and subscriber count) shown in the archived page captures</x:v>
      </x:c>
      <x:c r="AD8" s="2" t="str">
        <x:v>2026-10-15</x:v>
      </x:c>
      <x:c r="AE8" s="2" t="str">
        <x:v>2026-07-23</x:v>
      </x:c>
      <x:c r="AF8" s="6" t="str">
        <x:v>Scores transcribed from the first review record for this channel; per-item evidence locations are not recorded separately in that record.</x:v>
      </x:c>
    </x:row>
    <x:row r="9" ht="76" customHeight="1">
      <x:c r="A9" s="2" t="str">
        <x:v>G3</x:v>
      </x:c>
      <x:c r="B9" s="2" t="str">
        <x:v>v1</x:v>
      </x:c>
      <x:c r="C9" s="2" t="str">
        <x:v>Reviewer_B</x:v>
      </x:c>
      <x:c r="D9" s="2" t="str">
        <x:v>Reviewer_B</x:v>
      </x:c>
      <x:c r="E9" s="2" t="n">
        <x:v>0</x:v>
      </x:c>
      <x:c r="F9" s="2" t="n">
        <x:v>1</x:v>
      </x:c>
      <x:c r="G9" s="2" t="n">
        <x:v>0.5</x:v>
      </x:c>
      <x:c r="H9" s="2" t="n">
        <x:v>0.5</x:v>
      </x:c>
      <x:c r="I9" s="2" t="n">
        <x:v>0</x:v>
      </x:c>
      <x:c r="J9" s="2" t="n">
        <x:v>0.5</x:v>
      </x:c>
      <x:c r="K9" s="2" t="n">
        <x:v>0.5</x:v>
      </x:c>
      <x:c r="L9" s="2" t="n">
        <x:v>0.5</x:v>
      </x:c>
      <x:c r="M9" s="2" t="n">
        <x:v>0.5</x:v>
      </x:c>
      <x:c r="N9" s="2" t="n">
        <x:v>1</x:v>
      </x:c>
      <x:c r="O9" s="6" t="str">
        <x:v>Location: `G3_video_page.png`; Rationale: 仅个人账号与 4 个姓名（Group 5），无机构、无履历可查，身份与专长均不可核验; Verbatim excerpt: NR (not stored separately in the source evaluation record)</x:v>
      </x:c>
      <x:c r="P9" s="6" t="str">
        <x:v>Location: [00:10]、[03:13]、`G3_page_description.png`; Rationale: 目标（把音频/会议记录/文档等非结构化输入转为结构化需求、链接代码制品并可视化追溯）与范围（认证、上传、图视图、关于、帮助）明确；简介进一步列出 5 项具体功能并点明问题（mapping requirements to implementation 是最耗时任务之一）; Verbatim excerpt: NR (not stored separately in the source evaluation record)</x:v>
      </x:c>
      <x:c r="Q9" s="6" t="str">
        <x:v>Location: [00:45]、[01:04]、[02:15]、`G3_page_description.png`; Rationale: 流水线（Whisper → embeddings → NER → Neo4j）说明到位，简介亦列出功能清单；但**需求抽取所用模型未说明、具体案例对象仅为一段自备音频**，属「方法或对象部分说明」，故仍记 0.5（锚点 1 要求方法步骤与具体对象都清楚）; Verbatim excerpt: NR (not stored separately in the source evaluation record)</x:v>
      </x:c>
      <x:c r="R9" s="6" t="str">
        <x:v>Location: `G3_page_description.png`、[01:26]; Rationale: 简介点明了问题定位（mapping requirements to implementation 是软件工程最耗时任务之一），主张由界面演示与功能清单支撑；但无任何引用、无与既有工具/研究工作的定位; Verbatim excerpt: NR (not stored separately in the source evaluation record)</x:v>
      </x:c>
      <x:c r="S9" s="6" t="str">
        <x:v>Location: 全片无; Rationale: 未报告任何局限、失败条件或适用边界; Verbatim excerpt: NR (not stored separately in the source evaluation record)</x:v>
      </x:c>
      <x:c r="T9" s="6" t="str">
        <x:v>Location: `G3_page_description.png`、[02:49]; Rationale: 简介为功能清单式陈述、**无付费课程/优惠码/商品链接**（以技术支持表单收尾），无明显夸大；但无反证、无利益披露，属「基本客观、披露有限」（与 G1 判 0 的付费引流情形不同）; Verbatim excerpt: NR (not stored separately in the source evaluation record)</x:v>
      </x:c>
      <x:c r="U9" s="6" t="str">
        <x:v>Location: [01:26]–[02:24]; Rationale: 结论由单次演示支撑，无准确性、规模或性能数据; Verbatim excerpt: NR (not stored separately in the source evaluation record)</x:v>
      </x:c>
      <x:c r="V9" s="6" t="str">
        <x:v>Location: `G3_page_description.png`（页面显示 **2025-11-20**；评估包原记 2025-11-19）; Rationale: 发布日与访问日期可核验（与包记相差 1 天，疑为日期字段/时区差异）；无版本/更新记录，故取 0.5; Verbatim excerpt: NR (not stored separately in the source evaluation record)</x:v>
      </x:c>
      <x:c r="W9" s="6" t="str">
        <x:v>Location: `G3_page_description.png`、[00:10]、[03:13]; Rationale: 提供了「音频 → 需求 → 设计文档/代码追溯 + 影响分析」的实现，但方法与既有需求抽取/追溯工具高度重叠，无新证据，增量有限; Verbatim excerpt: NR (not stored separately in the source evaluation record)</x:v>
      </x:c>
      <x:c r="X9" s="6" t="str">
        <x:v>Location: `G3_video_page.png`; Rationale: 来源稳定，观看 47、点赞 2、评论 0 可核验（评估包此前记「观看计数未能取得」，本次已补齐）; Verbatim excerpt: NR (not stored separately in the source evaluation record)</x:v>
      </x:c>
      <x:c r="Y9" s="2" t="n">
        <x:f>IF(COUNT(E9:N9)=0,"",ROUND(AVERAGE(E9:N9),3))</x:f>
        <x:v>0.5</x:v>
      </x:c>
      <x:c r="Z9" s="2" t="str">
        <x:f>IF(Y9="","",IF(Y9&lt;0.5,"QA_EXCLUDE_GREY",IF(Y9=0.5,"QA_INCLUDE_WEAK","QA_INCLUDE_STANDARD")))</x:f>
        <x:v>QA_INCLUDE_WEAK</x:v>
      </x:c>
      <x:c r="AA9" s="2" t="str">
        <x:v>QA_INCLUDE_WEAK</x:v>
      </x:c>
      <x:c r="AB9" s="2" t="str">
        <x:v>NA</x:v>
      </x:c>
      <x:c r="AC9" s="2" t="str">
        <x:v>Material page metrics (view count, likes and subscriber count) shown in the archived page captures</x:v>
      </x:c>
      <x:c r="AD9" s="2" t="str">
        <x:v>2026-10-15</x:v>
      </x:c>
      <x:c r="AE9" s="2" t="str">
        <x:v>2026-08-01</x:v>
      </x:c>
      <x:c r="AF9" s="6" t="str">
        <x:v>Scores and per-item evidence transcribed from the review record for this channel.</x:v>
      </x:c>
    </x:row>
    <x:row r="10" ht="76" customHeight="1">
      <x:c r="A10" s="2" t="str">
        <x:v>G4</x:v>
      </x:c>
      <x:c r="B10" s="2" t="str">
        <x:v>v1</x:v>
      </x:c>
      <x:c r="C10" s="2" t="str">
        <x:v>Reviewer_A</x:v>
      </x:c>
      <x:c r="D10" s="2" t="str">
        <x:v>Reviewer_A</x:v>
      </x:c>
      <x:c r="E10" s="2" t="n">
        <x:v>0.5</x:v>
      </x:c>
      <x:c r="F10" s="2" t="n">
        <x:v>1</x:v>
      </x:c>
      <x:c r="G10" s="2" t="n">
        <x:v>0.5</x:v>
      </x:c>
      <x:c r="H10" s="2" t="n">
        <x:v>0.5</x:v>
      </x:c>
      <x:c r="I10" s="2" t="n">
        <x:v>0.5</x:v>
      </x:c>
      <x:c r="J10" s="2" t="n">
        <x:v>0.5</x:v>
      </x:c>
      <x:c r="K10" s="2" t="n">
        <x:v>0</x:v>
      </x:c>
      <x:c r="L10" s="2" t="n">
        <x:v>0.5</x:v>
      </x:c>
      <x:c r="M10" s="2" t="n">
        <x:v>0.5</x:v>
      </x:c>
      <x:c r="N10" s="2" t="n">
        <x:v>0.5</x:v>
      </x:c>
      <x:c r="O10" s="6" t="str">
        <x:v>NR</x:v>
      </x:c>
      <x:c r="P10" s="6" t="str">
        <x:v>NR</x:v>
      </x:c>
      <x:c r="Q10" s="6" t="str">
        <x:v>NR</x:v>
      </x:c>
      <x:c r="R10" s="6" t="str">
        <x:v>NR</x:v>
      </x:c>
      <x:c r="S10" s="6" t="str">
        <x:v>NR</x:v>
      </x:c>
      <x:c r="T10" s="6" t="str">
        <x:v>NR</x:v>
      </x:c>
      <x:c r="U10" s="6" t="str">
        <x:v>NR</x:v>
      </x:c>
      <x:c r="V10" s="6" t="str">
        <x:v>NR</x:v>
      </x:c>
      <x:c r="W10" s="6" t="str">
        <x:v>NR</x:v>
      </x:c>
      <x:c r="X10" s="6" t="str">
        <x:v>NR</x:v>
      </x:c>
      <x:c r="Y10" s="2" t="n">
        <x:f>IF(COUNT(E10:N10)=0,"",ROUND(AVERAGE(E10:N10),3))</x:f>
        <x:v>0.5</x:v>
      </x:c>
      <x:c r="Z10" s="2" t="str">
        <x:f>IF(Y10="","",IF(Y10&lt;0.5,"QA_EXCLUDE_GREY",IF(Y10=0.5,"QA_INCLUDE_WEAK","QA_INCLUDE_STANDARD")))</x:f>
        <x:v>QA_INCLUDE_WEAK</x:v>
      </x:c>
      <x:c r="AA10" s="2" t="str">
        <x:v>QA_INCLUDE_WEAK</x:v>
      </x:c>
      <x:c r="AB10" s="2" t="str">
        <x:v>NA</x:v>
      </x:c>
      <x:c r="AC10" s="2" t="str">
        <x:v>NA</x:v>
      </x:c>
      <x:c r="AD10" s="2" t="str">
        <x:v>NA</x:v>
      </x:c>
      <x:c r="AE10" s="2" t="str">
        <x:v>2026-07-23</x:v>
      </x:c>
      <x:c r="AF10" s="6" t="str">
        <x:v>Scores transcribed from the first review record for this channel; per-item evidence locations are not recorded separately in that record.</x:v>
      </x:c>
    </x:row>
    <x:row r="11" ht="76" customHeight="1">
      <x:c r="A11" s="2" t="str">
        <x:v>G4</x:v>
      </x:c>
      <x:c r="B11" s="2" t="str">
        <x:v>v1</x:v>
      </x:c>
      <x:c r="C11" s="2" t="str">
        <x:v>Reviewer_B</x:v>
      </x:c>
      <x:c r="D11" s="2" t="str">
        <x:v>Reviewer_B</x:v>
      </x:c>
      <x:c r="E11" s="2" t="n">
        <x:v>1</x:v>
      </x:c>
      <x:c r="F11" s="2" t="n">
        <x:v>1</x:v>
      </x:c>
      <x:c r="G11" s="2" t="str">
        <x:v>NA</x:v>
      </x:c>
      <x:c r="H11" s="2" t="n">
        <x:v>0.5</x:v>
      </x:c>
      <x:c r="I11" s="2" t="n">
        <x:v>0.5</x:v>
      </x:c>
      <x:c r="J11" s="2" t="n">
        <x:v>0</x:v>
      </x:c>
      <x:c r="K11" s="2" t="n">
        <x:v>0</x:v>
      </x:c>
      <x:c r="L11" s="2" t="n">
        <x:v>0.5</x:v>
      </x:c>
      <x:c r="M11" s="2" t="n">
        <x:v>0.5</x:v>
      </x:c>
      <x:c r="N11" s="2" t="n">
        <x:v>0.5</x:v>
      </x:c>
      <x:c r="O11" s="6" t="str">
        <x:v>Location: `G4_press_release_reference.txt`（页头、Press Contact、页脚）; Rationale: Vector Informatik GmbH 为成熟商业工具厂商；新闻稿页头日期与标题、Press Contact（Cordula Gielen）与页脚版权（2010 - 2026）均可核验，专长与主题直接相关; Verbatim excerpt: NR (not stored separately in the source evaluation record)</x:v>
      </x:c>
      <x:c r="P11" s="6" t="str">
        <x:v>Location: `G4_product_page.png`（H1 与首段）、`G4_press_release_reference.txt`; Rationale: 目标（从需求生成可追溯的单元测试）与范围（需求导入 → 函数映射 → 用例生成 → 人工复核）明确；产品页 H1 为「VectorCAST + AI / AI-Powered Unit Test Generation from Requirements」; Verbatim excerpt: NR (not stored separately in the source evaluation record)</x:v>
      </x:c>
      <x:c r="Q11" s="6" t="str">
        <x:v>Location: NA; Rationale: 纯产品介绍/能力说明，不以「方法」为组织形式（评估包 4.2 节规则），记 NA，不计入均分分母; Verbatim excerpt: NR (not stored separately in the source evaluation record)</x:v>
      </x:c>
      <x:c r="R11" s="6" t="str">
        <x:v>Location: `G4_product_page.png` §Key Capabilities、`G4_press_release_reference.txt`; Rationale: 主张有产品能力描述与标准对齐（MISRA C:2025、ISO/IEC AI 框架、EU AI Act）作支撑，但无任何引用或独立验证; Verbatim excerpt: NR (not stored separately in the source evaluation record)</x:v>
      </x:c>
      <x:c r="S11" s="6" t="str">
        <x:v>Location: `G4_product_page.png` §Built for Safety-Critical Environments / Step 3; Rationale: 简要提及 AI 在安全关键环境的风险与人工复核边界（「Nothing is accepted automatically」），但未报告 Reqs2x 自身的局限与失效条件; Verbatim excerpt: NR (not stored separately in the source evaluation record)</x:v>
      </x:c>
      <x:c r="T11" s="6" t="str">
        <x:v>Location: `G4_product_page.png` 全篇、`G4_press_release_reference.txt` 末段; Rationale: 厂商内容以推广为目的：产品页与新闻稿均含「More Information about VectorCAST / AI at Vector」「Watch Recording」等 CTA，并以「Reqs2x 随 VectorCAST 2026 授权**免费附带**」为商业卖点，属**宣传性**内容，且无任何反证；按锚点「宣传性」判 0（与 G1 的处理一致）; Verbatim excerpt: NR (not stored separately in the source evaluation record)</x:v>
      </x:c>
      <x:c r="U11" s="6" t="str">
        <x:v>Location: 全篇; Rationale: 无任何数据、案例或测量结果支撑效果主张（仅能力声明与标准对齐）; Verbatim excerpt: NR (not stored separately in the source evaluation record)</x:v>
      </x:c>
      <x:c r="V11" s="6" t="str">
        <x:v>Location: `G4_press_release_reference.txt`（页头 3/18/2026）、`G4_product_page.png` 页脚 2010–2026; Rationale: 有发布新闻稿日期与访问日期（本地截图 2026-10-15），但**产品页本身无日期、无版本或更新记录**，故取 0.5; Verbatim excerpt: NR (not stored separately in the source evaluation record)</x:v>
      </x:c>
      <x:c r="W11" s="6" t="str">
        <x:v>Location: `G4_product_page.png` §How Reqs2x Works、§Bring Your Own Model; Rationale: 提供新工具情境（程序切片 + LLM 的需求→函数映射、BYOM 本地/云/混合部署），但无技术细节与新证据，增量有限; Verbatim excerpt: NR (not stored separately in the source evaluation record)</x:v>
      </x:c>
      <x:c r="X11" s="6" t="str">
        <x:v>Location: `G4_product_page.png`、`G4_press_release_reference.txt`; Rationale: 厂商官网来源稳定，但无观看或引用等影响指标（无可核验的传播数据）; Verbatim excerpt: NR (not stored separately in the source evaluation record)</x:v>
      </x:c>
      <x:c r="Y11" s="2" t="n">
        <x:f>IF(COUNT(E11:N11)=0,"",ROUND(AVERAGE(E11:N11),3))</x:f>
        <x:v>0.5</x:v>
      </x:c>
      <x:c r="Z11" s="2" t="str">
        <x:f>IF(Y11="","",IF(Y11&lt;0.5,"QA_EXCLUDE_GREY",IF(Y11=0.5,"QA_INCLUDE_WEAK","QA_INCLUDE_STANDARD")))</x:f>
        <x:v>QA_INCLUDE_WEAK</x:v>
      </x:c>
      <x:c r="AA11" s="2" t="str">
        <x:v>QA_INCLUDE_WEAK</x:v>
      </x:c>
      <x:c r="AB11" s="2" t="str">
        <x:v>NA</x:v>
      </x:c>
      <x:c r="AC11" s="2" t="str">
        <x:v>NA</x:v>
      </x:c>
      <x:c r="AD11" s="2" t="str">
        <x:v>NA</x:v>
      </x:c>
      <x:c r="AE11" s="2" t="str">
        <x:v>2026-08-01</x:v>
      </x:c>
      <x:c r="AF11" s="6" t="str">
        <x:v>Scores and per-item evidence transcribed from the review record for this channel.</x:v>
      </x:c>
    </x:row>
    <x:row r="12" ht="76" customHeight="1">
      <x:c r="A12" s="2" t="str">
        <x:v>G5</x:v>
      </x:c>
      <x:c r="B12" s="2" t="str">
        <x:v>v1</x:v>
      </x:c>
      <x:c r="C12" s="2" t="str">
        <x:v>Reviewer_A</x:v>
      </x:c>
      <x:c r="D12" s="2" t="str">
        <x:v>Reviewer_A</x:v>
      </x:c>
      <x:c r="E12" s="2" t="n">
        <x:v>1</x:v>
      </x:c>
      <x:c r="F12" s="2" t="n">
        <x:v>1</x:v>
      </x:c>
      <x:c r="G12" s="2" t="n">
        <x:v>1</x:v>
      </x:c>
      <x:c r="H12" s="2" t="n">
        <x:v>1</x:v>
      </x:c>
      <x:c r="I12" s="2" t="n">
        <x:v>1</x:v>
      </x:c>
      <x:c r="J12" s="2" t="n">
        <x:v>1</x:v>
      </x:c>
      <x:c r="K12" s="2" t="n">
        <x:v>0.5</x:v>
      </x:c>
      <x:c r="L12" s="2" t="n">
        <x:v>0.5</x:v>
      </x:c>
      <x:c r="M12" s="2" t="n">
        <x:v>0.5</x:v>
      </x:c>
      <x:c r="N12" s="2" t="n">
        <x:v>1</x:v>
      </x:c>
      <x:c r="O12" s="6" t="str">
        <x:v>NR</x:v>
      </x:c>
      <x:c r="P12" s="6" t="str">
        <x:v>NR</x:v>
      </x:c>
      <x:c r="Q12" s="6" t="str">
        <x:v>NR</x:v>
      </x:c>
      <x:c r="R12" s="6" t="str">
        <x:v>NR</x:v>
      </x:c>
      <x:c r="S12" s="6" t="str">
        <x:v>NR</x:v>
      </x:c>
      <x:c r="T12" s="6" t="str">
        <x:v>NR</x:v>
      </x:c>
      <x:c r="U12" s="6" t="str">
        <x:v>NR</x:v>
      </x:c>
      <x:c r="V12" s="6" t="str">
        <x:v>NR</x:v>
      </x:c>
      <x:c r="W12" s="6" t="str">
        <x:v>NR</x:v>
      </x:c>
      <x:c r="X12" s="6" t="str">
        <x:v>NR</x:v>
      </x:c>
      <x:c r="Y12" s="2" t="n">
        <x:f>IF(COUNT(E12:N12)=0,"",ROUND(AVERAGE(E12:N12),3))</x:f>
        <x:v>0.85</x:v>
      </x:c>
      <x:c r="Z12" s="2" t="str">
        <x:f>IF(Y12="","",IF(Y12&lt;0.5,"QA_EXCLUDE_GREY",IF(Y12=0.5,"QA_INCLUDE_WEAK","QA_INCLUDE_STANDARD")))</x:f>
        <x:v>QA_INCLUDE_STANDARD</x:v>
      </x:c>
      <x:c r="AA12" s="2" t="str">
        <x:v>QA_INCLUDE_STANDARD</x:v>
      </x:c>
      <x:c r="AB12" s="2" t="str">
        <x:v>NA</x:v>
      </x:c>
      <x:c r="AC12" s="2" t="str">
        <x:v>Material page metrics (view count, likes and subscriber count) shown in the archived page captures</x:v>
      </x:c>
      <x:c r="AD12" s="2" t="str">
        <x:v>2026-10-15</x:v>
      </x:c>
      <x:c r="AE12" s="2" t="str">
        <x:v>2026-07-23</x:v>
      </x:c>
      <x:c r="AF12" s="6" t="str">
        <x:v>Scores transcribed from the first review record for this channel; per-item evidence locations are not recorded separately in that record.</x:v>
      </x:c>
    </x:row>
    <x:row r="13" ht="76" customHeight="1">
      <x:c r="A13" s="2" t="str">
        <x:v>G5</x:v>
      </x:c>
      <x:c r="B13" s="2" t="str">
        <x:v>v1</x:v>
      </x:c>
      <x:c r="C13" s="2" t="str">
        <x:v>Reviewer_B</x:v>
      </x:c>
      <x:c r="D13" s="2" t="str">
        <x:v>Reviewer_B</x:v>
      </x:c>
      <x:c r="E13" s="2" t="n">
        <x:v>1</x:v>
      </x:c>
      <x:c r="F13" s="2" t="n">
        <x:v>1</x:v>
      </x:c>
      <x:c r="G13" s="2" t="n">
        <x:v>0.5</x:v>
      </x:c>
      <x:c r="H13" s="2" t="n">
        <x:v>0.5</x:v>
      </x:c>
      <x:c r="I13" s="2" t="n">
        <x:v>1</x:v>
      </x:c>
      <x:c r="J13" s="2" t="n">
        <x:v>0.5</x:v>
      </x:c>
      <x:c r="K13" s="2" t="n">
        <x:v>0.5</x:v>
      </x:c>
      <x:c r="L13" s="2" t="n">
        <x:v>0.5</x:v>
      </x:c>
      <x:c r="M13" s="2" t="n">
        <x:v>0.5</x:v>
      </x:c>
      <x:c r="N13" s="2" t="n">
        <x:v>1</x:v>
      </x:c>
      <x:c r="O13" s="6" t="str">
        <x:v>Location: `G5_video_page.png`、`G5_page_description.png`、[00:00]; Rationale: 简介原文署名「Jay Thomas (**LDRA**)」，频道为 Flight Software Workshop（提供 LinkedIn）；机构与安全关键工具专长可核验（机构统一写作 TASKING（原 LDRA））; Verbatim excerpt: NR (not stored separately in the source evaluation record)</x:v>
      </x:c>
      <x:c r="P13" s="6" t="str">
        <x:v>Location: [00:00]、[00:23]、[05:16]、`G5_page_description.png`; Rationale: 简介把报告定位为「**a traceability and testing methodology to avoid hallucinations**」，视频内目标（LLM 辅助测试生成并把测试连到需求）与范围（LLM 代码生成现状 → 需求读取 → 工具链与标准）明确; Verbatim excerpt: NR (not stored separately in the source evaluation record)</x:v>
      </x:c>
      <x:c r="Q13" s="6" t="str">
        <x:v>Location: [05:16]、[09:56]、[12:05]、`G5_page_description.png`; Rationale: 描述能力路径（MCP 协议接本地工具、LLM 读需求、跨工具范围合并），简介亦称其为「methodology」；但材料未给出可复现的步骤或具体案例/数据，故仍记 0.5; Verbatim excerpt: NR (not stored separately in the source evaluation record)</x:v>
      </x:c>
      <x:c r="R13" s="6" t="str">
        <x:v>Location: [04:03]、[12:28]、[12:59]; Rationale: 主张由工具能力与标准（DO-178C、ISO 26262、NPR 7150.2D）定位支撑，无引用与独立验证; Verbatim excerpt: NR (not stored separately in the source evaluation record)</x:v>
      </x:c>
      <x:c r="S13" s="6" t="str">
        <x:v>Location: [03:53]、[07:06]、[07:33]、[13:46]; Rationale: 大篇幅讨论幻觉成因（上下文与提示不足）、LLM 的概率性本质与人工复核边界，局限与威胁讨论充分; Verbatim excerpt: NR (not stored separately in the source evaluation record)</x:v>
      </x:c>
      <x:c r="T13" s="6" t="str">
        <x:v>Location: [13:46]、[17:17]、`G5_page_description.png`; Rationale: 对 LLM 局限坦诚，但整体为厂商宣讲、结论偏推销（「2026 用 LLM 写得比人好」），利益披露有限；简介本身**无付费课程/优惠码等引流**（与 G1 判 0 的情形不同）; Verbatim excerpt: NR (not stored separately in the source evaluation record)</x:v>
      </x:c>
      <x:c r="U13" s="6" t="str">
        <x:v>Location: [12:05]–[13:06]; Rationale: 结论基于工具能力与个人经验，无测量或案例数据，存在外推; Verbatim excerpt: NR (not stored separately in the source evaluation record)</x:v>
      </x:c>
      <x:c r="V13" s="6" t="str">
        <x:v>Location: `G5_page_description.png`（页面 **2026-03-22**；评估包原记 2026-03-21）; Rationale: 发布日与访问日期均可核验（与包记相差 1 天，疑为日期字段/时区差异）；无版本记录，故 0.5; Verbatim excerpt: NR (not stored separately in the source evaluation record)</x:v>
      </x:c>
      <x:c r="W13" s="6" t="str">
        <x:v>Location: 全片、`G5_page_description.png`; Rationale: 面向长周期 NASA 飞行软件的 LLM + 追溯方法学有价值，但**与 G6 同源、内容重叠**，独立增量有限; Verbatim excerpt: NR (not stored separately in the source evaluation record)</x:v>
      </x:c>
      <x:c r="X13" s="6" t="str">
        <x:v>Location: `G5_video_page.png`、`G5_page_description.png`; Rationale: 频道稳定（Flight Software Workshop，订阅约 3,260），视频详细信息栏核验观看 271、日期 2026年3月22日; Verbatim excerpt: NR (not stored separately in the source evaluation record)</x:v>
      </x:c>
      <x:c r="Y13" s="2" t="n">
        <x:f>IF(COUNT(E13:N13)=0,"",ROUND(AVERAGE(E13:N13),3))</x:f>
        <x:v>0.7</x:v>
      </x:c>
      <x:c r="Z13" s="2" t="str">
        <x:f>IF(Y13="","",IF(Y13&lt;0.5,"QA_EXCLUDE_GREY",IF(Y13=0.5,"QA_INCLUDE_WEAK","QA_INCLUDE_STANDARD")))</x:f>
        <x:v>QA_INCLUDE_STANDARD</x:v>
      </x:c>
      <x:c r="AA13" s="2" t="str">
        <x:v>QA_INCLUDE_STANDARD</x:v>
      </x:c>
      <x:c r="AB13" s="2" t="str">
        <x:v>NA</x:v>
      </x:c>
      <x:c r="AC13" s="2" t="str">
        <x:v>Material page metrics (view count, likes and subscriber count) shown in the archived page captures</x:v>
      </x:c>
      <x:c r="AD13" s="2" t="str">
        <x:v>2026-10-15</x:v>
      </x:c>
      <x:c r="AE13" s="2" t="str">
        <x:v>2026-08-01</x:v>
      </x:c>
      <x:c r="AF13" s="6" t="str">
        <x:v>Scores and per-item evidence transcribed from the review record for this channel.</x:v>
      </x:c>
    </x:row>
    <x:row r="14" ht="76" customHeight="1">
      <x:c r="A14" s="2" t="str">
        <x:v>G6</x:v>
      </x:c>
      <x:c r="B14" s="2" t="str">
        <x:v>v1</x:v>
      </x:c>
      <x:c r="C14" s="2" t="str">
        <x:v>Reviewer_A</x:v>
      </x:c>
      <x:c r="D14" s="2" t="str">
        <x:v>Reviewer_A</x:v>
      </x:c>
      <x:c r="E14" s="2" t="n">
        <x:v>1</x:v>
      </x:c>
      <x:c r="F14" s="2" t="n">
        <x:v>1</x:v>
      </x:c>
      <x:c r="G14" s="2" t="n">
        <x:v>1</x:v>
      </x:c>
      <x:c r="H14" s="2" t="n">
        <x:v>1</x:v>
      </x:c>
      <x:c r="I14" s="2" t="n">
        <x:v>1</x:v>
      </x:c>
      <x:c r="J14" s="2" t="n">
        <x:v>1</x:v>
      </x:c>
      <x:c r="K14" s="2" t="n">
        <x:v>0.5</x:v>
      </x:c>
      <x:c r="L14" s="2" t="n">
        <x:v>0.5</x:v>
      </x:c>
      <x:c r="M14" s="2" t="n">
        <x:v>0.5</x:v>
      </x:c>
      <x:c r="N14" s="2" t="n">
        <x:v>1</x:v>
      </x:c>
      <x:c r="O14" s="6" t="str">
        <x:v>NR</x:v>
      </x:c>
      <x:c r="P14" s="6" t="str">
        <x:v>NR</x:v>
      </x:c>
      <x:c r="Q14" s="6" t="str">
        <x:v>NR</x:v>
      </x:c>
      <x:c r="R14" s="6" t="str">
        <x:v>NR</x:v>
      </x:c>
      <x:c r="S14" s="6" t="str">
        <x:v>NR</x:v>
      </x:c>
      <x:c r="T14" s="6" t="str">
        <x:v>NR</x:v>
      </x:c>
      <x:c r="U14" s="6" t="str">
        <x:v>NR</x:v>
      </x:c>
      <x:c r="V14" s="6" t="str">
        <x:v>NR</x:v>
      </x:c>
      <x:c r="W14" s="6" t="str">
        <x:v>NR</x:v>
      </x:c>
      <x:c r="X14" s="6" t="str">
        <x:v>NR</x:v>
      </x:c>
      <x:c r="Y14" s="2" t="n">
        <x:f>IF(COUNT(E14:N14)=0,"",ROUND(AVERAGE(E14:N14),3))</x:f>
        <x:v>0.85</x:v>
      </x:c>
      <x:c r="Z14" s="2" t="str">
        <x:f>IF(Y14="","",IF(Y14&lt;0.5,"QA_EXCLUDE_GREY",IF(Y14=0.5,"QA_INCLUDE_WEAK","QA_INCLUDE_STANDARD")))</x:f>
        <x:v>QA_INCLUDE_STANDARD</x:v>
      </x:c>
      <x:c r="AA14" s="2" t="str">
        <x:v>QA_INCLUDE_STANDARD</x:v>
      </x:c>
      <x:c r="AB14" s="2" t="str">
        <x:v>NA</x:v>
      </x:c>
      <x:c r="AC14" s="2" t="str">
        <x:v>Material page metrics (view count, likes and subscriber count) shown in the archived page captures</x:v>
      </x:c>
      <x:c r="AD14" s="2" t="str">
        <x:v>2026-10-15</x:v>
      </x:c>
      <x:c r="AE14" s="2" t="str">
        <x:v>2026-07-23</x:v>
      </x:c>
      <x:c r="AF14" s="6" t="str">
        <x:v>Scores transcribed from the first review record for this channel; per-item evidence locations are not recorded separately in that record.</x:v>
      </x:c>
    </x:row>
    <x:row r="15" ht="76" customHeight="1">
      <x:c r="A15" s="2" t="str">
        <x:v>G6</x:v>
      </x:c>
      <x:c r="B15" s="2" t="str">
        <x:v>v1</x:v>
      </x:c>
      <x:c r="C15" s="2" t="str">
        <x:v>Reviewer_B</x:v>
      </x:c>
      <x:c r="D15" s="2" t="str">
        <x:v>Reviewer_B</x:v>
      </x:c>
      <x:c r="E15" s="2" t="n">
        <x:v>1</x:v>
      </x:c>
      <x:c r="F15" s="2" t="n">
        <x:v>1</x:v>
      </x:c>
      <x:c r="G15" s="2" t="n">
        <x:v>1</x:v>
      </x:c>
      <x:c r="H15" s="2" t="n">
        <x:v>0.5</x:v>
      </x:c>
      <x:c r="I15" s="2" t="n">
        <x:v>1</x:v>
      </x:c>
      <x:c r="J15" s="2" t="n">
        <x:v>0.5</x:v>
      </x:c>
      <x:c r="K15" s="2" t="n">
        <x:v>0.5</x:v>
      </x:c>
      <x:c r="L15" s="2" t="n">
        <x:v>0.5</x:v>
      </x:c>
      <x:c r="M15" s="2" t="n">
        <x:v>1</x:v>
      </x:c>
      <x:c r="N15" s="2" t="n">
        <x:v>1</x:v>
      </x:c>
      <x:c r="O15" s="6" t="str">
        <x:v>Location: [00:02]–[00:12]、`G6_video_page.png`、`G6_page_description.png`; Rationale: 讲者 Jamie Kennedy 自报隶属 TASKING（原 LDRA），简介亦署名「Jamie Kennedy (**LDRA**)」；频道带 JHU/APL 标签，角色与嵌入式测试/覆盖率专长可核验; Verbatim excerpt: NR (not stored separately in the source evaluation record)</x:v>
      </x:c>
      <x:c r="P15" s="6" t="str">
        <x:v>Location: [00:12]、[02:18]–[02:34]、`G6_page_description.png`; Rationale: 目标与范围明确：报告名为「LLM-Assisted Automatic MC/DC Test Generation and Requirements Traceability for Long-Duration NASA Flight Software」，视频内议程（why/what/where AI/how 生成/traceability/human-in-loop）清楚; Verbatim excerpt: NR (not stored separately in the source evaluation record)</x:v>
      </x:c>
      <x:c r="Q15" s="6" t="str">
        <x:v>Location: [05:11]–[06:17]、[11:48]–[13:54]; Rationale: 给出可复现流程：MC/DC 规划器真值表 + 测试用例模板 → 喂给 LLM → 生成 TCF（约 80% 可用）；并给出 2n+1 公式与 x/y/z 具体示例; Verbatim excerpt: NR (not stored separately in the source evaluation record)</x:v>
      </x:c>
      <x:c r="R15" s="6" t="str">
        <x:v>Location: [13:58]、[14:15]、[17:37]; Rationale: 主张由现场演示与真实失败案例（Ada 代码把关键字当变量名）支撑，但无引用与独立验证; Verbatim excerpt: NR (not stored separately in the source evaluation record)</x:v>
      </x:c>
      <x:c r="S15" s="6" t="str">
        <x:v>Location: [13:58]–[15:00]、[20:03]–[20:22]; Rationale: 充分讨论局限：LLM 仍会出错、不可完全信任、须切小问题、必须人工在环，否则「机器会忽略并幻觉」; Verbatim excerpt: NR (not stored separately in the source evaluation record)</x:v>
      </x:c>
      <x:c r="T15" s="6" t="str">
        <x:v>Location: [00:53]、[11:11]、[16:45]、`G6_page_description.png`; Rationale: 坦诚承认 AI 弱点，但明确展示并推销 TASKING AI 产品页、希望用户采用其单元测试套件，利益披露不完全；简介本身**无付费课程/优惠码等引流**（与 G1 判 0 的情形不同）; Verbatim excerpt: NR (not stored separately in the source evaluation record)</x:v>
      </x:c>
      <x:c r="U15" s="6" t="str">
        <x:v>Location: [10:21]、[04:59]; Rationale: 结论有演示与经验支撑（约 80% 的 TCF、覆盖率视图），但无测量数据与项目实证; Verbatim excerpt: NR (not stored separately in the source evaluation record)</x:v>
      </x:c>
      <x:c r="V15" s="6" t="str">
        <x:v>Location: `G6_page_description.png`（页面 **2026-04-07**，与评估包记录一致）; Rationale: 发布日与访问日期均可核验（日期无 ±1 天偏移），但无版本记录，故 0.5; Verbatim excerpt: NR (not stored separately in the source evaluation record)</x:v>
      </x:c>
      <x:c r="W15" s="6" t="str">
        <x:v>Location: [00:12]、[11:48]; Rationale: 新情境 + 可操作流程：LLM 辅助的 MC/DC 测试生成与需求追溯（长周期航天软件），本渠道内独一无二; Verbatim excerpt: NR (not stored separately in the source evaluation record)</x:v>
      </x:c>
      <x:c r="X15" s="6" t="str">
        <x:v>Location: `G6_page_description.png`; Rationale: 来源稳定（Flight Software Workshop 频道，订阅约 3,260）且有可核验影响指标：视频详细信息栏显示观看**96**、日期 2026年4月7日（把评估包记录的「约 96」精确核验为 96；此前 0.5 仅因本地频道页截图未显示观看数）; Verbatim excerpt: NR (not stored separately in the source evaluation record)</x:v>
      </x:c>
      <x:c r="Y15" s="2" t="n">
        <x:f>IF(COUNT(E15:N15)=0,"",ROUND(AVERAGE(E15:N15),3))</x:f>
        <x:v>0.8</x:v>
      </x:c>
      <x:c r="Z15" s="2" t="str">
        <x:f>IF(Y15="","",IF(Y15&lt;0.5,"QA_EXCLUDE_GREY",IF(Y15=0.5,"QA_INCLUDE_WEAK","QA_INCLUDE_STANDARD")))</x:f>
        <x:v>QA_INCLUDE_STANDARD</x:v>
      </x:c>
      <x:c r="AA15" s="2" t="str">
        <x:v>QA_INCLUDE_STANDARD</x:v>
      </x:c>
      <x:c r="AB15" s="2" t="str">
        <x:v>NA</x:v>
      </x:c>
      <x:c r="AC15" s="2" t="str">
        <x:v>Material page metrics (view count, likes and subscriber count) shown in the archived page captures</x:v>
      </x:c>
      <x:c r="AD15" s="2" t="str">
        <x:v>2026-10-15</x:v>
      </x:c>
      <x:c r="AE15" s="2" t="str">
        <x:v>2026-08-01</x:v>
      </x:c>
      <x:c r="AF15" s="6" t="str">
        <x:v>Scores and per-item evidence transcribed from the review record for this channel.</x:v>
      </x:c>
    </x:row>
    <x:row r="16" ht="76" customHeight="1">
      <x:c r="A16" s="2" t="str">
        <x:v>G7</x:v>
      </x:c>
      <x:c r="B16" s="2" t="str">
        <x:v>v1</x:v>
      </x:c>
      <x:c r="C16" s="2" t="str">
        <x:v>Reviewer_A</x:v>
      </x:c>
      <x:c r="D16" s="2" t="str">
        <x:v>Reviewer_A</x:v>
      </x:c>
      <x:c r="E16" s="2" t="n">
        <x:v>1</x:v>
      </x:c>
      <x:c r="F16" s="2" t="n">
        <x:v>1</x:v>
      </x:c>
      <x:c r="G16" s="2" t="n">
        <x:v>1</x:v>
      </x:c>
      <x:c r="H16" s="2" t="n">
        <x:v>1</x:v>
      </x:c>
      <x:c r="I16" s="2" t="n">
        <x:v>1</x:v>
      </x:c>
      <x:c r="J16" s="2" t="n">
        <x:v>1</x:v>
      </x:c>
      <x:c r="K16" s="2" t="n">
        <x:v>1</x:v>
      </x:c>
      <x:c r="L16" s="2" t="n">
        <x:v>0.5</x:v>
      </x:c>
      <x:c r="M16" s="2" t="n">
        <x:v>1</x:v>
      </x:c>
      <x:c r="N16" s="2" t="n">
        <x:v>0.5</x:v>
      </x:c>
      <x:c r="O16" s="6" t="str">
        <x:v>NR</x:v>
      </x:c>
      <x:c r="P16" s="6" t="str">
        <x:v>NR</x:v>
      </x:c>
      <x:c r="Q16" s="6" t="str">
        <x:v>NR</x:v>
      </x:c>
      <x:c r="R16" s="6" t="str">
        <x:v>NR</x:v>
      </x:c>
      <x:c r="S16" s="6" t="str">
        <x:v>NR</x:v>
      </x:c>
      <x:c r="T16" s="6" t="str">
        <x:v>NR</x:v>
      </x:c>
      <x:c r="U16" s="6" t="str">
        <x:v>NR</x:v>
      </x:c>
      <x:c r="V16" s="6" t="str">
        <x:v>NR</x:v>
      </x:c>
      <x:c r="W16" s="6" t="str">
        <x:v>NR</x:v>
      </x:c>
      <x:c r="X16" s="6" t="str">
        <x:v>NR</x:v>
      </x:c>
      <x:c r="Y16" s="2" t="n">
        <x:f>IF(COUNT(E16:N16)=0,"",ROUND(AVERAGE(E16:N16),3))</x:f>
        <x:v>0.9</x:v>
      </x:c>
      <x:c r="Z16" s="2" t="str">
        <x:f>IF(Y16="","",IF(Y16&lt;0.5,"QA_EXCLUDE_GREY",IF(Y16=0.5,"QA_INCLUDE_WEAK","QA_INCLUDE_STANDARD")))</x:f>
        <x:v>QA_INCLUDE_STANDARD</x:v>
      </x:c>
      <x:c r="AA16" s="2" t="str">
        <x:v>QA_INCLUDE_STANDARD</x:v>
      </x:c>
      <x:c r="AB16" s="2" t="str">
        <x:v>NA</x:v>
      </x:c>
      <x:c r="AC16" s="2" t="str">
        <x:v>Material page metrics (view count, likes and subscriber count) shown in the archived page captures</x:v>
      </x:c>
      <x:c r="AD16" s="2" t="str">
        <x:v>2026-10-15</x:v>
      </x:c>
      <x:c r="AE16" s="2" t="str">
        <x:v>2026-07-23</x:v>
      </x:c>
      <x:c r="AF16" s="6" t="str">
        <x:v>Scores transcribed from the first review record for this channel; per-item evidence locations are not recorded separately in that record.</x:v>
      </x:c>
    </x:row>
    <x:row r="17" ht="76" customHeight="1">
      <x:c r="A17" s="2" t="str">
        <x:v>G7</x:v>
      </x:c>
      <x:c r="B17" s="2" t="str">
        <x:v>v1</x:v>
      </x:c>
      <x:c r="C17" s="2" t="str">
        <x:v>Reviewer_B</x:v>
      </x:c>
      <x:c r="D17" s="2" t="str">
        <x:v>Reviewer_B</x:v>
      </x:c>
      <x:c r="E17" s="2" t="n">
        <x:v>1</x:v>
      </x:c>
      <x:c r="F17" s="2" t="n">
        <x:v>1</x:v>
      </x:c>
      <x:c r="G17" s="2" t="n">
        <x:v>1</x:v>
      </x:c>
      <x:c r="H17" s="2" t="n">
        <x:v>1</x:v>
      </x:c>
      <x:c r="I17" s="2" t="n">
        <x:v>1</x:v>
      </x:c>
      <x:c r="J17" s="2" t="n">
        <x:v>1</x:v>
      </x:c>
      <x:c r="K17" s="2" t="n">
        <x:v>0.5</x:v>
      </x:c>
      <x:c r="L17" s="2" t="n">
        <x:v>0.5</x:v>
      </x:c>
      <x:c r="M17" s="2" t="n">
        <x:v>1</x:v>
      </x:c>
      <x:c r="N17" s="2" t="n">
        <x:v>1</x:v>
      </x:c>
      <x:c r="O17" s="6" t="str">
        <x:v>Location: `G7_video_page.png`、`G7_page_description.png`、[01:14]; Rationale: 讲者 Daniel Woste / Maximilian Pabinger 隶属 useblocks，机构、角色与 Sphinx-Needs 专长可核验；简介为会议官方说明（OCX26 的 OC for Automotive）; Verbatim excerpt: NR (not stored separately in the source evaluation record)</x:v>
      </x:c>
      <x:c r="P17" s="6" t="str">
        <x:v>Location: [00:28]–[01:00]、`G7_page_description.png`; Rationale: 目标（把 AI 集成进工程追溯/合规/文档工作流）与范围（docs-as-code → traceability graph → AI 集成 → 治理议题）明确；简介给出完整议程与 Key topics 清单; Verbatim excerpt: NR (not stored separately in the source evaluation record)</x:v>
      </x:c>
      <x:c r="Q17" s="6" t="str">
        <x:v>Location: 章节 01:49、03:41、06:25、14:46、16:20; Rationale: 方法具体且可定位：docs-as-code 结构化文本 + Sphinx-Needs needs 对象 + traceability graph；AI 侧为 Pharaoh agent 经 MCP 查询并按规则/本体校验；16:20 有现场追溯校验示例; Verbatim excerpt: NR (not stored separately in the source evaluation record)</x:v>
      </x:c>
      <x:c r="R17" s="6" t="str">
        <x:v>Location: `G7_page_description.png`（Why this matters）、[18:36]、[20:32]; Rationale: 主张由演示、规则校验与框架对比（Pharaoh 11,000 tokens vs 其他近 70,000）支撑；简介明确贡献定位（从「experimental AI usage」走向「structured, production-ready workflows」，并对齐 ISO 26262/ASPICE）; Verbatim excerpt: NR (not stored separately in the source evaluation record)</x:v>
      </x:c>
      <x:c r="S17" s="6" t="str">
        <x:v>Location: 章节 22:14、25:22、32:02、34:50、37:28、`G7_page_description.png`; Rationale: 专门讨论边界与风险：简介写明「unrestricted access to large datasets introduces**context and reliability challenges**」与 AI 治理未决问题（责任、agent 行为可追溯性）；章节含「当前 AI 工作流的局限」「AI 系统的确定性控制」「验证与强制执行机制」; Verbatim excerpt: NR (not stored separately in the source evaluation record)</x:v>
      </x:c>
      <x:c r="T17" s="6" t="str">
        <x:v>Location: [08:53]、[09:28]、`G7_page_description.png`; Rationale: 主动披露商业动机（「how to make money a little bit with sphinx needs」）与产品线（ubicode/ubitrace），并公开不确定性与风险；简介本身无付费引流; Verbatim excerpt: NR (not stored separately in the source evaluation record)</x:v>
      </x:c>
      <x:c r="U17" s="6" t="str">
        <x:v>Location: 章节 18:10、20:00；[20:24]–[20:32]; Rationale: 章节含「真实 AI 原型演示」与「AI 方法评估与效率」（token 用量对比），属自测式评估；但无独立基准与准确性数据，效果结论仍属观察性; Verbatim excerpt: NR (not stored separately in the source evaluation record)</x:v>
      </x:c>
      <x:c r="V17" s="6" t="str">
        <x:v>Location: `G7_page_description.png`（页面 **2026-04-30**，与评估包记录一致）; Rationale: 发布日与访问日期均可核验（日期无偏移），但无版本记录，故 0.5; Verbatim excerpt: NR (not stored separately in the source evaluation record)</x:v>
      </x:c>
      <x:c r="W17" s="6" t="str">
        <x:v>Location: `G7_page_description.png`、章节 11:45、14:46、16:20; Rationale: 新方法与情境：以 traceability graph 校验 AI 生成内容（需求、架构、测试用例、源码链接）的一致性，并给出开源 Pharaoh agent 框架与受控数据访问（MCP）; Verbatim excerpt: NR (not stored separately in the source evaluation record)</x:v>
      </x:c>
      <x:c r="X17" s="6" t="str">
        <x:v>Location: `G7_page_description.png`; Rationale: 频道稳定（Open Community Experience，订阅约 156），页面显示观看 385、点赞 5、日期 2026年4月30日，均可核验; Verbatim excerpt: NR (not stored separately in the source evaluation record)</x:v>
      </x:c>
      <x:c r="Y17" s="2" t="n">
        <x:f>IF(COUNT(E17:N17)=0,"",ROUND(AVERAGE(E17:N17),3))</x:f>
        <x:v>0.9</x:v>
      </x:c>
      <x:c r="Z17" s="2" t="str">
        <x:f>IF(Y17="","",IF(Y17&lt;0.5,"QA_EXCLUDE_GREY",IF(Y17=0.5,"QA_INCLUDE_WEAK","QA_INCLUDE_STANDARD")))</x:f>
        <x:v>QA_INCLUDE_STANDARD</x:v>
      </x:c>
      <x:c r="AA17" s="2" t="str">
        <x:v>QA_INCLUDE_STANDARD</x:v>
      </x:c>
      <x:c r="AB17" s="2" t="str">
        <x:v>NA</x:v>
      </x:c>
      <x:c r="AC17" s="2" t="str">
        <x:v>Material page metrics (view count, likes and subscriber count) shown in the archived page captures</x:v>
      </x:c>
      <x:c r="AD17" s="2" t="str">
        <x:v>2026-10-15</x:v>
      </x:c>
      <x:c r="AE17" s="2" t="str">
        <x:v>2026-08-01</x:v>
      </x:c>
      <x:c r="AF17" s="6" t="str">
        <x:v>Scores and per-item evidence transcribed from the review record for this channel.</x:v>
      </x:c>
    </x:row>
    <x:row r="18" ht="76" customHeight="1">
      <x:c r="A18" s="2" t="str">
        <x:v>G8</x:v>
      </x:c>
      <x:c r="B18" s="2" t="str">
        <x:v>v1</x:v>
      </x:c>
      <x:c r="C18" s="2" t="str">
        <x:v>Reviewer_A</x:v>
      </x:c>
      <x:c r="D18" s="2" t="str">
        <x:v>Reviewer_A</x:v>
      </x:c>
      <x:c r="E18" s="2" t="n">
        <x:v>0.5</x:v>
      </x:c>
      <x:c r="F18" s="2" t="n">
        <x:v>1</x:v>
      </x:c>
      <x:c r="G18" s="2" t="n">
        <x:v>1</x:v>
      </x:c>
      <x:c r="H18" s="2" t="n">
        <x:v>0.5</x:v>
      </x:c>
      <x:c r="I18" s="2" t="n">
        <x:v>0.5</x:v>
      </x:c>
      <x:c r="J18" s="2" t="n">
        <x:v>0.5</x:v>
      </x:c>
      <x:c r="K18" s="2" t="n">
        <x:v>1</x:v>
      </x:c>
      <x:c r="L18" s="2" t="n">
        <x:v>0.5</x:v>
      </x:c>
      <x:c r="M18" s="2" t="n">
        <x:v>0.5</x:v>
      </x:c>
      <x:c r="N18" s="2" t="n">
        <x:v>1</x:v>
      </x:c>
      <x:c r="O18" s="6" t="str">
        <x:v>NR</x:v>
      </x:c>
      <x:c r="P18" s="6" t="str">
        <x:v>NR</x:v>
      </x:c>
      <x:c r="Q18" s="6" t="str">
        <x:v>NR</x:v>
      </x:c>
      <x:c r="R18" s="6" t="str">
        <x:v>NR</x:v>
      </x:c>
      <x:c r="S18" s="6" t="str">
        <x:v>NR</x:v>
      </x:c>
      <x:c r="T18" s="6" t="str">
        <x:v>NR</x:v>
      </x:c>
      <x:c r="U18" s="6" t="str">
        <x:v>NR</x:v>
      </x:c>
      <x:c r="V18" s="6" t="str">
        <x:v>NR</x:v>
      </x:c>
      <x:c r="W18" s="6" t="str">
        <x:v>NR</x:v>
      </x:c>
      <x:c r="X18" s="6" t="str">
        <x:v>NR</x:v>
      </x:c>
      <x:c r="Y18" s="2" t="n">
        <x:f>IF(COUNT(E18:N18)=0,"",ROUND(AVERAGE(E18:N18),3))</x:f>
        <x:v>0.7</x:v>
      </x:c>
      <x:c r="Z18" s="2" t="str">
        <x:f>IF(Y18="","",IF(Y18&lt;0.5,"QA_EXCLUDE_GREY",IF(Y18=0.5,"QA_INCLUDE_WEAK","QA_INCLUDE_STANDARD")))</x:f>
        <x:v>QA_INCLUDE_STANDARD</x:v>
      </x:c>
      <x:c r="AA18" s="2" t="str">
        <x:v>QA_INCLUDE_STANDARD</x:v>
      </x:c>
      <x:c r="AB18" s="2" t="str">
        <x:v>NA</x:v>
      </x:c>
      <x:c r="AC18" s="2" t="str">
        <x:v>Material page metrics (view count, likes and subscriber count) shown in the archived page captures</x:v>
      </x:c>
      <x:c r="AD18" s="2" t="str">
        <x:v>2026-10-15</x:v>
      </x:c>
      <x:c r="AE18" s="2" t="str">
        <x:v>2026-07-23</x:v>
      </x:c>
      <x:c r="AF18" s="6" t="str">
        <x:v>Scores transcribed from the first review record for this channel; per-item evidence locations are not recorded separately in that record.</x:v>
      </x:c>
    </x:row>
    <x:row r="19" ht="76" customHeight="1">
      <x:c r="A19" s="2" t="str">
        <x:v>G8</x:v>
      </x:c>
      <x:c r="B19" s="2" t="str">
        <x:v>v1</x:v>
      </x:c>
      <x:c r="C19" s="2" t="str">
        <x:v>Reviewer_B</x:v>
      </x:c>
      <x:c r="D19" s="2" t="str">
        <x:v>Reviewer_B</x:v>
      </x:c>
      <x:c r="E19" s="2" t="n">
        <x:v>1</x:v>
      </x:c>
      <x:c r="F19" s="2" t="n">
        <x:v>1</x:v>
      </x:c>
      <x:c r="G19" s="2" t="n">
        <x:v>1</x:v>
      </x:c>
      <x:c r="H19" s="2" t="n">
        <x:v>0.5</x:v>
      </x:c>
      <x:c r="I19" s="2" t="n">
        <x:v>0.5</x:v>
      </x:c>
      <x:c r="J19" s="2" t="n">
        <x:v>0</x:v>
      </x:c>
      <x:c r="K19" s="2" t="n">
        <x:v>0.5</x:v>
      </x:c>
      <x:c r="L19" s="2" t="n">
        <x:v>0.5</x:v>
      </x:c>
      <x:c r="M19" s="2" t="n">
        <x:v>1</x:v>
      </x:c>
      <x:c r="N19" s="2" t="n">
        <x:v>1</x:v>
      </x:c>
      <x:c r="O19" s="6" t="str">
        <x:v>Location: `G8_video_page.png`、`G8_page_description.png`; Rationale: 简介给出可核验的作者/机构线索：公司官网 aleonit.com、企业邮箱 ru@aleonit.com、LinkedIn /ru-perera；其专长与主题直接相关（以 Python + Claude API 构建 cFS 需求追溯 agent）。**注**：若严格区分「视频讲述者」与「联系人」，可回落 0.5（不影响纳入与判定档位）; Verbatim excerpt: NR (not stored separately in the source evaluation record)</x:v>
      </x:c>
      <x:c r="P19" s="6" t="str">
        <x:v>Location: [00:02]、[01:35]、[05:08]、`G8_page_description.png`; Rationale: 目标（自动化需求 ↔ 源码/单元测试/构建验证制品的映射）与范围（phase 1 两个应用、phase 2/3 规划；GUI + CLI 双工作流；面向 NASA 与使用 cFS 的商业公司）明确; Verbatim excerpt: NR (not stored separately in the source evaluation record)</x:v>
      </x:c>
      <x:c r="Q19" s="6" t="str">
        <x:v>Location: [00:16]、[01:59]–[02:26]、[04:32]、`G8_page_description.png`; Rationale: 方法与对象清楚：输入结构化需求文件 + 应用源码，AI 判定哪些函数与测试实现某条需求，按应用的自动配置系统；技术栈 Python + Claude API + cFS heritage codebase；输出 RTM 与函数级定位; Verbatim excerpt: NR (not stored separately in the source evaluation record)</x:v>
      </x:c>
      <x:c r="R19" s="6" t="str">
        <x:v>Location: [03:58]、[04:08]、`G8_page_description.png`; Rationale: 主张由演示支撑（含未找到构建脚本时留空的真实处理），简介亦说明设计原则（flagging uncertain mappings、留空而非幻觉）；但无引用、无与既有工具/方法的定位; Verbatim excerpt: NR (not stored separately in the source evaluation record)</x:v>
      </x:c>
      <x:c r="S19" s="6" t="str">
        <x:v>Location: [04:08]、[05:08]、`G8_page_description.png`; Rationale: 提及不确定性处理（无法定位时留空并交人工复核）与性能问题（20-35 条需求耗时 25 分钟、后续用 RAG 改进）；未讨论误映射风险、评测偏差等威胁; Verbatim excerpt: NR (not stored separately in the source evaluation record)</x:v>
      </x:c>
      <x:c r="T19" s="6" t="str">
        <x:v>Location: `G8_page_description.png` 首行、[05:52]; Rationale: 简介**首行即付费 cohort 招徕**（「Join the next cohort… https://ai.science/products-services/」），属**宣传性**内容，且无任何反证；按 G1 先例（同为付费引流）判 0。演示本身虽克制（如实留空），但不足以抵消首行引流; Verbatim excerpt: NR (not stored separately in the source evaluation record)</x:v>
      </x:c>
      <x:c r="U19" s="6" t="str">
        <x:v>Location: [02:55]、[03:39]、[05:08]、`G8_page_description.png`; Rationale: 结论由单次演示与运行时间观察支撑；简介承认「flagging uncertain mappings」「leaving gaps blank」，但无准确性（precision/recall）数据; Verbatim excerpt: NR (not stored separately in the source evaluation record)</x:v>
      </x:c>
      <x:c r="V19" s="6" t="str">
        <x:v>Location: `G8_page_description.png`（页面 **2026-05-18**，与评估包记录一致）; Rationale: 发布日与访问日期均可核验（日期无偏移），但无版本记录，故 0.5; Verbatim excerpt: NR (not stored separately in the source evaluation record)</x:v>
      </x:c>
      <x:c r="W19" s="6" t="str">
        <x:v>Location: `G8_page_description.png`、[00:16]、[01:35]、[04:08]; Rationale: 新情境与实现：CFS 飞行软件需求 → 代码 → 单元测试 → 构建验证的 agent 追溯；自动配置系统支持快速接入新应用，并显式处理不确定映射; Verbatim excerpt: NR (not stored separately in the source evaluation record)</x:v>
      </x:c>
      <x:c r="X19" s="6" t="str">
        <x:v>Location: `G8_video_page.png`、`G8_page_description.png`; Rationale: 频道稳定（订阅约 2.3 万），页面显示观看 115、点赞 3、日期 2026年5月18日，均可核验; Verbatim excerpt: NR (not stored separately in the source evaluation record)</x:v>
      </x:c>
      <x:c r="Y19" s="2" t="n">
        <x:f>IF(COUNT(E19:N19)=0,"",ROUND(AVERAGE(E19:N19),3))</x:f>
        <x:v>0.7</x:v>
      </x:c>
      <x:c r="Z19" s="2" t="str">
        <x:f>IF(Y19="","",IF(Y19&lt;0.5,"QA_EXCLUDE_GREY",IF(Y19=0.5,"QA_INCLUDE_WEAK","QA_INCLUDE_STANDARD")))</x:f>
        <x:v>QA_INCLUDE_STANDARD</x:v>
      </x:c>
      <x:c r="AA19" s="2" t="str">
        <x:v>QA_INCLUDE_STANDARD</x:v>
      </x:c>
      <x:c r="AB19" s="2" t="str">
        <x:v>NA</x:v>
      </x:c>
      <x:c r="AC19" s="2" t="str">
        <x:v>Material page metrics (view count, likes and subscriber count) shown in the archived page captures</x:v>
      </x:c>
      <x:c r="AD19" s="2" t="str">
        <x:v>2026-10-15</x:v>
      </x:c>
      <x:c r="AE19" s="2" t="str">
        <x:v>2026-08-01</x:v>
      </x:c>
      <x:c r="AF19" s="6" t="str">
        <x:v>Scores and per-item evidence transcribed from the review record for this channel.</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20" hidden="0" customWidth="1"/>
    <x:col min="3" max="3" width="52" hidden="0" customWidth="1"/>
    <x:col min="4" max="4" width="52" hidden="0" customWidth="1"/>
    <x:col min="5" max="5" width="20" hidden="0" customWidth="1"/>
  </x:cols>
  <x:sheetData>
    <x:row r="1" ht="38" customHeight="1">
      <x:c r="A1" s="5" t="str">
        <x:v>study_id</x:v>
      </x:c>
      <x:c r="B1" s="5" t="str">
        <x:v>citation_key</x:v>
      </x:c>
      <x:c r="C1" s="5" t="str">
        <x:v>resource_type</x:v>
      </x:c>
      <x:c r="D1" s="5" t="str">
        <x:v>access_location</x:v>
      </x:c>
      <x:c r="E1" s="5" t="str">
        <x:v>access_status</x:v>
      </x:c>
    </x:row>
    <x:row r="2" ht="23" customHeight="1">
      <x:c r="A2" s="2" t="str">
        <x:v>S01</x:v>
      </x:c>
      <x:c r="B2" s="2" t="str">
        <x:v>merged_0002</x:v>
      </x:c>
      <x:c r="C2" s="6" t="str">
        <x:v>Replication package</x:v>
      </x:c>
      <x:c r="D2" s="6" t="str">
        <x:v>https://doi.org/10.5281/zenodo.14714706</x:v>
      </x:c>
      <x:c r="E2" s="2" t="str">
        <x:v>Public</x:v>
      </x:c>
    </x:row>
    <x:row r="3" ht="28" customHeight="1">
      <x:c r="A3" s="2" t="str">
        <x:v>S02</x:v>
      </x:c>
      <x:c r="B3" s="2" t="str">
        <x:v>merged_0007</x:v>
      </x:c>
      <x:c r="C3" s="6" t="str">
        <x:v>Replication package</x:v>
      </x:c>
      <x:c r="D3" s="6" t="str">
        <x:v>https://figshare.com/s/d061a78ccc60eb7dff22; https://doi.org/10.5281/ZENODO.14506935</x:v>
      </x:c>
      <x:c r="E3" s="2" t="str">
        <x:v>Public</x:v>
      </x:c>
    </x:row>
    <x:row r="4" ht="28" customHeight="1">
      <x:c r="A4" s="2" t="str">
        <x:v>S03</x:v>
      </x:c>
      <x:c r="B4" s="2" t="str">
        <x:v>merged_0014</x:v>
      </x:c>
      <x:c r="C4" s="6" t="str">
        <x:v>Dataset</x:v>
      </x:c>
      <x:c r="D4" s="6" t="str">
        <x:v>https://www.csa.iisc.ac.in/~raghavan/icsme2016/; https://sourceforge.net/projects/jallinone/</x:v>
      </x:c>
      <x:c r="E4" s="2" t="str">
        <x:v>Public</x:v>
      </x:c>
    </x:row>
    <x:row r="5" ht="23" customHeight="1">
      <x:c r="A5" s="2" t="str">
        <x:v>S04</x:v>
      </x:c>
      <x:c r="B5" s="2" t="str">
        <x:v>merged_0075</x:v>
      </x:c>
      <x:c r="C5" s="6" t="str">
        <x:v>--</x:v>
      </x:c>
      <x:c r="D5" s="6" t="str">
        <x:v>--</x:v>
      </x:c>
      <x:c r="E5" s="2" t="str">
        <x:v>Not reported</x:v>
      </x:c>
    </x:row>
    <x:row r="6" ht="28" customHeight="1">
      <x:c r="A6" s="2" t="str">
        <x:v>S05</x:v>
      </x:c>
      <x:c r="B6" s="2" t="str">
        <x:v>merged_0077</x:v>
      </x:c>
      <x:c r="C6" s="6" t="str">
        <x:v>Replication package</x:v>
      </x:c>
      <x:c r="D6" s="6" t="str">
        <x:v>https://github.com/Alor-e/evaluating-llm-doc-code-traceability</x:v>
      </x:c>
      <x:c r="E6" s="2" t="str">
        <x:v>Public</x:v>
      </x:c>
    </x:row>
    <x:row r="7" ht="23" customHeight="1">
      <x:c r="A7" s="2" t="str">
        <x:v>S06</x:v>
      </x:c>
      <x:c r="B7" s="2" t="str">
        <x:v>merged_0079</x:v>
      </x:c>
      <x:c r="C7" s="6" t="str">
        <x:v>Replication package</x:v>
      </x:c>
      <x:c r="D7" s="6" t="str">
        <x:v>https://figshare.com/s/4cefb94b0a1817f2c1bb</x:v>
      </x:c>
      <x:c r="E7" s="2" t="str">
        <x:v>Public</x:v>
      </x:c>
    </x:row>
    <x:row r="8" ht="23" customHeight="1">
      <x:c r="A8" s="2" t="str">
        <x:v>S07</x:v>
      </x:c>
      <x:c r="B8" s="2" t="str">
        <x:v>merged_0110</x:v>
      </x:c>
      <x:c r="C8" s="6" t="str">
        <x:v>Replication package</x:v>
      </x:c>
      <x:c r="D8" s="6" t="str">
        <x:v>https://github.com/BaoLindgren/REST-at/</x:v>
      </x:c>
      <x:c r="E8" s="2" t="str">
        <x:v>Public</x:v>
      </x:c>
    </x:row>
    <x:row r="9" ht="23" customHeight="1">
      <x:c r="A9" s="2" t="str">
        <x:v>S08</x:v>
      </x:c>
      <x:c r="B9" s="2" t="str">
        <x:v>merged_0256</x:v>
      </x:c>
      <x:c r="C9" s="6" t="str">
        <x:v>Replication package</x:v>
      </x:c>
      <x:c r="D9" s="6" t="str">
        <x:v>https://doi.org/10.5281/zenodo.10149490</x:v>
      </x:c>
      <x:c r="E9" s="2" t="str">
        <x:v>Public</x:v>
      </x:c>
    </x:row>
    <x:row r="10" ht="23" customHeight="1">
      <x:c r="A10" s="2" t="str">
        <x:v>S09</x:v>
      </x:c>
      <x:c r="B10" s="2" t="str">
        <x:v>merged_1114</x:v>
      </x:c>
      <x:c r="C10" s="6" t="str">
        <x:v>--</x:v>
      </x:c>
      <x:c r="D10" s="6" t="str">
        <x:v>--</x:v>
      </x:c>
      <x:c r="E10" s="2" t="str">
        <x:v>Not reported</x:v>
      </x:c>
    </x:row>
    <x:row r="11" ht="23" customHeight="1">
      <x:c r="A11" s="2" t="str">
        <x:v>S10</x:v>
      </x:c>
      <x:c r="B11" s="2" t="str">
        <x:v>merged_1119</x:v>
      </x:c>
      <x:c r="C11" s="6" t="str">
        <x:v>Replication package</x:v>
      </x:c>
      <x:c r="D11" s="6" t="str">
        <x:v>https://figshare.com/s/3b9673176afe92929398</x:v>
      </x:c>
      <x:c r="E11" s="2" t="str">
        <x:v>Public</x:v>
      </x:c>
    </x:row>
    <x:row r="12" ht="23" customHeight="1">
      <x:c r="A12" s="2" t="str">
        <x:v>S11</x:v>
      </x:c>
      <x:c r="B12" s="2" t="str">
        <x:v>merged_1121</x:v>
      </x:c>
      <x:c r="C12" s="6" t="str">
        <x:v>--</x:v>
      </x:c>
      <x:c r="D12" s="6" t="str">
        <x:v>--</x:v>
      </x:c>
      <x:c r="E12" s="2" t="str">
        <x:v>Not reported</x:v>
      </x:c>
    </x:row>
    <x:row r="13" ht="28" customHeight="1">
      <x:c r="A13" s="2" t="str">
        <x:v>S12</x:v>
      </x:c>
      <x:c r="B13" s="2" t="str">
        <x:v>merged_1133</x:v>
      </x:c>
      <x:c r="C13" s="6" t="str">
        <x:v>Dataset; Replication package</x:v>
      </x:c>
      <x:c r="D13" s="6" t="str">
        <x:v>https://anonymous.4open.science/r/TraceLLM-4C72/; http://sarec.nd.edu/coest/datasets/EasyClinic.zip</x:v>
      </x:c>
      <x:c r="E13" s="2" t="str">
        <x:v>Public</x:v>
      </x:c>
    </x:row>
    <x:row r="14" ht="23" customHeight="1">
      <x:c r="A14" s="2" t="str">
        <x:v>S13</x:v>
      </x:c>
      <x:c r="B14" s="2" t="str">
        <x:v>merged_1140</x:v>
      </x:c>
      <x:c r="C14" s="6" t="str">
        <x:v>Replication package</x:v>
      </x:c>
      <x:c r="D14" s="6" t="str">
        <x:v>https://figshare.com/s/db6b8b237d0fddfbdd30</x:v>
      </x:c>
      <x:c r="E14" s="2" t="str">
        <x:v>Public</x:v>
      </x:c>
    </x:row>
    <x:row r="15" ht="28" customHeight="1">
      <x:c r="A15" s="2" t="str">
        <x:v>S14</x:v>
      </x:c>
      <x:c r="B15" s="2" t="str">
        <x:v>merged_1142</x:v>
      </x:c>
      <x:c r="C15" s="6" t="str">
        <x:v>Prompt; Replication package</x:v>
      </x:c>
      <x:c r="D15" s="6" t="str">
        <x:v>https://github.com/ZZYG0g0g0/NLPL-TLR; embedded in paper</x:v>
      </x:c>
      <x:c r="E15" s="2" t="str">
        <x:v>Public</x:v>
      </x:c>
    </x:row>
    <x:row r="16" ht="23" customHeight="1">
      <x:c r="A16" s="2" t="str">
        <x:v>S15</x:v>
      </x:c>
      <x:c r="B16" s="2" t="str">
        <x:v>merged_1143</x:v>
      </x:c>
      <x:c r="C16" s="6" t="str">
        <x:v>Replication package</x:v>
      </x:c>
      <x:c r="D16" s="6" t="str">
        <x:v>https://github.com/cmu-relab/goalgeneration</x:v>
      </x:c>
      <x:c r="E16" s="2" t="str">
        <x:v>Public</x:v>
      </x:c>
    </x:row>
    <x:row r="17" ht="23" customHeight="1">
      <x:c r="A17" s="2" t="str">
        <x:v>S16</x:v>
      </x:c>
      <x:c r="B17" s="2" t="str">
        <x:v>merged_1144</x:v>
      </x:c>
      <x:c r="C17" s="6" t="str">
        <x:v>Replication package</x:v>
      </x:c>
      <x:c r="D17" s="6" t="str">
        <x:v>https://figshare.com/s/d495f11c4cc5c1c72e68</x:v>
      </x:c>
      <x:c r="E17" s="2" t="str">
        <x:v>Public</x:v>
      </x:c>
    </x:row>
    <x:row r="18" ht="23" customHeight="1">
      <x:c r="A18" s="2" t="str">
        <x:v>S17</x:v>
      </x:c>
      <x:c r="B18" s="2" t="str">
        <x:v>merged_1148</x:v>
      </x:c>
      <x:c r="C18" s="6" t="str">
        <x:v>Code</x:v>
      </x:c>
      <x:c r="D18" s="6" t="str">
        <x:v>https://github.com/blueskysolarracing/stpa</x:v>
      </x:c>
      <x:c r="E18" s="2" t="str">
        <x:v>Public</x:v>
      </x:c>
    </x:row>
    <x:row r="19" ht="23" customHeight="1">
      <x:c r="A19" s="2" t="str">
        <x:v>S18</x:v>
      </x:c>
      <x:c r="B19" s="2" t="str">
        <x:v>merged_1149</x:v>
      </x:c>
      <x:c r="C19" s="6" t="str">
        <x:v>Replication package</x:v>
      </x:c>
      <x:c r="D19" s="6" t="str">
        <x:v>https://figshare.com/s/769b925bd426285e463b</x:v>
      </x:c>
      <x:c r="E19" s="2" t="str">
        <x:v>Public</x:v>
      </x:c>
    </x:row>
    <x:row r="20" ht="23" customHeight="1">
      <x:c r="A20" s="2" t="str">
        <x:v>S19</x:v>
      </x:c>
      <x:c r="B20" s="2" t="str">
        <x:v>merged_1150</x:v>
      </x:c>
      <x:c r="C20" s="6" t="str">
        <x:v>Replication package</x:v>
      </x:c>
      <x:c r="D20" s="6" t="str">
        <x:v>https://doi.org/10.6084/m9.figshare.27153441</x:v>
      </x:c>
      <x:c r="E20" s="2" t="str">
        <x:v>Public</x:v>
      </x:c>
    </x:row>
    <x:row r="21" ht="23" customHeight="1">
      <x:c r="A21" s="2" t="str">
        <x:v>S20</x:v>
      </x:c>
      <x:c r="B21" s="2" t="str">
        <x:v>merged_1151</x:v>
      </x:c>
      <x:c r="C21" s="6" t="str">
        <x:v>--</x:v>
      </x:c>
      <x:c r="D21" s="6" t="str">
        <x:v>--</x:v>
      </x:c>
      <x:c r="E21" s="2" t="str">
        <x:v>Not reported</x:v>
      </x:c>
    </x:row>
    <x:row r="22" ht="23" customHeight="1">
      <x:c r="A22" s="2" t="str">
        <x:v>S21</x:v>
      </x:c>
      <x:c r="B22" s="2" t="str">
        <x:v>merged_1152</x:v>
      </x:c>
      <x:c r="C22" s="6" t="str">
        <x:v>--</x:v>
      </x:c>
      <x:c r="D22" s="6" t="str">
        <x:v>--</x:v>
      </x:c>
      <x:c r="E22" s="2" t="str">
        <x:v>Not reported</x:v>
      </x:c>
    </x:row>
    <x:row r="23" ht="23" customHeight="1">
      <x:c r="A23" s="2" t="str">
        <x:v>S22</x:v>
      </x:c>
      <x:c r="B23" s="2" t="str">
        <x:v>merged_1154</x:v>
      </x:c>
      <x:c r="C23" s="6" t="str">
        <x:v>--</x:v>
      </x:c>
      <x:c r="D23" s="6" t="str">
        <x:v>--</x:v>
      </x:c>
      <x:c r="E23" s="2" t="str">
        <x:v>Not reported</x:v>
      </x:c>
    </x:row>
    <x:row r="24" ht="23" customHeight="1">
      <x:c r="A24" s="2" t="str">
        <x:v>S23</x:v>
      </x:c>
      <x:c r="B24" s="2" t="str">
        <x:v>merged_1156</x:v>
      </x:c>
      <x:c r="C24" s="6" t="str">
        <x:v>--</x:v>
      </x:c>
      <x:c r="D24" s="6" t="str">
        <x:v>--</x:v>
      </x:c>
      <x:c r="E24" s="2" t="str">
        <x:v>Not reported</x:v>
      </x:c>
    </x:row>
    <x:row r="25" ht="23" customHeight="1">
      <x:c r="A25" s="2" t="str">
        <x:v>S24</x:v>
      </x:c>
      <x:c r="B25" s="2" t="str">
        <x:v>merged_1172</x:v>
      </x:c>
      <x:c r="C25" s="6" t="str">
        <x:v>Prompt</x:v>
      </x:c>
      <x:c r="D25" s="6" t="str">
        <x:v>Embedded in appendix</x:v>
      </x:c>
      <x:c r="E25" s="2" t="str">
        <x:v>Public</x:v>
      </x:c>
    </x:row>
    <x:row r="26" ht="23" customHeight="1">
      <x:c r="A26" s="2" t="str">
        <x:v>S25</x:v>
      </x:c>
      <x:c r="B26" s="2" t="str">
        <x:v>merged_1185</x:v>
      </x:c>
      <x:c r="C26" s="6" t="str">
        <x:v>--</x:v>
      </x:c>
      <x:c r="D26" s="6" t="str">
        <x:v>--</x:v>
      </x:c>
      <x:c r="E26" s="2" t="str">
        <x:v>Not reported</x:v>
      </x:c>
    </x:row>
    <x:row r="27" ht="23" customHeight="1">
      <x:c r="A27" s="2" t="str">
        <x:v>S26</x:v>
      </x:c>
      <x:c r="B27" s="2" t="str">
        <x:v>merged_1212</x:v>
      </x:c>
      <x:c r="C27" s="6" t="str">
        <x:v>--</x:v>
      </x:c>
      <x:c r="D27" s="6" t="str">
        <x:v>--</x:v>
      </x:c>
      <x:c r="E27" s="2" t="str">
        <x:v>Not reported</x:v>
      </x:c>
    </x:row>
    <x:row r="28" ht="23" customHeight="1">
      <x:c r="A28" s="2" t="str">
        <x:v>S27</x:v>
      </x:c>
      <x:c r="B28" s="2" t="str">
        <x:v>merged_1213</x:v>
      </x:c>
      <x:c r="C28" s="6" t="str">
        <x:v>Replication package</x:v>
      </x:c>
      <x:c r="D28" s="6" t="str">
        <x:v>https://zenodo.org/doi/10.5281/zenodo.15837231</x:v>
      </x:c>
      <x:c r="E28" s="2" t="str">
        <x:v>Public</x:v>
      </x:c>
    </x:row>
    <x:row r="29" ht="23" customHeight="1">
      <x:c r="A29" s="2" t="str">
        <x:v>S28</x:v>
      </x:c>
      <x:c r="B29" s="2" t="str">
        <x:v>merged_1214</x:v>
      </x:c>
      <x:c r="C29" s="6" t="str">
        <x:v>Code</x:v>
      </x:c>
      <x:c r="D29" s="6" t="str">
        <x:v>https://github.com/junaidiiith/nl2codeTrace</x:v>
      </x:c>
      <x:c r="E29" s="2" t="str">
        <x:v>Public</x:v>
      </x:c>
    </x:row>
    <x:row r="30" ht="23" customHeight="1">
      <x:c r="A30" s="2" t="str">
        <x:v>S29</x:v>
      </x:c>
      <x:c r="B30" s="2" t="str">
        <x:v>merged_1215</x:v>
      </x:c>
      <x:c r="C30" s="6" t="str">
        <x:v>Replication package</x:v>
      </x:c>
      <x:c r="D30" s="6" t="str">
        <x:v>https://github.com/feifeiniu-se/TVR</x:v>
      </x:c>
      <x:c r="E30" s="2" t="str">
        <x:v>Public</x:v>
      </x:c>
    </x:row>
    <x:row r="31" ht="56" customHeight="1">
      <x:c r="A31" s="2" t="str">
        <x:v>S30</x:v>
      </x:c>
      <x:c r="B31" s="2" t="str">
        <x:v>merged_1218</x:v>
      </x:c>
      <x:c r="C31" s="6" t="str">
        <x:v>Code; Dataset; Replication package</x:v>
      </x:c>
      <x:c r="D31" s="6" t="str">
        <x:v>https://doi.org/10.5281/zenodo.15804044; https://gist.githubusercontent.com/tomasonjo/08dc8ba0e19d592c4c3cde40dd6abcc3/raw/e90b0c9386bf8be15b199e8ac8f83fc265a2ac57/microservices.json</x:v>
      </x:c>
      <x:c r="E31" s="2" t="str">
        <x:v>Public</x:v>
      </x:c>
    </x:row>
    <x:row r="32" ht="23" customHeight="1">
      <x:c r="A32" s="2" t="str">
        <x:v>S31</x:v>
      </x:c>
      <x:c r="B32" s="2" t="str">
        <x:v>merged_1219</x:v>
      </x:c>
      <x:c r="C32" s="6" t="str">
        <x:v>--</x:v>
      </x:c>
      <x:c r="D32" s="6" t="str">
        <x:v>--</x:v>
      </x:c>
      <x:c r="E32" s="2" t="str">
        <x:v>Not reported</x:v>
      </x:c>
    </x:row>
    <x:row r="33" ht="23" customHeight="1">
      <x:c r="A33" s="2" t="str">
        <x:v>S32</x:v>
      </x:c>
      <x:c r="B33" s="2" t="str">
        <x:v>merged_1220</x:v>
      </x:c>
      <x:c r="C33" s="6" t="str">
        <x:v>--</x:v>
      </x:c>
      <x:c r="D33" s="6" t="str">
        <x:v>--</x:v>
      </x:c>
      <x:c r="E33" s="2" t="str">
        <x:v>Not reported</x:v>
      </x:c>
    </x:row>
    <x:row r="34" ht="23" customHeight="1">
      <x:c r="A34" s="2" t="str">
        <x:v>S33</x:v>
      </x:c>
      <x:c r="B34" s="2" t="str">
        <x:v>merged_1222</x:v>
      </x:c>
      <x:c r="C34" s="6" t="str">
        <x:v>Code (plugin)</x:v>
      </x:c>
      <x:c r="D34" s="6" t="str">
        <x:v>Mentioned, no link</x:v>
      </x:c>
      <x:c r="E34" s="2" t="str">
        <x:v>Mentioned, no URL</x:v>
      </x:c>
    </x:row>
    <x:row r="35" ht="28" customHeight="1">
      <x:c r="A35" s="2" t="str">
        <x:v>S34</x:v>
      </x:c>
      <x:c r="B35" s="2" t="str">
        <x:v>merged_1224</x:v>
      </x:c>
      <x:c r="C35" s="6" t="str">
        <x:v>Replication package</x:v>
      </x:c>
      <x:c r="D35" s="6" t="str">
        <x:v>https://github.com/Djaber1979/-Behavioral-Augmentation-of-UML-Class-Diagrams</x:v>
      </x:c>
      <x:c r="E35" s="2" t="str">
        <x:v>Public</x:v>
      </x:c>
    </x:row>
    <x:row r="36" ht="42" customHeight="1">
      <x:c r="A36" s="2" t="str">
        <x:v>S35</x:v>
      </x:c>
      <x:c r="B36" s="2" t="str">
        <x:v>merged_1225</x:v>
      </x:c>
      <x:c r="C36" s="6" t="str">
        <x:v>Dataset</x:v>
      </x:c>
      <x:c r="D36" s="6" t="str">
        <x:v>https://github.com/uclibs/ucrate/tree/develop/spec/features; https://github.com/uclibs/scholar_use_cases</x:v>
      </x:c>
      <x:c r="E36" s="2" t="str">
        <x:v>Public</x:v>
      </x:c>
    </x:row>
    <x:row r="37" ht="23" customHeight="1">
      <x:c r="A37" s="2" t="str">
        <x:v>S36</x:v>
      </x:c>
      <x:c r="B37" s="2" t="str">
        <x:v>merged_1236</x:v>
      </x:c>
      <x:c r="C37" s="6" t="str">
        <x:v>Code</x:v>
      </x:c>
      <x:c r="D37" s="6" t="str">
        <x:v>https://github.com/barandincoguz/DDD-Enforcer</x:v>
      </x:c>
      <x:c r="E37" s="2" t="str">
        <x:v>Public</x:v>
      </x:c>
    </x:row>
    <x:row r="38" ht="42" customHeight="1">
      <x:c r="A38" s="2" t="str">
        <x:v>S37</x:v>
      </x:c>
      <x:c r="B38" s="2" t="str">
        <x:v>merged_1238</x:v>
      </x:c>
      <x:c r="C38" s="6" t="str">
        <x:v>Code; Dataset; Prompt; Tool</x:v>
      </x:c>
      <x:c r="D38" s="6" t="str">
        <x:v>Embedded in paper; https://github.com/xhluca/bm25s; https://github.com/taoxiaotao6/bpmn_converter; https://bpmn.io/toolkit/bPMn-js/; on request</x:v>
      </x:c>
      <x:c r="E38" s="2" t="str">
        <x:v>Public; request required</x:v>
      </x:c>
    </x:row>
    <x:row r="39" ht="28" customHeight="1">
      <x:c r="A39" s="2" t="str">
        <x:v>S38</x:v>
      </x:c>
      <x:c r="B39" s="2" t="str">
        <x:v>merged_1241</x:v>
      </x:c>
      <x:c r="C39" s="6" t="str">
        <x:v>Dataset</x:v>
      </x:c>
      <x:c r="D39" s="6" t="str">
        <x:v>https://github.com/jiangyili446/LusGen-Benchmark.git</x:v>
      </x:c>
      <x:c r="E39" s="2" t="str">
        <x:v>Public</x:v>
      </x:c>
    </x:row>
    <x:row r="40" ht="23" customHeight="1">
      <x:c r="A40" s="2" t="str">
        <x:v>S39</x:v>
      </x:c>
      <x:c r="B40" s="2" t="str">
        <x:v>merged_1245</x:v>
      </x:c>
      <x:c r="C40" s="6" t="str">
        <x:v>--</x:v>
      </x:c>
      <x:c r="D40" s="6" t="str">
        <x:v>--</x:v>
      </x:c>
      <x:c r="E40" s="2" t="str">
        <x:v>Not reported</x:v>
      </x:c>
    </x:row>
    <x:row r="41" ht="28" customHeight="1">
      <x:c r="A41" s="2" t="str">
        <x:v>S40</x:v>
      </x:c>
      <x:c r="B41" s="2" t="str">
        <x:v>merged_1263</x:v>
      </x:c>
      <x:c r="C41" s="6" t="str">
        <x:v>Code; Dataset</x:v>
      </x:c>
      <x:c r="D41" s="6" t="str">
        <x:v>Third-party benchmarks (SMOS, ETOUR, ITRUST, and DRONOLOGY); code on request</x:v>
      </x:c>
      <x:c r="E41" s="2" t="str">
        <x:v>Public; request required</x:v>
      </x:c>
    </x:row>
    <x:row r="42" ht="23" customHeight="1">
      <x:c r="A42" s="2" t="str">
        <x:v>S41</x:v>
      </x:c>
      <x:c r="B42" s="2" t="str">
        <x:v>merged_1264</x:v>
      </x:c>
      <x:c r="C42" s="6" t="str">
        <x:v>Replication package</x:v>
      </x:c>
      <x:c r="D42" s="6" t="str">
        <x:v>https://zenodo.org/records/17313282</x:v>
      </x:c>
      <x:c r="E42" s="2" t="str">
        <x:v>Public</x:v>
      </x:c>
    </x:row>
    <x:row r="43" ht="23" customHeight="1">
      <x:c r="A43" s="2" t="str">
        <x:v>S42</x:v>
      </x:c>
      <x:c r="B43" s="2" t="str">
        <x:v>merged_1266</x:v>
      </x:c>
      <x:c r="C43" s="6" t="str">
        <x:v>Replication package</x:v>
      </x:c>
      <x:c r="D43" s="6" t="str">
        <x:v>https://doi.org/10.5281/zenodo.14779457</x:v>
      </x:c>
      <x:c r="E43" s="2" t="str">
        <x:v>Public</x:v>
      </x:c>
    </x:row>
    <x:row r="44" ht="23" customHeight="1">
      <x:c r="A44" s="2" t="str">
        <x:v>S43</x:v>
      </x:c>
      <x:c r="B44" s="2" t="str">
        <x:v>merged_1270</x:v>
      </x:c>
      <x:c r="C44" s="6" t="str">
        <x:v>Code</x:v>
      </x:c>
      <x:c r="D44" s="6" t="str">
        <x:v>https://anonymous.4open.science/r/APSEC-5865/</x:v>
      </x:c>
      <x:c r="E44" s="2" t="str">
        <x:v>Public</x:v>
      </x:c>
    </x:row>
    <x:row r="45" ht="23" customHeight="1">
      <x:c r="A45" s="2" t="str">
        <x:v>S44</x:v>
      </x:c>
      <x:c r="B45" s="2" t="str">
        <x:v>merged_1274</x:v>
      </x:c>
      <x:c r="C45" s="6" t="str">
        <x:v>Dataset</x:v>
      </x:c>
      <x:c r="D45" s="6" t="str">
        <x:v>http://sarec.nd.edu/coest/datasets.html</x:v>
      </x:c>
      <x:c r="E45" s="2" t="str">
        <x:v>Public</x:v>
      </x:c>
    </x:row>
    <x:row r="46" ht="28" customHeight="1">
      <x:c r="A46" s="2" t="str">
        <x:v>S45</x:v>
      </x:c>
      <x:c r="B46" s="2" t="str">
        <x:v>merged_1275</x:v>
      </x:c>
      <x:c r="C46" s="6" t="str">
        <x:v>Replication package</x:v>
      </x:c>
      <x:c r="D46" s="6" t="str">
        <x:v>https://github.com/VibhaHippargi/CaseStudyonChatGPTforRE</x:v>
      </x:c>
      <x:c r="E46" s="2" t="str">
        <x:v>Public</x:v>
      </x:c>
    </x:row>
    <x:row r="47" ht="23" customHeight="1">
      <x:c r="A47" s="2" t="str">
        <x:v>S46</x:v>
      </x:c>
      <x:c r="B47" s="2" t="str">
        <x:v>merged_1293</x:v>
      </x:c>
      <x:c r="C47" s="6" t="str">
        <x:v>Replication package</x:v>
      </x:c>
      <x:c r="D47" s="6" t="str">
        <x:v>GitHub mentioned, no URL given</x:v>
      </x:c>
      <x:c r="E47" s="2" t="str">
        <x:v>Mentioned, no URL</x:v>
      </x:c>
    </x:row>
    <x:row r="48" ht="23" customHeight="1">
      <x:c r="A48" s="2" t="str">
        <x:v>S47</x:v>
      </x:c>
      <x:c r="B48" s="2" t="str">
        <x:v>merged_1302</x:v>
      </x:c>
      <x:c r="C48" s="6" t="str">
        <x:v>--</x:v>
      </x:c>
      <x:c r="D48" s="6" t="str">
        <x:v>--</x:v>
      </x:c>
      <x:c r="E48" s="2" t="str">
        <x:v>Not reported</x:v>
      </x:c>
    </x:row>
    <x:row r="49" ht="23" customHeight="1">
      <x:c r="A49" s="2" t="str">
        <x:v>S48</x:v>
      </x:c>
      <x:c r="B49" s="2" t="str">
        <x:v>merged_1441</x:v>
      </x:c>
      <x:c r="C49" s="6" t="str">
        <x:v>Replication package</x:v>
      </x:c>
      <x:c r="D49" s="6" t="str">
        <x:v>https://github.com/rain-so/LHGLink</x:v>
      </x:c>
      <x:c r="E49" s="2" t="str">
        <x:v>Public</x:v>
      </x:c>
    </x:row>
    <x:row r="50" ht="23" customHeight="1">
      <x:c r="A50" s="2" t="str">
        <x:v>S49</x:v>
      </x:c>
      <x:c r="B50" s="2" t="str">
        <x:v>merged_1486</x:v>
      </x:c>
      <x:c r="C50" s="6" t="str">
        <x:v>Code</x:v>
      </x:c>
      <x:c r="D50" s="6" t="str">
        <x:v>https://github.com/beatrizcabdan/GenAI4REtasks</x:v>
      </x:c>
      <x:c r="E50" s="2" t="str">
        <x:v>Public</x:v>
      </x:c>
    </x:row>
    <x:row r="51" ht="23" customHeight="1">
      <x:c r="A51" s="2" t="str">
        <x:v>S50</x:v>
      </x:c>
      <x:c r="B51" s="2" t="str">
        <x:v>snowball_00068</x:v>
      </x:c>
      <x:c r="C51" s="6" t="str">
        <x:v>Replication package</x:v>
      </x:c>
      <x:c r="D51" s="6" t="str">
        <x:v>Not publicly available</x:v>
      </x:c>
      <x:c r="E51" s="2" t="str">
        <x:v>Private</x:v>
      </x:c>
    </x:row>
    <x:row r="52" ht="28" customHeight="1">
      <x:c r="A52" s="2" t="str">
        <x:v>S51</x:v>
      </x:c>
      <x:c r="B52" s="2" t="str">
        <x:v>snowball_00085</x:v>
      </x:c>
      <x:c r="C52" s="6" t="str">
        <x:v>Replication package</x:v>
      </x:c>
      <x:c r="D52" s="6" t="str">
        <x:v>https://github.com/lreinpold/ONCON24_Requirements_Verification_by_LLM</x:v>
      </x:c>
      <x:c r="E52" s="2" t="str">
        <x:v>Public</x:v>
      </x:c>
    </x:row>
    <x:row r="53" ht="23" customHeight="1">
      <x:c r="A53" s="2" t="str">
        <x:v>S52</x:v>
      </x:c>
      <x:c r="B53" s="2" t="str">
        <x:v>snowball_00095</x:v>
      </x:c>
      <x:c r="C53" s="6" t="str">
        <x:v>Supplementary material</x:v>
      </x:c>
      <x:c r="D53" s="6" t="str">
        <x:v>https://zenodo.org/records/11403244</x:v>
      </x:c>
      <x:c r="E53" s="2" t="str">
        <x:v>Public</x:v>
      </x:c>
    </x:row>
    <x:row r="54" ht="42" customHeight="1">
      <x:c r="A54" s="2" t="str">
        <x:v>S53</x:v>
      </x:c>
      <x:c r="B54" s="2" t="str">
        <x:v>merged_1229</x:v>
      </x:c>
      <x:c r="C54" s="6" t="str">
        <x:v>Replication package</x:v>
      </x:c>
      <x:c r="D54" s="6" t="str">
        <x:v>https://github.com/Ionut-Gabriel-Otelea/Evaluating-LLMs-for-Automated-Requirement-and-Test-Case-Generation-in-Railway-Signaling-Systems</x:v>
      </x:c>
      <x:c r="E54" s="2" t="str">
        <x:v>Public; not independently verified</x:v>
      </x:c>
    </x:row>
    <x:row r="55" ht="23" customHeight="1">
      <x:c r="A55" s="2" t="str">
        <x:v>G1</x:v>
      </x:c>
      <x:c r="B55" s="2" t="str">
        <x:v>G1</x:v>
      </x:c>
      <x:c r="C55" s="6" t="str">
        <x:v>--</x:v>
      </x:c>
      <x:c r="D55" s="6" t="str">
        <x:v>No resource link reported</x:v>
      </x:c>
      <x:c r="E55" s="2" t="str">
        <x:v>Not reported</x:v>
      </x:c>
    </x:row>
    <x:row r="56" ht="28" customHeight="1">
      <x:c r="A56" s="2" t="str">
        <x:v>G2</x:v>
      </x:c>
      <x:c r="B56" s="2" t="str">
        <x:v>G2</x:v>
      </x:c>
      <x:c r="C56" s="6" t="str">
        <x:v>Product and community</x:v>
      </x:c>
      <x:c r="D56" s="6" t="str">
        <x:v>https://www.verisian.com/; https://www.verisian.com/community</x:v>
      </x:c>
      <x:c r="E56" s="2" t="str">
        <x:v>Information link</x:v>
      </x:c>
    </x:row>
    <x:row r="57" ht="23" customHeight="1">
      <x:c r="A57" s="2" t="str">
        <x:v>G3</x:v>
      </x:c>
      <x:c r="B57" s="2" t="str">
        <x:v>G3</x:v>
      </x:c>
      <x:c r="C57" s="6" t="str">
        <x:v>--</x:v>
      </x:c>
      <x:c r="D57" s="6" t="str">
        <x:v>No resource link reported</x:v>
      </x:c>
      <x:c r="E57" s="2" t="str">
        <x:v>Not reported</x:v>
      </x:c>
    </x:row>
    <x:row r="58" ht="28" customHeight="1">
      <x:c r="A58" s="2" t="str">
        <x:v>G4</x:v>
      </x:c>
      <x:c r="B58" s="2" t="str">
        <x:v>G4</x:v>
      </x:c>
      <x:c r="C58" s="6" t="str">
        <x:v>Recorded webinar</x:v>
      </x:c>
      <x:c r="D58" s="6" t="str">
        <x:v>https://www.vector.com/en/product/vectorcast/vectorcast-ai/</x:v>
      </x:c>
      <x:c r="E58" s="2" t="str">
        <x:v>Information link</x:v>
      </x:c>
    </x:row>
    <x:row r="59" ht="23" customHeight="1">
      <x:c r="A59" s="2" t="str">
        <x:v>G5</x:v>
      </x:c>
      <x:c r="B59" s="2" t="str">
        <x:v>G5</x:v>
      </x:c>
      <x:c r="C59" s="6" t="str">
        <x:v>--</x:v>
      </x:c>
      <x:c r="D59" s="6" t="str">
        <x:v>No resource link reported</x:v>
      </x:c>
      <x:c r="E59" s="2" t="str">
        <x:v>Not reported</x:v>
      </x:c>
    </x:row>
    <x:row r="60" ht="23" customHeight="1">
      <x:c r="A60" s="2" t="str">
        <x:v>G6</x:v>
      </x:c>
      <x:c r="B60" s="2" t="str">
        <x:v>G6</x:v>
      </x:c>
      <x:c r="C60" s="6" t="str">
        <x:v>--</x:v>
      </x:c>
      <x:c r="D60" s="6" t="str">
        <x:v>No resource link reported</x:v>
      </x:c>
      <x:c r="E60" s="2" t="str">
        <x:v>Not reported</x:v>
      </x:c>
    </x:row>
    <x:row r="61" ht="28" customHeight="1">
      <x:c r="A61" s="2" t="str">
        <x:v>G7</x:v>
      </x:c>
      <x:c r="B61" s="2" t="str">
        <x:v>G7</x:v>
      </x:c>
      <x:c r="C61" s="6" t="str">
        <x:v>Tool and project mentioned</x:v>
      </x:c>
      <x:c r="D61" s="6" t="str">
        <x:v>https://www.ocxconf.org/; direct project link not recorded</x:v>
      </x:c>
      <x:c r="E61" s="2" t="str">
        <x:v>Information link</x:v>
      </x:c>
    </x:row>
    <x:row r="62" ht="28" customHeight="1">
      <x:c r="A62" s="2" t="str">
        <x:v>G8</x:v>
      </x:c>
      <x:c r="B62" s="2" t="str">
        <x:v>G8</x:v>
      </x:c>
      <x:c r="C62" s="6" t="str">
        <x:v>Demonstrated instance</x:v>
      </x:c>
      <x:c r="D62" s="6" t="str">
        <x:v>Demonstrated instance private; no code, data, or prompts offered</x:v>
      </x:c>
      <x:c r="E62" s="2" t="str">
        <x:v>Private instance</x:v>
      </x:c>
    </x:row>
  </x:sheetData>
  <x:pageMargins left="0.7" right="0.7" top="0.75" bottom="0.75" header="0.3" footer="0.3"/>
</x:worksheet>
</file>